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28T090000" sheetId="65" r:id="rId2"/>
    <sheet name="20230305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 s="1"/>
  <c r="BD244" i="66"/>
  <c r="BE244" i="66"/>
  <c r="BD245" i="66"/>
  <c r="BE245" i="66"/>
  <c r="BD246" i="66"/>
  <c r="BE246" i="66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 s="1"/>
  <c r="AL222" i="66"/>
  <c r="AM222" i="66"/>
  <c r="AL223" i="66"/>
  <c r="AM223" i="66"/>
  <c r="AL224" i="66"/>
  <c r="AM224" i="66"/>
  <c r="AL225" i="66"/>
  <c r="AM225" i="66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 s="1"/>
  <c r="AD118" i="66"/>
  <c r="AE118" i="66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 s="1"/>
  <c r="AD211" i="66"/>
  <c r="AE211" i="66"/>
  <c r="AD212" i="66"/>
  <c r="AE212" i="66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 s="1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 s="1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 s="1"/>
  <c r="L199" i="66"/>
  <c r="M199" i="66"/>
  <c r="L200" i="66"/>
  <c r="M200" i="66"/>
  <c r="L201" i="66"/>
  <c r="M201" i="66"/>
  <c r="L202" i="66"/>
  <c r="M202" i="66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S3" i="66"/>
  <c r="AI3" i="66"/>
  <c r="AA3" i="66"/>
  <c r="AC3" i="66" s="1"/>
  <c r="I3" i="66"/>
  <c r="A4" i="63" a="1"/>
  <c r="A4" i="63" l="1"/>
  <c r="BE9" i="66"/>
  <c r="AW9" i="66"/>
  <c r="AU3" i="66"/>
  <c r="AS6" i="66" s="1"/>
  <c r="A15" i="66" s="1"/>
  <c r="AW5" i="66"/>
  <c r="AM9" i="66"/>
  <c r="AE9" i="66"/>
  <c r="AA6" i="66"/>
  <c r="U9" i="66"/>
  <c r="Q3" i="66"/>
  <c r="S3" i="66" s="1"/>
  <c r="Q6" i="66" s="1"/>
  <c r="U5" i="66"/>
  <c r="M9" i="66"/>
  <c r="M5" i="66" s="1"/>
  <c r="G2" i="66"/>
  <c r="K3" i="66"/>
  <c r="I6" i="66" s="1"/>
  <c r="A11" i="66" s="1"/>
  <c r="A13" i="66"/>
  <c r="BS6" i="66"/>
  <c r="A18" i="66" s="1"/>
  <c r="CK6" i="66"/>
  <c r="A20" i="66" s="1"/>
  <c r="DC6" i="66"/>
  <c r="A22" i="66" s="1"/>
  <c r="DU6" i="66"/>
  <c r="EM6" i="66"/>
  <c r="FD6" i="66"/>
  <c r="AK3" i="66"/>
  <c r="AI6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CF9" i="66"/>
  <c r="B19" i="66" s="1"/>
  <c r="CM6" i="66"/>
  <c r="CN9" i="66" s="1"/>
  <c r="B20" i="66" s="1"/>
  <c r="CX9" i="66"/>
  <c r="B21" i="66" s="1"/>
  <c r="DE6" i="66"/>
  <c r="DF9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P4" i="66" s="1"/>
  <c r="EP2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 s="1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/>
  <c r="BD390" i="65"/>
  <c r="BE390" i="65"/>
  <c r="BD391" i="65"/>
  <c r="BE391" i="65"/>
  <c r="BD392" i="65"/>
  <c r="BE392" i="65"/>
  <c r="BD393" i="65"/>
  <c r="BE393" i="65"/>
  <c r="BD394" i="65"/>
  <c r="BE394" i="65"/>
  <c r="BD395" i="65"/>
  <c r="BE395" i="65"/>
  <c r="BD396" i="65"/>
  <c r="BE396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 s="1"/>
  <c r="AV229" i="65"/>
  <c r="AW229" i="65"/>
  <c r="AV230" i="65"/>
  <c r="AW230" i="65"/>
  <c r="AV231" i="65"/>
  <c r="AW231" i="65"/>
  <c r="AV232" i="65"/>
  <c r="AW232" i="65" s="1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 s="1"/>
  <c r="AL111" i="65"/>
  <c r="AM111" i="65"/>
  <c r="AL112" i="65"/>
  <c r="AM112" i="65"/>
  <c r="AL113" i="65"/>
  <c r="AM113" i="65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 s="1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 s="1"/>
  <c r="AD115" i="65"/>
  <c r="AE115" i="65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 s="1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 s="1"/>
  <c r="L389" i="65"/>
  <c r="M389" i="65"/>
  <c r="L390" i="65"/>
  <c r="M390" i="65"/>
  <c r="L391" i="65"/>
  <c r="M391" i="65"/>
  <c r="L392" i="65"/>
  <c r="M392" i="65"/>
  <c r="L393" i="65"/>
  <c r="M393" i="65"/>
  <c r="L394" i="65"/>
  <c r="M394" i="65"/>
  <c r="L395" i="65"/>
  <c r="M395" i="65" s="1"/>
  <c r="L396" i="65"/>
  <c r="M396" i="65" s="1"/>
  <c r="BE7" i="66" l="1"/>
  <c r="BE3" i="66"/>
  <c r="BE5" i="66"/>
  <c r="AW7" i="66"/>
  <c r="AW3" i="66"/>
  <c r="AM7" i="66"/>
  <c r="AM5" i="66"/>
  <c r="AM3" i="66"/>
  <c r="AE7" i="66"/>
  <c r="AE3" i="66"/>
  <c r="AE5" i="66"/>
  <c r="U7" i="66"/>
  <c r="U3" i="66"/>
  <c r="G4" i="66"/>
  <c r="M7" i="66"/>
  <c r="M3" i="66"/>
  <c r="A16" i="66"/>
  <c r="A12" i="66"/>
  <c r="B22" i="66"/>
  <c r="DF4" i="66"/>
  <c r="B18" i="66"/>
  <c r="BV4" i="66"/>
  <c r="A14" i="66"/>
  <c r="FG4" i="66"/>
  <c r="FG2" i="66" s="1"/>
  <c r="DX4" i="66"/>
  <c r="DX2" i="66" s="1"/>
  <c r="BD9" i="66"/>
  <c r="B16" i="66" s="1"/>
  <c r="AL9" i="66"/>
  <c r="B14" i="66" s="1"/>
  <c r="T9" i="66"/>
  <c r="B12" i="66" s="1"/>
  <c r="AY4" i="66"/>
  <c r="AD4" i="66"/>
  <c r="O4" i="66"/>
  <c r="CF4" i="66"/>
  <c r="CF2" i="66" s="1"/>
  <c r="AG4" i="66"/>
  <c r="L4" i="66"/>
  <c r="CX4" i="66"/>
  <c r="BN4" i="66"/>
  <c r="AV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15" i="66" l="1"/>
  <c r="AV2" i="66"/>
  <c r="C21" i="66"/>
  <c r="CX2" i="66"/>
  <c r="AL4" i="66"/>
  <c r="C18" i="66"/>
  <c r="BV2" i="66"/>
  <c r="D18" i="66" s="1"/>
  <c r="C22" i="66"/>
  <c r="DF2" i="66"/>
  <c r="D22" i="66" s="1"/>
  <c r="T4" i="66"/>
  <c r="BD4" i="66"/>
  <c r="C20" i="66"/>
  <c r="CN2" i="66"/>
  <c r="D20" i="66" s="1"/>
  <c r="C17" i="66"/>
  <c r="C19" i="66"/>
  <c r="BN2" i="66"/>
  <c r="C11" i="66"/>
  <c r="L2" i="66"/>
  <c r="D19" i="66"/>
  <c r="CC9" i="66"/>
  <c r="E19" i="66" s="1"/>
  <c r="C13" i="66"/>
  <c r="AD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3" i="66" l="1"/>
  <c r="AA9" i="66"/>
  <c r="E13" i="66" s="1"/>
  <c r="D11" i="66"/>
  <c r="D17" i="66"/>
  <c r="BK9" i="66"/>
  <c r="E17" i="66" s="1"/>
  <c r="C12" i="66"/>
  <c r="T2" i="66"/>
  <c r="D12" i="66" s="1"/>
  <c r="D21" i="66"/>
  <c r="CU9" i="66"/>
  <c r="E21" i="66" s="1"/>
  <c r="D15" i="66"/>
  <c r="C16" i="66"/>
  <c r="BD2" i="66"/>
  <c r="D16" i="66" s="1"/>
  <c r="C14" i="66"/>
  <c r="AL2" i="66"/>
  <c r="D14" i="66" s="1"/>
  <c r="BD9" i="65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I9" i="66"/>
  <c r="E11" i="66" s="1"/>
  <c r="BA6" i="65"/>
  <c r="A16" i="65" s="1"/>
  <c r="T4" i="65"/>
  <c r="O4" i="65"/>
  <c r="CI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DM6" i="64" l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A2" i="63"/>
  <c r="AG4" i="64" l="1"/>
  <c r="I6" i="64"/>
  <c r="A11" i="64" s="1"/>
  <c r="AA6" i="64"/>
  <c r="A13" i="64" s="1"/>
  <c r="AY4" i="64"/>
  <c r="O4" i="64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C22" i="64"/>
  <c r="D15" i="64" l="1"/>
  <c r="C20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G2" i="63"/>
  <c r="B3" i="63"/>
  <c r="L3" i="63"/>
  <c r="D2" i="63"/>
  <c r="L2" i="63"/>
  <c r="I3" i="63"/>
  <c r="H2" i="63"/>
  <c r="I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<sst xmlns="http://schemas.openxmlformats.org/spreadsheetml/2006/main" count="1240" uniqueCount="46">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</sst>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9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3421.0199999998704</v>
      </c>
      <c r="H2" s="2"/>
      <c r="I2" s="6" t="s">
        <v>12</v>
      </c>
      <c r="J2" s="2"/>
      <c r="K2" s="7" t="s">
        <v>13</v>
      </c>
      <c r="L2" s="3">
        <f>L4*I6*L9/100*100</f>
        <v>24.681642124000003</v>
      </c>
      <c r="M2" s="8" t="s">
        <v>14</v>
      </c>
      <c r="N2" s="9"/>
      <c r="O2" s="2">
        <f>ABS(S7-S6)/ABS(T7-T6)*1000</f>
        <v>844.98721311475504</v>
      </c>
      <c r="P2" s="2"/>
      <c r="Q2" s="6" t="s">
        <v>15</v>
      </c>
      <c r="R2" s="2"/>
      <c r="S2" s="7" t="s">
        <v>13</v>
      </c>
      <c r="T2" s="3">
        <f>T4*Q6*T9/100*100</f>
        <v>24.111391512000004</v>
      </c>
      <c r="U2" s="8" t="s">
        <v>14</v>
      </c>
      <c r="X2" s="9"/>
      <c r="Y2" s="2">
        <f>ABS(AC7-AC6)/ABS(AD7-AD6)*1000</f>
        <v>1680.4354838729582</v>
      </c>
      <c r="Z2" s="2"/>
      <c r="AA2" s="6" t="s">
        <v>12</v>
      </c>
      <c r="AB2" s="2"/>
      <c r="AC2" s="7" t="s">
        <v>13</v>
      </c>
      <c r="AD2" s="3">
        <f>AD4*AA6*AD9/100*100</f>
        <v>25.669472204999998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2236.4534855402007</v>
      </c>
      <c r="AR2" s="2"/>
      <c r="AS2" s="6" t="s">
        <v>12</v>
      </c>
      <c r="AT2" s="2"/>
      <c r="AU2" s="7" t="s">
        <v>13</v>
      </c>
      <c r="AV2" s="3">
        <f>AV4*AS6*AV9/100*100</f>
        <v>3.6274994873999999E-3</v>
      </c>
      <c r="AW2" s="8" t="s">
        <v>14</v>
      </c>
      <c r="AX2" s="9"/>
      <c r="AY2" s="2">
        <f>ABS(BC7-BC6)/ABS(BD7-BD6)*1000</f>
        <v>42.705573853559699</v>
      </c>
      <c r="AZ2" s="2"/>
      <c r="BA2" s="6" t="s">
        <v>15</v>
      </c>
      <c r="BB2" s="2"/>
      <c r="BC2" s="7" t="s">
        <v>13</v>
      </c>
      <c r="BD2" s="3">
        <f>BD4*BA6*BD9/100*100</f>
        <v>12.096287061599996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1.80786</v>
      </c>
      <c r="J3" s="2"/>
      <c r="K3" s="10">
        <f>INDEX(L11:L1056,MATCH(I3,K11:K1056,0))</f>
        <v>-1.4465299999999999</v>
      </c>
      <c r="L3" s="31" t="s">
        <v>16</v>
      </c>
      <c r="M3" s="11">
        <f>M9</f>
        <v>24.681642124000003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0.30432099999999995</v>
      </c>
      <c r="T3" s="31" t="s">
        <v>16</v>
      </c>
      <c r="U3" s="11">
        <f>U9</f>
        <v>24.111391512000001</v>
      </c>
      <c r="X3" s="9"/>
      <c r="Y3" s="2" t="s">
        <v>44</v>
      </c>
      <c r="Z3" s="2"/>
      <c r="AA3" s="2">
        <f>INDEX(AC11:AC856,MATCH(0,AD11:AD856,1))</f>
        <v>1.78925</v>
      </c>
      <c r="AB3" s="2"/>
      <c r="AC3" s="10">
        <f>INDEX(AD11:AD1056,MATCH(AA3,AC11:AC1056,0))</f>
        <v>-2.4117999999999999</v>
      </c>
      <c r="AD3" s="31" t="s">
        <v>16</v>
      </c>
      <c r="AE3" s="11">
        <f>AE9</f>
        <v>25.669472205000002</v>
      </c>
      <c r="AF3" s="9"/>
      <c r="AG3" s="2" t="s">
        <v>44</v>
      </c>
      <c r="AH3" s="2"/>
      <c r="AI3" s="2">
        <f>INDEX(AK11:AK1056,MATCH(0,AL11:AL1056,-1))</f>
        <v>1.7724599999999999</v>
      </c>
      <c r="AJ3" s="2"/>
      <c r="AK3" s="10">
        <f>INDEX(AL11:AL1056,MATCH(AI3,AK11:AK1056,0))</f>
        <v>0.44259599999999999</v>
      </c>
      <c r="AL3" s="31" t="s">
        <v>16</v>
      </c>
      <c r="AM3" s="11">
        <f>AM9</f>
        <v>23.922857120000003</v>
      </c>
      <c r="AP3" s="9"/>
      <c r="AQ3" s="2" t="s">
        <v>44</v>
      </c>
      <c r="AR3" s="2"/>
      <c r="AS3" s="2">
        <f>INDEX(AU11:AU856,MATCH(0,AV11:AV856,1))</f>
        <v>7.4432399999999996E-2</v>
      </c>
      <c r="AT3" s="2"/>
      <c r="AU3" s="10">
        <f>INDEX(AV11:AV1056,MATCH(AS3,AU11:AU1056,0))</f>
        <v>-1.98669E-2</v>
      </c>
      <c r="AV3" s="31" t="s">
        <v>16</v>
      </c>
      <c r="AW3" s="11">
        <f>AW9</f>
        <v>3.6274994874000003E-3</v>
      </c>
      <c r="AX3" s="9"/>
      <c r="AY3" s="2" t="s">
        <v>44</v>
      </c>
      <c r="AZ3" s="2"/>
      <c r="BA3" s="2">
        <f>INDEX(BC11:BC1056,MATCH(0,BD11:BD1056,-1))</f>
        <v>1.7730699999999999</v>
      </c>
      <c r="BB3" s="2"/>
      <c r="BC3" s="10">
        <f>INDEX(BD11:BD1056,MATCH(BA3,BC11:BC1056,0))</f>
        <v>0.183472</v>
      </c>
      <c r="BD3" s="31" t="s">
        <v>16</v>
      </c>
      <c r="BE3" s="11">
        <f>BE9</f>
        <v>12.096287061599998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2.2333173287641839</v>
      </c>
      <c r="H4" s="2"/>
      <c r="I4" s="2">
        <f>INDEX(K11:K1000,1+MATCH(0,L11:L856,1))</f>
        <v>1.80359</v>
      </c>
      <c r="J4" s="2"/>
      <c r="K4" s="10">
        <f>INDEX(L11:L1056,MATCH(I4,K11:K1056,0))</f>
        <v>0.465424</v>
      </c>
      <c r="L4" s="30">
        <f>M3/(I6*L9)</f>
        <v>0.80349444048020791</v>
      </c>
      <c r="M4" s="8" t="s">
        <v>17</v>
      </c>
      <c r="N4" s="9"/>
      <c r="O4" s="2">
        <f>ABS(Q3-Q4)/ABS(S3-S4)*1000</f>
        <v>2.8653753890202731</v>
      </c>
      <c r="P4" s="2"/>
      <c r="Q4" s="2">
        <f>INDEX(S11:S856,1+MATCH(0,T11:T856,-1))</f>
        <v>1.79291</v>
      </c>
      <c r="R4" s="2"/>
      <c r="S4" s="10">
        <f>INDEX(T11:T856,MATCH(Q4,S11:S856,0))</f>
        <v>-1.5069599999999999</v>
      </c>
      <c r="T4" s="30">
        <f>U3/(Q6*T9)</f>
        <v>0.79062002159708744</v>
      </c>
      <c r="U4" s="8" t="s">
        <v>17</v>
      </c>
      <c r="X4" s="9"/>
      <c r="Y4" s="2">
        <f>ABS(AA3-AA4)/ABS(AC3-AC4)*1000</f>
        <v>1.5160160201547606</v>
      </c>
      <c r="Z4" s="2"/>
      <c r="AA4" s="2">
        <f>INDEX(AC11:AC1000,1+MATCH(0,AD11:AD856,1))</f>
        <v>1.7837499999999999</v>
      </c>
      <c r="AB4" s="2"/>
      <c r="AC4" s="10">
        <f>INDEX(AD11:AD1056,MATCH(AA4,AC11:AC1056,0))</f>
        <v>1.2161299999999999</v>
      </c>
      <c r="AD4" s="30">
        <f>AE3/(AA6*AD9)</f>
        <v>0.8118491639398242</v>
      </c>
      <c r="AE4" s="8" t="s">
        <v>17</v>
      </c>
      <c r="AF4" s="9"/>
      <c r="AG4" s="2">
        <f>ABS(AI3-AI4)/ABS(AK3-AK4)*1000</f>
        <v>2.7287736465076708</v>
      </c>
      <c r="AH4" s="2"/>
      <c r="AI4" s="2">
        <f>INDEX(AK11:AK856,1+MATCH(0,AL11:AL856,-1))</f>
        <v>1.77643</v>
      </c>
      <c r="AJ4" s="2"/>
      <c r="AK4" s="10">
        <f>INDEX(AL11:AL856,MATCH(AI4,AK11:AK856,0))</f>
        <v>-1.01227</v>
      </c>
      <c r="AL4" s="30" t="e">
        <f>AM3/(AI6*AL9)</f>
        <v>#DIV/0!</v>
      </c>
      <c r="AM4" s="8" t="s">
        <v>17</v>
      </c>
      <c r="AP4" s="9"/>
      <c r="AQ4" s="2">
        <f>ABS(AS3-AS4)/ABS(AU3-AU4)*1000</f>
        <v>155.23382697304956</v>
      </c>
      <c r="AR4" s="2"/>
      <c r="AS4" s="2">
        <f>INDEX(AU11:AU1000,1+MATCH(0,AV11:AV856,1))</f>
        <v>6.2347399999999997E-2</v>
      </c>
      <c r="AT4" s="2"/>
      <c r="AU4" s="10">
        <f>INDEX(AV11:AV1056,MATCH(AS4,AU11:AU1056,0))</f>
        <v>5.7983399999999997E-2</v>
      </c>
      <c r="AV4" s="30">
        <f>AW3/(AS6*AV9)</f>
        <v>5.2946308293957989</v>
      </c>
      <c r="AW4" s="8" t="s">
        <v>17</v>
      </c>
      <c r="AX4" s="9"/>
      <c r="AY4" s="2">
        <f>ABS(BA3-BA4)/ABS(BC3-BC4)*1000</f>
        <v>0.87387095535816384</v>
      </c>
      <c r="AZ4" s="2"/>
      <c r="BA4" s="2">
        <f>INDEX(BC11:BC856,1+MATCH(0,BD11:BD856,-1))</f>
        <v>1.77826</v>
      </c>
      <c r="BB4" s="2"/>
      <c r="BC4" s="10">
        <f>INDEX(BD11:BD856,MATCH(BA4,BC11:BC856,0))</f>
        <v>-5.7556200000000004</v>
      </c>
      <c r="BD4" s="30">
        <f>BE3/(BA6*BD9)</f>
        <v>1.6100729663825002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15.4907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15.438800000000001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16.009499999999999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15.5182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5.7983399999999997E-2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6.9000199999999996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1.8046294394844227</v>
      </c>
      <c r="J6" s="30"/>
      <c r="K6" s="13">
        <f>INDEX(K11:K1056,MATCH(L6,L11:L1056,0))</f>
        <v>6.8695099999999997E-3</v>
      </c>
      <c r="L6" s="10">
        <f>INDEX(L11:L1056,MATCH(0,K11:K1056,-1))</f>
        <v>17.0197</v>
      </c>
      <c r="M6" s="8" t="s">
        <v>22</v>
      </c>
      <c r="N6" s="9"/>
      <c r="O6" s="2"/>
      <c r="P6" s="2"/>
      <c r="Q6" s="34">
        <f>(Q3-Q4)/(S3-S4)*(-S4)+Q4</f>
        <v>1.788591993903762</v>
      </c>
      <c r="R6" s="34"/>
      <c r="S6" s="13">
        <f>INDEX(S11:S1056,MATCH(T6,T11:T1056,0))</f>
        <v>-4.6997100000000002E-3</v>
      </c>
      <c r="T6" s="10">
        <f>INDEX(T11:T1056,MATCH(0,S11:S1056,1))</f>
        <v>17.0563</v>
      </c>
      <c r="U6" s="8" t="s">
        <v>22</v>
      </c>
      <c r="X6" s="9"/>
      <c r="Y6" s="2"/>
      <c r="Z6" s="2"/>
      <c r="AA6" s="30">
        <f>(AA3-AA4)/(AC3-AC4)*(-AC4)+AA4</f>
        <v>1.7855936725625907</v>
      </c>
      <c r="AB6" s="30"/>
      <c r="AC6" s="13">
        <f>INDEX(AC11:AC1056,MATCH(AD6,AD11:AD1056,0))</f>
        <v>2.1331800000000001E-3</v>
      </c>
      <c r="AD6" s="10">
        <f>INDEX(AD11:AD1056,MATCH(0,AC11:AC1056,-1))</f>
        <v>17.706300000000002</v>
      </c>
      <c r="AE6" s="8" t="s">
        <v>22</v>
      </c>
      <c r="AF6" s="9"/>
      <c r="AG6" s="2"/>
      <c r="AH6" s="2"/>
      <c r="AI6" s="34">
        <f>(AI3-AI4)/(AK3-AK4)*(-AK4)+AI4</f>
        <v>1.7736677443008497</v>
      </c>
      <c r="AJ6" s="34"/>
      <c r="AK6" s="13">
        <f>INDEX(AK11:AK1056,MATCH(AL6,AL11:AL1056,0))</f>
        <v>-4.5684799999999998E-3</v>
      </c>
      <c r="AL6" s="10">
        <f>INDEX(AL11:AL1056,MATCH(0,AK11:AK1056,1))</f>
        <v>17.077599999999997</v>
      </c>
      <c r="AM6" s="8" t="s">
        <v>22</v>
      </c>
      <c r="AP6" s="9"/>
      <c r="AQ6" s="2"/>
      <c r="AR6" s="2"/>
      <c r="AS6" s="30">
        <f>(AS3-AS4)/(AU3-AU4)*(-AU4)+AS4</f>
        <v>7.134838508290911E-2</v>
      </c>
      <c r="AT6" s="30"/>
      <c r="AU6" s="13">
        <f>INDEX(AU11:AU1056,MATCH(AV6,AV11:AV1056,0))</f>
        <v>2.1606400000000001E-3</v>
      </c>
      <c r="AV6" s="10">
        <f>INDEX(AV11:AV1056,MATCH(0,AU11:AU1056,-1))</f>
        <v>8.6364700000000003E-3</v>
      </c>
      <c r="AW6" s="8" t="s">
        <v>22</v>
      </c>
      <c r="AX6" s="9"/>
      <c r="AY6" s="2"/>
      <c r="AZ6" s="2"/>
      <c r="BA6" s="34">
        <f>(BA3-BA4)/(BC3-BC4)*(-BC4)+BA4</f>
        <v>1.7732303308519215</v>
      </c>
      <c r="BB6" s="34"/>
      <c r="BC6" s="13">
        <f>INDEX(BC11:BC1056,MATCH(BD6,BD11:BD1056,0))</f>
        <v>-4.1931199999999998E-3</v>
      </c>
      <c r="BD6" s="10">
        <f>INDEX(BD11:BD1056,MATCH(0,BC11:BC1056,1))</f>
        <v>4.3350200000000001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-3.39355E-3</v>
      </c>
      <c r="L7" s="10">
        <f>INDEX(L11:L856,1+MATCH(0,K11:K856,-1))</f>
        <v>17.0227</v>
      </c>
      <c r="M7" s="12">
        <f>INDEX(K11:K1056,MATCH(M9,M11:M1056,0))</f>
        <v>1.5924100000000001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17.0502</v>
      </c>
      <c r="U7" s="12">
        <f>INDEX(S11:S1056,MATCH(U9,U11:U1056,0))</f>
        <v>1.56067</v>
      </c>
      <c r="X7" s="9"/>
      <c r="Y7" s="2"/>
      <c r="Z7" s="2"/>
      <c r="AA7" s="2"/>
      <c r="AB7" s="2"/>
      <c r="AC7" s="13">
        <f>INDEX(AC11:AC856,MATCH(AD7,AD11:AD856,1))</f>
        <v>-3.07617E-3</v>
      </c>
      <c r="AD7" s="10">
        <f>INDEX(AD11:AD856,1+MATCH(0,AC11:AC856,-1))</f>
        <v>17.709399999999999</v>
      </c>
      <c r="AE7" s="12">
        <f>INDEX(AC11:AC1056,MATCH(AE9,AE11:AE1056,0))</f>
        <v>1.6018699999999999</v>
      </c>
      <c r="AF7" s="9"/>
      <c r="AG7" s="2"/>
      <c r="AH7" s="2"/>
      <c r="AI7" s="2"/>
      <c r="AJ7" s="2"/>
      <c r="AK7" s="13">
        <f>INDEX(AK11:AK1056,MATCH(AL7,AL11:AL1056,0))</f>
        <v>-4.5684799999999998E-3</v>
      </c>
      <c r="AL7" s="10">
        <f>INDEX(AL11:AL1056,1+MATCH(0,AK11:AK1056,1))</f>
        <v>17.077599999999997</v>
      </c>
      <c r="AM7" s="12">
        <f>INDEX(AK11:AK1056,MATCH(AM9,AM11:AM1056,0))</f>
        <v>1.54053</v>
      </c>
      <c r="AP7" s="9"/>
      <c r="AQ7" s="2"/>
      <c r="AR7" s="2"/>
      <c r="AS7" s="2"/>
      <c r="AT7" s="2"/>
      <c r="AU7" s="13">
        <f>INDEX(AU11:AU856,MATCH(AV7,AV11:AV856,1))</f>
        <v>-2.8900100000000001E-3</v>
      </c>
      <c r="AV7" s="10">
        <f>INDEX(AV11:AV856,1+MATCH(0,AU11:AU856,-1))</f>
        <v>1.08948E-2</v>
      </c>
      <c r="AW7" s="12">
        <f>INDEX(AU11:AU1056,MATCH(AW9,AW11:AW1056,0))</f>
        <v>6.2347399999999997E-2</v>
      </c>
      <c r="AX7" s="9"/>
      <c r="AY7" s="2"/>
      <c r="AZ7" s="2"/>
      <c r="BA7" s="2"/>
      <c r="BB7" s="2"/>
      <c r="BC7" s="13">
        <f>INDEX(BC11:BC1056,MATCH(BD7,BD11:BD1056,0))</f>
        <v>8.6364700000000005E-4</v>
      </c>
      <c r="BD7" s="10">
        <f>INDEX(BD11:BD1056,1+MATCH(0,BC11:BC1056,1))</f>
        <v>4.2166100000000002</v>
      </c>
      <c r="BE7" s="12">
        <f>INDEX(BC11:BC1056,MATCH(BE9,BE11:BE1056,0))</f>
        <v>1.7523200000000001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2.3104241165764936</v>
      </c>
      <c r="J9" s="2"/>
      <c r="K9" s="2"/>
      <c r="L9" s="3">
        <f>(L6-L7)/(K6-K7)*(-K7)+L7</f>
        <v>17.021708029768899</v>
      </c>
      <c r="M9" s="16">
        <f>MAX(M11:M1056)</f>
        <v>24.681642124000003</v>
      </c>
      <c r="N9" s="9"/>
      <c r="O9" s="2"/>
      <c r="P9" s="2"/>
      <c r="Q9" s="2"/>
      <c r="R9" s="2"/>
      <c r="S9" s="2"/>
      <c r="T9" s="3">
        <f>(T6-T7)/(S6-S7)*(-S7)+T7</f>
        <v>17.050738128853244</v>
      </c>
      <c r="U9" s="16">
        <f>MAX(U11:U1056)</f>
        <v>24.111391512000001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17.707569420945031</v>
      </c>
      <c r="AE9" s="16">
        <f>MAX(AE11:AE1056)</f>
        <v>25.669472205000002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23.922857120000003</v>
      </c>
      <c r="AP9" s="9"/>
      <c r="AQ9" s="2"/>
      <c r="AR9" s="2"/>
      <c r="AS9" s="15">
        <f>(MAX(AV2,BD2)-MIN(AV2,BD2))/MAX(AV2,BD2)%</f>
        <v>99.970011463278553</v>
      </c>
      <c r="AT9" s="2"/>
      <c r="AU9" s="2"/>
      <c r="AV9" s="3">
        <f>(AV6-AV7)/(AU6-AU7)*(-AU7)+AV7</f>
        <v>9.6025710228782434E-3</v>
      </c>
      <c r="AW9" s="16">
        <f>MAX(AW11:AW1056)</f>
        <v>3.6274994874000003E-3</v>
      </c>
      <c r="AX9" s="9"/>
      <c r="AY9" s="2"/>
      <c r="AZ9" s="2"/>
      <c r="BA9" s="2"/>
      <c r="BB9" s="2"/>
      <c r="BC9" s="2"/>
      <c r="BD9" s="3">
        <f>(BD6-BD7)/(BC6-BC7)*(-BC7)+BD7</f>
        <v>4.2368332852077231</v>
      </c>
      <c r="BE9" s="16">
        <f>MAX(BE11:BE1056)</f>
        <v>12.096287061599998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1.8046294394844227</v>
      </c>
      <c r="B11" s="19">
        <f>IFERROR(L9,0)</f>
        <v>17.021708029768899</v>
      </c>
      <c r="C11" s="20">
        <f>IFERROR(L4,0)</f>
        <v>0.80349444048020791</v>
      </c>
      <c r="D11" s="21">
        <f>IFERROR(L2,0)</f>
        <v>24.681642124000003</v>
      </c>
      <c r="E11" s="21">
        <f>IFERROR(I9,0)</f>
        <v>2.3104241165764936</v>
      </c>
      <c r="F11" s="9"/>
      <c r="G11" s="22">
        <v>1.8350200000000001</v>
      </c>
      <c r="H11" s="22">
        <v>37.209000000000003</v>
      </c>
      <c r="I11" s="22">
        <v>1.7721600000000001E-2</v>
      </c>
      <c r="J11" s="22">
        <v>1</v>
      </c>
      <c r="K11" s="22">
        <v>1.8344100000000001</v>
      </c>
      <c r="L11">
        <f>-I11/$F$2*1000</f>
        <v>-17.721600000000002</v>
      </c>
      <c r="M11">
        <f>L11*G11</f>
        <v>-32.519490432000005</v>
      </c>
      <c r="N11" s="9"/>
      <c r="O11" s="22">
        <v>-9.49097E-2</v>
      </c>
      <c r="P11" s="22">
        <v>86.647400000000005</v>
      </c>
      <c r="Q11" s="22">
        <v>-1.7114299999999999E-2</v>
      </c>
      <c r="R11" s="22">
        <v>1</v>
      </c>
      <c r="S11" s="22">
        <v>-9.5550499999999997E-2</v>
      </c>
      <c r="T11">
        <f>-Q11/$F$2*1000</f>
        <v>17.1143</v>
      </c>
      <c r="U11">
        <f>T11*O11</f>
        <v>-1.62431307871</v>
      </c>
      <c r="V11" s="23"/>
      <c r="W11" s="24"/>
      <c r="X11" s="9"/>
      <c r="Y11" s="22">
        <v>1.8350200000000001</v>
      </c>
      <c r="Z11" s="22">
        <v>136.19300000000001</v>
      </c>
      <c r="AA11" s="22">
        <v>7.7673300000000001E-2</v>
      </c>
      <c r="AB11" s="22">
        <v>1</v>
      </c>
      <c r="AC11" s="22">
        <v>1.8331900000000001</v>
      </c>
      <c r="AD11">
        <f>-AA11/$F$2*1000</f>
        <v>-77.673299999999998</v>
      </c>
      <c r="AE11">
        <f>AD11*Y11</f>
        <v>-142.53205896599999</v>
      </c>
      <c r="AF11" s="9"/>
      <c r="AG11" s="22">
        <v>-9.49097E-2</v>
      </c>
      <c r="AH11" s="22">
        <v>185.80699999999999</v>
      </c>
      <c r="AI11" s="22">
        <v>-1.7126499999999999E-2</v>
      </c>
      <c r="AJ11" s="22">
        <v>1</v>
      </c>
      <c r="AK11" s="22">
        <v>-9.5581100000000002E-2</v>
      </c>
      <c r="AL11">
        <f>-AI11/$F$2*1000</f>
        <v>17.1265</v>
      </c>
      <c r="AM11">
        <f>AL11*AG11</f>
        <v>-1.62547097705</v>
      </c>
      <c r="AP11" s="9"/>
      <c r="AQ11" s="22">
        <v>1.8350200000000001</v>
      </c>
      <c r="AR11" s="22">
        <v>235.43100000000001</v>
      </c>
      <c r="AS11" s="25">
        <v>3.3691400000000001E-5</v>
      </c>
      <c r="AT11" s="22">
        <v>1</v>
      </c>
      <c r="AU11" s="22">
        <v>8.0657999999999994E-2</v>
      </c>
      <c r="AV11">
        <f>-AS11/$F$2*1000</f>
        <v>-3.3691400000000003E-2</v>
      </c>
      <c r="AW11">
        <f>AV11*AQ11</f>
        <v>-6.1824392828000008E-2</v>
      </c>
      <c r="AX11" s="9"/>
      <c r="AY11" s="22">
        <v>-9.49097E-2</v>
      </c>
      <c r="AZ11" s="22">
        <v>251.49100000000001</v>
      </c>
      <c r="BA11" s="22">
        <v>-6.1340300000000004E-3</v>
      </c>
      <c r="BB11" s="22">
        <v>1</v>
      </c>
      <c r="BC11" s="22">
        <v>-6.6894499999999996E-2</v>
      </c>
      <c r="BD11">
        <f>-BA11/$F$2*1000</f>
        <v>6.1340300000000001</v>
      </c>
      <c r="BE11">
        <f>BD11*AY11</f>
        <v>-0.58217894709100004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1.788591993903762</v>
      </c>
      <c r="B12" s="19">
        <f>IFERROR(T9,0)</f>
        <v>17.050738128853244</v>
      </c>
      <c r="C12" s="20">
        <f>IFERROR(T4,0)</f>
        <v>0.79062002159708744</v>
      </c>
      <c r="D12" s="21">
        <f>IFERROR(T2,0)</f>
        <v>24.111391512000004</v>
      </c>
      <c r="E12" s="21"/>
      <c r="F12" s="9"/>
      <c r="G12" s="22">
        <v>1.82999</v>
      </c>
      <c r="H12" s="22">
        <v>37.219099999999997</v>
      </c>
      <c r="I12" s="22">
        <v>1.3406400000000001E-2</v>
      </c>
      <c r="J12" s="22">
        <v>2</v>
      </c>
      <c r="K12" s="22">
        <v>1.8286100000000001</v>
      </c>
      <c r="L12">
        <f t="shared" ref="L12:L75" si="0">-I12/$F$2*1000</f>
        <v>-13.406400000000001</v>
      </c>
      <c r="M12">
        <f t="shared" ref="M12:M75" si="1">L12*G12</f>
        <v>-24.533577936000004</v>
      </c>
      <c r="N12" s="9"/>
      <c r="O12" s="22">
        <v>-8.9874300000000004E-2</v>
      </c>
      <c r="P12" s="22">
        <v>86.657499999999999</v>
      </c>
      <c r="Q12" s="22">
        <v>-1.71112E-2</v>
      </c>
      <c r="R12" s="22">
        <v>2</v>
      </c>
      <c r="S12" s="22">
        <v>-9.0576199999999996E-2</v>
      </c>
      <c r="T12">
        <f t="shared" ref="T12:T75" si="2">-Q12/$F$2*1000</f>
        <v>17.1112</v>
      </c>
      <c r="U12">
        <f t="shared" ref="U12:U75" si="3">T12*O12</f>
        <v>-1.5378571221600001</v>
      </c>
      <c r="V12" s="23"/>
      <c r="W12" s="24"/>
      <c r="X12" s="9"/>
      <c r="Y12" s="22">
        <v>1.82999</v>
      </c>
      <c r="Z12" s="22">
        <v>136.203</v>
      </c>
      <c r="AA12" s="22">
        <v>6.7309599999999997E-2</v>
      </c>
      <c r="AB12" s="22">
        <v>2</v>
      </c>
      <c r="AC12" s="22">
        <v>1.8289200000000001</v>
      </c>
      <c r="AD12">
        <f t="shared" ref="AD12:AD75" si="4">-AA12/$F$2*1000</f>
        <v>-67.309600000000003</v>
      </c>
      <c r="AE12">
        <f t="shared" ref="AE12:AE75" si="5">AD12*Y12</f>
        <v>-123.175894904</v>
      </c>
      <c r="AF12" s="9"/>
      <c r="AG12" s="22">
        <v>-8.9874300000000004E-2</v>
      </c>
      <c r="AH12" s="22">
        <v>185.81700000000001</v>
      </c>
      <c r="AI12" s="22">
        <v>-1.7126499999999999E-2</v>
      </c>
      <c r="AJ12" s="22">
        <v>2</v>
      </c>
      <c r="AK12" s="22">
        <v>-9.0423600000000007E-2</v>
      </c>
      <c r="AL12">
        <f t="shared" ref="AL12:AL75" si="6">-AI12/$F$2*1000</f>
        <v>17.1265</v>
      </c>
      <c r="AM12">
        <f t="shared" ref="AM12:AM75" si="7">AL12*AG12</f>
        <v>-1.5392321989500002</v>
      </c>
      <c r="AP12" s="9"/>
      <c r="AQ12" s="22">
        <v>1.82999</v>
      </c>
      <c r="AR12" s="22">
        <v>235.441</v>
      </c>
      <c r="AS12" s="25">
        <v>5.8593800000000001E-5</v>
      </c>
      <c r="AT12" s="22">
        <v>2</v>
      </c>
      <c r="AU12" s="22">
        <v>8.0596899999999999E-2</v>
      </c>
      <c r="AV12">
        <f t="shared" ref="AV12:AV75" si="8">-AS12/$F$2*1000</f>
        <v>-5.8593800000000001E-2</v>
      </c>
      <c r="AW12">
        <f t="shared" ref="AW12:AW75" si="9">AV12*AQ12</f>
        <v>-0.107226068062</v>
      </c>
      <c r="AX12" s="9"/>
      <c r="AY12" s="22">
        <v>-8.9874300000000004E-2</v>
      </c>
      <c r="AZ12" s="22">
        <v>251.501</v>
      </c>
      <c r="BA12" s="22">
        <v>-6.14929E-3</v>
      </c>
      <c r="BB12" s="22">
        <v>2</v>
      </c>
      <c r="BC12" s="22">
        <v>-6.6497799999999996E-2</v>
      </c>
      <c r="BD12">
        <f t="shared" ref="BD12:BD75" si="10">-BA12/$F$2*1000</f>
        <v>6.1492899999999997</v>
      </c>
      <c r="BE12">
        <f t="shared" ref="BE12:BE75" si="11">BD12*AY12</f>
        <v>-0.55266313424699998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1.7855936725625907</v>
      </c>
      <c r="B13" s="19">
        <f>IFERROR(AD9,0)</f>
        <v>17.707569420945031</v>
      </c>
      <c r="C13" s="20">
        <f>IFERROR(AD4,0)</f>
        <v>0.8118491639398242</v>
      </c>
      <c r="D13" s="21">
        <f>IFERROR(AD2,0)</f>
        <v>25.669472204999998</v>
      </c>
      <c r="E13" s="21">
        <f>IFERROR(AA9,0)</f>
        <v>0</v>
      </c>
      <c r="F13" s="9"/>
      <c r="G13" s="22">
        <v>1.8249500000000001</v>
      </c>
      <c r="H13" s="22">
        <v>37.229100000000003</v>
      </c>
      <c r="I13" s="22">
        <v>9.7045900000000008E-3</v>
      </c>
      <c r="J13" s="22">
        <v>3</v>
      </c>
      <c r="K13" s="22">
        <v>1.8237300000000001</v>
      </c>
      <c r="L13">
        <f t="shared" si="0"/>
        <v>-9.7045900000000014</v>
      </c>
      <c r="M13">
        <f t="shared" si="1"/>
        <v>-17.710391520500004</v>
      </c>
      <c r="N13" s="9"/>
      <c r="O13" s="22">
        <v>-8.4838899999999995E-2</v>
      </c>
      <c r="P13" s="22">
        <v>86.667599999999993</v>
      </c>
      <c r="Q13" s="22">
        <v>-1.71082E-2</v>
      </c>
      <c r="R13" s="22">
        <v>3</v>
      </c>
      <c r="S13" s="22">
        <v>-8.5632299999999995E-2</v>
      </c>
      <c r="T13">
        <f t="shared" si="2"/>
        <v>17.1082</v>
      </c>
      <c r="U13">
        <f t="shared" si="3"/>
        <v>-1.45144086898</v>
      </c>
      <c r="V13" s="23"/>
      <c r="W13" s="24"/>
      <c r="X13" s="9"/>
      <c r="Y13" s="22">
        <v>1.8249500000000001</v>
      </c>
      <c r="Z13" s="22">
        <v>136.21299999999999</v>
      </c>
      <c r="AA13" s="22">
        <v>5.6314099999999999E-2</v>
      </c>
      <c r="AB13" s="22">
        <v>3</v>
      </c>
      <c r="AC13" s="22">
        <v>1.8240400000000001</v>
      </c>
      <c r="AD13">
        <f t="shared" si="4"/>
        <v>-56.314099999999996</v>
      </c>
      <c r="AE13">
        <f t="shared" si="5"/>
        <v>-102.770416795</v>
      </c>
      <c r="AF13" s="9"/>
      <c r="AG13" s="22">
        <v>-8.4838899999999995E-2</v>
      </c>
      <c r="AH13" s="22">
        <v>185.827</v>
      </c>
      <c r="AI13" s="22">
        <v>-1.71234E-2</v>
      </c>
      <c r="AJ13" s="22">
        <v>3</v>
      </c>
      <c r="AK13" s="22">
        <v>-8.5449200000000003E-2</v>
      </c>
      <c r="AL13">
        <f t="shared" si="6"/>
        <v>17.1234</v>
      </c>
      <c r="AM13">
        <f t="shared" si="7"/>
        <v>-1.45273042026</v>
      </c>
      <c r="AP13" s="9"/>
      <c r="AQ13" s="22">
        <v>1.8249500000000001</v>
      </c>
      <c r="AR13" s="22">
        <v>235.45099999999999</v>
      </c>
      <c r="AS13" s="25">
        <v>3.0853299999999998E-5</v>
      </c>
      <c r="AT13" s="22">
        <v>3</v>
      </c>
      <c r="AU13" s="22">
        <v>8.0505400000000005E-2</v>
      </c>
      <c r="AV13">
        <f t="shared" si="8"/>
        <v>-3.0853299999999997E-2</v>
      </c>
      <c r="AW13">
        <f t="shared" si="9"/>
        <v>-5.6305729834999999E-2</v>
      </c>
      <c r="AX13" s="9"/>
      <c r="AY13" s="22">
        <v>-8.4838899999999995E-2</v>
      </c>
      <c r="AZ13" s="22">
        <v>251.511</v>
      </c>
      <c r="BA13" s="22">
        <v>-6.4788800000000002E-3</v>
      </c>
      <c r="BB13" s="22">
        <v>3</v>
      </c>
      <c r="BC13" s="22">
        <v>-6.6803000000000001E-2</v>
      </c>
      <c r="BD13">
        <f t="shared" si="10"/>
        <v>6.4788800000000002</v>
      </c>
      <c r="BE13">
        <f t="shared" si="11"/>
        <v>-0.54966105243200003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1.7736677443008497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1.81992</v>
      </c>
      <c r="H14" s="22">
        <v>37.239199999999997</v>
      </c>
      <c r="I14" s="22">
        <v>6.4819300000000003E-3</v>
      </c>
      <c r="J14" s="22">
        <v>4</v>
      </c>
      <c r="K14" s="22">
        <v>1.8188500000000001</v>
      </c>
      <c r="L14">
        <f t="shared" si="0"/>
        <v>-6.4819300000000002</v>
      </c>
      <c r="M14">
        <f t="shared" si="1"/>
        <v>-11.796594045600001</v>
      </c>
      <c r="N14" s="9"/>
      <c r="O14" s="22">
        <v>-7.9803499999999999E-2</v>
      </c>
      <c r="P14" s="22">
        <v>86.677599999999998</v>
      </c>
      <c r="Q14" s="22">
        <v>-1.71082E-2</v>
      </c>
      <c r="R14" s="22">
        <v>4</v>
      </c>
      <c r="S14" s="22">
        <v>-8.0413799999999994E-2</v>
      </c>
      <c r="T14">
        <f t="shared" si="2"/>
        <v>17.1082</v>
      </c>
      <c r="U14">
        <f t="shared" si="3"/>
        <v>-1.3652942387</v>
      </c>
      <c r="V14" s="23"/>
      <c r="W14" s="24"/>
      <c r="X14" s="9"/>
      <c r="Y14" s="22">
        <v>1.81992</v>
      </c>
      <c r="Z14" s="22">
        <v>136.22300000000001</v>
      </c>
      <c r="AA14" s="22">
        <v>4.57428E-2</v>
      </c>
      <c r="AB14" s="22">
        <v>4</v>
      </c>
      <c r="AC14" s="22">
        <v>1.8194600000000001</v>
      </c>
      <c r="AD14">
        <f t="shared" si="4"/>
        <v>-45.742800000000003</v>
      </c>
      <c r="AE14">
        <f t="shared" si="5"/>
        <v>-83.248236576000011</v>
      </c>
      <c r="AF14" s="9"/>
      <c r="AG14" s="22">
        <v>-7.9803499999999999E-2</v>
      </c>
      <c r="AH14" s="22">
        <v>185.83799999999999</v>
      </c>
      <c r="AI14" s="22">
        <v>-1.7120400000000001E-2</v>
      </c>
      <c r="AJ14" s="22">
        <v>4</v>
      </c>
      <c r="AK14" s="22">
        <v>-8.0474900000000002E-2</v>
      </c>
      <c r="AL14">
        <f t="shared" si="6"/>
        <v>17.1204</v>
      </c>
      <c r="AM14">
        <f t="shared" si="7"/>
        <v>-1.3662678414</v>
      </c>
      <c r="AP14" s="9"/>
      <c r="AQ14" s="22">
        <v>1.81992</v>
      </c>
      <c r="AR14" s="22">
        <v>235.46100000000001</v>
      </c>
      <c r="AS14" s="25">
        <v>2.0965600000000001E-5</v>
      </c>
      <c r="AT14" s="22">
        <v>4</v>
      </c>
      <c r="AU14" s="22">
        <v>8.0474900000000002E-2</v>
      </c>
      <c r="AV14">
        <f t="shared" si="8"/>
        <v>-2.0965600000000001E-2</v>
      </c>
      <c r="AW14">
        <f t="shared" si="9"/>
        <v>-3.8155714752000004E-2</v>
      </c>
      <c r="AX14" s="9"/>
      <c r="AY14" s="22">
        <v>-7.9803499999999999E-2</v>
      </c>
      <c r="AZ14" s="22">
        <v>251.52099999999999</v>
      </c>
      <c r="BA14" s="22">
        <v>-6.3324000000000002E-3</v>
      </c>
      <c r="BB14" s="22">
        <v>4</v>
      </c>
      <c r="BC14" s="22">
        <v>-6.6345199999999993E-2</v>
      </c>
      <c r="BD14">
        <f t="shared" si="10"/>
        <v>6.3323999999999998</v>
      </c>
      <c r="BE14">
        <f t="shared" si="11"/>
        <v>-0.50534768340000003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7.134838508290911E-2</v>
      </c>
      <c r="B15" s="19">
        <f>IFERROR(AV9,0)</f>
        <v>9.6025710228782434E-3</v>
      </c>
      <c r="C15" s="20">
        <f>IFERROR(AV4,0)</f>
        <v>5.2946308293957989</v>
      </c>
      <c r="D15" s="21">
        <f>IFERROR(AV2,0)</f>
        <v>3.6274994873999999E-3</v>
      </c>
      <c r="E15" s="21">
        <f>IFERROR(AS9,0)</f>
        <v>99.970011463278553</v>
      </c>
      <c r="F15" s="9"/>
      <c r="G15" s="22">
        <v>1.81488</v>
      </c>
      <c r="H15" s="22">
        <v>37.249299999999998</v>
      </c>
      <c r="I15" s="22">
        <v>3.7411499999999999E-3</v>
      </c>
      <c r="J15" s="22">
        <v>5</v>
      </c>
      <c r="K15" s="22">
        <v>1.81366</v>
      </c>
      <c r="L15">
        <f t="shared" si="0"/>
        <v>-3.7411499999999998</v>
      </c>
      <c r="M15">
        <f t="shared" si="1"/>
        <v>-6.7897383119999999</v>
      </c>
      <c r="N15" s="9"/>
      <c r="O15" s="22">
        <v>-7.4768100000000004E-2</v>
      </c>
      <c r="P15" s="22">
        <v>86.687700000000007</v>
      </c>
      <c r="Q15" s="22">
        <v>-1.7102099999999999E-2</v>
      </c>
      <c r="R15" s="22">
        <v>5</v>
      </c>
      <c r="S15" s="22">
        <v>-7.5408900000000001E-2</v>
      </c>
      <c r="T15">
        <f t="shared" si="2"/>
        <v>17.1021</v>
      </c>
      <c r="U15">
        <f t="shared" si="3"/>
        <v>-1.27869152301</v>
      </c>
      <c r="V15" s="23"/>
      <c r="W15" s="24"/>
      <c r="X15" s="9"/>
      <c r="Y15" s="22">
        <v>1.81488</v>
      </c>
      <c r="Z15" s="22">
        <v>136.233</v>
      </c>
      <c r="AA15" s="22">
        <v>3.3865399999999997E-2</v>
      </c>
      <c r="AB15" s="22">
        <v>5</v>
      </c>
      <c r="AC15" s="22">
        <v>1.81427</v>
      </c>
      <c r="AD15">
        <f t="shared" si="4"/>
        <v>-33.865399999999994</v>
      </c>
      <c r="AE15">
        <f t="shared" si="5"/>
        <v>-61.461637151999987</v>
      </c>
      <c r="AF15" s="9"/>
      <c r="AG15" s="22">
        <v>-7.4768100000000004E-2</v>
      </c>
      <c r="AH15" s="22">
        <v>185.84800000000001</v>
      </c>
      <c r="AI15" s="22">
        <v>-1.7114299999999999E-2</v>
      </c>
      <c r="AJ15" s="22">
        <v>5</v>
      </c>
      <c r="AK15" s="22">
        <v>-7.5408900000000001E-2</v>
      </c>
      <c r="AL15">
        <f t="shared" si="6"/>
        <v>17.1143</v>
      </c>
      <c r="AM15">
        <f t="shared" si="7"/>
        <v>-1.2796036938300002</v>
      </c>
      <c r="AP15" s="9"/>
      <c r="AQ15" s="22">
        <v>1.81488</v>
      </c>
      <c r="AR15" s="22">
        <v>235.471</v>
      </c>
      <c r="AS15" s="25">
        <v>1.9622800000000001E-5</v>
      </c>
      <c r="AT15" s="22">
        <v>5</v>
      </c>
      <c r="AU15" s="22">
        <v>8.0474900000000002E-2</v>
      </c>
      <c r="AV15">
        <f t="shared" si="8"/>
        <v>-1.9622800000000003E-2</v>
      </c>
      <c r="AW15">
        <f t="shared" si="9"/>
        <v>-3.5613027264000008E-2</v>
      </c>
      <c r="AX15" s="9"/>
      <c r="AY15" s="22">
        <v>-7.4768100000000004E-2</v>
      </c>
      <c r="AZ15" s="22">
        <v>251.53100000000001</v>
      </c>
      <c r="BA15" s="22">
        <v>-6.2011699999999998E-3</v>
      </c>
      <c r="BB15" s="22">
        <v>5</v>
      </c>
      <c r="BC15" s="22">
        <v>-6.5551799999999993E-2</v>
      </c>
      <c r="BD15">
        <f t="shared" si="10"/>
        <v>6.2011699999999994</v>
      </c>
      <c r="BE15">
        <f t="shared" si="11"/>
        <v>-0.46364969867699996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1.7732303308519215</v>
      </c>
      <c r="B16" s="19">
        <f>IFERROR(BD9,0)</f>
        <v>4.2368332852077231</v>
      </c>
      <c r="C16" s="20">
        <f>IFERROR(BD4,0)</f>
        <v>1.6100729663825002</v>
      </c>
      <c r="D16" s="21">
        <f>IFERROR(BD2,0)</f>
        <v>12.096287061599996</v>
      </c>
      <c r="E16" s="21"/>
      <c r="F16" s="9"/>
      <c r="G16" s="22">
        <v>1.8098399999999999</v>
      </c>
      <c r="H16" s="22">
        <v>37.259300000000003</v>
      </c>
      <c r="I16" s="22">
        <v>1.4465299999999999E-3</v>
      </c>
      <c r="J16" s="22">
        <v>6</v>
      </c>
      <c r="K16" s="22">
        <v>1.80786</v>
      </c>
      <c r="L16">
        <f t="shared" si="0"/>
        <v>-1.4465299999999999</v>
      </c>
      <c r="M16">
        <f t="shared" si="1"/>
        <v>-2.6179878551999995</v>
      </c>
      <c r="N16" s="9"/>
      <c r="O16" s="22">
        <v>-6.9732699999999995E-2</v>
      </c>
      <c r="P16" s="22">
        <v>86.697800000000001</v>
      </c>
      <c r="Q16" s="22">
        <v>-1.7095900000000001E-2</v>
      </c>
      <c r="R16" s="22">
        <v>6</v>
      </c>
      <c r="S16" s="22">
        <v>-7.0465100000000003E-2</v>
      </c>
      <c r="T16">
        <f t="shared" si="2"/>
        <v>17.0959</v>
      </c>
      <c r="U16">
        <f t="shared" si="3"/>
        <v>-1.19214326593</v>
      </c>
      <c r="V16" s="23"/>
      <c r="W16" s="24"/>
      <c r="X16" s="9"/>
      <c r="Y16" s="22">
        <v>1.8098399999999999</v>
      </c>
      <c r="Z16" s="22">
        <v>136.24299999999999</v>
      </c>
      <c r="AA16" s="22">
        <v>2.6611300000000001E-2</v>
      </c>
      <c r="AB16" s="22">
        <v>6</v>
      </c>
      <c r="AC16" s="22">
        <v>1.80908</v>
      </c>
      <c r="AD16">
        <f t="shared" si="4"/>
        <v>-26.6113</v>
      </c>
      <c r="AE16">
        <f t="shared" si="5"/>
        <v>-48.162195191999999</v>
      </c>
      <c r="AF16" s="9"/>
      <c r="AG16" s="22">
        <v>-6.9732699999999995E-2</v>
      </c>
      <c r="AH16" s="22">
        <v>185.858</v>
      </c>
      <c r="AI16" s="22">
        <v>-1.71112E-2</v>
      </c>
      <c r="AJ16" s="22">
        <v>6</v>
      </c>
      <c r="AK16" s="22">
        <v>-7.0404099999999997E-2</v>
      </c>
      <c r="AL16">
        <f t="shared" si="6"/>
        <v>17.1112</v>
      </c>
      <c r="AM16">
        <f t="shared" si="7"/>
        <v>-1.19321017624</v>
      </c>
      <c r="AP16" s="9"/>
      <c r="AQ16" s="22">
        <v>1.8098399999999999</v>
      </c>
      <c r="AR16" s="22">
        <v>235.48099999999999</v>
      </c>
      <c r="AS16" s="25">
        <v>1.9592299999999999E-5</v>
      </c>
      <c r="AT16" s="22">
        <v>6</v>
      </c>
      <c r="AU16" s="22">
        <v>8.0383300000000005E-2</v>
      </c>
      <c r="AV16">
        <f t="shared" si="8"/>
        <v>-1.95923E-2</v>
      </c>
      <c r="AW16">
        <f t="shared" si="9"/>
        <v>-3.5458928231999996E-2</v>
      </c>
      <c r="AX16" s="9"/>
      <c r="AY16" s="22">
        <v>-6.9732699999999995E-2</v>
      </c>
      <c r="AZ16" s="22">
        <v>251.541</v>
      </c>
      <c r="BA16" s="22">
        <v>-6.2011699999999998E-3</v>
      </c>
      <c r="BB16" s="22">
        <v>6</v>
      </c>
      <c r="BC16" s="22">
        <v>-6.4666699999999994E-2</v>
      </c>
      <c r="BD16">
        <f t="shared" si="10"/>
        <v>6.2011699999999994</v>
      </c>
      <c r="BE16">
        <f t="shared" si="11"/>
        <v>-0.43242432725899993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1.80481</v>
      </c>
      <c r="H17" s="22">
        <v>37.269399999999997</v>
      </c>
      <c r="I17" s="22">
        <v>-4.6542399999999998E-4</v>
      </c>
      <c r="J17" s="22">
        <v>7</v>
      </c>
      <c r="K17" s="22">
        <v>1.80359</v>
      </c>
      <c r="L17">
        <f t="shared" si="0"/>
        <v>0.465424</v>
      </c>
      <c r="M17">
        <f t="shared" si="1"/>
        <v>0.84000188943999998</v>
      </c>
      <c r="N17" s="9"/>
      <c r="O17" s="22">
        <v>-6.4697299999999999E-2</v>
      </c>
      <c r="P17" s="22">
        <v>86.707800000000006</v>
      </c>
      <c r="Q17" s="22">
        <v>-1.7095900000000001E-2</v>
      </c>
      <c r="R17" s="22">
        <v>7</v>
      </c>
      <c r="S17" s="22">
        <v>-6.5246600000000002E-2</v>
      </c>
      <c r="T17">
        <f t="shared" si="2"/>
        <v>17.0959</v>
      </c>
      <c r="U17">
        <f t="shared" si="3"/>
        <v>-1.1060585710699999</v>
      </c>
      <c r="V17" s="23"/>
      <c r="W17" s="24"/>
      <c r="X17" s="9"/>
      <c r="Y17" s="22">
        <v>1.80481</v>
      </c>
      <c r="Z17" s="22">
        <v>136.25299999999999</v>
      </c>
      <c r="AA17" s="22">
        <v>1.94977E-2</v>
      </c>
      <c r="AB17" s="22">
        <v>7</v>
      </c>
      <c r="AC17" s="22">
        <v>1.8045</v>
      </c>
      <c r="AD17">
        <f t="shared" si="4"/>
        <v>-19.497699999999998</v>
      </c>
      <c r="AE17">
        <f t="shared" si="5"/>
        <v>-35.189643937</v>
      </c>
      <c r="AF17" s="9"/>
      <c r="AG17" s="22">
        <v>-6.4697299999999999E-2</v>
      </c>
      <c r="AH17" s="22">
        <v>185.86799999999999</v>
      </c>
      <c r="AI17" s="22">
        <v>-1.7105100000000002E-2</v>
      </c>
      <c r="AJ17" s="22">
        <v>7</v>
      </c>
      <c r="AK17" s="22">
        <v>-6.5368700000000002E-2</v>
      </c>
      <c r="AL17">
        <f t="shared" si="6"/>
        <v>17.1051</v>
      </c>
      <c r="AM17">
        <f t="shared" si="7"/>
        <v>-1.1066537862300001</v>
      </c>
      <c r="AP17" s="9"/>
      <c r="AQ17" s="22">
        <v>1.80481</v>
      </c>
      <c r="AR17" s="22">
        <v>235.49100000000001</v>
      </c>
      <c r="AS17" s="25">
        <v>2.0233200000000001E-5</v>
      </c>
      <c r="AT17" s="22">
        <v>7</v>
      </c>
      <c r="AU17" s="22">
        <v>8.0413799999999994E-2</v>
      </c>
      <c r="AV17">
        <f t="shared" si="8"/>
        <v>-2.02332E-2</v>
      </c>
      <c r="AW17">
        <f t="shared" si="9"/>
        <v>-3.6517081691999999E-2</v>
      </c>
      <c r="AX17" s="9"/>
      <c r="AY17" s="22">
        <v>-6.4697299999999999E-2</v>
      </c>
      <c r="AZ17" s="22">
        <v>251.55099999999999</v>
      </c>
      <c r="BA17" s="22">
        <v>-6.09131E-3</v>
      </c>
      <c r="BB17" s="22">
        <v>7</v>
      </c>
      <c r="BC17" s="22">
        <v>-6.2439000000000001E-2</v>
      </c>
      <c r="BD17">
        <f t="shared" si="10"/>
        <v>6.09131</v>
      </c>
      <c r="BE17">
        <f t="shared" si="11"/>
        <v>-0.394091310463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1.7997700000000001</v>
      </c>
      <c r="H18" s="22">
        <v>37.279499999999999</v>
      </c>
      <c r="I18" s="22">
        <v>-2.0062299999999999E-3</v>
      </c>
      <c r="J18" s="22">
        <v>8</v>
      </c>
      <c r="K18" s="22">
        <v>1.79871</v>
      </c>
      <c r="L18">
        <f t="shared" si="0"/>
        <v>2.00623</v>
      </c>
      <c r="M18">
        <f t="shared" si="1"/>
        <v>3.6107525671</v>
      </c>
      <c r="N18" s="9"/>
      <c r="O18" s="22">
        <v>-5.9661899999999997E-2</v>
      </c>
      <c r="P18" s="22">
        <v>86.7179</v>
      </c>
      <c r="Q18" s="22">
        <v>-1.7092900000000001E-2</v>
      </c>
      <c r="R18" s="22">
        <v>8</v>
      </c>
      <c r="S18" s="22">
        <v>-6.0363800000000002E-2</v>
      </c>
      <c r="T18">
        <f t="shared" si="2"/>
        <v>17.0929</v>
      </c>
      <c r="U18">
        <f t="shared" si="3"/>
        <v>-1.0197948905100001</v>
      </c>
      <c r="V18" s="23"/>
      <c r="W18" s="24"/>
      <c r="X18" s="9"/>
      <c r="Y18" s="22">
        <v>1.7997700000000001</v>
      </c>
      <c r="Z18" s="22">
        <v>136.26300000000001</v>
      </c>
      <c r="AA18" s="22">
        <v>1.3125599999999999E-2</v>
      </c>
      <c r="AB18" s="22">
        <v>8</v>
      </c>
      <c r="AC18" s="22">
        <v>1.79871</v>
      </c>
      <c r="AD18">
        <f t="shared" si="4"/>
        <v>-13.125599999999999</v>
      </c>
      <c r="AE18">
        <f t="shared" si="5"/>
        <v>-23.623061111999998</v>
      </c>
      <c r="AF18" s="9"/>
      <c r="AG18" s="22">
        <v>-5.9661899999999997E-2</v>
      </c>
      <c r="AH18" s="22">
        <v>185.87799999999999</v>
      </c>
      <c r="AI18" s="22">
        <v>-1.7102099999999999E-2</v>
      </c>
      <c r="AJ18" s="22">
        <v>8</v>
      </c>
      <c r="AK18" s="22">
        <v>-6.0394299999999998E-2</v>
      </c>
      <c r="AL18">
        <f t="shared" si="6"/>
        <v>17.1021</v>
      </c>
      <c r="AM18">
        <f t="shared" si="7"/>
        <v>-1.0203437799899999</v>
      </c>
      <c r="AP18" s="9"/>
      <c r="AQ18" s="22">
        <v>1.7997700000000001</v>
      </c>
      <c r="AR18" s="22">
        <v>235.501</v>
      </c>
      <c r="AS18" s="25">
        <v>1.7791700000000001E-5</v>
      </c>
      <c r="AT18" s="22">
        <v>8</v>
      </c>
      <c r="AU18" s="22">
        <v>8.0322299999999999E-2</v>
      </c>
      <c r="AV18">
        <f t="shared" si="8"/>
        <v>-1.7791700000000001E-2</v>
      </c>
      <c r="AW18">
        <f t="shared" si="9"/>
        <v>-3.2020967909000005E-2</v>
      </c>
      <c r="AX18" s="9"/>
      <c r="AY18" s="22">
        <v>-5.9661899999999997E-2</v>
      </c>
      <c r="AZ18" s="22">
        <v>251.56100000000001</v>
      </c>
      <c r="BA18" s="22">
        <v>-6.3110400000000004E-3</v>
      </c>
      <c r="BB18" s="22">
        <v>8</v>
      </c>
      <c r="BC18" s="22">
        <v>-5.8685300000000003E-2</v>
      </c>
      <c r="BD18">
        <f t="shared" si="10"/>
        <v>6.3110400000000002</v>
      </c>
      <c r="BE18">
        <f t="shared" si="11"/>
        <v>-0.37652863737600001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1.79474</v>
      </c>
      <c r="H19" s="22">
        <v>37.2896</v>
      </c>
      <c r="I19" s="22">
        <v>-3.28613E-3</v>
      </c>
      <c r="J19" s="22">
        <v>9</v>
      </c>
      <c r="K19" s="22">
        <v>1.79382</v>
      </c>
      <c r="L19">
        <f t="shared" si="0"/>
        <v>3.28613</v>
      </c>
      <c r="M19">
        <f t="shared" si="1"/>
        <v>5.8977489562000001</v>
      </c>
      <c r="N19" s="9"/>
      <c r="O19" s="22">
        <v>-5.4626500000000001E-2</v>
      </c>
      <c r="P19" s="22">
        <v>86.727999999999994</v>
      </c>
      <c r="Q19" s="22">
        <v>-1.7092900000000001E-2</v>
      </c>
      <c r="R19" s="22">
        <v>9</v>
      </c>
      <c r="S19" s="22">
        <v>-5.5267299999999998E-2</v>
      </c>
      <c r="T19">
        <f t="shared" si="2"/>
        <v>17.0929</v>
      </c>
      <c r="U19">
        <f t="shared" si="3"/>
        <v>-0.93372530185000002</v>
      </c>
      <c r="V19" s="23"/>
      <c r="W19" s="24"/>
      <c r="X19" s="9"/>
      <c r="Y19" s="22">
        <v>1.79474</v>
      </c>
      <c r="Z19" s="22">
        <v>136.273</v>
      </c>
      <c r="AA19" s="22">
        <v>7.5683599999999997E-3</v>
      </c>
      <c r="AB19" s="22">
        <v>9</v>
      </c>
      <c r="AC19" s="22">
        <v>1.79413</v>
      </c>
      <c r="AD19">
        <f t="shared" si="4"/>
        <v>-7.5683599999999993</v>
      </c>
      <c r="AE19">
        <f t="shared" si="5"/>
        <v>-13.583238426399999</v>
      </c>
      <c r="AF19" s="9"/>
      <c r="AG19" s="22">
        <v>-5.4626500000000001E-2</v>
      </c>
      <c r="AH19" s="22">
        <v>185.88800000000001</v>
      </c>
      <c r="AI19" s="22">
        <v>-1.7102099999999999E-2</v>
      </c>
      <c r="AJ19" s="22">
        <v>9</v>
      </c>
      <c r="AK19" s="22">
        <v>-5.5236800000000003E-2</v>
      </c>
      <c r="AL19">
        <f t="shared" si="6"/>
        <v>17.1021</v>
      </c>
      <c r="AM19">
        <f t="shared" si="7"/>
        <v>-0.93422786565000004</v>
      </c>
      <c r="AP19" s="9"/>
      <c r="AQ19" s="22">
        <v>1.79474</v>
      </c>
      <c r="AR19" s="22">
        <v>235.511</v>
      </c>
      <c r="AS19" s="25">
        <v>1.7639199999999999E-5</v>
      </c>
      <c r="AT19" s="22">
        <v>9</v>
      </c>
      <c r="AU19" s="22">
        <v>8.0291699999999994E-2</v>
      </c>
      <c r="AV19">
        <f t="shared" si="8"/>
        <v>-1.7639199999999997E-2</v>
      </c>
      <c r="AW19">
        <f t="shared" si="9"/>
        <v>-3.1657777807999998E-2</v>
      </c>
      <c r="AX19" s="9"/>
      <c r="AY19" s="22">
        <v>-5.4626500000000001E-2</v>
      </c>
      <c r="AZ19" s="22">
        <v>251.571</v>
      </c>
      <c r="BA19" s="22">
        <v>-6.3781699999999998E-3</v>
      </c>
      <c r="BB19" s="22">
        <v>9</v>
      </c>
      <c r="BC19" s="22">
        <v>-5.3772E-2</v>
      </c>
      <c r="BD19">
        <f t="shared" si="10"/>
        <v>6.3781699999999999</v>
      </c>
      <c r="BE19">
        <f t="shared" si="11"/>
        <v>-0.34841710350499999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1.7897000000000001</v>
      </c>
      <c r="H20" s="22">
        <v>37.299599999999998</v>
      </c>
      <c r="I20" s="22">
        <v>-4.3966700000000001E-3</v>
      </c>
      <c r="J20" s="22">
        <v>10</v>
      </c>
      <c r="K20" s="22">
        <v>1.78894</v>
      </c>
      <c r="L20">
        <f t="shared" si="0"/>
        <v>4.3966700000000003</v>
      </c>
      <c r="M20">
        <f t="shared" si="1"/>
        <v>7.8687202990000005</v>
      </c>
      <c r="N20" s="9"/>
      <c r="O20" s="22">
        <v>-4.9591099999999999E-2</v>
      </c>
      <c r="P20" s="22">
        <v>86.738100000000003</v>
      </c>
      <c r="Q20" s="22">
        <v>-1.7092900000000001E-2</v>
      </c>
      <c r="R20" s="22">
        <v>10</v>
      </c>
      <c r="S20" s="22">
        <v>-5.0354000000000003E-2</v>
      </c>
      <c r="T20">
        <f t="shared" si="2"/>
        <v>17.0929</v>
      </c>
      <c r="U20">
        <f t="shared" si="3"/>
        <v>-0.84765571318999999</v>
      </c>
      <c r="V20" s="23"/>
      <c r="W20" s="24"/>
      <c r="X20" s="9"/>
      <c r="Y20" s="22">
        <v>1.7897000000000001</v>
      </c>
      <c r="Z20" s="22">
        <v>136.28399999999999</v>
      </c>
      <c r="AA20" s="22">
        <v>2.4118E-3</v>
      </c>
      <c r="AB20" s="22">
        <v>10</v>
      </c>
      <c r="AC20" s="22">
        <v>1.78925</v>
      </c>
      <c r="AD20">
        <f t="shared" si="4"/>
        <v>-2.4117999999999999</v>
      </c>
      <c r="AE20">
        <f t="shared" si="5"/>
        <v>-4.3163984600000003</v>
      </c>
      <c r="AF20" s="9"/>
      <c r="AG20" s="22">
        <v>-4.9591099999999999E-2</v>
      </c>
      <c r="AH20" s="22">
        <v>185.898</v>
      </c>
      <c r="AI20" s="22">
        <v>-1.7102099999999999E-2</v>
      </c>
      <c r="AJ20" s="22">
        <v>10</v>
      </c>
      <c r="AK20" s="22">
        <v>-5.0231900000000003E-2</v>
      </c>
      <c r="AL20">
        <f t="shared" si="6"/>
        <v>17.1021</v>
      </c>
      <c r="AM20">
        <f t="shared" si="7"/>
        <v>-0.84811195130999995</v>
      </c>
      <c r="AP20" s="9"/>
      <c r="AQ20" s="22">
        <v>1.7897000000000001</v>
      </c>
      <c r="AR20" s="22">
        <v>235.52099999999999</v>
      </c>
      <c r="AS20" s="25">
        <v>1.7669700000000001E-5</v>
      </c>
      <c r="AT20" s="22">
        <v>10</v>
      </c>
      <c r="AU20" s="22">
        <v>8.0261200000000005E-2</v>
      </c>
      <c r="AV20">
        <f t="shared" si="8"/>
        <v>-1.76697E-2</v>
      </c>
      <c r="AW20">
        <f t="shared" si="9"/>
        <v>-3.1623462089999999E-2</v>
      </c>
      <c r="AX20" s="9"/>
      <c r="AY20" s="22">
        <v>-4.9591099999999999E-2</v>
      </c>
      <c r="AZ20" s="22">
        <v>251.58099999999999</v>
      </c>
      <c r="BA20" s="22">
        <v>-6.1920200000000003E-3</v>
      </c>
      <c r="BB20" s="22">
        <v>10</v>
      </c>
      <c r="BC20" s="22">
        <v>-4.8712199999999997E-2</v>
      </c>
      <c r="BD20">
        <f t="shared" si="10"/>
        <v>6.1920200000000003</v>
      </c>
      <c r="BE20">
        <f t="shared" si="11"/>
        <v>-0.30706908302200003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1.78467</v>
      </c>
      <c r="H21" s="22">
        <v>37.309699999999999</v>
      </c>
      <c r="I21" s="22">
        <v>-5.3436300000000003E-3</v>
      </c>
      <c r="J21" s="22">
        <v>11</v>
      </c>
      <c r="K21" s="22">
        <v>1.7837499999999999</v>
      </c>
      <c r="L21">
        <f t="shared" si="0"/>
        <v>5.3436300000000001</v>
      </c>
      <c r="M21">
        <f t="shared" si="1"/>
        <v>9.5366161521000006</v>
      </c>
      <c r="N21" s="9"/>
      <c r="O21" s="22">
        <v>-4.4555699999999997E-2</v>
      </c>
      <c r="P21" s="22">
        <v>86.748099999999994</v>
      </c>
      <c r="Q21" s="22">
        <v>-1.7089799999999999E-2</v>
      </c>
      <c r="R21" s="22">
        <v>11</v>
      </c>
      <c r="S21" s="22">
        <v>-4.5031700000000001E-2</v>
      </c>
      <c r="T21">
        <f t="shared" si="2"/>
        <v>17.0898</v>
      </c>
      <c r="U21">
        <f t="shared" si="3"/>
        <v>-0.76144800185999995</v>
      </c>
      <c r="V21" s="23"/>
      <c r="W21" s="24"/>
      <c r="X21" s="9"/>
      <c r="Y21" s="22">
        <v>1.78467</v>
      </c>
      <c r="Z21" s="22">
        <v>136.29400000000001</v>
      </c>
      <c r="AA21" s="22">
        <v>-1.2161299999999999E-3</v>
      </c>
      <c r="AB21" s="22">
        <v>11</v>
      </c>
      <c r="AC21" s="22">
        <v>1.7837499999999999</v>
      </c>
      <c r="AD21">
        <f t="shared" si="4"/>
        <v>1.2161299999999999</v>
      </c>
      <c r="AE21">
        <f t="shared" si="5"/>
        <v>2.1703907271</v>
      </c>
      <c r="AF21" s="9"/>
      <c r="AG21" s="22">
        <v>-4.4555699999999997E-2</v>
      </c>
      <c r="AH21" s="22">
        <v>185.90799999999999</v>
      </c>
      <c r="AI21" s="22">
        <v>-1.7099E-2</v>
      </c>
      <c r="AJ21" s="22">
        <v>11</v>
      </c>
      <c r="AK21" s="22">
        <v>-4.5074500000000003E-2</v>
      </c>
      <c r="AL21">
        <f t="shared" si="6"/>
        <v>17.099</v>
      </c>
      <c r="AM21">
        <f t="shared" si="7"/>
        <v>-0.76185791429999994</v>
      </c>
      <c r="AP21" s="9"/>
      <c r="AQ21" s="22">
        <v>1.78467</v>
      </c>
      <c r="AR21" s="22">
        <v>235.53100000000001</v>
      </c>
      <c r="AS21" s="25">
        <v>1.98975E-5</v>
      </c>
      <c r="AT21" s="22">
        <v>11</v>
      </c>
      <c r="AU21" s="22">
        <v>8.0200199999999999E-2</v>
      </c>
      <c r="AV21">
        <f t="shared" si="8"/>
        <v>-1.9897500000000002E-2</v>
      </c>
      <c r="AW21">
        <f t="shared" si="9"/>
        <v>-3.5510471325000001E-2</v>
      </c>
      <c r="AX21" s="9"/>
      <c r="AY21" s="22">
        <v>-4.4555699999999997E-2</v>
      </c>
      <c r="AZ21" s="22">
        <v>251.59100000000001</v>
      </c>
      <c r="BA21" s="22">
        <v>-5.9814500000000001E-3</v>
      </c>
      <c r="BB21" s="22">
        <v>11</v>
      </c>
      <c r="BC21" s="22">
        <v>-4.3994100000000001E-2</v>
      </c>
      <c r="BD21">
        <f t="shared" si="10"/>
        <v>5.9814499999999997</v>
      </c>
      <c r="BE21">
        <f t="shared" si="11"/>
        <v>-0.26650769176499994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1.77963</v>
      </c>
      <c r="H22" s="22">
        <v>37.319800000000001</v>
      </c>
      <c r="I22" s="22">
        <v>-6.2652599999999999E-3</v>
      </c>
      <c r="J22" s="22">
        <v>12</v>
      </c>
      <c r="K22" s="22">
        <v>1.7791699999999999</v>
      </c>
      <c r="L22">
        <f t="shared" si="0"/>
        <v>6.2652599999999996</v>
      </c>
      <c r="M22">
        <f t="shared" si="1"/>
        <v>11.149844653799999</v>
      </c>
      <c r="N22" s="9"/>
      <c r="O22" s="22">
        <v>-3.9520300000000001E-2</v>
      </c>
      <c r="P22" s="22">
        <v>86.758200000000002</v>
      </c>
      <c r="Q22" s="22">
        <v>-1.7086799999999999E-2</v>
      </c>
      <c r="R22" s="22">
        <v>12</v>
      </c>
      <c r="S22" s="22">
        <v>-4.0005499999999999E-2</v>
      </c>
      <c r="T22">
        <f t="shared" si="2"/>
        <v>17.0868</v>
      </c>
      <c r="U22">
        <f t="shared" si="3"/>
        <v>-0.67527546204</v>
      </c>
      <c r="V22" s="23"/>
      <c r="W22" s="24"/>
      <c r="X22" s="9"/>
      <c r="Y22" s="22">
        <v>1.77963</v>
      </c>
      <c r="Z22" s="22">
        <v>136.304</v>
      </c>
      <c r="AA22" s="22">
        <v>-3.47687E-3</v>
      </c>
      <c r="AB22" s="22">
        <v>12</v>
      </c>
      <c r="AC22" s="22">
        <v>1.77887</v>
      </c>
      <c r="AD22">
        <f t="shared" si="4"/>
        <v>3.4768699999999999</v>
      </c>
      <c r="AE22">
        <f t="shared" si="5"/>
        <v>6.1875421581000003</v>
      </c>
      <c r="AF22" s="9"/>
      <c r="AG22" s="22">
        <v>-3.9520300000000001E-2</v>
      </c>
      <c r="AH22" s="22">
        <v>185.91800000000001</v>
      </c>
      <c r="AI22" s="22">
        <v>-1.7095900000000001E-2</v>
      </c>
      <c r="AJ22" s="22">
        <v>12</v>
      </c>
      <c r="AK22" s="22">
        <v>-3.9917000000000001E-2</v>
      </c>
      <c r="AL22">
        <f t="shared" si="6"/>
        <v>17.0959</v>
      </c>
      <c r="AM22">
        <f t="shared" si="7"/>
        <v>-0.67563509677</v>
      </c>
      <c r="AP22" s="9"/>
      <c r="AQ22" s="22">
        <v>1.77963</v>
      </c>
      <c r="AR22" s="22">
        <v>235.542</v>
      </c>
      <c r="AS22" s="25">
        <v>2.02942E-5</v>
      </c>
      <c r="AT22" s="22">
        <v>12</v>
      </c>
      <c r="AU22" s="22">
        <v>8.0261200000000005E-2</v>
      </c>
      <c r="AV22">
        <f t="shared" si="8"/>
        <v>-2.0294199999999998E-2</v>
      </c>
      <c r="AW22">
        <f t="shared" si="9"/>
        <v>-3.6116167146000001E-2</v>
      </c>
      <c r="AX22" s="9"/>
      <c r="AY22" s="22">
        <v>-3.9520300000000001E-2</v>
      </c>
      <c r="AZ22" s="22">
        <v>251.601</v>
      </c>
      <c r="BA22" s="22">
        <v>-5.9326200000000004E-3</v>
      </c>
      <c r="BB22" s="22">
        <v>12</v>
      </c>
      <c r="BC22" s="22">
        <v>-3.8894699999999997E-2</v>
      </c>
      <c r="BD22">
        <f t="shared" si="10"/>
        <v>5.93262</v>
      </c>
      <c r="BE22">
        <f t="shared" si="11"/>
        <v>-0.23445892218600001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1.7746</v>
      </c>
      <c r="H23" s="22">
        <v>37.329799999999999</v>
      </c>
      <c r="I23" s="22">
        <v>-7.0037800000000002E-3</v>
      </c>
      <c r="J23" s="22">
        <v>13</v>
      </c>
      <c r="K23" s="22">
        <v>1.77338</v>
      </c>
      <c r="L23">
        <f t="shared" si="0"/>
        <v>7.0037799999999999</v>
      </c>
      <c r="M23">
        <f t="shared" si="1"/>
        <v>12.428907987999999</v>
      </c>
      <c r="N23" s="9"/>
      <c r="O23" s="22">
        <v>-3.4484899999999999E-2</v>
      </c>
      <c r="P23" s="22">
        <v>86.768299999999996</v>
      </c>
      <c r="Q23" s="22">
        <v>-1.7080700000000001E-2</v>
      </c>
      <c r="R23" s="22">
        <v>13</v>
      </c>
      <c r="S23" s="22">
        <v>-3.48633E-2</v>
      </c>
      <c r="T23">
        <f t="shared" si="2"/>
        <v>17.0807</v>
      </c>
      <c r="U23">
        <f t="shared" si="3"/>
        <v>-0.58902623142999999</v>
      </c>
      <c r="V23" s="23"/>
      <c r="W23" s="24"/>
      <c r="X23" s="9"/>
      <c r="Y23" s="22">
        <v>1.7746</v>
      </c>
      <c r="Z23" s="22">
        <v>136.31399999999999</v>
      </c>
      <c r="AA23" s="22">
        <v>-5.1086400000000002E-3</v>
      </c>
      <c r="AB23" s="22">
        <v>13</v>
      </c>
      <c r="AC23" s="22">
        <v>1.7736799999999999</v>
      </c>
      <c r="AD23">
        <f t="shared" si="4"/>
        <v>5.1086400000000003</v>
      </c>
      <c r="AE23">
        <f t="shared" si="5"/>
        <v>9.0657925440000007</v>
      </c>
      <c r="AF23" s="9"/>
      <c r="AG23" s="22">
        <v>-3.4484899999999999E-2</v>
      </c>
      <c r="AH23" s="22">
        <v>185.928</v>
      </c>
      <c r="AI23" s="22">
        <v>-1.7092900000000001E-2</v>
      </c>
      <c r="AJ23" s="22">
        <v>13</v>
      </c>
      <c r="AK23" s="22">
        <v>-3.4976199999999999E-2</v>
      </c>
      <c r="AL23">
        <f t="shared" si="6"/>
        <v>17.0929</v>
      </c>
      <c r="AM23">
        <f t="shared" si="7"/>
        <v>-0.58944694721000002</v>
      </c>
      <c r="AP23" s="9"/>
      <c r="AQ23" s="22">
        <v>1.7746</v>
      </c>
      <c r="AR23" s="22">
        <v>235.55199999999999</v>
      </c>
      <c r="AS23" s="25">
        <v>1.9103999999999999E-5</v>
      </c>
      <c r="AT23" s="22">
        <v>13</v>
      </c>
      <c r="AU23" s="22">
        <v>8.0200199999999999E-2</v>
      </c>
      <c r="AV23">
        <f t="shared" si="8"/>
        <v>-1.9103999999999999E-2</v>
      </c>
      <c r="AW23">
        <f t="shared" si="9"/>
        <v>-3.3901958400000001E-2</v>
      </c>
      <c r="AX23" s="9"/>
      <c r="AY23" s="22">
        <v>-3.4484899999999999E-2</v>
      </c>
      <c r="AZ23" s="22">
        <v>251.61099999999999</v>
      </c>
      <c r="BA23" s="22">
        <v>-5.56946E-3</v>
      </c>
      <c r="BB23" s="22">
        <v>13</v>
      </c>
      <c r="BC23" s="22">
        <v>-3.4112499999999997E-2</v>
      </c>
      <c r="BD23">
        <f t="shared" si="10"/>
        <v>5.5694600000000003</v>
      </c>
      <c r="BE23">
        <f t="shared" si="11"/>
        <v>-0.19206227115400001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1.76956</v>
      </c>
      <c r="H24" s="22">
        <v>37.3399</v>
      </c>
      <c r="I24" s="22">
        <v>-7.6934799999999999E-3</v>
      </c>
      <c r="J24" s="22">
        <v>14</v>
      </c>
      <c r="K24" s="22">
        <v>1.7684899999999999</v>
      </c>
      <c r="L24">
        <f t="shared" si="0"/>
        <v>7.6934800000000001</v>
      </c>
      <c r="M24">
        <f t="shared" si="1"/>
        <v>13.6140744688</v>
      </c>
      <c r="N24" s="9"/>
      <c r="O24" s="22">
        <v>-2.94495E-2</v>
      </c>
      <c r="P24" s="22">
        <v>86.778300000000002</v>
      </c>
      <c r="Q24" s="22">
        <v>-1.7074599999999999E-2</v>
      </c>
      <c r="R24" s="22">
        <v>14</v>
      </c>
      <c r="S24" s="22">
        <v>-2.9962200000000001E-2</v>
      </c>
      <c r="T24">
        <f t="shared" si="2"/>
        <v>17.0746</v>
      </c>
      <c r="U24">
        <f t="shared" si="3"/>
        <v>-0.50283843270000006</v>
      </c>
      <c r="V24" s="23"/>
      <c r="W24" s="24"/>
      <c r="X24" s="9"/>
      <c r="Y24" s="22">
        <v>1.76956</v>
      </c>
      <c r="Z24" s="22">
        <v>136.32400000000001</v>
      </c>
      <c r="AA24" s="22">
        <v>-6.5185499999999997E-3</v>
      </c>
      <c r="AB24" s="22">
        <v>14</v>
      </c>
      <c r="AC24" s="22">
        <v>1.7684899999999999</v>
      </c>
      <c r="AD24">
        <f t="shared" si="4"/>
        <v>6.5185499999999994</v>
      </c>
      <c r="AE24">
        <f t="shared" si="5"/>
        <v>11.534965337999999</v>
      </c>
      <c r="AF24" s="9"/>
      <c r="AG24" s="22">
        <v>-2.94495E-2</v>
      </c>
      <c r="AH24" s="22">
        <v>185.93799999999999</v>
      </c>
      <c r="AI24" s="22">
        <v>-1.7092900000000001E-2</v>
      </c>
      <c r="AJ24" s="22">
        <v>14</v>
      </c>
      <c r="AK24" s="22">
        <v>-2.9895000000000001E-2</v>
      </c>
      <c r="AL24">
        <f t="shared" si="6"/>
        <v>17.0929</v>
      </c>
      <c r="AM24">
        <f t="shared" si="7"/>
        <v>-0.50337735854999999</v>
      </c>
      <c r="AP24" s="9"/>
      <c r="AQ24" s="22">
        <v>1.76956</v>
      </c>
      <c r="AR24" s="22">
        <v>235.56200000000001</v>
      </c>
      <c r="AS24" s="25">
        <v>1.84326E-5</v>
      </c>
      <c r="AT24" s="22">
        <v>14</v>
      </c>
      <c r="AU24" s="22">
        <v>8.0200199999999999E-2</v>
      </c>
      <c r="AV24">
        <f t="shared" si="8"/>
        <v>-1.84326E-2</v>
      </c>
      <c r="AW24">
        <f t="shared" si="9"/>
        <v>-3.2617591655999999E-2</v>
      </c>
      <c r="AX24" s="9"/>
      <c r="AY24" s="22">
        <v>-2.94495E-2</v>
      </c>
      <c r="AZ24" s="22">
        <v>251.62100000000001</v>
      </c>
      <c r="BA24" s="22">
        <v>-5.2825900000000002E-3</v>
      </c>
      <c r="BB24" s="22">
        <v>14</v>
      </c>
      <c r="BC24" s="22">
        <v>-2.9159500000000001E-2</v>
      </c>
      <c r="BD24">
        <f t="shared" si="10"/>
        <v>5.2825899999999999</v>
      </c>
      <c r="BE24">
        <f t="shared" si="11"/>
        <v>-0.155569634205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1.7645299999999999</v>
      </c>
      <c r="H25" s="22">
        <v>37.35</v>
      </c>
      <c r="I25" s="22">
        <v>-8.3129899999999993E-3</v>
      </c>
      <c r="J25" s="22">
        <v>15</v>
      </c>
      <c r="K25" s="22">
        <v>1.7633099999999999</v>
      </c>
      <c r="L25">
        <f t="shared" si="0"/>
        <v>8.3129899999999992</v>
      </c>
      <c r="M25">
        <f t="shared" si="1"/>
        <v>14.668520244699998</v>
      </c>
      <c r="N25" s="9"/>
      <c r="O25" s="22">
        <v>-2.4414100000000001E-2</v>
      </c>
      <c r="P25" s="22">
        <v>86.788399999999996</v>
      </c>
      <c r="Q25" s="22">
        <v>-1.70685E-2</v>
      </c>
      <c r="R25" s="22">
        <v>15</v>
      </c>
      <c r="S25" s="22">
        <v>-2.4902299999999999E-2</v>
      </c>
      <c r="T25">
        <f t="shared" si="2"/>
        <v>17.0685</v>
      </c>
      <c r="U25">
        <f t="shared" si="3"/>
        <v>-0.41671206585000004</v>
      </c>
      <c r="V25" s="23"/>
      <c r="W25" s="24"/>
      <c r="X25" s="9"/>
      <c r="Y25" s="22">
        <v>1.7645299999999999</v>
      </c>
      <c r="Z25" s="22">
        <v>136.334</v>
      </c>
      <c r="AA25" s="22">
        <v>-7.6049799999999999E-3</v>
      </c>
      <c r="AB25" s="22">
        <v>15</v>
      </c>
      <c r="AC25" s="22">
        <v>1.7633099999999999</v>
      </c>
      <c r="AD25">
        <f t="shared" si="4"/>
        <v>7.6049800000000003</v>
      </c>
      <c r="AE25">
        <f t="shared" si="5"/>
        <v>13.419215359400001</v>
      </c>
      <c r="AF25" s="9"/>
      <c r="AG25" s="22">
        <v>-2.4414100000000001E-2</v>
      </c>
      <c r="AH25" s="22">
        <v>185.94800000000001</v>
      </c>
      <c r="AI25" s="22">
        <v>-1.7089799999999999E-2</v>
      </c>
      <c r="AJ25" s="22">
        <v>15</v>
      </c>
      <c r="AK25" s="22">
        <v>-2.4890099999999998E-2</v>
      </c>
      <c r="AL25">
        <f t="shared" si="6"/>
        <v>17.0898</v>
      </c>
      <c r="AM25">
        <f t="shared" si="7"/>
        <v>-0.41723208618000002</v>
      </c>
      <c r="AP25" s="9"/>
      <c r="AQ25" s="22">
        <v>1.7645299999999999</v>
      </c>
      <c r="AR25" s="22">
        <v>235.572</v>
      </c>
      <c r="AS25" s="25">
        <v>2.13928E-5</v>
      </c>
      <c r="AT25" s="22">
        <v>15</v>
      </c>
      <c r="AU25" s="22">
        <v>8.0139199999999994E-2</v>
      </c>
      <c r="AV25">
        <f t="shared" si="8"/>
        <v>-2.13928E-2</v>
      </c>
      <c r="AW25">
        <f t="shared" si="9"/>
        <v>-3.7748237383999995E-2</v>
      </c>
      <c r="AX25" s="9"/>
      <c r="AY25" s="22">
        <v>-2.4414100000000001E-2</v>
      </c>
      <c r="AZ25" s="22">
        <v>251.63200000000001</v>
      </c>
      <c r="BA25" s="22">
        <v>-4.9682600000000004E-3</v>
      </c>
      <c r="BB25" s="22">
        <v>15</v>
      </c>
      <c r="BC25" s="22">
        <v>-2.4224900000000001E-2</v>
      </c>
      <c r="BD25">
        <f t="shared" si="10"/>
        <v>4.9682600000000008</v>
      </c>
      <c r="BE25">
        <f t="shared" si="11"/>
        <v>-0.12129559646600002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1.75949</v>
      </c>
      <c r="H26" s="22">
        <v>37.360100000000003</v>
      </c>
      <c r="I26" s="22">
        <v>-8.8745100000000004E-3</v>
      </c>
      <c r="J26" s="22">
        <v>16</v>
      </c>
      <c r="K26" s="22">
        <v>1.7581199999999999</v>
      </c>
      <c r="L26">
        <f t="shared" si="0"/>
        <v>8.8745100000000008</v>
      </c>
      <c r="M26">
        <f t="shared" si="1"/>
        <v>15.614611599900002</v>
      </c>
      <c r="N26" s="9"/>
      <c r="O26" s="22">
        <v>-1.9378699999999999E-2</v>
      </c>
      <c r="P26" s="22">
        <v>86.798500000000004</v>
      </c>
      <c r="Q26" s="22">
        <v>-1.7065400000000001E-2</v>
      </c>
      <c r="R26" s="22">
        <v>16</v>
      </c>
      <c r="S26" s="22">
        <v>-1.96198E-2</v>
      </c>
      <c r="T26">
        <f t="shared" si="2"/>
        <v>17.0654</v>
      </c>
      <c r="U26">
        <f t="shared" si="3"/>
        <v>-0.33070526697999997</v>
      </c>
      <c r="V26" s="23"/>
      <c r="W26" s="24"/>
      <c r="X26" s="9"/>
      <c r="Y26" s="22">
        <v>1.75949</v>
      </c>
      <c r="Z26" s="22">
        <v>136.34399999999999</v>
      </c>
      <c r="AA26" s="22">
        <v>-8.5510299999999994E-3</v>
      </c>
      <c r="AB26" s="22">
        <v>16</v>
      </c>
      <c r="AC26" s="22">
        <v>1.7581199999999999</v>
      </c>
      <c r="AD26">
        <f t="shared" si="4"/>
        <v>8.551029999999999</v>
      </c>
      <c r="AE26">
        <f t="shared" si="5"/>
        <v>15.045451774699998</v>
      </c>
      <c r="AF26" s="9"/>
      <c r="AG26" s="22">
        <v>-1.9378699999999999E-2</v>
      </c>
      <c r="AH26" s="22">
        <v>185.958</v>
      </c>
      <c r="AI26" s="22">
        <v>-1.7086799999999999E-2</v>
      </c>
      <c r="AJ26" s="22">
        <v>16</v>
      </c>
      <c r="AK26" s="22">
        <v>-1.9793700000000001E-2</v>
      </c>
      <c r="AL26">
        <f t="shared" si="6"/>
        <v>17.0868</v>
      </c>
      <c r="AM26">
        <f t="shared" si="7"/>
        <v>-0.33111997115999997</v>
      </c>
      <c r="AP26" s="9"/>
      <c r="AQ26" s="22">
        <v>1.75949</v>
      </c>
      <c r="AR26" s="22">
        <v>235.58199999999999</v>
      </c>
      <c r="AS26" s="25">
        <v>2.0202599999999999E-5</v>
      </c>
      <c r="AT26" s="22">
        <v>16</v>
      </c>
      <c r="AU26" s="22">
        <v>8.0078099999999999E-2</v>
      </c>
      <c r="AV26">
        <f t="shared" si="8"/>
        <v>-2.0202599999999998E-2</v>
      </c>
      <c r="AW26">
        <f t="shared" si="9"/>
        <v>-3.5546272673999998E-2</v>
      </c>
      <c r="AX26" s="9"/>
      <c r="AY26" s="22">
        <v>-1.9378699999999999E-2</v>
      </c>
      <c r="AZ26" s="22">
        <v>251.642</v>
      </c>
      <c r="BA26" s="22">
        <v>-4.8583999999999997E-3</v>
      </c>
      <c r="BB26" s="22">
        <v>16</v>
      </c>
      <c r="BC26" s="22">
        <v>-1.9229099999999999E-2</v>
      </c>
      <c r="BD26">
        <f t="shared" si="10"/>
        <v>4.8583999999999996</v>
      </c>
      <c r="BE26">
        <f t="shared" si="11"/>
        <v>-9.4149476079999989E-2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1.7544599999999999</v>
      </c>
      <c r="H27" s="22">
        <v>37.370100000000001</v>
      </c>
      <c r="I27" s="22">
        <v>-9.3841600000000008E-3</v>
      </c>
      <c r="J27" s="22">
        <v>17</v>
      </c>
      <c r="K27" s="22">
        <v>1.7529300000000001</v>
      </c>
      <c r="L27">
        <f t="shared" si="0"/>
        <v>9.3841600000000014</v>
      </c>
      <c r="M27">
        <f t="shared" si="1"/>
        <v>16.464133353600001</v>
      </c>
      <c r="N27" s="9"/>
      <c r="O27" s="22">
        <v>-1.43433E-2</v>
      </c>
      <c r="P27" s="22">
        <v>86.808599999999998</v>
      </c>
      <c r="Q27" s="22">
        <v>-1.7065400000000001E-2</v>
      </c>
      <c r="R27" s="22">
        <v>17</v>
      </c>
      <c r="S27" s="22">
        <v>-1.47522E-2</v>
      </c>
      <c r="T27">
        <f t="shared" si="2"/>
        <v>17.0654</v>
      </c>
      <c r="U27">
        <f t="shared" si="3"/>
        <v>-0.24477415182000001</v>
      </c>
      <c r="X27" s="9"/>
      <c r="Y27" s="22">
        <v>1.7544599999999999</v>
      </c>
      <c r="Z27" s="22">
        <v>136.35400000000001</v>
      </c>
      <c r="AA27" s="22">
        <v>-9.3597400000000001E-3</v>
      </c>
      <c r="AB27" s="22">
        <v>17</v>
      </c>
      <c r="AC27" s="22">
        <v>1.7535400000000001</v>
      </c>
      <c r="AD27">
        <f t="shared" si="4"/>
        <v>9.3597400000000004</v>
      </c>
      <c r="AE27">
        <f t="shared" si="5"/>
        <v>16.421289440399999</v>
      </c>
      <c r="AF27" s="9"/>
      <c r="AG27" s="22">
        <v>-1.43433E-2</v>
      </c>
      <c r="AH27" s="22">
        <v>185.96799999999999</v>
      </c>
      <c r="AI27" s="22">
        <v>-1.70837E-2</v>
      </c>
      <c r="AJ27" s="22">
        <v>17</v>
      </c>
      <c r="AK27" s="22">
        <v>-1.48285E-2</v>
      </c>
      <c r="AL27">
        <f t="shared" si="6"/>
        <v>17.0837</v>
      </c>
      <c r="AM27">
        <f t="shared" si="7"/>
        <v>-0.24503663420999999</v>
      </c>
      <c r="AP27" s="9"/>
      <c r="AQ27" s="22">
        <v>1.7544599999999999</v>
      </c>
      <c r="AR27" s="22">
        <v>235.59200000000001</v>
      </c>
      <c r="AS27" s="25">
        <v>2.06604E-5</v>
      </c>
      <c r="AT27" s="22">
        <v>17</v>
      </c>
      <c r="AU27" s="22">
        <v>8.0108600000000002E-2</v>
      </c>
      <c r="AV27">
        <f t="shared" si="8"/>
        <v>-2.0660399999999999E-2</v>
      </c>
      <c r="AW27">
        <f t="shared" si="9"/>
        <v>-3.6247845383999999E-2</v>
      </c>
      <c r="AX27" s="9"/>
      <c r="AY27" s="22">
        <v>-1.43433E-2</v>
      </c>
      <c r="AZ27" s="22">
        <v>251.65199999999999</v>
      </c>
      <c r="BA27" s="22">
        <v>-4.6163899999999997E-3</v>
      </c>
      <c r="BB27" s="22">
        <v>17</v>
      </c>
      <c r="BC27" s="22">
        <v>-1.4224199999999999E-2</v>
      </c>
      <c r="BD27">
        <f t="shared" si="10"/>
        <v>4.61639</v>
      </c>
      <c r="BE27">
        <f t="shared" si="11"/>
        <v>-6.6214266686999992E-2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1.74942</v>
      </c>
      <c r="H28" s="22">
        <v>37.380200000000002</v>
      </c>
      <c r="I28" s="22">
        <v>-9.8663299999999995E-3</v>
      </c>
      <c r="J28" s="22">
        <v>18</v>
      </c>
      <c r="K28" s="22">
        <v>1.7483500000000001</v>
      </c>
      <c r="L28">
        <f t="shared" si="0"/>
        <v>9.8663299999999996</v>
      </c>
      <c r="M28">
        <f t="shared" si="1"/>
        <v>17.260355028599999</v>
      </c>
      <c r="N28" s="9"/>
      <c r="O28" s="22">
        <v>-9.3078599999999994E-3</v>
      </c>
      <c r="P28" s="22">
        <v>86.818600000000004</v>
      </c>
      <c r="Q28" s="22">
        <v>-1.7062399999999998E-2</v>
      </c>
      <c r="R28" s="22">
        <v>18</v>
      </c>
      <c r="S28" s="22">
        <v>-9.68018E-3</v>
      </c>
      <c r="T28">
        <f t="shared" si="2"/>
        <v>17.062399999999997</v>
      </c>
      <c r="U28">
        <f t="shared" si="3"/>
        <v>-0.15881443046399996</v>
      </c>
      <c r="X28" s="9"/>
      <c r="Y28" s="22">
        <v>1.74942</v>
      </c>
      <c r="Z28" s="22">
        <v>136.364</v>
      </c>
      <c r="AA28" s="22">
        <v>-1.00952E-2</v>
      </c>
      <c r="AB28" s="22">
        <v>18</v>
      </c>
      <c r="AC28" s="22">
        <v>1.7483500000000001</v>
      </c>
      <c r="AD28">
        <f t="shared" si="4"/>
        <v>10.0952</v>
      </c>
      <c r="AE28">
        <f t="shared" si="5"/>
        <v>17.660744783999998</v>
      </c>
      <c r="AF28" s="9"/>
      <c r="AG28" s="22">
        <v>-9.3078599999999994E-3</v>
      </c>
      <c r="AH28" s="22">
        <v>185.97900000000001</v>
      </c>
      <c r="AI28" s="22">
        <v>-1.7080700000000001E-2</v>
      </c>
      <c r="AJ28" s="22">
        <v>18</v>
      </c>
      <c r="AK28" s="22">
        <v>-9.6862800000000002E-3</v>
      </c>
      <c r="AL28">
        <f t="shared" si="6"/>
        <v>17.0807</v>
      </c>
      <c r="AM28">
        <f t="shared" si="7"/>
        <v>-0.15898476430199998</v>
      </c>
      <c r="AP28" s="9"/>
      <c r="AQ28" s="22">
        <v>1.74942</v>
      </c>
      <c r="AR28" s="22">
        <v>235.602</v>
      </c>
      <c r="AS28" s="25">
        <v>3.2440200000000002E-5</v>
      </c>
      <c r="AT28" s="22">
        <v>18</v>
      </c>
      <c r="AU28" s="22">
        <v>8.0078099999999999E-2</v>
      </c>
      <c r="AV28">
        <f t="shared" si="8"/>
        <v>-3.2440200000000002E-2</v>
      </c>
      <c r="AW28">
        <f t="shared" si="9"/>
        <v>-5.6751534684000002E-2</v>
      </c>
      <c r="AX28" s="9"/>
      <c r="AY28" s="22">
        <v>-9.3078599999999994E-3</v>
      </c>
      <c r="AZ28" s="22">
        <v>251.66200000000001</v>
      </c>
      <c r="BA28" s="22">
        <v>-4.5501700000000001E-3</v>
      </c>
      <c r="BB28" s="22">
        <v>18</v>
      </c>
      <c r="BC28" s="22">
        <v>-9.2224100000000003E-3</v>
      </c>
      <c r="BD28">
        <f t="shared" si="10"/>
        <v>4.5501700000000005</v>
      </c>
      <c r="BE28">
        <f t="shared" si="11"/>
        <v>-4.2352345336200005E-2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1.74438</v>
      </c>
      <c r="H29" s="22">
        <v>37.390300000000003</v>
      </c>
      <c r="I29" s="22">
        <v>-1.0284400000000001E-2</v>
      </c>
      <c r="J29" s="22">
        <v>19</v>
      </c>
      <c r="K29" s="22">
        <v>1.74316</v>
      </c>
      <c r="L29">
        <f t="shared" si="0"/>
        <v>10.284400000000002</v>
      </c>
      <c r="M29">
        <f t="shared" si="1"/>
        <v>17.939901672000005</v>
      </c>
      <c r="N29" s="9"/>
      <c r="O29" s="22">
        <v>-4.2724599999999996E-3</v>
      </c>
      <c r="P29" s="22">
        <v>86.828699999999998</v>
      </c>
      <c r="Q29" s="22">
        <v>-1.70563E-2</v>
      </c>
      <c r="R29" s="22">
        <v>19</v>
      </c>
      <c r="S29" s="22">
        <v>-4.6997100000000002E-3</v>
      </c>
      <c r="T29">
        <f t="shared" si="2"/>
        <v>17.0563</v>
      </c>
      <c r="U29">
        <f t="shared" si="3"/>
        <v>-7.2872359498E-2</v>
      </c>
      <c r="X29" s="9"/>
      <c r="Y29" s="22">
        <v>1.74438</v>
      </c>
      <c r="Z29" s="22">
        <v>136.374</v>
      </c>
      <c r="AA29" s="22">
        <v>-1.0726899999999999E-2</v>
      </c>
      <c r="AB29" s="22">
        <v>19</v>
      </c>
      <c r="AC29" s="22">
        <v>1.74377</v>
      </c>
      <c r="AD29">
        <f t="shared" si="4"/>
        <v>10.726899999999999</v>
      </c>
      <c r="AE29">
        <f t="shared" si="5"/>
        <v>18.711789822</v>
      </c>
      <c r="AF29" s="9"/>
      <c r="AG29" s="22">
        <v>-4.2724599999999996E-3</v>
      </c>
      <c r="AH29" s="22">
        <v>185.989</v>
      </c>
      <c r="AI29" s="22">
        <v>-1.7077599999999998E-2</v>
      </c>
      <c r="AJ29" s="22">
        <v>19</v>
      </c>
      <c r="AK29" s="22">
        <v>-4.5684799999999998E-3</v>
      </c>
      <c r="AL29">
        <f t="shared" si="6"/>
        <v>17.077599999999997</v>
      </c>
      <c r="AM29">
        <f t="shared" si="7"/>
        <v>-7.2963362895999986E-2</v>
      </c>
      <c r="AP29" s="9"/>
      <c r="AQ29" s="22">
        <v>1.74438</v>
      </c>
      <c r="AR29" s="22">
        <v>235.61199999999999</v>
      </c>
      <c r="AS29" s="25">
        <v>2.3254399999999999E-5</v>
      </c>
      <c r="AT29" s="22">
        <v>19</v>
      </c>
      <c r="AU29" s="22">
        <v>8.0108600000000002E-2</v>
      </c>
      <c r="AV29">
        <f t="shared" si="8"/>
        <v>-2.3254399999999998E-2</v>
      </c>
      <c r="AW29">
        <f t="shared" si="9"/>
        <v>-4.0564510271999997E-2</v>
      </c>
      <c r="AX29" s="9"/>
      <c r="AY29" s="22">
        <v>-4.2724599999999996E-3</v>
      </c>
      <c r="AZ29" s="22">
        <v>251.672</v>
      </c>
      <c r="BA29" s="22">
        <v>-4.3350200000000002E-3</v>
      </c>
      <c r="BB29" s="22">
        <v>19</v>
      </c>
      <c r="BC29" s="22">
        <v>-4.1931199999999998E-3</v>
      </c>
      <c r="BD29">
        <f t="shared" si="10"/>
        <v>4.3350200000000001</v>
      </c>
      <c r="BE29">
        <f t="shared" si="11"/>
        <v>-1.85211995492E-2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1.73935</v>
      </c>
      <c r="H30" s="22">
        <v>37.400300000000001</v>
      </c>
      <c r="I30" s="22">
        <v>-1.0699500000000001E-2</v>
      </c>
      <c r="J30" s="22">
        <v>20</v>
      </c>
      <c r="K30" s="22">
        <v>1.7379800000000001</v>
      </c>
      <c r="L30">
        <f t="shared" si="0"/>
        <v>10.6995</v>
      </c>
      <c r="M30">
        <f t="shared" si="1"/>
        <v>18.610175325</v>
      </c>
      <c r="N30" s="9"/>
      <c r="O30" s="22">
        <v>7.6293900000000002E-4</v>
      </c>
      <c r="P30" s="22">
        <v>86.838800000000006</v>
      </c>
      <c r="Q30" s="22">
        <v>-1.7050200000000001E-2</v>
      </c>
      <c r="R30" s="22">
        <v>20</v>
      </c>
      <c r="S30" s="22">
        <v>4.5471200000000002E-4</v>
      </c>
      <c r="T30">
        <f t="shared" si="2"/>
        <v>17.0502</v>
      </c>
      <c r="U30">
        <f t="shared" si="3"/>
        <v>1.30082625378E-2</v>
      </c>
      <c r="X30" s="9"/>
      <c r="Y30" s="22">
        <v>1.73935</v>
      </c>
      <c r="Z30" s="22">
        <v>136.38399999999999</v>
      </c>
      <c r="AA30" s="22">
        <v>-1.12335E-2</v>
      </c>
      <c r="AB30" s="22">
        <v>20</v>
      </c>
      <c r="AC30" s="22">
        <v>1.7385900000000001</v>
      </c>
      <c r="AD30">
        <f t="shared" si="4"/>
        <v>11.233500000000001</v>
      </c>
      <c r="AE30">
        <f t="shared" si="5"/>
        <v>19.538988225000001</v>
      </c>
      <c r="AF30" s="9"/>
      <c r="AG30" s="22">
        <v>7.6293900000000002E-4</v>
      </c>
      <c r="AH30" s="22">
        <v>185.999</v>
      </c>
      <c r="AI30" s="22">
        <v>-1.7077599999999998E-2</v>
      </c>
      <c r="AJ30" s="22">
        <v>20</v>
      </c>
      <c r="AK30" s="22">
        <v>3.4484899999999999E-4</v>
      </c>
      <c r="AL30">
        <f t="shared" si="6"/>
        <v>17.077599999999997</v>
      </c>
      <c r="AM30">
        <f t="shared" si="7"/>
        <v>1.3029167066399998E-2</v>
      </c>
      <c r="AP30" s="9"/>
      <c r="AQ30" s="22">
        <v>1.73935</v>
      </c>
      <c r="AR30" s="22">
        <v>235.62200000000001</v>
      </c>
      <c r="AS30" s="25">
        <v>2.37122E-5</v>
      </c>
      <c r="AT30" s="22">
        <v>20</v>
      </c>
      <c r="AU30" s="22">
        <v>8.0078099999999999E-2</v>
      </c>
      <c r="AV30">
        <f t="shared" si="8"/>
        <v>-2.3712199999999999E-2</v>
      </c>
      <c r="AW30">
        <f t="shared" si="9"/>
        <v>-4.1243815069999995E-2</v>
      </c>
      <c r="AX30" s="9"/>
      <c r="AY30" s="22">
        <v>7.6293900000000002E-4</v>
      </c>
      <c r="AZ30" s="22">
        <v>251.68199999999999</v>
      </c>
      <c r="BA30" s="22">
        <v>-4.21661E-3</v>
      </c>
      <c r="BB30" s="22">
        <v>20</v>
      </c>
      <c r="BC30" s="22">
        <v>8.6364700000000005E-4</v>
      </c>
      <c r="BD30">
        <f t="shared" si="10"/>
        <v>4.2166100000000002</v>
      </c>
      <c r="BE30">
        <f t="shared" si="11"/>
        <v>3.2170162167900001E-3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1.73431</v>
      </c>
      <c r="H31" s="22">
        <v>37.410400000000003</v>
      </c>
      <c r="I31" s="22">
        <v>-1.1102300000000001E-2</v>
      </c>
      <c r="J31" s="22">
        <v>21</v>
      </c>
      <c r="K31" s="22">
        <v>1.7334000000000001</v>
      </c>
      <c r="L31">
        <f t="shared" si="0"/>
        <v>11.102300000000001</v>
      </c>
      <c r="M31">
        <f t="shared" si="1"/>
        <v>19.254829913000002</v>
      </c>
      <c r="N31" s="9"/>
      <c r="O31" s="22">
        <v>5.7983399999999999E-3</v>
      </c>
      <c r="P31" s="22">
        <v>86.848799999999997</v>
      </c>
      <c r="Q31" s="22">
        <v>-1.7047099999999999E-2</v>
      </c>
      <c r="R31" s="22">
        <v>21</v>
      </c>
      <c r="S31" s="22">
        <v>5.5145300000000001E-3</v>
      </c>
      <c r="T31">
        <f t="shared" si="2"/>
        <v>17.0471</v>
      </c>
      <c r="U31">
        <f t="shared" si="3"/>
        <v>9.8844881814000002E-2</v>
      </c>
      <c r="X31" s="9"/>
      <c r="Y31" s="22">
        <v>1.73431</v>
      </c>
      <c r="Z31" s="22">
        <v>136.39400000000001</v>
      </c>
      <c r="AA31" s="22">
        <v>-1.17065E-2</v>
      </c>
      <c r="AB31" s="22">
        <v>21</v>
      </c>
      <c r="AC31" s="22">
        <v>1.7337</v>
      </c>
      <c r="AD31">
        <f t="shared" si="4"/>
        <v>11.7065</v>
      </c>
      <c r="AE31">
        <f t="shared" si="5"/>
        <v>20.302700014999999</v>
      </c>
      <c r="AF31" s="9"/>
      <c r="AG31" s="22">
        <v>5.7983399999999999E-3</v>
      </c>
      <c r="AH31" s="22">
        <v>186.00899999999999</v>
      </c>
      <c r="AI31" s="22">
        <v>-1.7074599999999999E-2</v>
      </c>
      <c r="AJ31" s="22">
        <v>21</v>
      </c>
      <c r="AK31" s="22">
        <v>5.4717999999999998E-3</v>
      </c>
      <c r="AL31">
        <f t="shared" si="6"/>
        <v>17.0746</v>
      </c>
      <c r="AM31">
        <f t="shared" si="7"/>
        <v>9.9004336164000006E-2</v>
      </c>
      <c r="AP31" s="9"/>
      <c r="AQ31" s="22">
        <v>1.73431</v>
      </c>
      <c r="AR31" s="22">
        <v>235.63200000000001</v>
      </c>
      <c r="AS31" s="25">
        <v>2.4414100000000001E-5</v>
      </c>
      <c r="AT31" s="22">
        <v>21</v>
      </c>
      <c r="AU31" s="22">
        <v>8.0017099999999994E-2</v>
      </c>
      <c r="AV31">
        <f t="shared" si="8"/>
        <v>-2.4414100000000001E-2</v>
      </c>
      <c r="AW31">
        <f t="shared" si="9"/>
        <v>-4.2341617771000005E-2</v>
      </c>
      <c r="AX31" s="9"/>
      <c r="AY31" s="22">
        <v>5.7983399999999999E-3</v>
      </c>
      <c r="AZ31" s="22">
        <v>251.69200000000001</v>
      </c>
      <c r="BA31" s="22">
        <v>-4.0774499999999998E-3</v>
      </c>
      <c r="BB31" s="22">
        <v>21</v>
      </c>
      <c r="BC31" s="22">
        <v>5.8715800000000004E-3</v>
      </c>
      <c r="BD31">
        <f t="shared" si="10"/>
        <v>4.0774499999999998</v>
      </c>
      <c r="BE31">
        <f t="shared" si="11"/>
        <v>2.3642441432999997E-2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1.7292799999999999</v>
      </c>
      <c r="H32" s="22">
        <v>37.420499999999997</v>
      </c>
      <c r="I32" s="22">
        <v>-1.1456300000000001E-2</v>
      </c>
      <c r="J32" s="22">
        <v>22</v>
      </c>
      <c r="K32" s="22">
        <v>1.72821</v>
      </c>
      <c r="L32">
        <f t="shared" si="0"/>
        <v>11.456300000000001</v>
      </c>
      <c r="M32">
        <f t="shared" si="1"/>
        <v>19.811150464000001</v>
      </c>
      <c r="N32" s="9"/>
      <c r="O32" s="22">
        <v>1.08337E-2</v>
      </c>
      <c r="P32" s="22">
        <v>86.858900000000006</v>
      </c>
      <c r="Q32" s="22">
        <v>-1.7038000000000001E-2</v>
      </c>
      <c r="R32" s="22">
        <v>22</v>
      </c>
      <c r="S32" s="22">
        <v>1.0617100000000001E-2</v>
      </c>
      <c r="T32">
        <f t="shared" si="2"/>
        <v>17.038</v>
      </c>
      <c r="U32">
        <f t="shared" si="3"/>
        <v>0.18458458059999999</v>
      </c>
      <c r="X32" s="9"/>
      <c r="Y32" s="22">
        <v>1.7292799999999999</v>
      </c>
      <c r="Z32" s="22">
        <v>136.404</v>
      </c>
      <c r="AA32" s="22">
        <v>-1.2124599999999999E-2</v>
      </c>
      <c r="AB32" s="22">
        <v>22</v>
      </c>
      <c r="AC32" s="22">
        <v>1.72882</v>
      </c>
      <c r="AD32">
        <f t="shared" si="4"/>
        <v>12.124599999999999</v>
      </c>
      <c r="AE32">
        <f t="shared" si="5"/>
        <v>20.966828287999999</v>
      </c>
      <c r="AF32" s="9"/>
      <c r="AG32" s="22">
        <v>1.08337E-2</v>
      </c>
      <c r="AH32" s="22">
        <v>186.01900000000001</v>
      </c>
      <c r="AI32" s="22">
        <v>-1.70685E-2</v>
      </c>
      <c r="AJ32" s="22">
        <v>22</v>
      </c>
      <c r="AK32" s="22">
        <v>1.06018E-2</v>
      </c>
      <c r="AL32">
        <f t="shared" si="6"/>
        <v>17.0685</v>
      </c>
      <c r="AM32">
        <f t="shared" si="7"/>
        <v>0.18491500845</v>
      </c>
      <c r="AP32" s="9"/>
      <c r="AQ32" s="22">
        <v>1.7292799999999999</v>
      </c>
      <c r="AR32" s="22">
        <v>235.642</v>
      </c>
      <c r="AS32" s="25">
        <v>2.4108899999999999E-5</v>
      </c>
      <c r="AT32" s="22">
        <v>22</v>
      </c>
      <c r="AU32" s="22">
        <v>8.0017099999999994E-2</v>
      </c>
      <c r="AV32">
        <f t="shared" si="8"/>
        <v>-2.4108899999999999E-2</v>
      </c>
      <c r="AW32">
        <f t="shared" si="9"/>
        <v>-4.1691038591999997E-2</v>
      </c>
      <c r="AX32" s="9"/>
      <c r="AY32" s="22">
        <v>1.08337E-2</v>
      </c>
      <c r="AZ32" s="22">
        <v>251.702</v>
      </c>
      <c r="BA32" s="22">
        <v>-4.0786700000000004E-3</v>
      </c>
      <c r="BB32" s="22">
        <v>22</v>
      </c>
      <c r="BC32" s="22">
        <v>1.09009E-2</v>
      </c>
      <c r="BD32">
        <f t="shared" si="10"/>
        <v>4.0786700000000007</v>
      </c>
      <c r="BE32">
        <f t="shared" si="11"/>
        <v>4.4187087179000009E-2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1.72424</v>
      </c>
      <c r="H33" s="22">
        <v>37.430500000000002</v>
      </c>
      <c r="I33" s="22">
        <v>-1.17828E-2</v>
      </c>
      <c r="J33" s="22">
        <v>23</v>
      </c>
      <c r="K33" s="22">
        <v>1.72333</v>
      </c>
      <c r="L33">
        <f t="shared" si="0"/>
        <v>11.7828</v>
      </c>
      <c r="M33">
        <f t="shared" si="1"/>
        <v>20.316375072</v>
      </c>
      <c r="N33" s="9"/>
      <c r="O33" s="22">
        <v>1.5869100000000001E-2</v>
      </c>
      <c r="P33" s="22">
        <v>86.869</v>
      </c>
      <c r="Q33" s="22">
        <v>-1.7041000000000001E-2</v>
      </c>
      <c r="R33" s="22">
        <v>23</v>
      </c>
      <c r="S33" s="22">
        <v>1.56128E-2</v>
      </c>
      <c r="T33">
        <f t="shared" si="2"/>
        <v>17.041</v>
      </c>
      <c r="U33">
        <f t="shared" si="3"/>
        <v>0.2704253331</v>
      </c>
      <c r="X33" s="9"/>
      <c r="Y33" s="22">
        <v>1.72424</v>
      </c>
      <c r="Z33" s="22">
        <v>136.41399999999999</v>
      </c>
      <c r="AA33" s="22">
        <v>-1.2457299999999999E-2</v>
      </c>
      <c r="AB33" s="22">
        <v>23</v>
      </c>
      <c r="AC33" s="22">
        <v>1.72333</v>
      </c>
      <c r="AD33">
        <f t="shared" si="4"/>
        <v>12.4573</v>
      </c>
      <c r="AE33">
        <f t="shared" si="5"/>
        <v>21.479374952000001</v>
      </c>
      <c r="AF33" s="9"/>
      <c r="AG33" s="22">
        <v>1.5869100000000001E-2</v>
      </c>
      <c r="AH33" s="22">
        <v>186.029</v>
      </c>
      <c r="AI33" s="22">
        <v>-1.70685E-2</v>
      </c>
      <c r="AJ33" s="22">
        <v>23</v>
      </c>
      <c r="AK33" s="22">
        <v>1.55853E-2</v>
      </c>
      <c r="AL33">
        <f t="shared" si="6"/>
        <v>17.0685</v>
      </c>
      <c r="AM33">
        <f t="shared" si="7"/>
        <v>0.27086173335000002</v>
      </c>
      <c r="AP33" s="9"/>
      <c r="AQ33" s="22">
        <v>1.72424</v>
      </c>
      <c r="AR33" s="22">
        <v>235.65199999999999</v>
      </c>
      <c r="AS33" s="25">
        <v>2.3040800000000001E-5</v>
      </c>
      <c r="AT33" s="22">
        <v>23</v>
      </c>
      <c r="AU33" s="22">
        <v>8.0017099999999994E-2</v>
      </c>
      <c r="AV33">
        <f t="shared" si="8"/>
        <v>-2.30408E-2</v>
      </c>
      <c r="AW33">
        <f t="shared" si="9"/>
        <v>-3.9727868992000002E-2</v>
      </c>
      <c r="AX33" s="9"/>
      <c r="AY33" s="22">
        <v>1.5869100000000001E-2</v>
      </c>
      <c r="AZ33" s="22">
        <v>251.71199999999999</v>
      </c>
      <c r="BA33" s="22">
        <v>-4.1162100000000004E-3</v>
      </c>
      <c r="BB33" s="22">
        <v>23</v>
      </c>
      <c r="BC33" s="22">
        <v>1.5921000000000001E-2</v>
      </c>
      <c r="BD33">
        <f t="shared" si="10"/>
        <v>4.1162100000000006</v>
      </c>
      <c r="BE33">
        <f t="shared" si="11"/>
        <v>6.5320548111000007E-2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1.7192099999999999</v>
      </c>
      <c r="H34" s="22">
        <v>37.440600000000003</v>
      </c>
      <c r="I34" s="22">
        <v>-1.20941E-2</v>
      </c>
      <c r="J34" s="22">
        <v>24</v>
      </c>
      <c r="K34" s="22">
        <v>1.71814</v>
      </c>
      <c r="L34">
        <f t="shared" si="0"/>
        <v>12.094099999999999</v>
      </c>
      <c r="M34">
        <f t="shared" si="1"/>
        <v>20.792297660999999</v>
      </c>
      <c r="N34" s="9"/>
      <c r="O34" s="22">
        <v>2.0904499999999999E-2</v>
      </c>
      <c r="P34" s="22">
        <v>86.879000000000005</v>
      </c>
      <c r="Q34" s="22">
        <v>-1.7041000000000001E-2</v>
      </c>
      <c r="R34" s="22">
        <v>24</v>
      </c>
      <c r="S34" s="22">
        <v>2.0593299999999998E-2</v>
      </c>
      <c r="T34">
        <f t="shared" si="2"/>
        <v>17.041</v>
      </c>
      <c r="U34">
        <f t="shared" si="3"/>
        <v>0.35623358449999998</v>
      </c>
      <c r="X34" s="9"/>
      <c r="Y34" s="22">
        <v>1.7192099999999999</v>
      </c>
      <c r="Z34" s="22">
        <v>136.42500000000001</v>
      </c>
      <c r="AA34" s="22">
        <v>-1.28571E-2</v>
      </c>
      <c r="AB34" s="22">
        <v>24</v>
      </c>
      <c r="AC34" s="22">
        <v>1.71814</v>
      </c>
      <c r="AD34">
        <f t="shared" si="4"/>
        <v>12.857099999999999</v>
      </c>
      <c r="AE34">
        <f t="shared" si="5"/>
        <v>22.104054890999997</v>
      </c>
      <c r="AF34" s="9"/>
      <c r="AG34" s="22">
        <v>2.0904499999999999E-2</v>
      </c>
      <c r="AH34" s="22">
        <v>186.03899999999999</v>
      </c>
      <c r="AI34" s="22">
        <v>-1.7062399999999998E-2</v>
      </c>
      <c r="AJ34" s="22">
        <v>24</v>
      </c>
      <c r="AK34" s="22">
        <v>2.0617699999999999E-2</v>
      </c>
      <c r="AL34">
        <f t="shared" si="6"/>
        <v>17.062399999999997</v>
      </c>
      <c r="AM34">
        <f t="shared" si="7"/>
        <v>0.3566809407999999</v>
      </c>
      <c r="AP34" s="9"/>
      <c r="AQ34" s="22">
        <v>1.7192099999999999</v>
      </c>
      <c r="AR34" s="22">
        <v>235.66200000000001</v>
      </c>
      <c r="AS34" s="25">
        <v>2.3864699999999999E-5</v>
      </c>
      <c r="AT34" s="22">
        <v>24</v>
      </c>
      <c r="AU34" s="22">
        <v>7.9956100000000002E-2</v>
      </c>
      <c r="AV34">
        <f t="shared" si="8"/>
        <v>-2.3864699999999999E-2</v>
      </c>
      <c r="AW34">
        <f t="shared" si="9"/>
        <v>-4.1028430886999999E-2</v>
      </c>
      <c r="AX34" s="9"/>
      <c r="AY34" s="22">
        <v>2.0904499999999999E-2</v>
      </c>
      <c r="AZ34" s="22">
        <v>251.72200000000001</v>
      </c>
      <c r="BA34" s="22">
        <v>-3.97095E-3</v>
      </c>
      <c r="BB34" s="22">
        <v>24</v>
      </c>
      <c r="BC34" s="22">
        <v>2.09686E-2</v>
      </c>
      <c r="BD34">
        <f t="shared" si="10"/>
        <v>3.9709500000000002</v>
      </c>
      <c r="BE34">
        <f t="shared" si="11"/>
        <v>8.3010724275000003E-2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1.71417</v>
      </c>
      <c r="H35" s="22">
        <v>37.450699999999998</v>
      </c>
      <c r="I35" s="22">
        <v>-1.2381E-2</v>
      </c>
      <c r="J35" s="22">
        <v>25</v>
      </c>
      <c r="K35" s="22">
        <v>1.71326</v>
      </c>
      <c r="L35">
        <f t="shared" si="0"/>
        <v>12.381</v>
      </c>
      <c r="M35">
        <f t="shared" si="1"/>
        <v>21.223138769999998</v>
      </c>
      <c r="N35" s="9"/>
      <c r="O35" s="22">
        <v>2.5939899999999998E-2</v>
      </c>
      <c r="P35" s="22">
        <v>86.889099999999999</v>
      </c>
      <c r="Q35" s="22">
        <v>-1.7041000000000001E-2</v>
      </c>
      <c r="R35" s="22">
        <v>25</v>
      </c>
      <c r="S35" s="22">
        <v>2.5689699999999999E-2</v>
      </c>
      <c r="T35">
        <f t="shared" si="2"/>
        <v>17.041</v>
      </c>
      <c r="U35">
        <f t="shared" si="3"/>
        <v>0.44204183589999996</v>
      </c>
      <c r="X35" s="9"/>
      <c r="Y35" s="22">
        <v>1.71417</v>
      </c>
      <c r="Z35" s="22">
        <v>136.435</v>
      </c>
      <c r="AA35" s="22">
        <v>-1.3168300000000001E-2</v>
      </c>
      <c r="AB35" s="22">
        <v>25</v>
      </c>
      <c r="AC35" s="22">
        <v>1.71295</v>
      </c>
      <c r="AD35">
        <f t="shared" si="4"/>
        <v>13.1683</v>
      </c>
      <c r="AE35">
        <f t="shared" si="5"/>
        <v>22.572704811000001</v>
      </c>
      <c r="AF35" s="9"/>
      <c r="AG35" s="22">
        <v>2.5939899999999998E-2</v>
      </c>
      <c r="AH35" s="22">
        <v>186.04900000000001</v>
      </c>
      <c r="AI35" s="22">
        <v>-1.70563E-2</v>
      </c>
      <c r="AJ35" s="22">
        <v>25</v>
      </c>
      <c r="AK35" s="22">
        <v>2.56592E-2</v>
      </c>
      <c r="AL35">
        <f t="shared" si="6"/>
        <v>17.0563</v>
      </c>
      <c r="AM35">
        <f t="shared" si="7"/>
        <v>0.44243871636999998</v>
      </c>
      <c r="AP35" s="9"/>
      <c r="AQ35" s="22">
        <v>1.71417</v>
      </c>
      <c r="AR35" s="22">
        <v>235.672</v>
      </c>
      <c r="AS35" s="25">
        <v>2.3498499999999999E-5</v>
      </c>
      <c r="AT35" s="22">
        <v>25</v>
      </c>
      <c r="AU35" s="22">
        <v>7.9986600000000005E-2</v>
      </c>
      <c r="AV35">
        <f t="shared" si="8"/>
        <v>-2.3498499999999999E-2</v>
      </c>
      <c r="AW35">
        <f t="shared" si="9"/>
        <v>-4.0280423744999995E-2</v>
      </c>
      <c r="AX35" s="9"/>
      <c r="AY35" s="22">
        <v>2.5939899999999998E-2</v>
      </c>
      <c r="AZ35" s="22">
        <v>251.732</v>
      </c>
      <c r="BA35" s="22">
        <v>-3.9703400000000002E-3</v>
      </c>
      <c r="BB35" s="22">
        <v>25</v>
      </c>
      <c r="BC35" s="22">
        <v>2.6040600000000001E-2</v>
      </c>
      <c r="BD35">
        <f t="shared" si="10"/>
        <v>3.9703400000000002</v>
      </c>
      <c r="BE35">
        <f t="shared" si="11"/>
        <v>0.102990222566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1.7091400000000001</v>
      </c>
      <c r="H36" s="22">
        <v>37.460799999999999</v>
      </c>
      <c r="I36" s="22">
        <v>-1.26404E-2</v>
      </c>
      <c r="J36" s="22">
        <v>26</v>
      </c>
      <c r="K36" s="22">
        <v>1.70807</v>
      </c>
      <c r="L36">
        <f t="shared" si="0"/>
        <v>12.6404</v>
      </c>
      <c r="M36">
        <f t="shared" si="1"/>
        <v>21.604213256000001</v>
      </c>
      <c r="N36" s="9"/>
      <c r="O36" s="22">
        <v>3.0975300000000001E-2</v>
      </c>
      <c r="P36" s="22">
        <v>86.899199999999993</v>
      </c>
      <c r="Q36" s="22">
        <v>-1.7038000000000001E-2</v>
      </c>
      <c r="R36" s="22">
        <v>26</v>
      </c>
      <c r="S36" s="22">
        <v>3.0871599999999999E-2</v>
      </c>
      <c r="T36">
        <f t="shared" si="2"/>
        <v>17.038</v>
      </c>
      <c r="U36">
        <f t="shared" si="3"/>
        <v>0.52775716140000006</v>
      </c>
      <c r="X36" s="9"/>
      <c r="Y36" s="22">
        <v>1.7091400000000001</v>
      </c>
      <c r="Z36" s="22">
        <v>136.44499999999999</v>
      </c>
      <c r="AA36" s="22">
        <v>-1.34369E-2</v>
      </c>
      <c r="AB36" s="22">
        <v>26</v>
      </c>
      <c r="AC36" s="22">
        <v>1.7077599999999999</v>
      </c>
      <c r="AD36">
        <f t="shared" si="4"/>
        <v>13.4369</v>
      </c>
      <c r="AE36">
        <f t="shared" si="5"/>
        <v>22.965543266000001</v>
      </c>
      <c r="AF36" s="9"/>
      <c r="AG36" s="22">
        <v>3.0975300000000001E-2</v>
      </c>
      <c r="AH36" s="22">
        <v>186.059</v>
      </c>
      <c r="AI36" s="22">
        <v>-1.7053200000000001E-2</v>
      </c>
      <c r="AJ36" s="22">
        <v>26</v>
      </c>
      <c r="AK36" s="22">
        <v>3.0697599999999998E-2</v>
      </c>
      <c r="AL36">
        <f t="shared" si="6"/>
        <v>17.0532</v>
      </c>
      <c r="AM36">
        <f t="shared" si="7"/>
        <v>0.52822798595999998</v>
      </c>
      <c r="AP36" s="9"/>
      <c r="AQ36" s="22">
        <v>1.7091400000000001</v>
      </c>
      <c r="AR36" s="22">
        <v>235.68299999999999</v>
      </c>
      <c r="AS36" s="25">
        <v>2.6306199999999999E-5</v>
      </c>
      <c r="AT36" s="22">
        <v>26</v>
      </c>
      <c r="AU36" s="22">
        <v>7.9986600000000005E-2</v>
      </c>
      <c r="AV36">
        <f t="shared" si="8"/>
        <v>-2.6306199999999998E-2</v>
      </c>
      <c r="AW36">
        <f t="shared" si="9"/>
        <v>-4.4960978668000001E-2</v>
      </c>
      <c r="AX36" s="9"/>
      <c r="AY36" s="22">
        <v>3.0975300000000001E-2</v>
      </c>
      <c r="AZ36" s="22">
        <v>251.74199999999999</v>
      </c>
      <c r="BA36" s="22">
        <v>-4.0747099999999996E-3</v>
      </c>
      <c r="BB36" s="22">
        <v>26</v>
      </c>
      <c r="BC36" s="22">
        <v>3.1054700000000001E-2</v>
      </c>
      <c r="BD36">
        <f t="shared" si="10"/>
        <v>4.0747099999999996</v>
      </c>
      <c r="BE36">
        <f t="shared" si="11"/>
        <v>0.12621536466299998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1.7040999999999999</v>
      </c>
      <c r="H37" s="22">
        <v>37.470799999999997</v>
      </c>
      <c r="I37" s="22">
        <v>-1.2820399999999999E-2</v>
      </c>
      <c r="J37" s="22">
        <v>27</v>
      </c>
      <c r="K37" s="22">
        <v>1.7034899999999999</v>
      </c>
      <c r="L37">
        <f t="shared" si="0"/>
        <v>12.820399999999999</v>
      </c>
      <c r="M37">
        <f t="shared" si="1"/>
        <v>21.847243639999999</v>
      </c>
      <c r="N37" s="9"/>
      <c r="O37" s="22">
        <v>3.60107E-2</v>
      </c>
      <c r="P37" s="22">
        <v>86.909300000000002</v>
      </c>
      <c r="Q37" s="22">
        <v>-1.70288E-2</v>
      </c>
      <c r="R37" s="22">
        <v>27</v>
      </c>
      <c r="S37" s="22">
        <v>3.5659799999999998E-2</v>
      </c>
      <c r="T37">
        <f t="shared" si="2"/>
        <v>17.0288</v>
      </c>
      <c r="U37">
        <f t="shared" si="3"/>
        <v>0.61321900815999997</v>
      </c>
      <c r="X37" s="9"/>
      <c r="Y37" s="22">
        <v>1.7040999999999999</v>
      </c>
      <c r="Z37" s="22">
        <v>136.45500000000001</v>
      </c>
      <c r="AA37" s="22">
        <v>-1.3693200000000001E-2</v>
      </c>
      <c r="AB37" s="22">
        <v>27</v>
      </c>
      <c r="AC37" s="22">
        <v>1.7028799999999999</v>
      </c>
      <c r="AD37">
        <f t="shared" si="4"/>
        <v>13.693200000000001</v>
      </c>
      <c r="AE37">
        <f t="shared" si="5"/>
        <v>23.33458212</v>
      </c>
      <c r="AF37" s="9"/>
      <c r="AG37" s="22">
        <v>3.60107E-2</v>
      </c>
      <c r="AH37" s="22">
        <v>186.06899999999999</v>
      </c>
      <c r="AI37" s="22">
        <v>-1.7050200000000001E-2</v>
      </c>
      <c r="AJ37" s="22">
        <v>27</v>
      </c>
      <c r="AK37" s="22">
        <v>3.5812400000000001E-2</v>
      </c>
      <c r="AL37">
        <f t="shared" si="6"/>
        <v>17.0502</v>
      </c>
      <c r="AM37">
        <f t="shared" si="7"/>
        <v>0.61398963713999999</v>
      </c>
      <c r="AP37" s="9"/>
      <c r="AQ37" s="22">
        <v>1.7040999999999999</v>
      </c>
      <c r="AR37" s="22">
        <v>235.69300000000001</v>
      </c>
      <c r="AS37" s="25">
        <v>3.1372099999999997E-5</v>
      </c>
      <c r="AT37" s="22">
        <v>27</v>
      </c>
      <c r="AU37" s="22">
        <v>7.9956100000000002E-2</v>
      </c>
      <c r="AV37">
        <f t="shared" si="8"/>
        <v>-3.13721E-2</v>
      </c>
      <c r="AW37">
        <f t="shared" si="9"/>
        <v>-5.3461195609999998E-2</v>
      </c>
      <c r="AX37" s="9"/>
      <c r="AY37" s="22">
        <v>3.60107E-2</v>
      </c>
      <c r="AZ37" s="22">
        <v>251.75200000000001</v>
      </c>
      <c r="BA37" s="22">
        <v>-4.0045200000000001E-3</v>
      </c>
      <c r="BB37" s="22">
        <v>27</v>
      </c>
      <c r="BC37" s="22">
        <v>3.6077900000000003E-2</v>
      </c>
      <c r="BD37">
        <f t="shared" si="10"/>
        <v>4.0045200000000003</v>
      </c>
      <c r="BE37">
        <f t="shared" si="11"/>
        <v>0.144205568364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1.6990700000000001</v>
      </c>
      <c r="H38" s="22">
        <v>37.480899999999998</v>
      </c>
      <c r="I38" s="22">
        <v>-1.30524E-2</v>
      </c>
      <c r="J38" s="22">
        <v>28</v>
      </c>
      <c r="K38" s="22">
        <v>1.698</v>
      </c>
      <c r="L38">
        <f t="shared" si="0"/>
        <v>13.0524</v>
      </c>
      <c r="M38">
        <f t="shared" si="1"/>
        <v>22.176941268</v>
      </c>
      <c r="N38" s="9"/>
      <c r="O38" s="22">
        <v>4.1046100000000002E-2</v>
      </c>
      <c r="P38" s="22">
        <v>86.919300000000007</v>
      </c>
      <c r="Q38" s="22">
        <v>-1.7025800000000001E-2</v>
      </c>
      <c r="R38" s="22">
        <v>28</v>
      </c>
      <c r="S38" s="22">
        <v>4.0774499999999998E-2</v>
      </c>
      <c r="T38">
        <f t="shared" si="2"/>
        <v>17.0258</v>
      </c>
      <c r="U38">
        <f t="shared" si="3"/>
        <v>0.69884268938000005</v>
      </c>
      <c r="X38" s="9"/>
      <c r="Y38" s="22">
        <v>1.6990700000000001</v>
      </c>
      <c r="Z38" s="22">
        <v>136.465</v>
      </c>
      <c r="AA38" s="22">
        <v>-1.39191E-2</v>
      </c>
      <c r="AB38" s="22">
        <v>28</v>
      </c>
      <c r="AC38" s="22">
        <v>1.698</v>
      </c>
      <c r="AD38">
        <f t="shared" si="4"/>
        <v>13.9191</v>
      </c>
      <c r="AE38">
        <f t="shared" si="5"/>
        <v>23.649525237000002</v>
      </c>
      <c r="AF38" s="9"/>
      <c r="AG38" s="22">
        <v>4.1046100000000002E-2</v>
      </c>
      <c r="AH38" s="22">
        <v>186.07900000000001</v>
      </c>
      <c r="AI38" s="22">
        <v>-1.70441E-2</v>
      </c>
      <c r="AJ38" s="22">
        <v>28</v>
      </c>
      <c r="AK38" s="22">
        <v>4.0811199999999999E-2</v>
      </c>
      <c r="AL38">
        <f t="shared" si="6"/>
        <v>17.0441</v>
      </c>
      <c r="AM38">
        <f t="shared" si="7"/>
        <v>0.69959383301</v>
      </c>
      <c r="AP38" s="9"/>
      <c r="AQ38" s="22">
        <v>1.6990700000000001</v>
      </c>
      <c r="AR38" s="22">
        <v>235.703</v>
      </c>
      <c r="AS38" s="25">
        <v>2.5146500000000001E-5</v>
      </c>
      <c r="AT38" s="22">
        <v>28</v>
      </c>
      <c r="AU38" s="22">
        <v>7.9894999999999994E-2</v>
      </c>
      <c r="AV38">
        <f t="shared" si="8"/>
        <v>-2.5146500000000002E-2</v>
      </c>
      <c r="AW38">
        <f t="shared" si="9"/>
        <v>-4.2725663755000004E-2</v>
      </c>
      <c r="AX38" s="9"/>
      <c r="AY38" s="22">
        <v>4.1046100000000002E-2</v>
      </c>
      <c r="AZ38" s="22">
        <v>251.762</v>
      </c>
      <c r="BA38" s="22">
        <v>-4.2007399999999997E-3</v>
      </c>
      <c r="BB38" s="22">
        <v>28</v>
      </c>
      <c r="BC38" s="22">
        <v>4.1153000000000002E-2</v>
      </c>
      <c r="BD38">
        <f t="shared" si="10"/>
        <v>4.2007399999999997</v>
      </c>
      <c r="BE38">
        <f t="shared" si="11"/>
        <v>0.172423994114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1.6940299999999999</v>
      </c>
      <c r="H39" s="22">
        <v>37.491</v>
      </c>
      <c r="I39" s="22">
        <v>-1.3269E-2</v>
      </c>
      <c r="J39" s="22">
        <v>29</v>
      </c>
      <c r="K39" s="22">
        <v>1.6928099999999999</v>
      </c>
      <c r="L39">
        <f t="shared" si="0"/>
        <v>13.269</v>
      </c>
      <c r="M39">
        <f t="shared" si="1"/>
        <v>22.478084069999998</v>
      </c>
      <c r="N39" s="9"/>
      <c r="O39" s="22">
        <v>4.6081499999999997E-2</v>
      </c>
      <c r="P39" s="22">
        <v>86.929400000000001</v>
      </c>
      <c r="Q39" s="22">
        <v>-1.7022700000000002E-2</v>
      </c>
      <c r="R39" s="22">
        <v>29</v>
      </c>
      <c r="S39" s="22">
        <v>4.5831299999999998E-2</v>
      </c>
      <c r="T39">
        <f t="shared" si="2"/>
        <v>17.0227</v>
      </c>
      <c r="U39">
        <f t="shared" si="3"/>
        <v>0.78443155004999998</v>
      </c>
      <c r="X39" s="9"/>
      <c r="Y39" s="22">
        <v>1.6940299999999999</v>
      </c>
      <c r="Z39" s="22">
        <v>136.47499999999999</v>
      </c>
      <c r="AA39" s="22">
        <v>-1.41327E-2</v>
      </c>
      <c r="AB39" s="22">
        <v>29</v>
      </c>
      <c r="AC39" s="22">
        <v>1.6934199999999999</v>
      </c>
      <c r="AD39">
        <f t="shared" si="4"/>
        <v>14.1327</v>
      </c>
      <c r="AE39">
        <f t="shared" si="5"/>
        <v>23.941217780999999</v>
      </c>
      <c r="AF39" s="9"/>
      <c r="AG39" s="22">
        <v>4.6081499999999997E-2</v>
      </c>
      <c r="AH39" s="22">
        <v>186.089</v>
      </c>
      <c r="AI39" s="22">
        <v>-1.7041000000000001E-2</v>
      </c>
      <c r="AJ39" s="22">
        <v>29</v>
      </c>
      <c r="AK39" s="22">
        <v>4.58374E-2</v>
      </c>
      <c r="AL39">
        <f t="shared" si="6"/>
        <v>17.041</v>
      </c>
      <c r="AM39">
        <f t="shared" si="7"/>
        <v>0.78527484149999993</v>
      </c>
      <c r="AP39" s="9"/>
      <c r="AQ39" s="22">
        <v>1.6940299999999999</v>
      </c>
      <c r="AR39" s="22">
        <v>235.71299999999999</v>
      </c>
      <c r="AS39" s="25">
        <v>2.1789599999999999E-5</v>
      </c>
      <c r="AT39" s="22">
        <v>29</v>
      </c>
      <c r="AU39" s="22">
        <v>7.9956100000000002E-2</v>
      </c>
      <c r="AV39">
        <f t="shared" si="8"/>
        <v>-2.1789599999999999E-2</v>
      </c>
      <c r="AW39">
        <f t="shared" si="9"/>
        <v>-3.6912236087999997E-2</v>
      </c>
      <c r="AX39" s="9"/>
      <c r="AY39" s="22">
        <v>4.6081499999999997E-2</v>
      </c>
      <c r="AZ39" s="22">
        <v>251.773</v>
      </c>
      <c r="BA39" s="22">
        <v>-4.0481600000000003E-3</v>
      </c>
      <c r="BB39" s="22">
        <v>29</v>
      </c>
      <c r="BC39" s="22">
        <v>4.6194499999999999E-2</v>
      </c>
      <c r="BD39">
        <f t="shared" si="10"/>
        <v>4.0481600000000002</v>
      </c>
      <c r="BE39">
        <f t="shared" si="11"/>
        <v>0.18654528504000001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1.6890000000000001</v>
      </c>
      <c r="H40" s="22">
        <v>37.500999999999998</v>
      </c>
      <c r="I40" s="22">
        <v>-1.3473499999999999E-2</v>
      </c>
      <c r="J40" s="22">
        <v>30</v>
      </c>
      <c r="K40" s="22">
        <v>1.6876199999999999</v>
      </c>
      <c r="L40">
        <f t="shared" si="0"/>
        <v>13.4735</v>
      </c>
      <c r="M40">
        <f t="shared" si="1"/>
        <v>22.7567415</v>
      </c>
      <c r="N40" s="9"/>
      <c r="O40" s="22">
        <v>5.11169E-2</v>
      </c>
      <c r="P40" s="22">
        <v>86.939499999999995</v>
      </c>
      <c r="Q40" s="22">
        <v>-1.7022700000000002E-2</v>
      </c>
      <c r="R40" s="22">
        <v>30</v>
      </c>
      <c r="S40" s="22">
        <v>5.0845300000000003E-2</v>
      </c>
      <c r="T40">
        <f t="shared" si="2"/>
        <v>17.0227</v>
      </c>
      <c r="U40">
        <f t="shared" si="3"/>
        <v>0.87014765363000002</v>
      </c>
      <c r="X40" s="9"/>
      <c r="Y40" s="22">
        <v>1.6890000000000001</v>
      </c>
      <c r="Z40" s="22">
        <v>136.48500000000001</v>
      </c>
      <c r="AA40" s="22">
        <v>-1.4114399999999999E-2</v>
      </c>
      <c r="AB40" s="22">
        <v>30</v>
      </c>
      <c r="AC40" s="22">
        <v>1.6882299999999999</v>
      </c>
      <c r="AD40">
        <f t="shared" si="4"/>
        <v>14.1144</v>
      </c>
      <c r="AE40">
        <f t="shared" si="5"/>
        <v>23.839221600000002</v>
      </c>
      <c r="AF40" s="9"/>
      <c r="AG40" s="22">
        <v>5.11169E-2</v>
      </c>
      <c r="AH40" s="22">
        <v>186.09899999999999</v>
      </c>
      <c r="AI40" s="22">
        <v>-1.7041000000000001E-2</v>
      </c>
      <c r="AJ40" s="22">
        <v>30</v>
      </c>
      <c r="AK40" s="22">
        <v>5.0885E-2</v>
      </c>
      <c r="AL40">
        <f t="shared" si="6"/>
        <v>17.041</v>
      </c>
      <c r="AM40">
        <f t="shared" si="7"/>
        <v>0.87108309289999997</v>
      </c>
      <c r="AP40" s="9"/>
      <c r="AQ40" s="22">
        <v>1.6890000000000001</v>
      </c>
      <c r="AR40" s="22">
        <v>235.72300000000001</v>
      </c>
      <c r="AS40" s="25">
        <v>2.12708E-5</v>
      </c>
      <c r="AT40" s="22">
        <v>30</v>
      </c>
      <c r="AU40" s="22">
        <v>7.9894999999999994E-2</v>
      </c>
      <c r="AV40">
        <f t="shared" si="8"/>
        <v>-2.1270799999999999E-2</v>
      </c>
      <c r="AW40">
        <f t="shared" si="9"/>
        <v>-3.5926381200000003E-2</v>
      </c>
      <c r="AX40" s="9"/>
      <c r="AY40" s="22">
        <v>5.11169E-2</v>
      </c>
      <c r="AZ40" s="22">
        <v>251.78299999999999</v>
      </c>
      <c r="BA40" s="22">
        <v>-4.0533399999999999E-3</v>
      </c>
      <c r="BB40" s="22">
        <v>30</v>
      </c>
      <c r="BC40" s="22">
        <v>5.0903299999999999E-2</v>
      </c>
      <c r="BD40">
        <f t="shared" si="10"/>
        <v>4.0533399999999995</v>
      </c>
      <c r="BE40">
        <f t="shared" si="11"/>
        <v>0.20719417544599997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1.6839599999999999</v>
      </c>
      <c r="H41" s="22">
        <v>37.511099999999999</v>
      </c>
      <c r="I41" s="22">
        <v>-1.36597E-2</v>
      </c>
      <c r="J41" s="22">
        <v>31</v>
      </c>
      <c r="K41" s="22">
        <v>1.6830400000000001</v>
      </c>
      <c r="L41">
        <f t="shared" si="0"/>
        <v>13.659700000000001</v>
      </c>
      <c r="M41">
        <f t="shared" si="1"/>
        <v>23.002388411999998</v>
      </c>
      <c r="N41" s="9"/>
      <c r="O41" s="22">
        <v>5.6152300000000002E-2</v>
      </c>
      <c r="P41" s="22">
        <v>86.9495</v>
      </c>
      <c r="Q41" s="22">
        <v>-1.70166E-2</v>
      </c>
      <c r="R41" s="22">
        <v>31</v>
      </c>
      <c r="S41" s="22">
        <v>5.5419900000000001E-2</v>
      </c>
      <c r="T41">
        <f t="shared" si="2"/>
        <v>17.0166</v>
      </c>
      <c r="U41">
        <f t="shared" si="3"/>
        <v>0.95552122818000007</v>
      </c>
      <c r="X41" s="9"/>
      <c r="Y41" s="22">
        <v>1.6839599999999999</v>
      </c>
      <c r="Z41" s="22">
        <v>136.495</v>
      </c>
      <c r="AA41" s="22">
        <v>-1.44806E-2</v>
      </c>
      <c r="AB41" s="22">
        <v>31</v>
      </c>
      <c r="AC41" s="22">
        <v>1.6830400000000001</v>
      </c>
      <c r="AD41">
        <f t="shared" si="4"/>
        <v>14.480599999999999</v>
      </c>
      <c r="AE41">
        <f t="shared" si="5"/>
        <v>24.384751175999998</v>
      </c>
      <c r="AF41" s="9"/>
      <c r="AG41" s="22">
        <v>5.6152300000000002E-2</v>
      </c>
      <c r="AH41" s="22">
        <v>186.10900000000001</v>
      </c>
      <c r="AI41" s="22">
        <v>-1.7038000000000001E-2</v>
      </c>
      <c r="AJ41" s="22">
        <v>31</v>
      </c>
      <c r="AK41" s="22">
        <v>5.5481000000000003E-2</v>
      </c>
      <c r="AL41">
        <f t="shared" si="6"/>
        <v>17.038</v>
      </c>
      <c r="AM41">
        <f t="shared" si="7"/>
        <v>0.9567228874</v>
      </c>
      <c r="AP41" s="9"/>
      <c r="AQ41" s="22">
        <v>1.6839599999999999</v>
      </c>
      <c r="AR41" s="22">
        <v>235.733</v>
      </c>
      <c r="AS41" s="25">
        <v>2.06299E-5</v>
      </c>
      <c r="AT41" s="22">
        <v>31</v>
      </c>
      <c r="AU41" s="22">
        <v>7.9894999999999994E-2</v>
      </c>
      <c r="AV41">
        <f t="shared" si="8"/>
        <v>-2.06299E-2</v>
      </c>
      <c r="AW41">
        <f t="shared" si="9"/>
        <v>-3.4739926403999997E-2</v>
      </c>
      <c r="AX41" s="9"/>
      <c r="AY41" s="22">
        <v>5.6152300000000002E-2</v>
      </c>
      <c r="AZ41" s="22">
        <v>251.79300000000001</v>
      </c>
      <c r="BA41" s="22">
        <v>-4.0832500000000001E-3</v>
      </c>
      <c r="BB41" s="22">
        <v>31</v>
      </c>
      <c r="BC41" s="22">
        <v>5.5938700000000001E-2</v>
      </c>
      <c r="BD41">
        <f t="shared" si="10"/>
        <v>4.0832500000000005</v>
      </c>
      <c r="BE41">
        <f t="shared" si="11"/>
        <v>0.22928387897500005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1.67892</v>
      </c>
      <c r="H42" s="22">
        <v>37.5212</v>
      </c>
      <c r="I42" s="22">
        <v>-1.38306E-2</v>
      </c>
      <c r="J42" s="22">
        <v>32</v>
      </c>
      <c r="K42" s="22">
        <v>1.6781600000000001</v>
      </c>
      <c r="L42">
        <f t="shared" si="0"/>
        <v>13.8306</v>
      </c>
      <c r="M42">
        <f t="shared" si="1"/>
        <v>23.220470951999999</v>
      </c>
      <c r="N42" s="9"/>
      <c r="O42" s="22">
        <v>6.1187699999999998E-2</v>
      </c>
      <c r="P42" s="22">
        <v>86.959599999999995</v>
      </c>
      <c r="Q42" s="22">
        <v>-1.7013500000000001E-2</v>
      </c>
      <c r="R42" s="22">
        <v>32</v>
      </c>
      <c r="S42" s="22">
        <v>6.0302700000000001E-2</v>
      </c>
      <c r="T42">
        <f t="shared" si="2"/>
        <v>17.013500000000001</v>
      </c>
      <c r="U42">
        <f t="shared" si="3"/>
        <v>1.0410169339499999</v>
      </c>
      <c r="X42" s="9"/>
      <c r="Y42" s="22">
        <v>1.67892</v>
      </c>
      <c r="Z42" s="22">
        <v>136.505</v>
      </c>
      <c r="AA42" s="22">
        <v>-1.46515E-2</v>
      </c>
      <c r="AB42" s="22">
        <v>32</v>
      </c>
      <c r="AC42" s="22">
        <v>1.6775500000000001</v>
      </c>
      <c r="AD42">
        <f t="shared" si="4"/>
        <v>14.6515</v>
      </c>
      <c r="AE42">
        <f t="shared" si="5"/>
        <v>24.59869638</v>
      </c>
      <c r="AF42" s="9"/>
      <c r="AG42" s="22">
        <v>6.1187699999999998E-2</v>
      </c>
      <c r="AH42" s="22">
        <v>186.12</v>
      </c>
      <c r="AI42" s="22">
        <v>-1.7034899999999999E-2</v>
      </c>
      <c r="AJ42" s="22">
        <v>32</v>
      </c>
      <c r="AK42" s="22">
        <v>6.0455299999999997E-2</v>
      </c>
      <c r="AL42">
        <f t="shared" si="6"/>
        <v>17.0349</v>
      </c>
      <c r="AM42">
        <f t="shared" si="7"/>
        <v>1.04232635073</v>
      </c>
      <c r="AP42" s="9"/>
      <c r="AQ42" s="22">
        <v>1.67892</v>
      </c>
      <c r="AR42" s="22">
        <v>235.74299999999999</v>
      </c>
      <c r="AS42" s="25">
        <v>2.2705100000000001E-5</v>
      </c>
      <c r="AT42" s="22">
        <v>32</v>
      </c>
      <c r="AU42" s="22">
        <v>7.9834000000000002E-2</v>
      </c>
      <c r="AV42">
        <f t="shared" si="8"/>
        <v>-2.2705099999999999E-2</v>
      </c>
      <c r="AW42">
        <f t="shared" si="9"/>
        <v>-3.8120046491999994E-2</v>
      </c>
      <c r="AX42" s="9"/>
      <c r="AY42" s="22">
        <v>6.1187699999999998E-2</v>
      </c>
      <c r="AZ42" s="22">
        <v>251.803</v>
      </c>
      <c r="BA42" s="22">
        <v>-4.1897599999999998E-3</v>
      </c>
      <c r="BB42" s="22">
        <v>32</v>
      </c>
      <c r="BC42" s="22">
        <v>6.0974100000000003E-2</v>
      </c>
      <c r="BD42">
        <f t="shared" si="10"/>
        <v>4.1897599999999997</v>
      </c>
      <c r="BE42">
        <f t="shared" si="11"/>
        <v>0.25636177795199999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1.6738900000000001</v>
      </c>
      <c r="H43" s="22">
        <v>37.531300000000002</v>
      </c>
      <c r="I43" s="22">
        <v>-1.3946500000000001E-2</v>
      </c>
      <c r="J43" s="22">
        <v>33</v>
      </c>
      <c r="K43" s="22">
        <v>1.6726700000000001</v>
      </c>
      <c r="L43">
        <f t="shared" si="0"/>
        <v>13.9465</v>
      </c>
      <c r="M43">
        <f t="shared" si="1"/>
        <v>23.344906885</v>
      </c>
      <c r="N43" s="9"/>
      <c r="O43" s="22">
        <v>6.6223099999999993E-2</v>
      </c>
      <c r="P43" s="22">
        <v>86.969700000000003</v>
      </c>
      <c r="Q43" s="22">
        <v>-1.7010500000000001E-2</v>
      </c>
      <c r="R43" s="22">
        <v>33</v>
      </c>
      <c r="S43" s="22">
        <v>6.5460199999999996E-2</v>
      </c>
      <c r="T43">
        <f t="shared" si="2"/>
        <v>17.0105</v>
      </c>
      <c r="U43">
        <f t="shared" si="3"/>
        <v>1.1264880425499999</v>
      </c>
      <c r="X43" s="9"/>
      <c r="Y43" s="22">
        <v>1.6738900000000001</v>
      </c>
      <c r="Z43" s="22">
        <v>136.51499999999999</v>
      </c>
      <c r="AA43" s="22">
        <v>-1.4776600000000001E-2</v>
      </c>
      <c r="AB43" s="22">
        <v>33</v>
      </c>
      <c r="AC43" s="22">
        <v>1.6720600000000001</v>
      </c>
      <c r="AD43">
        <f t="shared" si="4"/>
        <v>14.7766</v>
      </c>
      <c r="AE43">
        <f t="shared" si="5"/>
        <v>24.734402974000002</v>
      </c>
      <c r="AF43" s="9"/>
      <c r="AG43" s="22">
        <v>6.6223099999999993E-2</v>
      </c>
      <c r="AH43" s="22">
        <v>186.13</v>
      </c>
      <c r="AI43" s="22">
        <v>-1.7034899999999999E-2</v>
      </c>
      <c r="AJ43" s="22">
        <v>33</v>
      </c>
      <c r="AK43" s="22">
        <v>6.5521200000000002E-2</v>
      </c>
      <c r="AL43">
        <f t="shared" si="6"/>
        <v>17.0349</v>
      </c>
      <c r="AM43">
        <f t="shared" si="7"/>
        <v>1.1281038861899999</v>
      </c>
      <c r="AP43" s="9"/>
      <c r="AQ43" s="22">
        <v>1.6738900000000001</v>
      </c>
      <c r="AR43" s="22">
        <v>235.75299999999999</v>
      </c>
      <c r="AS43" s="25">
        <v>1.9989000000000001E-5</v>
      </c>
      <c r="AT43" s="22">
        <v>33</v>
      </c>
      <c r="AU43" s="22">
        <v>7.9834000000000002E-2</v>
      </c>
      <c r="AV43">
        <f t="shared" si="8"/>
        <v>-1.9989E-2</v>
      </c>
      <c r="AW43">
        <f t="shared" si="9"/>
        <v>-3.3459387210000004E-2</v>
      </c>
      <c r="AX43" s="9"/>
      <c r="AY43" s="22">
        <v>6.6223099999999993E-2</v>
      </c>
      <c r="AZ43" s="22">
        <v>251.81299999999999</v>
      </c>
      <c r="BA43" s="22">
        <v>-4.0603599999999998E-3</v>
      </c>
      <c r="BB43" s="22">
        <v>33</v>
      </c>
      <c r="BC43" s="22">
        <v>6.6070599999999993E-2</v>
      </c>
      <c r="BD43">
        <f t="shared" si="10"/>
        <v>4.0603600000000002</v>
      </c>
      <c r="BE43">
        <f t="shared" si="11"/>
        <v>0.268889626316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1.6688499999999999</v>
      </c>
      <c r="H44" s="22">
        <v>37.5413</v>
      </c>
      <c r="I44" s="22">
        <v>-1.40991E-2</v>
      </c>
      <c r="J44" s="22">
        <v>34</v>
      </c>
      <c r="K44" s="22">
        <v>1.6677900000000001</v>
      </c>
      <c r="L44">
        <f t="shared" si="0"/>
        <v>14.0991</v>
      </c>
      <c r="M44">
        <f t="shared" si="1"/>
        <v>23.529283034999999</v>
      </c>
      <c r="N44" s="9"/>
      <c r="O44" s="22">
        <v>7.1258500000000002E-2</v>
      </c>
      <c r="P44" s="22">
        <v>86.979799999999997</v>
      </c>
      <c r="Q44" s="22">
        <v>-1.7004399999999999E-2</v>
      </c>
      <c r="R44" s="22">
        <v>34</v>
      </c>
      <c r="S44" s="22">
        <v>7.0617700000000005E-2</v>
      </c>
      <c r="T44">
        <f t="shared" si="2"/>
        <v>17.0044</v>
      </c>
      <c r="U44">
        <f t="shared" si="3"/>
        <v>1.2117080374</v>
      </c>
      <c r="X44" s="9"/>
      <c r="Y44" s="22">
        <v>1.6688499999999999</v>
      </c>
      <c r="Z44" s="22">
        <v>136.52500000000001</v>
      </c>
      <c r="AA44" s="22">
        <v>-1.49628E-2</v>
      </c>
      <c r="AB44" s="22">
        <v>34</v>
      </c>
      <c r="AC44" s="22">
        <v>1.6684000000000001</v>
      </c>
      <c r="AD44">
        <f t="shared" si="4"/>
        <v>14.9628</v>
      </c>
      <c r="AE44">
        <f t="shared" si="5"/>
        <v>24.970668779999997</v>
      </c>
      <c r="AF44" s="9"/>
      <c r="AG44" s="22">
        <v>7.1258500000000002E-2</v>
      </c>
      <c r="AH44" s="22">
        <v>186.14</v>
      </c>
      <c r="AI44" s="22">
        <v>-1.7031899999999999E-2</v>
      </c>
      <c r="AJ44" s="22">
        <v>34</v>
      </c>
      <c r="AK44" s="22">
        <v>7.04346E-2</v>
      </c>
      <c r="AL44">
        <f t="shared" si="6"/>
        <v>17.0319</v>
      </c>
      <c r="AM44">
        <f t="shared" si="7"/>
        <v>1.21366764615</v>
      </c>
      <c r="AP44" s="9"/>
      <c r="AQ44" s="22">
        <v>1.6688499999999999</v>
      </c>
      <c r="AR44" s="22">
        <v>235.76300000000001</v>
      </c>
      <c r="AS44" s="25">
        <v>2.01721E-5</v>
      </c>
      <c r="AT44" s="22">
        <v>34</v>
      </c>
      <c r="AU44" s="22">
        <v>7.9834000000000002E-2</v>
      </c>
      <c r="AV44">
        <f t="shared" si="8"/>
        <v>-2.0172099999999998E-2</v>
      </c>
      <c r="AW44">
        <f t="shared" si="9"/>
        <v>-3.3664209084999994E-2</v>
      </c>
      <c r="AX44" s="9"/>
      <c r="AY44" s="22">
        <v>7.1258500000000002E-2</v>
      </c>
      <c r="AZ44" s="22">
        <v>251.82300000000001</v>
      </c>
      <c r="BA44" s="22">
        <v>-4.2413299999999998E-3</v>
      </c>
      <c r="BB44" s="22">
        <v>34</v>
      </c>
      <c r="BC44" s="22">
        <v>7.1075399999999997E-2</v>
      </c>
      <c r="BD44">
        <f t="shared" si="10"/>
        <v>4.2413299999999996</v>
      </c>
      <c r="BE44">
        <f t="shared" si="11"/>
        <v>0.302230813805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1.6638200000000001</v>
      </c>
      <c r="H45" s="22">
        <v>37.551400000000001</v>
      </c>
      <c r="I45" s="22">
        <v>-1.42395E-2</v>
      </c>
      <c r="J45" s="22">
        <v>35</v>
      </c>
      <c r="K45" s="22">
        <v>1.6626000000000001</v>
      </c>
      <c r="L45">
        <f t="shared" si="0"/>
        <v>14.2395</v>
      </c>
      <c r="M45">
        <f t="shared" si="1"/>
        <v>23.691964890000001</v>
      </c>
      <c r="N45" s="9"/>
      <c r="O45" s="22">
        <v>7.6293899999999998E-2</v>
      </c>
      <c r="P45" s="22">
        <v>86.989800000000002</v>
      </c>
      <c r="Q45" s="22">
        <v>-1.70013E-2</v>
      </c>
      <c r="R45" s="22">
        <v>35</v>
      </c>
      <c r="S45" s="22">
        <v>7.5744599999999995E-2</v>
      </c>
      <c r="T45">
        <f t="shared" si="2"/>
        <v>17.001300000000001</v>
      </c>
      <c r="U45">
        <f t="shared" si="3"/>
        <v>1.29709548207</v>
      </c>
      <c r="X45" s="9"/>
      <c r="Y45" s="22">
        <v>1.6638200000000001</v>
      </c>
      <c r="Z45" s="22">
        <v>136.535</v>
      </c>
      <c r="AA45" s="22">
        <v>-1.5090900000000001E-2</v>
      </c>
      <c r="AB45" s="22">
        <v>35</v>
      </c>
      <c r="AC45" s="22">
        <v>1.6629</v>
      </c>
      <c r="AD45">
        <f t="shared" si="4"/>
        <v>15.090900000000001</v>
      </c>
      <c r="AE45">
        <f t="shared" si="5"/>
        <v>25.108541238000004</v>
      </c>
      <c r="AF45" s="9"/>
      <c r="AG45" s="22">
        <v>7.6293899999999998E-2</v>
      </c>
      <c r="AH45" s="22">
        <v>186.15</v>
      </c>
      <c r="AI45" s="22">
        <v>-1.70288E-2</v>
      </c>
      <c r="AJ45" s="22">
        <v>35</v>
      </c>
      <c r="AK45" s="22">
        <v>7.5561500000000004E-2</v>
      </c>
      <c r="AL45">
        <f t="shared" si="6"/>
        <v>17.0288</v>
      </c>
      <c r="AM45">
        <f t="shared" si="7"/>
        <v>1.2991935643199999</v>
      </c>
      <c r="AP45" s="9"/>
      <c r="AQ45" s="22">
        <v>1.6638200000000001</v>
      </c>
      <c r="AR45" s="22">
        <v>235.773</v>
      </c>
      <c r="AS45" s="25">
        <v>2.7343800000000001E-5</v>
      </c>
      <c r="AT45" s="22">
        <v>35</v>
      </c>
      <c r="AU45" s="22">
        <v>7.9772899999999994E-2</v>
      </c>
      <c r="AV45">
        <f t="shared" si="8"/>
        <v>-2.7343800000000001E-2</v>
      </c>
      <c r="AW45">
        <f t="shared" si="9"/>
        <v>-4.5495161316000003E-2</v>
      </c>
      <c r="AX45" s="9"/>
      <c r="AY45" s="22">
        <v>7.6293899999999998E-2</v>
      </c>
      <c r="AZ45" s="22">
        <v>251.833</v>
      </c>
      <c r="BA45" s="22">
        <v>-4.1793799999999999E-3</v>
      </c>
      <c r="BB45" s="22">
        <v>35</v>
      </c>
      <c r="BC45" s="22">
        <v>7.6110800000000006E-2</v>
      </c>
      <c r="BD45">
        <f t="shared" si="10"/>
        <v>4.1793800000000001</v>
      </c>
      <c r="BE45">
        <f t="shared" si="11"/>
        <v>0.318861199782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1.6587799999999999</v>
      </c>
      <c r="H46" s="22">
        <v>37.561500000000002</v>
      </c>
      <c r="I46" s="22">
        <v>-1.43768E-2</v>
      </c>
      <c r="J46" s="22">
        <v>36</v>
      </c>
      <c r="K46" s="22">
        <v>1.65741</v>
      </c>
      <c r="L46">
        <f t="shared" si="0"/>
        <v>14.376800000000001</v>
      </c>
      <c r="M46">
        <f t="shared" si="1"/>
        <v>23.847948303999999</v>
      </c>
      <c r="N46" s="9"/>
      <c r="O46" s="22">
        <v>8.1329299999999993E-2</v>
      </c>
      <c r="P46" s="22">
        <v>86.999899999999997</v>
      </c>
      <c r="Q46" s="22">
        <v>-1.6998300000000001E-2</v>
      </c>
      <c r="R46" s="22">
        <v>36</v>
      </c>
      <c r="S46" s="22">
        <v>8.0718999999999999E-2</v>
      </c>
      <c r="T46">
        <f t="shared" si="2"/>
        <v>16.9983</v>
      </c>
      <c r="U46">
        <f t="shared" si="3"/>
        <v>1.3824598401899999</v>
      </c>
      <c r="X46" s="9"/>
      <c r="Y46" s="22">
        <v>1.6587799999999999</v>
      </c>
      <c r="Z46" s="22">
        <v>136.54499999999999</v>
      </c>
      <c r="AA46" s="22">
        <v>-1.521E-2</v>
      </c>
      <c r="AB46" s="22">
        <v>36</v>
      </c>
      <c r="AC46" s="22">
        <v>1.6571</v>
      </c>
      <c r="AD46">
        <f t="shared" si="4"/>
        <v>15.209999999999999</v>
      </c>
      <c r="AE46">
        <f t="shared" si="5"/>
        <v>25.230043799999997</v>
      </c>
      <c r="AF46" s="9"/>
      <c r="AG46" s="22">
        <v>8.1329299999999993E-2</v>
      </c>
      <c r="AH46" s="22">
        <v>186.16</v>
      </c>
      <c r="AI46" s="22">
        <v>-1.7025800000000001E-2</v>
      </c>
      <c r="AJ46" s="22">
        <v>36</v>
      </c>
      <c r="AK46" s="22">
        <v>8.0749500000000002E-2</v>
      </c>
      <c r="AL46">
        <f t="shared" si="6"/>
        <v>17.0258</v>
      </c>
      <c r="AM46">
        <f t="shared" si="7"/>
        <v>1.3846963959399998</v>
      </c>
      <c r="AP46" s="9"/>
      <c r="AQ46" s="22">
        <v>1.6587799999999999</v>
      </c>
      <c r="AR46" s="22">
        <v>235.78299999999999</v>
      </c>
      <c r="AS46" s="25">
        <v>2.33459E-5</v>
      </c>
      <c r="AT46" s="22">
        <v>36</v>
      </c>
      <c r="AU46" s="22">
        <v>7.9834000000000002E-2</v>
      </c>
      <c r="AV46">
        <f t="shared" si="8"/>
        <v>-2.3345899999999999E-2</v>
      </c>
      <c r="AW46">
        <f t="shared" si="9"/>
        <v>-3.8725712002E-2</v>
      </c>
      <c r="AX46" s="9"/>
      <c r="AY46" s="22">
        <v>8.1329299999999993E-2</v>
      </c>
      <c r="AZ46" s="22">
        <v>251.84299999999999</v>
      </c>
      <c r="BA46" s="22">
        <v>-4.1766399999999997E-3</v>
      </c>
      <c r="BB46" s="22">
        <v>36</v>
      </c>
      <c r="BC46" s="22">
        <v>8.1176799999999993E-2</v>
      </c>
      <c r="BD46">
        <f t="shared" si="10"/>
        <v>4.1766399999999999</v>
      </c>
      <c r="BE46">
        <f t="shared" si="11"/>
        <v>0.33968320755199999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1.6537500000000001</v>
      </c>
      <c r="H47" s="22">
        <v>37.5715</v>
      </c>
      <c r="I47" s="22">
        <v>-1.4508099999999999E-2</v>
      </c>
      <c r="J47" s="22">
        <v>37</v>
      </c>
      <c r="K47" s="22">
        <v>1.65283</v>
      </c>
      <c r="L47">
        <f t="shared" si="0"/>
        <v>14.508099999999999</v>
      </c>
      <c r="M47">
        <f t="shared" si="1"/>
        <v>23.992770374999999</v>
      </c>
      <c r="N47" s="9"/>
      <c r="O47" s="22">
        <v>8.6364700000000003E-2</v>
      </c>
      <c r="P47" s="22">
        <v>87.01</v>
      </c>
      <c r="Q47" s="22">
        <v>-1.6998300000000001E-2</v>
      </c>
      <c r="R47" s="22">
        <v>37</v>
      </c>
      <c r="S47" s="22">
        <v>8.5601800000000006E-2</v>
      </c>
      <c r="T47">
        <f t="shared" si="2"/>
        <v>16.9983</v>
      </c>
      <c r="U47">
        <f t="shared" si="3"/>
        <v>1.46805308001</v>
      </c>
      <c r="X47" s="9"/>
      <c r="Y47" s="22">
        <v>1.6537500000000001</v>
      </c>
      <c r="Z47" s="22">
        <v>136.55500000000001</v>
      </c>
      <c r="AA47" s="22">
        <v>-1.53168E-2</v>
      </c>
      <c r="AB47" s="22">
        <v>37</v>
      </c>
      <c r="AC47" s="22">
        <v>1.65283</v>
      </c>
      <c r="AD47">
        <f t="shared" si="4"/>
        <v>15.316800000000001</v>
      </c>
      <c r="AE47">
        <f t="shared" si="5"/>
        <v>25.330158000000001</v>
      </c>
      <c r="AF47" s="9"/>
      <c r="AG47" s="22">
        <v>8.6364700000000003E-2</v>
      </c>
      <c r="AH47" s="22">
        <v>186.17</v>
      </c>
      <c r="AI47" s="22">
        <v>-1.7019699999999999E-2</v>
      </c>
      <c r="AJ47" s="22">
        <v>37</v>
      </c>
      <c r="AK47" s="22">
        <v>8.5876499999999995E-2</v>
      </c>
      <c r="AL47">
        <f t="shared" si="6"/>
        <v>17.0197</v>
      </c>
      <c r="AM47">
        <f t="shared" si="7"/>
        <v>1.4699012845900001</v>
      </c>
      <c r="AP47" s="9"/>
      <c r="AQ47" s="22">
        <v>1.6537500000000001</v>
      </c>
      <c r="AR47" s="22">
        <v>235.79300000000001</v>
      </c>
      <c r="AS47" s="25">
        <v>2.2277799999999999E-5</v>
      </c>
      <c r="AT47" s="22">
        <v>37</v>
      </c>
      <c r="AU47" s="22">
        <v>7.9803499999999999E-2</v>
      </c>
      <c r="AV47">
        <f t="shared" si="8"/>
        <v>-2.22778E-2</v>
      </c>
      <c r="AW47">
        <f t="shared" si="9"/>
        <v>-3.6841911750000005E-2</v>
      </c>
      <c r="AX47" s="9"/>
      <c r="AY47" s="22">
        <v>8.6364700000000003E-2</v>
      </c>
      <c r="AZ47" s="22">
        <v>251.85300000000001</v>
      </c>
      <c r="BA47" s="22">
        <v>-4.3234299999999996E-3</v>
      </c>
      <c r="BB47" s="22">
        <v>37</v>
      </c>
      <c r="BC47" s="22">
        <v>8.6120600000000005E-2</v>
      </c>
      <c r="BD47">
        <f t="shared" si="10"/>
        <v>4.3234299999999992</v>
      </c>
      <c r="BE47">
        <f t="shared" si="11"/>
        <v>0.37339173492099992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1.6487099999999999</v>
      </c>
      <c r="H48" s="22">
        <v>37.581600000000002</v>
      </c>
      <c r="I48" s="22">
        <v>-1.46301E-2</v>
      </c>
      <c r="J48" s="22">
        <v>38</v>
      </c>
      <c r="K48" s="22">
        <v>1.64703</v>
      </c>
      <c r="L48">
        <f t="shared" si="0"/>
        <v>14.630100000000001</v>
      </c>
      <c r="M48">
        <f t="shared" si="1"/>
        <v>24.120792170999998</v>
      </c>
      <c r="N48" s="9"/>
      <c r="O48" s="22">
        <v>9.1400099999999998E-2</v>
      </c>
      <c r="P48" s="22">
        <v>87.02</v>
      </c>
      <c r="Q48" s="22">
        <v>-1.6995199999999999E-2</v>
      </c>
      <c r="R48" s="22">
        <v>38</v>
      </c>
      <c r="S48" s="22">
        <v>9.0698200000000007E-2</v>
      </c>
      <c r="T48">
        <f t="shared" si="2"/>
        <v>16.995199999999997</v>
      </c>
      <c r="U48">
        <f t="shared" si="3"/>
        <v>1.5533629795199997</v>
      </c>
      <c r="X48" s="9"/>
      <c r="Y48" s="22">
        <v>1.6487099999999999</v>
      </c>
      <c r="Z48" s="22">
        <v>136.565</v>
      </c>
      <c r="AA48" s="22">
        <v>-1.54022E-2</v>
      </c>
      <c r="AB48" s="22">
        <v>38</v>
      </c>
      <c r="AC48" s="22">
        <v>1.64825</v>
      </c>
      <c r="AD48">
        <f t="shared" si="4"/>
        <v>15.402199999999999</v>
      </c>
      <c r="AE48">
        <f t="shared" si="5"/>
        <v>25.393761161999997</v>
      </c>
      <c r="AF48" s="9"/>
      <c r="AG48" s="22">
        <v>9.1400099999999998E-2</v>
      </c>
      <c r="AH48" s="22">
        <v>186.18</v>
      </c>
      <c r="AI48" s="22">
        <v>-1.7019699999999999E-2</v>
      </c>
      <c r="AJ48" s="22">
        <v>38</v>
      </c>
      <c r="AK48" s="22">
        <v>9.0759300000000001E-2</v>
      </c>
      <c r="AL48">
        <f t="shared" si="6"/>
        <v>17.0197</v>
      </c>
      <c r="AM48">
        <f t="shared" si="7"/>
        <v>1.5556022819699999</v>
      </c>
      <c r="AP48" s="9"/>
      <c r="AQ48" s="22">
        <v>1.6487099999999999</v>
      </c>
      <c r="AR48" s="22">
        <v>235.803</v>
      </c>
      <c r="AS48" s="25">
        <v>3.15247E-5</v>
      </c>
      <c r="AT48" s="22">
        <v>38</v>
      </c>
      <c r="AU48" s="22">
        <v>7.9803499999999999E-2</v>
      </c>
      <c r="AV48">
        <f t="shared" si="8"/>
        <v>-3.1524700000000003E-2</v>
      </c>
      <c r="AW48">
        <f t="shared" si="9"/>
        <v>-5.1975088137000004E-2</v>
      </c>
      <c r="AX48" s="9"/>
      <c r="AY48" s="22">
        <v>9.1400099999999998E-2</v>
      </c>
      <c r="AZ48" s="22">
        <v>251.863</v>
      </c>
      <c r="BA48" s="22">
        <v>-4.1964699999999999E-3</v>
      </c>
      <c r="BB48" s="22">
        <v>38</v>
      </c>
      <c r="BC48" s="22">
        <v>9.1217000000000006E-2</v>
      </c>
      <c r="BD48">
        <f t="shared" si="10"/>
        <v>4.1964699999999997</v>
      </c>
      <c r="BE48">
        <f t="shared" si="11"/>
        <v>0.38355777764699994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1.64368</v>
      </c>
      <c r="H49" s="22">
        <v>37.591700000000003</v>
      </c>
      <c r="I49" s="22">
        <v>-1.47247E-2</v>
      </c>
      <c r="J49" s="22">
        <v>39</v>
      </c>
      <c r="K49" s="22">
        <v>1.64276</v>
      </c>
      <c r="L49">
        <f t="shared" si="0"/>
        <v>14.7247</v>
      </c>
      <c r="M49">
        <f t="shared" si="1"/>
        <v>24.202694896000001</v>
      </c>
      <c r="N49" s="9"/>
      <c r="O49" s="22">
        <v>9.6435499999999993E-2</v>
      </c>
      <c r="P49" s="22">
        <v>87.030100000000004</v>
      </c>
      <c r="Q49" s="22">
        <v>-1.6992199999999999E-2</v>
      </c>
      <c r="R49" s="22">
        <v>39</v>
      </c>
      <c r="S49" s="22">
        <v>9.5764199999999994E-2</v>
      </c>
      <c r="T49">
        <f t="shared" si="2"/>
        <v>16.9922</v>
      </c>
      <c r="U49">
        <f t="shared" si="3"/>
        <v>1.6386513030999998</v>
      </c>
      <c r="X49" s="9"/>
      <c r="Y49" s="22">
        <v>1.64368</v>
      </c>
      <c r="Z49" s="22">
        <v>136.57599999999999</v>
      </c>
      <c r="AA49" s="22">
        <v>-1.54999E-2</v>
      </c>
      <c r="AB49" s="22">
        <v>39</v>
      </c>
      <c r="AC49" s="22">
        <v>1.64215</v>
      </c>
      <c r="AD49">
        <f t="shared" si="4"/>
        <v>15.4999</v>
      </c>
      <c r="AE49">
        <f t="shared" si="5"/>
        <v>25.476875632000002</v>
      </c>
      <c r="AF49" s="9"/>
      <c r="AG49" s="22">
        <v>9.6435499999999993E-2</v>
      </c>
      <c r="AH49" s="22">
        <v>186.19</v>
      </c>
      <c r="AI49" s="22">
        <v>-1.70166E-2</v>
      </c>
      <c r="AJ49" s="22">
        <v>39</v>
      </c>
      <c r="AK49" s="22">
        <v>9.5672599999999997E-2</v>
      </c>
      <c r="AL49">
        <f t="shared" si="6"/>
        <v>17.0166</v>
      </c>
      <c r="AM49">
        <f t="shared" si="7"/>
        <v>1.6410043292999998</v>
      </c>
      <c r="AP49" s="9"/>
      <c r="AQ49" s="22">
        <v>1.64368</v>
      </c>
      <c r="AR49" s="22">
        <v>235.81299999999999</v>
      </c>
      <c r="AS49" s="25">
        <v>2.3559600000000001E-5</v>
      </c>
      <c r="AT49" s="22">
        <v>39</v>
      </c>
      <c r="AU49" s="22">
        <v>7.9772899999999994E-2</v>
      </c>
      <c r="AV49">
        <f t="shared" si="8"/>
        <v>-2.35596E-2</v>
      </c>
      <c r="AW49">
        <f t="shared" si="9"/>
        <v>-3.8724443327999999E-2</v>
      </c>
      <c r="AX49" s="9"/>
      <c r="AY49" s="22">
        <v>9.6435499999999993E-2</v>
      </c>
      <c r="AZ49" s="22">
        <v>251.87299999999999</v>
      </c>
      <c r="BA49" s="22">
        <v>-4.1665599999999997E-3</v>
      </c>
      <c r="BB49" s="22">
        <v>39</v>
      </c>
      <c r="BC49" s="22">
        <v>9.6252400000000002E-2</v>
      </c>
      <c r="BD49">
        <f t="shared" si="10"/>
        <v>4.1665599999999996</v>
      </c>
      <c r="BE49">
        <f t="shared" si="11"/>
        <v>0.40180429687999991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1.6386400000000001</v>
      </c>
      <c r="H50" s="22">
        <v>37.601799999999997</v>
      </c>
      <c r="I50" s="22">
        <v>-1.4822399999999999E-2</v>
      </c>
      <c r="J50" s="22">
        <v>40</v>
      </c>
      <c r="K50" s="22">
        <v>1.63788</v>
      </c>
      <c r="L50">
        <f t="shared" si="0"/>
        <v>14.8224</v>
      </c>
      <c r="M50">
        <f t="shared" si="1"/>
        <v>24.288577536000002</v>
      </c>
      <c r="N50" s="9"/>
      <c r="O50" s="22">
        <v>0.10147100000000001</v>
      </c>
      <c r="P50" s="22">
        <v>87.040199999999999</v>
      </c>
      <c r="Q50" s="22">
        <v>-1.6992199999999999E-2</v>
      </c>
      <c r="R50" s="22">
        <v>40</v>
      </c>
      <c r="S50" s="22">
        <v>0.100739</v>
      </c>
      <c r="T50">
        <f t="shared" si="2"/>
        <v>16.9922</v>
      </c>
      <c r="U50">
        <f t="shared" si="3"/>
        <v>1.7242155262000001</v>
      </c>
      <c r="X50" s="9"/>
      <c r="Y50" s="22">
        <v>1.6386400000000001</v>
      </c>
      <c r="Z50" s="22">
        <v>136.58600000000001</v>
      </c>
      <c r="AA50" s="22">
        <v>-1.55853E-2</v>
      </c>
      <c r="AB50" s="22">
        <v>40</v>
      </c>
      <c r="AC50" s="22">
        <v>1.63788</v>
      </c>
      <c r="AD50">
        <f t="shared" si="4"/>
        <v>15.5853</v>
      </c>
      <c r="AE50">
        <f t="shared" si="5"/>
        <v>25.538695992000001</v>
      </c>
      <c r="AF50" s="9"/>
      <c r="AG50" s="22">
        <v>0.10147100000000001</v>
      </c>
      <c r="AH50" s="22">
        <v>186.2</v>
      </c>
      <c r="AI50" s="22">
        <v>-1.70166E-2</v>
      </c>
      <c r="AJ50" s="22">
        <v>40</v>
      </c>
      <c r="AK50" s="22">
        <v>0.10070800000000001</v>
      </c>
      <c r="AL50">
        <f t="shared" si="6"/>
        <v>17.0166</v>
      </c>
      <c r="AM50">
        <f t="shared" si="7"/>
        <v>1.7266914186000002</v>
      </c>
      <c r="AP50" s="9"/>
      <c r="AQ50" s="22">
        <v>1.6386400000000001</v>
      </c>
      <c r="AR50" s="22">
        <v>235.82300000000001</v>
      </c>
      <c r="AS50" s="25">
        <v>2.5451699999999999E-5</v>
      </c>
      <c r="AT50" s="22">
        <v>40</v>
      </c>
      <c r="AU50" s="22">
        <v>7.9772899999999994E-2</v>
      </c>
      <c r="AV50">
        <f t="shared" si="8"/>
        <v>-2.5451699999999997E-2</v>
      </c>
      <c r="AW50">
        <f t="shared" si="9"/>
        <v>-4.1706173687999996E-2</v>
      </c>
      <c r="AX50" s="9"/>
      <c r="AY50" s="22">
        <v>0.10147100000000001</v>
      </c>
      <c r="AZ50" s="22">
        <v>251.88300000000001</v>
      </c>
      <c r="BA50" s="22">
        <v>-4.35638E-3</v>
      </c>
      <c r="BB50" s="22">
        <v>40</v>
      </c>
      <c r="BC50" s="22">
        <v>0.101257</v>
      </c>
      <c r="BD50">
        <f t="shared" si="10"/>
        <v>4.3563799999999997</v>
      </c>
      <c r="BE50">
        <f t="shared" si="11"/>
        <v>0.44204623498000001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1.63361</v>
      </c>
      <c r="H51" s="22">
        <v>37.611800000000002</v>
      </c>
      <c r="I51" s="22">
        <v>-1.4907800000000001E-2</v>
      </c>
      <c r="J51" s="22">
        <v>41</v>
      </c>
      <c r="K51" s="22">
        <v>1.63269</v>
      </c>
      <c r="L51">
        <f t="shared" si="0"/>
        <v>14.9078</v>
      </c>
      <c r="M51">
        <f t="shared" si="1"/>
        <v>24.353531157999999</v>
      </c>
      <c r="N51" s="9"/>
      <c r="O51" s="22">
        <v>0.106506</v>
      </c>
      <c r="P51" s="22">
        <v>87.050299999999993</v>
      </c>
      <c r="Q51" s="22">
        <v>-1.6992199999999999E-2</v>
      </c>
      <c r="R51" s="22">
        <v>41</v>
      </c>
      <c r="S51" s="22">
        <v>0.105896</v>
      </c>
      <c r="T51">
        <f t="shared" si="2"/>
        <v>16.9922</v>
      </c>
      <c r="U51">
        <f t="shared" si="3"/>
        <v>1.8097712532000001</v>
      </c>
      <c r="X51" s="9"/>
      <c r="Y51" s="22">
        <v>1.63361</v>
      </c>
      <c r="Z51" s="22">
        <v>136.596</v>
      </c>
      <c r="AA51" s="22">
        <v>-1.5661600000000001E-2</v>
      </c>
      <c r="AB51" s="22">
        <v>41</v>
      </c>
      <c r="AC51" s="22">
        <v>1.63239</v>
      </c>
      <c r="AD51">
        <f t="shared" si="4"/>
        <v>15.661600000000002</v>
      </c>
      <c r="AE51">
        <f t="shared" si="5"/>
        <v>25.584946376000001</v>
      </c>
      <c r="AF51" s="9"/>
      <c r="AG51" s="22">
        <v>0.106506</v>
      </c>
      <c r="AH51" s="22">
        <v>186.21</v>
      </c>
      <c r="AI51" s="22">
        <v>-1.70166E-2</v>
      </c>
      <c r="AJ51" s="22">
        <v>41</v>
      </c>
      <c r="AK51" s="22">
        <v>0.105804</v>
      </c>
      <c r="AL51">
        <f t="shared" si="6"/>
        <v>17.0166</v>
      </c>
      <c r="AM51">
        <f t="shared" si="7"/>
        <v>1.8123699996</v>
      </c>
      <c r="AP51" s="9"/>
      <c r="AQ51" s="22">
        <v>1.63361</v>
      </c>
      <c r="AR51" s="22">
        <v>235.834</v>
      </c>
      <c r="AS51" s="25">
        <v>2.63977E-5</v>
      </c>
      <c r="AT51" s="22">
        <v>41</v>
      </c>
      <c r="AU51" s="22">
        <v>7.9803499999999999E-2</v>
      </c>
      <c r="AV51">
        <f t="shared" si="8"/>
        <v>-2.63977E-2</v>
      </c>
      <c r="AW51">
        <f t="shared" si="9"/>
        <v>-4.3123546696999998E-2</v>
      </c>
      <c r="AX51" s="9"/>
      <c r="AY51" s="22">
        <v>0.106506</v>
      </c>
      <c r="AZ51" s="22">
        <v>251.893</v>
      </c>
      <c r="BA51" s="22">
        <v>-4.2807000000000001E-3</v>
      </c>
      <c r="BB51" s="22">
        <v>41</v>
      </c>
      <c r="BC51" s="22">
        <v>0.106262</v>
      </c>
      <c r="BD51">
        <f t="shared" si="10"/>
        <v>4.2807000000000004</v>
      </c>
      <c r="BE51">
        <f t="shared" si="11"/>
        <v>0.45592023420000005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1.6285700000000001</v>
      </c>
      <c r="H52" s="22">
        <v>37.621899999999997</v>
      </c>
      <c r="I52" s="22">
        <v>-1.49902E-2</v>
      </c>
      <c r="J52" s="22">
        <v>42</v>
      </c>
      <c r="K52" s="22">
        <v>1.6272</v>
      </c>
      <c r="L52">
        <f t="shared" si="0"/>
        <v>14.9902</v>
      </c>
      <c r="M52">
        <f t="shared" si="1"/>
        <v>24.412590013999999</v>
      </c>
      <c r="N52" s="9"/>
      <c r="O52" s="22">
        <v>0.111542</v>
      </c>
      <c r="P52" s="22">
        <v>87.060299999999998</v>
      </c>
      <c r="Q52" s="22">
        <v>-1.6992199999999999E-2</v>
      </c>
      <c r="R52" s="22">
        <v>42</v>
      </c>
      <c r="S52" s="22">
        <v>0.11065700000000001</v>
      </c>
      <c r="T52">
        <f t="shared" si="2"/>
        <v>16.9922</v>
      </c>
      <c r="U52">
        <f t="shared" si="3"/>
        <v>1.8953439724000001</v>
      </c>
      <c r="X52" s="9"/>
      <c r="Y52" s="22">
        <v>1.6285700000000001</v>
      </c>
      <c r="Z52" s="22">
        <v>136.60599999999999</v>
      </c>
      <c r="AA52" s="22">
        <v>-1.5731800000000001E-2</v>
      </c>
      <c r="AB52" s="22">
        <v>42</v>
      </c>
      <c r="AC52" s="22">
        <v>1.6272</v>
      </c>
      <c r="AD52">
        <f t="shared" si="4"/>
        <v>15.7318</v>
      </c>
      <c r="AE52">
        <f t="shared" si="5"/>
        <v>25.620337526</v>
      </c>
      <c r="AF52" s="9"/>
      <c r="AG52" s="22">
        <v>0.111542</v>
      </c>
      <c r="AH52" s="22">
        <v>186.22</v>
      </c>
      <c r="AI52" s="22">
        <v>-1.7010500000000001E-2</v>
      </c>
      <c r="AJ52" s="22">
        <v>42</v>
      </c>
      <c r="AK52" s="22">
        <v>0.110779</v>
      </c>
      <c r="AL52">
        <f t="shared" si="6"/>
        <v>17.0105</v>
      </c>
      <c r="AM52">
        <f t="shared" si="7"/>
        <v>1.8973851910000001</v>
      </c>
      <c r="AP52" s="9"/>
      <c r="AQ52" s="22">
        <v>1.6285700000000001</v>
      </c>
      <c r="AR52" s="22">
        <v>235.84399999999999</v>
      </c>
      <c r="AS52" s="25">
        <v>2.6306199999999999E-5</v>
      </c>
      <c r="AT52" s="22">
        <v>42</v>
      </c>
      <c r="AU52" s="22">
        <v>7.9742400000000005E-2</v>
      </c>
      <c r="AV52">
        <f t="shared" si="8"/>
        <v>-2.6306199999999998E-2</v>
      </c>
      <c r="AW52">
        <f t="shared" si="9"/>
        <v>-4.2841488134000003E-2</v>
      </c>
      <c r="AX52" s="9"/>
      <c r="AY52" s="22">
        <v>0.111542</v>
      </c>
      <c r="AZ52" s="22">
        <v>251.90299999999999</v>
      </c>
      <c r="BA52" s="22">
        <v>-4.17236E-3</v>
      </c>
      <c r="BB52" s="22">
        <v>42</v>
      </c>
      <c r="BC52" s="22">
        <v>0.11114499999999999</v>
      </c>
      <c r="BD52">
        <f t="shared" si="10"/>
        <v>4.1723600000000003</v>
      </c>
      <c r="BE52">
        <f t="shared" si="11"/>
        <v>0.46539337912000006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1.62354</v>
      </c>
      <c r="H53" s="22">
        <v>37.631999999999998</v>
      </c>
      <c r="I53" s="22">
        <v>-1.50665E-2</v>
      </c>
      <c r="J53" s="22">
        <v>43</v>
      </c>
      <c r="K53" s="22">
        <v>1.6229199999999999</v>
      </c>
      <c r="L53">
        <f t="shared" si="0"/>
        <v>15.0665</v>
      </c>
      <c r="M53">
        <f t="shared" si="1"/>
        <v>24.46106541</v>
      </c>
      <c r="N53" s="9"/>
      <c r="O53" s="22">
        <v>0.116577</v>
      </c>
      <c r="P53" s="22">
        <v>87.070400000000006</v>
      </c>
      <c r="Q53" s="22">
        <v>-1.69891E-2</v>
      </c>
      <c r="R53" s="22">
        <v>43</v>
      </c>
      <c r="S53" s="22">
        <v>0.115814</v>
      </c>
      <c r="T53">
        <f t="shared" si="2"/>
        <v>16.989100000000001</v>
      </c>
      <c r="U53">
        <f t="shared" si="3"/>
        <v>1.9805383107000001</v>
      </c>
      <c r="X53" s="9"/>
      <c r="Y53" s="22">
        <v>1.62354</v>
      </c>
      <c r="Z53" s="22">
        <v>136.61600000000001</v>
      </c>
      <c r="AA53" s="22">
        <v>-1.57898E-2</v>
      </c>
      <c r="AB53" s="22">
        <v>43</v>
      </c>
      <c r="AC53" s="22">
        <v>1.62262</v>
      </c>
      <c r="AD53">
        <f t="shared" si="4"/>
        <v>15.7898</v>
      </c>
      <c r="AE53">
        <f t="shared" si="5"/>
        <v>25.635371891999998</v>
      </c>
      <c r="AF53" s="9"/>
      <c r="AG53" s="22">
        <v>0.116577</v>
      </c>
      <c r="AH53" s="22">
        <v>186.23</v>
      </c>
      <c r="AI53" s="22">
        <v>-1.7007399999999999E-2</v>
      </c>
      <c r="AJ53" s="22">
        <v>43</v>
      </c>
      <c r="AK53" s="22">
        <v>0.11575299999999999</v>
      </c>
      <c r="AL53">
        <f t="shared" si="6"/>
        <v>17.007400000000001</v>
      </c>
      <c r="AM53">
        <f t="shared" si="7"/>
        <v>1.9826716698</v>
      </c>
      <c r="AP53" s="9"/>
      <c r="AQ53" s="22">
        <v>1.62354</v>
      </c>
      <c r="AR53" s="22">
        <v>235.85400000000001</v>
      </c>
      <c r="AS53" s="25">
        <v>3.3660900000000002E-5</v>
      </c>
      <c r="AT53" s="22">
        <v>43</v>
      </c>
      <c r="AU53" s="22">
        <v>7.9711900000000002E-2</v>
      </c>
      <c r="AV53">
        <f t="shared" si="8"/>
        <v>-3.3660900000000001E-2</v>
      </c>
      <c r="AW53">
        <f t="shared" si="9"/>
        <v>-5.4649817586000002E-2</v>
      </c>
      <c r="AX53" s="9"/>
      <c r="AY53" s="22">
        <v>0.116577</v>
      </c>
      <c r="AZ53" s="22">
        <v>251.91399999999999</v>
      </c>
      <c r="BA53" s="22">
        <v>-4.2053200000000002E-3</v>
      </c>
      <c r="BB53" s="22">
        <v>43</v>
      </c>
      <c r="BC53" s="22">
        <v>0.116425</v>
      </c>
      <c r="BD53">
        <f t="shared" si="10"/>
        <v>4.2053200000000004</v>
      </c>
      <c r="BE53">
        <f t="shared" si="11"/>
        <v>0.49024358964000003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1.6185</v>
      </c>
      <c r="H54" s="22">
        <v>37.642000000000003</v>
      </c>
      <c r="I54" s="22">
        <v>-1.51337E-2</v>
      </c>
      <c r="J54" s="22">
        <v>44</v>
      </c>
      <c r="K54" s="22">
        <v>1.6168199999999999</v>
      </c>
      <c r="L54">
        <f t="shared" si="0"/>
        <v>15.133699999999999</v>
      </c>
      <c r="M54">
        <f t="shared" si="1"/>
        <v>24.493893449999998</v>
      </c>
      <c r="N54" s="9"/>
      <c r="O54" s="22">
        <v>0.121613</v>
      </c>
      <c r="P54" s="22">
        <v>87.080500000000001</v>
      </c>
      <c r="Q54" s="22">
        <v>-1.6986100000000001E-2</v>
      </c>
      <c r="R54" s="22">
        <v>44</v>
      </c>
      <c r="S54" s="22">
        <v>0.120728</v>
      </c>
      <c r="T54">
        <f t="shared" si="2"/>
        <v>16.9861</v>
      </c>
      <c r="U54">
        <f t="shared" si="3"/>
        <v>2.0657305792999998</v>
      </c>
      <c r="X54" s="9"/>
      <c r="Y54" s="22">
        <v>1.6185</v>
      </c>
      <c r="Z54" s="22">
        <v>136.626</v>
      </c>
      <c r="AA54" s="22">
        <v>-1.5850800000000002E-2</v>
      </c>
      <c r="AB54" s="22">
        <v>44</v>
      </c>
      <c r="AC54" s="22">
        <v>1.6174299999999999</v>
      </c>
      <c r="AD54">
        <f t="shared" si="4"/>
        <v>15.850800000000001</v>
      </c>
      <c r="AE54">
        <f t="shared" si="5"/>
        <v>25.654519800000003</v>
      </c>
      <c r="AF54" s="9"/>
      <c r="AG54" s="22">
        <v>0.121613</v>
      </c>
      <c r="AH54" s="22">
        <v>186.24</v>
      </c>
      <c r="AI54" s="22">
        <v>-1.7004399999999999E-2</v>
      </c>
      <c r="AJ54" s="22">
        <v>44</v>
      </c>
      <c r="AK54" s="22">
        <v>0.120911</v>
      </c>
      <c r="AL54">
        <f t="shared" si="6"/>
        <v>17.0044</v>
      </c>
      <c r="AM54">
        <f t="shared" si="7"/>
        <v>2.0679560972000002</v>
      </c>
      <c r="AP54" s="9"/>
      <c r="AQ54" s="22">
        <v>1.6185</v>
      </c>
      <c r="AR54" s="22">
        <v>235.864</v>
      </c>
      <c r="AS54" s="25">
        <v>2.77405E-5</v>
      </c>
      <c r="AT54" s="22">
        <v>44</v>
      </c>
      <c r="AU54" s="22">
        <v>7.9742400000000005E-2</v>
      </c>
      <c r="AV54">
        <f t="shared" si="8"/>
        <v>-2.7740500000000001E-2</v>
      </c>
      <c r="AW54">
        <f t="shared" si="9"/>
        <v>-4.4897999250000001E-2</v>
      </c>
      <c r="AX54" s="9"/>
      <c r="AY54" s="22">
        <v>0.121613</v>
      </c>
      <c r="AZ54" s="22">
        <v>251.92400000000001</v>
      </c>
      <c r="BA54" s="22">
        <v>-3.9648399999999999E-3</v>
      </c>
      <c r="BB54" s="22">
        <v>44</v>
      </c>
      <c r="BC54" s="22">
        <v>0.12149</v>
      </c>
      <c r="BD54">
        <f t="shared" si="10"/>
        <v>3.9648399999999997</v>
      </c>
      <c r="BE54">
        <f t="shared" si="11"/>
        <v>0.48217608691999997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1.6134599999999999</v>
      </c>
      <c r="H55" s="22">
        <v>37.652099999999997</v>
      </c>
      <c r="I55" s="22">
        <v>-1.5206900000000001E-2</v>
      </c>
      <c r="J55" s="22">
        <v>45</v>
      </c>
      <c r="K55" s="22">
        <v>1.6125499999999999</v>
      </c>
      <c r="L55">
        <f t="shared" si="0"/>
        <v>15.206900000000001</v>
      </c>
      <c r="M55">
        <f t="shared" si="1"/>
        <v>24.535724874</v>
      </c>
      <c r="N55" s="9"/>
      <c r="O55" s="22">
        <v>0.12664800000000001</v>
      </c>
      <c r="P55" s="22">
        <v>87.090500000000006</v>
      </c>
      <c r="Q55" s="22">
        <v>-1.6986100000000001E-2</v>
      </c>
      <c r="R55" s="22">
        <v>45</v>
      </c>
      <c r="S55" s="22">
        <v>0.12597700000000001</v>
      </c>
      <c r="T55">
        <f t="shared" si="2"/>
        <v>16.9861</v>
      </c>
      <c r="U55">
        <f t="shared" si="3"/>
        <v>2.1512555928000001</v>
      </c>
      <c r="X55" s="9"/>
      <c r="Y55" s="22">
        <v>1.6134599999999999</v>
      </c>
      <c r="Z55" s="22">
        <v>136.636</v>
      </c>
      <c r="AA55" s="22">
        <v>-1.5899699999999999E-2</v>
      </c>
      <c r="AB55" s="22">
        <v>45</v>
      </c>
      <c r="AC55" s="22">
        <v>1.6125499999999999</v>
      </c>
      <c r="AD55">
        <f t="shared" si="4"/>
        <v>15.899699999999999</v>
      </c>
      <c r="AE55">
        <f t="shared" si="5"/>
        <v>25.653529961999997</v>
      </c>
      <c r="AF55" s="9"/>
      <c r="AG55" s="22">
        <v>0.12664800000000001</v>
      </c>
      <c r="AH55" s="22">
        <v>186.25</v>
      </c>
      <c r="AI55" s="22">
        <v>-1.70013E-2</v>
      </c>
      <c r="AJ55" s="22">
        <v>45</v>
      </c>
      <c r="AK55" s="22">
        <v>0.12576300000000001</v>
      </c>
      <c r="AL55">
        <f t="shared" si="6"/>
        <v>17.001300000000001</v>
      </c>
      <c r="AM55">
        <f t="shared" si="7"/>
        <v>2.1531806424000002</v>
      </c>
      <c r="AP55" s="9"/>
      <c r="AQ55" s="22">
        <v>1.6134599999999999</v>
      </c>
      <c r="AR55" s="22">
        <v>235.874</v>
      </c>
      <c r="AS55" s="25">
        <v>2.96936E-5</v>
      </c>
      <c r="AT55" s="22">
        <v>45</v>
      </c>
      <c r="AU55" s="22">
        <v>7.9803499999999999E-2</v>
      </c>
      <c r="AV55">
        <f t="shared" si="8"/>
        <v>-2.9693600000000001E-2</v>
      </c>
      <c r="AW55">
        <f t="shared" si="9"/>
        <v>-4.7909435856E-2</v>
      </c>
      <c r="AX55" s="9"/>
      <c r="AY55" s="22">
        <v>0.12664800000000001</v>
      </c>
      <c r="AZ55" s="22">
        <v>251.934</v>
      </c>
      <c r="BA55" s="22">
        <v>-4.0679899999999996E-3</v>
      </c>
      <c r="BB55" s="22">
        <v>45</v>
      </c>
      <c r="BC55" s="22">
        <v>0.126495</v>
      </c>
      <c r="BD55">
        <f t="shared" si="10"/>
        <v>4.06799</v>
      </c>
      <c r="BE55">
        <f t="shared" si="11"/>
        <v>0.51520279752000009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1.60843</v>
      </c>
      <c r="H56" s="22">
        <v>37.662199999999999</v>
      </c>
      <c r="I56" s="22">
        <v>-1.5273999999999999E-2</v>
      </c>
      <c r="J56" s="22">
        <v>46</v>
      </c>
      <c r="K56" s="22">
        <v>1.6079699999999999</v>
      </c>
      <c r="L56">
        <f t="shared" si="0"/>
        <v>15.273999999999999</v>
      </c>
      <c r="M56">
        <f t="shared" si="1"/>
        <v>24.567159820000001</v>
      </c>
      <c r="N56" s="9"/>
      <c r="O56" s="22">
        <v>0.13168299999999999</v>
      </c>
      <c r="P56" s="22">
        <v>87.1006</v>
      </c>
      <c r="Q56" s="22">
        <v>-1.6979999999999999E-2</v>
      </c>
      <c r="R56" s="22">
        <v>46</v>
      </c>
      <c r="S56" s="22">
        <v>0.13101199999999999</v>
      </c>
      <c r="T56">
        <f t="shared" si="2"/>
        <v>16.979999999999997</v>
      </c>
      <c r="U56">
        <f t="shared" si="3"/>
        <v>2.2359773399999994</v>
      </c>
      <c r="X56" s="9"/>
      <c r="Y56" s="22">
        <v>1.60843</v>
      </c>
      <c r="Z56" s="22">
        <v>136.64599999999999</v>
      </c>
      <c r="AA56" s="22">
        <v>-1.5954599999999999E-2</v>
      </c>
      <c r="AB56" s="22">
        <v>46</v>
      </c>
      <c r="AC56" s="22">
        <v>1.6076699999999999</v>
      </c>
      <c r="AD56">
        <f t="shared" si="4"/>
        <v>15.954599999999999</v>
      </c>
      <c r="AE56">
        <f t="shared" si="5"/>
        <v>25.661857277999999</v>
      </c>
      <c r="AF56" s="9"/>
      <c r="AG56" s="22">
        <v>0.13168299999999999</v>
      </c>
      <c r="AH56" s="22">
        <v>186.261</v>
      </c>
      <c r="AI56" s="22">
        <v>-1.6995199999999999E-2</v>
      </c>
      <c r="AJ56" s="22">
        <v>46</v>
      </c>
      <c r="AK56" s="22">
        <v>0.13098099999999999</v>
      </c>
      <c r="AL56">
        <f t="shared" si="6"/>
        <v>16.995199999999997</v>
      </c>
      <c r="AM56">
        <f t="shared" si="7"/>
        <v>2.2379789215999994</v>
      </c>
      <c r="AP56" s="9"/>
      <c r="AQ56" s="22">
        <v>1.60843</v>
      </c>
      <c r="AR56" s="22">
        <v>235.88399999999999</v>
      </c>
      <c r="AS56" s="25">
        <v>2.6336700000000001E-5</v>
      </c>
      <c r="AT56" s="22">
        <v>46</v>
      </c>
      <c r="AU56" s="22">
        <v>7.9711900000000002E-2</v>
      </c>
      <c r="AV56">
        <f t="shared" si="8"/>
        <v>-2.6336700000000001E-2</v>
      </c>
      <c r="AW56">
        <f t="shared" si="9"/>
        <v>-4.2360738381000004E-2</v>
      </c>
      <c r="AX56" s="9"/>
      <c r="AY56" s="22">
        <v>0.13168299999999999</v>
      </c>
      <c r="AZ56" s="22">
        <v>251.94399999999999</v>
      </c>
      <c r="BA56" s="22">
        <v>-4.1647300000000002E-3</v>
      </c>
      <c r="BB56" s="22">
        <v>46</v>
      </c>
      <c r="BC56" s="22">
        <v>0.13150000000000001</v>
      </c>
      <c r="BD56">
        <f t="shared" si="10"/>
        <v>4.1647300000000005</v>
      </c>
      <c r="BE56">
        <f t="shared" si="11"/>
        <v>0.54842414059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1.6033900000000001</v>
      </c>
      <c r="H57" s="22">
        <v>37.6723</v>
      </c>
      <c r="I57" s="22">
        <v>-1.5335100000000001E-2</v>
      </c>
      <c r="J57" s="22">
        <v>47</v>
      </c>
      <c r="K57" s="22">
        <v>1.6021700000000001</v>
      </c>
      <c r="L57">
        <f t="shared" si="0"/>
        <v>15.335100000000001</v>
      </c>
      <c r="M57">
        <f t="shared" si="1"/>
        <v>24.588145989000001</v>
      </c>
      <c r="N57" s="9"/>
      <c r="O57" s="22">
        <v>0.13671900000000001</v>
      </c>
      <c r="P57" s="22">
        <v>87.110699999999994</v>
      </c>
      <c r="Q57" s="22">
        <v>-1.69769E-2</v>
      </c>
      <c r="R57" s="22">
        <v>47</v>
      </c>
      <c r="S57" s="22">
        <v>0.13595599999999999</v>
      </c>
      <c r="T57">
        <f t="shared" si="2"/>
        <v>16.976900000000001</v>
      </c>
      <c r="U57">
        <f t="shared" si="3"/>
        <v>2.3210647911000004</v>
      </c>
      <c r="X57" s="9"/>
      <c r="Y57" s="22">
        <v>1.6033900000000001</v>
      </c>
      <c r="Z57" s="22">
        <v>136.65600000000001</v>
      </c>
      <c r="AA57" s="22">
        <v>-1.6009499999999999E-2</v>
      </c>
      <c r="AB57" s="22">
        <v>47</v>
      </c>
      <c r="AC57" s="22">
        <v>1.6018699999999999</v>
      </c>
      <c r="AD57">
        <f t="shared" si="4"/>
        <v>16.009499999999999</v>
      </c>
      <c r="AE57">
        <f t="shared" si="5"/>
        <v>25.669472205000002</v>
      </c>
      <c r="AF57" s="9"/>
      <c r="AG57" s="22">
        <v>0.13671900000000001</v>
      </c>
      <c r="AH57" s="22">
        <v>186.27099999999999</v>
      </c>
      <c r="AI57" s="22">
        <v>-1.6992199999999999E-2</v>
      </c>
      <c r="AJ57" s="22">
        <v>47</v>
      </c>
      <c r="AK57" s="22">
        <v>0.135986</v>
      </c>
      <c r="AL57">
        <f t="shared" si="6"/>
        <v>16.9922</v>
      </c>
      <c r="AM57">
        <f t="shared" si="7"/>
        <v>2.3231565918000001</v>
      </c>
      <c r="AP57" s="9"/>
      <c r="AQ57" s="22">
        <v>1.6033900000000001</v>
      </c>
      <c r="AR57" s="22">
        <v>235.89400000000001</v>
      </c>
      <c r="AS57" s="25">
        <v>3.44543E-5</v>
      </c>
      <c r="AT57" s="22">
        <v>47</v>
      </c>
      <c r="AU57" s="22">
        <v>7.9681399999999999E-2</v>
      </c>
      <c r="AV57">
        <f t="shared" si="8"/>
        <v>-3.44543E-2</v>
      </c>
      <c r="AW57">
        <f t="shared" si="9"/>
        <v>-5.5243680077000007E-2</v>
      </c>
      <c r="AX57" s="9"/>
      <c r="AY57" s="22">
        <v>0.13671900000000001</v>
      </c>
      <c r="AZ57" s="22">
        <v>251.95400000000001</v>
      </c>
      <c r="BA57" s="22">
        <v>-4.2282099999999996E-3</v>
      </c>
      <c r="BB57" s="22">
        <v>47</v>
      </c>
      <c r="BC57" s="22">
        <v>0.13656599999999999</v>
      </c>
      <c r="BD57">
        <f t="shared" si="10"/>
        <v>4.2282099999999998</v>
      </c>
      <c r="BE57">
        <f t="shared" si="11"/>
        <v>0.57807664299000006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1.59836</v>
      </c>
      <c r="H58" s="22">
        <v>37.682299999999998</v>
      </c>
      <c r="I58" s="22">
        <v>-1.5387E-2</v>
      </c>
      <c r="J58" s="22">
        <v>48</v>
      </c>
      <c r="K58" s="22">
        <v>1.5966800000000001</v>
      </c>
      <c r="L58">
        <f t="shared" si="0"/>
        <v>15.387</v>
      </c>
      <c r="M58">
        <f t="shared" si="1"/>
        <v>24.593965320000002</v>
      </c>
      <c r="N58" s="9"/>
      <c r="O58" s="22">
        <v>0.14175399999999999</v>
      </c>
      <c r="P58" s="22">
        <v>87.120800000000003</v>
      </c>
      <c r="Q58" s="22">
        <v>-1.69769E-2</v>
      </c>
      <c r="R58" s="22">
        <v>48</v>
      </c>
      <c r="S58" s="22">
        <v>0.14114399999999999</v>
      </c>
      <c r="T58">
        <f t="shared" si="2"/>
        <v>16.976900000000001</v>
      </c>
      <c r="U58">
        <f t="shared" si="3"/>
        <v>2.4065434826000001</v>
      </c>
      <c r="X58" s="9"/>
      <c r="Y58" s="22">
        <v>1.59836</v>
      </c>
      <c r="Z58" s="22">
        <v>136.666</v>
      </c>
      <c r="AA58" s="22">
        <v>-1.60492E-2</v>
      </c>
      <c r="AB58" s="22">
        <v>48</v>
      </c>
      <c r="AC58" s="22">
        <v>1.5972900000000001</v>
      </c>
      <c r="AD58">
        <f t="shared" si="4"/>
        <v>16.049199999999999</v>
      </c>
      <c r="AE58">
        <f t="shared" si="5"/>
        <v>25.652399312</v>
      </c>
      <c r="AF58" s="9"/>
      <c r="AG58" s="22">
        <v>0.14175399999999999</v>
      </c>
      <c r="AH58" s="22">
        <v>186.28100000000001</v>
      </c>
      <c r="AI58" s="22">
        <v>-1.6992199999999999E-2</v>
      </c>
      <c r="AJ58" s="22">
        <v>48</v>
      </c>
      <c r="AK58" s="22">
        <v>0.14105200000000001</v>
      </c>
      <c r="AL58">
        <f t="shared" si="6"/>
        <v>16.9922</v>
      </c>
      <c r="AM58">
        <f t="shared" si="7"/>
        <v>2.4087123187999997</v>
      </c>
      <c r="AP58" s="9"/>
      <c r="AQ58" s="22">
        <v>1.59836</v>
      </c>
      <c r="AR58" s="22">
        <v>235.904</v>
      </c>
      <c r="AS58" s="25">
        <v>2.7038599999999999E-5</v>
      </c>
      <c r="AT58" s="22">
        <v>48</v>
      </c>
      <c r="AU58" s="22">
        <v>7.9711900000000002E-2</v>
      </c>
      <c r="AV58">
        <f t="shared" si="8"/>
        <v>-2.7038599999999999E-2</v>
      </c>
      <c r="AW58">
        <f t="shared" si="9"/>
        <v>-4.3217416696000002E-2</v>
      </c>
      <c r="AX58" s="9"/>
      <c r="AY58" s="22">
        <v>0.14175399999999999</v>
      </c>
      <c r="AZ58" s="22">
        <v>251.964</v>
      </c>
      <c r="BA58" s="22">
        <v>-4.0829500000000001E-3</v>
      </c>
      <c r="BB58" s="22">
        <v>48</v>
      </c>
      <c r="BC58" s="22">
        <v>0.14151</v>
      </c>
      <c r="BD58">
        <f t="shared" si="10"/>
        <v>4.0829500000000003</v>
      </c>
      <c r="BE58">
        <f t="shared" si="11"/>
        <v>0.57877449430000005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1.5933200000000001</v>
      </c>
      <c r="H59" s="22">
        <v>37.692399999999999</v>
      </c>
      <c r="I59" s="22">
        <v>-1.54907E-2</v>
      </c>
      <c r="J59" s="22">
        <v>49</v>
      </c>
      <c r="K59" s="22">
        <v>1.5924100000000001</v>
      </c>
      <c r="L59">
        <f t="shared" si="0"/>
        <v>15.4907</v>
      </c>
      <c r="M59">
        <f t="shared" si="1"/>
        <v>24.681642124000003</v>
      </c>
      <c r="N59" s="9"/>
      <c r="O59" s="22">
        <v>0.14679</v>
      </c>
      <c r="P59" s="22">
        <v>87.130799999999994</v>
      </c>
      <c r="Q59" s="22">
        <v>-1.6970800000000001E-2</v>
      </c>
      <c r="R59" s="22">
        <v>49</v>
      </c>
      <c r="S59" s="22">
        <v>0.14596600000000001</v>
      </c>
      <c r="T59">
        <f t="shared" si="2"/>
        <v>16.970800000000001</v>
      </c>
      <c r="U59">
        <f t="shared" si="3"/>
        <v>2.4911437320000003</v>
      </c>
      <c r="X59" s="9"/>
      <c r="Y59" s="22">
        <v>1.5933200000000001</v>
      </c>
      <c r="Z59" s="22">
        <v>136.67599999999999</v>
      </c>
      <c r="AA59" s="22">
        <v>-1.6085800000000001E-2</v>
      </c>
      <c r="AB59" s="22">
        <v>49</v>
      </c>
      <c r="AC59" s="22">
        <v>1.5927100000000001</v>
      </c>
      <c r="AD59">
        <f t="shared" si="4"/>
        <v>16.085800000000003</v>
      </c>
      <c r="AE59">
        <f t="shared" si="5"/>
        <v>25.629826856000005</v>
      </c>
      <c r="AF59" s="9"/>
      <c r="AG59" s="22">
        <v>0.14679</v>
      </c>
      <c r="AH59" s="22">
        <v>186.291</v>
      </c>
      <c r="AI59" s="22">
        <v>-1.69891E-2</v>
      </c>
      <c r="AJ59" s="22">
        <v>49</v>
      </c>
      <c r="AK59" s="22">
        <v>0.14602699999999999</v>
      </c>
      <c r="AL59">
        <f t="shared" si="6"/>
        <v>16.989100000000001</v>
      </c>
      <c r="AM59">
        <f t="shared" si="7"/>
        <v>2.493829989</v>
      </c>
      <c r="AP59" s="9"/>
      <c r="AQ59" s="22">
        <v>1.5933200000000001</v>
      </c>
      <c r="AR59" s="22">
        <v>235.91399999999999</v>
      </c>
      <c r="AS59" s="25">
        <v>2.7313200000000001E-5</v>
      </c>
      <c r="AT59" s="22">
        <v>49</v>
      </c>
      <c r="AU59" s="22">
        <v>7.9620399999999994E-2</v>
      </c>
      <c r="AV59">
        <f t="shared" si="8"/>
        <v>-2.7313200000000003E-2</v>
      </c>
      <c r="AW59">
        <f t="shared" si="9"/>
        <v>-4.3518667824000004E-2</v>
      </c>
      <c r="AX59" s="9"/>
      <c r="AY59" s="22">
        <v>0.14679</v>
      </c>
      <c r="AZ59" s="22">
        <v>251.97399999999999</v>
      </c>
      <c r="BA59" s="22">
        <v>-4.2364500000000001E-3</v>
      </c>
      <c r="BB59" s="22">
        <v>49</v>
      </c>
      <c r="BC59" s="22">
        <v>0.14651500000000001</v>
      </c>
      <c r="BD59">
        <f t="shared" si="10"/>
        <v>4.2364500000000005</v>
      </c>
      <c r="BE59">
        <f t="shared" si="11"/>
        <v>0.62186849550000012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1.58829</v>
      </c>
      <c r="H60" s="22">
        <v>37.702500000000001</v>
      </c>
      <c r="I60" s="22">
        <v>-1.5484599999999999E-2</v>
      </c>
      <c r="J60" s="22">
        <v>50</v>
      </c>
      <c r="K60" s="22">
        <v>1.5872200000000001</v>
      </c>
      <c r="L60">
        <f t="shared" si="0"/>
        <v>15.484599999999999</v>
      </c>
      <c r="M60">
        <f t="shared" si="1"/>
        <v>24.594035333999997</v>
      </c>
      <c r="N60" s="9"/>
      <c r="O60" s="22">
        <v>0.15182499999999999</v>
      </c>
      <c r="P60" s="22">
        <v>87.140900000000002</v>
      </c>
      <c r="Q60" s="22">
        <v>-1.6967800000000002E-2</v>
      </c>
      <c r="R60" s="22">
        <v>50</v>
      </c>
      <c r="S60" s="22">
        <v>0.15109300000000001</v>
      </c>
      <c r="T60">
        <f t="shared" si="2"/>
        <v>16.9678</v>
      </c>
      <c r="U60">
        <f t="shared" si="3"/>
        <v>2.5761362349999999</v>
      </c>
      <c r="X60" s="9"/>
      <c r="Y60" s="22">
        <v>1.58829</v>
      </c>
      <c r="Z60" s="22">
        <v>136.68600000000001</v>
      </c>
      <c r="AA60" s="22">
        <v>-1.6119399999999999E-2</v>
      </c>
      <c r="AB60" s="22">
        <v>50</v>
      </c>
      <c r="AC60" s="22">
        <v>1.5872200000000001</v>
      </c>
      <c r="AD60">
        <f t="shared" si="4"/>
        <v>16.119399999999999</v>
      </c>
      <c r="AE60">
        <f t="shared" si="5"/>
        <v>25.602281825999999</v>
      </c>
      <c r="AF60" s="9"/>
      <c r="AG60" s="22">
        <v>0.15182499999999999</v>
      </c>
      <c r="AH60" s="22">
        <v>186.30099999999999</v>
      </c>
      <c r="AI60" s="22">
        <v>-1.6986100000000001E-2</v>
      </c>
      <c r="AJ60" s="22">
        <v>50</v>
      </c>
      <c r="AK60" s="22">
        <v>0.151031</v>
      </c>
      <c r="AL60">
        <f t="shared" si="6"/>
        <v>16.9861</v>
      </c>
      <c r="AM60">
        <f t="shared" si="7"/>
        <v>2.5789146324999996</v>
      </c>
      <c r="AP60" s="9"/>
      <c r="AQ60" s="22">
        <v>1.58829</v>
      </c>
      <c r="AR60" s="22">
        <v>235.92400000000001</v>
      </c>
      <c r="AS60" s="25">
        <v>2.5116000000000001E-5</v>
      </c>
      <c r="AT60" s="22">
        <v>50</v>
      </c>
      <c r="AU60" s="22">
        <v>7.9620399999999994E-2</v>
      </c>
      <c r="AV60">
        <f t="shared" si="8"/>
        <v>-2.5116000000000003E-2</v>
      </c>
      <c r="AW60">
        <f t="shared" si="9"/>
        <v>-3.9891491640000006E-2</v>
      </c>
      <c r="AX60" s="9"/>
      <c r="AY60" s="22">
        <v>0.15182499999999999</v>
      </c>
      <c r="AZ60" s="22">
        <v>251.98400000000001</v>
      </c>
      <c r="BA60" s="22">
        <v>-4.3716400000000004E-3</v>
      </c>
      <c r="BB60" s="22">
        <v>50</v>
      </c>
      <c r="BC60" s="22">
        <v>0.151642</v>
      </c>
      <c r="BD60">
        <f t="shared" si="10"/>
        <v>4.3716400000000002</v>
      </c>
      <c r="BE60">
        <f t="shared" si="11"/>
        <v>0.66372424299999999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1.58325</v>
      </c>
      <c r="H61" s="22">
        <v>37.712499999999999</v>
      </c>
      <c r="I61" s="22">
        <v>-1.5521200000000001E-2</v>
      </c>
      <c r="J61" s="22">
        <v>51</v>
      </c>
      <c r="K61" s="22">
        <v>1.58203</v>
      </c>
      <c r="L61">
        <f t="shared" si="0"/>
        <v>15.5212</v>
      </c>
      <c r="M61">
        <f t="shared" si="1"/>
        <v>24.573939900000003</v>
      </c>
      <c r="N61" s="9"/>
      <c r="O61" s="22">
        <v>0.15686</v>
      </c>
      <c r="P61" s="22">
        <v>87.150999999999996</v>
      </c>
      <c r="Q61" s="22">
        <v>-1.6964699999999999E-2</v>
      </c>
      <c r="R61" s="22">
        <v>51</v>
      </c>
      <c r="S61" s="22">
        <v>0.15615799999999999</v>
      </c>
      <c r="T61">
        <f t="shared" si="2"/>
        <v>16.964700000000001</v>
      </c>
      <c r="U61">
        <f t="shared" si="3"/>
        <v>2.6610828419999999</v>
      </c>
      <c r="X61" s="9"/>
      <c r="Y61" s="22">
        <v>1.58325</v>
      </c>
      <c r="Z61" s="22">
        <v>136.696</v>
      </c>
      <c r="AA61" s="22">
        <v>-1.6149899999999998E-2</v>
      </c>
      <c r="AB61" s="22">
        <v>51</v>
      </c>
      <c r="AC61" s="22">
        <v>1.58264</v>
      </c>
      <c r="AD61">
        <f t="shared" si="4"/>
        <v>16.149899999999999</v>
      </c>
      <c r="AE61">
        <f t="shared" si="5"/>
        <v>25.569329175</v>
      </c>
      <c r="AF61" s="9"/>
      <c r="AG61" s="22">
        <v>0.15686</v>
      </c>
      <c r="AH61" s="22">
        <v>186.31100000000001</v>
      </c>
      <c r="AI61" s="22">
        <v>-1.6983000000000002E-2</v>
      </c>
      <c r="AJ61" s="22">
        <v>51</v>
      </c>
      <c r="AK61" s="22">
        <v>0.15606700000000001</v>
      </c>
      <c r="AL61">
        <f t="shared" si="6"/>
        <v>16.983000000000001</v>
      </c>
      <c r="AM61">
        <f t="shared" si="7"/>
        <v>2.6639533800000001</v>
      </c>
      <c r="AP61" s="9"/>
      <c r="AQ61" s="22">
        <v>1.58325</v>
      </c>
      <c r="AR61" s="22">
        <v>235.934</v>
      </c>
      <c r="AS61" s="25">
        <v>2.6672399999999999E-5</v>
      </c>
      <c r="AT61" s="22">
        <v>51</v>
      </c>
      <c r="AU61" s="22">
        <v>7.9620399999999994E-2</v>
      </c>
      <c r="AV61">
        <f t="shared" si="8"/>
        <v>-2.6672399999999999E-2</v>
      </c>
      <c r="AW61">
        <f t="shared" si="9"/>
        <v>-4.2229077300000001E-2</v>
      </c>
      <c r="AX61" s="9"/>
      <c r="AY61" s="22">
        <v>0.15686</v>
      </c>
      <c r="AZ61" s="22">
        <v>251.994</v>
      </c>
      <c r="BA61" s="22">
        <v>-4.3692000000000002E-3</v>
      </c>
      <c r="BB61" s="22">
        <v>51</v>
      </c>
      <c r="BC61" s="22">
        <v>0.15670799999999999</v>
      </c>
      <c r="BD61">
        <f t="shared" si="10"/>
        <v>4.3692000000000002</v>
      </c>
      <c r="BE61">
        <f t="shared" si="11"/>
        <v>0.68535271200000003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1.57822</v>
      </c>
      <c r="H62" s="22">
        <v>37.7226</v>
      </c>
      <c r="I62" s="22">
        <v>-1.5564E-2</v>
      </c>
      <c r="J62" s="22">
        <v>52</v>
      </c>
      <c r="K62" s="22">
        <v>1.57684</v>
      </c>
      <c r="L62">
        <f t="shared" si="0"/>
        <v>15.564</v>
      </c>
      <c r="M62">
        <f t="shared" si="1"/>
        <v>24.56341608</v>
      </c>
      <c r="N62" s="9"/>
      <c r="O62" s="22">
        <v>0.16189600000000001</v>
      </c>
      <c r="P62" s="22">
        <v>87.161000000000001</v>
      </c>
      <c r="Q62" s="22">
        <v>-1.6964699999999999E-2</v>
      </c>
      <c r="R62" s="22">
        <v>52</v>
      </c>
      <c r="S62" s="22">
        <v>0.161133</v>
      </c>
      <c r="T62">
        <f t="shared" si="2"/>
        <v>16.964700000000001</v>
      </c>
      <c r="U62">
        <f t="shared" si="3"/>
        <v>2.7465170712000004</v>
      </c>
      <c r="X62" s="9"/>
      <c r="Y62" s="22">
        <v>1.57822</v>
      </c>
      <c r="Z62" s="22">
        <v>136.70599999999999</v>
      </c>
      <c r="AA62" s="22">
        <v>-1.6180400000000001E-2</v>
      </c>
      <c r="AB62" s="22">
        <v>52</v>
      </c>
      <c r="AC62" s="22">
        <v>1.57745</v>
      </c>
      <c r="AD62">
        <f t="shared" si="4"/>
        <v>16.180400000000002</v>
      </c>
      <c r="AE62">
        <f t="shared" si="5"/>
        <v>25.536230888000002</v>
      </c>
      <c r="AF62" s="9"/>
      <c r="AG62" s="22">
        <v>0.16189600000000001</v>
      </c>
      <c r="AH62" s="22">
        <v>186.321</v>
      </c>
      <c r="AI62" s="22">
        <v>-1.69769E-2</v>
      </c>
      <c r="AJ62" s="22">
        <v>52</v>
      </c>
      <c r="AK62" s="22">
        <v>0.16104099999999999</v>
      </c>
      <c r="AL62">
        <f t="shared" si="6"/>
        <v>16.976900000000001</v>
      </c>
      <c r="AM62">
        <f t="shared" si="7"/>
        <v>2.7484922024000005</v>
      </c>
      <c r="AP62" s="9"/>
      <c r="AQ62" s="22">
        <v>1.57822</v>
      </c>
      <c r="AR62" s="22">
        <v>235.94399999999999</v>
      </c>
      <c r="AS62" s="25">
        <v>3.0822799999999999E-5</v>
      </c>
      <c r="AT62" s="22">
        <v>52</v>
      </c>
      <c r="AU62" s="22">
        <v>7.9711900000000002E-2</v>
      </c>
      <c r="AV62">
        <f t="shared" si="8"/>
        <v>-3.0822799999999997E-2</v>
      </c>
      <c r="AW62">
        <f t="shared" si="9"/>
        <v>-4.8645159415999992E-2</v>
      </c>
      <c r="AX62" s="9"/>
      <c r="AY62" s="22">
        <v>0.16189600000000001</v>
      </c>
      <c r="AZ62" s="22">
        <v>252.00399999999999</v>
      </c>
      <c r="BA62" s="22">
        <v>-4.03229E-3</v>
      </c>
      <c r="BB62" s="22">
        <v>52</v>
      </c>
      <c r="BC62" s="22">
        <v>0.16125500000000001</v>
      </c>
      <c r="BD62">
        <f t="shared" si="10"/>
        <v>4.0322899999999997</v>
      </c>
      <c r="BE62">
        <f t="shared" si="11"/>
        <v>0.65281162183999997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1.57318</v>
      </c>
      <c r="H63" s="22">
        <v>37.732700000000001</v>
      </c>
      <c r="I63" s="22">
        <v>-1.56036E-2</v>
      </c>
      <c r="J63" s="22">
        <v>53</v>
      </c>
      <c r="K63" s="22">
        <v>1.5716600000000001</v>
      </c>
      <c r="L63">
        <f t="shared" si="0"/>
        <v>15.6036</v>
      </c>
      <c r="M63">
        <f t="shared" si="1"/>
        <v>24.547271448</v>
      </c>
      <c r="N63" s="9"/>
      <c r="O63" s="22">
        <v>0.166931</v>
      </c>
      <c r="P63" s="22">
        <v>87.171099999999996</v>
      </c>
      <c r="Q63" s="22">
        <v>-1.6958600000000001E-2</v>
      </c>
      <c r="R63" s="22">
        <v>53</v>
      </c>
      <c r="S63" s="22">
        <v>0.16625999999999999</v>
      </c>
      <c r="T63">
        <f t="shared" si="2"/>
        <v>16.958600000000001</v>
      </c>
      <c r="U63">
        <f t="shared" si="3"/>
        <v>2.8309160566</v>
      </c>
      <c r="X63" s="9"/>
      <c r="Y63" s="22">
        <v>1.57318</v>
      </c>
      <c r="Z63" s="22">
        <v>136.71700000000001</v>
      </c>
      <c r="AA63" s="22">
        <v>-1.6204799999999998E-2</v>
      </c>
      <c r="AB63" s="22">
        <v>53</v>
      </c>
      <c r="AC63" s="22">
        <v>1.5716600000000001</v>
      </c>
      <c r="AD63">
        <f t="shared" si="4"/>
        <v>16.204799999999999</v>
      </c>
      <c r="AE63">
        <f t="shared" si="5"/>
        <v>25.493067263999997</v>
      </c>
      <c r="AF63" s="9"/>
      <c r="AG63" s="22">
        <v>0.166931</v>
      </c>
      <c r="AH63" s="22">
        <v>186.33099999999999</v>
      </c>
      <c r="AI63" s="22">
        <v>-1.69739E-2</v>
      </c>
      <c r="AJ63" s="22">
        <v>53</v>
      </c>
      <c r="AK63" s="22">
        <v>0.16619900000000001</v>
      </c>
      <c r="AL63">
        <f t="shared" si="6"/>
        <v>16.9739</v>
      </c>
      <c r="AM63">
        <f t="shared" si="7"/>
        <v>2.8334701009000001</v>
      </c>
      <c r="AP63" s="9"/>
      <c r="AQ63" s="22">
        <v>1.57318</v>
      </c>
      <c r="AR63" s="22">
        <v>235.95400000000001</v>
      </c>
      <c r="AS63" s="25">
        <v>2.5634800000000001E-5</v>
      </c>
      <c r="AT63" s="22">
        <v>53</v>
      </c>
      <c r="AU63" s="22">
        <v>7.9650899999999997E-2</v>
      </c>
      <c r="AV63">
        <f t="shared" si="8"/>
        <v>-2.5634799999999999E-2</v>
      </c>
      <c r="AW63">
        <f t="shared" si="9"/>
        <v>-4.0328154663999999E-2</v>
      </c>
      <c r="AX63" s="9"/>
      <c r="AY63" s="22">
        <v>0.166931</v>
      </c>
      <c r="AZ63" s="22">
        <v>252.01400000000001</v>
      </c>
      <c r="BA63" s="22">
        <v>-4.5397900000000001E-3</v>
      </c>
      <c r="BB63" s="22">
        <v>53</v>
      </c>
      <c r="BC63" s="22">
        <v>0.16671800000000001</v>
      </c>
      <c r="BD63">
        <f t="shared" si="10"/>
        <v>4.53979</v>
      </c>
      <c r="BE63">
        <f t="shared" si="11"/>
        <v>0.75783168448999993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1.5681499999999999</v>
      </c>
      <c r="H64" s="22">
        <v>37.742800000000003</v>
      </c>
      <c r="I64" s="22">
        <v>-1.5640299999999999E-2</v>
      </c>
      <c r="J64" s="22">
        <v>54</v>
      </c>
      <c r="K64" s="22">
        <v>1.56738</v>
      </c>
      <c r="L64">
        <f t="shared" si="0"/>
        <v>15.6403</v>
      </c>
      <c r="M64">
        <f t="shared" si="1"/>
        <v>24.526336444999998</v>
      </c>
      <c r="N64" s="9"/>
      <c r="O64" s="22">
        <v>0.17196700000000001</v>
      </c>
      <c r="P64" s="22">
        <v>87.181200000000004</v>
      </c>
      <c r="Q64" s="22">
        <v>-1.6952499999999999E-2</v>
      </c>
      <c r="R64" s="22">
        <v>54</v>
      </c>
      <c r="S64" s="22">
        <v>0.171295</v>
      </c>
      <c r="T64">
        <f t="shared" si="2"/>
        <v>16.952500000000001</v>
      </c>
      <c r="U64">
        <f t="shared" si="3"/>
        <v>2.9152705675000004</v>
      </c>
      <c r="X64" s="9"/>
      <c r="Y64" s="22">
        <v>1.5681499999999999</v>
      </c>
      <c r="Z64" s="22">
        <v>136.727</v>
      </c>
      <c r="AA64" s="22">
        <v>-1.6229199999999999E-2</v>
      </c>
      <c r="AB64" s="22">
        <v>54</v>
      </c>
      <c r="AC64" s="22">
        <v>1.56677</v>
      </c>
      <c r="AD64">
        <f t="shared" si="4"/>
        <v>16.229199999999999</v>
      </c>
      <c r="AE64">
        <f t="shared" si="5"/>
        <v>25.449819979999997</v>
      </c>
      <c r="AF64" s="9"/>
      <c r="AG64" s="22">
        <v>0.17196700000000001</v>
      </c>
      <c r="AH64" s="22">
        <v>186.34100000000001</v>
      </c>
      <c r="AI64" s="22">
        <v>-1.6967800000000002E-2</v>
      </c>
      <c r="AJ64" s="22">
        <v>54</v>
      </c>
      <c r="AK64" s="22">
        <v>0.171295</v>
      </c>
      <c r="AL64">
        <f t="shared" si="6"/>
        <v>16.9678</v>
      </c>
      <c r="AM64">
        <f t="shared" si="7"/>
        <v>2.9179016626000003</v>
      </c>
      <c r="AP64" s="9"/>
      <c r="AQ64" s="22">
        <v>1.5681499999999999</v>
      </c>
      <c r="AR64" s="22">
        <v>235.964</v>
      </c>
      <c r="AS64" s="25">
        <v>2.71301E-5</v>
      </c>
      <c r="AT64" s="22">
        <v>54</v>
      </c>
      <c r="AU64" s="22">
        <v>7.9620399999999994E-2</v>
      </c>
      <c r="AV64">
        <f t="shared" si="8"/>
        <v>-2.7130100000000001E-2</v>
      </c>
      <c r="AW64">
        <f t="shared" si="9"/>
        <v>-4.2544066314999997E-2</v>
      </c>
      <c r="AX64" s="9"/>
      <c r="AY64" s="22">
        <v>0.17196700000000001</v>
      </c>
      <c r="AZ64" s="22">
        <v>252.024</v>
      </c>
      <c r="BA64" s="22">
        <v>-4.5004299999999997E-3</v>
      </c>
      <c r="BB64" s="22">
        <v>54</v>
      </c>
      <c r="BC64" s="22">
        <v>0.17163100000000001</v>
      </c>
      <c r="BD64">
        <f t="shared" si="10"/>
        <v>4.5004299999999997</v>
      </c>
      <c r="BE64">
        <f t="shared" si="11"/>
        <v>0.77392544581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1.56311</v>
      </c>
      <c r="H65" s="22">
        <v>37.752800000000001</v>
      </c>
      <c r="I65" s="22">
        <v>-1.5673800000000002E-2</v>
      </c>
      <c r="J65" s="22">
        <v>55</v>
      </c>
      <c r="K65" s="22">
        <v>1.56281</v>
      </c>
      <c r="L65">
        <f t="shared" si="0"/>
        <v>15.673800000000002</v>
      </c>
      <c r="M65">
        <f t="shared" si="1"/>
        <v>24.499873518000001</v>
      </c>
      <c r="N65" s="9"/>
      <c r="O65" s="22">
        <v>0.17700199999999999</v>
      </c>
      <c r="P65" s="22">
        <v>87.191199999999995</v>
      </c>
      <c r="Q65" s="22">
        <v>-1.69464E-2</v>
      </c>
      <c r="R65" s="22">
        <v>55</v>
      </c>
      <c r="S65" s="22">
        <v>0.176208</v>
      </c>
      <c r="T65">
        <f t="shared" si="2"/>
        <v>16.946400000000001</v>
      </c>
      <c r="U65">
        <f t="shared" si="3"/>
        <v>2.9995466928000001</v>
      </c>
      <c r="X65" s="9"/>
      <c r="Y65" s="22">
        <v>1.56311</v>
      </c>
      <c r="Z65" s="22">
        <v>136.73699999999999</v>
      </c>
      <c r="AA65" s="22">
        <v>-1.6247600000000001E-2</v>
      </c>
      <c r="AB65" s="22">
        <v>55</v>
      </c>
      <c r="AC65" s="22">
        <v>1.56189</v>
      </c>
      <c r="AD65">
        <f t="shared" si="4"/>
        <v>16.247600000000002</v>
      </c>
      <c r="AE65">
        <f t="shared" si="5"/>
        <v>25.396786036000002</v>
      </c>
      <c r="AF65" s="9"/>
      <c r="AG65" s="22">
        <v>0.17700199999999999</v>
      </c>
      <c r="AH65" s="22">
        <v>186.351</v>
      </c>
      <c r="AI65" s="22">
        <v>-1.6967800000000002E-2</v>
      </c>
      <c r="AJ65" s="22">
        <v>55</v>
      </c>
      <c r="AK65" s="22">
        <v>0.17623900000000001</v>
      </c>
      <c r="AL65">
        <f t="shared" si="6"/>
        <v>16.9678</v>
      </c>
      <c r="AM65">
        <f t="shared" si="7"/>
        <v>3.0033345356000001</v>
      </c>
      <c r="AP65" s="9"/>
      <c r="AQ65" s="22">
        <v>1.56311</v>
      </c>
      <c r="AR65" s="22">
        <v>235.97499999999999</v>
      </c>
      <c r="AS65" s="25">
        <v>2.5817899999999999E-5</v>
      </c>
      <c r="AT65" s="22">
        <v>55</v>
      </c>
      <c r="AU65" s="22">
        <v>7.9589800000000002E-2</v>
      </c>
      <c r="AV65">
        <f t="shared" si="8"/>
        <v>-2.5817899999999998E-2</v>
      </c>
      <c r="AW65">
        <f t="shared" si="9"/>
        <v>-4.0356217668999994E-2</v>
      </c>
      <c r="AX65" s="9"/>
      <c r="AY65" s="22">
        <v>0.17700199999999999</v>
      </c>
      <c r="AZ65" s="22">
        <v>252.03399999999999</v>
      </c>
      <c r="BA65" s="22">
        <v>-4.3344100000000003E-3</v>
      </c>
      <c r="BB65" s="22">
        <v>55</v>
      </c>
      <c r="BC65" s="22">
        <v>0.176788</v>
      </c>
      <c r="BD65">
        <f t="shared" si="10"/>
        <v>4.3344100000000001</v>
      </c>
      <c r="BE65">
        <f t="shared" si="11"/>
        <v>0.76719923881999996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1.5580700000000001</v>
      </c>
      <c r="H66" s="22">
        <v>37.762900000000002</v>
      </c>
      <c r="I66" s="22">
        <v>-1.5701300000000001E-2</v>
      </c>
      <c r="J66" s="22">
        <v>56</v>
      </c>
      <c r="K66" s="22">
        <v>1.55701</v>
      </c>
      <c r="L66">
        <f t="shared" si="0"/>
        <v>15.701300000000002</v>
      </c>
      <c r="M66">
        <f t="shared" si="1"/>
        <v>24.463724491000004</v>
      </c>
      <c r="N66" s="9"/>
      <c r="O66" s="22">
        <v>0.182037</v>
      </c>
      <c r="P66" s="22">
        <v>87.201300000000003</v>
      </c>
      <c r="Q66" s="22">
        <v>-1.6943400000000001E-2</v>
      </c>
      <c r="R66" s="22">
        <v>56</v>
      </c>
      <c r="S66" s="22">
        <v>0.18124399999999999</v>
      </c>
      <c r="T66">
        <f t="shared" si="2"/>
        <v>16.9434</v>
      </c>
      <c r="U66">
        <f t="shared" si="3"/>
        <v>3.0843257058</v>
      </c>
      <c r="X66" s="9"/>
      <c r="Y66" s="22">
        <v>1.5580700000000001</v>
      </c>
      <c r="Z66" s="22">
        <v>136.74700000000001</v>
      </c>
      <c r="AA66" s="22">
        <v>-1.62659E-2</v>
      </c>
      <c r="AB66" s="22">
        <v>56</v>
      </c>
      <c r="AC66" s="22">
        <v>1.55762</v>
      </c>
      <c r="AD66">
        <f t="shared" si="4"/>
        <v>16.265899999999998</v>
      </c>
      <c r="AE66">
        <f t="shared" si="5"/>
        <v>25.343410812999998</v>
      </c>
      <c r="AF66" s="9"/>
      <c r="AG66" s="22">
        <v>0.182037</v>
      </c>
      <c r="AH66" s="22">
        <v>186.36099999999999</v>
      </c>
      <c r="AI66" s="22">
        <v>-1.6964699999999999E-2</v>
      </c>
      <c r="AJ66" s="22">
        <v>56</v>
      </c>
      <c r="AK66" s="22">
        <v>0.18127399999999999</v>
      </c>
      <c r="AL66">
        <f t="shared" si="6"/>
        <v>16.964700000000001</v>
      </c>
      <c r="AM66">
        <f t="shared" si="7"/>
        <v>3.0882030939000003</v>
      </c>
      <c r="AP66" s="9"/>
      <c r="AQ66" s="22">
        <v>1.5580700000000001</v>
      </c>
      <c r="AR66" s="22">
        <v>235.98500000000001</v>
      </c>
      <c r="AS66" s="25">
        <v>2.9235799999999999E-5</v>
      </c>
      <c r="AT66" s="22">
        <v>56</v>
      </c>
      <c r="AU66" s="22">
        <v>7.9620399999999994E-2</v>
      </c>
      <c r="AV66">
        <f t="shared" si="8"/>
        <v>-2.9235799999999999E-2</v>
      </c>
      <c r="AW66">
        <f t="shared" si="9"/>
        <v>-4.5551422905999998E-2</v>
      </c>
      <c r="AX66" s="9"/>
      <c r="AY66" s="22">
        <v>0.182037</v>
      </c>
      <c r="AZ66" s="22">
        <v>252.04400000000001</v>
      </c>
      <c r="BA66" s="22">
        <v>-4.50958E-3</v>
      </c>
      <c r="BB66" s="22">
        <v>56</v>
      </c>
      <c r="BC66" s="22">
        <v>0.18176300000000001</v>
      </c>
      <c r="BD66">
        <f t="shared" si="10"/>
        <v>4.5095799999999997</v>
      </c>
      <c r="BE66">
        <f t="shared" si="11"/>
        <v>0.82091041446000002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1.55304</v>
      </c>
      <c r="H67" s="22">
        <v>37.773000000000003</v>
      </c>
      <c r="I67" s="22">
        <v>-1.5725699999999999E-2</v>
      </c>
      <c r="J67" s="22">
        <v>57</v>
      </c>
      <c r="K67" s="22">
        <v>1.5515099999999999</v>
      </c>
      <c r="L67">
        <f t="shared" si="0"/>
        <v>15.725699999999998</v>
      </c>
      <c r="M67">
        <f t="shared" si="1"/>
        <v>24.422641127999995</v>
      </c>
      <c r="N67" s="9"/>
      <c r="O67" s="22">
        <v>0.18707299999999999</v>
      </c>
      <c r="P67" s="22">
        <v>87.211399999999998</v>
      </c>
      <c r="Q67" s="22">
        <v>-1.6943400000000001E-2</v>
      </c>
      <c r="R67" s="22">
        <v>57</v>
      </c>
      <c r="S67" s="22">
        <v>0.186279</v>
      </c>
      <c r="T67">
        <f t="shared" si="2"/>
        <v>16.9434</v>
      </c>
      <c r="U67">
        <f t="shared" si="3"/>
        <v>3.1696526681999999</v>
      </c>
      <c r="X67" s="9"/>
      <c r="Y67" s="22">
        <v>1.55304</v>
      </c>
      <c r="Z67" s="22">
        <v>136.75700000000001</v>
      </c>
      <c r="AA67" s="22">
        <v>-1.6284199999999999E-2</v>
      </c>
      <c r="AB67" s="22">
        <v>57</v>
      </c>
      <c r="AC67" s="22">
        <v>1.5521199999999999</v>
      </c>
      <c r="AD67">
        <f t="shared" si="4"/>
        <v>16.284199999999998</v>
      </c>
      <c r="AE67">
        <f t="shared" si="5"/>
        <v>25.290013967999997</v>
      </c>
      <c r="AF67" s="9"/>
      <c r="AG67" s="22">
        <v>0.18707299999999999</v>
      </c>
      <c r="AH67" s="22">
        <v>186.37100000000001</v>
      </c>
      <c r="AI67" s="22">
        <v>-1.6964699999999999E-2</v>
      </c>
      <c r="AJ67" s="22">
        <v>57</v>
      </c>
      <c r="AK67" s="22">
        <v>0.186249</v>
      </c>
      <c r="AL67">
        <f t="shared" si="6"/>
        <v>16.964700000000001</v>
      </c>
      <c r="AM67">
        <f t="shared" si="7"/>
        <v>3.1736373230999999</v>
      </c>
      <c r="AP67" s="9"/>
      <c r="AQ67" s="22">
        <v>1.55304</v>
      </c>
      <c r="AR67" s="22">
        <v>235.995</v>
      </c>
      <c r="AS67" s="25">
        <v>2.4261500000000001E-5</v>
      </c>
      <c r="AT67" s="22">
        <v>57</v>
      </c>
      <c r="AU67" s="22">
        <v>7.9589800000000002E-2</v>
      </c>
      <c r="AV67">
        <f t="shared" si="8"/>
        <v>-2.4261500000000002E-2</v>
      </c>
      <c r="AW67">
        <f t="shared" si="9"/>
        <v>-3.767907996E-2</v>
      </c>
      <c r="AX67" s="9"/>
      <c r="AY67" s="22">
        <v>0.18707299999999999</v>
      </c>
      <c r="AZ67" s="22">
        <v>252.05500000000001</v>
      </c>
      <c r="BA67" s="22">
        <v>-4.5953399999999998E-3</v>
      </c>
      <c r="BB67" s="22">
        <v>57</v>
      </c>
      <c r="BC67" s="22">
        <v>0.186859</v>
      </c>
      <c r="BD67">
        <f t="shared" si="10"/>
        <v>4.5953400000000002</v>
      </c>
      <c r="BE67">
        <f t="shared" si="11"/>
        <v>0.85966403981999995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1.548</v>
      </c>
      <c r="H68" s="22">
        <v>37.783000000000001</v>
      </c>
      <c r="I68" s="22">
        <v>-1.57471E-2</v>
      </c>
      <c r="J68" s="22">
        <v>58</v>
      </c>
      <c r="K68" s="22">
        <v>1.54694</v>
      </c>
      <c r="L68">
        <f t="shared" si="0"/>
        <v>15.7471</v>
      </c>
      <c r="M68">
        <f t="shared" si="1"/>
        <v>24.376510799999998</v>
      </c>
      <c r="N68" s="9"/>
      <c r="O68" s="22">
        <v>0.192108</v>
      </c>
      <c r="P68" s="22">
        <v>87.221500000000006</v>
      </c>
      <c r="Q68" s="22">
        <v>-1.6943400000000001E-2</v>
      </c>
      <c r="R68" s="22">
        <v>58</v>
      </c>
      <c r="S68" s="22">
        <v>0.19125400000000001</v>
      </c>
      <c r="T68">
        <f t="shared" si="2"/>
        <v>16.9434</v>
      </c>
      <c r="U68">
        <f t="shared" si="3"/>
        <v>3.2549626871999999</v>
      </c>
      <c r="X68" s="9"/>
      <c r="Y68" s="22">
        <v>1.548</v>
      </c>
      <c r="Z68" s="22">
        <v>136.767</v>
      </c>
      <c r="AA68" s="22">
        <v>-1.6302500000000001E-2</v>
      </c>
      <c r="AB68" s="22">
        <v>58</v>
      </c>
      <c r="AC68" s="22">
        <v>1.54755</v>
      </c>
      <c r="AD68">
        <f t="shared" si="4"/>
        <v>16.302500000000002</v>
      </c>
      <c r="AE68">
        <f t="shared" si="5"/>
        <v>25.236270000000005</v>
      </c>
      <c r="AF68" s="9"/>
      <c r="AG68" s="22">
        <v>0.192108</v>
      </c>
      <c r="AH68" s="22">
        <v>186.381</v>
      </c>
      <c r="AI68" s="22">
        <v>-1.6964699999999999E-2</v>
      </c>
      <c r="AJ68" s="22">
        <v>58</v>
      </c>
      <c r="AK68" s="22">
        <v>0.19134499999999999</v>
      </c>
      <c r="AL68">
        <f t="shared" si="6"/>
        <v>16.964700000000001</v>
      </c>
      <c r="AM68">
        <f t="shared" si="7"/>
        <v>3.2590545876000001</v>
      </c>
      <c r="AP68" s="9"/>
      <c r="AQ68" s="22">
        <v>1.548</v>
      </c>
      <c r="AR68" s="22">
        <v>236.005</v>
      </c>
      <c r="AS68" s="25">
        <v>2.17285E-5</v>
      </c>
      <c r="AT68" s="22">
        <v>58</v>
      </c>
      <c r="AU68" s="22">
        <v>7.9559299999999999E-2</v>
      </c>
      <c r="AV68">
        <f t="shared" si="8"/>
        <v>-2.1728500000000001E-2</v>
      </c>
      <c r="AW68">
        <f t="shared" si="9"/>
        <v>-3.3635718000000002E-2</v>
      </c>
      <c r="AX68" s="9"/>
      <c r="AY68" s="22">
        <v>0.192108</v>
      </c>
      <c r="AZ68" s="22">
        <v>252.065</v>
      </c>
      <c r="BA68" s="22">
        <v>-4.7253399999999997E-3</v>
      </c>
      <c r="BB68" s="22">
        <v>58</v>
      </c>
      <c r="BC68" s="22">
        <v>0.191803</v>
      </c>
      <c r="BD68">
        <f t="shared" si="10"/>
        <v>4.7253400000000001</v>
      </c>
      <c r="BE68">
        <f t="shared" si="11"/>
        <v>0.90777561672000007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1.54297</v>
      </c>
      <c r="H69" s="22">
        <v>37.793100000000003</v>
      </c>
      <c r="I69" s="22">
        <v>-1.5765399999999999E-2</v>
      </c>
      <c r="J69" s="22">
        <v>59</v>
      </c>
      <c r="K69" s="22">
        <v>1.54175</v>
      </c>
      <c r="L69">
        <f t="shared" si="0"/>
        <v>15.7654</v>
      </c>
      <c r="M69">
        <f t="shared" si="1"/>
        <v>24.325539237999998</v>
      </c>
      <c r="N69" s="9"/>
      <c r="O69" s="22">
        <v>0.19714400000000001</v>
      </c>
      <c r="P69" s="22">
        <v>87.231499999999997</v>
      </c>
      <c r="Q69" s="22">
        <v>-1.6940299999999998E-2</v>
      </c>
      <c r="R69" s="22">
        <v>59</v>
      </c>
      <c r="S69" s="22">
        <v>0.196381</v>
      </c>
      <c r="T69">
        <f t="shared" si="2"/>
        <v>16.940299999999997</v>
      </c>
      <c r="U69">
        <f t="shared" si="3"/>
        <v>3.3396785031999996</v>
      </c>
      <c r="X69" s="9"/>
      <c r="Y69" s="22">
        <v>1.54297</v>
      </c>
      <c r="Z69" s="22">
        <v>136.77699999999999</v>
      </c>
      <c r="AA69" s="22">
        <v>-1.6323899999999999E-2</v>
      </c>
      <c r="AB69" s="22">
        <v>59</v>
      </c>
      <c r="AC69" s="22">
        <v>1.54114</v>
      </c>
      <c r="AD69">
        <f t="shared" si="4"/>
        <v>16.323899999999998</v>
      </c>
      <c r="AE69">
        <f t="shared" si="5"/>
        <v>25.187287982999997</v>
      </c>
      <c r="AF69" s="9"/>
      <c r="AG69" s="22">
        <v>0.19714400000000001</v>
      </c>
      <c r="AH69" s="22">
        <v>186.39099999999999</v>
      </c>
      <c r="AI69" s="22">
        <v>-1.69617E-2</v>
      </c>
      <c r="AJ69" s="22">
        <v>59</v>
      </c>
      <c r="AK69" s="22">
        <v>0.19631999999999999</v>
      </c>
      <c r="AL69">
        <f t="shared" si="6"/>
        <v>16.9617</v>
      </c>
      <c r="AM69">
        <f t="shared" si="7"/>
        <v>3.3438973848000004</v>
      </c>
      <c r="AP69" s="9"/>
      <c r="AQ69" s="22">
        <v>1.54297</v>
      </c>
      <c r="AR69" s="22">
        <v>236.01499999999999</v>
      </c>
      <c r="AS69" s="25">
        <v>2.09961E-5</v>
      </c>
      <c r="AT69" s="22">
        <v>59</v>
      </c>
      <c r="AU69" s="22">
        <v>7.9589800000000002E-2</v>
      </c>
      <c r="AV69">
        <f t="shared" si="8"/>
        <v>-2.09961E-2</v>
      </c>
      <c r="AW69">
        <f t="shared" si="9"/>
        <v>-3.2396352417E-2</v>
      </c>
      <c r="AX69" s="9"/>
      <c r="AY69" s="22">
        <v>0.19714400000000001</v>
      </c>
      <c r="AZ69" s="22">
        <v>252.07499999999999</v>
      </c>
      <c r="BA69" s="22">
        <v>-4.8120100000000002E-3</v>
      </c>
      <c r="BB69" s="22">
        <v>59</v>
      </c>
      <c r="BC69" s="22">
        <v>0.19680800000000001</v>
      </c>
      <c r="BD69">
        <f t="shared" si="10"/>
        <v>4.8120099999999999</v>
      </c>
      <c r="BE69">
        <f t="shared" si="11"/>
        <v>0.94865889944000004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1.53793</v>
      </c>
      <c r="H70" s="22">
        <v>37.803199999999997</v>
      </c>
      <c r="I70" s="22">
        <v>-1.5783700000000001E-2</v>
      </c>
      <c r="J70" s="22">
        <v>60</v>
      </c>
      <c r="K70" s="22">
        <v>1.53687</v>
      </c>
      <c r="L70">
        <f t="shared" si="0"/>
        <v>15.783700000000001</v>
      </c>
      <c r="M70">
        <f t="shared" si="1"/>
        <v>24.274225741000002</v>
      </c>
      <c r="N70" s="9"/>
      <c r="O70" s="22">
        <v>0.202179</v>
      </c>
      <c r="P70" s="22">
        <v>87.241600000000005</v>
      </c>
      <c r="Q70" s="22">
        <v>-1.6937299999999999E-2</v>
      </c>
      <c r="R70" s="22">
        <v>60</v>
      </c>
      <c r="S70" s="22">
        <v>0.20153799999999999</v>
      </c>
      <c r="T70">
        <f t="shared" si="2"/>
        <v>16.9373</v>
      </c>
      <c r="U70">
        <f t="shared" si="3"/>
        <v>3.4243663767000001</v>
      </c>
      <c r="X70" s="9"/>
      <c r="Y70" s="22">
        <v>1.53793</v>
      </c>
      <c r="Z70" s="22">
        <v>136.78700000000001</v>
      </c>
      <c r="AA70" s="22">
        <v>-1.6339099999999999E-2</v>
      </c>
      <c r="AB70" s="22">
        <v>60</v>
      </c>
      <c r="AC70" s="22">
        <v>1.53687</v>
      </c>
      <c r="AD70">
        <f t="shared" si="4"/>
        <v>16.339099999999998</v>
      </c>
      <c r="AE70">
        <f t="shared" si="5"/>
        <v>25.128392062999996</v>
      </c>
      <c r="AF70" s="9"/>
      <c r="AG70" s="22">
        <v>0.202179</v>
      </c>
      <c r="AH70" s="22">
        <v>186.40199999999999</v>
      </c>
      <c r="AI70" s="22">
        <v>-1.69617E-2</v>
      </c>
      <c r="AJ70" s="22">
        <v>60</v>
      </c>
      <c r="AK70" s="22">
        <v>0.20138500000000001</v>
      </c>
      <c r="AL70">
        <f t="shared" si="6"/>
        <v>16.9617</v>
      </c>
      <c r="AM70">
        <f t="shared" si="7"/>
        <v>3.4292995443000001</v>
      </c>
      <c r="AP70" s="9"/>
      <c r="AQ70" s="22">
        <v>1.53793</v>
      </c>
      <c r="AR70" s="22">
        <v>236.02500000000001</v>
      </c>
      <c r="AS70" s="25">
        <v>2.27356E-5</v>
      </c>
      <c r="AT70" s="22">
        <v>60</v>
      </c>
      <c r="AU70" s="22">
        <v>7.9498299999999994E-2</v>
      </c>
      <c r="AV70">
        <f t="shared" si="8"/>
        <v>-2.2735599999999998E-2</v>
      </c>
      <c r="AW70">
        <f t="shared" si="9"/>
        <v>-3.4965761307999998E-2</v>
      </c>
      <c r="AX70" s="9"/>
      <c r="AY70" s="22">
        <v>0.202179</v>
      </c>
      <c r="AZ70" s="22">
        <v>252.08500000000001</v>
      </c>
      <c r="BA70" s="22">
        <v>-4.8977700000000001E-3</v>
      </c>
      <c r="BB70" s="22">
        <v>60</v>
      </c>
      <c r="BC70" s="22">
        <v>0.20196500000000001</v>
      </c>
      <c r="BD70">
        <f t="shared" si="10"/>
        <v>4.8977700000000004</v>
      </c>
      <c r="BE70">
        <f t="shared" si="11"/>
        <v>0.9902262408300001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1.5328999999999999</v>
      </c>
      <c r="H71" s="22">
        <v>37.813200000000002</v>
      </c>
      <c r="I71" s="22">
        <v>-1.5799000000000001E-2</v>
      </c>
      <c r="J71" s="22">
        <v>61</v>
      </c>
      <c r="K71" s="22">
        <v>1.5322899999999999</v>
      </c>
      <c r="L71">
        <f t="shared" si="0"/>
        <v>15.799000000000001</v>
      </c>
      <c r="M71">
        <f t="shared" si="1"/>
        <v>24.218287100000001</v>
      </c>
      <c r="N71" s="9"/>
      <c r="O71" s="22">
        <v>0.20721400000000001</v>
      </c>
      <c r="P71" s="22">
        <v>87.2517</v>
      </c>
      <c r="Q71" s="22">
        <v>-1.69342E-2</v>
      </c>
      <c r="R71" s="22">
        <v>61</v>
      </c>
      <c r="S71" s="22">
        <v>0.206451</v>
      </c>
      <c r="T71">
        <f t="shared" si="2"/>
        <v>16.934200000000001</v>
      </c>
      <c r="U71">
        <f t="shared" si="3"/>
        <v>3.5090033188000005</v>
      </c>
      <c r="X71" s="9"/>
      <c r="Y71" s="22">
        <v>1.5328999999999999</v>
      </c>
      <c r="Z71" s="22">
        <v>136.797</v>
      </c>
      <c r="AA71" s="22">
        <v>-1.6357400000000001E-2</v>
      </c>
      <c r="AB71" s="22">
        <v>61</v>
      </c>
      <c r="AC71" s="22">
        <v>1.5322899999999999</v>
      </c>
      <c r="AD71">
        <f t="shared" si="4"/>
        <v>16.357400000000002</v>
      </c>
      <c r="AE71">
        <f t="shared" si="5"/>
        <v>25.074258460000003</v>
      </c>
      <c r="AF71" s="9"/>
      <c r="AG71" s="22">
        <v>0.20721400000000001</v>
      </c>
      <c r="AH71" s="22">
        <v>186.41200000000001</v>
      </c>
      <c r="AI71" s="22">
        <v>-1.6958600000000001E-2</v>
      </c>
      <c r="AJ71" s="22">
        <v>61</v>
      </c>
      <c r="AK71" s="22">
        <v>0.206451</v>
      </c>
      <c r="AL71">
        <f t="shared" si="6"/>
        <v>16.958600000000001</v>
      </c>
      <c r="AM71">
        <f t="shared" si="7"/>
        <v>3.5140593404000002</v>
      </c>
      <c r="AP71" s="9"/>
      <c r="AQ71" s="22">
        <v>1.5328999999999999</v>
      </c>
      <c r="AR71" s="22">
        <v>236.035</v>
      </c>
      <c r="AS71" s="25">
        <v>2.2399899999999999E-5</v>
      </c>
      <c r="AT71" s="22">
        <v>61</v>
      </c>
      <c r="AU71" s="22">
        <v>7.9559299999999999E-2</v>
      </c>
      <c r="AV71">
        <f t="shared" si="8"/>
        <v>-2.23999E-2</v>
      </c>
      <c r="AW71">
        <f t="shared" si="9"/>
        <v>-3.4336806710000001E-2</v>
      </c>
      <c r="AX71" s="9"/>
      <c r="AY71" s="22">
        <v>0.20721400000000001</v>
      </c>
      <c r="AZ71" s="22">
        <v>252.095</v>
      </c>
      <c r="BA71" s="22">
        <v>-4.9926800000000002E-3</v>
      </c>
      <c r="BB71" s="22">
        <v>61</v>
      </c>
      <c r="BC71" s="22">
        <v>0.20700099999999999</v>
      </c>
      <c r="BD71">
        <f t="shared" si="10"/>
        <v>4.99268</v>
      </c>
      <c r="BE71">
        <f t="shared" si="11"/>
        <v>1.0345531935200001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1.52786</v>
      </c>
      <c r="H72" s="22">
        <v>37.823300000000003</v>
      </c>
      <c r="I72" s="22">
        <v>-1.5811200000000001E-2</v>
      </c>
      <c r="J72" s="22">
        <v>62</v>
      </c>
      <c r="K72" s="22">
        <v>1.5267900000000001</v>
      </c>
      <c r="L72">
        <f t="shared" si="0"/>
        <v>15.811200000000001</v>
      </c>
      <c r="M72">
        <f t="shared" si="1"/>
        <v>24.157300032000002</v>
      </c>
      <c r="N72" s="9"/>
      <c r="O72" s="22">
        <v>0.21224999999999999</v>
      </c>
      <c r="P72" s="22">
        <v>87.261700000000005</v>
      </c>
      <c r="Q72" s="22">
        <v>-1.69342E-2</v>
      </c>
      <c r="R72" s="22">
        <v>62</v>
      </c>
      <c r="S72" s="22">
        <v>0.21148700000000001</v>
      </c>
      <c r="T72">
        <f t="shared" si="2"/>
        <v>16.934200000000001</v>
      </c>
      <c r="U72">
        <f t="shared" si="3"/>
        <v>3.5942839499999999</v>
      </c>
      <c r="X72" s="9"/>
      <c r="Y72" s="22">
        <v>1.52786</v>
      </c>
      <c r="Z72" s="22">
        <v>136.80699999999999</v>
      </c>
      <c r="AA72" s="22">
        <v>-1.63635E-2</v>
      </c>
      <c r="AB72" s="22">
        <v>62</v>
      </c>
      <c r="AC72" s="22">
        <v>1.5270999999999999</v>
      </c>
      <c r="AD72">
        <f t="shared" si="4"/>
        <v>16.363499999999998</v>
      </c>
      <c r="AE72">
        <f t="shared" si="5"/>
        <v>25.001137109999998</v>
      </c>
      <c r="AF72" s="9"/>
      <c r="AG72" s="22">
        <v>0.21224999999999999</v>
      </c>
      <c r="AH72" s="22">
        <v>186.422</v>
      </c>
      <c r="AI72" s="22">
        <v>-1.6955600000000001E-2</v>
      </c>
      <c r="AJ72" s="22">
        <v>62</v>
      </c>
      <c r="AK72" s="22">
        <v>0.21151700000000001</v>
      </c>
      <c r="AL72">
        <f t="shared" si="6"/>
        <v>16.9556</v>
      </c>
      <c r="AM72">
        <f t="shared" si="7"/>
        <v>3.5988261000000001</v>
      </c>
      <c r="AP72" s="9"/>
      <c r="AQ72" s="22">
        <v>1.52786</v>
      </c>
      <c r="AR72" s="22">
        <v>236.04499999999999</v>
      </c>
      <c r="AS72" s="25">
        <v>2.3651100000000001E-5</v>
      </c>
      <c r="AT72" s="22">
        <v>62</v>
      </c>
      <c r="AU72" s="22">
        <v>7.9528799999999997E-2</v>
      </c>
      <c r="AV72">
        <f t="shared" si="8"/>
        <v>-2.3651100000000001E-2</v>
      </c>
      <c r="AW72">
        <f t="shared" si="9"/>
        <v>-3.6135569646000003E-2</v>
      </c>
      <c r="AX72" s="9"/>
      <c r="AY72" s="22">
        <v>0.21224999999999999</v>
      </c>
      <c r="AZ72" s="22">
        <v>252.10499999999999</v>
      </c>
      <c r="BA72" s="22">
        <v>-4.7955300000000001E-3</v>
      </c>
      <c r="BB72" s="22">
        <v>62</v>
      </c>
      <c r="BC72" s="22">
        <v>0.21194499999999999</v>
      </c>
      <c r="BD72">
        <f t="shared" si="10"/>
        <v>4.7955300000000003</v>
      </c>
      <c r="BE72">
        <f t="shared" si="11"/>
        <v>1.0178512425000001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1.5228299999999999</v>
      </c>
      <c r="H73" s="22">
        <v>37.833399999999997</v>
      </c>
      <c r="I73" s="22">
        <v>-1.5826400000000001E-2</v>
      </c>
      <c r="J73" s="22">
        <v>63</v>
      </c>
      <c r="K73" s="22">
        <v>1.5219100000000001</v>
      </c>
      <c r="L73">
        <f t="shared" si="0"/>
        <v>15.826400000000001</v>
      </c>
      <c r="M73">
        <f t="shared" si="1"/>
        <v>24.100916712</v>
      </c>
      <c r="N73" s="9"/>
      <c r="O73" s="22">
        <v>0.21728500000000001</v>
      </c>
      <c r="P73" s="22">
        <v>87.271799999999999</v>
      </c>
      <c r="Q73" s="22">
        <v>-1.69312E-2</v>
      </c>
      <c r="R73" s="22">
        <v>63</v>
      </c>
      <c r="S73" s="22">
        <v>0.21652199999999999</v>
      </c>
      <c r="T73">
        <f t="shared" si="2"/>
        <v>16.9312</v>
      </c>
      <c r="U73">
        <f t="shared" si="3"/>
        <v>3.6788957920000001</v>
      </c>
      <c r="X73" s="9"/>
      <c r="Y73" s="22">
        <v>1.5228299999999999</v>
      </c>
      <c r="Z73" s="22">
        <v>136.81700000000001</v>
      </c>
      <c r="AA73" s="22">
        <v>-1.63757E-2</v>
      </c>
      <c r="AB73" s="22">
        <v>63</v>
      </c>
      <c r="AC73" s="22">
        <v>1.5219100000000001</v>
      </c>
      <c r="AD73">
        <f t="shared" si="4"/>
        <v>16.375699999999998</v>
      </c>
      <c r="AE73">
        <f t="shared" si="5"/>
        <v>24.937407230999995</v>
      </c>
      <c r="AF73" s="9"/>
      <c r="AG73" s="22">
        <v>0.21728500000000001</v>
      </c>
      <c r="AH73" s="22">
        <v>186.43199999999999</v>
      </c>
      <c r="AI73" s="22">
        <v>-1.6955600000000001E-2</v>
      </c>
      <c r="AJ73" s="22">
        <v>63</v>
      </c>
      <c r="AK73" s="22">
        <v>0.21652199999999999</v>
      </c>
      <c r="AL73">
        <f t="shared" si="6"/>
        <v>16.9556</v>
      </c>
      <c r="AM73">
        <f t="shared" si="7"/>
        <v>3.684197546</v>
      </c>
      <c r="AP73" s="9"/>
      <c r="AQ73" s="22">
        <v>1.5228299999999999</v>
      </c>
      <c r="AR73" s="22">
        <v>236.05500000000001</v>
      </c>
      <c r="AS73" s="25">
        <v>2.5116000000000001E-5</v>
      </c>
      <c r="AT73" s="22">
        <v>63</v>
      </c>
      <c r="AU73" s="22">
        <v>7.9528799999999997E-2</v>
      </c>
      <c r="AV73">
        <f t="shared" si="8"/>
        <v>-2.5116000000000003E-2</v>
      </c>
      <c r="AW73">
        <f t="shared" si="9"/>
        <v>-3.8247398280000004E-2</v>
      </c>
      <c r="AX73" s="9"/>
      <c r="AY73" s="22">
        <v>0.21728500000000001</v>
      </c>
      <c r="AZ73" s="22">
        <v>252.11500000000001</v>
      </c>
      <c r="BA73" s="22">
        <v>-4.9621600000000002E-3</v>
      </c>
      <c r="BB73" s="22">
        <v>63</v>
      </c>
      <c r="BC73" s="22">
        <v>0.21707199999999999</v>
      </c>
      <c r="BD73">
        <f t="shared" si="10"/>
        <v>4.9621599999999999</v>
      </c>
      <c r="BE73">
        <f t="shared" si="11"/>
        <v>1.0782029356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1.51779</v>
      </c>
      <c r="H74" s="22">
        <v>37.843499999999999</v>
      </c>
      <c r="I74" s="22">
        <v>-1.5835599999999998E-2</v>
      </c>
      <c r="J74" s="22">
        <v>64</v>
      </c>
      <c r="K74" s="22">
        <v>1.5167200000000001</v>
      </c>
      <c r="L74">
        <f t="shared" si="0"/>
        <v>15.835599999999998</v>
      </c>
      <c r="M74">
        <f t="shared" si="1"/>
        <v>24.035115323999996</v>
      </c>
      <c r="N74" s="9"/>
      <c r="O74" s="22">
        <v>0.22232099999999999</v>
      </c>
      <c r="P74" s="22">
        <v>87.281899999999993</v>
      </c>
      <c r="Q74" s="22">
        <v>-1.6928100000000001E-2</v>
      </c>
      <c r="R74" s="22">
        <v>64</v>
      </c>
      <c r="S74" s="22">
        <v>0.221466</v>
      </c>
      <c r="T74">
        <f t="shared" si="2"/>
        <v>16.928100000000001</v>
      </c>
      <c r="U74">
        <f t="shared" si="3"/>
        <v>3.7634721200999999</v>
      </c>
      <c r="X74" s="9"/>
      <c r="Y74" s="22">
        <v>1.51779</v>
      </c>
      <c r="Z74" s="22">
        <v>136.827</v>
      </c>
      <c r="AA74" s="22">
        <v>-1.6381799999999998E-2</v>
      </c>
      <c r="AB74" s="22">
        <v>64</v>
      </c>
      <c r="AC74" s="22">
        <v>1.5173300000000001</v>
      </c>
      <c r="AD74">
        <f t="shared" si="4"/>
        <v>16.381799999999998</v>
      </c>
      <c r="AE74">
        <f t="shared" si="5"/>
        <v>24.864132221999999</v>
      </c>
      <c r="AF74" s="9"/>
      <c r="AG74" s="22">
        <v>0.22232099999999999</v>
      </c>
      <c r="AH74" s="22">
        <v>186.44200000000001</v>
      </c>
      <c r="AI74" s="22">
        <v>-1.6952499999999999E-2</v>
      </c>
      <c r="AJ74" s="22">
        <v>64</v>
      </c>
      <c r="AK74" s="22">
        <v>0.22143599999999999</v>
      </c>
      <c r="AL74">
        <f t="shared" si="6"/>
        <v>16.952500000000001</v>
      </c>
      <c r="AM74">
        <f t="shared" si="7"/>
        <v>3.7688967524999999</v>
      </c>
      <c r="AP74" s="9"/>
      <c r="AQ74" s="22">
        <v>1.51779</v>
      </c>
      <c r="AR74" s="22">
        <v>236.065</v>
      </c>
      <c r="AS74" s="25">
        <v>2.3742699999999999E-5</v>
      </c>
      <c r="AT74" s="22">
        <v>64</v>
      </c>
      <c r="AU74" s="22">
        <v>7.9559299999999999E-2</v>
      </c>
      <c r="AV74">
        <f t="shared" si="8"/>
        <v>-2.3742699999999999E-2</v>
      </c>
      <c r="AW74">
        <f t="shared" si="9"/>
        <v>-3.6036432633E-2</v>
      </c>
      <c r="AX74" s="9"/>
      <c r="AY74" s="22">
        <v>0.22232099999999999</v>
      </c>
      <c r="AZ74" s="22">
        <v>252.125</v>
      </c>
      <c r="BA74" s="22">
        <v>-5.0903299999999997E-3</v>
      </c>
      <c r="BB74" s="22">
        <v>64</v>
      </c>
      <c r="BC74" s="22">
        <v>0.22201499999999999</v>
      </c>
      <c r="BD74">
        <f t="shared" si="10"/>
        <v>5.0903299999999998</v>
      </c>
      <c r="BE74">
        <f t="shared" si="11"/>
        <v>1.13168725593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1.5127600000000001</v>
      </c>
      <c r="H75" s="22">
        <v>37.853499999999997</v>
      </c>
      <c r="I75" s="22">
        <v>-1.5847799999999999E-2</v>
      </c>
      <c r="J75" s="22">
        <v>65</v>
      </c>
      <c r="K75" s="22">
        <v>1.5115400000000001</v>
      </c>
      <c r="L75">
        <f t="shared" si="0"/>
        <v>15.847799999999999</v>
      </c>
      <c r="M75">
        <f t="shared" si="1"/>
        <v>23.973917928000002</v>
      </c>
      <c r="N75" s="9"/>
      <c r="O75" s="22">
        <v>0.227356</v>
      </c>
      <c r="P75" s="22">
        <v>87.292000000000002</v>
      </c>
      <c r="Q75" s="22">
        <v>-1.6922E-2</v>
      </c>
      <c r="R75" s="22">
        <v>65</v>
      </c>
      <c r="S75" s="22">
        <v>0.22659299999999999</v>
      </c>
      <c r="T75">
        <f t="shared" si="2"/>
        <v>16.922000000000001</v>
      </c>
      <c r="U75">
        <f t="shared" si="3"/>
        <v>3.8473182320000001</v>
      </c>
      <c r="X75" s="9"/>
      <c r="Y75" s="22">
        <v>1.5127600000000001</v>
      </c>
      <c r="Z75" s="22">
        <v>136.83699999999999</v>
      </c>
      <c r="AA75" s="22">
        <v>-1.6390999999999999E-2</v>
      </c>
      <c r="AB75" s="22">
        <v>65</v>
      </c>
      <c r="AC75" s="22">
        <v>1.5118400000000001</v>
      </c>
      <c r="AD75">
        <f t="shared" si="4"/>
        <v>16.390999999999998</v>
      </c>
      <c r="AE75">
        <f t="shared" si="5"/>
        <v>24.79564916</v>
      </c>
      <c r="AF75" s="9"/>
      <c r="AG75" s="22">
        <v>0.227356</v>
      </c>
      <c r="AH75" s="22">
        <v>186.452</v>
      </c>
      <c r="AI75" s="22">
        <v>-1.69464E-2</v>
      </c>
      <c r="AJ75" s="22">
        <v>65</v>
      </c>
      <c r="AK75" s="22">
        <v>0.22644</v>
      </c>
      <c r="AL75">
        <f t="shared" si="6"/>
        <v>16.946400000000001</v>
      </c>
      <c r="AM75">
        <f t="shared" si="7"/>
        <v>3.8528657184000004</v>
      </c>
      <c r="AP75" s="9"/>
      <c r="AQ75" s="22">
        <v>1.5127600000000001</v>
      </c>
      <c r="AR75" s="22">
        <v>236.07499999999999</v>
      </c>
      <c r="AS75" s="25">
        <v>2.4047900000000001E-5</v>
      </c>
      <c r="AT75" s="22">
        <v>65</v>
      </c>
      <c r="AU75" s="22">
        <v>7.9559299999999999E-2</v>
      </c>
      <c r="AV75">
        <f t="shared" si="8"/>
        <v>-2.4047900000000001E-2</v>
      </c>
      <c r="AW75">
        <f t="shared" si="9"/>
        <v>-3.6378701204000004E-2</v>
      </c>
      <c r="AX75" s="9"/>
      <c r="AY75" s="22">
        <v>0.227356</v>
      </c>
      <c r="AZ75" s="22">
        <v>252.13499999999999</v>
      </c>
      <c r="BA75" s="22">
        <v>-5.10254E-3</v>
      </c>
      <c r="BB75" s="22">
        <v>65</v>
      </c>
      <c r="BC75" s="22">
        <v>0.22714200000000001</v>
      </c>
      <c r="BD75">
        <f t="shared" si="10"/>
        <v>5.1025400000000003</v>
      </c>
      <c r="BE75">
        <f t="shared" si="11"/>
        <v>1.1600930842400001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1.5077199999999999</v>
      </c>
      <c r="H76" s="22">
        <v>37.863599999999998</v>
      </c>
      <c r="I76" s="22">
        <v>-1.5862999999999999E-2</v>
      </c>
      <c r="J76" s="22">
        <v>66</v>
      </c>
      <c r="K76" s="22">
        <v>1.5069600000000001</v>
      </c>
      <c r="L76">
        <f t="shared" ref="L76:L139" si="12">-I76/$F$2*1000</f>
        <v>15.862999999999998</v>
      </c>
      <c r="M76">
        <f t="shared" ref="M76:M139" si="13">L76*G76</f>
        <v>23.916962359999996</v>
      </c>
      <c r="N76" s="9"/>
      <c r="O76" s="22">
        <v>0.23239099999999999</v>
      </c>
      <c r="P76" s="22">
        <v>87.302000000000007</v>
      </c>
      <c r="Q76" s="22">
        <v>-1.6918900000000001E-2</v>
      </c>
      <c r="R76" s="22">
        <v>66</v>
      </c>
      <c r="S76" s="22">
        <v>0.23172000000000001</v>
      </c>
      <c r="T76">
        <f t="shared" ref="T76:T139" si="14">-Q76/$F$2*1000</f>
        <v>16.918900000000001</v>
      </c>
      <c r="U76">
        <f t="shared" ref="U76:U139" si="15">T76*O76</f>
        <v>3.9318000898999999</v>
      </c>
      <c r="X76" s="9"/>
      <c r="Y76" s="22">
        <v>1.5077199999999999</v>
      </c>
      <c r="Z76" s="22">
        <v>136.84700000000001</v>
      </c>
      <c r="AA76" s="22">
        <v>-1.6393999999999999E-2</v>
      </c>
      <c r="AB76" s="22">
        <v>66</v>
      </c>
      <c r="AC76" s="22">
        <v>1.50726</v>
      </c>
      <c r="AD76">
        <f t="shared" ref="AD76:AD139" si="16">-AA76/$F$2*1000</f>
        <v>16.393999999999998</v>
      </c>
      <c r="AE76">
        <f t="shared" ref="AE76:AE139" si="17">AD76*Y76</f>
        <v>24.717561679999996</v>
      </c>
      <c r="AF76" s="9"/>
      <c r="AG76" s="22">
        <v>0.23239099999999999</v>
      </c>
      <c r="AH76" s="22">
        <v>186.46199999999999</v>
      </c>
      <c r="AI76" s="22">
        <v>-1.6940299999999998E-2</v>
      </c>
      <c r="AJ76" s="22">
        <v>66</v>
      </c>
      <c r="AK76" s="22">
        <v>0.231628</v>
      </c>
      <c r="AL76">
        <f t="shared" ref="AL76:AL139" si="18">-AI76/$F$2*1000</f>
        <v>16.940299999999997</v>
      </c>
      <c r="AM76">
        <f t="shared" ref="AM76:AM139" si="19">AL76*AG76</f>
        <v>3.9367732572999992</v>
      </c>
      <c r="AP76" s="9"/>
      <c r="AQ76" s="22">
        <v>1.5077199999999999</v>
      </c>
      <c r="AR76" s="22">
        <v>236.08500000000001</v>
      </c>
      <c r="AS76" s="25">
        <v>2.5085399999999999E-5</v>
      </c>
      <c r="AT76" s="22">
        <v>66</v>
      </c>
      <c r="AU76" s="22">
        <v>7.9467800000000005E-2</v>
      </c>
      <c r="AV76">
        <f t="shared" ref="AV76:AV139" si="20">-AS76/$F$2*1000</f>
        <v>-2.5085399999999997E-2</v>
      </c>
      <c r="AW76">
        <f t="shared" ref="AW76:AW139" si="21">AV76*AQ76</f>
        <v>-3.7821759287999995E-2</v>
      </c>
      <c r="AX76" s="9"/>
      <c r="AY76" s="22">
        <v>0.23239099999999999</v>
      </c>
      <c r="AZ76" s="22">
        <v>252.14500000000001</v>
      </c>
      <c r="BA76" s="22">
        <v>-4.8556500000000004E-3</v>
      </c>
      <c r="BB76" s="22">
        <v>66</v>
      </c>
      <c r="BC76" s="22">
        <v>0.23202500000000001</v>
      </c>
      <c r="BD76">
        <f t="shared" ref="BD76:BD139" si="22">-BA76/$F$2*1000</f>
        <v>4.8556500000000007</v>
      </c>
      <c r="BE76">
        <f t="shared" ref="BE76:BE139" si="23">BD76*AY76</f>
        <v>1.1284093591500002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1.5026900000000001</v>
      </c>
      <c r="H77" s="22">
        <v>37.873699999999999</v>
      </c>
      <c r="I77" s="22">
        <v>-1.5875199999999999E-2</v>
      </c>
      <c r="J77" s="22">
        <v>67</v>
      </c>
      <c r="K77" s="22">
        <v>1.50146</v>
      </c>
      <c r="L77">
        <f t="shared" si="12"/>
        <v>15.8752</v>
      </c>
      <c r="M77">
        <f t="shared" si="13"/>
        <v>23.855504288000002</v>
      </c>
      <c r="N77" s="9"/>
      <c r="O77" s="22">
        <v>0.237427</v>
      </c>
      <c r="P77" s="22">
        <v>87.312100000000001</v>
      </c>
      <c r="Q77" s="22">
        <v>-1.6922E-2</v>
      </c>
      <c r="R77" s="22">
        <v>67</v>
      </c>
      <c r="S77" s="22">
        <v>0.23666400000000001</v>
      </c>
      <c r="T77">
        <f t="shared" si="14"/>
        <v>16.922000000000001</v>
      </c>
      <c r="U77">
        <f t="shared" si="15"/>
        <v>4.0177396940000003</v>
      </c>
      <c r="X77" s="9"/>
      <c r="Y77" s="22">
        <v>1.5026900000000001</v>
      </c>
      <c r="Z77" s="22">
        <v>136.858</v>
      </c>
      <c r="AA77" s="22">
        <v>-1.6406299999999999E-2</v>
      </c>
      <c r="AB77" s="22">
        <v>67</v>
      </c>
      <c r="AC77" s="22">
        <v>1.50177</v>
      </c>
      <c r="AD77">
        <f t="shared" si="16"/>
        <v>16.406299999999998</v>
      </c>
      <c r="AE77">
        <f t="shared" si="17"/>
        <v>24.653582946999997</v>
      </c>
      <c r="AF77" s="9"/>
      <c r="AG77" s="22">
        <v>0.237427</v>
      </c>
      <c r="AH77" s="22">
        <v>186.47200000000001</v>
      </c>
      <c r="AI77" s="22">
        <v>-1.6940299999999998E-2</v>
      </c>
      <c r="AJ77" s="22">
        <v>67</v>
      </c>
      <c r="AK77" s="22">
        <v>0.23669399999999999</v>
      </c>
      <c r="AL77">
        <f t="shared" si="18"/>
        <v>16.940299999999997</v>
      </c>
      <c r="AM77">
        <f t="shared" si="19"/>
        <v>4.0220846080999992</v>
      </c>
      <c r="AP77" s="9"/>
      <c r="AQ77" s="22">
        <v>1.5026900000000001</v>
      </c>
      <c r="AR77" s="22">
        <v>236.095</v>
      </c>
      <c r="AS77" s="25">
        <v>2.4841299999999999E-5</v>
      </c>
      <c r="AT77" s="22">
        <v>67</v>
      </c>
      <c r="AU77" s="22">
        <v>7.9467800000000005E-2</v>
      </c>
      <c r="AV77">
        <f t="shared" si="20"/>
        <v>-2.48413E-2</v>
      </c>
      <c r="AW77">
        <f t="shared" si="21"/>
        <v>-3.7328773097000001E-2</v>
      </c>
      <c r="AX77" s="9"/>
      <c r="AY77" s="22">
        <v>0.237427</v>
      </c>
      <c r="AZ77" s="22">
        <v>252.155</v>
      </c>
      <c r="BA77" s="22">
        <v>-4.9621600000000002E-3</v>
      </c>
      <c r="BB77" s="22">
        <v>67</v>
      </c>
      <c r="BC77" s="22">
        <v>0.237122</v>
      </c>
      <c r="BD77">
        <f t="shared" si="22"/>
        <v>4.9621599999999999</v>
      </c>
      <c r="BE77">
        <f t="shared" si="23"/>
        <v>1.17815076232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1.4976499999999999</v>
      </c>
      <c r="H78" s="22">
        <v>37.883699999999997</v>
      </c>
      <c r="I78" s="22">
        <v>-1.58844E-2</v>
      </c>
      <c r="J78" s="22">
        <v>68</v>
      </c>
      <c r="K78" s="22">
        <v>1.49658</v>
      </c>
      <c r="L78">
        <f t="shared" si="12"/>
        <v>15.884399999999999</v>
      </c>
      <c r="M78">
        <f t="shared" si="13"/>
        <v>23.789271659999997</v>
      </c>
      <c r="N78" s="9"/>
      <c r="O78" s="22">
        <v>0.24246200000000001</v>
      </c>
      <c r="P78" s="22">
        <v>87.322199999999995</v>
      </c>
      <c r="Q78" s="22">
        <v>-1.6915900000000001E-2</v>
      </c>
      <c r="R78" s="22">
        <v>68</v>
      </c>
      <c r="S78" s="22">
        <v>0.24151600000000001</v>
      </c>
      <c r="T78">
        <f t="shared" si="14"/>
        <v>16.915900000000001</v>
      </c>
      <c r="U78">
        <f t="shared" si="15"/>
        <v>4.1014629458000007</v>
      </c>
      <c r="X78" s="9"/>
      <c r="Y78" s="22">
        <v>1.4976499999999999</v>
      </c>
      <c r="Z78" s="22">
        <v>136.86799999999999</v>
      </c>
      <c r="AA78" s="22">
        <v>-1.6418499999999999E-2</v>
      </c>
      <c r="AB78" s="22">
        <v>68</v>
      </c>
      <c r="AC78" s="22">
        <v>1.49719</v>
      </c>
      <c r="AD78">
        <f t="shared" si="16"/>
        <v>16.418499999999998</v>
      </c>
      <c r="AE78">
        <f t="shared" si="17"/>
        <v>24.589166524999996</v>
      </c>
      <c r="AF78" s="9"/>
      <c r="AG78" s="22">
        <v>0.24246200000000001</v>
      </c>
      <c r="AH78" s="22">
        <v>186.482</v>
      </c>
      <c r="AI78" s="22">
        <v>-1.69342E-2</v>
      </c>
      <c r="AJ78" s="22">
        <v>68</v>
      </c>
      <c r="AK78" s="22">
        <v>0.24173</v>
      </c>
      <c r="AL78">
        <f t="shared" si="18"/>
        <v>16.934200000000001</v>
      </c>
      <c r="AM78">
        <f t="shared" si="19"/>
        <v>4.1059000004000001</v>
      </c>
      <c r="AP78" s="9"/>
      <c r="AQ78" s="22">
        <v>1.4976499999999999</v>
      </c>
      <c r="AR78" s="22">
        <v>236.10499999999999</v>
      </c>
      <c r="AS78" s="25">
        <v>2.46887E-5</v>
      </c>
      <c r="AT78" s="22">
        <v>68</v>
      </c>
      <c r="AU78" s="22">
        <v>7.9528799999999997E-2</v>
      </c>
      <c r="AV78">
        <f t="shared" si="20"/>
        <v>-2.4688700000000001E-2</v>
      </c>
      <c r="AW78">
        <f t="shared" si="21"/>
        <v>-3.6975031555000003E-2</v>
      </c>
      <c r="AX78" s="9"/>
      <c r="AY78" s="22">
        <v>0.24246200000000001</v>
      </c>
      <c r="AZ78" s="22">
        <v>252.16499999999999</v>
      </c>
      <c r="BA78" s="22">
        <v>-4.7567699999999996E-3</v>
      </c>
      <c r="BB78" s="22">
        <v>68</v>
      </c>
      <c r="BC78" s="22">
        <v>0.24218799999999999</v>
      </c>
      <c r="BD78">
        <f t="shared" si="22"/>
        <v>4.7567699999999995</v>
      </c>
      <c r="BE78">
        <f t="shared" si="23"/>
        <v>1.1533359677399999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1.49261</v>
      </c>
      <c r="H79" s="22">
        <v>37.893799999999999</v>
      </c>
      <c r="I79" s="22">
        <v>-1.58966E-2</v>
      </c>
      <c r="J79" s="22">
        <v>69</v>
      </c>
      <c r="K79" s="22">
        <v>1.4917</v>
      </c>
      <c r="L79">
        <f t="shared" si="12"/>
        <v>15.896600000000001</v>
      </c>
      <c r="M79">
        <f t="shared" si="13"/>
        <v>23.727424126000003</v>
      </c>
      <c r="N79" s="9"/>
      <c r="O79" s="22">
        <v>0.247498</v>
      </c>
      <c r="P79" s="22">
        <v>87.3322</v>
      </c>
      <c r="Q79" s="22">
        <v>-1.6912799999999999E-2</v>
      </c>
      <c r="R79" s="22">
        <v>69</v>
      </c>
      <c r="S79" s="22">
        <v>0.246887</v>
      </c>
      <c r="T79">
        <f t="shared" si="14"/>
        <v>16.912799999999997</v>
      </c>
      <c r="U79">
        <f t="shared" si="15"/>
        <v>4.185884174399999</v>
      </c>
      <c r="X79" s="9"/>
      <c r="Y79" s="22">
        <v>1.49261</v>
      </c>
      <c r="Z79" s="22">
        <v>136.87799999999999</v>
      </c>
      <c r="AA79" s="22">
        <v>-1.6427600000000001E-2</v>
      </c>
      <c r="AB79" s="22">
        <v>69</v>
      </c>
      <c r="AC79" s="22">
        <v>1.4917</v>
      </c>
      <c r="AD79">
        <f t="shared" si="16"/>
        <v>16.427600000000002</v>
      </c>
      <c r="AE79">
        <f t="shared" si="17"/>
        <v>24.520000036000003</v>
      </c>
      <c r="AF79" s="9"/>
      <c r="AG79" s="22">
        <v>0.247498</v>
      </c>
      <c r="AH79" s="22">
        <v>186.49199999999999</v>
      </c>
      <c r="AI79" s="22">
        <v>-1.69312E-2</v>
      </c>
      <c r="AJ79" s="22">
        <v>69</v>
      </c>
      <c r="AK79" s="22">
        <v>0.24673500000000001</v>
      </c>
      <c r="AL79">
        <f t="shared" si="18"/>
        <v>16.9312</v>
      </c>
      <c r="AM79">
        <f t="shared" si="19"/>
        <v>4.1904381376000002</v>
      </c>
      <c r="AP79" s="9"/>
      <c r="AQ79" s="22">
        <v>1.49261</v>
      </c>
      <c r="AR79" s="22">
        <v>236.11600000000001</v>
      </c>
      <c r="AS79" s="25">
        <v>2.60315E-5</v>
      </c>
      <c r="AT79" s="22">
        <v>69</v>
      </c>
      <c r="AU79" s="22">
        <v>7.9467800000000005E-2</v>
      </c>
      <c r="AV79">
        <f t="shared" si="20"/>
        <v>-2.6031499999999999E-2</v>
      </c>
      <c r="AW79">
        <f t="shared" si="21"/>
        <v>-3.8854877215E-2</v>
      </c>
      <c r="AX79" s="9"/>
      <c r="AY79" s="22">
        <v>0.247498</v>
      </c>
      <c r="AZ79" s="22">
        <v>252.17500000000001</v>
      </c>
      <c r="BA79" s="22">
        <v>-4.9987800000000004E-3</v>
      </c>
      <c r="BB79" s="22">
        <v>69</v>
      </c>
      <c r="BC79" s="22">
        <v>0.247192</v>
      </c>
      <c r="BD79">
        <f t="shared" si="22"/>
        <v>4.99878</v>
      </c>
      <c r="BE79">
        <f t="shared" si="23"/>
        <v>1.2371880524400001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1.4875799999999999</v>
      </c>
      <c r="H80" s="22">
        <v>37.9039</v>
      </c>
      <c r="I80" s="22">
        <v>-1.5908800000000001E-2</v>
      </c>
      <c r="J80" s="22">
        <v>70</v>
      </c>
      <c r="K80" s="22">
        <v>1.48621</v>
      </c>
      <c r="L80">
        <f t="shared" si="12"/>
        <v>15.908800000000001</v>
      </c>
      <c r="M80">
        <f t="shared" si="13"/>
        <v>23.665612704000001</v>
      </c>
      <c r="N80" s="9"/>
      <c r="O80" s="22">
        <v>0.25253300000000001</v>
      </c>
      <c r="P80" s="22">
        <v>87.342299999999994</v>
      </c>
      <c r="Q80" s="22">
        <v>-1.6903700000000001E-2</v>
      </c>
      <c r="R80" s="22">
        <v>70</v>
      </c>
      <c r="S80" s="22">
        <v>0.25176999999999999</v>
      </c>
      <c r="T80">
        <f t="shared" si="14"/>
        <v>16.903700000000001</v>
      </c>
      <c r="U80">
        <f t="shared" si="15"/>
        <v>4.2687420721000002</v>
      </c>
      <c r="X80" s="9"/>
      <c r="Y80" s="22">
        <v>1.4875799999999999</v>
      </c>
      <c r="Z80" s="22">
        <v>136.88800000000001</v>
      </c>
      <c r="AA80" s="22">
        <v>-1.64429E-2</v>
      </c>
      <c r="AB80" s="22">
        <v>70</v>
      </c>
      <c r="AC80" s="22">
        <v>1.48743</v>
      </c>
      <c r="AD80">
        <f t="shared" si="16"/>
        <v>16.442900000000002</v>
      </c>
      <c r="AE80">
        <f t="shared" si="17"/>
        <v>24.460129181999999</v>
      </c>
      <c r="AF80" s="9"/>
      <c r="AG80" s="22">
        <v>0.25253300000000001</v>
      </c>
      <c r="AH80" s="22">
        <v>186.50200000000001</v>
      </c>
      <c r="AI80" s="22">
        <v>-1.6928100000000001E-2</v>
      </c>
      <c r="AJ80" s="22">
        <v>70</v>
      </c>
      <c r="AK80" s="22">
        <v>0.25167800000000001</v>
      </c>
      <c r="AL80">
        <f t="shared" si="18"/>
        <v>16.928100000000001</v>
      </c>
      <c r="AM80">
        <f t="shared" si="19"/>
        <v>4.2749038772999999</v>
      </c>
      <c r="AP80" s="9"/>
      <c r="AQ80" s="22">
        <v>1.4875799999999999</v>
      </c>
      <c r="AR80" s="22">
        <v>236.126</v>
      </c>
      <c r="AS80" s="25">
        <v>2.5177E-5</v>
      </c>
      <c r="AT80" s="22">
        <v>70</v>
      </c>
      <c r="AU80" s="22">
        <v>7.9467800000000005E-2</v>
      </c>
      <c r="AV80">
        <f t="shared" si="20"/>
        <v>-2.5176999999999998E-2</v>
      </c>
      <c r="AW80">
        <f t="shared" si="21"/>
        <v>-3.7452801659999993E-2</v>
      </c>
      <c r="AX80" s="9"/>
      <c r="AY80" s="22">
        <v>0.25253300000000001</v>
      </c>
      <c r="AZ80" s="22">
        <v>252.185</v>
      </c>
      <c r="BA80" s="22">
        <v>-4.9957300000000003E-3</v>
      </c>
      <c r="BB80" s="22">
        <v>70</v>
      </c>
      <c r="BC80" s="22">
        <v>0.25231900000000002</v>
      </c>
      <c r="BD80">
        <f t="shared" si="22"/>
        <v>4.99573</v>
      </c>
      <c r="BE80">
        <f t="shared" si="23"/>
        <v>1.2615866840900001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1.48254</v>
      </c>
      <c r="H81" s="22">
        <v>37.914000000000001</v>
      </c>
      <c r="I81" s="22">
        <v>-1.5918000000000002E-2</v>
      </c>
      <c r="J81" s="22">
        <v>71</v>
      </c>
      <c r="K81" s="22">
        <v>1.48193</v>
      </c>
      <c r="L81">
        <f t="shared" si="12"/>
        <v>15.918000000000001</v>
      </c>
      <c r="M81">
        <f t="shared" si="13"/>
        <v>23.599071720000001</v>
      </c>
      <c r="N81" s="9"/>
      <c r="O81" s="22">
        <v>0.25756800000000002</v>
      </c>
      <c r="P81" s="22">
        <v>87.352400000000003</v>
      </c>
      <c r="Q81" s="22">
        <v>-1.6900600000000002E-2</v>
      </c>
      <c r="R81" s="22">
        <v>71</v>
      </c>
      <c r="S81" s="22">
        <v>0.25680500000000001</v>
      </c>
      <c r="T81">
        <f t="shared" si="14"/>
        <v>16.900600000000001</v>
      </c>
      <c r="U81">
        <f t="shared" si="15"/>
        <v>4.3530537408000001</v>
      </c>
      <c r="X81" s="9"/>
      <c r="Y81" s="22">
        <v>1.48254</v>
      </c>
      <c r="Z81" s="22">
        <v>136.898</v>
      </c>
      <c r="AA81" s="22">
        <v>-1.6452000000000001E-2</v>
      </c>
      <c r="AB81" s="22">
        <v>71</v>
      </c>
      <c r="AC81" s="22">
        <v>1.47888</v>
      </c>
      <c r="AD81">
        <f t="shared" si="16"/>
        <v>16.452000000000002</v>
      </c>
      <c r="AE81">
        <f t="shared" si="17"/>
        <v>24.390748080000002</v>
      </c>
      <c r="AF81" s="9"/>
      <c r="AG81" s="22">
        <v>0.25756800000000002</v>
      </c>
      <c r="AH81" s="22">
        <v>186.512</v>
      </c>
      <c r="AI81" s="22">
        <v>-1.6924999999999999E-2</v>
      </c>
      <c r="AJ81" s="22">
        <v>71</v>
      </c>
      <c r="AK81" s="22">
        <v>0.25674400000000003</v>
      </c>
      <c r="AL81">
        <f t="shared" si="18"/>
        <v>16.925000000000001</v>
      </c>
      <c r="AM81">
        <f t="shared" si="19"/>
        <v>4.3593384000000004</v>
      </c>
      <c r="AP81" s="9"/>
      <c r="AQ81" s="22">
        <v>1.48254</v>
      </c>
      <c r="AR81" s="22">
        <v>236.136</v>
      </c>
      <c r="AS81" s="25">
        <v>2.62756E-5</v>
      </c>
      <c r="AT81" s="22">
        <v>71</v>
      </c>
      <c r="AU81" s="22">
        <v>7.9467800000000005E-2</v>
      </c>
      <c r="AV81">
        <f t="shared" si="20"/>
        <v>-2.62756E-2</v>
      </c>
      <c r="AW81">
        <f t="shared" si="21"/>
        <v>-3.8954628024000001E-2</v>
      </c>
      <c r="AX81" s="9"/>
      <c r="AY81" s="22">
        <v>0.25756800000000002</v>
      </c>
      <c r="AZ81" s="22">
        <v>252.196</v>
      </c>
      <c r="BA81" s="22">
        <v>-5.0292999999999996E-3</v>
      </c>
      <c r="BB81" s="22">
        <v>71</v>
      </c>
      <c r="BC81" s="22">
        <v>0.257019</v>
      </c>
      <c r="BD81">
        <f t="shared" si="22"/>
        <v>5.0292999999999992</v>
      </c>
      <c r="BE81">
        <f t="shared" si="23"/>
        <v>1.2953867423999998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1.4775100000000001</v>
      </c>
      <c r="H82" s="22">
        <v>37.923999999999999</v>
      </c>
      <c r="I82" s="22">
        <v>-1.59271E-2</v>
      </c>
      <c r="J82" s="22">
        <v>72</v>
      </c>
      <c r="K82" s="22">
        <v>1.47644</v>
      </c>
      <c r="L82">
        <f t="shared" si="12"/>
        <v>15.927099999999999</v>
      </c>
      <c r="M82">
        <f t="shared" si="13"/>
        <v>23.532449521</v>
      </c>
      <c r="N82" s="9"/>
      <c r="O82" s="22">
        <v>0.262604</v>
      </c>
      <c r="P82" s="22">
        <v>87.362499999999997</v>
      </c>
      <c r="Q82" s="22">
        <v>-1.6897599999999999E-2</v>
      </c>
      <c r="R82" s="22">
        <v>72</v>
      </c>
      <c r="S82" s="22">
        <v>0.26178000000000001</v>
      </c>
      <c r="T82">
        <f t="shared" si="14"/>
        <v>16.897599999999997</v>
      </c>
      <c r="U82">
        <f t="shared" si="15"/>
        <v>4.4373773503999994</v>
      </c>
      <c r="X82" s="9"/>
      <c r="Y82" s="22">
        <v>1.4775100000000001</v>
      </c>
      <c r="Z82" s="22">
        <v>136.90799999999999</v>
      </c>
      <c r="AA82" s="22">
        <v>-1.6464199999999998E-2</v>
      </c>
      <c r="AB82" s="22">
        <v>72</v>
      </c>
      <c r="AC82" s="22">
        <v>1.47644</v>
      </c>
      <c r="AD82">
        <f t="shared" si="16"/>
        <v>16.464199999999998</v>
      </c>
      <c r="AE82">
        <f t="shared" si="17"/>
        <v>24.326020141999997</v>
      </c>
      <c r="AF82" s="9"/>
      <c r="AG82" s="22">
        <v>0.262604</v>
      </c>
      <c r="AH82" s="22">
        <v>186.52199999999999</v>
      </c>
      <c r="AI82" s="22">
        <v>-1.6922E-2</v>
      </c>
      <c r="AJ82" s="22">
        <v>72</v>
      </c>
      <c r="AK82" s="22">
        <v>0.26180999999999999</v>
      </c>
      <c r="AL82">
        <f t="shared" si="18"/>
        <v>16.922000000000001</v>
      </c>
      <c r="AM82">
        <f t="shared" si="19"/>
        <v>4.4437848880000006</v>
      </c>
      <c r="AP82" s="9"/>
      <c r="AQ82" s="22">
        <v>1.4775100000000001</v>
      </c>
      <c r="AR82" s="22">
        <v>236.14599999999999</v>
      </c>
      <c r="AS82" s="25">
        <v>2.4719199999999999E-5</v>
      </c>
      <c r="AT82" s="22">
        <v>72</v>
      </c>
      <c r="AU82" s="22">
        <v>7.9467800000000005E-2</v>
      </c>
      <c r="AV82">
        <f t="shared" si="20"/>
        <v>-2.47192E-2</v>
      </c>
      <c r="AW82">
        <f t="shared" si="21"/>
        <v>-3.6522865192000001E-2</v>
      </c>
      <c r="AX82" s="9"/>
      <c r="AY82" s="22">
        <v>0.262604</v>
      </c>
      <c r="AZ82" s="22">
        <v>252.20599999999999</v>
      </c>
      <c r="BA82" s="22">
        <v>-5.1574699999999999E-3</v>
      </c>
      <c r="BB82" s="22">
        <v>72</v>
      </c>
      <c r="BC82" s="22">
        <v>0.26220700000000002</v>
      </c>
      <c r="BD82">
        <f t="shared" si="22"/>
        <v>5.15747</v>
      </c>
      <c r="BE82">
        <f t="shared" si="23"/>
        <v>1.3543722518800001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1.4724699999999999</v>
      </c>
      <c r="H83" s="22">
        <v>37.934100000000001</v>
      </c>
      <c r="I83" s="22">
        <v>-1.59363E-2</v>
      </c>
      <c r="J83" s="22">
        <v>73</v>
      </c>
      <c r="K83" s="22">
        <v>1.4718599999999999</v>
      </c>
      <c r="L83">
        <f t="shared" si="12"/>
        <v>15.936300000000001</v>
      </c>
      <c r="M83">
        <f t="shared" si="13"/>
        <v>23.465723661000002</v>
      </c>
      <c r="N83" s="9"/>
      <c r="O83" s="22">
        <v>0.26763900000000002</v>
      </c>
      <c r="P83" s="22">
        <v>87.372500000000002</v>
      </c>
      <c r="Q83" s="22">
        <v>-1.68945E-2</v>
      </c>
      <c r="R83" s="22">
        <v>73</v>
      </c>
      <c r="S83" s="22">
        <v>0.26684600000000003</v>
      </c>
      <c r="T83">
        <f t="shared" si="14"/>
        <v>16.894500000000001</v>
      </c>
      <c r="U83">
        <f t="shared" si="15"/>
        <v>4.5216270855000005</v>
      </c>
      <c r="X83" s="9"/>
      <c r="Y83" s="22">
        <v>1.4724699999999999</v>
      </c>
      <c r="Z83" s="22">
        <v>136.91800000000001</v>
      </c>
      <c r="AA83" s="22">
        <v>-1.6473399999999999E-2</v>
      </c>
      <c r="AB83" s="22">
        <v>73</v>
      </c>
      <c r="AC83" s="22">
        <v>1.4724699999999999</v>
      </c>
      <c r="AD83">
        <f t="shared" si="16"/>
        <v>16.473399999999998</v>
      </c>
      <c r="AE83">
        <f t="shared" si="17"/>
        <v>24.256587297999996</v>
      </c>
      <c r="AF83" s="9"/>
      <c r="AG83" s="22">
        <v>0.26763900000000002</v>
      </c>
      <c r="AH83" s="22">
        <v>186.53200000000001</v>
      </c>
      <c r="AI83" s="22">
        <v>-1.6922E-2</v>
      </c>
      <c r="AJ83" s="22">
        <v>73</v>
      </c>
      <c r="AK83" s="22">
        <v>0.26678499999999999</v>
      </c>
      <c r="AL83">
        <f t="shared" si="18"/>
        <v>16.922000000000001</v>
      </c>
      <c r="AM83">
        <f t="shared" si="19"/>
        <v>4.5289871580000005</v>
      </c>
      <c r="AP83" s="9"/>
      <c r="AQ83" s="22">
        <v>1.4724699999999999</v>
      </c>
      <c r="AR83" s="22">
        <v>236.15600000000001</v>
      </c>
      <c r="AS83" s="25">
        <v>2.7191200000000001E-5</v>
      </c>
      <c r="AT83" s="22">
        <v>73</v>
      </c>
      <c r="AU83" s="22">
        <v>7.9376199999999994E-2</v>
      </c>
      <c r="AV83">
        <f t="shared" si="20"/>
        <v>-2.7191200000000002E-2</v>
      </c>
      <c r="AW83">
        <f t="shared" si="21"/>
        <v>-4.0038226263999999E-2</v>
      </c>
      <c r="AX83" s="9"/>
      <c r="AY83" s="22">
        <v>0.26763900000000002</v>
      </c>
      <c r="AZ83" s="22">
        <v>252.21600000000001</v>
      </c>
      <c r="BA83" s="22">
        <v>-5.1422100000000004E-3</v>
      </c>
      <c r="BB83" s="22">
        <v>73</v>
      </c>
      <c r="BC83" s="22">
        <v>0.26727299999999998</v>
      </c>
      <c r="BD83">
        <f t="shared" si="22"/>
        <v>5.1422100000000004</v>
      </c>
      <c r="BE83">
        <f t="shared" si="23"/>
        <v>1.3762559421900002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1.4674400000000001</v>
      </c>
      <c r="H84" s="22">
        <v>37.944200000000002</v>
      </c>
      <c r="I84" s="22">
        <v>-1.5945399999999998E-2</v>
      </c>
      <c r="J84" s="22">
        <v>74</v>
      </c>
      <c r="K84" s="22">
        <v>1.46637</v>
      </c>
      <c r="L84">
        <f t="shared" si="12"/>
        <v>15.945399999999999</v>
      </c>
      <c r="M84">
        <f t="shared" si="13"/>
        <v>23.398917776000001</v>
      </c>
      <c r="N84" s="9"/>
      <c r="O84" s="22">
        <v>0.272675</v>
      </c>
      <c r="P84" s="22">
        <v>87.382599999999996</v>
      </c>
      <c r="Q84" s="22">
        <v>-1.68945E-2</v>
      </c>
      <c r="R84" s="22">
        <v>74</v>
      </c>
      <c r="S84" s="22">
        <v>0.27178999999999998</v>
      </c>
      <c r="T84">
        <f t="shared" si="14"/>
        <v>16.894500000000001</v>
      </c>
      <c r="U84">
        <f t="shared" si="15"/>
        <v>4.6067077875000004</v>
      </c>
      <c r="X84" s="9"/>
      <c r="Y84" s="22">
        <v>1.4674400000000001</v>
      </c>
      <c r="Z84" s="22">
        <v>136.928</v>
      </c>
      <c r="AA84" s="22">
        <v>-1.6482500000000001E-2</v>
      </c>
      <c r="AB84" s="22">
        <v>74</v>
      </c>
      <c r="AC84" s="22">
        <v>1.4660599999999999</v>
      </c>
      <c r="AD84">
        <f t="shared" si="16"/>
        <v>16.482500000000002</v>
      </c>
      <c r="AE84">
        <f t="shared" si="17"/>
        <v>24.187079800000003</v>
      </c>
      <c r="AF84" s="9"/>
      <c r="AG84" s="22">
        <v>0.272675</v>
      </c>
      <c r="AH84" s="22">
        <v>186.542</v>
      </c>
      <c r="AI84" s="22">
        <v>-1.6918900000000001E-2</v>
      </c>
      <c r="AJ84" s="22">
        <v>74</v>
      </c>
      <c r="AK84" s="22">
        <v>0.27182000000000001</v>
      </c>
      <c r="AL84">
        <f t="shared" si="18"/>
        <v>16.918900000000001</v>
      </c>
      <c r="AM84">
        <f t="shared" si="19"/>
        <v>4.6133610575000006</v>
      </c>
      <c r="AP84" s="9"/>
      <c r="AQ84" s="22">
        <v>1.4674400000000001</v>
      </c>
      <c r="AR84" s="22">
        <v>236.166</v>
      </c>
      <c r="AS84" s="25">
        <v>2.5451699999999999E-5</v>
      </c>
      <c r="AT84" s="22">
        <v>74</v>
      </c>
      <c r="AU84" s="22">
        <v>7.9498299999999994E-2</v>
      </c>
      <c r="AV84">
        <f t="shared" si="20"/>
        <v>-2.5451699999999997E-2</v>
      </c>
      <c r="AW84">
        <f t="shared" si="21"/>
        <v>-3.7348842648000001E-2</v>
      </c>
      <c r="AX84" s="9"/>
      <c r="AY84" s="22">
        <v>0.272675</v>
      </c>
      <c r="AZ84" s="22">
        <v>252.226</v>
      </c>
      <c r="BA84" s="22">
        <v>-5.4107699999999996E-3</v>
      </c>
      <c r="BB84" s="22">
        <v>74</v>
      </c>
      <c r="BC84" s="22">
        <v>0.27230799999999999</v>
      </c>
      <c r="BD84">
        <f t="shared" si="22"/>
        <v>5.4107699999999994</v>
      </c>
      <c r="BE84">
        <f t="shared" si="23"/>
        <v>1.4753817097499999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1.4623999999999999</v>
      </c>
      <c r="H85" s="22">
        <v>37.9542</v>
      </c>
      <c r="I85" s="22">
        <v>-1.59515E-2</v>
      </c>
      <c r="J85" s="22">
        <v>75</v>
      </c>
      <c r="K85" s="22">
        <v>1.4611799999999999</v>
      </c>
      <c r="L85">
        <f t="shared" si="12"/>
        <v>15.951500000000001</v>
      </c>
      <c r="M85">
        <f t="shared" si="13"/>
        <v>23.327473600000001</v>
      </c>
      <c r="N85" s="9"/>
      <c r="O85" s="22">
        <v>0.27771000000000001</v>
      </c>
      <c r="P85" s="22">
        <v>87.392700000000005</v>
      </c>
      <c r="Q85" s="22">
        <v>-1.68915E-2</v>
      </c>
      <c r="R85" s="22">
        <v>75</v>
      </c>
      <c r="S85" s="22">
        <v>0.27703899999999998</v>
      </c>
      <c r="T85">
        <f t="shared" si="14"/>
        <v>16.891500000000001</v>
      </c>
      <c r="U85">
        <f t="shared" si="15"/>
        <v>4.6909384650000003</v>
      </c>
      <c r="X85" s="9"/>
      <c r="Y85" s="22">
        <v>1.4623999999999999</v>
      </c>
      <c r="Z85" s="22">
        <v>136.93799999999999</v>
      </c>
      <c r="AA85" s="22">
        <v>-1.64948E-2</v>
      </c>
      <c r="AB85" s="22">
        <v>75</v>
      </c>
      <c r="AC85" s="22">
        <v>1.4611799999999999</v>
      </c>
      <c r="AD85">
        <f t="shared" si="16"/>
        <v>16.494800000000001</v>
      </c>
      <c r="AE85">
        <f t="shared" si="17"/>
        <v>24.121995520000002</v>
      </c>
      <c r="AF85" s="9"/>
      <c r="AG85" s="22">
        <v>0.27771000000000001</v>
      </c>
      <c r="AH85" s="22">
        <v>186.553</v>
      </c>
      <c r="AI85" s="22">
        <v>-1.6915900000000001E-2</v>
      </c>
      <c r="AJ85" s="22">
        <v>75</v>
      </c>
      <c r="AK85" s="22">
        <v>0.27682499999999999</v>
      </c>
      <c r="AL85">
        <f t="shared" si="18"/>
        <v>16.915900000000001</v>
      </c>
      <c r="AM85">
        <f t="shared" si="19"/>
        <v>4.6977145890000003</v>
      </c>
      <c r="AP85" s="9"/>
      <c r="AQ85" s="22">
        <v>1.4623999999999999</v>
      </c>
      <c r="AR85" s="22">
        <v>236.17599999999999</v>
      </c>
      <c r="AS85" s="25">
        <v>2.72522E-5</v>
      </c>
      <c r="AT85" s="22">
        <v>75</v>
      </c>
      <c r="AU85" s="22">
        <v>7.9376199999999994E-2</v>
      </c>
      <c r="AV85">
        <f t="shared" si="20"/>
        <v>-2.7252200000000001E-2</v>
      </c>
      <c r="AW85">
        <f t="shared" si="21"/>
        <v>-3.9853617279999996E-2</v>
      </c>
      <c r="AX85" s="9"/>
      <c r="AY85" s="22">
        <v>0.27771000000000001</v>
      </c>
      <c r="AZ85" s="22">
        <v>252.23599999999999</v>
      </c>
      <c r="BA85" s="22">
        <v>-5.1483199999999996E-3</v>
      </c>
      <c r="BB85" s="22">
        <v>75</v>
      </c>
      <c r="BC85" s="22">
        <v>0.27710000000000001</v>
      </c>
      <c r="BD85">
        <f t="shared" si="22"/>
        <v>5.14832</v>
      </c>
      <c r="BE85">
        <f t="shared" si="23"/>
        <v>1.4297399472000001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1.4573700000000001</v>
      </c>
      <c r="H86" s="22">
        <v>37.964300000000001</v>
      </c>
      <c r="I86" s="22">
        <v>-1.5957599999999999E-2</v>
      </c>
      <c r="J86" s="22">
        <v>76</v>
      </c>
      <c r="K86" s="22">
        <v>1.4559899999999999</v>
      </c>
      <c r="L86">
        <f t="shared" si="12"/>
        <v>15.957599999999999</v>
      </c>
      <c r="M86">
        <f t="shared" si="13"/>
        <v>23.256127511999999</v>
      </c>
      <c r="N86" s="9"/>
      <c r="O86" s="22">
        <v>0.28274500000000002</v>
      </c>
      <c r="P86" s="22">
        <v>87.402699999999996</v>
      </c>
      <c r="Q86" s="22">
        <v>-1.6888400000000001E-2</v>
      </c>
      <c r="R86" s="22">
        <v>76</v>
      </c>
      <c r="S86" s="22">
        <v>0.28186</v>
      </c>
      <c r="T86">
        <f t="shared" si="14"/>
        <v>16.888400000000001</v>
      </c>
      <c r="U86">
        <f t="shared" si="15"/>
        <v>4.7751106580000009</v>
      </c>
      <c r="X86" s="9"/>
      <c r="Y86" s="22">
        <v>1.4573700000000001</v>
      </c>
      <c r="Z86" s="22">
        <v>136.94800000000001</v>
      </c>
      <c r="AA86" s="22">
        <v>-1.6507000000000001E-2</v>
      </c>
      <c r="AB86" s="22">
        <v>76</v>
      </c>
      <c r="AC86" s="22">
        <v>1.4559899999999999</v>
      </c>
      <c r="AD86">
        <f t="shared" si="16"/>
        <v>16.507000000000001</v>
      </c>
      <c r="AE86">
        <f t="shared" si="17"/>
        <v>24.056806590000004</v>
      </c>
      <c r="AF86" s="9"/>
      <c r="AG86" s="22">
        <v>0.28274500000000002</v>
      </c>
      <c r="AH86" s="22">
        <v>186.56299999999999</v>
      </c>
      <c r="AI86" s="22">
        <v>-1.6915900000000001E-2</v>
      </c>
      <c r="AJ86" s="22">
        <v>76</v>
      </c>
      <c r="AK86" s="22">
        <v>0.28176899999999999</v>
      </c>
      <c r="AL86">
        <f t="shared" si="18"/>
        <v>16.915900000000001</v>
      </c>
      <c r="AM86">
        <f t="shared" si="19"/>
        <v>4.7828861455000009</v>
      </c>
      <c r="AP86" s="9"/>
      <c r="AQ86" s="22">
        <v>1.4573700000000001</v>
      </c>
      <c r="AR86" s="22">
        <v>236.18600000000001</v>
      </c>
      <c r="AS86" s="25">
        <v>2.5878900000000001E-5</v>
      </c>
      <c r="AT86" s="22">
        <v>76</v>
      </c>
      <c r="AU86" s="22">
        <v>7.9437300000000002E-2</v>
      </c>
      <c r="AV86">
        <f t="shared" si="20"/>
        <v>-2.58789E-2</v>
      </c>
      <c r="AW86">
        <f t="shared" si="21"/>
        <v>-3.7715132493E-2</v>
      </c>
      <c r="AX86" s="9"/>
      <c r="AY86" s="22">
        <v>0.28274500000000002</v>
      </c>
      <c r="AZ86" s="22">
        <v>252.24600000000001</v>
      </c>
      <c r="BA86" s="22">
        <v>-5.3802499999999996E-3</v>
      </c>
      <c r="BB86" s="22">
        <v>76</v>
      </c>
      <c r="BC86" s="22">
        <v>0.28247100000000003</v>
      </c>
      <c r="BD86">
        <f t="shared" si="22"/>
        <v>5.3802499999999993</v>
      </c>
      <c r="BE86">
        <f t="shared" si="23"/>
        <v>1.5212387862499999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1.4523299999999999</v>
      </c>
      <c r="H87" s="22">
        <v>37.974400000000003</v>
      </c>
      <c r="I87" s="22">
        <v>-1.5963700000000001E-2</v>
      </c>
      <c r="J87" s="22">
        <v>77</v>
      </c>
      <c r="K87" s="22">
        <v>1.4514199999999999</v>
      </c>
      <c r="L87">
        <f t="shared" si="12"/>
        <v>15.963700000000001</v>
      </c>
      <c r="M87">
        <f t="shared" si="13"/>
        <v>23.184560421</v>
      </c>
      <c r="N87" s="9"/>
      <c r="O87" s="22">
        <v>0.28778100000000001</v>
      </c>
      <c r="P87" s="22">
        <v>87.412800000000004</v>
      </c>
      <c r="Q87" s="22">
        <v>-1.6888400000000001E-2</v>
      </c>
      <c r="R87" s="22">
        <v>77</v>
      </c>
      <c r="S87" s="22">
        <v>0.28695700000000002</v>
      </c>
      <c r="T87">
        <f t="shared" si="14"/>
        <v>16.888400000000001</v>
      </c>
      <c r="U87">
        <f t="shared" si="15"/>
        <v>4.8601606404000002</v>
      </c>
      <c r="X87" s="9"/>
      <c r="Y87" s="22">
        <v>1.4523299999999999</v>
      </c>
      <c r="Z87" s="22">
        <v>136.958</v>
      </c>
      <c r="AA87" s="22">
        <v>-1.651E-2</v>
      </c>
      <c r="AB87" s="22">
        <v>77</v>
      </c>
      <c r="AC87" s="22">
        <v>1.4523299999999999</v>
      </c>
      <c r="AD87">
        <f t="shared" si="16"/>
        <v>16.510000000000002</v>
      </c>
      <c r="AE87">
        <f t="shared" si="17"/>
        <v>23.977968300000001</v>
      </c>
      <c r="AF87" s="9"/>
      <c r="AG87" s="22">
        <v>0.28778100000000001</v>
      </c>
      <c r="AH87" s="22">
        <v>186.57300000000001</v>
      </c>
      <c r="AI87" s="22">
        <v>-1.6912799999999999E-2</v>
      </c>
      <c r="AJ87" s="22">
        <v>77</v>
      </c>
      <c r="AK87" s="22">
        <v>0.28707899999999997</v>
      </c>
      <c r="AL87">
        <f t="shared" si="18"/>
        <v>16.912799999999997</v>
      </c>
      <c r="AM87">
        <f t="shared" si="19"/>
        <v>4.867182496799999</v>
      </c>
      <c r="AP87" s="9"/>
      <c r="AQ87" s="22">
        <v>1.4523299999999999</v>
      </c>
      <c r="AR87" s="22">
        <v>236.196</v>
      </c>
      <c r="AS87" s="25">
        <v>2.33459E-5</v>
      </c>
      <c r="AT87" s="22">
        <v>77</v>
      </c>
      <c r="AU87" s="22">
        <v>7.9376199999999994E-2</v>
      </c>
      <c r="AV87">
        <f t="shared" si="20"/>
        <v>-2.3345899999999999E-2</v>
      </c>
      <c r="AW87">
        <f t="shared" si="21"/>
        <v>-3.3905950946999996E-2</v>
      </c>
      <c r="AX87" s="9"/>
      <c r="AY87" s="22">
        <v>0.28778100000000001</v>
      </c>
      <c r="AZ87" s="22">
        <v>252.256</v>
      </c>
      <c r="BA87" s="22">
        <v>-5.45044E-3</v>
      </c>
      <c r="BB87" s="22">
        <v>77</v>
      </c>
      <c r="BC87" s="22">
        <v>0.28744500000000001</v>
      </c>
      <c r="BD87">
        <f t="shared" si="22"/>
        <v>5.4504400000000004</v>
      </c>
      <c r="BE87">
        <f t="shared" si="23"/>
        <v>1.5685330736400001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1.4473</v>
      </c>
      <c r="H88" s="22">
        <v>37.984499999999997</v>
      </c>
      <c r="I88" s="22">
        <v>-1.5972900000000002E-2</v>
      </c>
      <c r="J88" s="22">
        <v>78</v>
      </c>
      <c r="K88" s="22">
        <v>1.4465300000000001</v>
      </c>
      <c r="L88">
        <f t="shared" si="12"/>
        <v>15.972900000000001</v>
      </c>
      <c r="M88">
        <f t="shared" si="13"/>
        <v>23.117578170000002</v>
      </c>
      <c r="N88" s="9"/>
      <c r="O88" s="22">
        <v>0.29281600000000002</v>
      </c>
      <c r="P88" s="22">
        <v>87.422899999999998</v>
      </c>
      <c r="Q88" s="22">
        <v>-1.6888400000000001E-2</v>
      </c>
      <c r="R88" s="22">
        <v>78</v>
      </c>
      <c r="S88" s="22">
        <v>0.29199199999999997</v>
      </c>
      <c r="T88">
        <f t="shared" si="14"/>
        <v>16.888400000000001</v>
      </c>
      <c r="U88">
        <f t="shared" si="15"/>
        <v>4.945193734400001</v>
      </c>
      <c r="X88" s="9"/>
      <c r="Y88" s="22">
        <v>1.4473</v>
      </c>
      <c r="Z88" s="22">
        <v>136.96799999999999</v>
      </c>
      <c r="AA88" s="22">
        <v>-1.6519200000000001E-2</v>
      </c>
      <c r="AB88" s="22">
        <v>78</v>
      </c>
      <c r="AC88" s="22">
        <v>1.4459200000000001</v>
      </c>
      <c r="AD88">
        <f t="shared" si="16"/>
        <v>16.519200000000001</v>
      </c>
      <c r="AE88">
        <f t="shared" si="17"/>
        <v>23.908238160000003</v>
      </c>
      <c r="AF88" s="9"/>
      <c r="AG88" s="22">
        <v>0.29281600000000002</v>
      </c>
      <c r="AH88" s="22">
        <v>186.583</v>
      </c>
      <c r="AI88" s="22">
        <v>-1.6909799999999999E-2</v>
      </c>
      <c r="AJ88" s="22">
        <v>78</v>
      </c>
      <c r="AK88" s="22">
        <v>0.29205300000000001</v>
      </c>
      <c r="AL88">
        <f t="shared" si="18"/>
        <v>16.909800000000001</v>
      </c>
      <c r="AM88">
        <f t="shared" si="19"/>
        <v>4.9514599968000006</v>
      </c>
      <c r="AP88" s="9"/>
      <c r="AQ88" s="22">
        <v>1.4473</v>
      </c>
      <c r="AR88" s="22">
        <v>236.20599999999999</v>
      </c>
      <c r="AS88" s="25">
        <v>2.4658200000000001E-5</v>
      </c>
      <c r="AT88" s="22">
        <v>78</v>
      </c>
      <c r="AU88" s="22">
        <v>7.9345700000000005E-2</v>
      </c>
      <c r="AV88">
        <f t="shared" si="20"/>
        <v>-2.4658200000000002E-2</v>
      </c>
      <c r="AW88">
        <f t="shared" si="21"/>
        <v>-3.5687812860000001E-2</v>
      </c>
      <c r="AX88" s="9"/>
      <c r="AY88" s="22">
        <v>0.29281600000000002</v>
      </c>
      <c r="AZ88" s="22">
        <v>252.26599999999999</v>
      </c>
      <c r="BA88" s="22">
        <v>-5.4412799999999997E-3</v>
      </c>
      <c r="BB88" s="22">
        <v>78</v>
      </c>
      <c r="BC88" s="22">
        <v>0.29241899999999998</v>
      </c>
      <c r="BD88">
        <f t="shared" si="22"/>
        <v>5.4412799999999999</v>
      </c>
      <c r="BE88">
        <f t="shared" si="23"/>
        <v>1.59329384448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1.4422600000000001</v>
      </c>
      <c r="H89" s="22">
        <v>37.994500000000002</v>
      </c>
      <c r="I89" s="22">
        <v>-1.5979E-2</v>
      </c>
      <c r="J89" s="22">
        <v>79</v>
      </c>
      <c r="K89" s="22">
        <v>1.4413499999999999</v>
      </c>
      <c r="L89">
        <f t="shared" si="12"/>
        <v>15.979000000000001</v>
      </c>
      <c r="M89">
        <f t="shared" si="13"/>
        <v>23.045872540000001</v>
      </c>
      <c r="N89" s="9"/>
      <c r="O89" s="22">
        <v>0.29785200000000001</v>
      </c>
      <c r="P89" s="22">
        <v>87.433000000000007</v>
      </c>
      <c r="Q89" s="22">
        <v>-1.6885399999999998E-2</v>
      </c>
      <c r="R89" s="22">
        <v>79</v>
      </c>
      <c r="S89" s="22">
        <v>0.29696699999999998</v>
      </c>
      <c r="T89">
        <f t="shared" si="14"/>
        <v>16.885399999999997</v>
      </c>
      <c r="U89">
        <f t="shared" si="15"/>
        <v>5.0293501607999991</v>
      </c>
      <c r="X89" s="9"/>
      <c r="Y89" s="22">
        <v>1.4422600000000001</v>
      </c>
      <c r="Z89" s="22">
        <v>136.97800000000001</v>
      </c>
      <c r="AA89" s="22">
        <v>-1.65253E-2</v>
      </c>
      <c r="AB89" s="22">
        <v>79</v>
      </c>
      <c r="AC89" s="22">
        <v>1.4413499999999999</v>
      </c>
      <c r="AD89">
        <f t="shared" si="16"/>
        <v>16.525300000000001</v>
      </c>
      <c r="AE89">
        <f t="shared" si="17"/>
        <v>23.833779178000004</v>
      </c>
      <c r="AF89" s="9"/>
      <c r="AG89" s="22">
        <v>0.29785200000000001</v>
      </c>
      <c r="AH89" s="22">
        <v>186.59299999999999</v>
      </c>
      <c r="AI89" s="22">
        <v>-1.69067E-2</v>
      </c>
      <c r="AJ89" s="22">
        <v>79</v>
      </c>
      <c r="AK89" s="22">
        <v>0.29702800000000001</v>
      </c>
      <c r="AL89">
        <f t="shared" si="18"/>
        <v>16.906700000000001</v>
      </c>
      <c r="AM89">
        <f t="shared" si="19"/>
        <v>5.0356944084000004</v>
      </c>
      <c r="AP89" s="9"/>
      <c r="AQ89" s="22">
        <v>1.4422600000000001</v>
      </c>
      <c r="AR89" s="22">
        <v>236.21600000000001</v>
      </c>
      <c r="AS89" s="25">
        <v>2.5573699999999999E-5</v>
      </c>
      <c r="AT89" s="22">
        <v>79</v>
      </c>
      <c r="AU89" s="22">
        <v>7.9376199999999994E-2</v>
      </c>
      <c r="AV89">
        <f t="shared" si="20"/>
        <v>-2.5573699999999998E-2</v>
      </c>
      <c r="AW89">
        <f t="shared" si="21"/>
        <v>-3.6883924562000001E-2</v>
      </c>
      <c r="AX89" s="9"/>
      <c r="AY89" s="22">
        <v>0.29785200000000001</v>
      </c>
      <c r="AZ89" s="22">
        <v>252.27600000000001</v>
      </c>
      <c r="BA89" s="22">
        <v>-5.5816700000000004E-3</v>
      </c>
      <c r="BB89" s="22">
        <v>79</v>
      </c>
      <c r="BC89" s="22">
        <v>0.29745500000000002</v>
      </c>
      <c r="BD89">
        <f t="shared" si="22"/>
        <v>5.5816700000000008</v>
      </c>
      <c r="BE89">
        <f t="shared" si="23"/>
        <v>1.6625115728400002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1.43723</v>
      </c>
      <c r="H90" s="22">
        <v>38.004600000000003</v>
      </c>
      <c r="I90" s="22">
        <v>-1.5991200000000001E-2</v>
      </c>
      <c r="J90" s="22">
        <v>80</v>
      </c>
      <c r="K90" s="22">
        <v>1.4361600000000001</v>
      </c>
      <c r="L90">
        <f t="shared" si="12"/>
        <v>15.991200000000001</v>
      </c>
      <c r="M90">
        <f t="shared" si="13"/>
        <v>22.983032376000001</v>
      </c>
      <c r="N90" s="9"/>
      <c r="O90" s="22">
        <v>0.30288700000000002</v>
      </c>
      <c r="P90" s="22">
        <v>87.442999999999998</v>
      </c>
      <c r="Q90" s="22">
        <v>-1.6882299999999999E-2</v>
      </c>
      <c r="R90" s="22">
        <v>80</v>
      </c>
      <c r="S90" s="22">
        <v>0.30206300000000003</v>
      </c>
      <c r="T90">
        <f t="shared" si="14"/>
        <v>16.882300000000001</v>
      </c>
      <c r="U90">
        <f t="shared" si="15"/>
        <v>5.1134292001000006</v>
      </c>
      <c r="X90" s="9"/>
      <c r="Y90" s="22">
        <v>1.43723</v>
      </c>
      <c r="Z90" s="22">
        <v>136.988</v>
      </c>
      <c r="AA90" s="22">
        <v>-1.6531400000000002E-2</v>
      </c>
      <c r="AB90" s="22">
        <v>80</v>
      </c>
      <c r="AC90" s="22">
        <v>1.4358500000000001</v>
      </c>
      <c r="AD90">
        <f t="shared" si="16"/>
        <v>16.531400000000001</v>
      </c>
      <c r="AE90">
        <f t="shared" si="17"/>
        <v>23.759424022000001</v>
      </c>
      <c r="AF90" s="9"/>
      <c r="AG90" s="22">
        <v>0.30288700000000002</v>
      </c>
      <c r="AH90" s="22">
        <v>186.60300000000001</v>
      </c>
      <c r="AI90" s="22">
        <v>-1.6900600000000002E-2</v>
      </c>
      <c r="AJ90" s="22">
        <v>80</v>
      </c>
      <c r="AK90" s="22">
        <v>0.30209399999999997</v>
      </c>
      <c r="AL90">
        <f t="shared" si="18"/>
        <v>16.900600000000001</v>
      </c>
      <c r="AM90">
        <f t="shared" si="19"/>
        <v>5.1189720322000003</v>
      </c>
      <c r="AP90" s="9"/>
      <c r="AQ90" s="22">
        <v>1.43723</v>
      </c>
      <c r="AR90" s="22">
        <v>236.226</v>
      </c>
      <c r="AS90" s="25">
        <v>2.5268600000000001E-5</v>
      </c>
      <c r="AT90" s="22">
        <v>80</v>
      </c>
      <c r="AU90" s="22">
        <v>7.9376199999999994E-2</v>
      </c>
      <c r="AV90">
        <f t="shared" si="20"/>
        <v>-2.5268600000000002E-2</v>
      </c>
      <c r="AW90">
        <f t="shared" si="21"/>
        <v>-3.6316789978000003E-2</v>
      </c>
      <c r="AX90" s="9"/>
      <c r="AY90" s="22">
        <v>0.30288700000000002</v>
      </c>
      <c r="AZ90" s="22">
        <v>252.286</v>
      </c>
      <c r="BA90" s="22">
        <v>-5.4626500000000003E-3</v>
      </c>
      <c r="BB90" s="22">
        <v>80</v>
      </c>
      <c r="BC90" s="22">
        <v>0.302643</v>
      </c>
      <c r="BD90">
        <f t="shared" si="22"/>
        <v>5.46265</v>
      </c>
      <c r="BE90">
        <f t="shared" si="23"/>
        <v>1.65456567055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1.4321900000000001</v>
      </c>
      <c r="H91" s="22">
        <v>38.014699999999998</v>
      </c>
      <c r="I91" s="22">
        <v>-1.6000400000000001E-2</v>
      </c>
      <c r="J91" s="22">
        <v>81</v>
      </c>
      <c r="K91" s="22">
        <v>1.43066</v>
      </c>
      <c r="L91">
        <f t="shared" si="12"/>
        <v>16.000400000000003</v>
      </c>
      <c r="M91">
        <f t="shared" si="13"/>
        <v>22.915612876000004</v>
      </c>
      <c r="N91" s="9"/>
      <c r="O91" s="22">
        <v>0.30792199999999997</v>
      </c>
      <c r="P91" s="22">
        <v>87.453100000000006</v>
      </c>
      <c r="Q91" s="22">
        <v>-1.6882299999999999E-2</v>
      </c>
      <c r="R91" s="22">
        <v>81</v>
      </c>
      <c r="S91" s="22">
        <v>0.307037</v>
      </c>
      <c r="T91">
        <f t="shared" si="14"/>
        <v>16.882300000000001</v>
      </c>
      <c r="U91">
        <f t="shared" si="15"/>
        <v>5.1984315805999994</v>
      </c>
      <c r="X91" s="9"/>
      <c r="Y91" s="22">
        <v>1.4321900000000001</v>
      </c>
      <c r="Z91" s="22">
        <v>136.999</v>
      </c>
      <c r="AA91" s="22">
        <v>-1.6534400000000001E-2</v>
      </c>
      <c r="AB91" s="22">
        <v>81</v>
      </c>
      <c r="AC91" s="22">
        <v>1.4309700000000001</v>
      </c>
      <c r="AD91">
        <f t="shared" si="16"/>
        <v>16.534400000000002</v>
      </c>
      <c r="AE91">
        <f t="shared" si="17"/>
        <v>23.680402336000004</v>
      </c>
      <c r="AF91" s="9"/>
      <c r="AG91" s="22">
        <v>0.30792199999999997</v>
      </c>
      <c r="AH91" s="22">
        <v>186.613</v>
      </c>
      <c r="AI91" s="22">
        <v>-1.68945E-2</v>
      </c>
      <c r="AJ91" s="22">
        <v>81</v>
      </c>
      <c r="AK91" s="22">
        <v>0.30700699999999997</v>
      </c>
      <c r="AL91">
        <f t="shared" si="18"/>
        <v>16.894500000000001</v>
      </c>
      <c r="AM91">
        <f t="shared" si="19"/>
        <v>5.2021882289999999</v>
      </c>
      <c r="AP91" s="9"/>
      <c r="AQ91" s="22">
        <v>1.4321900000000001</v>
      </c>
      <c r="AR91" s="22">
        <v>236.23599999999999</v>
      </c>
      <c r="AS91" s="25">
        <v>2.9113799999999999E-5</v>
      </c>
      <c r="AT91" s="22">
        <v>81</v>
      </c>
      <c r="AU91" s="22">
        <v>7.9437300000000002E-2</v>
      </c>
      <c r="AV91">
        <f t="shared" si="20"/>
        <v>-2.9113799999999999E-2</v>
      </c>
      <c r="AW91">
        <f t="shared" si="21"/>
        <v>-4.1696493222000003E-2</v>
      </c>
      <c r="AX91" s="9"/>
      <c r="AY91" s="22">
        <v>0.30792199999999997</v>
      </c>
      <c r="AZ91" s="22">
        <v>252.29599999999999</v>
      </c>
      <c r="BA91" s="22">
        <v>-5.5267299999999997E-3</v>
      </c>
      <c r="BB91" s="22">
        <v>81</v>
      </c>
      <c r="BC91" s="22">
        <v>0.307556</v>
      </c>
      <c r="BD91">
        <f t="shared" si="22"/>
        <v>5.5267299999999997</v>
      </c>
      <c r="BE91">
        <f t="shared" si="23"/>
        <v>1.7018017550599998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1.4271499999999999</v>
      </c>
      <c r="H92" s="22">
        <v>38.024700000000003</v>
      </c>
      <c r="I92" s="22">
        <v>-1.60065E-2</v>
      </c>
      <c r="J92" s="22">
        <v>82</v>
      </c>
      <c r="K92" s="22">
        <v>1.42639</v>
      </c>
      <c r="L92">
        <f t="shared" si="12"/>
        <v>16.006499999999999</v>
      </c>
      <c r="M92">
        <f t="shared" si="13"/>
        <v>22.843676474999999</v>
      </c>
      <c r="N92" s="9"/>
      <c r="O92" s="22">
        <v>0.31295800000000001</v>
      </c>
      <c r="P92" s="22">
        <v>87.463200000000001</v>
      </c>
      <c r="Q92" s="22">
        <v>-1.68793E-2</v>
      </c>
      <c r="R92" s="22">
        <v>82</v>
      </c>
      <c r="S92" s="22">
        <v>0.31210300000000002</v>
      </c>
      <c r="T92">
        <f t="shared" si="14"/>
        <v>16.879300000000001</v>
      </c>
      <c r="U92">
        <f t="shared" si="15"/>
        <v>5.2825119694000007</v>
      </c>
      <c r="X92" s="9"/>
      <c r="Y92" s="22">
        <v>1.4271499999999999</v>
      </c>
      <c r="Z92" s="22">
        <v>137.00899999999999</v>
      </c>
      <c r="AA92" s="22">
        <v>-1.65375E-2</v>
      </c>
      <c r="AB92" s="22">
        <v>82</v>
      </c>
      <c r="AC92" s="22">
        <v>1.42639</v>
      </c>
      <c r="AD92">
        <f t="shared" si="16"/>
        <v>16.537500000000001</v>
      </c>
      <c r="AE92">
        <f t="shared" si="17"/>
        <v>23.601493125000001</v>
      </c>
      <c r="AF92" s="9"/>
      <c r="AG92" s="22">
        <v>0.31295800000000001</v>
      </c>
      <c r="AH92" s="22">
        <v>186.62299999999999</v>
      </c>
      <c r="AI92" s="22">
        <v>-1.68915E-2</v>
      </c>
      <c r="AJ92" s="22">
        <v>82</v>
      </c>
      <c r="AK92" s="22">
        <v>0.31213400000000002</v>
      </c>
      <c r="AL92">
        <f t="shared" si="18"/>
        <v>16.891500000000001</v>
      </c>
      <c r="AM92">
        <f t="shared" si="19"/>
        <v>5.2863300570000007</v>
      </c>
      <c r="AP92" s="9"/>
      <c r="AQ92" s="22">
        <v>1.4271499999999999</v>
      </c>
      <c r="AR92" s="22">
        <v>236.24600000000001</v>
      </c>
      <c r="AS92" s="25">
        <v>2.7770999999999999E-5</v>
      </c>
      <c r="AT92" s="22">
        <v>82</v>
      </c>
      <c r="AU92" s="22">
        <v>7.9345700000000005E-2</v>
      </c>
      <c r="AV92">
        <f t="shared" si="20"/>
        <v>-2.7771000000000001E-2</v>
      </c>
      <c r="AW92">
        <f t="shared" si="21"/>
        <v>-3.963338265E-2</v>
      </c>
      <c r="AX92" s="9"/>
      <c r="AY92" s="22">
        <v>0.31295800000000001</v>
      </c>
      <c r="AZ92" s="22">
        <v>252.30600000000001</v>
      </c>
      <c r="BA92" s="22">
        <v>-5.1940900000000002E-3</v>
      </c>
      <c r="BB92" s="22">
        <v>82</v>
      </c>
      <c r="BC92" s="22">
        <v>0.31259199999999998</v>
      </c>
      <c r="BD92">
        <f t="shared" si="22"/>
        <v>5.1940900000000001</v>
      </c>
      <c r="BE92">
        <f t="shared" si="23"/>
        <v>1.6255320182200002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1.4221200000000001</v>
      </c>
      <c r="H93" s="22">
        <v>38.034799999999997</v>
      </c>
      <c r="I93" s="22">
        <v>-1.6015600000000001E-2</v>
      </c>
      <c r="J93" s="22">
        <v>83</v>
      </c>
      <c r="K93" s="22">
        <v>1.4209000000000001</v>
      </c>
      <c r="L93">
        <f t="shared" si="12"/>
        <v>16.015600000000003</v>
      </c>
      <c r="M93">
        <f t="shared" si="13"/>
        <v>22.776105072000004</v>
      </c>
      <c r="N93" s="9"/>
      <c r="O93" s="22">
        <v>0.31799300000000003</v>
      </c>
      <c r="P93" s="22">
        <v>87.473200000000006</v>
      </c>
      <c r="Q93" s="22">
        <v>-1.6882299999999999E-2</v>
      </c>
      <c r="R93" s="22">
        <v>83</v>
      </c>
      <c r="S93" s="22">
        <v>0.317139</v>
      </c>
      <c r="T93">
        <f t="shared" si="14"/>
        <v>16.882300000000001</v>
      </c>
      <c r="U93">
        <f t="shared" si="15"/>
        <v>5.3684532239000005</v>
      </c>
      <c r="X93" s="9"/>
      <c r="Y93" s="22">
        <v>1.4221200000000001</v>
      </c>
      <c r="Z93" s="22">
        <v>137.01900000000001</v>
      </c>
      <c r="AA93" s="22">
        <v>-1.65405E-2</v>
      </c>
      <c r="AB93" s="22">
        <v>83</v>
      </c>
      <c r="AC93" s="22">
        <v>1.4209000000000001</v>
      </c>
      <c r="AD93">
        <f t="shared" si="16"/>
        <v>16.540499999999998</v>
      </c>
      <c r="AE93">
        <f t="shared" si="17"/>
        <v>23.522575859999996</v>
      </c>
      <c r="AF93" s="9"/>
      <c r="AG93" s="22">
        <v>0.31799300000000003</v>
      </c>
      <c r="AH93" s="22">
        <v>186.63300000000001</v>
      </c>
      <c r="AI93" s="22">
        <v>-1.6888400000000001E-2</v>
      </c>
      <c r="AJ93" s="22">
        <v>83</v>
      </c>
      <c r="AK93" s="22">
        <v>0.31726100000000002</v>
      </c>
      <c r="AL93">
        <f t="shared" si="18"/>
        <v>16.888400000000001</v>
      </c>
      <c r="AM93">
        <f t="shared" si="19"/>
        <v>5.3703929812000011</v>
      </c>
      <c r="AP93" s="9"/>
      <c r="AQ93" s="22">
        <v>1.4221200000000001</v>
      </c>
      <c r="AR93" s="22">
        <v>236.25700000000001</v>
      </c>
      <c r="AS93" s="25">
        <v>2.8747599999999999E-5</v>
      </c>
      <c r="AT93" s="22">
        <v>83</v>
      </c>
      <c r="AU93" s="22">
        <v>7.9345700000000005E-2</v>
      </c>
      <c r="AV93">
        <f t="shared" si="20"/>
        <v>-2.8747599999999998E-2</v>
      </c>
      <c r="AW93">
        <f t="shared" si="21"/>
        <v>-4.0882536912E-2</v>
      </c>
      <c r="AX93" s="9"/>
      <c r="AY93" s="22">
        <v>0.31799300000000003</v>
      </c>
      <c r="AZ93" s="22">
        <v>252.316</v>
      </c>
      <c r="BA93" s="22">
        <v>-5.1116900000000003E-3</v>
      </c>
      <c r="BB93" s="22">
        <v>83</v>
      </c>
      <c r="BC93" s="22">
        <v>0.31750499999999998</v>
      </c>
      <c r="BD93">
        <f t="shared" si="22"/>
        <v>5.1116900000000003</v>
      </c>
      <c r="BE93">
        <f t="shared" si="23"/>
        <v>1.6254816381700001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1.4170799999999999</v>
      </c>
      <c r="H94" s="22">
        <v>38.044899999999998</v>
      </c>
      <c r="I94" s="22">
        <v>-1.6024799999999999E-2</v>
      </c>
      <c r="J94" s="22">
        <v>84</v>
      </c>
      <c r="K94" s="22">
        <v>1.41632</v>
      </c>
      <c r="L94">
        <f t="shared" si="12"/>
        <v>16.024799999999999</v>
      </c>
      <c r="M94">
        <f t="shared" si="13"/>
        <v>22.708423583999998</v>
      </c>
      <c r="N94" s="9"/>
      <c r="O94" s="22">
        <v>0.32302900000000001</v>
      </c>
      <c r="P94" s="22">
        <v>87.4833</v>
      </c>
      <c r="Q94" s="22">
        <v>-1.6876200000000001E-2</v>
      </c>
      <c r="R94" s="22">
        <v>84</v>
      </c>
      <c r="S94" s="22">
        <v>0.32217400000000002</v>
      </c>
      <c r="T94">
        <f t="shared" si="14"/>
        <v>16.876200000000001</v>
      </c>
      <c r="U94">
        <f t="shared" si="15"/>
        <v>5.4515020098000004</v>
      </c>
      <c r="X94" s="9"/>
      <c r="Y94" s="22">
        <v>1.4170799999999999</v>
      </c>
      <c r="Z94" s="22">
        <v>137.029</v>
      </c>
      <c r="AA94" s="22">
        <v>-1.6549700000000001E-2</v>
      </c>
      <c r="AB94" s="22">
        <v>84</v>
      </c>
      <c r="AC94" s="22">
        <v>1.41632</v>
      </c>
      <c r="AD94">
        <f t="shared" si="16"/>
        <v>16.549700000000001</v>
      </c>
      <c r="AE94">
        <f t="shared" si="17"/>
        <v>23.452248875999999</v>
      </c>
      <c r="AF94" s="9"/>
      <c r="AG94" s="22">
        <v>0.32302900000000001</v>
      </c>
      <c r="AH94" s="22">
        <v>186.643</v>
      </c>
      <c r="AI94" s="22">
        <v>-1.6885399999999998E-2</v>
      </c>
      <c r="AJ94" s="22">
        <v>84</v>
      </c>
      <c r="AK94" s="22">
        <v>0.322052</v>
      </c>
      <c r="AL94">
        <f t="shared" si="18"/>
        <v>16.885399999999997</v>
      </c>
      <c r="AM94">
        <f t="shared" si="19"/>
        <v>5.4544738765999989</v>
      </c>
      <c r="AP94" s="9"/>
      <c r="AQ94" s="22">
        <v>1.4170799999999999</v>
      </c>
      <c r="AR94" s="22">
        <v>236.267</v>
      </c>
      <c r="AS94" s="25">
        <v>2.9846199999999999E-5</v>
      </c>
      <c r="AT94" s="22">
        <v>84</v>
      </c>
      <c r="AU94" s="22">
        <v>7.9315200000000002E-2</v>
      </c>
      <c r="AV94">
        <f t="shared" si="20"/>
        <v>-2.98462E-2</v>
      </c>
      <c r="AW94">
        <f t="shared" si="21"/>
        <v>-4.2294453095999995E-2</v>
      </c>
      <c r="AX94" s="9"/>
      <c r="AY94" s="22">
        <v>0.32302900000000001</v>
      </c>
      <c r="AZ94" s="22">
        <v>252.32599999999999</v>
      </c>
      <c r="BA94" s="22">
        <v>-5.1452599999999996E-3</v>
      </c>
      <c r="BB94" s="22">
        <v>84</v>
      </c>
      <c r="BC94" s="22">
        <v>0.32275399999999999</v>
      </c>
      <c r="BD94">
        <f t="shared" si="22"/>
        <v>5.1452599999999995</v>
      </c>
      <c r="BE94">
        <f t="shared" si="23"/>
        <v>1.6620681925399998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1.41205</v>
      </c>
      <c r="H95" s="22">
        <v>38.055</v>
      </c>
      <c r="I95" s="22">
        <v>-1.60339E-2</v>
      </c>
      <c r="J95" s="22">
        <v>85</v>
      </c>
      <c r="K95" s="22">
        <v>1.41113</v>
      </c>
      <c r="L95">
        <f t="shared" si="12"/>
        <v>16.033899999999999</v>
      </c>
      <c r="M95">
        <f t="shared" si="13"/>
        <v>22.640668495</v>
      </c>
      <c r="N95" s="9"/>
      <c r="O95" s="22">
        <v>0.32806400000000002</v>
      </c>
      <c r="P95" s="22">
        <v>87.493399999999994</v>
      </c>
      <c r="Q95" s="22">
        <v>-1.6873200000000001E-2</v>
      </c>
      <c r="R95" s="22">
        <v>85</v>
      </c>
      <c r="S95" s="22">
        <v>0.32727099999999998</v>
      </c>
      <c r="T95">
        <f t="shared" si="14"/>
        <v>16.873200000000001</v>
      </c>
      <c r="U95">
        <f t="shared" si="15"/>
        <v>5.5354894848000002</v>
      </c>
      <c r="X95" s="9"/>
      <c r="Y95" s="22">
        <v>1.41205</v>
      </c>
      <c r="Z95" s="22">
        <v>137.03899999999999</v>
      </c>
      <c r="AA95" s="22">
        <v>-1.6555799999999999E-2</v>
      </c>
      <c r="AB95" s="22">
        <v>85</v>
      </c>
      <c r="AC95" s="22">
        <v>1.41113</v>
      </c>
      <c r="AD95">
        <f t="shared" si="16"/>
        <v>16.555799999999998</v>
      </c>
      <c r="AE95">
        <f t="shared" si="17"/>
        <v>23.377617389999997</v>
      </c>
      <c r="AF95" s="9"/>
      <c r="AG95" s="22">
        <v>0.32806400000000002</v>
      </c>
      <c r="AH95" s="22">
        <v>186.65299999999999</v>
      </c>
      <c r="AI95" s="22">
        <v>-1.68793E-2</v>
      </c>
      <c r="AJ95" s="22">
        <v>85</v>
      </c>
      <c r="AK95" s="22">
        <v>0.32720900000000003</v>
      </c>
      <c r="AL95">
        <f t="shared" si="18"/>
        <v>16.879300000000001</v>
      </c>
      <c r="AM95">
        <f t="shared" si="19"/>
        <v>5.5374906752000008</v>
      </c>
      <c r="AP95" s="9"/>
      <c r="AQ95" s="22">
        <v>1.41205</v>
      </c>
      <c r="AR95" s="22">
        <v>236.27699999999999</v>
      </c>
      <c r="AS95" s="25">
        <v>2.8808600000000001E-5</v>
      </c>
      <c r="AT95" s="22">
        <v>85</v>
      </c>
      <c r="AU95" s="22">
        <v>7.9345700000000005E-2</v>
      </c>
      <c r="AV95">
        <f t="shared" si="20"/>
        <v>-2.88086E-2</v>
      </c>
      <c r="AW95">
        <f t="shared" si="21"/>
        <v>-4.0679183630000004E-2</v>
      </c>
      <c r="AX95" s="9"/>
      <c r="AY95" s="22">
        <v>0.32806400000000002</v>
      </c>
      <c r="AZ95" s="22">
        <v>252.33699999999999</v>
      </c>
      <c r="BA95" s="22">
        <v>-5.2581800000000003E-3</v>
      </c>
      <c r="BB95" s="22">
        <v>85</v>
      </c>
      <c r="BC95" s="22">
        <v>0.327515</v>
      </c>
      <c r="BD95">
        <f t="shared" si="22"/>
        <v>5.2581800000000003</v>
      </c>
      <c r="BE95">
        <f t="shared" si="23"/>
        <v>1.7250195635200003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1.4070100000000001</v>
      </c>
      <c r="H96" s="22">
        <v>38.064999999999998</v>
      </c>
      <c r="I96" s="22">
        <v>-1.6039999999999999E-2</v>
      </c>
      <c r="J96" s="22">
        <v>86</v>
      </c>
      <c r="K96" s="22">
        <v>1.40533</v>
      </c>
      <c r="L96">
        <f t="shared" si="12"/>
        <v>16.04</v>
      </c>
      <c r="M96">
        <f t="shared" si="13"/>
        <v>22.5684404</v>
      </c>
      <c r="N96" s="9"/>
      <c r="O96" s="22">
        <v>0.33309899999999998</v>
      </c>
      <c r="P96" s="22">
        <v>87.503500000000003</v>
      </c>
      <c r="Q96" s="22">
        <v>-1.6870099999999999E-2</v>
      </c>
      <c r="R96" s="22">
        <v>86</v>
      </c>
      <c r="S96" s="22">
        <v>0.33230599999999999</v>
      </c>
      <c r="T96">
        <f t="shared" si="14"/>
        <v>16.870100000000001</v>
      </c>
      <c r="U96">
        <f t="shared" si="15"/>
        <v>5.6194134398999998</v>
      </c>
      <c r="X96" s="9"/>
      <c r="Y96" s="22">
        <v>1.4070100000000001</v>
      </c>
      <c r="Z96" s="22">
        <v>137.04900000000001</v>
      </c>
      <c r="AA96" s="22">
        <v>-1.65649E-2</v>
      </c>
      <c r="AB96" s="22">
        <v>86</v>
      </c>
      <c r="AC96" s="22">
        <v>1.40594</v>
      </c>
      <c r="AD96">
        <f t="shared" si="16"/>
        <v>16.564900000000002</v>
      </c>
      <c r="AE96">
        <f t="shared" si="17"/>
        <v>23.306979949000002</v>
      </c>
      <c r="AF96" s="9"/>
      <c r="AG96" s="22">
        <v>0.33309899999999998</v>
      </c>
      <c r="AH96" s="22">
        <v>186.66300000000001</v>
      </c>
      <c r="AI96" s="22">
        <v>-1.68793E-2</v>
      </c>
      <c r="AJ96" s="22">
        <v>86</v>
      </c>
      <c r="AK96" s="22">
        <v>0.332397</v>
      </c>
      <c r="AL96">
        <f t="shared" si="18"/>
        <v>16.879300000000001</v>
      </c>
      <c r="AM96">
        <f t="shared" si="19"/>
        <v>5.6224779506999996</v>
      </c>
      <c r="AP96" s="9"/>
      <c r="AQ96" s="22">
        <v>1.4070100000000001</v>
      </c>
      <c r="AR96" s="22">
        <v>236.28700000000001</v>
      </c>
      <c r="AS96" s="25">
        <v>2.9052700000000001E-5</v>
      </c>
      <c r="AT96" s="22">
        <v>86</v>
      </c>
      <c r="AU96" s="22">
        <v>7.9254199999999997E-2</v>
      </c>
      <c r="AV96">
        <f t="shared" si="20"/>
        <v>-2.9052700000000001E-2</v>
      </c>
      <c r="AW96">
        <f t="shared" si="21"/>
        <v>-4.0877439427000006E-2</v>
      </c>
      <c r="AX96" s="9"/>
      <c r="AY96" s="22">
        <v>0.33309899999999998</v>
      </c>
      <c r="AZ96" s="22">
        <v>252.34700000000001</v>
      </c>
      <c r="BA96" s="22">
        <v>-5.2337599999999996E-3</v>
      </c>
      <c r="BB96" s="22">
        <v>86</v>
      </c>
      <c r="BC96" s="22">
        <v>0.33270300000000003</v>
      </c>
      <c r="BD96">
        <f t="shared" si="22"/>
        <v>5.2337599999999993</v>
      </c>
      <c r="BE96">
        <f t="shared" si="23"/>
        <v>1.7433602222399998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1.40198</v>
      </c>
      <c r="H97" s="22">
        <v>38.075099999999999</v>
      </c>
      <c r="I97" s="22">
        <v>-1.6046100000000001E-2</v>
      </c>
      <c r="J97" s="22">
        <v>87</v>
      </c>
      <c r="K97" s="22">
        <v>1.40137</v>
      </c>
      <c r="L97">
        <f t="shared" si="12"/>
        <v>16.046099999999999</v>
      </c>
      <c r="M97">
        <f t="shared" si="13"/>
        <v>22.496311278</v>
      </c>
      <c r="N97" s="9"/>
      <c r="O97" s="22">
        <v>0.33813500000000002</v>
      </c>
      <c r="P97" s="22">
        <v>87.513499999999993</v>
      </c>
      <c r="Q97" s="22">
        <v>-1.6867099999999999E-2</v>
      </c>
      <c r="R97" s="22">
        <v>87</v>
      </c>
      <c r="S97" s="22">
        <v>0.33731100000000003</v>
      </c>
      <c r="T97">
        <f t="shared" si="14"/>
        <v>16.867100000000001</v>
      </c>
      <c r="U97">
        <f t="shared" si="15"/>
        <v>5.7033568585000003</v>
      </c>
      <c r="X97" s="9"/>
      <c r="Y97" s="22">
        <v>1.40198</v>
      </c>
      <c r="Z97" s="22">
        <v>137.059</v>
      </c>
      <c r="AA97" s="22">
        <v>-1.6570999999999999E-2</v>
      </c>
      <c r="AB97" s="22">
        <v>87</v>
      </c>
      <c r="AC97" s="22">
        <v>1.40106</v>
      </c>
      <c r="AD97">
        <f t="shared" si="16"/>
        <v>16.570999999999998</v>
      </c>
      <c r="AE97">
        <f t="shared" si="17"/>
        <v>23.232210579999997</v>
      </c>
      <c r="AF97" s="9"/>
      <c r="AG97" s="22">
        <v>0.33813500000000002</v>
      </c>
      <c r="AH97" s="22">
        <v>186.673</v>
      </c>
      <c r="AI97" s="22">
        <v>-1.6873200000000001E-2</v>
      </c>
      <c r="AJ97" s="22">
        <v>87</v>
      </c>
      <c r="AK97" s="22">
        <v>0.33728000000000002</v>
      </c>
      <c r="AL97">
        <f t="shared" si="18"/>
        <v>16.873200000000001</v>
      </c>
      <c r="AM97">
        <f t="shared" si="19"/>
        <v>5.7054194820000008</v>
      </c>
      <c r="AP97" s="9"/>
      <c r="AQ97" s="22">
        <v>1.40198</v>
      </c>
      <c r="AR97" s="22">
        <v>236.297</v>
      </c>
      <c r="AS97" s="25">
        <v>2.7710000000000001E-5</v>
      </c>
      <c r="AT97" s="22">
        <v>87</v>
      </c>
      <c r="AU97" s="22">
        <v>7.9345700000000005E-2</v>
      </c>
      <c r="AV97">
        <f t="shared" si="20"/>
        <v>-2.7710000000000002E-2</v>
      </c>
      <c r="AW97">
        <f t="shared" si="21"/>
        <v>-3.88488658E-2</v>
      </c>
      <c r="AX97" s="9"/>
      <c r="AY97" s="22">
        <v>0.33813500000000002</v>
      </c>
      <c r="AZ97" s="22">
        <v>252.357</v>
      </c>
      <c r="BA97" s="22">
        <v>-5.1696800000000003E-3</v>
      </c>
      <c r="BB97" s="22">
        <v>87</v>
      </c>
      <c r="BC97" s="22">
        <v>0.33779900000000002</v>
      </c>
      <c r="BD97">
        <f t="shared" si="22"/>
        <v>5.1696800000000005</v>
      </c>
      <c r="BE97">
        <f t="shared" si="23"/>
        <v>1.7480497468000002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1.3969400000000001</v>
      </c>
      <c r="H98" s="22">
        <v>38.0852</v>
      </c>
      <c r="I98" s="22">
        <v>-1.6052199999999999E-2</v>
      </c>
      <c r="J98" s="22">
        <v>88</v>
      </c>
      <c r="K98" s="22">
        <v>1.3958699999999999</v>
      </c>
      <c r="L98">
        <f t="shared" si="12"/>
        <v>16.052199999999999</v>
      </c>
      <c r="M98">
        <f t="shared" si="13"/>
        <v>22.423960267999998</v>
      </c>
      <c r="N98" s="9"/>
      <c r="O98" s="22">
        <v>0.34316999999999998</v>
      </c>
      <c r="P98" s="22">
        <v>87.523600000000002</v>
      </c>
      <c r="Q98" s="22">
        <v>-1.6861000000000001E-2</v>
      </c>
      <c r="R98" s="22">
        <v>88</v>
      </c>
      <c r="S98" s="22">
        <v>0.34240700000000002</v>
      </c>
      <c r="T98">
        <f t="shared" si="14"/>
        <v>16.861000000000001</v>
      </c>
      <c r="U98">
        <f t="shared" si="15"/>
        <v>5.7861893699999998</v>
      </c>
      <c r="X98" s="9"/>
      <c r="Y98" s="22">
        <v>1.3969400000000001</v>
      </c>
      <c r="Z98" s="22">
        <v>137.06899999999999</v>
      </c>
      <c r="AA98" s="22">
        <v>-1.6574100000000001E-2</v>
      </c>
      <c r="AB98" s="22">
        <v>88</v>
      </c>
      <c r="AC98" s="22">
        <v>1.39557</v>
      </c>
      <c r="AD98">
        <f t="shared" si="16"/>
        <v>16.574100000000001</v>
      </c>
      <c r="AE98">
        <f t="shared" si="17"/>
        <v>23.153023254000004</v>
      </c>
      <c r="AF98" s="9"/>
      <c r="AG98" s="22">
        <v>0.34316999999999998</v>
      </c>
      <c r="AH98" s="22">
        <v>186.68299999999999</v>
      </c>
      <c r="AI98" s="22">
        <v>-1.6873200000000001E-2</v>
      </c>
      <c r="AJ98" s="22">
        <v>88</v>
      </c>
      <c r="AK98" s="22">
        <v>0.34222399999999997</v>
      </c>
      <c r="AL98">
        <f t="shared" si="18"/>
        <v>16.873200000000001</v>
      </c>
      <c r="AM98">
        <f t="shared" si="19"/>
        <v>5.7903760439999994</v>
      </c>
      <c r="AP98" s="9"/>
      <c r="AQ98" s="22">
        <v>1.3969400000000001</v>
      </c>
      <c r="AR98" s="22">
        <v>236.30699999999999</v>
      </c>
      <c r="AS98" s="25">
        <v>2.6001000000000001E-5</v>
      </c>
      <c r="AT98" s="22">
        <v>88</v>
      </c>
      <c r="AU98" s="22">
        <v>7.9254199999999997E-2</v>
      </c>
      <c r="AV98">
        <f t="shared" si="20"/>
        <v>-2.6001E-2</v>
      </c>
      <c r="AW98">
        <f t="shared" si="21"/>
        <v>-3.6321836940000005E-2</v>
      </c>
      <c r="AX98" s="9"/>
      <c r="AY98" s="22">
        <v>0.34316999999999998</v>
      </c>
      <c r="AZ98" s="22">
        <v>252.36699999999999</v>
      </c>
      <c r="BA98" s="22">
        <v>-5.2123999999999998E-3</v>
      </c>
      <c r="BB98" s="22">
        <v>88</v>
      </c>
      <c r="BC98" s="22">
        <v>0.342804</v>
      </c>
      <c r="BD98">
        <f t="shared" si="22"/>
        <v>5.2123999999999997</v>
      </c>
      <c r="BE98">
        <f t="shared" si="23"/>
        <v>1.7887393079999998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1.39191</v>
      </c>
      <c r="H99" s="22">
        <v>38.095199999999998</v>
      </c>
      <c r="I99" s="22">
        <v>-1.60614E-2</v>
      </c>
      <c r="J99" s="22">
        <v>89</v>
      </c>
      <c r="K99" s="22">
        <v>1.3909899999999999</v>
      </c>
      <c r="L99">
        <f t="shared" si="12"/>
        <v>16.061399999999999</v>
      </c>
      <c r="M99">
        <f t="shared" si="13"/>
        <v>22.356023273999998</v>
      </c>
      <c r="N99" s="9"/>
      <c r="O99" s="22">
        <v>0.34820600000000002</v>
      </c>
      <c r="P99" s="22">
        <v>87.533699999999996</v>
      </c>
      <c r="Q99" s="22">
        <v>-1.6861000000000001E-2</v>
      </c>
      <c r="R99" s="22">
        <v>89</v>
      </c>
      <c r="S99" s="22">
        <v>0.34735100000000002</v>
      </c>
      <c r="T99">
        <f t="shared" si="14"/>
        <v>16.861000000000001</v>
      </c>
      <c r="U99">
        <f t="shared" si="15"/>
        <v>5.8711013660000004</v>
      </c>
      <c r="X99" s="9"/>
      <c r="Y99" s="22">
        <v>1.39191</v>
      </c>
      <c r="Z99" s="22">
        <v>137.07900000000001</v>
      </c>
      <c r="AA99" s="22">
        <v>-1.65802E-2</v>
      </c>
      <c r="AB99" s="22">
        <v>89</v>
      </c>
      <c r="AC99" s="22">
        <v>1.3909899999999999</v>
      </c>
      <c r="AD99">
        <f t="shared" si="16"/>
        <v>16.580200000000001</v>
      </c>
      <c r="AE99">
        <f t="shared" si="17"/>
        <v>23.078146182000001</v>
      </c>
      <c r="AF99" s="9"/>
      <c r="AG99" s="22">
        <v>0.34820600000000002</v>
      </c>
      <c r="AH99" s="22">
        <v>186.69399999999999</v>
      </c>
      <c r="AI99" s="22">
        <v>-1.6870099999999999E-2</v>
      </c>
      <c r="AJ99" s="22">
        <v>89</v>
      </c>
      <c r="AK99" s="22">
        <v>0.34738200000000002</v>
      </c>
      <c r="AL99">
        <f t="shared" si="18"/>
        <v>16.870100000000001</v>
      </c>
      <c r="AM99">
        <f t="shared" si="19"/>
        <v>5.8742700406000008</v>
      </c>
      <c r="AP99" s="9"/>
      <c r="AQ99" s="22">
        <v>1.39191</v>
      </c>
      <c r="AR99" s="22">
        <v>236.31700000000001</v>
      </c>
      <c r="AS99" s="25">
        <v>2.5878900000000001E-5</v>
      </c>
      <c r="AT99" s="22">
        <v>89</v>
      </c>
      <c r="AU99" s="22">
        <v>7.92847E-2</v>
      </c>
      <c r="AV99">
        <f t="shared" si="20"/>
        <v>-2.58789E-2</v>
      </c>
      <c r="AW99">
        <f t="shared" si="21"/>
        <v>-3.6021099698999998E-2</v>
      </c>
      <c r="AX99" s="9"/>
      <c r="AY99" s="22">
        <v>0.34820600000000002</v>
      </c>
      <c r="AZ99" s="22">
        <v>252.37700000000001</v>
      </c>
      <c r="BA99" s="22">
        <v>-5.2734399999999999E-3</v>
      </c>
      <c r="BB99" s="22">
        <v>89</v>
      </c>
      <c r="BC99" s="22">
        <v>0.34768700000000002</v>
      </c>
      <c r="BD99">
        <f t="shared" si="22"/>
        <v>5.2734399999999999</v>
      </c>
      <c r="BE99">
        <f t="shared" si="23"/>
        <v>1.8362434486400001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1.38687</v>
      </c>
      <c r="H100" s="22">
        <v>38.1053</v>
      </c>
      <c r="I100" s="22">
        <v>-1.6067499999999998E-2</v>
      </c>
      <c r="J100" s="22">
        <v>90</v>
      </c>
      <c r="K100" s="22">
        <v>1.38611</v>
      </c>
      <c r="L100">
        <f t="shared" si="12"/>
        <v>16.067499999999999</v>
      </c>
      <c r="M100">
        <f t="shared" si="13"/>
        <v>22.283533724999998</v>
      </c>
      <c r="N100" s="9"/>
      <c r="O100" s="22">
        <v>0.35324100000000003</v>
      </c>
      <c r="P100" s="22">
        <v>87.543700000000001</v>
      </c>
      <c r="Q100" s="22">
        <v>-1.6861000000000001E-2</v>
      </c>
      <c r="R100" s="22">
        <v>90</v>
      </c>
      <c r="S100" s="22">
        <v>0.35250900000000002</v>
      </c>
      <c r="T100">
        <f t="shared" si="14"/>
        <v>16.861000000000001</v>
      </c>
      <c r="U100">
        <f t="shared" si="15"/>
        <v>5.9559965010000004</v>
      </c>
      <c r="X100" s="9"/>
      <c r="Y100" s="22">
        <v>1.38687</v>
      </c>
      <c r="Z100" s="22">
        <v>137.089</v>
      </c>
      <c r="AA100" s="22">
        <v>-1.6586299999999998E-2</v>
      </c>
      <c r="AB100" s="22">
        <v>90</v>
      </c>
      <c r="AC100" s="22">
        <v>1.38611</v>
      </c>
      <c r="AD100">
        <f t="shared" si="16"/>
        <v>16.586299999999998</v>
      </c>
      <c r="AE100">
        <f t="shared" si="17"/>
        <v>23.003041880999998</v>
      </c>
      <c r="AF100" s="9"/>
      <c r="AG100" s="22">
        <v>0.35324100000000003</v>
      </c>
      <c r="AH100" s="22">
        <v>186.70400000000001</v>
      </c>
      <c r="AI100" s="22">
        <v>-1.6867099999999999E-2</v>
      </c>
      <c r="AJ100" s="22">
        <v>90</v>
      </c>
      <c r="AK100" s="22">
        <v>0.35226400000000002</v>
      </c>
      <c r="AL100">
        <f t="shared" si="18"/>
        <v>16.867100000000001</v>
      </c>
      <c r="AM100">
        <f t="shared" si="19"/>
        <v>5.9581512711000011</v>
      </c>
      <c r="AP100" s="9"/>
      <c r="AQ100" s="22">
        <v>1.38687</v>
      </c>
      <c r="AR100" s="22">
        <v>236.327</v>
      </c>
      <c r="AS100" s="25">
        <v>2.6672399999999999E-5</v>
      </c>
      <c r="AT100" s="22">
        <v>90</v>
      </c>
      <c r="AU100" s="22">
        <v>7.9254199999999997E-2</v>
      </c>
      <c r="AV100">
        <f t="shared" si="20"/>
        <v>-2.6672399999999999E-2</v>
      </c>
      <c r="AW100">
        <f t="shared" si="21"/>
        <v>-3.6991151388E-2</v>
      </c>
      <c r="AX100" s="9"/>
      <c r="AY100" s="22">
        <v>0.35324100000000003</v>
      </c>
      <c r="AZ100" s="22">
        <v>252.387</v>
      </c>
      <c r="BA100" s="22">
        <v>-5.3131100000000002E-3</v>
      </c>
      <c r="BB100" s="22">
        <v>90</v>
      </c>
      <c r="BC100" s="22">
        <v>0.35293600000000003</v>
      </c>
      <c r="BD100">
        <f t="shared" si="22"/>
        <v>5.31311</v>
      </c>
      <c r="BE100">
        <f t="shared" si="23"/>
        <v>1.8768082895100002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1.38184</v>
      </c>
      <c r="H101" s="22">
        <v>38.115400000000001</v>
      </c>
      <c r="I101" s="22">
        <v>-1.60736E-2</v>
      </c>
      <c r="J101" s="22">
        <v>91</v>
      </c>
      <c r="K101" s="22">
        <v>1.3803099999999999</v>
      </c>
      <c r="L101">
        <f t="shared" si="12"/>
        <v>16.073599999999999</v>
      </c>
      <c r="M101">
        <f t="shared" si="13"/>
        <v>22.211143423999999</v>
      </c>
      <c r="N101" s="9"/>
      <c r="O101" s="22">
        <v>0.35827599999999998</v>
      </c>
      <c r="P101" s="22">
        <v>87.553799999999995</v>
      </c>
      <c r="Q101" s="22">
        <v>-1.6854899999999999E-2</v>
      </c>
      <c r="R101" s="22">
        <v>91</v>
      </c>
      <c r="S101" s="22">
        <v>0.35742200000000002</v>
      </c>
      <c r="T101">
        <f t="shared" si="14"/>
        <v>16.854900000000001</v>
      </c>
      <c r="U101">
        <f t="shared" si="15"/>
        <v>6.0387061523999996</v>
      </c>
      <c r="X101" s="9"/>
      <c r="Y101" s="22">
        <v>1.38184</v>
      </c>
      <c r="Z101" s="22">
        <v>137.09899999999999</v>
      </c>
      <c r="AA101" s="22">
        <v>-1.6595499999999999E-2</v>
      </c>
      <c r="AB101" s="22">
        <v>91</v>
      </c>
      <c r="AC101" s="22">
        <v>1.38123</v>
      </c>
      <c r="AD101">
        <f t="shared" si="16"/>
        <v>16.595499999999998</v>
      </c>
      <c r="AE101">
        <f t="shared" si="17"/>
        <v>22.932325719999994</v>
      </c>
      <c r="AF101" s="9"/>
      <c r="AG101" s="22">
        <v>0.35827599999999998</v>
      </c>
      <c r="AH101" s="22">
        <v>186.714</v>
      </c>
      <c r="AI101" s="22">
        <v>-1.6864000000000001E-2</v>
      </c>
      <c r="AJ101" s="22">
        <v>91</v>
      </c>
      <c r="AK101" s="22">
        <v>0.35754399999999997</v>
      </c>
      <c r="AL101">
        <f t="shared" si="18"/>
        <v>16.864000000000001</v>
      </c>
      <c r="AM101">
        <f t="shared" si="19"/>
        <v>6.0419664639999997</v>
      </c>
      <c r="AP101" s="9"/>
      <c r="AQ101" s="22">
        <v>1.38184</v>
      </c>
      <c r="AR101" s="22">
        <v>236.33699999999999</v>
      </c>
      <c r="AS101" s="25">
        <v>2.5329599999999999E-5</v>
      </c>
      <c r="AT101" s="22">
        <v>91</v>
      </c>
      <c r="AU101" s="22">
        <v>7.9254199999999997E-2</v>
      </c>
      <c r="AV101">
        <f t="shared" si="20"/>
        <v>-2.5329599999999997E-2</v>
      </c>
      <c r="AW101">
        <f t="shared" si="21"/>
        <v>-3.5001454463999992E-2</v>
      </c>
      <c r="AX101" s="9"/>
      <c r="AY101" s="22">
        <v>0.35827599999999998</v>
      </c>
      <c r="AZ101" s="22">
        <v>252.39699999999999</v>
      </c>
      <c r="BA101" s="22">
        <v>-5.3405800000000002E-3</v>
      </c>
      <c r="BB101" s="22">
        <v>91</v>
      </c>
      <c r="BC101" s="22">
        <v>0.35797099999999998</v>
      </c>
      <c r="BD101">
        <f t="shared" si="22"/>
        <v>5.3405800000000001</v>
      </c>
      <c r="BE101">
        <f t="shared" si="23"/>
        <v>1.91340164008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1.3768</v>
      </c>
      <c r="H102" s="22">
        <v>38.125399999999999</v>
      </c>
      <c r="I102" s="22">
        <v>-1.6079699999999999E-2</v>
      </c>
      <c r="J102" s="22">
        <v>92</v>
      </c>
      <c r="K102" s="22">
        <v>1.3760399999999999</v>
      </c>
      <c r="L102">
        <f t="shared" si="12"/>
        <v>16.079699999999999</v>
      </c>
      <c r="M102">
        <f t="shared" si="13"/>
        <v>22.138530960000001</v>
      </c>
      <c r="N102" s="9"/>
      <c r="O102" s="22">
        <v>0.36331200000000002</v>
      </c>
      <c r="P102" s="22">
        <v>87.563900000000004</v>
      </c>
      <c r="Q102" s="22">
        <v>-1.68518E-2</v>
      </c>
      <c r="R102" s="22">
        <v>92</v>
      </c>
      <c r="S102" s="22">
        <v>0.36251800000000001</v>
      </c>
      <c r="T102">
        <f t="shared" si="14"/>
        <v>16.851800000000001</v>
      </c>
      <c r="U102">
        <f t="shared" si="15"/>
        <v>6.1224611616000004</v>
      </c>
      <c r="X102" s="9"/>
      <c r="Y102" s="22">
        <v>1.3768</v>
      </c>
      <c r="Z102" s="22">
        <v>137.10900000000001</v>
      </c>
      <c r="AA102" s="22">
        <v>-1.6601600000000001E-2</v>
      </c>
      <c r="AB102" s="22">
        <v>92</v>
      </c>
      <c r="AC102" s="22">
        <v>1.3757299999999999</v>
      </c>
      <c r="AD102">
        <f t="shared" si="16"/>
        <v>16.601600000000001</v>
      </c>
      <c r="AE102">
        <f t="shared" si="17"/>
        <v>22.857082880000004</v>
      </c>
      <c r="AF102" s="9"/>
      <c r="AG102" s="22">
        <v>0.36331200000000002</v>
      </c>
      <c r="AH102" s="22">
        <v>186.72399999999999</v>
      </c>
      <c r="AI102" s="22">
        <v>-1.6861000000000001E-2</v>
      </c>
      <c r="AJ102" s="22">
        <v>92</v>
      </c>
      <c r="AK102" s="22">
        <v>0.362427</v>
      </c>
      <c r="AL102">
        <f t="shared" si="18"/>
        <v>16.861000000000001</v>
      </c>
      <c r="AM102">
        <f t="shared" si="19"/>
        <v>6.1258036320000002</v>
      </c>
      <c r="AP102" s="9"/>
      <c r="AQ102" s="22">
        <v>1.3768</v>
      </c>
      <c r="AR102" s="22">
        <v>236.34700000000001</v>
      </c>
      <c r="AS102" s="25">
        <v>2.6489300000000001E-5</v>
      </c>
      <c r="AT102" s="22">
        <v>92</v>
      </c>
      <c r="AU102" s="22">
        <v>7.9254199999999997E-2</v>
      </c>
      <c r="AV102">
        <f t="shared" si="20"/>
        <v>-2.64893E-2</v>
      </c>
      <c r="AW102">
        <f t="shared" si="21"/>
        <v>-3.6470468239999998E-2</v>
      </c>
      <c r="AX102" s="9"/>
      <c r="AY102" s="22">
        <v>0.36331200000000002</v>
      </c>
      <c r="AZ102" s="22">
        <v>252.40700000000001</v>
      </c>
      <c r="BA102" s="22">
        <v>-5.3039599999999999E-3</v>
      </c>
      <c r="BB102" s="22">
        <v>92</v>
      </c>
      <c r="BC102" s="22">
        <v>0.363037</v>
      </c>
      <c r="BD102">
        <f t="shared" si="22"/>
        <v>5.30396</v>
      </c>
      <c r="BE102">
        <f t="shared" si="23"/>
        <v>1.9269923155200002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1.3717699999999999</v>
      </c>
      <c r="H103" s="22">
        <v>38.1355</v>
      </c>
      <c r="I103" s="22">
        <v>-1.6082800000000001E-2</v>
      </c>
      <c r="J103" s="22">
        <v>93</v>
      </c>
      <c r="K103" s="22">
        <v>1.3708499999999999</v>
      </c>
      <c r="L103">
        <f t="shared" si="12"/>
        <v>16.082800000000002</v>
      </c>
      <c r="M103">
        <f t="shared" si="13"/>
        <v>22.061902556000003</v>
      </c>
      <c r="N103" s="9"/>
      <c r="O103" s="22">
        <v>0.36834699999999998</v>
      </c>
      <c r="P103" s="22">
        <v>87.573899999999995</v>
      </c>
      <c r="Q103" s="22">
        <v>-1.6848800000000001E-2</v>
      </c>
      <c r="R103" s="22">
        <v>93</v>
      </c>
      <c r="S103" s="22">
        <v>0.36734</v>
      </c>
      <c r="T103">
        <f t="shared" si="14"/>
        <v>16.848800000000001</v>
      </c>
      <c r="U103">
        <f t="shared" si="15"/>
        <v>6.2062049335999996</v>
      </c>
      <c r="X103" s="9"/>
      <c r="Y103" s="22">
        <v>1.3717699999999999</v>
      </c>
      <c r="Z103" s="22">
        <v>137.119</v>
      </c>
      <c r="AA103" s="22">
        <v>-1.66077E-2</v>
      </c>
      <c r="AB103" s="22">
        <v>93</v>
      </c>
      <c r="AC103" s="22">
        <v>1.3705400000000001</v>
      </c>
      <c r="AD103">
        <f t="shared" si="16"/>
        <v>16.607700000000001</v>
      </c>
      <c r="AE103">
        <f t="shared" si="17"/>
        <v>22.781944629000002</v>
      </c>
      <c r="AF103" s="9"/>
      <c r="AG103" s="22">
        <v>0.36834699999999998</v>
      </c>
      <c r="AH103" s="22">
        <v>186.73400000000001</v>
      </c>
      <c r="AI103" s="22">
        <v>-1.6861000000000001E-2</v>
      </c>
      <c r="AJ103" s="22">
        <v>93</v>
      </c>
      <c r="AK103" s="22">
        <v>0.36746200000000001</v>
      </c>
      <c r="AL103">
        <f t="shared" si="18"/>
        <v>16.861000000000001</v>
      </c>
      <c r="AM103">
        <f t="shared" si="19"/>
        <v>6.2106987670000002</v>
      </c>
      <c r="AP103" s="9"/>
      <c r="AQ103" s="22">
        <v>1.3717699999999999</v>
      </c>
      <c r="AR103" s="22">
        <v>236.357</v>
      </c>
      <c r="AS103" s="25">
        <v>2.4414100000000001E-5</v>
      </c>
      <c r="AT103" s="22">
        <v>93</v>
      </c>
      <c r="AU103" s="22">
        <v>7.9223600000000005E-2</v>
      </c>
      <c r="AV103">
        <f t="shared" si="20"/>
        <v>-2.4414100000000001E-2</v>
      </c>
      <c r="AW103">
        <f t="shared" si="21"/>
        <v>-3.3490529956999998E-2</v>
      </c>
      <c r="AX103" s="9"/>
      <c r="AY103" s="22">
        <v>0.36834699999999998</v>
      </c>
      <c r="AZ103" s="22">
        <v>252.417</v>
      </c>
      <c r="BA103" s="22">
        <v>-5.4931600000000004E-3</v>
      </c>
      <c r="BB103" s="22">
        <v>93</v>
      </c>
      <c r="BC103" s="22">
        <v>0.36795</v>
      </c>
      <c r="BD103">
        <f t="shared" si="22"/>
        <v>5.4931600000000005</v>
      </c>
      <c r="BE103">
        <f t="shared" si="23"/>
        <v>2.02338900652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1.36673</v>
      </c>
      <c r="H104" s="22">
        <v>38.145600000000002</v>
      </c>
      <c r="I104" s="22">
        <v>-1.6095000000000002E-2</v>
      </c>
      <c r="J104" s="22">
        <v>94</v>
      </c>
      <c r="K104" s="22">
        <v>1.3656600000000001</v>
      </c>
      <c r="L104">
        <f t="shared" si="12"/>
        <v>16.095000000000002</v>
      </c>
      <c r="M104">
        <f t="shared" si="13"/>
        <v>21.997519350000005</v>
      </c>
      <c r="N104" s="9"/>
      <c r="O104" s="22">
        <v>0.37338300000000002</v>
      </c>
      <c r="P104" s="22">
        <v>87.584000000000003</v>
      </c>
      <c r="Q104" s="22">
        <v>-1.6848800000000001E-2</v>
      </c>
      <c r="R104" s="22">
        <v>94</v>
      </c>
      <c r="S104" s="22">
        <v>0.372498</v>
      </c>
      <c r="T104">
        <f t="shared" si="14"/>
        <v>16.848800000000001</v>
      </c>
      <c r="U104">
        <f t="shared" si="15"/>
        <v>6.2910554904000007</v>
      </c>
      <c r="X104" s="9"/>
      <c r="Y104" s="22">
        <v>1.36673</v>
      </c>
      <c r="Z104" s="22">
        <v>137.12899999999999</v>
      </c>
      <c r="AA104" s="22">
        <v>-1.6613800000000001E-2</v>
      </c>
      <c r="AB104" s="22">
        <v>94</v>
      </c>
      <c r="AC104" s="22">
        <v>1.3653599999999999</v>
      </c>
      <c r="AD104">
        <f t="shared" si="16"/>
        <v>16.613800000000001</v>
      </c>
      <c r="AE104">
        <f t="shared" si="17"/>
        <v>22.706578874000002</v>
      </c>
      <c r="AF104" s="9"/>
      <c r="AG104" s="22">
        <v>0.37338300000000002</v>
      </c>
      <c r="AH104" s="22">
        <v>186.744</v>
      </c>
      <c r="AI104" s="22">
        <v>-1.6857899999999999E-2</v>
      </c>
      <c r="AJ104" s="22">
        <v>94</v>
      </c>
      <c r="AK104" s="22">
        <v>0.37252800000000003</v>
      </c>
      <c r="AL104">
        <f t="shared" si="18"/>
        <v>16.857899999999997</v>
      </c>
      <c r="AM104">
        <f t="shared" si="19"/>
        <v>6.2944532756999996</v>
      </c>
      <c r="AP104" s="9"/>
      <c r="AQ104" s="22">
        <v>1.36673</v>
      </c>
      <c r="AR104" s="22">
        <v>236.36699999999999</v>
      </c>
      <c r="AS104" s="25">
        <v>2.53906E-5</v>
      </c>
      <c r="AT104" s="22">
        <v>94</v>
      </c>
      <c r="AU104" s="22">
        <v>7.9223600000000005E-2</v>
      </c>
      <c r="AV104">
        <f t="shared" si="20"/>
        <v>-2.5390599999999999E-2</v>
      </c>
      <c r="AW104">
        <f t="shared" si="21"/>
        <v>-3.4702094737999997E-2</v>
      </c>
      <c r="AX104" s="9"/>
      <c r="AY104" s="22">
        <v>0.37338300000000002</v>
      </c>
      <c r="AZ104" s="22">
        <v>252.42699999999999</v>
      </c>
      <c r="BA104" s="22">
        <v>-5.6945800000000003E-3</v>
      </c>
      <c r="BB104" s="22">
        <v>94</v>
      </c>
      <c r="BC104" s="22">
        <v>0.37307699999999999</v>
      </c>
      <c r="BD104">
        <f t="shared" si="22"/>
        <v>5.6945800000000002</v>
      </c>
      <c r="BE104">
        <f t="shared" si="23"/>
        <v>2.1262593641400001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1.3616900000000001</v>
      </c>
      <c r="H105" s="22">
        <v>38.155700000000003</v>
      </c>
      <c r="I105" s="22">
        <v>-1.61041E-2</v>
      </c>
      <c r="J105" s="22">
        <v>95</v>
      </c>
      <c r="K105" s="22">
        <v>1.3607800000000001</v>
      </c>
      <c r="L105">
        <f t="shared" si="12"/>
        <v>16.104099999999999</v>
      </c>
      <c r="M105">
        <f t="shared" si="13"/>
        <v>21.928791928999999</v>
      </c>
      <c r="N105" s="9"/>
      <c r="O105" s="22">
        <v>0.37841799999999998</v>
      </c>
      <c r="P105" s="22">
        <v>87.594099999999997</v>
      </c>
      <c r="Q105" s="22">
        <v>-1.6845700000000002E-2</v>
      </c>
      <c r="R105" s="22">
        <v>95</v>
      </c>
      <c r="S105" s="22">
        <v>0.37765500000000002</v>
      </c>
      <c r="T105">
        <f t="shared" si="14"/>
        <v>16.845700000000001</v>
      </c>
      <c r="U105">
        <f t="shared" si="15"/>
        <v>6.3747161025999999</v>
      </c>
      <c r="X105" s="9"/>
      <c r="Y105" s="22">
        <v>1.3616900000000001</v>
      </c>
      <c r="Z105" s="22">
        <v>137.13999999999999</v>
      </c>
      <c r="AA105" s="22">
        <v>-1.66199E-2</v>
      </c>
      <c r="AB105" s="22">
        <v>95</v>
      </c>
      <c r="AC105" s="22">
        <v>1.3607800000000001</v>
      </c>
      <c r="AD105">
        <f t="shared" si="16"/>
        <v>16.619900000000001</v>
      </c>
      <c r="AE105">
        <f t="shared" si="17"/>
        <v>22.631151631000002</v>
      </c>
      <c r="AF105" s="9"/>
      <c r="AG105" s="22">
        <v>0.37841799999999998</v>
      </c>
      <c r="AH105" s="22">
        <v>186.75399999999999</v>
      </c>
      <c r="AI105" s="22">
        <v>-1.6854899999999999E-2</v>
      </c>
      <c r="AJ105" s="22">
        <v>95</v>
      </c>
      <c r="AK105" s="22">
        <v>0.37759399999999999</v>
      </c>
      <c r="AL105">
        <f t="shared" si="18"/>
        <v>16.854900000000001</v>
      </c>
      <c r="AM105">
        <f t="shared" si="19"/>
        <v>6.3781975482000002</v>
      </c>
      <c r="AP105" s="9"/>
      <c r="AQ105" s="22">
        <v>1.3616900000000001</v>
      </c>
      <c r="AR105" s="22">
        <v>236.37700000000001</v>
      </c>
      <c r="AS105" s="25">
        <v>2.6733400000000001E-5</v>
      </c>
      <c r="AT105" s="22">
        <v>95</v>
      </c>
      <c r="AU105" s="22">
        <v>7.9254199999999997E-2</v>
      </c>
      <c r="AV105">
        <f t="shared" si="20"/>
        <v>-2.6733400000000001E-2</v>
      </c>
      <c r="AW105">
        <f t="shared" si="21"/>
        <v>-3.6402603446000006E-2</v>
      </c>
      <c r="AX105" s="9"/>
      <c r="AY105" s="22">
        <v>0.37841799999999998</v>
      </c>
      <c r="AZ105" s="22">
        <v>252.43700000000001</v>
      </c>
      <c r="BA105" s="22">
        <v>-5.8227499999999998E-3</v>
      </c>
      <c r="BB105" s="22">
        <v>95</v>
      </c>
      <c r="BC105" s="22">
        <v>0.37811299999999998</v>
      </c>
      <c r="BD105">
        <f t="shared" si="22"/>
        <v>5.8227500000000001</v>
      </c>
      <c r="BE105">
        <f t="shared" si="23"/>
        <v>2.2034334095000001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1.35666</v>
      </c>
      <c r="H106" s="22">
        <v>38.165700000000001</v>
      </c>
      <c r="I106" s="22">
        <v>-1.6113300000000001E-2</v>
      </c>
      <c r="J106" s="22">
        <v>96</v>
      </c>
      <c r="K106" s="22">
        <v>1.3552900000000001</v>
      </c>
      <c r="L106">
        <f t="shared" si="12"/>
        <v>16.113299999999999</v>
      </c>
      <c r="M106">
        <f t="shared" si="13"/>
        <v>21.860269577999997</v>
      </c>
      <c r="N106" s="9"/>
      <c r="O106" s="22">
        <v>0.38345299999999999</v>
      </c>
      <c r="P106" s="22">
        <v>87.604200000000006</v>
      </c>
      <c r="Q106" s="22">
        <v>-1.6842699999999999E-2</v>
      </c>
      <c r="R106" s="22">
        <v>96</v>
      </c>
      <c r="S106" s="22">
        <v>0.38278200000000001</v>
      </c>
      <c r="T106">
        <f t="shared" si="14"/>
        <v>16.842699999999997</v>
      </c>
      <c r="U106">
        <f t="shared" si="15"/>
        <v>6.4583838430999991</v>
      </c>
      <c r="X106" s="9"/>
      <c r="Y106" s="22">
        <v>1.35666</v>
      </c>
      <c r="Z106" s="22">
        <v>137.15</v>
      </c>
      <c r="AA106" s="22">
        <v>-1.6629000000000001E-2</v>
      </c>
      <c r="AB106" s="22">
        <v>96</v>
      </c>
      <c r="AC106" s="22">
        <v>1.3559000000000001</v>
      </c>
      <c r="AD106">
        <f t="shared" si="16"/>
        <v>16.629000000000001</v>
      </c>
      <c r="AE106">
        <f t="shared" si="17"/>
        <v>22.559899140000002</v>
      </c>
      <c r="AF106" s="9"/>
      <c r="AG106" s="22">
        <v>0.38345299999999999</v>
      </c>
      <c r="AH106" s="22">
        <v>186.76400000000001</v>
      </c>
      <c r="AI106" s="22">
        <v>-1.6854899999999999E-2</v>
      </c>
      <c r="AJ106" s="22">
        <v>96</v>
      </c>
      <c r="AK106" s="22">
        <v>0.38278200000000001</v>
      </c>
      <c r="AL106">
        <f t="shared" si="18"/>
        <v>16.854900000000001</v>
      </c>
      <c r="AM106">
        <f t="shared" si="19"/>
        <v>6.4630619697</v>
      </c>
      <c r="AP106" s="9"/>
      <c r="AQ106" s="22">
        <v>1.35666</v>
      </c>
      <c r="AR106" s="22">
        <v>236.387</v>
      </c>
      <c r="AS106" s="25">
        <v>2.4719199999999999E-5</v>
      </c>
      <c r="AT106" s="22">
        <v>96</v>
      </c>
      <c r="AU106" s="22">
        <v>7.92847E-2</v>
      </c>
      <c r="AV106">
        <f t="shared" si="20"/>
        <v>-2.47192E-2</v>
      </c>
      <c r="AW106">
        <f t="shared" si="21"/>
        <v>-3.3535549871999998E-2</v>
      </c>
      <c r="AX106" s="9"/>
      <c r="AY106" s="22">
        <v>0.38345299999999999</v>
      </c>
      <c r="AZ106" s="22">
        <v>252.447</v>
      </c>
      <c r="BA106" s="22">
        <v>-5.9356699999999997E-3</v>
      </c>
      <c r="BB106" s="22">
        <v>96</v>
      </c>
      <c r="BC106" s="22">
        <v>0.38302599999999998</v>
      </c>
      <c r="BD106">
        <f t="shared" si="22"/>
        <v>5.93567</v>
      </c>
      <c r="BE106">
        <f t="shared" si="23"/>
        <v>2.2760504685099998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1.35162</v>
      </c>
      <c r="H107" s="22">
        <v>38.175800000000002</v>
      </c>
      <c r="I107" s="22">
        <v>-1.6119399999999999E-2</v>
      </c>
      <c r="J107" s="22">
        <v>97</v>
      </c>
      <c r="K107" s="22">
        <v>1.3507100000000001</v>
      </c>
      <c r="L107">
        <f t="shared" si="12"/>
        <v>16.119399999999999</v>
      </c>
      <c r="M107">
        <f t="shared" si="13"/>
        <v>21.787303427999998</v>
      </c>
      <c r="N107" s="9"/>
      <c r="O107" s="22">
        <v>0.38848899999999997</v>
      </c>
      <c r="P107" s="22">
        <v>87.614199999999997</v>
      </c>
      <c r="Q107" s="22">
        <v>-1.68396E-2</v>
      </c>
      <c r="R107" s="22">
        <v>97</v>
      </c>
      <c r="S107" s="22">
        <v>0.38778699999999999</v>
      </c>
      <c r="T107">
        <f t="shared" si="14"/>
        <v>16.839600000000001</v>
      </c>
      <c r="U107">
        <f t="shared" si="15"/>
        <v>6.5419993643999996</v>
      </c>
      <c r="X107" s="9"/>
      <c r="Y107" s="22">
        <v>1.35162</v>
      </c>
      <c r="Z107" s="22">
        <v>137.16</v>
      </c>
      <c r="AA107" s="22">
        <v>-1.66351E-2</v>
      </c>
      <c r="AB107" s="22">
        <v>97</v>
      </c>
      <c r="AC107" s="22">
        <v>1.3507100000000001</v>
      </c>
      <c r="AD107">
        <f t="shared" si="16"/>
        <v>16.635100000000001</v>
      </c>
      <c r="AE107">
        <f t="shared" si="17"/>
        <v>22.484333862000003</v>
      </c>
      <c r="AF107" s="9"/>
      <c r="AG107" s="22">
        <v>0.38848899999999997</v>
      </c>
      <c r="AH107" s="22">
        <v>186.774</v>
      </c>
      <c r="AI107" s="22">
        <v>-1.6854899999999999E-2</v>
      </c>
      <c r="AJ107" s="22">
        <v>97</v>
      </c>
      <c r="AK107" s="22">
        <v>0.38769500000000001</v>
      </c>
      <c r="AL107">
        <f t="shared" si="18"/>
        <v>16.854900000000001</v>
      </c>
      <c r="AM107">
        <f t="shared" si="19"/>
        <v>6.5479432461</v>
      </c>
      <c r="AP107" s="9"/>
      <c r="AQ107" s="22">
        <v>1.35162</v>
      </c>
      <c r="AR107" s="22">
        <v>236.398</v>
      </c>
      <c r="AS107" s="25">
        <v>2.55432E-5</v>
      </c>
      <c r="AT107" s="22">
        <v>97</v>
      </c>
      <c r="AU107" s="22">
        <v>7.9254199999999997E-2</v>
      </c>
      <c r="AV107">
        <f t="shared" si="20"/>
        <v>-2.5543199999999999E-2</v>
      </c>
      <c r="AW107">
        <f t="shared" si="21"/>
        <v>-3.4524699983999999E-2</v>
      </c>
      <c r="AX107" s="9"/>
      <c r="AY107" s="22">
        <v>0.38848899999999997</v>
      </c>
      <c r="AZ107" s="22">
        <v>252.45699999999999</v>
      </c>
      <c r="BA107" s="22">
        <v>-5.9692399999999998E-3</v>
      </c>
      <c r="BB107" s="22">
        <v>97</v>
      </c>
      <c r="BC107" s="22">
        <v>0.38809199999999999</v>
      </c>
      <c r="BD107">
        <f t="shared" si="22"/>
        <v>5.9692400000000001</v>
      </c>
      <c r="BE107">
        <f t="shared" si="23"/>
        <v>2.3189840783599998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1.34659</v>
      </c>
      <c r="H108" s="22">
        <v>38.185899999999997</v>
      </c>
      <c r="I108" s="22">
        <v>-1.6122399999999999E-2</v>
      </c>
      <c r="J108" s="22">
        <v>98</v>
      </c>
      <c r="K108" s="22">
        <v>1.3458300000000001</v>
      </c>
      <c r="L108">
        <f t="shared" si="12"/>
        <v>16.122399999999999</v>
      </c>
      <c r="M108">
        <f t="shared" si="13"/>
        <v>21.710262615999998</v>
      </c>
      <c r="N108" s="9"/>
      <c r="O108" s="22">
        <v>0.39352399999999998</v>
      </c>
      <c r="P108" s="22">
        <v>87.624300000000005</v>
      </c>
      <c r="Q108" s="22">
        <v>-1.6836500000000001E-2</v>
      </c>
      <c r="R108" s="22">
        <v>98</v>
      </c>
      <c r="S108" s="22">
        <v>0.392731</v>
      </c>
      <c r="T108">
        <f t="shared" si="14"/>
        <v>16.836500000000001</v>
      </c>
      <c r="U108">
        <f t="shared" si="15"/>
        <v>6.625566826</v>
      </c>
      <c r="X108" s="9"/>
      <c r="Y108" s="22">
        <v>1.34659</v>
      </c>
      <c r="Z108" s="22">
        <v>137.16999999999999</v>
      </c>
      <c r="AA108" s="22">
        <v>-1.6638199999999999E-2</v>
      </c>
      <c r="AB108" s="22">
        <v>98</v>
      </c>
      <c r="AC108" s="22">
        <v>1.34613</v>
      </c>
      <c r="AD108">
        <f t="shared" si="16"/>
        <v>16.638199999999998</v>
      </c>
      <c r="AE108">
        <f t="shared" si="17"/>
        <v>22.404833737999997</v>
      </c>
      <c r="AF108" s="9"/>
      <c r="AG108" s="22">
        <v>0.39352399999999998</v>
      </c>
      <c r="AH108" s="22">
        <v>186.78399999999999</v>
      </c>
      <c r="AI108" s="22">
        <v>-1.68518E-2</v>
      </c>
      <c r="AJ108" s="22">
        <v>98</v>
      </c>
      <c r="AK108" s="22">
        <v>0.392731</v>
      </c>
      <c r="AL108">
        <f t="shared" si="18"/>
        <v>16.851800000000001</v>
      </c>
      <c r="AM108">
        <f t="shared" si="19"/>
        <v>6.6315877431999999</v>
      </c>
      <c r="AP108" s="9"/>
      <c r="AQ108" s="22">
        <v>1.34659</v>
      </c>
      <c r="AR108" s="22">
        <v>236.40799999999999</v>
      </c>
      <c r="AS108" s="25">
        <v>2.4292000000000001E-5</v>
      </c>
      <c r="AT108" s="22">
        <v>98</v>
      </c>
      <c r="AU108" s="22">
        <v>7.9193100000000002E-2</v>
      </c>
      <c r="AV108">
        <f t="shared" si="20"/>
        <v>-2.4292000000000001E-2</v>
      </c>
      <c r="AW108">
        <f t="shared" si="21"/>
        <v>-3.2711364280000002E-2</v>
      </c>
      <c r="AX108" s="9"/>
      <c r="AY108" s="22">
        <v>0.39352399999999998</v>
      </c>
      <c r="AZ108" s="22">
        <v>252.46700000000001</v>
      </c>
      <c r="BA108" s="22">
        <v>-5.7220500000000002E-3</v>
      </c>
      <c r="BB108" s="22">
        <v>98</v>
      </c>
      <c r="BC108" s="22">
        <v>0.39324999999999999</v>
      </c>
      <c r="BD108">
        <f t="shared" si="22"/>
        <v>5.7220500000000003</v>
      </c>
      <c r="BE108">
        <f t="shared" si="23"/>
        <v>2.2517640042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1.34155</v>
      </c>
      <c r="H109" s="22">
        <v>38.195900000000002</v>
      </c>
      <c r="I109" s="22">
        <v>-1.6125500000000001E-2</v>
      </c>
      <c r="J109" s="22">
        <v>99</v>
      </c>
      <c r="K109" s="22">
        <v>1.34033</v>
      </c>
      <c r="L109">
        <f t="shared" si="12"/>
        <v>16.125500000000002</v>
      </c>
      <c r="M109">
        <f t="shared" si="13"/>
        <v>21.633164525000005</v>
      </c>
      <c r="N109" s="9"/>
      <c r="O109" s="22">
        <v>0.39856000000000003</v>
      </c>
      <c r="P109" s="22">
        <v>87.634399999999999</v>
      </c>
      <c r="Q109" s="22">
        <v>-1.6827399999999999E-2</v>
      </c>
      <c r="R109" s="22">
        <v>99</v>
      </c>
      <c r="S109" s="22">
        <v>0.39770499999999998</v>
      </c>
      <c r="T109">
        <f t="shared" si="14"/>
        <v>16.827400000000001</v>
      </c>
      <c r="U109">
        <f t="shared" si="15"/>
        <v>6.7067285440000006</v>
      </c>
      <c r="X109" s="9"/>
      <c r="Y109" s="22">
        <v>1.34155</v>
      </c>
      <c r="Z109" s="22">
        <v>137.18</v>
      </c>
      <c r="AA109" s="22">
        <v>-1.66473E-2</v>
      </c>
      <c r="AB109" s="22">
        <v>99</v>
      </c>
      <c r="AC109" s="22">
        <v>1.34033</v>
      </c>
      <c r="AD109">
        <f t="shared" si="16"/>
        <v>16.647300000000001</v>
      </c>
      <c r="AE109">
        <f t="shared" si="17"/>
        <v>22.333185315000001</v>
      </c>
      <c r="AF109" s="9"/>
      <c r="AG109" s="22">
        <v>0.39856000000000003</v>
      </c>
      <c r="AH109" s="22">
        <v>186.79400000000001</v>
      </c>
      <c r="AI109" s="22">
        <v>-1.68518E-2</v>
      </c>
      <c r="AJ109" s="22">
        <v>99</v>
      </c>
      <c r="AK109" s="22">
        <v>0.39782699999999999</v>
      </c>
      <c r="AL109">
        <f t="shared" si="18"/>
        <v>16.851800000000001</v>
      </c>
      <c r="AM109">
        <f t="shared" si="19"/>
        <v>6.7164534080000005</v>
      </c>
      <c r="AP109" s="9"/>
      <c r="AQ109" s="22">
        <v>1.34155</v>
      </c>
      <c r="AR109" s="22">
        <v>236.41800000000001</v>
      </c>
      <c r="AS109" s="25">
        <v>2.36816E-5</v>
      </c>
      <c r="AT109" s="22">
        <v>99</v>
      </c>
      <c r="AU109" s="22">
        <v>7.9223600000000005E-2</v>
      </c>
      <c r="AV109">
        <f t="shared" si="20"/>
        <v>-2.3681600000000001E-2</v>
      </c>
      <c r="AW109">
        <f t="shared" si="21"/>
        <v>-3.1770050479999999E-2</v>
      </c>
      <c r="AX109" s="9"/>
      <c r="AY109" s="22">
        <v>0.39856000000000003</v>
      </c>
      <c r="AZ109" s="22">
        <v>252.47800000000001</v>
      </c>
      <c r="BA109" s="22">
        <v>-4.4091800000000004E-3</v>
      </c>
      <c r="BB109" s="22">
        <v>99</v>
      </c>
      <c r="BC109" s="22">
        <v>0.39813199999999999</v>
      </c>
      <c r="BD109">
        <f t="shared" si="22"/>
        <v>4.4091800000000001</v>
      </c>
      <c r="BE109">
        <f t="shared" si="23"/>
        <v>1.7573227808000003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1.3365199999999999</v>
      </c>
      <c r="H110" s="22">
        <v>38.206000000000003</v>
      </c>
      <c r="I110" s="22">
        <v>-1.6134599999999999E-2</v>
      </c>
      <c r="J110" s="22">
        <v>100</v>
      </c>
      <c r="K110" s="22">
        <v>1.33453</v>
      </c>
      <c r="L110">
        <f t="shared" si="12"/>
        <v>16.134599999999999</v>
      </c>
      <c r="M110">
        <f t="shared" si="13"/>
        <v>21.564215591999996</v>
      </c>
      <c r="N110" s="9"/>
      <c r="O110" s="22">
        <v>0.40359499999999998</v>
      </c>
      <c r="P110" s="22">
        <v>87.644400000000005</v>
      </c>
      <c r="Q110" s="22">
        <v>-1.68243E-2</v>
      </c>
      <c r="R110" s="22">
        <v>100</v>
      </c>
      <c r="S110" s="22">
        <v>0.40283200000000002</v>
      </c>
      <c r="T110">
        <f t="shared" si="14"/>
        <v>16.824300000000001</v>
      </c>
      <c r="U110">
        <f t="shared" si="15"/>
        <v>6.7902033585000003</v>
      </c>
      <c r="X110" s="9"/>
      <c r="Y110" s="22">
        <v>1.3365199999999999</v>
      </c>
      <c r="Z110" s="22">
        <v>137.19</v>
      </c>
      <c r="AA110" s="22">
        <v>-1.6650399999999999E-2</v>
      </c>
      <c r="AB110" s="22">
        <v>100</v>
      </c>
      <c r="AC110" s="22">
        <v>1.33545</v>
      </c>
      <c r="AD110">
        <f t="shared" si="16"/>
        <v>16.650399999999998</v>
      </c>
      <c r="AE110">
        <f t="shared" si="17"/>
        <v>22.253592607999995</v>
      </c>
      <c r="AF110" s="9"/>
      <c r="AG110" s="22">
        <v>0.40359499999999998</v>
      </c>
      <c r="AH110" s="22">
        <v>186.804</v>
      </c>
      <c r="AI110" s="22">
        <v>-1.6848800000000001E-2</v>
      </c>
      <c r="AJ110" s="22">
        <v>100</v>
      </c>
      <c r="AK110" s="22">
        <v>0.402893</v>
      </c>
      <c r="AL110">
        <f t="shared" si="18"/>
        <v>16.848800000000001</v>
      </c>
      <c r="AM110">
        <f t="shared" si="19"/>
        <v>6.8000914359999998</v>
      </c>
      <c r="AP110" s="9"/>
      <c r="AQ110" s="22">
        <v>1.3365199999999999</v>
      </c>
      <c r="AR110" s="22">
        <v>236.428</v>
      </c>
      <c r="AS110" s="25">
        <v>2.4292000000000001E-5</v>
      </c>
      <c r="AT110" s="22">
        <v>100</v>
      </c>
      <c r="AU110" s="22">
        <v>7.9193100000000002E-2</v>
      </c>
      <c r="AV110">
        <f t="shared" si="20"/>
        <v>-2.4292000000000001E-2</v>
      </c>
      <c r="AW110">
        <f t="shared" si="21"/>
        <v>-3.2466743839999999E-2</v>
      </c>
      <c r="AX110" s="9"/>
      <c r="AY110" s="22">
        <v>0.40359499999999998</v>
      </c>
      <c r="AZ110" s="22">
        <v>252.488</v>
      </c>
      <c r="BA110" s="22">
        <v>-4.4546500000000001E-3</v>
      </c>
      <c r="BB110" s="22">
        <v>100</v>
      </c>
      <c r="BC110" s="22">
        <v>0.40325899999999998</v>
      </c>
      <c r="BD110">
        <f t="shared" si="22"/>
        <v>4.45465</v>
      </c>
      <c r="BE110">
        <f t="shared" si="23"/>
        <v>1.79787446675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1.33148</v>
      </c>
      <c r="H111" s="22">
        <v>38.216099999999997</v>
      </c>
      <c r="I111" s="22">
        <v>-1.6137700000000001E-2</v>
      </c>
      <c r="J111" s="22">
        <v>101</v>
      </c>
      <c r="K111" s="22">
        <v>1.33026</v>
      </c>
      <c r="L111">
        <f t="shared" si="12"/>
        <v>16.137700000000002</v>
      </c>
      <c r="M111">
        <f t="shared" si="13"/>
        <v>21.487024796000004</v>
      </c>
      <c r="N111" s="9"/>
      <c r="O111" s="22">
        <v>0.40862999999999999</v>
      </c>
      <c r="P111" s="22">
        <v>87.654499999999999</v>
      </c>
      <c r="Q111" s="22">
        <v>-1.6818199999999998E-2</v>
      </c>
      <c r="R111" s="22">
        <v>101</v>
      </c>
      <c r="S111" s="22">
        <v>0.40786699999999998</v>
      </c>
      <c r="T111">
        <f t="shared" si="14"/>
        <v>16.818199999999997</v>
      </c>
      <c r="U111">
        <f t="shared" si="15"/>
        <v>6.8724210659999985</v>
      </c>
      <c r="X111" s="9"/>
      <c r="Y111" s="22">
        <v>1.33148</v>
      </c>
      <c r="Z111" s="22">
        <v>137.19999999999999</v>
      </c>
      <c r="AA111" s="22">
        <v>-1.6650399999999999E-2</v>
      </c>
      <c r="AB111" s="22">
        <v>101</v>
      </c>
      <c r="AC111" s="22">
        <v>1.33026</v>
      </c>
      <c r="AD111">
        <f t="shared" si="16"/>
        <v>16.650399999999998</v>
      </c>
      <c r="AE111">
        <f t="shared" si="17"/>
        <v>22.169674591999996</v>
      </c>
      <c r="AF111" s="9"/>
      <c r="AG111" s="22">
        <v>0.40862999999999999</v>
      </c>
      <c r="AH111" s="22">
        <v>186.81399999999999</v>
      </c>
      <c r="AI111" s="22">
        <v>-1.6845700000000002E-2</v>
      </c>
      <c r="AJ111" s="22">
        <v>101</v>
      </c>
      <c r="AK111" s="22">
        <v>0.40786699999999998</v>
      </c>
      <c r="AL111">
        <f t="shared" si="18"/>
        <v>16.845700000000001</v>
      </c>
      <c r="AM111">
        <f t="shared" si="19"/>
        <v>6.883658391</v>
      </c>
      <c r="AP111" s="9"/>
      <c r="AQ111" s="22">
        <v>1.33148</v>
      </c>
      <c r="AR111" s="22">
        <v>236.43799999999999</v>
      </c>
      <c r="AS111" s="25">
        <v>2.2674600000000001E-5</v>
      </c>
      <c r="AT111" s="22">
        <v>101</v>
      </c>
      <c r="AU111" s="22">
        <v>7.91626E-2</v>
      </c>
      <c r="AV111">
        <f t="shared" si="20"/>
        <v>-2.2674600000000003E-2</v>
      </c>
      <c r="AW111">
        <f t="shared" si="21"/>
        <v>-3.0190776408000004E-2</v>
      </c>
      <c r="AX111" s="9"/>
      <c r="AY111" s="22">
        <v>0.40862999999999999</v>
      </c>
      <c r="AZ111" s="22">
        <v>252.49799999999999</v>
      </c>
      <c r="BA111" s="22">
        <v>-4.6157799999999999E-3</v>
      </c>
      <c r="BB111" s="22">
        <v>101</v>
      </c>
      <c r="BC111" s="22">
        <v>0.40823399999999999</v>
      </c>
      <c r="BD111">
        <f t="shared" si="22"/>
        <v>4.61578</v>
      </c>
      <c r="BE111">
        <f t="shared" si="23"/>
        <v>1.8861461814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1.3264499999999999</v>
      </c>
      <c r="H112" s="22">
        <v>38.226199999999999</v>
      </c>
      <c r="I112" s="22">
        <v>-1.6140700000000001E-2</v>
      </c>
      <c r="J112" s="22">
        <v>102</v>
      </c>
      <c r="K112" s="22">
        <v>1.32629</v>
      </c>
      <c r="L112">
        <f t="shared" si="12"/>
        <v>16.140700000000002</v>
      </c>
      <c r="M112">
        <f t="shared" si="13"/>
        <v>21.409831515</v>
      </c>
      <c r="N112" s="9"/>
      <c r="O112" s="22">
        <v>0.41366599999999998</v>
      </c>
      <c r="P112" s="22">
        <v>87.664599999999993</v>
      </c>
      <c r="Q112" s="22">
        <v>-1.6815199999999999E-2</v>
      </c>
      <c r="R112" s="22">
        <v>102</v>
      </c>
      <c r="S112" s="22">
        <v>0.41281099999999998</v>
      </c>
      <c r="T112">
        <f t="shared" si="14"/>
        <v>16.815199999999997</v>
      </c>
      <c r="U112">
        <f t="shared" si="15"/>
        <v>6.9558765231999988</v>
      </c>
      <c r="X112" s="9"/>
      <c r="Y112" s="22">
        <v>1.3264499999999999</v>
      </c>
      <c r="Z112" s="22">
        <v>137.21</v>
      </c>
      <c r="AA112" s="22">
        <v>-1.6653399999999999E-2</v>
      </c>
      <c r="AB112" s="22">
        <v>102</v>
      </c>
      <c r="AC112" s="22">
        <v>1.32599</v>
      </c>
      <c r="AD112">
        <f t="shared" si="16"/>
        <v>16.653399999999998</v>
      </c>
      <c r="AE112">
        <f t="shared" si="17"/>
        <v>22.089902429999995</v>
      </c>
      <c r="AF112" s="9"/>
      <c r="AG112" s="22">
        <v>0.41366599999999998</v>
      </c>
      <c r="AH112" s="22">
        <v>186.82400000000001</v>
      </c>
      <c r="AI112" s="22">
        <v>-1.68396E-2</v>
      </c>
      <c r="AJ112" s="22">
        <v>102</v>
      </c>
      <c r="AK112" s="22">
        <v>0.41281099999999998</v>
      </c>
      <c r="AL112">
        <f t="shared" si="18"/>
        <v>16.839600000000001</v>
      </c>
      <c r="AM112">
        <f t="shared" si="19"/>
        <v>6.9659699736</v>
      </c>
      <c r="AP112" s="9"/>
      <c r="AQ112" s="22">
        <v>1.3264499999999999</v>
      </c>
      <c r="AR112" s="22">
        <v>236.44800000000001</v>
      </c>
      <c r="AS112" s="25">
        <v>2.39563E-5</v>
      </c>
      <c r="AT112" s="22">
        <v>102</v>
      </c>
      <c r="AU112" s="22">
        <v>7.9193100000000002E-2</v>
      </c>
      <c r="AV112">
        <f t="shared" si="20"/>
        <v>-2.39563E-2</v>
      </c>
      <c r="AW112">
        <f t="shared" si="21"/>
        <v>-3.1776834134999994E-2</v>
      </c>
      <c r="AX112" s="9"/>
      <c r="AY112" s="22">
        <v>0.41366599999999998</v>
      </c>
      <c r="AZ112" s="22">
        <v>252.50800000000001</v>
      </c>
      <c r="BA112" s="22">
        <v>-4.5590200000000004E-3</v>
      </c>
      <c r="BB112" s="22">
        <v>102</v>
      </c>
      <c r="BC112" s="22">
        <v>0.41336099999999998</v>
      </c>
      <c r="BD112">
        <f t="shared" si="22"/>
        <v>4.5590200000000003</v>
      </c>
      <c r="BE112">
        <f t="shared" si="23"/>
        <v>1.88591156732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1.32141</v>
      </c>
      <c r="H113" s="22">
        <v>38.236199999999997</v>
      </c>
      <c r="I113" s="22">
        <v>-1.6146899999999999E-2</v>
      </c>
      <c r="J113" s="22">
        <v>103</v>
      </c>
      <c r="K113" s="22">
        <v>1.32019</v>
      </c>
      <c r="L113">
        <f t="shared" si="12"/>
        <v>16.146899999999999</v>
      </c>
      <c r="M113">
        <f t="shared" si="13"/>
        <v>21.336675129</v>
      </c>
      <c r="N113" s="9"/>
      <c r="O113" s="22">
        <v>0.41870099999999999</v>
      </c>
      <c r="P113" s="22">
        <v>87.674700000000001</v>
      </c>
      <c r="Q113" s="22">
        <v>-1.68121E-2</v>
      </c>
      <c r="R113" s="22">
        <v>103</v>
      </c>
      <c r="S113" s="22">
        <v>0.41784700000000002</v>
      </c>
      <c r="T113">
        <f t="shared" si="14"/>
        <v>16.812100000000001</v>
      </c>
      <c r="U113">
        <f t="shared" si="15"/>
        <v>7.0392430821000005</v>
      </c>
      <c r="X113" s="9"/>
      <c r="Y113" s="22">
        <v>1.32141</v>
      </c>
      <c r="Z113" s="22">
        <v>137.22</v>
      </c>
      <c r="AA113" s="22">
        <v>-1.6656500000000001E-2</v>
      </c>
      <c r="AB113" s="22">
        <v>103</v>
      </c>
      <c r="AC113" s="22">
        <v>1.32111</v>
      </c>
      <c r="AD113">
        <f t="shared" si="16"/>
        <v>16.656500000000001</v>
      </c>
      <c r="AE113">
        <f t="shared" si="17"/>
        <v>22.010065665000003</v>
      </c>
      <c r="AF113" s="9"/>
      <c r="AG113" s="22">
        <v>0.41870099999999999</v>
      </c>
      <c r="AH113" s="22">
        <v>186.83500000000001</v>
      </c>
      <c r="AI113" s="22">
        <v>-1.6836500000000001E-2</v>
      </c>
      <c r="AJ113" s="22">
        <v>103</v>
      </c>
      <c r="AK113" s="22">
        <v>0.41781600000000002</v>
      </c>
      <c r="AL113">
        <f t="shared" si="18"/>
        <v>16.836500000000001</v>
      </c>
      <c r="AM113">
        <f t="shared" si="19"/>
        <v>7.0494593865000006</v>
      </c>
      <c r="AP113" s="9"/>
      <c r="AQ113" s="22">
        <v>1.32141</v>
      </c>
      <c r="AR113" s="22">
        <v>236.458</v>
      </c>
      <c r="AS113" s="25">
        <v>2.38037E-5</v>
      </c>
      <c r="AT113" s="22">
        <v>103</v>
      </c>
      <c r="AU113" s="22">
        <v>7.9193100000000002E-2</v>
      </c>
      <c r="AV113">
        <f t="shared" si="20"/>
        <v>-2.3803700000000001E-2</v>
      </c>
      <c r="AW113">
        <f t="shared" si="21"/>
        <v>-3.1454447216999998E-2</v>
      </c>
      <c r="AX113" s="9"/>
      <c r="AY113" s="22">
        <v>0.41870099999999999</v>
      </c>
      <c r="AZ113" s="22">
        <v>252.518</v>
      </c>
      <c r="BA113" s="22">
        <v>-4.9285900000000001E-3</v>
      </c>
      <c r="BB113" s="22">
        <v>103</v>
      </c>
      <c r="BC113" s="22">
        <v>0.41836499999999999</v>
      </c>
      <c r="BD113">
        <f t="shared" si="22"/>
        <v>4.9285899999999998</v>
      </c>
      <c r="BE113">
        <f t="shared" si="23"/>
        <v>2.0636055615899997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1.3163800000000001</v>
      </c>
      <c r="H114" s="22">
        <v>38.246299999999998</v>
      </c>
      <c r="I114" s="22">
        <v>-1.6156E-2</v>
      </c>
      <c r="J114" s="22">
        <v>104</v>
      </c>
      <c r="K114" s="22">
        <v>1.31531</v>
      </c>
      <c r="L114">
        <f t="shared" si="12"/>
        <v>16.155999999999999</v>
      </c>
      <c r="M114">
        <f t="shared" si="13"/>
        <v>21.267435280000001</v>
      </c>
      <c r="N114" s="9"/>
      <c r="O114" s="22">
        <v>0.42373699999999997</v>
      </c>
      <c r="P114" s="22">
        <v>87.684700000000007</v>
      </c>
      <c r="Q114" s="22">
        <v>-1.68091E-2</v>
      </c>
      <c r="R114" s="22">
        <v>104</v>
      </c>
      <c r="S114" s="22">
        <v>0.42297400000000002</v>
      </c>
      <c r="T114">
        <f t="shared" si="14"/>
        <v>16.809100000000001</v>
      </c>
      <c r="U114">
        <f t="shared" si="15"/>
        <v>7.1226376066999997</v>
      </c>
      <c r="X114" s="9"/>
      <c r="Y114" s="22">
        <v>1.3163800000000001</v>
      </c>
      <c r="Z114" s="22">
        <v>137.22999999999999</v>
      </c>
      <c r="AA114" s="22">
        <v>-1.6665599999999999E-2</v>
      </c>
      <c r="AB114" s="22">
        <v>104</v>
      </c>
      <c r="AC114" s="22">
        <v>1.3156099999999999</v>
      </c>
      <c r="AD114">
        <f t="shared" si="16"/>
        <v>16.665599999999998</v>
      </c>
      <c r="AE114">
        <f t="shared" si="17"/>
        <v>21.938262527999999</v>
      </c>
      <c r="AF114" s="9"/>
      <c r="AG114" s="22">
        <v>0.42373699999999997</v>
      </c>
      <c r="AH114" s="22">
        <v>186.845</v>
      </c>
      <c r="AI114" s="22">
        <v>-1.6830399999999999E-2</v>
      </c>
      <c r="AJ114" s="22">
        <v>104</v>
      </c>
      <c r="AK114" s="22">
        <v>0.42285200000000001</v>
      </c>
      <c r="AL114">
        <f t="shared" si="18"/>
        <v>16.830399999999997</v>
      </c>
      <c r="AM114">
        <f t="shared" si="19"/>
        <v>7.1316632047999988</v>
      </c>
      <c r="AP114" s="9"/>
      <c r="AQ114" s="22">
        <v>1.3163800000000001</v>
      </c>
      <c r="AR114" s="22">
        <v>236.46799999999999</v>
      </c>
      <c r="AS114" s="25">
        <v>2.4017300000000001E-5</v>
      </c>
      <c r="AT114" s="22">
        <v>104</v>
      </c>
      <c r="AU114" s="22">
        <v>7.91626E-2</v>
      </c>
      <c r="AV114">
        <f t="shared" si="20"/>
        <v>-2.4017300000000002E-2</v>
      </c>
      <c r="AW114">
        <f t="shared" si="21"/>
        <v>-3.1615893374000004E-2</v>
      </c>
      <c r="AX114" s="9"/>
      <c r="AY114" s="22">
        <v>0.42373699999999997</v>
      </c>
      <c r="AZ114" s="22">
        <v>252.52799999999999</v>
      </c>
      <c r="BA114" s="22">
        <v>-4.6542399999999996E-3</v>
      </c>
      <c r="BB114" s="22">
        <v>104</v>
      </c>
      <c r="BC114" s="22">
        <v>0.42333999999999999</v>
      </c>
      <c r="BD114">
        <f t="shared" si="22"/>
        <v>4.6542399999999997</v>
      </c>
      <c r="BE114">
        <f t="shared" si="23"/>
        <v>1.9721736948799997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1.31134</v>
      </c>
      <c r="H115" s="22">
        <v>38.256399999999999</v>
      </c>
      <c r="I115" s="22">
        <v>-1.6159099999999999E-2</v>
      </c>
      <c r="J115" s="22">
        <v>105</v>
      </c>
      <c r="K115" s="22">
        <v>1.31012</v>
      </c>
      <c r="L115">
        <f t="shared" si="12"/>
        <v>16.159099999999999</v>
      </c>
      <c r="M115">
        <f t="shared" si="13"/>
        <v>21.190074193999997</v>
      </c>
      <c r="N115" s="9"/>
      <c r="O115" s="22">
        <v>0.42877199999999999</v>
      </c>
      <c r="P115" s="22">
        <v>87.694800000000001</v>
      </c>
      <c r="Q115" s="22">
        <v>-1.68091E-2</v>
      </c>
      <c r="R115" s="22">
        <v>105</v>
      </c>
      <c r="S115" s="22">
        <v>0.42807000000000001</v>
      </c>
      <c r="T115">
        <f t="shared" si="14"/>
        <v>16.809100000000001</v>
      </c>
      <c r="U115">
        <f t="shared" si="15"/>
        <v>7.2072714252000001</v>
      </c>
      <c r="X115" s="9"/>
      <c r="Y115" s="22">
        <v>1.31134</v>
      </c>
      <c r="Z115" s="22">
        <v>137.24</v>
      </c>
      <c r="AA115" s="22">
        <v>-1.6668700000000002E-2</v>
      </c>
      <c r="AB115" s="22">
        <v>105</v>
      </c>
      <c r="AC115" s="22">
        <v>1.3104199999999999</v>
      </c>
      <c r="AD115">
        <f t="shared" si="16"/>
        <v>16.668700000000001</v>
      </c>
      <c r="AE115">
        <f t="shared" si="17"/>
        <v>21.858333057999999</v>
      </c>
      <c r="AF115" s="9"/>
      <c r="AG115" s="22">
        <v>0.42877199999999999</v>
      </c>
      <c r="AH115" s="22">
        <v>186.85499999999999</v>
      </c>
      <c r="AI115" s="22">
        <v>-1.6830399999999999E-2</v>
      </c>
      <c r="AJ115" s="22">
        <v>105</v>
      </c>
      <c r="AK115" s="22">
        <v>0.427979</v>
      </c>
      <c r="AL115">
        <f t="shared" si="18"/>
        <v>16.830399999999997</v>
      </c>
      <c r="AM115">
        <f t="shared" si="19"/>
        <v>7.216404268799999</v>
      </c>
      <c r="AP115" s="9"/>
      <c r="AQ115" s="22">
        <v>1.31134</v>
      </c>
      <c r="AR115" s="22">
        <v>236.47800000000001</v>
      </c>
      <c r="AS115" s="25">
        <v>2.50244E-5</v>
      </c>
      <c r="AT115" s="22">
        <v>105</v>
      </c>
      <c r="AU115" s="22">
        <v>7.9193100000000002E-2</v>
      </c>
      <c r="AV115">
        <f t="shared" si="20"/>
        <v>-2.5024400000000002E-2</v>
      </c>
      <c r="AW115">
        <f t="shared" si="21"/>
        <v>-3.2815496696E-2</v>
      </c>
      <c r="AX115" s="9"/>
      <c r="AY115" s="22">
        <v>0.42877199999999999</v>
      </c>
      <c r="AZ115" s="22">
        <v>252.53800000000001</v>
      </c>
      <c r="BA115" s="22">
        <v>-4.6978799999999998E-3</v>
      </c>
      <c r="BB115" s="22">
        <v>105</v>
      </c>
      <c r="BC115" s="22">
        <v>0.42843599999999998</v>
      </c>
      <c r="BD115">
        <f t="shared" si="22"/>
        <v>4.6978799999999996</v>
      </c>
      <c r="BE115">
        <f t="shared" si="23"/>
        <v>2.0143194033599996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1.3063</v>
      </c>
      <c r="H116" s="22">
        <v>38.266399999999997</v>
      </c>
      <c r="I116" s="22">
        <v>-1.6162099999999999E-2</v>
      </c>
      <c r="J116" s="22">
        <v>106</v>
      </c>
      <c r="K116" s="22">
        <v>1.30524</v>
      </c>
      <c r="L116">
        <f t="shared" si="12"/>
        <v>16.162099999999999</v>
      </c>
      <c r="M116">
        <f t="shared" si="13"/>
        <v>21.112551229999998</v>
      </c>
      <c r="N116" s="9"/>
      <c r="O116" s="22">
        <v>0.433807</v>
      </c>
      <c r="P116" s="22">
        <v>87.704899999999995</v>
      </c>
      <c r="Q116" s="22">
        <v>-1.6806000000000001E-2</v>
      </c>
      <c r="R116" s="22">
        <v>106</v>
      </c>
      <c r="S116" s="22">
        <v>0.43298300000000001</v>
      </c>
      <c r="T116">
        <f t="shared" si="14"/>
        <v>16.806000000000001</v>
      </c>
      <c r="U116">
        <f t="shared" si="15"/>
        <v>7.2905604420000003</v>
      </c>
      <c r="X116" s="9"/>
      <c r="Y116" s="22">
        <v>1.3063</v>
      </c>
      <c r="Z116" s="22">
        <v>137.25</v>
      </c>
      <c r="AA116" s="22">
        <v>-1.66748E-2</v>
      </c>
      <c r="AB116" s="22">
        <v>106</v>
      </c>
      <c r="AC116" s="22">
        <v>1.3049299999999999</v>
      </c>
      <c r="AD116">
        <f t="shared" si="16"/>
        <v>16.674800000000001</v>
      </c>
      <c r="AE116">
        <f t="shared" si="17"/>
        <v>21.782291240000003</v>
      </c>
      <c r="AF116" s="9"/>
      <c r="AG116" s="22">
        <v>0.433807</v>
      </c>
      <c r="AH116" s="22">
        <v>186.86500000000001</v>
      </c>
      <c r="AI116" s="22">
        <v>-1.6830399999999999E-2</v>
      </c>
      <c r="AJ116" s="22">
        <v>106</v>
      </c>
      <c r="AK116" s="22">
        <v>0.43304399999999998</v>
      </c>
      <c r="AL116">
        <f t="shared" si="18"/>
        <v>16.830399999999997</v>
      </c>
      <c r="AM116">
        <f t="shared" si="19"/>
        <v>7.3011453327999991</v>
      </c>
      <c r="AP116" s="9"/>
      <c r="AQ116" s="22">
        <v>1.3063</v>
      </c>
      <c r="AR116" s="22">
        <v>236.488</v>
      </c>
      <c r="AS116" s="25">
        <v>2.5146500000000001E-5</v>
      </c>
      <c r="AT116" s="22">
        <v>106</v>
      </c>
      <c r="AU116" s="22">
        <v>7.9101599999999994E-2</v>
      </c>
      <c r="AV116">
        <f t="shared" si="20"/>
        <v>-2.5146500000000002E-2</v>
      </c>
      <c r="AW116">
        <f t="shared" si="21"/>
        <v>-3.2848872950000003E-2</v>
      </c>
      <c r="AX116" s="9"/>
      <c r="AY116" s="22">
        <v>0.433807</v>
      </c>
      <c r="AZ116" s="22">
        <v>252.548</v>
      </c>
      <c r="BA116" s="22">
        <v>-4.6301299999999997E-3</v>
      </c>
      <c r="BB116" s="22">
        <v>106</v>
      </c>
      <c r="BC116" s="22">
        <v>0.43359399999999998</v>
      </c>
      <c r="BD116">
        <f t="shared" si="22"/>
        <v>4.6301299999999994</v>
      </c>
      <c r="BE116">
        <f t="shared" si="23"/>
        <v>2.0085828049099996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1.3012699999999999</v>
      </c>
      <c r="H117" s="22">
        <v>38.276499999999999</v>
      </c>
      <c r="I117" s="22">
        <v>-1.6168200000000001E-2</v>
      </c>
      <c r="J117" s="22">
        <v>107</v>
      </c>
      <c r="K117" s="22">
        <v>1.3000499999999999</v>
      </c>
      <c r="L117">
        <f t="shared" si="12"/>
        <v>16.168200000000002</v>
      </c>
      <c r="M117">
        <f t="shared" si="13"/>
        <v>21.039193614000002</v>
      </c>
      <c r="N117" s="9"/>
      <c r="O117" s="22">
        <v>0.43884299999999998</v>
      </c>
      <c r="P117" s="22">
        <v>87.7149</v>
      </c>
      <c r="Q117" s="22">
        <v>-1.6806000000000001E-2</v>
      </c>
      <c r="R117" s="22">
        <v>107</v>
      </c>
      <c r="S117" s="22">
        <v>0.43804900000000002</v>
      </c>
      <c r="T117">
        <f t="shared" si="14"/>
        <v>16.806000000000001</v>
      </c>
      <c r="U117">
        <f t="shared" si="15"/>
        <v>7.3751954580000003</v>
      </c>
      <c r="X117" s="9"/>
      <c r="Y117" s="22">
        <v>1.3012699999999999</v>
      </c>
      <c r="Z117" s="22">
        <v>137.26</v>
      </c>
      <c r="AA117" s="22">
        <v>-1.6680899999999999E-2</v>
      </c>
      <c r="AB117" s="22">
        <v>107</v>
      </c>
      <c r="AC117" s="22">
        <v>1.3006599999999999</v>
      </c>
      <c r="AD117">
        <f t="shared" si="16"/>
        <v>16.680899999999998</v>
      </c>
      <c r="AE117">
        <f t="shared" si="17"/>
        <v>21.706354742999995</v>
      </c>
      <c r="AF117" s="9"/>
      <c r="AG117" s="22">
        <v>0.43884299999999998</v>
      </c>
      <c r="AH117" s="22">
        <v>186.875</v>
      </c>
      <c r="AI117" s="22">
        <v>-1.6830399999999999E-2</v>
      </c>
      <c r="AJ117" s="22">
        <v>107</v>
      </c>
      <c r="AK117" s="22">
        <v>0.43801899999999999</v>
      </c>
      <c r="AL117">
        <f t="shared" si="18"/>
        <v>16.830399999999997</v>
      </c>
      <c r="AM117">
        <f t="shared" si="19"/>
        <v>7.3859032271999983</v>
      </c>
      <c r="AP117" s="9"/>
      <c r="AQ117" s="22">
        <v>1.3012699999999999</v>
      </c>
      <c r="AR117" s="22">
        <v>236.49799999999999</v>
      </c>
      <c r="AS117" s="25">
        <v>2.55432E-5</v>
      </c>
      <c r="AT117" s="22">
        <v>107</v>
      </c>
      <c r="AU117" s="22">
        <v>7.9223600000000005E-2</v>
      </c>
      <c r="AV117">
        <f t="shared" si="20"/>
        <v>-2.5543199999999999E-2</v>
      </c>
      <c r="AW117">
        <f t="shared" si="21"/>
        <v>-3.3238599863999997E-2</v>
      </c>
      <c r="AX117" s="9"/>
      <c r="AY117" s="22">
        <v>0.43884299999999998</v>
      </c>
      <c r="AZ117" s="22">
        <v>252.55799999999999</v>
      </c>
      <c r="BA117" s="22">
        <v>-4.8159800000000001E-3</v>
      </c>
      <c r="BB117" s="22">
        <v>107</v>
      </c>
      <c r="BC117" s="22">
        <v>0.43853799999999998</v>
      </c>
      <c r="BD117">
        <f t="shared" si="22"/>
        <v>4.8159799999999997</v>
      </c>
      <c r="BE117">
        <f t="shared" si="23"/>
        <v>2.1134591111399996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1.29623</v>
      </c>
      <c r="H118" s="22">
        <v>38.2866</v>
      </c>
      <c r="I118" s="22">
        <v>-1.6174299999999999E-2</v>
      </c>
      <c r="J118" s="22">
        <v>108</v>
      </c>
      <c r="K118" s="22">
        <v>1.2954699999999999</v>
      </c>
      <c r="L118">
        <f t="shared" si="12"/>
        <v>16.174299999999999</v>
      </c>
      <c r="M118">
        <f t="shared" si="13"/>
        <v>20.965612888999999</v>
      </c>
      <c r="N118" s="9"/>
      <c r="O118" s="22">
        <v>0.44387799999999999</v>
      </c>
      <c r="P118" s="22">
        <v>87.724999999999994</v>
      </c>
      <c r="Q118" s="22">
        <v>-1.6802999999999998E-2</v>
      </c>
      <c r="R118" s="22">
        <v>108</v>
      </c>
      <c r="S118" s="22">
        <v>0.443054</v>
      </c>
      <c r="T118">
        <f t="shared" si="14"/>
        <v>16.802999999999997</v>
      </c>
      <c r="U118">
        <f t="shared" si="15"/>
        <v>7.4584820339999984</v>
      </c>
      <c r="X118" s="9"/>
      <c r="Y118" s="22">
        <v>1.29623</v>
      </c>
      <c r="Z118" s="22">
        <v>137.27000000000001</v>
      </c>
      <c r="AA118" s="22">
        <v>-1.6680899999999999E-2</v>
      </c>
      <c r="AB118" s="22">
        <v>108</v>
      </c>
      <c r="AC118" s="22">
        <v>1.2951699999999999</v>
      </c>
      <c r="AD118">
        <f t="shared" si="16"/>
        <v>16.680899999999998</v>
      </c>
      <c r="AE118">
        <f t="shared" si="17"/>
        <v>21.622283006999997</v>
      </c>
      <c r="AF118" s="9"/>
      <c r="AG118" s="22">
        <v>0.44387799999999999</v>
      </c>
      <c r="AH118" s="22">
        <v>186.88499999999999</v>
      </c>
      <c r="AI118" s="22">
        <v>-1.6827399999999999E-2</v>
      </c>
      <c r="AJ118" s="22">
        <v>108</v>
      </c>
      <c r="AK118" s="22">
        <v>0.44299300000000003</v>
      </c>
      <c r="AL118">
        <f t="shared" si="18"/>
        <v>16.827400000000001</v>
      </c>
      <c r="AM118">
        <f t="shared" si="19"/>
        <v>7.4693126572000006</v>
      </c>
      <c r="AP118" s="9"/>
      <c r="AQ118" s="22">
        <v>1.29623</v>
      </c>
      <c r="AR118" s="22">
        <v>236.50800000000001</v>
      </c>
      <c r="AS118" s="25">
        <v>2.49329E-5</v>
      </c>
      <c r="AT118" s="22">
        <v>108</v>
      </c>
      <c r="AU118" s="22">
        <v>7.9101599999999994E-2</v>
      </c>
      <c r="AV118">
        <f t="shared" si="20"/>
        <v>-2.4932900000000001E-2</v>
      </c>
      <c r="AW118">
        <f t="shared" si="21"/>
        <v>-3.2318772967000003E-2</v>
      </c>
      <c r="AX118" s="9"/>
      <c r="AY118" s="22">
        <v>0.44387799999999999</v>
      </c>
      <c r="AZ118" s="22">
        <v>252.56800000000001</v>
      </c>
      <c r="BA118" s="22">
        <v>-4.7741700000000003E-3</v>
      </c>
      <c r="BB118" s="22">
        <v>108</v>
      </c>
      <c r="BC118" s="22">
        <v>0.44351200000000002</v>
      </c>
      <c r="BD118">
        <f t="shared" si="22"/>
        <v>4.7741700000000007</v>
      </c>
      <c r="BE118">
        <f t="shared" si="23"/>
        <v>2.1191490312600001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1.2911999999999999</v>
      </c>
      <c r="H119" s="22">
        <v>38.296700000000001</v>
      </c>
      <c r="I119" s="22">
        <v>-1.6180400000000001E-2</v>
      </c>
      <c r="J119" s="22">
        <v>109</v>
      </c>
      <c r="K119" s="22">
        <v>1.2896700000000001</v>
      </c>
      <c r="L119">
        <f t="shared" si="12"/>
        <v>16.180400000000002</v>
      </c>
      <c r="M119">
        <f t="shared" si="13"/>
        <v>20.892132480000001</v>
      </c>
      <c r="N119" s="9"/>
      <c r="O119" s="22">
        <v>0.44891399999999998</v>
      </c>
      <c r="P119" s="22">
        <v>87.735100000000003</v>
      </c>
      <c r="Q119" s="22">
        <v>-1.6802999999999998E-2</v>
      </c>
      <c r="R119" s="22">
        <v>109</v>
      </c>
      <c r="S119" s="22">
        <v>0.44805899999999999</v>
      </c>
      <c r="T119">
        <f t="shared" si="14"/>
        <v>16.802999999999997</v>
      </c>
      <c r="U119">
        <f t="shared" si="15"/>
        <v>7.5431019419999981</v>
      </c>
      <c r="X119" s="9"/>
      <c r="Y119" s="22">
        <v>1.2911999999999999</v>
      </c>
      <c r="Z119" s="22">
        <v>137.28100000000001</v>
      </c>
      <c r="AA119" s="22">
        <v>-1.6711400000000001E-2</v>
      </c>
      <c r="AB119" s="22">
        <v>109</v>
      </c>
      <c r="AC119" s="22">
        <v>1.2905899999999999</v>
      </c>
      <c r="AD119">
        <f t="shared" si="16"/>
        <v>16.711400000000001</v>
      </c>
      <c r="AE119">
        <f t="shared" si="17"/>
        <v>21.57775968</v>
      </c>
      <c r="AF119" s="9"/>
      <c r="AG119" s="22">
        <v>0.44891399999999998</v>
      </c>
      <c r="AH119" s="22">
        <v>186.89500000000001</v>
      </c>
      <c r="AI119" s="22">
        <v>-1.68243E-2</v>
      </c>
      <c r="AJ119" s="22">
        <v>109</v>
      </c>
      <c r="AK119" s="22">
        <v>0.44805899999999999</v>
      </c>
      <c r="AL119">
        <f t="shared" si="18"/>
        <v>16.824300000000001</v>
      </c>
      <c r="AM119">
        <f t="shared" si="19"/>
        <v>7.5526638102000003</v>
      </c>
      <c r="AP119" s="9"/>
      <c r="AQ119" s="22">
        <v>1.2911999999999999</v>
      </c>
      <c r="AR119" s="22">
        <v>236.518</v>
      </c>
      <c r="AS119" s="25">
        <v>2.6794399999999999E-5</v>
      </c>
      <c r="AT119" s="22">
        <v>109</v>
      </c>
      <c r="AU119" s="22">
        <v>7.9101599999999994E-2</v>
      </c>
      <c r="AV119">
        <f t="shared" si="20"/>
        <v>-2.6794399999999999E-2</v>
      </c>
      <c r="AW119">
        <f t="shared" si="21"/>
        <v>-3.4596929279999994E-2</v>
      </c>
      <c r="AX119" s="9"/>
      <c r="AY119" s="22">
        <v>0.44891399999999998</v>
      </c>
      <c r="AZ119" s="22">
        <v>252.578</v>
      </c>
      <c r="BA119" s="22">
        <v>-4.8165899999999999E-3</v>
      </c>
      <c r="BB119" s="22">
        <v>109</v>
      </c>
      <c r="BC119" s="22">
        <v>0.44857799999999998</v>
      </c>
      <c r="BD119">
        <f t="shared" si="22"/>
        <v>4.8165899999999997</v>
      </c>
      <c r="BE119">
        <f t="shared" si="23"/>
        <v>2.1622346832599999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1.28616</v>
      </c>
      <c r="H120" s="22">
        <v>38.306699999999999</v>
      </c>
      <c r="I120" s="22">
        <v>-1.6189599999999998E-2</v>
      </c>
      <c r="J120" s="22">
        <v>110</v>
      </c>
      <c r="K120" s="22">
        <v>1.2850999999999999</v>
      </c>
      <c r="L120">
        <f t="shared" si="12"/>
        <v>16.189599999999999</v>
      </c>
      <c r="M120">
        <f t="shared" si="13"/>
        <v>20.822415935999999</v>
      </c>
      <c r="N120" s="9"/>
      <c r="O120" s="22">
        <v>0.45394899999999999</v>
      </c>
      <c r="P120" s="22">
        <v>87.745199999999997</v>
      </c>
      <c r="Q120" s="22">
        <v>-1.67999E-2</v>
      </c>
      <c r="R120" s="22">
        <v>110</v>
      </c>
      <c r="S120" s="22">
        <v>0.45303300000000002</v>
      </c>
      <c r="T120">
        <f t="shared" si="14"/>
        <v>16.799900000000001</v>
      </c>
      <c r="U120">
        <f t="shared" si="15"/>
        <v>7.6262978051000001</v>
      </c>
      <c r="X120" s="9"/>
      <c r="Y120" s="22">
        <v>1.28616</v>
      </c>
      <c r="Z120" s="22">
        <v>137.291</v>
      </c>
      <c r="AA120" s="22">
        <v>-1.67145E-2</v>
      </c>
      <c r="AB120" s="22">
        <v>110</v>
      </c>
      <c r="AC120" s="22">
        <v>1.2835700000000001</v>
      </c>
      <c r="AD120">
        <f t="shared" si="16"/>
        <v>16.714500000000001</v>
      </c>
      <c r="AE120">
        <f t="shared" si="17"/>
        <v>21.497521320000001</v>
      </c>
      <c r="AF120" s="9"/>
      <c r="AG120" s="22">
        <v>0.45394899999999999</v>
      </c>
      <c r="AH120" s="22">
        <v>186.905</v>
      </c>
      <c r="AI120" s="22">
        <v>-1.6818199999999998E-2</v>
      </c>
      <c r="AJ120" s="22">
        <v>110</v>
      </c>
      <c r="AK120" s="22">
        <v>0.45324700000000001</v>
      </c>
      <c r="AL120">
        <f t="shared" si="18"/>
        <v>16.818199999999997</v>
      </c>
      <c r="AM120">
        <f t="shared" si="19"/>
        <v>7.6346050717999985</v>
      </c>
      <c r="AP120" s="9"/>
      <c r="AQ120" s="22">
        <v>1.28616</v>
      </c>
      <c r="AR120" s="22">
        <v>236.52799999999999</v>
      </c>
      <c r="AS120" s="25">
        <v>2.5451699999999999E-5</v>
      </c>
      <c r="AT120" s="22">
        <v>110</v>
      </c>
      <c r="AU120" s="22">
        <v>7.91626E-2</v>
      </c>
      <c r="AV120">
        <f t="shared" si="20"/>
        <v>-2.5451699999999997E-2</v>
      </c>
      <c r="AW120">
        <f t="shared" si="21"/>
        <v>-3.2734958471999996E-2</v>
      </c>
      <c r="AX120" s="9"/>
      <c r="AY120" s="22">
        <v>0.45394899999999999</v>
      </c>
      <c r="AZ120" s="22">
        <v>252.58799999999999</v>
      </c>
      <c r="BA120" s="22">
        <v>-4.7714200000000002E-3</v>
      </c>
      <c r="BB120" s="22">
        <v>110</v>
      </c>
      <c r="BC120" s="22">
        <v>0.45361299999999999</v>
      </c>
      <c r="BD120">
        <f t="shared" si="22"/>
        <v>4.77142</v>
      </c>
      <c r="BE120">
        <f t="shared" si="23"/>
        <v>2.1659813375799999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1.2811300000000001</v>
      </c>
      <c r="H121" s="22">
        <v>38.316800000000001</v>
      </c>
      <c r="I121" s="22">
        <v>-1.61957E-2</v>
      </c>
      <c r="J121" s="22">
        <v>111</v>
      </c>
      <c r="K121" s="22">
        <v>1.2799100000000001</v>
      </c>
      <c r="L121">
        <f t="shared" si="12"/>
        <v>16.195699999999999</v>
      </c>
      <c r="M121">
        <f t="shared" si="13"/>
        <v>20.748797141000001</v>
      </c>
      <c r="N121" s="9"/>
      <c r="O121" s="22">
        <v>0.458984</v>
      </c>
      <c r="P121" s="22">
        <v>87.755200000000002</v>
      </c>
      <c r="Q121" s="22">
        <v>-1.6793800000000001E-2</v>
      </c>
      <c r="R121" s="22">
        <v>111</v>
      </c>
      <c r="S121" s="22">
        <v>0.458069</v>
      </c>
      <c r="T121">
        <f t="shared" si="14"/>
        <v>16.793800000000001</v>
      </c>
      <c r="U121">
        <f t="shared" si="15"/>
        <v>7.7080854992000001</v>
      </c>
      <c r="X121" s="9"/>
      <c r="Y121" s="22">
        <v>1.2811300000000001</v>
      </c>
      <c r="Z121" s="22">
        <v>137.30099999999999</v>
      </c>
      <c r="AA121" s="22">
        <v>-1.6723600000000002E-2</v>
      </c>
      <c r="AB121" s="22">
        <v>111</v>
      </c>
      <c r="AC121" s="22">
        <v>1.2805200000000001</v>
      </c>
      <c r="AD121">
        <f t="shared" si="16"/>
        <v>16.723600000000001</v>
      </c>
      <c r="AE121">
        <f t="shared" si="17"/>
        <v>21.425105668000004</v>
      </c>
      <c r="AF121" s="9"/>
      <c r="AG121" s="22">
        <v>0.458984</v>
      </c>
      <c r="AH121" s="22">
        <v>186.91499999999999</v>
      </c>
      <c r="AI121" s="22">
        <v>-1.68121E-2</v>
      </c>
      <c r="AJ121" s="22">
        <v>111</v>
      </c>
      <c r="AK121" s="22">
        <v>0.45819100000000001</v>
      </c>
      <c r="AL121">
        <f t="shared" si="18"/>
        <v>16.812100000000001</v>
      </c>
      <c r="AM121">
        <f t="shared" si="19"/>
        <v>7.7164849064000007</v>
      </c>
      <c r="AP121" s="9"/>
      <c r="AQ121" s="22">
        <v>1.2811300000000001</v>
      </c>
      <c r="AR121" s="22">
        <v>236.53899999999999</v>
      </c>
      <c r="AS121" s="25">
        <v>2.6184099999999999E-5</v>
      </c>
      <c r="AT121" s="22">
        <v>111</v>
      </c>
      <c r="AU121" s="22">
        <v>7.91626E-2</v>
      </c>
      <c r="AV121">
        <f t="shared" si="20"/>
        <v>-2.6184099999999998E-2</v>
      </c>
      <c r="AW121">
        <f t="shared" si="21"/>
        <v>-3.3545236032999998E-2</v>
      </c>
      <c r="AX121" s="9"/>
      <c r="AY121" s="22">
        <v>0.458984</v>
      </c>
      <c r="AZ121" s="22">
        <v>252.59800000000001</v>
      </c>
      <c r="BA121" s="22">
        <v>-4.78241E-3</v>
      </c>
      <c r="BB121" s="22">
        <v>111</v>
      </c>
      <c r="BC121" s="22">
        <v>0.45864899999999997</v>
      </c>
      <c r="BD121">
        <f t="shared" si="22"/>
        <v>4.7824099999999996</v>
      </c>
      <c r="BE121">
        <f t="shared" si="23"/>
        <v>2.1950496714399996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1.2760899999999999</v>
      </c>
      <c r="H122" s="22">
        <v>38.326900000000002</v>
      </c>
      <c r="I122" s="22">
        <v>-1.6201799999999999E-2</v>
      </c>
      <c r="J122" s="22">
        <v>112</v>
      </c>
      <c r="K122" s="22">
        <v>1.27502</v>
      </c>
      <c r="L122">
        <f t="shared" si="12"/>
        <v>16.201799999999999</v>
      </c>
      <c r="M122">
        <f t="shared" si="13"/>
        <v>20.674954961999997</v>
      </c>
      <c r="N122" s="9"/>
      <c r="O122" s="22">
        <v>0.46401999999999999</v>
      </c>
      <c r="P122" s="22">
        <v>87.765299999999996</v>
      </c>
      <c r="Q122" s="22">
        <v>-1.6787699999999999E-2</v>
      </c>
      <c r="R122" s="22">
        <v>112</v>
      </c>
      <c r="S122" s="22">
        <v>0.46307399999999999</v>
      </c>
      <c r="T122">
        <f t="shared" si="14"/>
        <v>16.787699999999997</v>
      </c>
      <c r="U122">
        <f t="shared" si="15"/>
        <v>7.7898285539999987</v>
      </c>
      <c r="X122" s="9"/>
      <c r="Y122" s="22">
        <v>1.2760899999999999</v>
      </c>
      <c r="Z122" s="22">
        <v>137.31100000000001</v>
      </c>
      <c r="AA122" s="22">
        <v>-1.6732799999999999E-2</v>
      </c>
      <c r="AB122" s="22">
        <v>112</v>
      </c>
      <c r="AC122" s="22">
        <v>1.2753300000000001</v>
      </c>
      <c r="AD122">
        <f t="shared" si="16"/>
        <v>16.732799999999997</v>
      </c>
      <c r="AE122">
        <f t="shared" si="17"/>
        <v>21.352558751999997</v>
      </c>
      <c r="AF122" s="9"/>
      <c r="AG122" s="22">
        <v>0.46401999999999999</v>
      </c>
      <c r="AH122" s="22">
        <v>186.92500000000001</v>
      </c>
      <c r="AI122" s="22">
        <v>-1.68121E-2</v>
      </c>
      <c r="AJ122" s="22">
        <v>112</v>
      </c>
      <c r="AK122" s="22">
        <v>0.46313500000000002</v>
      </c>
      <c r="AL122">
        <f t="shared" si="18"/>
        <v>16.812100000000001</v>
      </c>
      <c r="AM122">
        <f t="shared" si="19"/>
        <v>7.8011506420000005</v>
      </c>
      <c r="AP122" s="9"/>
      <c r="AQ122" s="22">
        <v>1.2760899999999999</v>
      </c>
      <c r="AR122" s="22">
        <v>236.54900000000001</v>
      </c>
      <c r="AS122" s="25">
        <v>2.5604200000000001E-5</v>
      </c>
      <c r="AT122" s="22">
        <v>112</v>
      </c>
      <c r="AU122" s="22">
        <v>7.9101599999999994E-2</v>
      </c>
      <c r="AV122">
        <f t="shared" si="20"/>
        <v>-2.5604200000000001E-2</v>
      </c>
      <c r="AW122">
        <f t="shared" si="21"/>
        <v>-3.2673263577999996E-2</v>
      </c>
      <c r="AX122" s="9"/>
      <c r="AY122" s="22">
        <v>0.46401999999999999</v>
      </c>
      <c r="AZ122" s="22">
        <v>252.608</v>
      </c>
      <c r="BA122" s="22">
        <v>-5.0537100000000003E-3</v>
      </c>
      <c r="BB122" s="22">
        <v>112</v>
      </c>
      <c r="BC122" s="22">
        <v>0.463501</v>
      </c>
      <c r="BD122">
        <f t="shared" si="22"/>
        <v>5.0537100000000006</v>
      </c>
      <c r="BE122">
        <f t="shared" si="23"/>
        <v>2.3450225142000001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1.2710600000000001</v>
      </c>
      <c r="H123" s="22">
        <v>38.3369</v>
      </c>
      <c r="I123" s="22">
        <v>-1.6207900000000001E-2</v>
      </c>
      <c r="J123" s="22">
        <v>113</v>
      </c>
      <c r="K123" s="22">
        <v>1.2698400000000001</v>
      </c>
      <c r="L123">
        <f t="shared" si="12"/>
        <v>16.207900000000002</v>
      </c>
      <c r="M123">
        <f t="shared" si="13"/>
        <v>20.601213374000004</v>
      </c>
      <c r="N123" s="9"/>
      <c r="O123" s="22">
        <v>0.469055</v>
      </c>
      <c r="P123" s="22">
        <v>87.775400000000005</v>
      </c>
      <c r="Q123" s="22">
        <v>-1.67847E-2</v>
      </c>
      <c r="R123" s="22">
        <v>113</v>
      </c>
      <c r="S123" s="22">
        <v>0.46829199999999999</v>
      </c>
      <c r="T123">
        <f t="shared" si="14"/>
        <v>16.784700000000001</v>
      </c>
      <c r="U123">
        <f t="shared" si="15"/>
        <v>7.8729474585000006</v>
      </c>
      <c r="X123" s="9"/>
      <c r="Y123" s="22">
        <v>1.2710600000000001</v>
      </c>
      <c r="Z123" s="22">
        <v>137.321</v>
      </c>
      <c r="AA123" s="22">
        <v>-1.6732799999999999E-2</v>
      </c>
      <c r="AB123" s="22">
        <v>113</v>
      </c>
      <c r="AC123" s="22">
        <v>1.27014</v>
      </c>
      <c r="AD123">
        <f t="shared" si="16"/>
        <v>16.732799999999997</v>
      </c>
      <c r="AE123">
        <f t="shared" si="17"/>
        <v>21.268392767999998</v>
      </c>
      <c r="AF123" s="9"/>
      <c r="AG123" s="22">
        <v>0.469055</v>
      </c>
      <c r="AH123" s="22">
        <v>186.935</v>
      </c>
      <c r="AI123" s="22">
        <v>-1.68091E-2</v>
      </c>
      <c r="AJ123" s="22">
        <v>113</v>
      </c>
      <c r="AK123" s="22">
        <v>0.46816999999999998</v>
      </c>
      <c r="AL123">
        <f t="shared" si="18"/>
        <v>16.809100000000001</v>
      </c>
      <c r="AM123">
        <f t="shared" si="19"/>
        <v>7.8843924005000003</v>
      </c>
      <c r="AP123" s="9"/>
      <c r="AQ123" s="22">
        <v>1.2710600000000001</v>
      </c>
      <c r="AR123" s="22">
        <v>236.559</v>
      </c>
      <c r="AS123" s="25">
        <v>2.6947000000000001E-5</v>
      </c>
      <c r="AT123" s="22">
        <v>113</v>
      </c>
      <c r="AU123" s="22">
        <v>7.9101599999999994E-2</v>
      </c>
      <c r="AV123">
        <f t="shared" si="20"/>
        <v>-2.6947000000000002E-2</v>
      </c>
      <c r="AW123">
        <f t="shared" si="21"/>
        <v>-3.4251253820000008E-2</v>
      </c>
      <c r="AX123" s="9"/>
      <c r="AY123" s="22">
        <v>0.469055</v>
      </c>
      <c r="AZ123" s="22">
        <v>252.61799999999999</v>
      </c>
      <c r="BA123" s="22">
        <v>-5.2337599999999996E-3</v>
      </c>
      <c r="BB123" s="22">
        <v>113</v>
      </c>
      <c r="BC123" s="22">
        <v>0.46859699999999999</v>
      </c>
      <c r="BD123">
        <f t="shared" si="22"/>
        <v>5.2337599999999993</v>
      </c>
      <c r="BE123">
        <f t="shared" si="23"/>
        <v>2.4549212967999998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1.2660199999999999</v>
      </c>
      <c r="H124" s="22">
        <v>38.347000000000001</v>
      </c>
      <c r="I124" s="22">
        <v>-1.6207900000000001E-2</v>
      </c>
      <c r="J124" s="22">
        <v>114</v>
      </c>
      <c r="K124" s="22">
        <v>1.2652600000000001</v>
      </c>
      <c r="L124">
        <f t="shared" si="12"/>
        <v>16.207900000000002</v>
      </c>
      <c r="M124">
        <f t="shared" si="13"/>
        <v>20.519525558000002</v>
      </c>
      <c r="N124" s="9"/>
      <c r="O124" s="22">
        <v>0.47409099999999998</v>
      </c>
      <c r="P124" s="22">
        <v>87.785399999999996</v>
      </c>
      <c r="Q124" s="22">
        <v>-1.6781600000000001E-2</v>
      </c>
      <c r="R124" s="22">
        <v>114</v>
      </c>
      <c r="S124" s="22">
        <v>0.47332800000000003</v>
      </c>
      <c r="T124">
        <f t="shared" si="14"/>
        <v>16.781600000000001</v>
      </c>
      <c r="U124">
        <f t="shared" si="15"/>
        <v>7.9560055256000002</v>
      </c>
      <c r="X124" s="9"/>
      <c r="Y124" s="22">
        <v>1.2660199999999999</v>
      </c>
      <c r="Z124" s="22">
        <v>137.33099999999999</v>
      </c>
      <c r="AA124" s="22">
        <v>-1.6732799999999999E-2</v>
      </c>
      <c r="AB124" s="22">
        <v>114</v>
      </c>
      <c r="AC124" s="22">
        <v>1.2652600000000001</v>
      </c>
      <c r="AD124">
        <f t="shared" si="16"/>
        <v>16.732799999999997</v>
      </c>
      <c r="AE124">
        <f t="shared" si="17"/>
        <v>21.184059455999996</v>
      </c>
      <c r="AF124" s="9"/>
      <c r="AG124" s="22">
        <v>0.47409099999999998</v>
      </c>
      <c r="AH124" s="22">
        <v>186.94499999999999</v>
      </c>
      <c r="AI124" s="22">
        <v>-1.68091E-2</v>
      </c>
      <c r="AJ124" s="22">
        <v>114</v>
      </c>
      <c r="AK124" s="22">
        <v>0.47332800000000003</v>
      </c>
      <c r="AL124">
        <f t="shared" si="18"/>
        <v>16.809100000000001</v>
      </c>
      <c r="AM124">
        <f t="shared" si="19"/>
        <v>7.9690430280999998</v>
      </c>
      <c r="AP124" s="9"/>
      <c r="AQ124" s="22">
        <v>1.2660199999999999</v>
      </c>
      <c r="AR124" s="22">
        <v>236.56899999999999</v>
      </c>
      <c r="AS124" s="25">
        <v>3.2104499999999997E-5</v>
      </c>
      <c r="AT124" s="22">
        <v>114</v>
      </c>
      <c r="AU124" s="22">
        <v>7.9071000000000002E-2</v>
      </c>
      <c r="AV124">
        <f t="shared" si="20"/>
        <v>-3.2104499999999994E-2</v>
      </c>
      <c r="AW124">
        <f t="shared" si="21"/>
        <v>-4.0644939089999992E-2</v>
      </c>
      <c r="AX124" s="9"/>
      <c r="AY124" s="22">
        <v>0.47409099999999998</v>
      </c>
      <c r="AZ124" s="22">
        <v>252.62899999999999</v>
      </c>
      <c r="BA124" s="22">
        <v>-5.0323499999999997E-3</v>
      </c>
      <c r="BB124" s="22">
        <v>114</v>
      </c>
      <c r="BC124" s="22">
        <v>0.47381600000000001</v>
      </c>
      <c r="BD124">
        <f t="shared" si="22"/>
        <v>5.0323500000000001</v>
      </c>
      <c r="BE124">
        <f t="shared" si="23"/>
        <v>2.3857918438499999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1.2609900000000001</v>
      </c>
      <c r="H125" s="22">
        <v>38.357100000000003</v>
      </c>
      <c r="I125" s="22">
        <v>-1.62109E-2</v>
      </c>
      <c r="J125" s="22">
        <v>115</v>
      </c>
      <c r="K125" s="22">
        <v>1.2603800000000001</v>
      </c>
      <c r="L125">
        <f t="shared" si="12"/>
        <v>16.210899999999999</v>
      </c>
      <c r="M125">
        <f t="shared" si="13"/>
        <v>20.441782790999998</v>
      </c>
      <c r="N125" s="9"/>
      <c r="O125" s="22">
        <v>0.479126</v>
      </c>
      <c r="P125" s="22">
        <v>87.795500000000004</v>
      </c>
      <c r="Q125" s="22">
        <v>-1.6778600000000001E-2</v>
      </c>
      <c r="R125" s="22">
        <v>115</v>
      </c>
      <c r="S125" s="22">
        <v>0.47824100000000003</v>
      </c>
      <c r="T125">
        <f t="shared" si="14"/>
        <v>16.778600000000001</v>
      </c>
      <c r="U125">
        <f t="shared" si="15"/>
        <v>8.0390635035999995</v>
      </c>
      <c r="X125" s="9"/>
      <c r="Y125" s="22">
        <v>1.2609900000000001</v>
      </c>
      <c r="Z125" s="22">
        <v>137.34100000000001</v>
      </c>
      <c r="AA125" s="22">
        <v>-1.6735799999999999E-2</v>
      </c>
      <c r="AB125" s="22">
        <v>115</v>
      </c>
      <c r="AC125" s="22">
        <v>1.26007</v>
      </c>
      <c r="AD125">
        <f t="shared" si="16"/>
        <v>16.735799999999998</v>
      </c>
      <c r="AE125">
        <f t="shared" si="17"/>
        <v>21.103676441999998</v>
      </c>
      <c r="AF125" s="9"/>
      <c r="AG125" s="22">
        <v>0.479126</v>
      </c>
      <c r="AH125" s="22">
        <v>186.95500000000001</v>
      </c>
      <c r="AI125" s="22">
        <v>-1.68121E-2</v>
      </c>
      <c r="AJ125" s="22">
        <v>115</v>
      </c>
      <c r="AK125" s="22">
        <v>0.47821000000000002</v>
      </c>
      <c r="AL125">
        <f t="shared" si="18"/>
        <v>16.812100000000001</v>
      </c>
      <c r="AM125">
        <f t="shared" si="19"/>
        <v>8.0551142246000005</v>
      </c>
      <c r="AP125" s="9"/>
      <c r="AQ125" s="22">
        <v>1.2609900000000001</v>
      </c>
      <c r="AR125" s="22">
        <v>236.57900000000001</v>
      </c>
      <c r="AS125" s="25">
        <v>2.7313200000000001E-5</v>
      </c>
      <c r="AT125" s="22">
        <v>115</v>
      </c>
      <c r="AU125" s="22">
        <v>7.9071000000000002E-2</v>
      </c>
      <c r="AV125">
        <f t="shared" si="20"/>
        <v>-2.7313200000000003E-2</v>
      </c>
      <c r="AW125">
        <f t="shared" si="21"/>
        <v>-3.4441672068000008E-2</v>
      </c>
      <c r="AX125" s="9"/>
      <c r="AY125" s="22">
        <v>0.479126</v>
      </c>
      <c r="AZ125" s="22">
        <v>252.63900000000001</v>
      </c>
      <c r="BA125" s="22">
        <v>-4.6362299999999999E-3</v>
      </c>
      <c r="BB125" s="22">
        <v>115</v>
      </c>
      <c r="BC125" s="22">
        <v>0.47885100000000003</v>
      </c>
      <c r="BD125">
        <f t="shared" si="22"/>
        <v>4.6362300000000003</v>
      </c>
      <c r="BE125">
        <f t="shared" si="23"/>
        <v>2.22133833498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1.2559499999999999</v>
      </c>
      <c r="H126" s="22">
        <v>38.367199999999997</v>
      </c>
      <c r="I126" s="22">
        <v>-1.6216999999999999E-2</v>
      </c>
      <c r="J126" s="22">
        <v>116</v>
      </c>
      <c r="K126" s="22">
        <v>1.25488</v>
      </c>
      <c r="L126">
        <f t="shared" si="12"/>
        <v>16.216999999999999</v>
      </c>
      <c r="M126">
        <f t="shared" si="13"/>
        <v>20.367741149999997</v>
      </c>
      <c r="N126" s="9"/>
      <c r="O126" s="22">
        <v>0.48416100000000001</v>
      </c>
      <c r="P126" s="22">
        <v>87.805599999999998</v>
      </c>
      <c r="Q126" s="22">
        <v>-1.6778600000000001E-2</v>
      </c>
      <c r="R126" s="22">
        <v>116</v>
      </c>
      <c r="S126" s="22">
        <v>0.48339799999999999</v>
      </c>
      <c r="T126">
        <f t="shared" si="14"/>
        <v>16.778600000000001</v>
      </c>
      <c r="U126">
        <f t="shared" si="15"/>
        <v>8.1235437546</v>
      </c>
      <c r="X126" s="9"/>
      <c r="Y126" s="22">
        <v>1.2559499999999999</v>
      </c>
      <c r="Z126" s="22">
        <v>137.351</v>
      </c>
      <c r="AA126" s="22">
        <v>-1.6741900000000001E-2</v>
      </c>
      <c r="AB126" s="22">
        <v>116</v>
      </c>
      <c r="AC126" s="22">
        <v>1.25214</v>
      </c>
      <c r="AD126">
        <f t="shared" si="16"/>
        <v>16.741900000000001</v>
      </c>
      <c r="AE126">
        <f t="shared" si="17"/>
        <v>21.026989305000001</v>
      </c>
      <c r="AF126" s="9"/>
      <c r="AG126" s="22">
        <v>0.48416100000000001</v>
      </c>
      <c r="AH126" s="22">
        <v>186.965</v>
      </c>
      <c r="AI126" s="22">
        <v>-1.68091E-2</v>
      </c>
      <c r="AJ126" s="22">
        <v>116</v>
      </c>
      <c r="AK126" s="22">
        <v>0.48333700000000002</v>
      </c>
      <c r="AL126">
        <f t="shared" si="18"/>
        <v>16.809100000000001</v>
      </c>
      <c r="AM126">
        <f t="shared" si="19"/>
        <v>8.1383106651000006</v>
      </c>
      <c r="AP126" s="9"/>
      <c r="AQ126" s="22">
        <v>1.2559499999999999</v>
      </c>
      <c r="AR126" s="22">
        <v>236.589</v>
      </c>
      <c r="AS126" s="25">
        <v>2.5726300000000001E-5</v>
      </c>
      <c r="AT126" s="22">
        <v>116</v>
      </c>
      <c r="AU126" s="22">
        <v>7.90405E-2</v>
      </c>
      <c r="AV126">
        <f t="shared" si="20"/>
        <v>-2.5726300000000001E-2</v>
      </c>
      <c r="AW126">
        <f t="shared" si="21"/>
        <v>-3.2310946484999999E-2</v>
      </c>
      <c r="AX126" s="9"/>
      <c r="AY126" s="22">
        <v>0.48416100000000001</v>
      </c>
      <c r="AZ126" s="22">
        <v>252.649</v>
      </c>
      <c r="BA126" s="22">
        <v>-4.6777299999999997E-3</v>
      </c>
      <c r="BB126" s="22">
        <v>116</v>
      </c>
      <c r="BC126" s="22">
        <v>0.48370400000000002</v>
      </c>
      <c r="BD126">
        <f t="shared" si="22"/>
        <v>4.6777299999999995</v>
      </c>
      <c r="BE126">
        <f t="shared" si="23"/>
        <v>2.2647744345299996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1.25092</v>
      </c>
      <c r="H127" s="22">
        <v>38.377200000000002</v>
      </c>
      <c r="I127" s="22">
        <v>-1.6223100000000001E-2</v>
      </c>
      <c r="J127" s="22">
        <v>117</v>
      </c>
      <c r="K127" s="22">
        <v>1.25031</v>
      </c>
      <c r="L127">
        <f t="shared" si="12"/>
        <v>16.223100000000002</v>
      </c>
      <c r="M127">
        <f t="shared" si="13"/>
        <v>20.293800252000004</v>
      </c>
      <c r="N127" s="9"/>
      <c r="O127" s="22">
        <v>0.48919699999999999</v>
      </c>
      <c r="P127" s="22">
        <v>87.815700000000007</v>
      </c>
      <c r="Q127" s="22">
        <v>-1.6778600000000001E-2</v>
      </c>
      <c r="R127" s="22">
        <v>117</v>
      </c>
      <c r="S127" s="22">
        <v>0.48828100000000002</v>
      </c>
      <c r="T127">
        <f t="shared" si="14"/>
        <v>16.778600000000001</v>
      </c>
      <c r="U127">
        <f t="shared" si="15"/>
        <v>8.2080407841999996</v>
      </c>
      <c r="X127" s="9"/>
      <c r="Y127" s="22">
        <v>1.25092</v>
      </c>
      <c r="Z127" s="22">
        <v>137.36099999999999</v>
      </c>
      <c r="AA127" s="22">
        <v>-1.6747999999999999E-2</v>
      </c>
      <c r="AB127" s="22">
        <v>117</v>
      </c>
      <c r="AC127" s="22">
        <v>1.24969</v>
      </c>
      <c r="AD127">
        <f t="shared" si="16"/>
        <v>16.747999999999998</v>
      </c>
      <c r="AE127">
        <f t="shared" si="17"/>
        <v>20.950408159999999</v>
      </c>
      <c r="AF127" s="9"/>
      <c r="AG127" s="22">
        <v>0.48919699999999999</v>
      </c>
      <c r="AH127" s="22">
        <v>186.976</v>
      </c>
      <c r="AI127" s="22">
        <v>-1.68091E-2</v>
      </c>
      <c r="AJ127" s="22">
        <v>117</v>
      </c>
      <c r="AK127" s="22">
        <v>0.488342</v>
      </c>
      <c r="AL127">
        <f t="shared" si="18"/>
        <v>16.809100000000001</v>
      </c>
      <c r="AM127">
        <f t="shared" si="19"/>
        <v>8.2229612927000009</v>
      </c>
      <c r="AP127" s="9"/>
      <c r="AQ127" s="22">
        <v>1.25092</v>
      </c>
      <c r="AR127" s="22">
        <v>236.59899999999999</v>
      </c>
      <c r="AS127" s="25">
        <v>2.59094E-5</v>
      </c>
      <c r="AT127" s="22">
        <v>117</v>
      </c>
      <c r="AU127" s="22">
        <v>7.9071000000000002E-2</v>
      </c>
      <c r="AV127">
        <f t="shared" si="20"/>
        <v>-2.5909399999999999E-2</v>
      </c>
      <c r="AW127">
        <f t="shared" si="21"/>
        <v>-3.2410586647999999E-2</v>
      </c>
      <c r="AX127" s="9"/>
      <c r="AY127" s="22">
        <v>0.48919699999999999</v>
      </c>
      <c r="AZ127" s="22">
        <v>252.65899999999999</v>
      </c>
      <c r="BA127" s="22">
        <v>-4.6374500000000004E-3</v>
      </c>
      <c r="BB127" s="22">
        <v>117</v>
      </c>
      <c r="BC127" s="22">
        <v>0.48873899999999998</v>
      </c>
      <c r="BD127">
        <f t="shared" si="22"/>
        <v>4.6374500000000003</v>
      </c>
      <c r="BE127">
        <f t="shared" si="23"/>
        <v>2.2686266276500002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1.2458800000000001</v>
      </c>
      <c r="H128" s="22">
        <v>38.387300000000003</v>
      </c>
      <c r="I128" s="22">
        <v>-1.6229199999999999E-2</v>
      </c>
      <c r="J128" s="22">
        <v>118</v>
      </c>
      <c r="K128" s="22">
        <v>1.2442</v>
      </c>
      <c r="L128">
        <f t="shared" si="12"/>
        <v>16.229199999999999</v>
      </c>
      <c r="M128">
        <f t="shared" si="13"/>
        <v>20.219635696000001</v>
      </c>
      <c r="N128" s="9"/>
      <c r="O128" s="22">
        <v>0.494232</v>
      </c>
      <c r="P128" s="22">
        <v>87.825699999999998</v>
      </c>
      <c r="Q128" s="22">
        <v>-1.67694E-2</v>
      </c>
      <c r="R128" s="22">
        <v>118</v>
      </c>
      <c r="S128" s="22">
        <v>0.49343900000000002</v>
      </c>
      <c r="T128">
        <f t="shared" si="14"/>
        <v>16.769400000000001</v>
      </c>
      <c r="U128">
        <f t="shared" si="15"/>
        <v>8.2879741008000014</v>
      </c>
      <c r="X128" s="9"/>
      <c r="Y128" s="22">
        <v>1.2458800000000001</v>
      </c>
      <c r="Z128" s="22">
        <v>137.37100000000001</v>
      </c>
      <c r="AA128" s="22">
        <v>-1.67542E-2</v>
      </c>
      <c r="AB128" s="22">
        <v>118</v>
      </c>
      <c r="AC128" s="22">
        <v>1.24451</v>
      </c>
      <c r="AD128">
        <f t="shared" si="16"/>
        <v>16.754200000000001</v>
      </c>
      <c r="AE128">
        <f t="shared" si="17"/>
        <v>20.873722696000002</v>
      </c>
      <c r="AF128" s="9"/>
      <c r="AG128" s="22">
        <v>0.494232</v>
      </c>
      <c r="AH128" s="22">
        <v>186.98599999999999</v>
      </c>
      <c r="AI128" s="22">
        <v>-1.6806000000000001E-2</v>
      </c>
      <c r="AJ128" s="22">
        <v>118</v>
      </c>
      <c r="AK128" s="22">
        <v>0.49334699999999998</v>
      </c>
      <c r="AL128">
        <f t="shared" si="18"/>
        <v>16.806000000000001</v>
      </c>
      <c r="AM128">
        <f t="shared" si="19"/>
        <v>8.3060629920000011</v>
      </c>
      <c r="AP128" s="9"/>
      <c r="AQ128" s="22">
        <v>1.2458800000000001</v>
      </c>
      <c r="AR128" s="22">
        <v>236.60900000000001</v>
      </c>
      <c r="AS128" s="25">
        <v>2.46887E-5</v>
      </c>
      <c r="AT128" s="22">
        <v>118</v>
      </c>
      <c r="AU128" s="22">
        <v>7.9071000000000002E-2</v>
      </c>
      <c r="AV128">
        <f t="shared" si="20"/>
        <v>-2.4688700000000001E-2</v>
      </c>
      <c r="AW128">
        <f t="shared" si="21"/>
        <v>-3.0759157556000005E-2</v>
      </c>
      <c r="AX128" s="9"/>
      <c r="AY128" s="22">
        <v>0.494232</v>
      </c>
      <c r="AZ128" s="22">
        <v>252.66900000000001</v>
      </c>
      <c r="BA128" s="22">
        <v>-4.71069E-3</v>
      </c>
      <c r="BB128" s="22">
        <v>118</v>
      </c>
      <c r="BC128" s="22">
        <v>0.493896</v>
      </c>
      <c r="BD128">
        <f t="shared" si="22"/>
        <v>4.7106899999999996</v>
      </c>
      <c r="BE128">
        <f t="shared" si="23"/>
        <v>2.32817374008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1.2408399999999999</v>
      </c>
      <c r="H129" s="22">
        <v>38.397399999999998</v>
      </c>
      <c r="I129" s="22">
        <v>-1.6235400000000001E-2</v>
      </c>
      <c r="J129" s="22">
        <v>119</v>
      </c>
      <c r="K129" s="22">
        <v>1.2396199999999999</v>
      </c>
      <c r="L129">
        <f t="shared" si="12"/>
        <v>16.235400000000002</v>
      </c>
      <c r="M129">
        <f t="shared" si="13"/>
        <v>20.145533736000001</v>
      </c>
      <c r="N129" s="9"/>
      <c r="O129" s="22">
        <v>0.49926799999999999</v>
      </c>
      <c r="P129" s="22">
        <v>87.835800000000006</v>
      </c>
      <c r="Q129" s="22">
        <v>-1.6766400000000001E-2</v>
      </c>
      <c r="R129" s="22">
        <v>119</v>
      </c>
      <c r="S129" s="22">
        <v>0.49847399999999997</v>
      </c>
      <c r="T129">
        <f t="shared" si="14"/>
        <v>16.766400000000001</v>
      </c>
      <c r="U129">
        <f t="shared" si="15"/>
        <v>8.3709269951999996</v>
      </c>
      <c r="X129" s="9"/>
      <c r="Y129" s="22">
        <v>1.2408399999999999</v>
      </c>
      <c r="Z129" s="22">
        <v>137.381</v>
      </c>
      <c r="AA129" s="22">
        <v>-1.6760299999999999E-2</v>
      </c>
      <c r="AB129" s="22">
        <v>119</v>
      </c>
      <c r="AC129" s="22">
        <v>1.24054</v>
      </c>
      <c r="AD129">
        <f t="shared" si="16"/>
        <v>16.760299999999997</v>
      </c>
      <c r="AE129">
        <f t="shared" si="17"/>
        <v>20.796850651999996</v>
      </c>
      <c r="AF129" s="9"/>
      <c r="AG129" s="22">
        <v>0.49926799999999999</v>
      </c>
      <c r="AH129" s="22">
        <v>186.99600000000001</v>
      </c>
      <c r="AI129" s="22">
        <v>-1.6806000000000001E-2</v>
      </c>
      <c r="AJ129" s="22">
        <v>119</v>
      </c>
      <c r="AK129" s="22">
        <v>0.49835200000000002</v>
      </c>
      <c r="AL129">
        <f t="shared" si="18"/>
        <v>16.806000000000001</v>
      </c>
      <c r="AM129">
        <f t="shared" si="19"/>
        <v>8.3906980080000011</v>
      </c>
      <c r="AP129" s="9"/>
      <c r="AQ129" s="22">
        <v>1.2408399999999999</v>
      </c>
      <c r="AR129" s="22">
        <v>236.619</v>
      </c>
      <c r="AS129" s="25">
        <v>2.96936E-5</v>
      </c>
      <c r="AT129" s="22">
        <v>119</v>
      </c>
      <c r="AU129" s="22">
        <v>7.9101599999999994E-2</v>
      </c>
      <c r="AV129">
        <f t="shared" si="20"/>
        <v>-2.9693600000000001E-2</v>
      </c>
      <c r="AW129">
        <f t="shared" si="21"/>
        <v>-3.6845006623999997E-2</v>
      </c>
      <c r="AX129" s="9"/>
      <c r="AY129" s="22">
        <v>0.49926799999999999</v>
      </c>
      <c r="AZ129" s="22">
        <v>252.679</v>
      </c>
      <c r="BA129" s="22">
        <v>-4.4162000000000003E-3</v>
      </c>
      <c r="BB129" s="22">
        <v>119</v>
      </c>
      <c r="BC129" s="22">
        <v>0.49890099999999998</v>
      </c>
      <c r="BD129">
        <f t="shared" si="22"/>
        <v>4.4161999999999999</v>
      </c>
      <c r="BE129">
        <f t="shared" si="23"/>
        <v>2.2048673416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1.2358100000000001</v>
      </c>
      <c r="H130" s="22">
        <v>38.407400000000003</v>
      </c>
      <c r="I130" s="22">
        <v>-1.6244499999999999E-2</v>
      </c>
      <c r="J130" s="22">
        <v>120</v>
      </c>
      <c r="K130" s="22">
        <v>1.2347399999999999</v>
      </c>
      <c r="L130">
        <f t="shared" si="12"/>
        <v>16.244499999999999</v>
      </c>
      <c r="M130">
        <f t="shared" si="13"/>
        <v>20.075115544999999</v>
      </c>
      <c r="N130" s="9"/>
      <c r="O130" s="22">
        <v>0.50430299999999995</v>
      </c>
      <c r="P130" s="22">
        <v>87.8459</v>
      </c>
      <c r="Q130" s="22">
        <v>-1.6760299999999999E-2</v>
      </c>
      <c r="R130" s="22">
        <v>120</v>
      </c>
      <c r="S130" s="22">
        <v>0.50344800000000001</v>
      </c>
      <c r="T130">
        <f t="shared" si="14"/>
        <v>16.760299999999997</v>
      </c>
      <c r="U130">
        <f t="shared" si="15"/>
        <v>8.4522695708999969</v>
      </c>
      <c r="X130" s="9"/>
      <c r="Y130" s="22">
        <v>1.2358100000000001</v>
      </c>
      <c r="Z130" s="22">
        <v>137.39099999999999</v>
      </c>
      <c r="AA130" s="22">
        <v>-1.6766400000000001E-2</v>
      </c>
      <c r="AB130" s="22">
        <v>120</v>
      </c>
      <c r="AC130" s="22">
        <v>1.2347399999999999</v>
      </c>
      <c r="AD130">
        <f t="shared" si="16"/>
        <v>16.766400000000001</v>
      </c>
      <c r="AE130">
        <f t="shared" si="17"/>
        <v>20.720084784000001</v>
      </c>
      <c r="AF130" s="9"/>
      <c r="AG130" s="22">
        <v>0.50430299999999995</v>
      </c>
      <c r="AH130" s="22">
        <v>187.006</v>
      </c>
      <c r="AI130" s="22">
        <v>-1.6806000000000001E-2</v>
      </c>
      <c r="AJ130" s="22">
        <v>120</v>
      </c>
      <c r="AK130" s="22">
        <v>0.50351000000000001</v>
      </c>
      <c r="AL130">
        <f t="shared" si="18"/>
        <v>16.806000000000001</v>
      </c>
      <c r="AM130">
        <f t="shared" si="19"/>
        <v>8.4753162179999997</v>
      </c>
      <c r="AP130" s="9"/>
      <c r="AQ130" s="22">
        <v>1.2358100000000001</v>
      </c>
      <c r="AR130" s="22">
        <v>236.62899999999999</v>
      </c>
      <c r="AS130" s="25">
        <v>2.5268600000000001E-5</v>
      </c>
      <c r="AT130" s="22">
        <v>120</v>
      </c>
      <c r="AU130" s="22">
        <v>7.9071000000000002E-2</v>
      </c>
      <c r="AV130">
        <f t="shared" si="20"/>
        <v>-2.5268600000000002E-2</v>
      </c>
      <c r="AW130">
        <f t="shared" si="21"/>
        <v>-3.1227188566000003E-2</v>
      </c>
      <c r="AX130" s="9"/>
      <c r="AY130" s="22">
        <v>0.50430299999999995</v>
      </c>
      <c r="AZ130" s="22">
        <v>252.68899999999999</v>
      </c>
      <c r="BA130" s="22">
        <v>-4.3826300000000002E-3</v>
      </c>
      <c r="BB130" s="22">
        <v>120</v>
      </c>
      <c r="BC130" s="22">
        <v>0.50384499999999999</v>
      </c>
      <c r="BD130">
        <f t="shared" si="22"/>
        <v>4.3826299999999998</v>
      </c>
      <c r="BE130">
        <f t="shared" si="23"/>
        <v>2.2101734568899998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1.2307699999999999</v>
      </c>
      <c r="H131" s="22">
        <v>38.417499999999997</v>
      </c>
      <c r="I131" s="22">
        <v>-1.6247600000000001E-2</v>
      </c>
      <c r="J131" s="22">
        <v>121</v>
      </c>
      <c r="K131" s="22">
        <v>1.2301599999999999</v>
      </c>
      <c r="L131">
        <f t="shared" si="12"/>
        <v>16.247600000000002</v>
      </c>
      <c r="M131">
        <f t="shared" si="13"/>
        <v>19.997058652</v>
      </c>
      <c r="N131" s="9"/>
      <c r="O131" s="22">
        <v>0.50933799999999996</v>
      </c>
      <c r="P131" s="22">
        <v>87.855900000000005</v>
      </c>
      <c r="Q131" s="22">
        <v>-1.67572E-2</v>
      </c>
      <c r="R131" s="22">
        <v>121</v>
      </c>
      <c r="S131" s="22">
        <v>0.50833099999999998</v>
      </c>
      <c r="T131">
        <f t="shared" si="14"/>
        <v>16.757200000000001</v>
      </c>
      <c r="U131">
        <f t="shared" si="15"/>
        <v>8.5350787335999989</v>
      </c>
      <c r="X131" s="9"/>
      <c r="Y131" s="22">
        <v>1.2307699999999999</v>
      </c>
      <c r="Z131" s="22">
        <v>137.40100000000001</v>
      </c>
      <c r="AA131" s="22">
        <v>-1.67694E-2</v>
      </c>
      <c r="AB131" s="22">
        <v>121</v>
      </c>
      <c r="AC131" s="22">
        <v>1.2295499999999999</v>
      </c>
      <c r="AD131">
        <f t="shared" si="16"/>
        <v>16.769400000000001</v>
      </c>
      <c r="AE131">
        <f t="shared" si="17"/>
        <v>20.639274438000001</v>
      </c>
      <c r="AF131" s="9"/>
      <c r="AG131" s="22">
        <v>0.50933799999999996</v>
      </c>
      <c r="AH131" s="22">
        <v>187.01599999999999</v>
      </c>
      <c r="AI131" s="22">
        <v>-1.67999E-2</v>
      </c>
      <c r="AJ131" s="22">
        <v>121</v>
      </c>
      <c r="AK131" s="22">
        <v>0.50839199999999996</v>
      </c>
      <c r="AL131">
        <f t="shared" si="18"/>
        <v>16.799900000000001</v>
      </c>
      <c r="AM131">
        <f t="shared" si="19"/>
        <v>8.5568274661999997</v>
      </c>
      <c r="AP131" s="9"/>
      <c r="AQ131" s="22">
        <v>1.2307699999999999</v>
      </c>
      <c r="AR131" s="22">
        <v>236.63900000000001</v>
      </c>
      <c r="AS131" s="25">
        <v>2.4292000000000001E-5</v>
      </c>
      <c r="AT131" s="22">
        <v>121</v>
      </c>
      <c r="AU131" s="22">
        <v>7.90405E-2</v>
      </c>
      <c r="AV131">
        <f t="shared" si="20"/>
        <v>-2.4292000000000001E-2</v>
      </c>
      <c r="AW131">
        <f t="shared" si="21"/>
        <v>-2.989786484E-2</v>
      </c>
      <c r="AX131" s="9"/>
      <c r="AY131" s="22">
        <v>0.50933799999999996</v>
      </c>
      <c r="AZ131" s="22">
        <v>252.69900000000001</v>
      </c>
      <c r="BA131" s="22">
        <v>-4.4430499999999996E-3</v>
      </c>
      <c r="BB131" s="22">
        <v>121</v>
      </c>
      <c r="BC131" s="22">
        <v>0.50897199999999998</v>
      </c>
      <c r="BD131">
        <f t="shared" si="22"/>
        <v>4.4430499999999995</v>
      </c>
      <c r="BE131">
        <f t="shared" si="23"/>
        <v>2.2630142008999994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1.2257400000000001</v>
      </c>
      <c r="H132" s="22">
        <v>38.427599999999998</v>
      </c>
      <c r="I132" s="22">
        <v>-1.6256699999999999E-2</v>
      </c>
      <c r="J132" s="22">
        <v>122</v>
      </c>
      <c r="K132" s="22">
        <v>1.22437</v>
      </c>
      <c r="L132">
        <f t="shared" si="12"/>
        <v>16.256699999999999</v>
      </c>
      <c r="M132">
        <f t="shared" si="13"/>
        <v>19.926487458</v>
      </c>
      <c r="N132" s="9"/>
      <c r="O132" s="22">
        <v>0.514374</v>
      </c>
      <c r="P132" s="22">
        <v>87.866</v>
      </c>
      <c r="Q132" s="22">
        <v>-1.67542E-2</v>
      </c>
      <c r="R132" s="22">
        <v>122</v>
      </c>
      <c r="S132" s="22">
        <v>0.51336700000000002</v>
      </c>
      <c r="T132">
        <f t="shared" si="14"/>
        <v>16.754200000000001</v>
      </c>
      <c r="U132">
        <f t="shared" si="15"/>
        <v>8.6179248707999996</v>
      </c>
      <c r="X132" s="9"/>
      <c r="Y132" s="22">
        <v>1.2257400000000001</v>
      </c>
      <c r="Z132" s="22">
        <v>137.411</v>
      </c>
      <c r="AA132" s="22">
        <v>-1.6772499999999999E-2</v>
      </c>
      <c r="AB132" s="22">
        <v>122</v>
      </c>
      <c r="AC132" s="22">
        <v>1.22498</v>
      </c>
      <c r="AD132">
        <f t="shared" si="16"/>
        <v>16.772500000000001</v>
      </c>
      <c r="AE132">
        <f t="shared" si="17"/>
        <v>20.558724150000003</v>
      </c>
      <c r="AF132" s="9"/>
      <c r="AG132" s="22">
        <v>0.514374</v>
      </c>
      <c r="AH132" s="22">
        <v>187.02600000000001</v>
      </c>
      <c r="AI132" s="22">
        <v>-1.6793800000000001E-2</v>
      </c>
      <c r="AJ132" s="22">
        <v>122</v>
      </c>
      <c r="AK132" s="22">
        <v>0.513428</v>
      </c>
      <c r="AL132">
        <f t="shared" si="18"/>
        <v>16.793800000000001</v>
      </c>
      <c r="AM132">
        <f t="shared" si="19"/>
        <v>8.6382940811999998</v>
      </c>
      <c r="AP132" s="9"/>
      <c r="AQ132" s="22">
        <v>1.2257400000000001</v>
      </c>
      <c r="AR132" s="22">
        <v>236.649</v>
      </c>
      <c r="AS132" s="25">
        <v>2.35901E-5</v>
      </c>
      <c r="AT132" s="22">
        <v>122</v>
      </c>
      <c r="AU132" s="22">
        <v>7.9071000000000002E-2</v>
      </c>
      <c r="AV132">
        <f t="shared" si="20"/>
        <v>-2.3590099999999999E-2</v>
      </c>
      <c r="AW132">
        <f t="shared" si="21"/>
        <v>-2.8915329174000002E-2</v>
      </c>
      <c r="AX132" s="9"/>
      <c r="AY132" s="22">
        <v>0.514374</v>
      </c>
      <c r="AZ132" s="22">
        <v>252.709</v>
      </c>
      <c r="BA132" s="22">
        <v>-4.3502799999999998E-3</v>
      </c>
      <c r="BB132" s="22">
        <v>122</v>
      </c>
      <c r="BC132" s="22">
        <v>0.51400800000000002</v>
      </c>
      <c r="BD132">
        <f t="shared" si="22"/>
        <v>4.3502799999999997</v>
      </c>
      <c r="BE132">
        <f t="shared" si="23"/>
        <v>2.2376709247199997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1.2206999999999999</v>
      </c>
      <c r="H133" s="22">
        <v>38.437600000000003</v>
      </c>
      <c r="I133" s="22">
        <v>-1.6259800000000001E-2</v>
      </c>
      <c r="J133" s="22">
        <v>123</v>
      </c>
      <c r="K133" s="22">
        <v>1.2194799999999999</v>
      </c>
      <c r="L133">
        <f t="shared" si="12"/>
        <v>16.259800000000002</v>
      </c>
      <c r="M133">
        <f t="shared" si="13"/>
        <v>19.848337860000001</v>
      </c>
      <c r="N133" s="9"/>
      <c r="O133" s="22">
        <v>0.51940900000000001</v>
      </c>
      <c r="P133" s="22">
        <v>87.876099999999994</v>
      </c>
      <c r="Q133" s="22">
        <v>-1.6744999999999999E-2</v>
      </c>
      <c r="R133" s="22">
        <v>123</v>
      </c>
      <c r="S133" s="22">
        <v>0.51840200000000003</v>
      </c>
      <c r="T133">
        <f t="shared" si="14"/>
        <v>16.745000000000001</v>
      </c>
      <c r="U133">
        <f t="shared" si="15"/>
        <v>8.6975037050000008</v>
      </c>
      <c r="X133" s="9"/>
      <c r="Y133" s="22">
        <v>1.2206999999999999</v>
      </c>
      <c r="Z133" s="22">
        <v>137.422</v>
      </c>
      <c r="AA133" s="22">
        <v>-1.6778600000000001E-2</v>
      </c>
      <c r="AB133" s="22">
        <v>123</v>
      </c>
      <c r="AC133" s="22">
        <v>1.2197899999999999</v>
      </c>
      <c r="AD133">
        <f t="shared" si="16"/>
        <v>16.778600000000001</v>
      </c>
      <c r="AE133">
        <f t="shared" si="17"/>
        <v>20.481637020000001</v>
      </c>
      <c r="AF133" s="9"/>
      <c r="AG133" s="22">
        <v>0.51940900000000001</v>
      </c>
      <c r="AH133" s="22">
        <v>187.036</v>
      </c>
      <c r="AI133" s="22">
        <v>-1.6787699999999999E-2</v>
      </c>
      <c r="AJ133" s="22">
        <v>123</v>
      </c>
      <c r="AK133" s="22">
        <v>0.51864600000000005</v>
      </c>
      <c r="AL133">
        <f t="shared" si="18"/>
        <v>16.787699999999997</v>
      </c>
      <c r="AM133">
        <f t="shared" si="19"/>
        <v>8.7196824692999986</v>
      </c>
      <c r="AP133" s="9"/>
      <c r="AQ133" s="22">
        <v>1.2206999999999999</v>
      </c>
      <c r="AR133" s="22">
        <v>236.65899999999999</v>
      </c>
      <c r="AS133" s="25">
        <v>2.4230999999999999E-5</v>
      </c>
      <c r="AT133" s="22">
        <v>123</v>
      </c>
      <c r="AU133" s="22">
        <v>7.9132099999999997E-2</v>
      </c>
      <c r="AV133">
        <f t="shared" si="20"/>
        <v>-2.4230999999999999E-2</v>
      </c>
      <c r="AW133">
        <f t="shared" si="21"/>
        <v>-2.9578781699999997E-2</v>
      </c>
      <c r="AX133" s="9"/>
      <c r="AY133" s="22">
        <v>0.51940900000000001</v>
      </c>
      <c r="AZ133" s="22">
        <v>252.71899999999999</v>
      </c>
      <c r="BA133" s="22">
        <v>-4.4833399999999997E-3</v>
      </c>
      <c r="BB133" s="22">
        <v>123</v>
      </c>
      <c r="BC133" s="22">
        <v>0.51895100000000005</v>
      </c>
      <c r="BD133">
        <f t="shared" si="22"/>
        <v>4.4833400000000001</v>
      </c>
      <c r="BE133">
        <f t="shared" si="23"/>
        <v>2.32868714606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1.21567</v>
      </c>
      <c r="H134" s="22">
        <v>38.447699999999998</v>
      </c>
      <c r="I134" s="22">
        <v>-1.62659E-2</v>
      </c>
      <c r="J134" s="22">
        <v>124</v>
      </c>
      <c r="K134" s="22">
        <v>1.2145999999999999</v>
      </c>
      <c r="L134">
        <f t="shared" si="12"/>
        <v>16.265899999999998</v>
      </c>
      <c r="M134">
        <f t="shared" si="13"/>
        <v>19.773966652999999</v>
      </c>
      <c r="N134" s="9"/>
      <c r="O134" s="22">
        <v>0.52444500000000005</v>
      </c>
      <c r="P134" s="22">
        <v>87.886099999999999</v>
      </c>
      <c r="Q134" s="22">
        <v>-1.6741900000000001E-2</v>
      </c>
      <c r="R134" s="22">
        <v>124</v>
      </c>
      <c r="S134" s="22">
        <v>0.52337599999999995</v>
      </c>
      <c r="T134">
        <f t="shared" si="14"/>
        <v>16.741900000000001</v>
      </c>
      <c r="U134">
        <f t="shared" si="15"/>
        <v>8.7802057455000018</v>
      </c>
      <c r="X134" s="9"/>
      <c r="Y134" s="22">
        <v>1.21567</v>
      </c>
      <c r="Z134" s="22">
        <v>137.43199999999999</v>
      </c>
      <c r="AA134" s="22">
        <v>-1.6781600000000001E-2</v>
      </c>
      <c r="AB134" s="22">
        <v>124</v>
      </c>
      <c r="AC134" s="22">
        <v>1.2142900000000001</v>
      </c>
      <c r="AD134">
        <f t="shared" si="16"/>
        <v>16.781600000000001</v>
      </c>
      <c r="AE134">
        <f t="shared" si="17"/>
        <v>20.400887672000003</v>
      </c>
      <c r="AF134" s="9"/>
      <c r="AG134" s="22">
        <v>0.52444500000000005</v>
      </c>
      <c r="AH134" s="22">
        <v>187.04599999999999</v>
      </c>
      <c r="AI134" s="22">
        <v>-1.6781600000000001E-2</v>
      </c>
      <c r="AJ134" s="22">
        <v>124</v>
      </c>
      <c r="AK134" s="22">
        <v>0.52349900000000005</v>
      </c>
      <c r="AL134">
        <f t="shared" si="18"/>
        <v>16.781600000000001</v>
      </c>
      <c r="AM134">
        <f t="shared" si="19"/>
        <v>8.8010262120000018</v>
      </c>
      <c r="AP134" s="9"/>
      <c r="AQ134" s="22">
        <v>1.21567</v>
      </c>
      <c r="AR134" s="22">
        <v>236.66900000000001</v>
      </c>
      <c r="AS134" s="25">
        <v>2.6001000000000001E-5</v>
      </c>
      <c r="AT134" s="22">
        <v>124</v>
      </c>
      <c r="AU134" s="22">
        <v>7.9071000000000002E-2</v>
      </c>
      <c r="AV134">
        <f t="shared" si="20"/>
        <v>-2.6001E-2</v>
      </c>
      <c r="AW134">
        <f t="shared" si="21"/>
        <v>-3.1608635670000003E-2</v>
      </c>
      <c r="AX134" s="9"/>
      <c r="AY134" s="22">
        <v>0.52444500000000005</v>
      </c>
      <c r="AZ134" s="22">
        <v>252.72900000000001</v>
      </c>
      <c r="BA134" s="22">
        <v>-4.4152799999999997E-3</v>
      </c>
      <c r="BB134" s="22">
        <v>124</v>
      </c>
      <c r="BC134" s="22">
        <v>0.523926</v>
      </c>
      <c r="BD134">
        <f t="shared" si="22"/>
        <v>4.4152800000000001</v>
      </c>
      <c r="BE134">
        <f t="shared" si="23"/>
        <v>2.3155715196000002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1.2106300000000001</v>
      </c>
      <c r="H135" s="22">
        <v>38.457799999999999</v>
      </c>
      <c r="I135" s="22">
        <v>-1.62659E-2</v>
      </c>
      <c r="J135" s="22">
        <v>125</v>
      </c>
      <c r="K135" s="22">
        <v>1.2094100000000001</v>
      </c>
      <c r="L135">
        <f t="shared" si="12"/>
        <v>16.265899999999998</v>
      </c>
      <c r="M135">
        <f t="shared" si="13"/>
        <v>19.691986517</v>
      </c>
      <c r="N135" s="9"/>
      <c r="O135" s="22">
        <v>0.52947999999999995</v>
      </c>
      <c r="P135" s="22">
        <v>87.896199999999993</v>
      </c>
      <c r="Q135" s="22">
        <v>-1.6741900000000001E-2</v>
      </c>
      <c r="R135" s="22">
        <v>125</v>
      </c>
      <c r="S135" s="22">
        <v>0.52865600000000001</v>
      </c>
      <c r="T135">
        <f t="shared" si="14"/>
        <v>16.741900000000001</v>
      </c>
      <c r="U135">
        <f t="shared" si="15"/>
        <v>8.8645012120000004</v>
      </c>
      <c r="X135" s="9"/>
      <c r="Y135" s="22">
        <v>1.2106300000000001</v>
      </c>
      <c r="Z135" s="22">
        <v>137.44200000000001</v>
      </c>
      <c r="AA135" s="22">
        <v>-1.6787699999999999E-2</v>
      </c>
      <c r="AB135" s="22">
        <v>125</v>
      </c>
      <c r="AC135" s="22">
        <v>1.2106300000000001</v>
      </c>
      <c r="AD135">
        <f t="shared" si="16"/>
        <v>16.787699999999997</v>
      </c>
      <c r="AE135">
        <f t="shared" si="17"/>
        <v>20.323693250999998</v>
      </c>
      <c r="AF135" s="9"/>
      <c r="AG135" s="22">
        <v>0.52947999999999995</v>
      </c>
      <c r="AH135" s="22">
        <v>187.05600000000001</v>
      </c>
      <c r="AI135" s="22">
        <v>-1.6778600000000001E-2</v>
      </c>
      <c r="AJ135" s="22">
        <v>125</v>
      </c>
      <c r="AK135" s="22">
        <v>0.52853399999999995</v>
      </c>
      <c r="AL135">
        <f t="shared" si="18"/>
        <v>16.778600000000001</v>
      </c>
      <c r="AM135">
        <f t="shared" si="19"/>
        <v>8.8839331279999989</v>
      </c>
      <c r="AP135" s="9"/>
      <c r="AQ135" s="22">
        <v>1.2106300000000001</v>
      </c>
      <c r="AR135" s="22">
        <v>236.68</v>
      </c>
      <c r="AS135" s="25">
        <v>2.42004E-5</v>
      </c>
      <c r="AT135" s="22">
        <v>125</v>
      </c>
      <c r="AU135" s="22">
        <v>7.9071000000000002E-2</v>
      </c>
      <c r="AV135">
        <f t="shared" si="20"/>
        <v>-2.42004E-2</v>
      </c>
      <c r="AW135">
        <f t="shared" si="21"/>
        <v>-2.9297730252000002E-2</v>
      </c>
      <c r="AX135" s="9"/>
      <c r="AY135" s="22">
        <v>0.52947999999999995</v>
      </c>
      <c r="AZ135" s="22">
        <v>252.739</v>
      </c>
      <c r="BA135" s="22">
        <v>-4.6145600000000002E-3</v>
      </c>
      <c r="BB135" s="22">
        <v>125</v>
      </c>
      <c r="BC135" s="22">
        <v>0.52899200000000002</v>
      </c>
      <c r="BD135">
        <f t="shared" si="22"/>
        <v>4.61456</v>
      </c>
      <c r="BE135">
        <f t="shared" si="23"/>
        <v>2.4433172287999998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1.2056</v>
      </c>
      <c r="H136" s="22">
        <v>38.4679</v>
      </c>
      <c r="I136" s="22">
        <v>-1.6268899999999999E-2</v>
      </c>
      <c r="J136" s="22">
        <v>126</v>
      </c>
      <c r="K136" s="22">
        <v>1.2042200000000001</v>
      </c>
      <c r="L136">
        <f t="shared" si="12"/>
        <v>16.268899999999999</v>
      </c>
      <c r="M136">
        <f t="shared" si="13"/>
        <v>19.613785839999998</v>
      </c>
      <c r="N136" s="9"/>
      <c r="O136" s="22">
        <v>0.53451499999999996</v>
      </c>
      <c r="P136" s="22">
        <v>87.906300000000002</v>
      </c>
      <c r="Q136" s="22">
        <v>-1.6744999999999999E-2</v>
      </c>
      <c r="R136" s="22">
        <v>126</v>
      </c>
      <c r="S136" s="22">
        <v>0.53363000000000005</v>
      </c>
      <c r="T136">
        <f t="shared" si="14"/>
        <v>16.745000000000001</v>
      </c>
      <c r="U136">
        <f t="shared" si="15"/>
        <v>8.9504536750000003</v>
      </c>
      <c r="X136" s="9"/>
      <c r="Y136" s="22">
        <v>1.2056</v>
      </c>
      <c r="Z136" s="22">
        <v>137.452</v>
      </c>
      <c r="AA136" s="22">
        <v>-1.67847E-2</v>
      </c>
      <c r="AB136" s="22">
        <v>126</v>
      </c>
      <c r="AC136" s="22">
        <v>1.2051400000000001</v>
      </c>
      <c r="AD136">
        <f t="shared" si="16"/>
        <v>16.784700000000001</v>
      </c>
      <c r="AE136">
        <f t="shared" si="17"/>
        <v>20.235634320000003</v>
      </c>
      <c r="AF136" s="9"/>
      <c r="AG136" s="22">
        <v>0.53451499999999996</v>
      </c>
      <c r="AH136" s="22">
        <v>187.066</v>
      </c>
      <c r="AI136" s="22">
        <v>-1.6778600000000001E-2</v>
      </c>
      <c r="AJ136" s="22">
        <v>126</v>
      </c>
      <c r="AK136" s="22">
        <v>0.53359999999999996</v>
      </c>
      <c r="AL136">
        <f t="shared" si="18"/>
        <v>16.778600000000001</v>
      </c>
      <c r="AM136">
        <f t="shared" si="19"/>
        <v>8.9684133789999994</v>
      </c>
      <c r="AP136" s="9"/>
      <c r="AQ136" s="22">
        <v>1.2056</v>
      </c>
      <c r="AR136" s="22">
        <v>236.69</v>
      </c>
      <c r="AS136" s="25">
        <v>2.8015099999999999E-5</v>
      </c>
      <c r="AT136" s="22">
        <v>126</v>
      </c>
      <c r="AU136" s="22">
        <v>7.9009999999999997E-2</v>
      </c>
      <c r="AV136">
        <f t="shared" si="20"/>
        <v>-2.8015099999999998E-2</v>
      </c>
      <c r="AW136">
        <f t="shared" si="21"/>
        <v>-3.3775004559999995E-2</v>
      </c>
      <c r="AX136" s="9"/>
      <c r="AY136" s="22">
        <v>0.53451499999999996</v>
      </c>
      <c r="AZ136" s="22">
        <v>252.749</v>
      </c>
      <c r="BA136" s="22">
        <v>-4.4702099999999996E-3</v>
      </c>
      <c r="BB136" s="22">
        <v>126</v>
      </c>
      <c r="BC136" s="22">
        <v>0.53405800000000003</v>
      </c>
      <c r="BD136">
        <f t="shared" si="22"/>
        <v>4.4702099999999998</v>
      </c>
      <c r="BE136">
        <f t="shared" si="23"/>
        <v>2.3893942981499996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1.2005600000000001</v>
      </c>
      <c r="H137" s="22">
        <v>38.477899999999998</v>
      </c>
      <c r="I137" s="22">
        <v>-1.6275000000000001E-2</v>
      </c>
      <c r="J137" s="22">
        <v>127</v>
      </c>
      <c r="K137" s="22">
        <v>1.1996500000000001</v>
      </c>
      <c r="L137">
        <f t="shared" si="12"/>
        <v>16.275000000000002</v>
      </c>
      <c r="M137">
        <f t="shared" si="13"/>
        <v>19.539114000000005</v>
      </c>
      <c r="N137" s="9"/>
      <c r="O137" s="22">
        <v>0.539551</v>
      </c>
      <c r="P137" s="22">
        <v>87.916399999999996</v>
      </c>
      <c r="Q137" s="22">
        <v>-1.6744999999999999E-2</v>
      </c>
      <c r="R137" s="22">
        <v>127</v>
      </c>
      <c r="S137" s="22">
        <v>0.538574</v>
      </c>
      <c r="T137">
        <f t="shared" si="14"/>
        <v>16.745000000000001</v>
      </c>
      <c r="U137">
        <f t="shared" si="15"/>
        <v>9.0347814950000007</v>
      </c>
      <c r="X137" s="9"/>
      <c r="Y137" s="22">
        <v>1.2005600000000001</v>
      </c>
      <c r="Z137" s="22">
        <v>137.46199999999999</v>
      </c>
      <c r="AA137" s="22">
        <v>-1.6787699999999999E-2</v>
      </c>
      <c r="AB137" s="22">
        <v>127</v>
      </c>
      <c r="AC137" s="22">
        <v>1.1993400000000001</v>
      </c>
      <c r="AD137">
        <f t="shared" si="16"/>
        <v>16.787699999999997</v>
      </c>
      <c r="AE137">
        <f t="shared" si="17"/>
        <v>20.154641111999997</v>
      </c>
      <c r="AF137" s="9"/>
      <c r="AG137" s="22">
        <v>0.539551</v>
      </c>
      <c r="AH137" s="22">
        <v>187.07599999999999</v>
      </c>
      <c r="AI137" s="22">
        <v>-1.6775499999999999E-2</v>
      </c>
      <c r="AJ137" s="22">
        <v>127</v>
      </c>
      <c r="AK137" s="22">
        <v>0.53869599999999995</v>
      </c>
      <c r="AL137">
        <f t="shared" si="18"/>
        <v>16.775499999999997</v>
      </c>
      <c r="AM137">
        <f t="shared" si="19"/>
        <v>9.0512378004999992</v>
      </c>
      <c r="AP137" s="9"/>
      <c r="AQ137" s="22">
        <v>1.2005600000000001</v>
      </c>
      <c r="AR137" s="22">
        <v>236.7</v>
      </c>
      <c r="AS137" s="25">
        <v>2.5207499999999999E-5</v>
      </c>
      <c r="AT137" s="22">
        <v>127</v>
      </c>
      <c r="AU137" s="22">
        <v>7.9071000000000002E-2</v>
      </c>
      <c r="AV137">
        <f t="shared" si="20"/>
        <v>-2.5207499999999997E-2</v>
      </c>
      <c r="AW137">
        <f t="shared" si="21"/>
        <v>-3.0263116199999999E-2</v>
      </c>
      <c r="AX137" s="9"/>
      <c r="AY137" s="22">
        <v>0.539551</v>
      </c>
      <c r="AZ137" s="22">
        <v>252.75899999999999</v>
      </c>
      <c r="BA137" s="22">
        <v>-4.4360399999999996E-3</v>
      </c>
      <c r="BB137" s="22">
        <v>127</v>
      </c>
      <c r="BC137" s="22">
        <v>0.53918500000000003</v>
      </c>
      <c r="BD137">
        <f t="shared" si="22"/>
        <v>4.4360399999999993</v>
      </c>
      <c r="BE137">
        <f t="shared" si="23"/>
        <v>2.3934698180399998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1.19553</v>
      </c>
      <c r="H138" s="22">
        <v>38.488</v>
      </c>
      <c r="I138" s="22">
        <v>-1.62781E-2</v>
      </c>
      <c r="J138" s="22">
        <v>128</v>
      </c>
      <c r="K138" s="22">
        <v>1.19415</v>
      </c>
      <c r="L138">
        <f t="shared" si="12"/>
        <v>16.278099999999998</v>
      </c>
      <c r="M138">
        <f t="shared" si="13"/>
        <v>19.460956892999999</v>
      </c>
      <c r="N138" s="9"/>
      <c r="O138" s="22">
        <v>0.54458600000000001</v>
      </c>
      <c r="P138" s="22">
        <v>87.926400000000001</v>
      </c>
      <c r="Q138" s="22">
        <v>-1.6735799999999999E-2</v>
      </c>
      <c r="R138" s="22">
        <v>128</v>
      </c>
      <c r="S138" s="22">
        <v>0.54373199999999999</v>
      </c>
      <c r="T138">
        <f t="shared" si="14"/>
        <v>16.735799999999998</v>
      </c>
      <c r="U138">
        <f t="shared" si="15"/>
        <v>9.1140823787999992</v>
      </c>
      <c r="X138" s="9"/>
      <c r="Y138" s="22">
        <v>1.19553</v>
      </c>
      <c r="Z138" s="22">
        <v>137.47200000000001</v>
      </c>
      <c r="AA138" s="22">
        <v>-1.67969E-2</v>
      </c>
      <c r="AB138" s="22">
        <v>128</v>
      </c>
      <c r="AC138" s="22">
        <v>1.2020900000000001</v>
      </c>
      <c r="AD138">
        <f t="shared" si="16"/>
        <v>16.796900000000001</v>
      </c>
      <c r="AE138">
        <f t="shared" si="17"/>
        <v>20.081197856999999</v>
      </c>
      <c r="AF138" s="9"/>
      <c r="AG138" s="22">
        <v>0.54458600000000001</v>
      </c>
      <c r="AH138" s="22">
        <v>187.08600000000001</v>
      </c>
      <c r="AI138" s="22">
        <v>-1.6772499999999999E-2</v>
      </c>
      <c r="AJ138" s="22">
        <v>128</v>
      </c>
      <c r="AK138" s="22">
        <v>0.54370099999999999</v>
      </c>
      <c r="AL138">
        <f t="shared" si="18"/>
        <v>16.772500000000001</v>
      </c>
      <c r="AM138">
        <f t="shared" si="19"/>
        <v>9.1340686850000008</v>
      </c>
      <c r="AP138" s="9"/>
      <c r="AQ138" s="22">
        <v>1.19553</v>
      </c>
      <c r="AR138" s="22">
        <v>236.71</v>
      </c>
      <c r="AS138" s="25">
        <v>3.1433100000000002E-5</v>
      </c>
      <c r="AT138" s="22">
        <v>128</v>
      </c>
      <c r="AU138" s="22">
        <v>7.9071000000000002E-2</v>
      </c>
      <c r="AV138">
        <f t="shared" si="20"/>
        <v>-3.1433100000000005E-2</v>
      </c>
      <c r="AW138">
        <f t="shared" si="21"/>
        <v>-3.7579214043000006E-2</v>
      </c>
      <c r="AX138" s="9"/>
      <c r="AY138" s="22">
        <v>0.54458600000000001</v>
      </c>
      <c r="AZ138" s="22">
        <v>252.77</v>
      </c>
      <c r="BA138" s="22">
        <v>-4.4216899999999998E-3</v>
      </c>
      <c r="BB138" s="22">
        <v>128</v>
      </c>
      <c r="BC138" s="22">
        <v>0.54409799999999997</v>
      </c>
      <c r="BD138">
        <f t="shared" si="22"/>
        <v>4.4216899999999999</v>
      </c>
      <c r="BE138">
        <f t="shared" si="23"/>
        <v>2.4079904703400001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1.19049</v>
      </c>
      <c r="H139" s="22">
        <v>38.498100000000001</v>
      </c>
      <c r="I139" s="22">
        <v>-1.62811E-2</v>
      </c>
      <c r="J139" s="22">
        <v>129</v>
      </c>
      <c r="K139" s="22">
        <v>1.18927</v>
      </c>
      <c r="L139">
        <f t="shared" si="12"/>
        <v>16.281099999999999</v>
      </c>
      <c r="M139">
        <f t="shared" si="13"/>
        <v>19.382486739000001</v>
      </c>
      <c r="N139" s="9"/>
      <c r="O139" s="22">
        <v>0.54962200000000005</v>
      </c>
      <c r="P139" s="22">
        <v>87.936499999999995</v>
      </c>
      <c r="Q139" s="22">
        <v>-1.6732799999999999E-2</v>
      </c>
      <c r="R139" s="22">
        <v>129</v>
      </c>
      <c r="S139" s="22">
        <v>0.54873700000000003</v>
      </c>
      <c r="T139">
        <f t="shared" si="14"/>
        <v>16.732799999999997</v>
      </c>
      <c r="U139">
        <f t="shared" si="15"/>
        <v>9.1967150015999994</v>
      </c>
      <c r="X139" s="9"/>
      <c r="Y139" s="22">
        <v>1.19049</v>
      </c>
      <c r="Z139" s="22">
        <v>137.482</v>
      </c>
      <c r="AA139" s="22">
        <v>-1.67999E-2</v>
      </c>
      <c r="AB139" s="22">
        <v>129</v>
      </c>
      <c r="AC139" s="22">
        <v>1.18896</v>
      </c>
      <c r="AD139">
        <f t="shared" si="16"/>
        <v>16.799900000000001</v>
      </c>
      <c r="AE139">
        <f t="shared" si="17"/>
        <v>20.000112951000002</v>
      </c>
      <c r="AF139" s="9"/>
      <c r="AG139" s="22">
        <v>0.54962200000000005</v>
      </c>
      <c r="AH139" s="22">
        <v>187.096</v>
      </c>
      <c r="AI139" s="22">
        <v>-1.67694E-2</v>
      </c>
      <c r="AJ139" s="22">
        <v>129</v>
      </c>
      <c r="AK139" s="22">
        <v>0.548767</v>
      </c>
      <c r="AL139">
        <f t="shared" si="18"/>
        <v>16.769400000000001</v>
      </c>
      <c r="AM139">
        <f t="shared" si="19"/>
        <v>9.2168311668000023</v>
      </c>
      <c r="AP139" s="9"/>
      <c r="AQ139" s="22">
        <v>1.19049</v>
      </c>
      <c r="AR139" s="22">
        <v>236.72</v>
      </c>
      <c r="AS139" s="25">
        <v>2.54211E-5</v>
      </c>
      <c r="AT139" s="22">
        <v>129</v>
      </c>
      <c r="AU139" s="22">
        <v>7.9009999999999997E-2</v>
      </c>
      <c r="AV139">
        <f t="shared" si="20"/>
        <v>-2.5421099999999999E-2</v>
      </c>
      <c r="AW139">
        <f t="shared" si="21"/>
        <v>-3.0263565339000001E-2</v>
      </c>
      <c r="AX139" s="9"/>
      <c r="AY139" s="22">
        <v>0.54962200000000005</v>
      </c>
      <c r="AZ139" s="22">
        <v>252.78</v>
      </c>
      <c r="BA139" s="22">
        <v>-4.49615E-3</v>
      </c>
      <c r="BB139" s="22">
        <v>129</v>
      </c>
      <c r="BC139" s="22">
        <v>0.54925500000000005</v>
      </c>
      <c r="BD139">
        <f t="shared" si="22"/>
        <v>4.4961500000000001</v>
      </c>
      <c r="BE139">
        <f t="shared" si="23"/>
        <v>2.4711829553000002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1.18546</v>
      </c>
      <c r="H140" s="22">
        <v>38.508099999999999</v>
      </c>
      <c r="I140" s="22">
        <v>-1.62811E-2</v>
      </c>
      <c r="J140" s="22">
        <v>130</v>
      </c>
      <c r="K140" s="22">
        <v>1.1850000000000001</v>
      </c>
      <c r="L140">
        <f t="shared" ref="L140:L203" si="24">-I140/$F$2*1000</f>
        <v>16.281099999999999</v>
      </c>
      <c r="M140">
        <f t="shared" ref="M140:M203" si="25">L140*G140</f>
        <v>19.300592805999997</v>
      </c>
      <c r="N140" s="9"/>
      <c r="O140" s="22">
        <v>0.55465699999999996</v>
      </c>
      <c r="P140" s="22">
        <v>87.946600000000004</v>
      </c>
      <c r="Q140" s="22">
        <v>-1.6726700000000001E-2</v>
      </c>
      <c r="R140" s="22">
        <v>130</v>
      </c>
      <c r="S140" s="22">
        <v>0.55374100000000004</v>
      </c>
      <c r="T140">
        <f t="shared" ref="T140:T203" si="26">-Q140/$F$2*1000</f>
        <v>16.726700000000001</v>
      </c>
      <c r="U140">
        <f t="shared" ref="U140:U203" si="27">T140*O140</f>
        <v>9.2775812419000001</v>
      </c>
      <c r="X140" s="9"/>
      <c r="Y140" s="22">
        <v>1.18546</v>
      </c>
      <c r="Z140" s="22">
        <v>137.49199999999999</v>
      </c>
      <c r="AA140" s="22">
        <v>-1.68091E-2</v>
      </c>
      <c r="AB140" s="22">
        <v>130</v>
      </c>
      <c r="AC140" s="22">
        <v>1.18469</v>
      </c>
      <c r="AD140">
        <f t="shared" ref="AD140:AD203" si="28">-AA140/$F$2*1000</f>
        <v>16.809100000000001</v>
      </c>
      <c r="AE140">
        <f t="shared" ref="AE140:AE203" si="29">AD140*Y140</f>
        <v>19.926515686000002</v>
      </c>
      <c r="AF140" s="9"/>
      <c r="AG140" s="22">
        <v>0.55465699999999996</v>
      </c>
      <c r="AH140" s="22">
        <v>187.10599999999999</v>
      </c>
      <c r="AI140" s="22">
        <v>-1.6766400000000001E-2</v>
      </c>
      <c r="AJ140" s="22">
        <v>130</v>
      </c>
      <c r="AK140" s="22">
        <v>0.553894</v>
      </c>
      <c r="AL140">
        <f t="shared" ref="AL140:AL203" si="30">-AI140/$F$2*1000</f>
        <v>16.766400000000001</v>
      </c>
      <c r="AM140">
        <f t="shared" ref="AM140:AM203" si="31">AL140*AG140</f>
        <v>9.2996011248000006</v>
      </c>
      <c r="AP140" s="9"/>
      <c r="AQ140" s="22">
        <v>1.18546</v>
      </c>
      <c r="AR140" s="22">
        <v>236.73</v>
      </c>
      <c r="AS140" s="25">
        <v>2.55432E-5</v>
      </c>
      <c r="AT140" s="22">
        <v>130</v>
      </c>
      <c r="AU140" s="22">
        <v>7.9009999999999997E-2</v>
      </c>
      <c r="AV140">
        <f t="shared" ref="AV140:AV203" si="32">-AS140/$F$2*1000</f>
        <v>-2.5543199999999999E-2</v>
      </c>
      <c r="AW140">
        <f t="shared" ref="AW140:AW203" si="33">AV140*AQ140</f>
        <v>-3.0280441871999998E-2</v>
      </c>
      <c r="AX140" s="9"/>
      <c r="AY140" s="22">
        <v>0.55465699999999996</v>
      </c>
      <c r="AZ140" s="22">
        <v>252.79</v>
      </c>
      <c r="BA140" s="22">
        <v>-4.4879200000000003E-3</v>
      </c>
      <c r="BB140" s="22">
        <v>130</v>
      </c>
      <c r="BC140" s="22">
        <v>0.55416900000000002</v>
      </c>
      <c r="BD140">
        <f t="shared" ref="BD140:BD203" si="34">-BA140/$F$2*1000</f>
        <v>4.4879199999999999</v>
      </c>
      <c r="BE140">
        <f t="shared" ref="BE140:BE203" si="35">BD140*AY140</f>
        <v>2.4892562434399998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1.18042</v>
      </c>
      <c r="H141" s="22">
        <v>38.5182</v>
      </c>
      <c r="I141" s="22">
        <v>-1.6287200000000002E-2</v>
      </c>
      <c r="J141" s="22">
        <v>131</v>
      </c>
      <c r="K141" s="22">
        <v>1.1795</v>
      </c>
      <c r="L141">
        <f t="shared" si="24"/>
        <v>16.287200000000002</v>
      </c>
      <c r="M141">
        <f t="shared" si="25"/>
        <v>19.225736624000003</v>
      </c>
      <c r="N141" s="9"/>
      <c r="O141" s="22">
        <v>0.55969199999999997</v>
      </c>
      <c r="P141" s="22">
        <v>87.956599999999995</v>
      </c>
      <c r="Q141" s="22">
        <v>-1.6726700000000001E-2</v>
      </c>
      <c r="R141" s="22">
        <v>131</v>
      </c>
      <c r="S141" s="22">
        <v>0.55877699999999997</v>
      </c>
      <c r="T141">
        <f t="shared" si="26"/>
        <v>16.726700000000001</v>
      </c>
      <c r="U141">
        <f t="shared" si="27"/>
        <v>9.3618001763999992</v>
      </c>
      <c r="X141" s="9"/>
      <c r="Y141" s="22">
        <v>1.18042</v>
      </c>
      <c r="Z141" s="22">
        <v>137.50200000000001</v>
      </c>
      <c r="AA141" s="22">
        <v>-1.6818199999999998E-2</v>
      </c>
      <c r="AB141" s="22">
        <v>131</v>
      </c>
      <c r="AC141" s="22">
        <v>1.1795</v>
      </c>
      <c r="AD141">
        <f t="shared" si="28"/>
        <v>16.818199999999997</v>
      </c>
      <c r="AE141">
        <f t="shared" si="29"/>
        <v>19.852539643999997</v>
      </c>
      <c r="AF141" s="9"/>
      <c r="AG141" s="22">
        <v>0.55969199999999997</v>
      </c>
      <c r="AH141" s="22">
        <v>187.11699999999999</v>
      </c>
      <c r="AI141" s="22">
        <v>-1.6763299999999998E-2</v>
      </c>
      <c r="AJ141" s="22">
        <v>131</v>
      </c>
      <c r="AK141" s="22">
        <v>0.55868499999999999</v>
      </c>
      <c r="AL141">
        <f t="shared" si="30"/>
        <v>16.763299999999997</v>
      </c>
      <c r="AM141">
        <f t="shared" si="31"/>
        <v>9.3822849035999987</v>
      </c>
      <c r="AP141" s="9"/>
      <c r="AQ141" s="22">
        <v>1.18042</v>
      </c>
      <c r="AR141" s="22">
        <v>236.74</v>
      </c>
      <c r="AS141" s="25">
        <v>2.62756E-5</v>
      </c>
      <c r="AT141" s="22">
        <v>131</v>
      </c>
      <c r="AU141" s="22">
        <v>7.9071000000000002E-2</v>
      </c>
      <c r="AV141">
        <f t="shared" si="32"/>
        <v>-2.62756E-2</v>
      </c>
      <c r="AW141">
        <f t="shared" si="33"/>
        <v>-3.1016243751999999E-2</v>
      </c>
      <c r="AX141" s="9"/>
      <c r="AY141" s="22">
        <v>0.55969199999999997</v>
      </c>
      <c r="AZ141" s="22">
        <v>252.8</v>
      </c>
      <c r="BA141" s="22">
        <v>-4.47205E-3</v>
      </c>
      <c r="BB141" s="22">
        <v>131</v>
      </c>
      <c r="BC141" s="22">
        <v>0.55957000000000001</v>
      </c>
      <c r="BD141">
        <f t="shared" si="34"/>
        <v>4.4720500000000003</v>
      </c>
      <c r="BE141">
        <f t="shared" si="35"/>
        <v>2.5029706086000001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1.1753800000000001</v>
      </c>
      <c r="H142" s="22">
        <v>38.528300000000002</v>
      </c>
      <c r="I142" s="22">
        <v>-1.6290300000000001E-2</v>
      </c>
      <c r="J142" s="22">
        <v>132</v>
      </c>
      <c r="K142" s="22">
        <v>1.17401</v>
      </c>
      <c r="L142">
        <f t="shared" si="24"/>
        <v>16.290300000000002</v>
      </c>
      <c r="M142">
        <f t="shared" si="25"/>
        <v>19.147292814000004</v>
      </c>
      <c r="N142" s="9"/>
      <c r="O142" s="22">
        <v>0.56472800000000001</v>
      </c>
      <c r="P142" s="22">
        <v>87.966700000000003</v>
      </c>
      <c r="Q142" s="22">
        <v>-1.6723600000000002E-2</v>
      </c>
      <c r="R142" s="22">
        <v>132</v>
      </c>
      <c r="S142" s="22">
        <v>0.56372100000000003</v>
      </c>
      <c r="T142">
        <f t="shared" si="26"/>
        <v>16.723600000000001</v>
      </c>
      <c r="U142">
        <f t="shared" si="27"/>
        <v>9.4442851808000015</v>
      </c>
      <c r="X142" s="9"/>
      <c r="Y142" s="22">
        <v>1.1753800000000001</v>
      </c>
      <c r="Z142" s="22">
        <v>137.512</v>
      </c>
      <c r="AA142" s="22">
        <v>-1.6821300000000001E-2</v>
      </c>
      <c r="AB142" s="22">
        <v>132</v>
      </c>
      <c r="AC142" s="22">
        <v>1.17401</v>
      </c>
      <c r="AD142">
        <f t="shared" si="28"/>
        <v>16.821300000000001</v>
      </c>
      <c r="AE142">
        <f t="shared" si="29"/>
        <v>19.771419594000001</v>
      </c>
      <c r="AF142" s="9"/>
      <c r="AG142" s="22">
        <v>0.56472800000000001</v>
      </c>
      <c r="AH142" s="22">
        <v>187.12700000000001</v>
      </c>
      <c r="AI142" s="22">
        <v>-1.6760299999999999E-2</v>
      </c>
      <c r="AJ142" s="22">
        <v>132</v>
      </c>
      <c r="AK142" s="22">
        <v>0.56378200000000001</v>
      </c>
      <c r="AL142">
        <f t="shared" si="30"/>
        <v>16.760299999999997</v>
      </c>
      <c r="AM142">
        <f t="shared" si="31"/>
        <v>9.4650106983999986</v>
      </c>
      <c r="AP142" s="9"/>
      <c r="AQ142" s="22">
        <v>1.1753800000000001</v>
      </c>
      <c r="AR142" s="22">
        <v>236.75</v>
      </c>
      <c r="AS142" s="25">
        <v>2.5695799999999999E-5</v>
      </c>
      <c r="AT142" s="22">
        <v>132</v>
      </c>
      <c r="AU142" s="22">
        <v>7.9071000000000002E-2</v>
      </c>
      <c r="AV142">
        <f t="shared" si="32"/>
        <v>-2.5695799999999998E-2</v>
      </c>
      <c r="AW142">
        <f t="shared" si="33"/>
        <v>-3.0202329404E-2</v>
      </c>
      <c r="AX142" s="9"/>
      <c r="AY142" s="22">
        <v>0.56472800000000001</v>
      </c>
      <c r="AZ142" s="22">
        <v>252.81</v>
      </c>
      <c r="BA142" s="22">
        <v>-4.5153800000000003E-3</v>
      </c>
      <c r="BB142" s="22">
        <v>132</v>
      </c>
      <c r="BC142" s="22">
        <v>0.56414799999999998</v>
      </c>
      <c r="BD142">
        <f t="shared" si="34"/>
        <v>4.5153800000000004</v>
      </c>
      <c r="BE142">
        <f t="shared" si="35"/>
        <v>2.5499615166400003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1.17035</v>
      </c>
      <c r="H143" s="22">
        <v>38.538400000000003</v>
      </c>
      <c r="I143" s="22">
        <v>-1.62933E-2</v>
      </c>
      <c r="J143" s="22">
        <v>133</v>
      </c>
      <c r="K143" s="22">
        <v>1.16913</v>
      </c>
      <c r="L143">
        <f t="shared" si="24"/>
        <v>16.293299999999999</v>
      </c>
      <c r="M143">
        <f t="shared" si="25"/>
        <v>19.068863654999998</v>
      </c>
      <c r="N143" s="9"/>
      <c r="O143" s="22">
        <v>0.56976300000000002</v>
      </c>
      <c r="P143" s="22">
        <v>87.976799999999997</v>
      </c>
      <c r="Q143" s="22">
        <v>-1.6723600000000002E-2</v>
      </c>
      <c r="R143" s="22">
        <v>133</v>
      </c>
      <c r="S143" s="22">
        <v>0.56899999999999995</v>
      </c>
      <c r="T143">
        <f t="shared" si="26"/>
        <v>16.723600000000001</v>
      </c>
      <c r="U143">
        <f t="shared" si="27"/>
        <v>9.5284885068000005</v>
      </c>
      <c r="X143" s="9"/>
      <c r="Y143" s="22">
        <v>1.17035</v>
      </c>
      <c r="Z143" s="22">
        <v>137.52199999999999</v>
      </c>
      <c r="AA143" s="22">
        <v>-1.6827399999999999E-2</v>
      </c>
      <c r="AB143" s="22">
        <v>133</v>
      </c>
      <c r="AC143" s="22">
        <v>1.16943</v>
      </c>
      <c r="AD143">
        <f t="shared" si="28"/>
        <v>16.827400000000001</v>
      </c>
      <c r="AE143">
        <f t="shared" si="29"/>
        <v>19.693947590000001</v>
      </c>
      <c r="AF143" s="9"/>
      <c r="AG143" s="22">
        <v>0.56976300000000002</v>
      </c>
      <c r="AH143" s="22">
        <v>187.137</v>
      </c>
      <c r="AI143" s="22">
        <v>-1.67572E-2</v>
      </c>
      <c r="AJ143" s="22">
        <v>133</v>
      </c>
      <c r="AK143" s="22">
        <v>0.56881700000000002</v>
      </c>
      <c r="AL143">
        <f t="shared" si="30"/>
        <v>16.757200000000001</v>
      </c>
      <c r="AM143">
        <f t="shared" si="31"/>
        <v>9.5476325436000007</v>
      </c>
      <c r="AP143" s="9"/>
      <c r="AQ143" s="22">
        <v>1.17035</v>
      </c>
      <c r="AR143" s="22">
        <v>236.76</v>
      </c>
      <c r="AS143" s="25">
        <v>2.49329E-5</v>
      </c>
      <c r="AT143" s="22">
        <v>133</v>
      </c>
      <c r="AU143" s="22">
        <v>7.90405E-2</v>
      </c>
      <c r="AV143">
        <f t="shared" si="32"/>
        <v>-2.4932900000000001E-2</v>
      </c>
      <c r="AW143">
        <f t="shared" si="33"/>
        <v>-2.9180219515000001E-2</v>
      </c>
      <c r="AX143" s="9"/>
      <c r="AY143" s="22">
        <v>0.56976300000000002</v>
      </c>
      <c r="AZ143" s="22">
        <v>252.82</v>
      </c>
      <c r="BA143" s="22">
        <v>-4.5056200000000001E-3</v>
      </c>
      <c r="BB143" s="22">
        <v>133</v>
      </c>
      <c r="BC143" s="22">
        <v>0.56930499999999995</v>
      </c>
      <c r="BD143">
        <f t="shared" si="34"/>
        <v>4.5056200000000004</v>
      </c>
      <c r="BE143">
        <f t="shared" si="35"/>
        <v>2.5671355680600003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1.1653100000000001</v>
      </c>
      <c r="H144" s="22">
        <v>38.548400000000001</v>
      </c>
      <c r="I144" s="22">
        <v>-1.6296399999999999E-2</v>
      </c>
      <c r="J144" s="22">
        <v>134</v>
      </c>
      <c r="K144" s="22">
        <v>1.16394</v>
      </c>
      <c r="L144">
        <f t="shared" si="24"/>
        <v>16.296399999999998</v>
      </c>
      <c r="M144">
        <f t="shared" si="25"/>
        <v>18.990357883999998</v>
      </c>
      <c r="N144" s="9"/>
      <c r="O144" s="22">
        <v>0.57479899999999995</v>
      </c>
      <c r="P144" s="22">
        <v>87.986900000000006</v>
      </c>
      <c r="Q144" s="22">
        <v>-1.6720599999999999E-2</v>
      </c>
      <c r="R144" s="22">
        <v>134</v>
      </c>
      <c r="S144" s="22">
        <v>0.57382200000000005</v>
      </c>
      <c r="T144">
        <f t="shared" si="26"/>
        <v>16.720599999999997</v>
      </c>
      <c r="U144">
        <f t="shared" si="27"/>
        <v>9.6109841593999974</v>
      </c>
      <c r="X144" s="9"/>
      <c r="Y144" s="22">
        <v>1.1653100000000001</v>
      </c>
      <c r="Z144" s="22">
        <v>137.53200000000001</v>
      </c>
      <c r="AA144" s="22">
        <v>-1.68396E-2</v>
      </c>
      <c r="AB144" s="22">
        <v>134</v>
      </c>
      <c r="AC144" s="22">
        <v>1.16425</v>
      </c>
      <c r="AD144">
        <f t="shared" si="28"/>
        <v>16.839600000000001</v>
      </c>
      <c r="AE144">
        <f t="shared" si="29"/>
        <v>19.623354276000001</v>
      </c>
      <c r="AF144" s="9"/>
      <c r="AG144" s="22">
        <v>0.57479899999999995</v>
      </c>
      <c r="AH144" s="22">
        <v>187.14699999999999</v>
      </c>
      <c r="AI144" s="22">
        <v>-1.67542E-2</v>
      </c>
      <c r="AJ144" s="22">
        <v>134</v>
      </c>
      <c r="AK144" s="22">
        <v>0.57385299999999995</v>
      </c>
      <c r="AL144">
        <f t="shared" si="30"/>
        <v>16.754200000000001</v>
      </c>
      <c r="AM144">
        <f t="shared" si="31"/>
        <v>9.6302974058000004</v>
      </c>
      <c r="AP144" s="9"/>
      <c r="AQ144" s="22">
        <v>1.1653100000000001</v>
      </c>
      <c r="AR144" s="22">
        <v>236.77</v>
      </c>
      <c r="AS144" s="25">
        <v>2.57874E-5</v>
      </c>
      <c r="AT144" s="22">
        <v>134</v>
      </c>
      <c r="AU144" s="22">
        <v>7.9009999999999997E-2</v>
      </c>
      <c r="AV144">
        <f t="shared" si="32"/>
        <v>-2.5787399999999999E-2</v>
      </c>
      <c r="AW144">
        <f t="shared" si="33"/>
        <v>-3.0050315094E-2</v>
      </c>
      <c r="AX144" s="9"/>
      <c r="AY144" s="22">
        <v>0.57479899999999995</v>
      </c>
      <c r="AZ144" s="22">
        <v>252.83</v>
      </c>
      <c r="BA144" s="22">
        <v>-4.3228099999999998E-3</v>
      </c>
      <c r="BB144" s="22">
        <v>134</v>
      </c>
      <c r="BC144" s="22">
        <v>0.57440199999999997</v>
      </c>
      <c r="BD144">
        <f t="shared" si="34"/>
        <v>4.3228099999999996</v>
      </c>
      <c r="BE144">
        <f t="shared" si="35"/>
        <v>2.4847468651899995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1.16028</v>
      </c>
      <c r="H145" s="22">
        <v>38.558500000000002</v>
      </c>
      <c r="I145" s="22">
        <v>-1.6299399999999999E-2</v>
      </c>
      <c r="J145" s="22">
        <v>135</v>
      </c>
      <c r="K145" s="22">
        <v>1.1593599999999999</v>
      </c>
      <c r="L145">
        <f t="shared" si="24"/>
        <v>16.299399999999999</v>
      </c>
      <c r="M145">
        <f t="shared" si="25"/>
        <v>18.911867831999999</v>
      </c>
      <c r="N145" s="9"/>
      <c r="O145" s="22">
        <v>0.57983399999999996</v>
      </c>
      <c r="P145" s="22">
        <v>87.996899999999997</v>
      </c>
      <c r="Q145" s="22">
        <v>-1.6720599999999999E-2</v>
      </c>
      <c r="R145" s="22">
        <v>135</v>
      </c>
      <c r="S145" s="22">
        <v>0.57894900000000005</v>
      </c>
      <c r="T145">
        <f t="shared" si="26"/>
        <v>16.720599999999997</v>
      </c>
      <c r="U145">
        <f t="shared" si="27"/>
        <v>9.6951723803999972</v>
      </c>
      <c r="X145" s="9"/>
      <c r="Y145" s="22">
        <v>1.16028</v>
      </c>
      <c r="Z145" s="22">
        <v>137.542</v>
      </c>
      <c r="AA145" s="22">
        <v>-1.6854899999999999E-2</v>
      </c>
      <c r="AB145" s="22">
        <v>135</v>
      </c>
      <c r="AC145" s="22">
        <v>1.15967</v>
      </c>
      <c r="AD145">
        <f t="shared" si="28"/>
        <v>16.854900000000001</v>
      </c>
      <c r="AE145">
        <f t="shared" si="29"/>
        <v>19.556403372000002</v>
      </c>
      <c r="AF145" s="9"/>
      <c r="AG145" s="22">
        <v>0.57983399999999996</v>
      </c>
      <c r="AH145" s="22">
        <v>187.15700000000001</v>
      </c>
      <c r="AI145" s="22">
        <v>-1.6751100000000001E-2</v>
      </c>
      <c r="AJ145" s="22">
        <v>135</v>
      </c>
      <c r="AK145" s="22">
        <v>0.57901000000000002</v>
      </c>
      <c r="AL145">
        <f t="shared" si="30"/>
        <v>16.751100000000001</v>
      </c>
      <c r="AM145">
        <f t="shared" si="31"/>
        <v>9.7128573173999992</v>
      </c>
      <c r="AP145" s="9"/>
      <c r="AQ145" s="22">
        <v>1.16028</v>
      </c>
      <c r="AR145" s="22">
        <v>236.78</v>
      </c>
      <c r="AS145" s="25">
        <v>2.6184099999999999E-5</v>
      </c>
      <c r="AT145" s="22">
        <v>135</v>
      </c>
      <c r="AU145" s="22">
        <v>7.8918500000000003E-2</v>
      </c>
      <c r="AV145">
        <f t="shared" si="32"/>
        <v>-2.6184099999999998E-2</v>
      </c>
      <c r="AW145">
        <f t="shared" si="33"/>
        <v>-3.0380887547999998E-2</v>
      </c>
      <c r="AX145" s="9"/>
      <c r="AY145" s="22">
        <v>0.57983399999999996</v>
      </c>
      <c r="AZ145" s="22">
        <v>252.84</v>
      </c>
      <c r="BA145" s="22">
        <v>-4.2477399999999998E-3</v>
      </c>
      <c r="BB145" s="22">
        <v>135</v>
      </c>
      <c r="BC145" s="22">
        <v>0.57934600000000003</v>
      </c>
      <c r="BD145">
        <f t="shared" si="34"/>
        <v>4.2477400000000003</v>
      </c>
      <c r="BE145">
        <f t="shared" si="35"/>
        <v>2.4629840751600001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1.15524</v>
      </c>
      <c r="H146" s="22">
        <v>38.568600000000004</v>
      </c>
      <c r="I146" s="22">
        <v>-1.6308599999999999E-2</v>
      </c>
      <c r="J146" s="22">
        <v>136</v>
      </c>
      <c r="K146" s="22">
        <v>1.15387</v>
      </c>
      <c r="L146">
        <f t="shared" si="24"/>
        <v>16.308599999999998</v>
      </c>
      <c r="M146">
        <f t="shared" si="25"/>
        <v>18.840347063999999</v>
      </c>
      <c r="N146" s="9"/>
      <c r="O146" s="22">
        <v>0.58486899999999997</v>
      </c>
      <c r="P146" s="22">
        <v>88.007000000000005</v>
      </c>
      <c r="Q146" s="22">
        <v>-1.67175E-2</v>
      </c>
      <c r="R146" s="22">
        <v>136</v>
      </c>
      <c r="S146" s="22">
        <v>0.58398399999999995</v>
      </c>
      <c r="T146">
        <f t="shared" si="26"/>
        <v>16.717500000000001</v>
      </c>
      <c r="U146">
        <f t="shared" si="27"/>
        <v>9.7775475074999996</v>
      </c>
      <c r="X146" s="9"/>
      <c r="Y146" s="22">
        <v>1.15524</v>
      </c>
      <c r="Z146" s="22">
        <v>137.55199999999999</v>
      </c>
      <c r="AA146" s="22">
        <v>-1.68518E-2</v>
      </c>
      <c r="AB146" s="22">
        <v>136</v>
      </c>
      <c r="AC146" s="22">
        <v>1.15448</v>
      </c>
      <c r="AD146">
        <f t="shared" si="28"/>
        <v>16.851800000000001</v>
      </c>
      <c r="AE146">
        <f t="shared" si="29"/>
        <v>19.467873432000001</v>
      </c>
      <c r="AF146" s="9"/>
      <c r="AG146" s="22">
        <v>0.58486899999999997</v>
      </c>
      <c r="AH146" s="22">
        <v>187.167</v>
      </c>
      <c r="AI146" s="22">
        <v>-1.6751100000000001E-2</v>
      </c>
      <c r="AJ146" s="22">
        <v>136</v>
      </c>
      <c r="AK146" s="22">
        <v>0.583893</v>
      </c>
      <c r="AL146">
        <f t="shared" si="30"/>
        <v>16.751100000000001</v>
      </c>
      <c r="AM146">
        <f t="shared" si="31"/>
        <v>9.7971991059000008</v>
      </c>
      <c r="AP146" s="9"/>
      <c r="AQ146" s="22">
        <v>1.15524</v>
      </c>
      <c r="AR146" s="22">
        <v>236.79</v>
      </c>
      <c r="AS146" s="25">
        <v>2.44446E-5</v>
      </c>
      <c r="AT146" s="22">
        <v>136</v>
      </c>
      <c r="AU146" s="22">
        <v>7.9009999999999997E-2</v>
      </c>
      <c r="AV146">
        <f t="shared" si="32"/>
        <v>-2.44446E-2</v>
      </c>
      <c r="AW146">
        <f t="shared" si="33"/>
        <v>-2.8239379704000003E-2</v>
      </c>
      <c r="AX146" s="9"/>
      <c r="AY146" s="22">
        <v>0.58486899999999997</v>
      </c>
      <c r="AZ146" s="22">
        <v>252.85</v>
      </c>
      <c r="BA146" s="22">
        <v>-4.4158899999999996E-3</v>
      </c>
      <c r="BB146" s="22">
        <v>136</v>
      </c>
      <c r="BC146" s="22">
        <v>0.58438100000000004</v>
      </c>
      <c r="BD146">
        <f t="shared" si="34"/>
        <v>4.4158899999999992</v>
      </c>
      <c r="BE146">
        <f t="shared" si="35"/>
        <v>2.5827171684099994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1.15021</v>
      </c>
      <c r="H147" s="22">
        <v>38.578600000000002</v>
      </c>
      <c r="I147" s="22">
        <v>-1.6311599999999999E-2</v>
      </c>
      <c r="J147" s="22">
        <v>137</v>
      </c>
      <c r="K147" s="22">
        <v>1.1492899999999999</v>
      </c>
      <c r="L147">
        <f t="shared" si="24"/>
        <v>16.311599999999999</v>
      </c>
      <c r="M147">
        <f t="shared" si="25"/>
        <v>18.761765435999997</v>
      </c>
      <c r="N147" s="9"/>
      <c r="O147" s="22">
        <v>0.58990500000000001</v>
      </c>
      <c r="P147" s="22">
        <v>88.017099999999999</v>
      </c>
      <c r="Q147" s="22">
        <v>-1.6720599999999999E-2</v>
      </c>
      <c r="R147" s="22">
        <v>137</v>
      </c>
      <c r="S147" s="22">
        <v>0.58904999999999996</v>
      </c>
      <c r="T147">
        <f t="shared" si="26"/>
        <v>16.720599999999997</v>
      </c>
      <c r="U147">
        <f t="shared" si="27"/>
        <v>9.8635655429999982</v>
      </c>
      <c r="X147" s="9"/>
      <c r="Y147" s="22">
        <v>1.15021</v>
      </c>
      <c r="Z147" s="22">
        <v>137.56299999999999</v>
      </c>
      <c r="AA147" s="22">
        <v>-1.6857899999999999E-2</v>
      </c>
      <c r="AB147" s="22">
        <v>137</v>
      </c>
      <c r="AC147" s="22">
        <v>1.1492899999999999</v>
      </c>
      <c r="AD147">
        <f t="shared" si="28"/>
        <v>16.857899999999997</v>
      </c>
      <c r="AE147">
        <f t="shared" si="29"/>
        <v>19.390125158999997</v>
      </c>
      <c r="AF147" s="9"/>
      <c r="AG147" s="22">
        <v>0.58990500000000001</v>
      </c>
      <c r="AH147" s="22">
        <v>187.17699999999999</v>
      </c>
      <c r="AI147" s="22">
        <v>-1.6744999999999999E-2</v>
      </c>
      <c r="AJ147" s="22">
        <v>137</v>
      </c>
      <c r="AK147" s="22">
        <v>0.58901999999999999</v>
      </c>
      <c r="AL147">
        <f t="shared" si="30"/>
        <v>16.745000000000001</v>
      </c>
      <c r="AM147">
        <f t="shared" si="31"/>
        <v>9.8779592250000015</v>
      </c>
      <c r="AP147" s="9"/>
      <c r="AQ147" s="22">
        <v>1.15021</v>
      </c>
      <c r="AR147" s="22">
        <v>236.8</v>
      </c>
      <c r="AS147" s="25">
        <v>2.4780300000000001E-5</v>
      </c>
      <c r="AT147" s="22">
        <v>137</v>
      </c>
      <c r="AU147" s="22">
        <v>7.90405E-2</v>
      </c>
      <c r="AV147">
        <f t="shared" si="32"/>
        <v>-2.4780300000000002E-2</v>
      </c>
      <c r="AW147">
        <f t="shared" si="33"/>
        <v>-2.8502548863E-2</v>
      </c>
      <c r="AX147" s="9"/>
      <c r="AY147" s="22">
        <v>0.58990500000000001</v>
      </c>
      <c r="AZ147" s="22">
        <v>252.86</v>
      </c>
      <c r="BA147" s="22">
        <v>-4.4866899999999998E-3</v>
      </c>
      <c r="BB147" s="22">
        <v>137</v>
      </c>
      <c r="BC147" s="22">
        <v>0.58950800000000003</v>
      </c>
      <c r="BD147">
        <f t="shared" si="34"/>
        <v>4.4866899999999994</v>
      </c>
      <c r="BE147">
        <f t="shared" si="35"/>
        <v>2.6467208644499998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1.14517</v>
      </c>
      <c r="H148" s="22">
        <v>38.588700000000003</v>
      </c>
      <c r="I148" s="22">
        <v>-1.6314700000000001E-2</v>
      </c>
      <c r="J148" s="22">
        <v>138</v>
      </c>
      <c r="K148" s="22">
        <v>1.1444099999999999</v>
      </c>
      <c r="L148">
        <f t="shared" si="24"/>
        <v>16.314700000000002</v>
      </c>
      <c r="M148">
        <f t="shared" si="25"/>
        <v>18.683104999000001</v>
      </c>
      <c r="N148" s="9"/>
      <c r="O148" s="22">
        <v>0.59494000000000002</v>
      </c>
      <c r="P148" s="22">
        <v>88.027100000000004</v>
      </c>
      <c r="Q148" s="22">
        <v>-1.6720599999999999E-2</v>
      </c>
      <c r="R148" s="22">
        <v>138</v>
      </c>
      <c r="S148" s="22">
        <v>0.59399400000000002</v>
      </c>
      <c r="T148">
        <f t="shared" si="26"/>
        <v>16.720599999999997</v>
      </c>
      <c r="U148">
        <f t="shared" si="27"/>
        <v>9.9477537639999998</v>
      </c>
      <c r="X148" s="9"/>
      <c r="Y148" s="22">
        <v>1.14517</v>
      </c>
      <c r="Z148" s="22">
        <v>137.57300000000001</v>
      </c>
      <c r="AA148" s="22">
        <v>-1.6867099999999999E-2</v>
      </c>
      <c r="AB148" s="22">
        <v>138</v>
      </c>
      <c r="AC148" s="22">
        <v>1.1444099999999999</v>
      </c>
      <c r="AD148">
        <f t="shared" si="28"/>
        <v>16.867100000000001</v>
      </c>
      <c r="AE148">
        <f t="shared" si="29"/>
        <v>19.315696907</v>
      </c>
      <c r="AF148" s="9"/>
      <c r="AG148" s="22">
        <v>0.59494000000000002</v>
      </c>
      <c r="AH148" s="22">
        <v>187.18700000000001</v>
      </c>
      <c r="AI148" s="22">
        <v>-1.6741900000000001E-2</v>
      </c>
      <c r="AJ148" s="22">
        <v>138</v>
      </c>
      <c r="AK148" s="22">
        <v>0.594086</v>
      </c>
      <c r="AL148">
        <f t="shared" si="30"/>
        <v>16.741900000000001</v>
      </c>
      <c r="AM148">
        <f t="shared" si="31"/>
        <v>9.9604259860000006</v>
      </c>
      <c r="AP148" s="9"/>
      <c r="AQ148" s="22">
        <v>1.14517</v>
      </c>
      <c r="AR148" s="22">
        <v>236.81</v>
      </c>
      <c r="AS148" s="25">
        <v>2.4047900000000001E-5</v>
      </c>
      <c r="AT148" s="22">
        <v>138</v>
      </c>
      <c r="AU148" s="22">
        <v>7.8949000000000005E-2</v>
      </c>
      <c r="AV148">
        <f t="shared" si="32"/>
        <v>-2.4047900000000001E-2</v>
      </c>
      <c r="AW148">
        <f t="shared" si="33"/>
        <v>-2.7538933643000002E-2</v>
      </c>
      <c r="AX148" s="9"/>
      <c r="AY148" s="22">
        <v>0.59494000000000002</v>
      </c>
      <c r="AZ148" s="22">
        <v>252.87</v>
      </c>
      <c r="BA148" s="22">
        <v>-4.4854700000000001E-3</v>
      </c>
      <c r="BB148" s="22">
        <v>138</v>
      </c>
      <c r="BC148" s="22">
        <v>0.59445199999999998</v>
      </c>
      <c r="BD148">
        <f t="shared" si="34"/>
        <v>4.4854700000000003</v>
      </c>
      <c r="BE148">
        <f t="shared" si="35"/>
        <v>2.6685855218000003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1.1401399999999999</v>
      </c>
      <c r="H149" s="22">
        <v>38.598799999999997</v>
      </c>
      <c r="I149" s="22">
        <v>-1.6323899999999999E-2</v>
      </c>
      <c r="J149" s="22">
        <v>139</v>
      </c>
      <c r="K149" s="22">
        <v>1.1386099999999999</v>
      </c>
      <c r="L149">
        <f t="shared" si="24"/>
        <v>16.323899999999998</v>
      </c>
      <c r="M149">
        <f t="shared" si="25"/>
        <v>18.611531345999996</v>
      </c>
      <c r="N149" s="9"/>
      <c r="O149" s="22">
        <v>0.59997599999999995</v>
      </c>
      <c r="P149" s="22">
        <v>88.037199999999999</v>
      </c>
      <c r="Q149" s="22">
        <v>-1.67175E-2</v>
      </c>
      <c r="R149" s="22">
        <v>139</v>
      </c>
      <c r="S149" s="22">
        <v>0.59918199999999999</v>
      </c>
      <c r="T149">
        <f t="shared" si="26"/>
        <v>16.717500000000001</v>
      </c>
      <c r="U149">
        <f t="shared" si="27"/>
        <v>10.030098779999999</v>
      </c>
      <c r="X149" s="9"/>
      <c r="Y149" s="22">
        <v>1.1401399999999999</v>
      </c>
      <c r="Z149" s="22">
        <v>137.583</v>
      </c>
      <c r="AA149" s="22">
        <v>-1.6873200000000001E-2</v>
      </c>
      <c r="AB149" s="22">
        <v>139</v>
      </c>
      <c r="AC149" s="22">
        <v>1.1389199999999999</v>
      </c>
      <c r="AD149">
        <f t="shared" si="28"/>
        <v>16.873200000000001</v>
      </c>
      <c r="AE149">
        <f t="shared" si="29"/>
        <v>19.237810247999999</v>
      </c>
      <c r="AF149" s="9"/>
      <c r="AG149" s="22">
        <v>0.59997599999999995</v>
      </c>
      <c r="AH149" s="22">
        <v>187.197</v>
      </c>
      <c r="AI149" s="22">
        <v>-1.6741900000000001E-2</v>
      </c>
      <c r="AJ149" s="22">
        <v>139</v>
      </c>
      <c r="AK149" s="22">
        <v>0.59906000000000004</v>
      </c>
      <c r="AL149">
        <f t="shared" si="30"/>
        <v>16.741900000000001</v>
      </c>
      <c r="AM149">
        <f t="shared" si="31"/>
        <v>10.044738194400001</v>
      </c>
      <c r="AP149" s="9"/>
      <c r="AQ149" s="22">
        <v>1.1401399999999999</v>
      </c>
      <c r="AR149" s="22">
        <v>236.821</v>
      </c>
      <c r="AS149" s="25">
        <v>2.3620599999999999E-5</v>
      </c>
      <c r="AT149" s="22">
        <v>139</v>
      </c>
      <c r="AU149" s="22">
        <v>7.9009999999999997E-2</v>
      </c>
      <c r="AV149">
        <f t="shared" si="32"/>
        <v>-2.3620599999999999E-2</v>
      </c>
      <c r="AW149">
        <f t="shared" si="33"/>
        <v>-2.6930790883999998E-2</v>
      </c>
      <c r="AX149" s="9"/>
      <c r="AY149" s="22">
        <v>0.59997599999999995</v>
      </c>
      <c r="AZ149" s="22">
        <v>252.88</v>
      </c>
      <c r="BA149" s="22">
        <v>-4.4070400000000001E-3</v>
      </c>
      <c r="BB149" s="22">
        <v>139</v>
      </c>
      <c r="BC149" s="22">
        <v>0.59954799999999997</v>
      </c>
      <c r="BD149">
        <f t="shared" si="34"/>
        <v>4.4070400000000003</v>
      </c>
      <c r="BE149">
        <f t="shared" si="35"/>
        <v>2.6441182310399998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1.1351</v>
      </c>
      <c r="H150" s="22">
        <v>38.608899999999998</v>
      </c>
      <c r="I150" s="22">
        <v>-1.6326899999999998E-2</v>
      </c>
      <c r="J150" s="22">
        <v>140</v>
      </c>
      <c r="K150" s="22">
        <v>1.1343399999999999</v>
      </c>
      <c r="L150">
        <f t="shared" si="24"/>
        <v>16.326899999999998</v>
      </c>
      <c r="M150">
        <f t="shared" si="25"/>
        <v>18.532664189999998</v>
      </c>
      <c r="N150" s="9"/>
      <c r="O150" s="22">
        <v>0.60501099999999997</v>
      </c>
      <c r="P150" s="22">
        <v>88.047300000000007</v>
      </c>
      <c r="Q150" s="22">
        <v>-1.67145E-2</v>
      </c>
      <c r="R150" s="22">
        <v>140</v>
      </c>
      <c r="S150" s="22">
        <v>0.60397299999999998</v>
      </c>
      <c r="T150">
        <f t="shared" si="26"/>
        <v>16.714500000000001</v>
      </c>
      <c r="U150">
        <f t="shared" si="27"/>
        <v>10.112456359499999</v>
      </c>
      <c r="X150" s="9"/>
      <c r="Y150" s="22">
        <v>1.1351</v>
      </c>
      <c r="Z150" s="22">
        <v>137.59299999999999</v>
      </c>
      <c r="AA150" s="22">
        <v>-1.68793E-2</v>
      </c>
      <c r="AB150" s="22">
        <v>140</v>
      </c>
      <c r="AC150" s="22">
        <v>1.1349499999999999</v>
      </c>
      <c r="AD150">
        <f t="shared" si="28"/>
        <v>16.879300000000001</v>
      </c>
      <c r="AE150">
        <f t="shared" si="29"/>
        <v>19.159693430000001</v>
      </c>
      <c r="AF150" s="9"/>
      <c r="AG150" s="22">
        <v>0.60501099999999997</v>
      </c>
      <c r="AH150" s="22">
        <v>187.20699999999999</v>
      </c>
      <c r="AI150" s="22">
        <v>-1.6735799999999999E-2</v>
      </c>
      <c r="AJ150" s="22">
        <v>140</v>
      </c>
      <c r="AK150" s="22">
        <v>0.60415600000000003</v>
      </c>
      <c r="AL150">
        <f t="shared" si="30"/>
        <v>16.735799999999998</v>
      </c>
      <c r="AM150">
        <f t="shared" si="31"/>
        <v>10.125343093799998</v>
      </c>
      <c r="AP150" s="9"/>
      <c r="AQ150" s="22">
        <v>1.1351</v>
      </c>
      <c r="AR150" s="22">
        <v>236.83099999999999</v>
      </c>
      <c r="AS150" s="25">
        <v>2.34375E-5</v>
      </c>
      <c r="AT150" s="22">
        <v>140</v>
      </c>
      <c r="AU150" s="22">
        <v>7.8979499999999994E-2</v>
      </c>
      <c r="AV150">
        <f t="shared" si="32"/>
        <v>-2.34375E-2</v>
      </c>
      <c r="AW150">
        <f t="shared" si="33"/>
        <v>-2.660390625E-2</v>
      </c>
      <c r="AX150" s="9"/>
      <c r="AY150" s="22">
        <v>0.60501099999999997</v>
      </c>
      <c r="AZ150" s="22">
        <v>252.89</v>
      </c>
      <c r="BA150" s="22">
        <v>-4.3481400000000003E-3</v>
      </c>
      <c r="BB150" s="22">
        <v>140</v>
      </c>
      <c r="BC150" s="22">
        <v>0.60458400000000001</v>
      </c>
      <c r="BD150">
        <f t="shared" si="34"/>
        <v>4.3481400000000008</v>
      </c>
      <c r="BE150">
        <f t="shared" si="35"/>
        <v>2.6306725295400004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1.1300699999999999</v>
      </c>
      <c r="H151" s="22">
        <v>38.618899999999996</v>
      </c>
      <c r="I151" s="22">
        <v>-1.6333E-2</v>
      </c>
      <c r="J151" s="22">
        <v>141</v>
      </c>
      <c r="K151" s="22">
        <v>1.1285400000000001</v>
      </c>
      <c r="L151">
        <f t="shared" si="24"/>
        <v>16.333000000000002</v>
      </c>
      <c r="M151">
        <f t="shared" si="25"/>
        <v>18.457433309999999</v>
      </c>
      <c r="N151" s="9"/>
      <c r="O151" s="22">
        <v>0.61004599999999998</v>
      </c>
      <c r="P151" s="22">
        <v>88.057400000000001</v>
      </c>
      <c r="Q151" s="22">
        <v>-1.6711400000000001E-2</v>
      </c>
      <c r="R151" s="22">
        <v>141</v>
      </c>
      <c r="S151" s="22">
        <v>0.60913099999999998</v>
      </c>
      <c r="T151">
        <f t="shared" si="26"/>
        <v>16.711400000000001</v>
      </c>
      <c r="U151">
        <f t="shared" si="27"/>
        <v>10.1947227244</v>
      </c>
      <c r="X151" s="9"/>
      <c r="Y151" s="22">
        <v>1.1300699999999999</v>
      </c>
      <c r="Z151" s="22">
        <v>137.60300000000001</v>
      </c>
      <c r="AA151" s="22">
        <v>-1.6888400000000001E-2</v>
      </c>
      <c r="AB151" s="22">
        <v>141</v>
      </c>
      <c r="AC151" s="22">
        <v>1.1294599999999999</v>
      </c>
      <c r="AD151">
        <f t="shared" si="28"/>
        <v>16.888400000000001</v>
      </c>
      <c r="AE151">
        <f t="shared" si="29"/>
        <v>19.085074188</v>
      </c>
      <c r="AF151" s="9"/>
      <c r="AG151" s="22">
        <v>0.61004599999999998</v>
      </c>
      <c r="AH151" s="22">
        <v>187.21700000000001</v>
      </c>
      <c r="AI151" s="22">
        <v>-1.6732799999999999E-2</v>
      </c>
      <c r="AJ151" s="22">
        <v>141</v>
      </c>
      <c r="AK151" s="22">
        <v>0.60916099999999995</v>
      </c>
      <c r="AL151">
        <f t="shared" si="30"/>
        <v>16.732799999999997</v>
      </c>
      <c r="AM151">
        <f t="shared" si="31"/>
        <v>10.207777708799998</v>
      </c>
      <c r="AP151" s="9"/>
      <c r="AQ151" s="22">
        <v>1.1300699999999999</v>
      </c>
      <c r="AR151" s="22">
        <v>236.84100000000001</v>
      </c>
      <c r="AS151" s="25">
        <v>2.4383500000000001E-5</v>
      </c>
      <c r="AT151" s="22">
        <v>141</v>
      </c>
      <c r="AU151" s="22">
        <v>7.9009999999999997E-2</v>
      </c>
      <c r="AV151">
        <f t="shared" si="32"/>
        <v>-2.4383500000000002E-2</v>
      </c>
      <c r="AW151">
        <f t="shared" si="33"/>
        <v>-2.7555061844999999E-2</v>
      </c>
      <c r="AX151" s="9"/>
      <c r="AY151" s="22">
        <v>0.61004599999999998</v>
      </c>
      <c r="AZ151" s="22">
        <v>252.9</v>
      </c>
      <c r="BA151" s="22">
        <v>-4.3679799999999996E-3</v>
      </c>
      <c r="BB151" s="22">
        <v>141</v>
      </c>
      <c r="BC151" s="22">
        <v>0.60968</v>
      </c>
      <c r="BD151">
        <f t="shared" si="34"/>
        <v>4.3679799999999993</v>
      </c>
      <c r="BE151">
        <f t="shared" si="35"/>
        <v>2.6646687270799996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1.12503</v>
      </c>
      <c r="H152" s="22">
        <v>38.628999999999998</v>
      </c>
      <c r="I152" s="22">
        <v>-1.6339099999999999E-2</v>
      </c>
      <c r="J152" s="22">
        <v>142</v>
      </c>
      <c r="K152" s="22">
        <v>1.1242700000000001</v>
      </c>
      <c r="L152">
        <f t="shared" si="24"/>
        <v>16.339099999999998</v>
      </c>
      <c r="M152">
        <f t="shared" si="25"/>
        <v>18.381977672999998</v>
      </c>
      <c r="N152" s="9"/>
      <c r="O152" s="22">
        <v>0.61508200000000002</v>
      </c>
      <c r="P152" s="22">
        <v>88.067400000000006</v>
      </c>
      <c r="Q152" s="22">
        <v>-1.6705299999999999E-2</v>
      </c>
      <c r="R152" s="22">
        <v>142</v>
      </c>
      <c r="S152" s="22">
        <v>0.61419699999999999</v>
      </c>
      <c r="T152">
        <f t="shared" si="26"/>
        <v>16.705299999999998</v>
      </c>
      <c r="U152">
        <f t="shared" si="27"/>
        <v>10.275129334599999</v>
      </c>
      <c r="X152" s="9"/>
      <c r="Y152" s="22">
        <v>1.12503</v>
      </c>
      <c r="Z152" s="22">
        <v>137.613</v>
      </c>
      <c r="AA152" s="22">
        <v>-1.6897599999999999E-2</v>
      </c>
      <c r="AB152" s="22">
        <v>142</v>
      </c>
      <c r="AC152" s="22">
        <v>1.1242700000000001</v>
      </c>
      <c r="AD152">
        <f t="shared" si="28"/>
        <v>16.897599999999997</v>
      </c>
      <c r="AE152">
        <f t="shared" si="29"/>
        <v>19.010306927999995</v>
      </c>
      <c r="AF152" s="9"/>
      <c r="AG152" s="22">
        <v>0.61508200000000002</v>
      </c>
      <c r="AH152" s="22">
        <v>187.227</v>
      </c>
      <c r="AI152" s="22">
        <v>-1.67297E-2</v>
      </c>
      <c r="AJ152" s="22">
        <v>142</v>
      </c>
      <c r="AK152" s="22">
        <v>0.61416599999999999</v>
      </c>
      <c r="AL152">
        <f t="shared" si="30"/>
        <v>16.729700000000001</v>
      </c>
      <c r="AM152">
        <f t="shared" si="31"/>
        <v>10.290137335400001</v>
      </c>
      <c r="AP152" s="9"/>
      <c r="AQ152" s="22">
        <v>1.12503</v>
      </c>
      <c r="AR152" s="22">
        <v>236.851</v>
      </c>
      <c r="AS152" s="25">
        <v>2.4597199999999999E-5</v>
      </c>
      <c r="AT152" s="22">
        <v>142</v>
      </c>
      <c r="AU152" s="22">
        <v>7.8979499999999994E-2</v>
      </c>
      <c r="AV152">
        <f t="shared" si="32"/>
        <v>-2.45972E-2</v>
      </c>
      <c r="AW152">
        <f t="shared" si="33"/>
        <v>-2.7672587916E-2</v>
      </c>
      <c r="AX152" s="9"/>
      <c r="AY152" s="22">
        <v>0.61508200000000002</v>
      </c>
      <c r="AZ152" s="22">
        <v>252.911</v>
      </c>
      <c r="BA152" s="22">
        <v>-4.3435699999999997E-3</v>
      </c>
      <c r="BB152" s="22">
        <v>142</v>
      </c>
      <c r="BC152" s="22">
        <v>0.61462399999999995</v>
      </c>
      <c r="BD152">
        <f t="shared" si="34"/>
        <v>4.3435699999999997</v>
      </c>
      <c r="BE152">
        <f t="shared" si="35"/>
        <v>2.6716517227400001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1.1200000000000001</v>
      </c>
      <c r="H153" s="22">
        <v>38.639099999999999</v>
      </c>
      <c r="I153" s="22">
        <v>-1.6342200000000001E-2</v>
      </c>
      <c r="J153" s="22">
        <v>143</v>
      </c>
      <c r="K153" s="22">
        <v>1.11877</v>
      </c>
      <c r="L153">
        <f t="shared" si="24"/>
        <v>16.342200000000002</v>
      </c>
      <c r="M153">
        <f t="shared" si="25"/>
        <v>18.303264000000002</v>
      </c>
      <c r="N153" s="9"/>
      <c r="O153" s="22">
        <v>0.62011700000000003</v>
      </c>
      <c r="P153" s="22">
        <v>88.077500000000001</v>
      </c>
      <c r="Q153" s="22">
        <v>-1.67023E-2</v>
      </c>
      <c r="R153" s="22">
        <v>143</v>
      </c>
      <c r="S153" s="22">
        <v>0.61926300000000001</v>
      </c>
      <c r="T153">
        <f t="shared" si="26"/>
        <v>16.702300000000001</v>
      </c>
      <c r="U153">
        <f t="shared" si="27"/>
        <v>10.357380169100001</v>
      </c>
      <c r="X153" s="9"/>
      <c r="Y153" s="22">
        <v>1.1200000000000001</v>
      </c>
      <c r="Z153" s="22">
        <v>137.62299999999999</v>
      </c>
      <c r="AA153" s="22">
        <v>-1.69067E-2</v>
      </c>
      <c r="AB153" s="22">
        <v>143</v>
      </c>
      <c r="AC153" s="22">
        <v>1.1190800000000001</v>
      </c>
      <c r="AD153">
        <f t="shared" si="28"/>
        <v>16.906700000000001</v>
      </c>
      <c r="AE153">
        <f t="shared" si="29"/>
        <v>18.935504000000002</v>
      </c>
      <c r="AF153" s="9"/>
      <c r="AG153" s="22">
        <v>0.62011700000000003</v>
      </c>
      <c r="AH153" s="22">
        <v>187.23699999999999</v>
      </c>
      <c r="AI153" s="22">
        <v>-1.67175E-2</v>
      </c>
      <c r="AJ153" s="22">
        <v>143</v>
      </c>
      <c r="AK153" s="22">
        <v>0.61904899999999996</v>
      </c>
      <c r="AL153">
        <f t="shared" si="30"/>
        <v>16.717500000000001</v>
      </c>
      <c r="AM153">
        <f t="shared" si="31"/>
        <v>10.366805947500001</v>
      </c>
      <c r="AP153" s="9"/>
      <c r="AQ153" s="22">
        <v>1.1200000000000001</v>
      </c>
      <c r="AR153" s="22">
        <v>236.86099999999999</v>
      </c>
      <c r="AS153" s="25">
        <v>2.3895300000000001E-5</v>
      </c>
      <c r="AT153" s="22">
        <v>143</v>
      </c>
      <c r="AU153" s="22">
        <v>7.8949000000000005E-2</v>
      </c>
      <c r="AV153">
        <f t="shared" si="32"/>
        <v>-2.3895300000000001E-2</v>
      </c>
      <c r="AW153">
        <f t="shared" si="33"/>
        <v>-2.6762736000000002E-2</v>
      </c>
      <c r="AX153" s="9"/>
      <c r="AY153" s="22">
        <v>0.62011700000000003</v>
      </c>
      <c r="AZ153" s="22">
        <v>252.92099999999999</v>
      </c>
      <c r="BA153" s="22">
        <v>-4.3521100000000002E-3</v>
      </c>
      <c r="BB153" s="22">
        <v>143</v>
      </c>
      <c r="BC153" s="22">
        <v>0.61968999999999996</v>
      </c>
      <c r="BD153">
        <f t="shared" si="34"/>
        <v>4.3521100000000006</v>
      </c>
      <c r="BE153">
        <f t="shared" si="35"/>
        <v>2.6988173968700004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1.11496</v>
      </c>
      <c r="H154" s="22">
        <v>38.649099999999997</v>
      </c>
      <c r="I154" s="22">
        <v>-1.6342200000000001E-2</v>
      </c>
      <c r="J154" s="22">
        <v>144</v>
      </c>
      <c r="K154" s="22">
        <v>1.1135900000000001</v>
      </c>
      <c r="L154">
        <f t="shared" si="24"/>
        <v>16.342200000000002</v>
      </c>
      <c r="M154">
        <f t="shared" si="25"/>
        <v>18.220899312</v>
      </c>
      <c r="N154" s="9"/>
      <c r="O154" s="22">
        <v>0.62515299999999996</v>
      </c>
      <c r="P154" s="22">
        <v>88.087599999999995</v>
      </c>
      <c r="Q154" s="22">
        <v>-1.6699200000000001E-2</v>
      </c>
      <c r="R154" s="22">
        <v>144</v>
      </c>
      <c r="S154" s="22">
        <v>0.62429800000000002</v>
      </c>
      <c r="T154">
        <f t="shared" si="26"/>
        <v>16.699200000000001</v>
      </c>
      <c r="U154">
        <f t="shared" si="27"/>
        <v>10.4395549776</v>
      </c>
      <c r="X154" s="9"/>
      <c r="Y154" s="22">
        <v>1.11496</v>
      </c>
      <c r="Z154" s="22">
        <v>137.63300000000001</v>
      </c>
      <c r="AA154" s="22">
        <v>-1.6909799999999999E-2</v>
      </c>
      <c r="AB154" s="22">
        <v>144</v>
      </c>
      <c r="AC154" s="22">
        <v>1.11328</v>
      </c>
      <c r="AD154">
        <f t="shared" si="28"/>
        <v>16.909800000000001</v>
      </c>
      <c r="AE154">
        <f t="shared" si="29"/>
        <v>18.853750607999999</v>
      </c>
      <c r="AF154" s="9"/>
      <c r="AG154" s="22">
        <v>0.62515299999999996</v>
      </c>
      <c r="AH154" s="22">
        <v>187.24700000000001</v>
      </c>
      <c r="AI154" s="22">
        <v>-1.67145E-2</v>
      </c>
      <c r="AJ154" s="22">
        <v>144</v>
      </c>
      <c r="AK154" s="22">
        <v>0.62432900000000002</v>
      </c>
      <c r="AL154">
        <f t="shared" si="30"/>
        <v>16.714500000000001</v>
      </c>
      <c r="AM154">
        <f t="shared" si="31"/>
        <v>10.4491198185</v>
      </c>
      <c r="AP154" s="9"/>
      <c r="AQ154" s="22">
        <v>1.11496</v>
      </c>
      <c r="AR154" s="22">
        <v>236.87100000000001</v>
      </c>
      <c r="AS154" s="25">
        <v>2.3254399999999999E-5</v>
      </c>
      <c r="AT154" s="22">
        <v>144</v>
      </c>
      <c r="AU154" s="22">
        <v>7.8979499999999994E-2</v>
      </c>
      <c r="AV154">
        <f t="shared" si="32"/>
        <v>-2.3254399999999998E-2</v>
      </c>
      <c r="AW154">
        <f t="shared" si="33"/>
        <v>-2.5927725823999995E-2</v>
      </c>
      <c r="AX154" s="9"/>
      <c r="AY154" s="22">
        <v>0.62515299999999996</v>
      </c>
      <c r="AZ154" s="22">
        <v>252.93100000000001</v>
      </c>
      <c r="BA154" s="22">
        <v>-4.4229100000000004E-3</v>
      </c>
      <c r="BB154" s="22">
        <v>144</v>
      </c>
      <c r="BC154" s="22">
        <v>0.624664</v>
      </c>
      <c r="BD154">
        <f t="shared" si="34"/>
        <v>4.4229100000000008</v>
      </c>
      <c r="BE154">
        <f t="shared" si="35"/>
        <v>2.7649954552300002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1.10992</v>
      </c>
      <c r="H155" s="22">
        <v>38.659199999999998</v>
      </c>
      <c r="I155" s="22">
        <v>-1.6342200000000001E-2</v>
      </c>
      <c r="J155" s="22">
        <v>145</v>
      </c>
      <c r="K155" s="22">
        <v>1.1090100000000001</v>
      </c>
      <c r="L155">
        <f t="shared" si="24"/>
        <v>16.342200000000002</v>
      </c>
      <c r="M155">
        <f t="shared" si="25"/>
        <v>18.138534624000002</v>
      </c>
      <c r="N155" s="9"/>
      <c r="O155" s="22">
        <v>0.63018799999999997</v>
      </c>
      <c r="P155" s="22">
        <v>88.0976</v>
      </c>
      <c r="Q155" s="22">
        <v>-1.6693099999999999E-2</v>
      </c>
      <c r="R155" s="22">
        <v>145</v>
      </c>
      <c r="S155" s="22">
        <v>0.62930299999999995</v>
      </c>
      <c r="T155">
        <f t="shared" si="26"/>
        <v>16.693099999999998</v>
      </c>
      <c r="U155">
        <f t="shared" si="27"/>
        <v>10.519791302799998</v>
      </c>
      <c r="X155" s="9"/>
      <c r="Y155" s="22">
        <v>1.10992</v>
      </c>
      <c r="Z155" s="22">
        <v>137.643</v>
      </c>
      <c r="AA155" s="22">
        <v>-1.6909799999999999E-2</v>
      </c>
      <c r="AB155" s="22">
        <v>145</v>
      </c>
      <c r="AC155" s="22">
        <v>1.1087</v>
      </c>
      <c r="AD155">
        <f t="shared" si="28"/>
        <v>16.909800000000001</v>
      </c>
      <c r="AE155">
        <f t="shared" si="29"/>
        <v>18.768525216</v>
      </c>
      <c r="AF155" s="9"/>
      <c r="AG155" s="22">
        <v>0.63018799999999997</v>
      </c>
      <c r="AH155" s="22">
        <v>187.25800000000001</v>
      </c>
      <c r="AI155" s="22">
        <v>-1.6708400000000002E-2</v>
      </c>
      <c r="AJ155" s="22">
        <v>145</v>
      </c>
      <c r="AK155" s="22">
        <v>0.62942500000000001</v>
      </c>
      <c r="AL155">
        <f t="shared" si="30"/>
        <v>16.708400000000001</v>
      </c>
      <c r="AM155">
        <f t="shared" si="31"/>
        <v>10.5294331792</v>
      </c>
      <c r="AP155" s="9"/>
      <c r="AQ155" s="22">
        <v>1.10992</v>
      </c>
      <c r="AR155" s="22">
        <v>236.881</v>
      </c>
      <c r="AS155" s="25">
        <v>2.3925800000000001E-5</v>
      </c>
      <c r="AT155" s="22">
        <v>145</v>
      </c>
      <c r="AU155" s="22">
        <v>7.8918500000000003E-2</v>
      </c>
      <c r="AV155">
        <f t="shared" si="32"/>
        <v>-2.3925800000000001E-2</v>
      </c>
      <c r="AW155">
        <f t="shared" si="33"/>
        <v>-2.6555723936E-2</v>
      </c>
      <c r="AX155" s="9"/>
      <c r="AY155" s="22">
        <v>0.63018799999999997</v>
      </c>
      <c r="AZ155" s="22">
        <v>252.941</v>
      </c>
      <c r="BA155" s="22">
        <v>-4.4299300000000003E-3</v>
      </c>
      <c r="BB155" s="22">
        <v>145</v>
      </c>
      <c r="BC155" s="22">
        <v>0.62979099999999999</v>
      </c>
      <c r="BD155">
        <f t="shared" si="34"/>
        <v>4.4299300000000006</v>
      </c>
      <c r="BE155">
        <f t="shared" si="35"/>
        <v>2.7916887268400004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1.1048899999999999</v>
      </c>
      <c r="H156" s="22">
        <v>38.6693</v>
      </c>
      <c r="I156" s="22">
        <v>-1.6351299999999999E-2</v>
      </c>
      <c r="J156" s="22">
        <v>146</v>
      </c>
      <c r="K156" s="22">
        <v>1.10321</v>
      </c>
      <c r="L156">
        <f t="shared" si="24"/>
        <v>16.351299999999998</v>
      </c>
      <c r="M156">
        <f t="shared" si="25"/>
        <v>18.066387856999999</v>
      </c>
      <c r="N156" s="9"/>
      <c r="O156" s="22">
        <v>0.63522299999999998</v>
      </c>
      <c r="P156" s="22">
        <v>88.107699999999994</v>
      </c>
      <c r="Q156" s="22">
        <v>-1.6690099999999999E-2</v>
      </c>
      <c r="R156" s="22">
        <v>146</v>
      </c>
      <c r="S156" s="22">
        <v>0.63433799999999996</v>
      </c>
      <c r="T156">
        <f t="shared" si="26"/>
        <v>16.690100000000001</v>
      </c>
      <c r="U156">
        <f t="shared" si="27"/>
        <v>10.6019353923</v>
      </c>
      <c r="X156" s="9"/>
      <c r="Y156" s="22">
        <v>1.1048899999999999</v>
      </c>
      <c r="Z156" s="22">
        <v>137.65299999999999</v>
      </c>
      <c r="AA156" s="22">
        <v>-1.6909799999999999E-2</v>
      </c>
      <c r="AB156" s="22">
        <v>146</v>
      </c>
      <c r="AC156" s="22">
        <v>1.1041300000000001</v>
      </c>
      <c r="AD156">
        <f t="shared" si="28"/>
        <v>16.909800000000001</v>
      </c>
      <c r="AE156">
        <f t="shared" si="29"/>
        <v>18.683468921999999</v>
      </c>
      <c r="AF156" s="9"/>
      <c r="AG156" s="22">
        <v>0.63522299999999998</v>
      </c>
      <c r="AH156" s="22">
        <v>187.268</v>
      </c>
      <c r="AI156" s="22">
        <v>-1.67145E-2</v>
      </c>
      <c r="AJ156" s="22">
        <v>146</v>
      </c>
      <c r="AK156" s="22">
        <v>0.63430799999999998</v>
      </c>
      <c r="AL156">
        <f t="shared" si="30"/>
        <v>16.714500000000001</v>
      </c>
      <c r="AM156">
        <f t="shared" si="31"/>
        <v>10.617434833500001</v>
      </c>
      <c r="AP156" s="9"/>
      <c r="AQ156" s="22">
        <v>1.1048899999999999</v>
      </c>
      <c r="AR156" s="22">
        <v>236.89099999999999</v>
      </c>
      <c r="AS156" s="25">
        <v>2.3559600000000001E-5</v>
      </c>
      <c r="AT156" s="22">
        <v>146</v>
      </c>
      <c r="AU156" s="22">
        <v>7.8979499999999994E-2</v>
      </c>
      <c r="AV156">
        <f t="shared" si="32"/>
        <v>-2.35596E-2</v>
      </c>
      <c r="AW156">
        <f t="shared" si="33"/>
        <v>-2.6030766443999997E-2</v>
      </c>
      <c r="AX156" s="9"/>
      <c r="AY156" s="22">
        <v>0.63522299999999998</v>
      </c>
      <c r="AZ156" s="22">
        <v>252.95099999999999</v>
      </c>
      <c r="BA156" s="22">
        <v>-4.4247399999999999E-3</v>
      </c>
      <c r="BB156" s="22">
        <v>146</v>
      </c>
      <c r="BC156" s="22">
        <v>0.63482700000000003</v>
      </c>
      <c r="BD156">
        <f t="shared" si="34"/>
        <v>4.4247399999999999</v>
      </c>
      <c r="BE156">
        <f t="shared" si="35"/>
        <v>2.8106966170200001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1.09985</v>
      </c>
      <c r="H157" s="22">
        <v>38.679400000000001</v>
      </c>
      <c r="I157" s="22">
        <v>-1.6357400000000001E-2</v>
      </c>
      <c r="J157" s="22">
        <v>147</v>
      </c>
      <c r="K157" s="22">
        <v>1.09924</v>
      </c>
      <c r="L157">
        <f t="shared" si="24"/>
        <v>16.357400000000002</v>
      </c>
      <c r="M157">
        <f t="shared" si="25"/>
        <v>17.99068639</v>
      </c>
      <c r="N157" s="9"/>
      <c r="O157" s="22">
        <v>0.64025900000000002</v>
      </c>
      <c r="P157" s="22">
        <v>88.117800000000003</v>
      </c>
      <c r="Q157" s="22">
        <v>-1.6684000000000001E-2</v>
      </c>
      <c r="R157" s="22">
        <v>147</v>
      </c>
      <c r="S157" s="22">
        <v>0.63928200000000002</v>
      </c>
      <c r="T157">
        <f t="shared" si="26"/>
        <v>16.684000000000001</v>
      </c>
      <c r="U157">
        <f t="shared" si="27"/>
        <v>10.682081156000001</v>
      </c>
      <c r="X157" s="9"/>
      <c r="Y157" s="22">
        <v>1.09985</v>
      </c>
      <c r="Z157" s="22">
        <v>137.66300000000001</v>
      </c>
      <c r="AA157" s="22">
        <v>-1.6912799999999999E-2</v>
      </c>
      <c r="AB157" s="22">
        <v>147</v>
      </c>
      <c r="AC157" s="22">
        <v>1.09894</v>
      </c>
      <c r="AD157">
        <f t="shared" si="28"/>
        <v>16.912799999999997</v>
      </c>
      <c r="AE157">
        <f t="shared" si="29"/>
        <v>18.601543079999995</v>
      </c>
      <c r="AF157" s="9"/>
      <c r="AG157" s="22">
        <v>0.64025900000000002</v>
      </c>
      <c r="AH157" s="22">
        <v>187.27799999999999</v>
      </c>
      <c r="AI157" s="22">
        <v>-1.6711400000000001E-2</v>
      </c>
      <c r="AJ157" s="22">
        <v>147</v>
      </c>
      <c r="AK157" s="22">
        <v>0.63943499999999998</v>
      </c>
      <c r="AL157">
        <f t="shared" si="30"/>
        <v>16.711400000000001</v>
      </c>
      <c r="AM157">
        <f t="shared" si="31"/>
        <v>10.699624252600001</v>
      </c>
      <c r="AP157" s="9"/>
      <c r="AQ157" s="22">
        <v>1.09985</v>
      </c>
      <c r="AR157" s="22">
        <v>236.90100000000001</v>
      </c>
      <c r="AS157" s="25">
        <v>2.3193400000000001E-5</v>
      </c>
      <c r="AT157" s="22">
        <v>147</v>
      </c>
      <c r="AU157" s="22">
        <v>7.8979499999999994E-2</v>
      </c>
      <c r="AV157">
        <f t="shared" si="32"/>
        <v>-2.3193399999999999E-2</v>
      </c>
      <c r="AW157">
        <f t="shared" si="33"/>
        <v>-2.5509260989999998E-2</v>
      </c>
      <c r="AX157" s="9"/>
      <c r="AY157" s="22">
        <v>0.64025900000000002</v>
      </c>
      <c r="AZ157" s="22">
        <v>252.96100000000001</v>
      </c>
      <c r="BA157" s="22">
        <v>-4.3713399999999996E-3</v>
      </c>
      <c r="BB157" s="22">
        <v>147</v>
      </c>
      <c r="BC157" s="22">
        <v>0.63983199999999996</v>
      </c>
      <c r="BD157">
        <f t="shared" si="34"/>
        <v>4.37134</v>
      </c>
      <c r="BE157">
        <f t="shared" si="35"/>
        <v>2.7987897770600001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1.0948199999999999</v>
      </c>
      <c r="H158" s="22">
        <v>38.689399999999999</v>
      </c>
      <c r="I158" s="22">
        <v>-1.63605E-2</v>
      </c>
      <c r="J158" s="22">
        <v>148</v>
      </c>
      <c r="K158" s="22">
        <v>1.09314</v>
      </c>
      <c r="L158">
        <f t="shared" si="24"/>
        <v>16.360500000000002</v>
      </c>
      <c r="M158">
        <f t="shared" si="25"/>
        <v>17.911802609999999</v>
      </c>
      <c r="N158" s="9"/>
      <c r="O158" s="22">
        <v>0.64529400000000003</v>
      </c>
      <c r="P158" s="22">
        <v>88.127899999999997</v>
      </c>
      <c r="Q158" s="22">
        <v>-1.6680899999999999E-2</v>
      </c>
      <c r="R158" s="22">
        <v>148</v>
      </c>
      <c r="S158" s="22">
        <v>0.64431799999999995</v>
      </c>
      <c r="T158">
        <f t="shared" si="26"/>
        <v>16.680899999999998</v>
      </c>
      <c r="U158">
        <f t="shared" si="27"/>
        <v>10.764084684599998</v>
      </c>
      <c r="X158" s="9"/>
      <c r="Y158" s="22">
        <v>1.0948199999999999</v>
      </c>
      <c r="Z158" s="22">
        <v>137.673</v>
      </c>
      <c r="AA158" s="22">
        <v>-1.6897599999999999E-2</v>
      </c>
      <c r="AB158" s="22">
        <v>148</v>
      </c>
      <c r="AC158" s="22">
        <v>1.09314</v>
      </c>
      <c r="AD158">
        <f t="shared" si="28"/>
        <v>16.897599999999997</v>
      </c>
      <c r="AE158">
        <f t="shared" si="29"/>
        <v>18.499830431999996</v>
      </c>
      <c r="AF158" s="9"/>
      <c r="AG158" s="22">
        <v>0.64529400000000003</v>
      </c>
      <c r="AH158" s="22">
        <v>187.28800000000001</v>
      </c>
      <c r="AI158" s="22">
        <v>-1.6711400000000001E-2</v>
      </c>
      <c r="AJ158" s="22">
        <v>148</v>
      </c>
      <c r="AK158" s="22">
        <v>0.64437900000000004</v>
      </c>
      <c r="AL158">
        <f t="shared" si="30"/>
        <v>16.711400000000001</v>
      </c>
      <c r="AM158">
        <f t="shared" si="31"/>
        <v>10.783766151600002</v>
      </c>
      <c r="AP158" s="9"/>
      <c r="AQ158" s="22">
        <v>1.0948199999999999</v>
      </c>
      <c r="AR158" s="22">
        <v>236.911</v>
      </c>
      <c r="AS158" s="25">
        <v>2.3468E-5</v>
      </c>
      <c r="AT158" s="22">
        <v>148</v>
      </c>
      <c r="AU158" s="22">
        <v>7.8918500000000003E-2</v>
      </c>
      <c r="AV158">
        <f t="shared" si="32"/>
        <v>-2.3467999999999999E-2</v>
      </c>
      <c r="AW158">
        <f t="shared" si="33"/>
        <v>-2.5693235759999995E-2</v>
      </c>
      <c r="AX158" s="9"/>
      <c r="AY158" s="22">
        <v>0.64529400000000003</v>
      </c>
      <c r="AZ158" s="22">
        <v>252.971</v>
      </c>
      <c r="BA158" s="22">
        <v>-4.5837400000000002E-3</v>
      </c>
      <c r="BB158" s="22">
        <v>148</v>
      </c>
      <c r="BC158" s="22">
        <v>0.64483599999999996</v>
      </c>
      <c r="BD158">
        <f t="shared" si="34"/>
        <v>4.5837400000000006</v>
      </c>
      <c r="BE158">
        <f t="shared" si="35"/>
        <v>2.9578599195600006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1.08978</v>
      </c>
      <c r="H159" s="22">
        <v>38.6995</v>
      </c>
      <c r="I159" s="22">
        <v>-1.63635E-2</v>
      </c>
      <c r="J159" s="22">
        <v>149</v>
      </c>
      <c r="K159" s="22">
        <v>1.08856</v>
      </c>
      <c r="L159">
        <f t="shared" si="24"/>
        <v>16.363499999999998</v>
      </c>
      <c r="M159">
        <f t="shared" si="25"/>
        <v>17.832615029999999</v>
      </c>
      <c r="N159" s="9"/>
      <c r="O159" s="22">
        <v>0.65032999999999996</v>
      </c>
      <c r="P159" s="22">
        <v>88.137900000000002</v>
      </c>
      <c r="Q159" s="22">
        <v>-1.6680899999999999E-2</v>
      </c>
      <c r="R159" s="22">
        <v>149</v>
      </c>
      <c r="S159" s="22">
        <v>0.64956700000000001</v>
      </c>
      <c r="T159">
        <f t="shared" si="26"/>
        <v>16.680899999999998</v>
      </c>
      <c r="U159">
        <f t="shared" si="27"/>
        <v>10.848089696999997</v>
      </c>
      <c r="X159" s="9"/>
      <c r="Y159" s="22">
        <v>1.08978</v>
      </c>
      <c r="Z159" s="22">
        <v>137.68299999999999</v>
      </c>
      <c r="AA159" s="22">
        <v>-1.6903700000000001E-2</v>
      </c>
      <c r="AB159" s="22">
        <v>149</v>
      </c>
      <c r="AC159" s="22">
        <v>1.08856</v>
      </c>
      <c r="AD159">
        <f t="shared" si="28"/>
        <v>16.903700000000001</v>
      </c>
      <c r="AE159">
        <f t="shared" si="29"/>
        <v>18.421314186</v>
      </c>
      <c r="AF159" s="9"/>
      <c r="AG159" s="22">
        <v>0.65032999999999996</v>
      </c>
      <c r="AH159" s="22">
        <v>187.298</v>
      </c>
      <c r="AI159" s="22">
        <v>-1.6708400000000002E-2</v>
      </c>
      <c r="AJ159" s="22">
        <v>149</v>
      </c>
      <c r="AK159" s="22">
        <v>0.64950600000000003</v>
      </c>
      <c r="AL159">
        <f t="shared" si="30"/>
        <v>16.708400000000001</v>
      </c>
      <c r="AM159">
        <f t="shared" si="31"/>
        <v>10.865973772</v>
      </c>
      <c r="AP159" s="9"/>
      <c r="AQ159" s="22">
        <v>1.08978</v>
      </c>
      <c r="AR159" s="22">
        <v>236.92099999999999</v>
      </c>
      <c r="AS159" s="25">
        <v>2.36816E-5</v>
      </c>
      <c r="AT159" s="22">
        <v>149</v>
      </c>
      <c r="AU159" s="22">
        <v>7.8979499999999994E-2</v>
      </c>
      <c r="AV159">
        <f t="shared" si="32"/>
        <v>-2.3681600000000001E-2</v>
      </c>
      <c r="AW159">
        <f t="shared" si="33"/>
        <v>-2.5807734047999999E-2</v>
      </c>
      <c r="AX159" s="9"/>
      <c r="AY159" s="22">
        <v>0.65032999999999996</v>
      </c>
      <c r="AZ159" s="22">
        <v>252.98099999999999</v>
      </c>
      <c r="BA159" s="22">
        <v>-6.1462399999999999E-3</v>
      </c>
      <c r="BB159" s="22">
        <v>149</v>
      </c>
      <c r="BC159" s="22">
        <v>0.64999399999999996</v>
      </c>
      <c r="BD159">
        <f t="shared" si="34"/>
        <v>6.1462399999999997</v>
      </c>
      <c r="BE159">
        <f t="shared" si="35"/>
        <v>3.9970842591999998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1.0847500000000001</v>
      </c>
      <c r="H160" s="22">
        <v>38.709600000000002</v>
      </c>
      <c r="I160" s="22">
        <v>-1.63635E-2</v>
      </c>
      <c r="J160" s="22">
        <v>150</v>
      </c>
      <c r="K160" s="22">
        <v>1.08368</v>
      </c>
      <c r="L160">
        <f t="shared" si="24"/>
        <v>16.363499999999998</v>
      </c>
      <c r="M160">
        <f t="shared" si="25"/>
        <v>17.750306625</v>
      </c>
      <c r="N160" s="9"/>
      <c r="O160" s="22">
        <v>0.65536499999999998</v>
      </c>
      <c r="P160" s="22">
        <v>88.147999999999996</v>
      </c>
      <c r="Q160" s="22">
        <v>-1.6680899999999999E-2</v>
      </c>
      <c r="R160" s="22">
        <v>150</v>
      </c>
      <c r="S160" s="22">
        <v>0.65444899999999995</v>
      </c>
      <c r="T160">
        <f t="shared" si="26"/>
        <v>16.680899999999998</v>
      </c>
      <c r="U160">
        <f t="shared" si="27"/>
        <v>10.932078028499998</v>
      </c>
      <c r="X160" s="9"/>
      <c r="Y160" s="22">
        <v>1.0847500000000001</v>
      </c>
      <c r="Z160" s="22">
        <v>137.69300000000001</v>
      </c>
      <c r="AA160" s="22">
        <v>-1.6918900000000001E-2</v>
      </c>
      <c r="AB160" s="22">
        <v>150</v>
      </c>
      <c r="AC160" s="22">
        <v>1.08368</v>
      </c>
      <c r="AD160">
        <f t="shared" si="28"/>
        <v>16.918900000000001</v>
      </c>
      <c r="AE160">
        <f t="shared" si="29"/>
        <v>18.352776775000002</v>
      </c>
      <c r="AF160" s="9"/>
      <c r="AG160" s="22">
        <v>0.65536499999999998</v>
      </c>
      <c r="AH160" s="22">
        <v>187.30799999999999</v>
      </c>
      <c r="AI160" s="22">
        <v>-1.6705299999999999E-2</v>
      </c>
      <c r="AJ160" s="22">
        <v>150</v>
      </c>
      <c r="AK160" s="22">
        <v>0.65447999999999995</v>
      </c>
      <c r="AL160">
        <f t="shared" si="30"/>
        <v>16.705299999999998</v>
      </c>
      <c r="AM160">
        <f t="shared" si="31"/>
        <v>10.948068934499998</v>
      </c>
      <c r="AP160" s="9"/>
      <c r="AQ160" s="22">
        <v>1.0847500000000001</v>
      </c>
      <c r="AR160" s="22">
        <v>236.93100000000001</v>
      </c>
      <c r="AS160" s="25">
        <v>2.34375E-5</v>
      </c>
      <c r="AT160" s="22">
        <v>150</v>
      </c>
      <c r="AU160" s="22">
        <v>7.8979499999999994E-2</v>
      </c>
      <c r="AV160">
        <f t="shared" si="32"/>
        <v>-2.34375E-2</v>
      </c>
      <c r="AW160">
        <f t="shared" si="33"/>
        <v>-2.5423828125000002E-2</v>
      </c>
      <c r="AX160" s="9"/>
      <c r="AY160" s="22">
        <v>0.65536499999999998</v>
      </c>
      <c r="AZ160" s="22">
        <v>252.99100000000001</v>
      </c>
      <c r="BA160" s="22">
        <v>-5.6030300000000002E-3</v>
      </c>
      <c r="BB160" s="22">
        <v>150</v>
      </c>
      <c r="BC160" s="22">
        <v>0.65496799999999999</v>
      </c>
      <c r="BD160">
        <f t="shared" si="34"/>
        <v>5.6030300000000004</v>
      </c>
      <c r="BE160">
        <f t="shared" si="35"/>
        <v>3.6720297559500001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1.0797099999999999</v>
      </c>
      <c r="H161" s="22">
        <v>38.7196</v>
      </c>
      <c r="I161" s="22">
        <v>-1.6366599999999999E-2</v>
      </c>
      <c r="J161" s="22">
        <v>151</v>
      </c>
      <c r="K161" s="22">
        <v>1.07819</v>
      </c>
      <c r="L161">
        <f t="shared" si="24"/>
        <v>16.366599999999998</v>
      </c>
      <c r="M161">
        <f t="shared" si="25"/>
        <v>17.671181685999997</v>
      </c>
      <c r="N161" s="9"/>
      <c r="O161" s="22">
        <v>0.66039999999999999</v>
      </c>
      <c r="P161" s="22">
        <v>88.158100000000005</v>
      </c>
      <c r="Q161" s="22">
        <v>-1.6677899999999999E-2</v>
      </c>
      <c r="R161" s="22">
        <v>151</v>
      </c>
      <c r="S161" s="22">
        <v>0.65951499999999996</v>
      </c>
      <c r="T161">
        <f t="shared" si="26"/>
        <v>16.677899999999998</v>
      </c>
      <c r="U161">
        <f t="shared" si="27"/>
        <v>11.014085159999999</v>
      </c>
      <c r="X161" s="9"/>
      <c r="Y161" s="22">
        <v>1.0797099999999999</v>
      </c>
      <c r="Z161" s="22">
        <v>137.70400000000001</v>
      </c>
      <c r="AA161" s="22">
        <v>-1.6918900000000001E-2</v>
      </c>
      <c r="AB161" s="22">
        <v>151</v>
      </c>
      <c r="AC161" s="22">
        <v>1.0788</v>
      </c>
      <c r="AD161">
        <f t="shared" si="28"/>
        <v>16.918900000000001</v>
      </c>
      <c r="AE161">
        <f t="shared" si="29"/>
        <v>18.267505519</v>
      </c>
      <c r="AF161" s="9"/>
      <c r="AG161" s="22">
        <v>0.66039999999999999</v>
      </c>
      <c r="AH161" s="22">
        <v>187.31800000000001</v>
      </c>
      <c r="AI161" s="22">
        <v>-1.6705299999999999E-2</v>
      </c>
      <c r="AJ161" s="22">
        <v>151</v>
      </c>
      <c r="AK161" s="22">
        <v>0.65945399999999998</v>
      </c>
      <c r="AL161">
        <f t="shared" si="30"/>
        <v>16.705299999999998</v>
      </c>
      <c r="AM161">
        <f t="shared" si="31"/>
        <v>11.032180119999998</v>
      </c>
      <c r="AP161" s="9"/>
      <c r="AQ161" s="22">
        <v>1.0797099999999999</v>
      </c>
      <c r="AR161" s="22">
        <v>236.941</v>
      </c>
      <c r="AS161" s="25">
        <v>2.16064E-5</v>
      </c>
      <c r="AT161" s="22">
        <v>151</v>
      </c>
      <c r="AU161" s="22">
        <v>7.8949000000000005E-2</v>
      </c>
      <c r="AV161">
        <f t="shared" si="32"/>
        <v>-2.1606400000000001E-2</v>
      </c>
      <c r="AW161">
        <f t="shared" si="33"/>
        <v>-2.3328646144000001E-2</v>
      </c>
      <c r="AX161" s="9"/>
      <c r="AY161" s="22">
        <v>0.66039999999999999</v>
      </c>
      <c r="AZ161" s="22">
        <v>253.001</v>
      </c>
      <c r="BA161" s="22">
        <v>-6.1859100000000002E-3</v>
      </c>
      <c r="BB161" s="22">
        <v>151</v>
      </c>
      <c r="BC161" s="22">
        <v>0.65994299999999995</v>
      </c>
      <c r="BD161">
        <f t="shared" si="34"/>
        <v>6.1859099999999998</v>
      </c>
      <c r="BE161">
        <f t="shared" si="35"/>
        <v>4.0851749640000001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1.0746800000000001</v>
      </c>
      <c r="H162" s="22">
        <v>38.729700000000001</v>
      </c>
      <c r="I162" s="22">
        <v>-1.63727E-2</v>
      </c>
      <c r="J162" s="22">
        <v>152</v>
      </c>
      <c r="K162" s="22">
        <v>1.0732999999999999</v>
      </c>
      <c r="L162">
        <f t="shared" si="24"/>
        <v>16.372700000000002</v>
      </c>
      <c r="M162">
        <f t="shared" si="25"/>
        <v>17.595413236000002</v>
      </c>
      <c r="N162" s="9"/>
      <c r="O162" s="22">
        <v>0.66543600000000003</v>
      </c>
      <c r="P162" s="22">
        <v>88.168099999999995</v>
      </c>
      <c r="Q162" s="22">
        <v>-1.6671800000000001E-2</v>
      </c>
      <c r="R162" s="22">
        <v>152</v>
      </c>
      <c r="S162" s="22">
        <v>0.66458099999999998</v>
      </c>
      <c r="T162">
        <f t="shared" si="26"/>
        <v>16.671800000000001</v>
      </c>
      <c r="U162">
        <f t="shared" si="27"/>
        <v>11.094015904800001</v>
      </c>
      <c r="X162" s="9"/>
      <c r="Y162" s="22">
        <v>1.0746800000000001</v>
      </c>
      <c r="Z162" s="22">
        <v>137.714</v>
      </c>
      <c r="AA162" s="22">
        <v>-1.6922E-2</v>
      </c>
      <c r="AB162" s="22">
        <v>152</v>
      </c>
      <c r="AC162" s="22">
        <v>1.073</v>
      </c>
      <c r="AD162">
        <f t="shared" si="28"/>
        <v>16.922000000000001</v>
      </c>
      <c r="AE162">
        <f t="shared" si="29"/>
        <v>18.185734960000001</v>
      </c>
      <c r="AF162" s="9"/>
      <c r="AG162" s="22">
        <v>0.66543600000000003</v>
      </c>
      <c r="AH162" s="22">
        <v>187.328</v>
      </c>
      <c r="AI162" s="22">
        <v>-1.67023E-2</v>
      </c>
      <c r="AJ162" s="22">
        <v>152</v>
      </c>
      <c r="AK162" s="22">
        <v>0.66452</v>
      </c>
      <c r="AL162">
        <f t="shared" si="30"/>
        <v>16.702300000000001</v>
      </c>
      <c r="AM162">
        <f t="shared" si="31"/>
        <v>11.114311702800002</v>
      </c>
      <c r="AP162" s="9"/>
      <c r="AQ162" s="22">
        <v>1.0746800000000001</v>
      </c>
      <c r="AR162" s="22">
        <v>236.95099999999999</v>
      </c>
      <c r="AS162" s="25">
        <v>2.2643999999999999E-5</v>
      </c>
      <c r="AT162" s="22">
        <v>152</v>
      </c>
      <c r="AU162" s="22">
        <v>7.8887899999999997E-2</v>
      </c>
      <c r="AV162">
        <f t="shared" si="32"/>
        <v>-2.2643999999999997E-2</v>
      </c>
      <c r="AW162">
        <f t="shared" si="33"/>
        <v>-2.4335053919999999E-2</v>
      </c>
      <c r="AX162" s="9"/>
      <c r="AY162" s="22">
        <v>0.66543600000000003</v>
      </c>
      <c r="AZ162" s="22">
        <v>253.011</v>
      </c>
      <c r="BA162" s="22">
        <v>-6.0485799999999996E-3</v>
      </c>
      <c r="BB162" s="22">
        <v>152</v>
      </c>
      <c r="BC162" s="22">
        <v>0.66497799999999996</v>
      </c>
      <c r="BD162">
        <f t="shared" si="34"/>
        <v>6.0485799999999994</v>
      </c>
      <c r="BE162">
        <f t="shared" si="35"/>
        <v>4.0249428808799994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1.0696399999999999</v>
      </c>
      <c r="H163" s="22">
        <v>38.739800000000002</v>
      </c>
      <c r="I163" s="22">
        <v>-1.6378799999999999E-2</v>
      </c>
      <c r="J163" s="22">
        <v>153</v>
      </c>
      <c r="K163" s="22">
        <v>1.0678099999999999</v>
      </c>
      <c r="L163">
        <f t="shared" si="24"/>
        <v>16.378799999999998</v>
      </c>
      <c r="M163">
        <f t="shared" si="25"/>
        <v>17.519419631999998</v>
      </c>
      <c r="N163" s="9"/>
      <c r="O163" s="22">
        <v>0.67047100000000004</v>
      </c>
      <c r="P163" s="22">
        <v>88.178200000000004</v>
      </c>
      <c r="Q163" s="22">
        <v>-1.6671800000000001E-2</v>
      </c>
      <c r="R163" s="22">
        <v>153</v>
      </c>
      <c r="S163" s="22">
        <v>0.66970799999999997</v>
      </c>
      <c r="T163">
        <f t="shared" si="26"/>
        <v>16.671800000000001</v>
      </c>
      <c r="U163">
        <f t="shared" si="27"/>
        <v>11.177958417800001</v>
      </c>
      <c r="X163" s="9"/>
      <c r="Y163" s="22">
        <v>1.0696399999999999</v>
      </c>
      <c r="Z163" s="22">
        <v>137.72399999999999</v>
      </c>
      <c r="AA163" s="22">
        <v>-1.6928100000000001E-2</v>
      </c>
      <c r="AB163" s="22">
        <v>153</v>
      </c>
      <c r="AC163" s="22">
        <v>1.0678099999999999</v>
      </c>
      <c r="AD163">
        <f t="shared" si="28"/>
        <v>16.928100000000001</v>
      </c>
      <c r="AE163">
        <f t="shared" si="29"/>
        <v>18.106972884000001</v>
      </c>
      <c r="AF163" s="9"/>
      <c r="AG163" s="22">
        <v>0.67047100000000004</v>
      </c>
      <c r="AH163" s="22">
        <v>187.33799999999999</v>
      </c>
      <c r="AI163" s="22">
        <v>-1.67023E-2</v>
      </c>
      <c r="AJ163" s="22">
        <v>153</v>
      </c>
      <c r="AK163" s="22">
        <v>0.66955600000000004</v>
      </c>
      <c r="AL163">
        <f t="shared" si="30"/>
        <v>16.702300000000001</v>
      </c>
      <c r="AM163">
        <f t="shared" si="31"/>
        <v>11.198407783300002</v>
      </c>
      <c r="AP163" s="9"/>
      <c r="AQ163" s="22">
        <v>1.0696399999999999</v>
      </c>
      <c r="AR163" s="22">
        <v>236.96199999999999</v>
      </c>
      <c r="AS163" s="25">
        <v>2.2277799999999999E-5</v>
      </c>
      <c r="AT163" s="22">
        <v>153</v>
      </c>
      <c r="AU163" s="22">
        <v>7.8918500000000003E-2</v>
      </c>
      <c r="AV163">
        <f t="shared" si="32"/>
        <v>-2.22778E-2</v>
      </c>
      <c r="AW163">
        <f t="shared" si="33"/>
        <v>-2.3829225991999999E-2</v>
      </c>
      <c r="AX163" s="9"/>
      <c r="AY163" s="22">
        <v>0.67047100000000004</v>
      </c>
      <c r="AZ163" s="22">
        <v>253.02099999999999</v>
      </c>
      <c r="BA163" s="22">
        <v>-6.0882599999999999E-3</v>
      </c>
      <c r="BB163" s="22">
        <v>153</v>
      </c>
      <c r="BC163" s="22">
        <v>0.669983</v>
      </c>
      <c r="BD163">
        <f t="shared" si="34"/>
        <v>6.08826</v>
      </c>
      <c r="BE163">
        <f t="shared" si="35"/>
        <v>4.0820017704600007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1.0646100000000001</v>
      </c>
      <c r="H164" s="22">
        <v>38.749899999999997</v>
      </c>
      <c r="I164" s="22">
        <v>-1.6384900000000001E-2</v>
      </c>
      <c r="J164" s="22">
        <v>154</v>
      </c>
      <c r="K164" s="22">
        <v>1.0635399999999999</v>
      </c>
      <c r="L164">
        <f t="shared" si="24"/>
        <v>16.384900000000002</v>
      </c>
      <c r="M164">
        <f t="shared" si="25"/>
        <v>17.443528389000004</v>
      </c>
      <c r="N164" s="9"/>
      <c r="O164" s="22">
        <v>0.67550699999999997</v>
      </c>
      <c r="P164" s="22">
        <v>88.188299999999998</v>
      </c>
      <c r="Q164" s="22">
        <v>-1.6668700000000002E-2</v>
      </c>
      <c r="R164" s="22">
        <v>154</v>
      </c>
      <c r="S164" s="22">
        <v>0.67465200000000003</v>
      </c>
      <c r="T164">
        <f t="shared" si="26"/>
        <v>16.668700000000001</v>
      </c>
      <c r="U164">
        <f t="shared" si="27"/>
        <v>11.2598235309</v>
      </c>
      <c r="X164" s="9"/>
      <c r="Y164" s="22">
        <v>1.0646100000000001</v>
      </c>
      <c r="Z164" s="22">
        <v>137.73400000000001</v>
      </c>
      <c r="AA164" s="22">
        <v>-1.6940299999999998E-2</v>
      </c>
      <c r="AB164" s="22">
        <v>154</v>
      </c>
      <c r="AC164" s="22">
        <v>1.0638399999999999</v>
      </c>
      <c r="AD164">
        <f t="shared" si="28"/>
        <v>16.940299999999997</v>
      </c>
      <c r="AE164">
        <f t="shared" si="29"/>
        <v>18.034812782999996</v>
      </c>
      <c r="AF164" s="9"/>
      <c r="AG164" s="22">
        <v>0.67550699999999997</v>
      </c>
      <c r="AH164" s="22">
        <v>187.34800000000001</v>
      </c>
      <c r="AI164" s="22">
        <v>-1.6696200000000001E-2</v>
      </c>
      <c r="AJ164" s="22">
        <v>154</v>
      </c>
      <c r="AK164" s="22">
        <v>0.67465200000000003</v>
      </c>
      <c r="AL164">
        <f t="shared" si="30"/>
        <v>16.696200000000001</v>
      </c>
      <c r="AM164">
        <f t="shared" si="31"/>
        <v>11.278399973400001</v>
      </c>
      <c r="AP164" s="9"/>
      <c r="AQ164" s="22">
        <v>1.0646100000000001</v>
      </c>
      <c r="AR164" s="22">
        <v>236.97200000000001</v>
      </c>
      <c r="AS164" s="25">
        <v>2.3407000000000001E-5</v>
      </c>
      <c r="AT164" s="22">
        <v>154</v>
      </c>
      <c r="AU164" s="22">
        <v>7.8918500000000003E-2</v>
      </c>
      <c r="AV164">
        <f t="shared" si="32"/>
        <v>-2.3407000000000001E-2</v>
      </c>
      <c r="AW164">
        <f t="shared" si="33"/>
        <v>-2.4919326270000004E-2</v>
      </c>
      <c r="AX164" s="9"/>
      <c r="AY164" s="22">
        <v>0.67550699999999997</v>
      </c>
      <c r="AZ164" s="22">
        <v>253.03100000000001</v>
      </c>
      <c r="BA164" s="22">
        <v>-6.1675999999999996E-3</v>
      </c>
      <c r="BB164" s="22">
        <v>154</v>
      </c>
      <c r="BC164" s="22">
        <v>0.67498800000000003</v>
      </c>
      <c r="BD164">
        <f t="shared" si="34"/>
        <v>6.1675999999999993</v>
      </c>
      <c r="BE164">
        <f t="shared" si="35"/>
        <v>4.1662569731999994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1.0595699999999999</v>
      </c>
      <c r="H165" s="22">
        <v>38.759900000000002</v>
      </c>
      <c r="I165" s="22">
        <v>-1.63879E-2</v>
      </c>
      <c r="J165" s="22">
        <v>155</v>
      </c>
      <c r="K165" s="22">
        <v>1.0583499999999999</v>
      </c>
      <c r="L165">
        <f t="shared" si="24"/>
        <v>16.387900000000002</v>
      </c>
      <c r="M165">
        <f t="shared" si="25"/>
        <v>17.364127202999999</v>
      </c>
      <c r="N165" s="9"/>
      <c r="O165" s="22">
        <v>0.68054199999999998</v>
      </c>
      <c r="P165" s="22">
        <v>88.198300000000003</v>
      </c>
      <c r="Q165" s="22">
        <v>-1.6668700000000002E-2</v>
      </c>
      <c r="R165" s="22">
        <v>155</v>
      </c>
      <c r="S165" s="22">
        <v>0.67965699999999996</v>
      </c>
      <c r="T165">
        <f t="shared" si="26"/>
        <v>16.668700000000001</v>
      </c>
      <c r="U165">
        <f t="shared" si="27"/>
        <v>11.3437504354</v>
      </c>
      <c r="X165" s="9"/>
      <c r="Y165" s="22">
        <v>1.0595699999999999</v>
      </c>
      <c r="Z165" s="22">
        <v>137.744</v>
      </c>
      <c r="AA165" s="22">
        <v>-1.6943400000000001E-2</v>
      </c>
      <c r="AB165" s="22">
        <v>155</v>
      </c>
      <c r="AC165" s="22">
        <v>1.0583499999999999</v>
      </c>
      <c r="AD165">
        <f t="shared" si="28"/>
        <v>16.9434</v>
      </c>
      <c r="AE165">
        <f t="shared" si="29"/>
        <v>17.952718338</v>
      </c>
      <c r="AF165" s="9"/>
      <c r="AG165" s="22">
        <v>0.68054199999999998</v>
      </c>
      <c r="AH165" s="22">
        <v>187.358</v>
      </c>
      <c r="AI165" s="22">
        <v>-1.6693099999999999E-2</v>
      </c>
      <c r="AJ165" s="22">
        <v>155</v>
      </c>
      <c r="AK165" s="22">
        <v>0.67959599999999998</v>
      </c>
      <c r="AL165">
        <f t="shared" si="30"/>
        <v>16.693099999999998</v>
      </c>
      <c r="AM165">
        <f t="shared" si="31"/>
        <v>11.360355660199998</v>
      </c>
      <c r="AP165" s="9"/>
      <c r="AQ165" s="22">
        <v>1.0595699999999999</v>
      </c>
      <c r="AR165" s="22">
        <v>236.982</v>
      </c>
      <c r="AS165" s="25">
        <v>2.22473E-5</v>
      </c>
      <c r="AT165" s="22">
        <v>155</v>
      </c>
      <c r="AU165" s="22">
        <v>7.8979499999999994E-2</v>
      </c>
      <c r="AV165">
        <f t="shared" si="32"/>
        <v>-2.2247300000000001E-2</v>
      </c>
      <c r="AW165">
        <f t="shared" si="33"/>
        <v>-2.3572571660999998E-2</v>
      </c>
      <c r="AX165" s="9"/>
      <c r="AY165" s="22">
        <v>0.68054199999999998</v>
      </c>
      <c r="AZ165" s="22">
        <v>253.041</v>
      </c>
      <c r="BA165" s="22">
        <v>-6.1981199999999997E-3</v>
      </c>
      <c r="BB165" s="22">
        <v>155</v>
      </c>
      <c r="BC165" s="22">
        <v>0.68005400000000005</v>
      </c>
      <c r="BD165">
        <f t="shared" si="34"/>
        <v>6.1981199999999994</v>
      </c>
      <c r="BE165">
        <f t="shared" si="35"/>
        <v>4.2180809810399991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1.05453</v>
      </c>
      <c r="H166" s="22">
        <v>38.770000000000003</v>
      </c>
      <c r="I166" s="22">
        <v>-1.6393999999999999E-2</v>
      </c>
      <c r="J166" s="22">
        <v>156</v>
      </c>
      <c r="K166" s="22">
        <v>1.0534699999999999</v>
      </c>
      <c r="L166">
        <f t="shared" si="24"/>
        <v>16.393999999999998</v>
      </c>
      <c r="M166">
        <f t="shared" si="25"/>
        <v>17.287964819999999</v>
      </c>
      <c r="N166" s="9"/>
      <c r="O166" s="22">
        <v>0.68557699999999999</v>
      </c>
      <c r="P166" s="22">
        <v>88.208399999999997</v>
      </c>
      <c r="Q166" s="22">
        <v>-1.6668700000000002E-2</v>
      </c>
      <c r="R166" s="22">
        <v>156</v>
      </c>
      <c r="S166" s="22">
        <v>0.68450900000000003</v>
      </c>
      <c r="T166">
        <f t="shared" si="26"/>
        <v>16.668700000000001</v>
      </c>
      <c r="U166">
        <f t="shared" si="27"/>
        <v>11.427677339900001</v>
      </c>
      <c r="X166" s="9"/>
      <c r="Y166" s="22">
        <v>1.05453</v>
      </c>
      <c r="Z166" s="22">
        <v>137.75399999999999</v>
      </c>
      <c r="AA166" s="22">
        <v>-1.6937299999999999E-2</v>
      </c>
      <c r="AB166" s="22">
        <v>156</v>
      </c>
      <c r="AC166" s="22">
        <v>1.0534699999999999</v>
      </c>
      <c r="AD166">
        <f t="shared" si="28"/>
        <v>16.9373</v>
      </c>
      <c r="AE166">
        <f t="shared" si="29"/>
        <v>17.860890969</v>
      </c>
      <c r="AF166" s="9"/>
      <c r="AG166" s="22">
        <v>0.68557699999999999</v>
      </c>
      <c r="AH166" s="22">
        <v>187.36799999999999</v>
      </c>
      <c r="AI166" s="22">
        <v>-1.6690099999999999E-2</v>
      </c>
      <c r="AJ166" s="22">
        <v>156</v>
      </c>
      <c r="AK166" s="22">
        <v>0.68472299999999997</v>
      </c>
      <c r="AL166">
        <f t="shared" si="30"/>
        <v>16.690100000000001</v>
      </c>
      <c r="AM166">
        <f t="shared" si="31"/>
        <v>11.442348687700001</v>
      </c>
      <c r="AP166" s="9"/>
      <c r="AQ166" s="22">
        <v>1.05453</v>
      </c>
      <c r="AR166" s="22">
        <v>236.99199999999999</v>
      </c>
      <c r="AS166" s="25">
        <v>2.1209700000000001E-5</v>
      </c>
      <c r="AT166" s="22">
        <v>156</v>
      </c>
      <c r="AU166" s="22">
        <v>7.8887899999999997E-2</v>
      </c>
      <c r="AV166">
        <f t="shared" si="32"/>
        <v>-2.1209700000000001E-2</v>
      </c>
      <c r="AW166">
        <f t="shared" si="33"/>
        <v>-2.2366264941E-2</v>
      </c>
      <c r="AX166" s="9"/>
      <c r="AY166" s="22">
        <v>0.68557699999999999</v>
      </c>
      <c r="AZ166" s="22">
        <v>253.05199999999999</v>
      </c>
      <c r="BA166" s="22">
        <v>-6.14929E-3</v>
      </c>
      <c r="BB166" s="22">
        <v>156</v>
      </c>
      <c r="BC166" s="22">
        <v>0.68502799999999997</v>
      </c>
      <c r="BD166">
        <f t="shared" si="34"/>
        <v>6.1492899999999997</v>
      </c>
      <c r="BE166">
        <f t="shared" si="35"/>
        <v>4.2158117903300001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1.0495000000000001</v>
      </c>
      <c r="H167" s="22">
        <v>38.780099999999997</v>
      </c>
      <c r="I167" s="22">
        <v>-1.6400100000000001E-2</v>
      </c>
      <c r="J167" s="22">
        <v>157</v>
      </c>
      <c r="K167" s="22">
        <v>1.0485800000000001</v>
      </c>
      <c r="L167">
        <f t="shared" si="24"/>
        <v>16.400100000000002</v>
      </c>
      <c r="M167">
        <f t="shared" si="25"/>
        <v>17.211904950000005</v>
      </c>
      <c r="N167" s="9"/>
      <c r="O167" s="22">
        <v>0.69061300000000003</v>
      </c>
      <c r="P167" s="22">
        <v>88.218500000000006</v>
      </c>
      <c r="Q167" s="22">
        <v>-1.6665599999999999E-2</v>
      </c>
      <c r="R167" s="22">
        <v>157</v>
      </c>
      <c r="S167" s="22">
        <v>0.68972800000000001</v>
      </c>
      <c r="T167">
        <f t="shared" si="26"/>
        <v>16.665599999999998</v>
      </c>
      <c r="U167">
        <f t="shared" si="27"/>
        <v>11.509480012799999</v>
      </c>
      <c r="X167" s="9"/>
      <c r="Y167" s="22">
        <v>1.0495000000000001</v>
      </c>
      <c r="Z167" s="22">
        <v>137.76400000000001</v>
      </c>
      <c r="AA167" s="22">
        <v>-1.6949499999999999E-2</v>
      </c>
      <c r="AB167" s="22">
        <v>157</v>
      </c>
      <c r="AC167" s="22">
        <v>1.0479700000000001</v>
      </c>
      <c r="AD167">
        <f t="shared" si="28"/>
        <v>16.9495</v>
      </c>
      <c r="AE167">
        <f t="shared" si="29"/>
        <v>17.788500250000002</v>
      </c>
      <c r="AF167" s="9"/>
      <c r="AG167" s="22">
        <v>0.69061300000000003</v>
      </c>
      <c r="AH167" s="22">
        <v>187.37799999999999</v>
      </c>
      <c r="AI167" s="22">
        <v>-1.6687E-2</v>
      </c>
      <c r="AJ167" s="22">
        <v>157</v>
      </c>
      <c r="AK167" s="22">
        <v>0.68972800000000001</v>
      </c>
      <c r="AL167">
        <f t="shared" si="30"/>
        <v>16.687000000000001</v>
      </c>
      <c r="AM167">
        <f t="shared" si="31"/>
        <v>11.524259131000001</v>
      </c>
      <c r="AP167" s="9"/>
      <c r="AQ167" s="22">
        <v>1.0495000000000001</v>
      </c>
      <c r="AR167" s="22">
        <v>237.00200000000001</v>
      </c>
      <c r="AS167" s="25">
        <v>2.1453900000000001E-5</v>
      </c>
      <c r="AT167" s="22">
        <v>157</v>
      </c>
      <c r="AU167" s="22">
        <v>7.8918500000000003E-2</v>
      </c>
      <c r="AV167">
        <f t="shared" si="32"/>
        <v>-2.1453900000000001E-2</v>
      </c>
      <c r="AW167">
        <f t="shared" si="33"/>
        <v>-2.2515868050000002E-2</v>
      </c>
      <c r="AX167" s="9"/>
      <c r="AY167" s="22">
        <v>0.69061300000000003</v>
      </c>
      <c r="AZ167" s="22">
        <v>253.06200000000001</v>
      </c>
      <c r="BA167" s="22">
        <v>-6.3232399999999999E-3</v>
      </c>
      <c r="BB167" s="22">
        <v>157</v>
      </c>
      <c r="BC167" s="22">
        <v>0.69006299999999998</v>
      </c>
      <c r="BD167">
        <f t="shared" si="34"/>
        <v>6.3232400000000002</v>
      </c>
      <c r="BE167">
        <f t="shared" si="35"/>
        <v>4.3669117461200004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1.0444599999999999</v>
      </c>
      <c r="H168" s="22">
        <v>38.790100000000002</v>
      </c>
      <c r="I168" s="22">
        <v>-1.64032E-2</v>
      </c>
      <c r="J168" s="22">
        <v>158</v>
      </c>
      <c r="K168" s="22">
        <v>1.0427900000000001</v>
      </c>
      <c r="L168">
        <f t="shared" si="24"/>
        <v>16.403199999999998</v>
      </c>
      <c r="M168">
        <f t="shared" si="25"/>
        <v>17.132486271999998</v>
      </c>
      <c r="N168" s="9"/>
      <c r="O168" s="22">
        <v>0.69564800000000004</v>
      </c>
      <c r="P168" s="22">
        <v>88.2286</v>
      </c>
      <c r="Q168" s="22">
        <v>-1.6665599999999999E-2</v>
      </c>
      <c r="R168" s="22">
        <v>158</v>
      </c>
      <c r="S168" s="22">
        <v>0.69479400000000002</v>
      </c>
      <c r="T168">
        <f t="shared" si="26"/>
        <v>16.665599999999998</v>
      </c>
      <c r="U168">
        <f t="shared" si="27"/>
        <v>11.593391308799999</v>
      </c>
      <c r="X168" s="9"/>
      <c r="Y168" s="22">
        <v>1.0444599999999999</v>
      </c>
      <c r="Z168" s="22">
        <v>137.774</v>
      </c>
      <c r="AA168" s="22">
        <v>-1.6952499999999999E-2</v>
      </c>
      <c r="AB168" s="22">
        <v>158</v>
      </c>
      <c r="AC168" s="22">
        <v>1.0443100000000001</v>
      </c>
      <c r="AD168">
        <f t="shared" si="28"/>
        <v>16.952500000000001</v>
      </c>
      <c r="AE168">
        <f t="shared" si="29"/>
        <v>17.706208149999998</v>
      </c>
      <c r="AF168" s="9"/>
      <c r="AG168" s="22">
        <v>0.69564800000000004</v>
      </c>
      <c r="AH168" s="22">
        <v>187.38800000000001</v>
      </c>
      <c r="AI168" s="22">
        <v>-1.6684000000000001E-2</v>
      </c>
      <c r="AJ168" s="22">
        <v>158</v>
      </c>
      <c r="AK168" s="22">
        <v>0.69479400000000002</v>
      </c>
      <c r="AL168">
        <f t="shared" si="30"/>
        <v>16.684000000000001</v>
      </c>
      <c r="AM168">
        <f t="shared" si="31"/>
        <v>11.606191232000002</v>
      </c>
      <c r="AP168" s="9"/>
      <c r="AQ168" s="22">
        <v>1.0444599999999999</v>
      </c>
      <c r="AR168" s="22">
        <v>237.012</v>
      </c>
      <c r="AS168" s="25">
        <v>2.1545399999999999E-5</v>
      </c>
      <c r="AT168" s="22">
        <v>158</v>
      </c>
      <c r="AU168" s="22">
        <v>7.8857399999999994E-2</v>
      </c>
      <c r="AV168">
        <f t="shared" si="32"/>
        <v>-2.1545399999999999E-2</v>
      </c>
      <c r="AW168">
        <f t="shared" si="33"/>
        <v>-2.2503308483999999E-2</v>
      </c>
      <c r="AX168" s="9"/>
      <c r="AY168" s="22">
        <v>0.69564800000000004</v>
      </c>
      <c r="AZ168" s="22">
        <v>253.072</v>
      </c>
      <c r="BA168" s="22">
        <v>-6.2927199999999999E-3</v>
      </c>
      <c r="BB168" s="22">
        <v>158</v>
      </c>
      <c r="BC168" s="22">
        <v>0.69516</v>
      </c>
      <c r="BD168">
        <f t="shared" si="34"/>
        <v>6.2927200000000001</v>
      </c>
      <c r="BE168">
        <f t="shared" si="35"/>
        <v>4.37751808256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1.0394300000000001</v>
      </c>
      <c r="H169" s="22">
        <v>38.800199999999997</v>
      </c>
      <c r="I169" s="22">
        <v>-1.64032E-2</v>
      </c>
      <c r="J169" s="22">
        <v>159</v>
      </c>
      <c r="K169" s="22">
        <v>1.0382100000000001</v>
      </c>
      <c r="L169">
        <f t="shared" si="24"/>
        <v>16.403199999999998</v>
      </c>
      <c r="M169">
        <f t="shared" si="25"/>
        <v>17.049978176</v>
      </c>
      <c r="N169" s="9"/>
      <c r="O169" s="22">
        <v>0.70068399999999997</v>
      </c>
      <c r="P169" s="22">
        <v>88.238600000000005</v>
      </c>
      <c r="Q169" s="22">
        <v>-1.6659500000000001E-2</v>
      </c>
      <c r="R169" s="22">
        <v>159</v>
      </c>
      <c r="S169" s="22">
        <v>0.69998199999999999</v>
      </c>
      <c r="T169">
        <f t="shared" si="26"/>
        <v>16.659500000000001</v>
      </c>
      <c r="U169">
        <f t="shared" si="27"/>
        <v>11.673045098000001</v>
      </c>
      <c r="X169" s="9"/>
      <c r="Y169" s="22">
        <v>1.0394300000000001</v>
      </c>
      <c r="Z169" s="22">
        <v>137.78399999999999</v>
      </c>
      <c r="AA169" s="22">
        <v>-1.6958600000000001E-2</v>
      </c>
      <c r="AB169" s="22">
        <v>159</v>
      </c>
      <c r="AC169" s="22">
        <v>1.03729</v>
      </c>
      <c r="AD169">
        <f t="shared" si="28"/>
        <v>16.958600000000001</v>
      </c>
      <c r="AE169">
        <f t="shared" si="29"/>
        <v>17.627277598000003</v>
      </c>
      <c r="AF169" s="9"/>
      <c r="AG169" s="22">
        <v>0.70068399999999997</v>
      </c>
      <c r="AH169" s="22">
        <v>187.399</v>
      </c>
      <c r="AI169" s="22">
        <v>-1.6680899999999999E-2</v>
      </c>
      <c r="AJ169" s="22">
        <v>159</v>
      </c>
      <c r="AK169" s="22">
        <v>0.69989000000000001</v>
      </c>
      <c r="AL169">
        <f t="shared" si="30"/>
        <v>16.680899999999998</v>
      </c>
      <c r="AM169">
        <f t="shared" si="31"/>
        <v>11.688039735599999</v>
      </c>
      <c r="AP169" s="9"/>
      <c r="AQ169" s="22">
        <v>1.0394300000000001</v>
      </c>
      <c r="AR169" s="22">
        <v>237.02199999999999</v>
      </c>
      <c r="AS169" s="25">
        <v>2.2277799999999999E-5</v>
      </c>
      <c r="AT169" s="22">
        <v>159</v>
      </c>
      <c r="AU169" s="22">
        <v>7.8887899999999997E-2</v>
      </c>
      <c r="AV169">
        <f t="shared" si="32"/>
        <v>-2.22778E-2</v>
      </c>
      <c r="AW169">
        <f t="shared" si="33"/>
        <v>-2.3156213654000002E-2</v>
      </c>
      <c r="AX169" s="9"/>
      <c r="AY169" s="22">
        <v>0.70068399999999997</v>
      </c>
      <c r="AZ169" s="22">
        <v>253.08199999999999</v>
      </c>
      <c r="BA169" s="22">
        <v>-6.2744100000000002E-3</v>
      </c>
      <c r="BB169" s="22">
        <v>159</v>
      </c>
      <c r="BC169" s="22">
        <v>0.70022600000000002</v>
      </c>
      <c r="BD169">
        <f t="shared" si="34"/>
        <v>6.2744100000000005</v>
      </c>
      <c r="BE169">
        <f t="shared" si="35"/>
        <v>4.3963786964400002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1.0343899999999999</v>
      </c>
      <c r="H170" s="22">
        <v>38.810299999999998</v>
      </c>
      <c r="I170" s="22">
        <v>-1.6406299999999999E-2</v>
      </c>
      <c r="J170" s="22">
        <v>160</v>
      </c>
      <c r="K170" s="22">
        <v>1.03302</v>
      </c>
      <c r="L170">
        <f t="shared" si="24"/>
        <v>16.406299999999998</v>
      </c>
      <c r="M170">
        <f t="shared" si="25"/>
        <v>16.970512656999997</v>
      </c>
      <c r="N170" s="9"/>
      <c r="O170" s="22">
        <v>0.70571899999999999</v>
      </c>
      <c r="P170" s="22">
        <v>88.248699999999999</v>
      </c>
      <c r="Q170" s="22">
        <v>-1.6656500000000001E-2</v>
      </c>
      <c r="R170" s="22">
        <v>160</v>
      </c>
      <c r="S170" s="22">
        <v>0.70477299999999998</v>
      </c>
      <c r="T170">
        <f t="shared" si="26"/>
        <v>16.656500000000001</v>
      </c>
      <c r="U170">
        <f t="shared" si="27"/>
        <v>11.754808523500001</v>
      </c>
      <c r="X170" s="9"/>
      <c r="Y170" s="22">
        <v>1.0343899999999999</v>
      </c>
      <c r="Z170" s="22">
        <v>137.79400000000001</v>
      </c>
      <c r="AA170" s="22">
        <v>-1.6964699999999999E-2</v>
      </c>
      <c r="AB170" s="22">
        <v>160</v>
      </c>
      <c r="AC170" s="22">
        <v>1.03027</v>
      </c>
      <c r="AD170">
        <f t="shared" si="28"/>
        <v>16.964700000000001</v>
      </c>
      <c r="AE170">
        <f t="shared" si="29"/>
        <v>17.548116032999999</v>
      </c>
      <c r="AF170" s="9"/>
      <c r="AG170" s="22">
        <v>0.70571899999999999</v>
      </c>
      <c r="AH170" s="22">
        <v>187.40899999999999</v>
      </c>
      <c r="AI170" s="22">
        <v>-1.66748E-2</v>
      </c>
      <c r="AJ170" s="22">
        <v>160</v>
      </c>
      <c r="AK170" s="22">
        <v>0.70489500000000005</v>
      </c>
      <c r="AL170">
        <f t="shared" si="30"/>
        <v>16.674800000000001</v>
      </c>
      <c r="AM170">
        <f t="shared" si="31"/>
        <v>11.767723181200001</v>
      </c>
      <c r="AP170" s="9"/>
      <c r="AQ170" s="22">
        <v>1.0343899999999999</v>
      </c>
      <c r="AR170" s="22">
        <v>237.03200000000001</v>
      </c>
      <c r="AS170" s="25">
        <v>2.2674600000000001E-5</v>
      </c>
      <c r="AT170" s="22">
        <v>160</v>
      </c>
      <c r="AU170" s="22">
        <v>7.8857399999999994E-2</v>
      </c>
      <c r="AV170">
        <f t="shared" si="32"/>
        <v>-2.2674600000000003E-2</v>
      </c>
      <c r="AW170">
        <f t="shared" si="33"/>
        <v>-2.3454379494000002E-2</v>
      </c>
      <c r="AX170" s="9"/>
      <c r="AY170" s="22">
        <v>0.70571899999999999</v>
      </c>
      <c r="AZ170" s="22">
        <v>253.09200000000001</v>
      </c>
      <c r="BA170" s="22">
        <v>-6.2713600000000001E-3</v>
      </c>
      <c r="BB170" s="22">
        <v>160</v>
      </c>
      <c r="BC170" s="22">
        <v>0.70529200000000003</v>
      </c>
      <c r="BD170">
        <f t="shared" si="34"/>
        <v>6.2713600000000005</v>
      </c>
      <c r="BE170">
        <f t="shared" si="35"/>
        <v>4.42581790784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1.0293600000000001</v>
      </c>
      <c r="H171" s="22">
        <v>38.820300000000003</v>
      </c>
      <c r="I171" s="22">
        <v>-1.6412400000000001E-2</v>
      </c>
      <c r="J171" s="22">
        <v>161</v>
      </c>
      <c r="K171" s="22">
        <v>1.0281400000000001</v>
      </c>
      <c r="L171">
        <f t="shared" si="24"/>
        <v>16.412400000000002</v>
      </c>
      <c r="M171">
        <f t="shared" si="25"/>
        <v>16.894268064000002</v>
      </c>
      <c r="N171" s="9"/>
      <c r="O171" s="22">
        <v>0.710754</v>
      </c>
      <c r="P171" s="22">
        <v>88.258799999999994</v>
      </c>
      <c r="Q171" s="22">
        <v>-1.66473E-2</v>
      </c>
      <c r="R171" s="22">
        <v>161</v>
      </c>
      <c r="S171" s="22">
        <v>0.70986899999999997</v>
      </c>
      <c r="T171">
        <f t="shared" si="26"/>
        <v>16.647300000000001</v>
      </c>
      <c r="U171">
        <f t="shared" si="27"/>
        <v>11.832135064200001</v>
      </c>
      <c r="X171" s="9"/>
      <c r="Y171" s="22">
        <v>1.0293600000000001</v>
      </c>
      <c r="Z171" s="22">
        <v>137.804</v>
      </c>
      <c r="AA171" s="22">
        <v>-1.6964699999999999E-2</v>
      </c>
      <c r="AB171" s="22">
        <v>161</v>
      </c>
      <c r="AC171" s="22">
        <v>1.0281400000000001</v>
      </c>
      <c r="AD171">
        <f t="shared" si="28"/>
        <v>16.964700000000001</v>
      </c>
      <c r="AE171">
        <f t="shared" si="29"/>
        <v>17.462783592000001</v>
      </c>
      <c r="AF171" s="9"/>
      <c r="AG171" s="22">
        <v>0.710754</v>
      </c>
      <c r="AH171" s="22">
        <v>187.41900000000001</v>
      </c>
      <c r="AI171" s="22">
        <v>-1.6665599999999999E-2</v>
      </c>
      <c r="AJ171" s="22">
        <v>161</v>
      </c>
      <c r="AK171" s="22">
        <v>0.70992999999999995</v>
      </c>
      <c r="AL171">
        <f t="shared" si="30"/>
        <v>16.665599999999998</v>
      </c>
      <c r="AM171">
        <f t="shared" si="31"/>
        <v>11.845141862399998</v>
      </c>
      <c r="AP171" s="9"/>
      <c r="AQ171" s="22">
        <v>1.0293600000000001</v>
      </c>
      <c r="AR171" s="22">
        <v>237.042</v>
      </c>
      <c r="AS171" s="25">
        <v>2.6489300000000001E-5</v>
      </c>
      <c r="AT171" s="22">
        <v>161</v>
      </c>
      <c r="AU171" s="22">
        <v>7.8918500000000003E-2</v>
      </c>
      <c r="AV171">
        <f t="shared" si="32"/>
        <v>-2.64893E-2</v>
      </c>
      <c r="AW171">
        <f t="shared" si="33"/>
        <v>-2.7267025848E-2</v>
      </c>
      <c r="AX171" s="9"/>
      <c r="AY171" s="22">
        <v>0.710754</v>
      </c>
      <c r="AZ171" s="22">
        <v>253.102</v>
      </c>
      <c r="BA171" s="22">
        <v>-6.1859100000000002E-3</v>
      </c>
      <c r="BB171" s="22">
        <v>161</v>
      </c>
      <c r="BC171" s="22">
        <v>0.71026599999999995</v>
      </c>
      <c r="BD171">
        <f t="shared" si="34"/>
        <v>6.1859099999999998</v>
      </c>
      <c r="BE171">
        <f t="shared" si="35"/>
        <v>4.3966602761399995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1.0243199999999999</v>
      </c>
      <c r="H172" s="22">
        <v>38.830399999999997</v>
      </c>
      <c r="I172" s="22">
        <v>-1.64154E-2</v>
      </c>
      <c r="J172" s="22">
        <v>162</v>
      </c>
      <c r="K172" s="22">
        <v>1.02295</v>
      </c>
      <c r="L172">
        <f t="shared" si="24"/>
        <v>16.415400000000002</v>
      </c>
      <c r="M172">
        <f t="shared" si="25"/>
        <v>16.814622528000001</v>
      </c>
      <c r="N172" s="9"/>
      <c r="O172" s="22">
        <v>0.71579000000000004</v>
      </c>
      <c r="P172" s="22">
        <v>88.268799999999999</v>
      </c>
      <c r="Q172" s="22">
        <v>-1.66473E-2</v>
      </c>
      <c r="R172" s="22">
        <v>162</v>
      </c>
      <c r="S172" s="22">
        <v>0.71487400000000001</v>
      </c>
      <c r="T172">
        <f t="shared" si="26"/>
        <v>16.647300000000001</v>
      </c>
      <c r="U172">
        <f t="shared" si="27"/>
        <v>11.915970867000002</v>
      </c>
      <c r="X172" s="9"/>
      <c r="Y172" s="22">
        <v>1.0243199999999999</v>
      </c>
      <c r="Z172" s="22">
        <v>137.81399999999999</v>
      </c>
      <c r="AA172" s="22">
        <v>-1.6970800000000001E-2</v>
      </c>
      <c r="AB172" s="22">
        <v>162</v>
      </c>
      <c r="AC172" s="22">
        <v>1.02325</v>
      </c>
      <c r="AD172">
        <f t="shared" si="28"/>
        <v>16.970800000000001</v>
      </c>
      <c r="AE172">
        <f t="shared" si="29"/>
        <v>17.383529855999999</v>
      </c>
      <c r="AF172" s="9"/>
      <c r="AG172" s="22">
        <v>0.71579000000000004</v>
      </c>
      <c r="AH172" s="22">
        <v>187.429</v>
      </c>
      <c r="AI172" s="22">
        <v>-1.6659500000000001E-2</v>
      </c>
      <c r="AJ172" s="22">
        <v>162</v>
      </c>
      <c r="AK172" s="22">
        <v>0.71490500000000001</v>
      </c>
      <c r="AL172">
        <f t="shared" si="30"/>
        <v>16.659500000000001</v>
      </c>
      <c r="AM172">
        <f t="shared" si="31"/>
        <v>11.924703505000002</v>
      </c>
      <c r="AP172" s="9"/>
      <c r="AQ172" s="22">
        <v>1.0243199999999999</v>
      </c>
      <c r="AR172" s="22">
        <v>237.05199999999999</v>
      </c>
      <c r="AS172" s="25">
        <v>2.57874E-5</v>
      </c>
      <c r="AT172" s="22">
        <v>162</v>
      </c>
      <c r="AU172" s="22">
        <v>7.8949000000000005E-2</v>
      </c>
      <c r="AV172">
        <f t="shared" si="32"/>
        <v>-2.5787399999999999E-2</v>
      </c>
      <c r="AW172">
        <f t="shared" si="33"/>
        <v>-2.6414549567999997E-2</v>
      </c>
      <c r="AX172" s="9"/>
      <c r="AY172" s="22">
        <v>0.71579000000000004</v>
      </c>
      <c r="AZ172" s="22">
        <v>253.11199999999999</v>
      </c>
      <c r="BA172" s="22">
        <v>-6.1645500000000004E-3</v>
      </c>
      <c r="BB172" s="22">
        <v>162</v>
      </c>
      <c r="BC172" s="22">
        <v>0.71536299999999997</v>
      </c>
      <c r="BD172">
        <f t="shared" si="34"/>
        <v>6.1645500000000002</v>
      </c>
      <c r="BE172">
        <f t="shared" si="35"/>
        <v>4.4125232445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1.01929</v>
      </c>
      <c r="H173" s="22">
        <v>38.840499999999999</v>
      </c>
      <c r="I173" s="22">
        <v>-1.6424600000000001E-2</v>
      </c>
      <c r="J173" s="22">
        <v>163</v>
      </c>
      <c r="K173" s="22">
        <v>1.01807</v>
      </c>
      <c r="L173">
        <f t="shared" si="24"/>
        <v>16.424600000000002</v>
      </c>
      <c r="M173">
        <f t="shared" si="25"/>
        <v>16.741430534000003</v>
      </c>
      <c r="N173" s="9"/>
      <c r="O173" s="22">
        <v>0.72082500000000005</v>
      </c>
      <c r="P173" s="22">
        <v>88.278899999999993</v>
      </c>
      <c r="Q173" s="22">
        <v>-1.66473E-2</v>
      </c>
      <c r="R173" s="22">
        <v>163</v>
      </c>
      <c r="S173" s="22">
        <v>0.71975699999999998</v>
      </c>
      <c r="T173">
        <f t="shared" si="26"/>
        <v>16.647300000000001</v>
      </c>
      <c r="U173">
        <f t="shared" si="27"/>
        <v>11.999790022500001</v>
      </c>
      <c r="X173" s="9"/>
      <c r="Y173" s="22">
        <v>1.01929</v>
      </c>
      <c r="Z173" s="22">
        <v>137.82400000000001</v>
      </c>
      <c r="AA173" s="22">
        <v>-1.69769E-2</v>
      </c>
      <c r="AB173" s="22">
        <v>163</v>
      </c>
      <c r="AC173" s="22">
        <v>1.01837</v>
      </c>
      <c r="AD173">
        <f t="shared" si="28"/>
        <v>16.976900000000001</v>
      </c>
      <c r="AE173">
        <f t="shared" si="29"/>
        <v>17.304384401</v>
      </c>
      <c r="AF173" s="9"/>
      <c r="AG173" s="22">
        <v>0.72082500000000005</v>
      </c>
      <c r="AH173" s="22">
        <v>187.43899999999999</v>
      </c>
      <c r="AI173" s="22">
        <v>-1.6653399999999999E-2</v>
      </c>
      <c r="AJ173" s="22">
        <v>163</v>
      </c>
      <c r="AK173" s="22">
        <v>0.71991000000000005</v>
      </c>
      <c r="AL173">
        <f t="shared" si="30"/>
        <v>16.653399999999998</v>
      </c>
      <c r="AM173">
        <f t="shared" si="31"/>
        <v>12.004187054999999</v>
      </c>
      <c r="AP173" s="9"/>
      <c r="AQ173" s="22">
        <v>1.01929</v>
      </c>
      <c r="AR173" s="22">
        <v>237.06200000000001</v>
      </c>
      <c r="AS173" s="25">
        <v>2.61536E-5</v>
      </c>
      <c r="AT173" s="22">
        <v>163</v>
      </c>
      <c r="AU173" s="22">
        <v>7.8887899999999997E-2</v>
      </c>
      <c r="AV173">
        <f t="shared" si="32"/>
        <v>-2.6153599999999999E-2</v>
      </c>
      <c r="AW173">
        <f t="shared" si="33"/>
        <v>-2.6658102943999999E-2</v>
      </c>
      <c r="AX173" s="9"/>
      <c r="AY173" s="22">
        <v>0.72082500000000005</v>
      </c>
      <c r="AZ173" s="22">
        <v>253.12200000000001</v>
      </c>
      <c r="BA173" s="22">
        <v>-6.1645500000000004E-3</v>
      </c>
      <c r="BB173" s="22">
        <v>163</v>
      </c>
      <c r="BC173" s="22">
        <v>0.72036699999999998</v>
      </c>
      <c r="BD173">
        <f t="shared" si="34"/>
        <v>6.1645500000000002</v>
      </c>
      <c r="BE173">
        <f t="shared" si="35"/>
        <v>4.4435617537500001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1.0142500000000001</v>
      </c>
      <c r="H174" s="22">
        <v>38.8506</v>
      </c>
      <c r="I174" s="22">
        <v>-1.6427600000000001E-2</v>
      </c>
      <c r="J174" s="22">
        <v>164</v>
      </c>
      <c r="K174" s="22">
        <v>1.01318</v>
      </c>
      <c r="L174">
        <f t="shared" si="24"/>
        <v>16.427600000000002</v>
      </c>
      <c r="M174">
        <f t="shared" si="25"/>
        <v>16.661693300000003</v>
      </c>
      <c r="N174" s="9"/>
      <c r="O174" s="22">
        <v>0.72586099999999998</v>
      </c>
      <c r="P174" s="22">
        <v>88.289000000000001</v>
      </c>
      <c r="Q174" s="22">
        <v>-1.6641199999999998E-2</v>
      </c>
      <c r="R174" s="22">
        <v>164</v>
      </c>
      <c r="S174" s="22">
        <v>0.72506700000000002</v>
      </c>
      <c r="T174">
        <f t="shared" si="26"/>
        <v>16.641199999999998</v>
      </c>
      <c r="U174">
        <f t="shared" si="27"/>
        <v>12.079198073199999</v>
      </c>
      <c r="X174" s="9"/>
      <c r="Y174" s="22">
        <v>1.0142500000000001</v>
      </c>
      <c r="Z174" s="22">
        <v>137.834</v>
      </c>
      <c r="AA174" s="22">
        <v>-1.6983000000000002E-2</v>
      </c>
      <c r="AB174" s="22">
        <v>164</v>
      </c>
      <c r="AC174" s="22">
        <v>1.01318</v>
      </c>
      <c r="AD174">
        <f t="shared" si="28"/>
        <v>16.983000000000001</v>
      </c>
      <c r="AE174">
        <f t="shared" si="29"/>
        <v>17.225007750000003</v>
      </c>
      <c r="AF174" s="9"/>
      <c r="AG174" s="22">
        <v>0.72586099999999998</v>
      </c>
      <c r="AH174" s="22">
        <v>187.44900000000001</v>
      </c>
      <c r="AI174" s="22">
        <v>-1.6653399999999999E-2</v>
      </c>
      <c r="AJ174" s="22">
        <v>164</v>
      </c>
      <c r="AK174" s="22">
        <v>0.72494499999999995</v>
      </c>
      <c r="AL174">
        <f t="shared" si="30"/>
        <v>16.653399999999998</v>
      </c>
      <c r="AM174">
        <f t="shared" si="31"/>
        <v>12.088053577399998</v>
      </c>
      <c r="AP174" s="9"/>
      <c r="AQ174" s="22">
        <v>1.0142500000000001</v>
      </c>
      <c r="AR174" s="22">
        <v>237.072</v>
      </c>
      <c r="AS174" s="25">
        <v>2.73743E-5</v>
      </c>
      <c r="AT174" s="22">
        <v>164</v>
      </c>
      <c r="AU174" s="22">
        <v>7.8918500000000003E-2</v>
      </c>
      <c r="AV174">
        <f t="shared" si="32"/>
        <v>-2.7374300000000001E-2</v>
      </c>
      <c r="AW174">
        <f t="shared" si="33"/>
        <v>-2.7764383775000002E-2</v>
      </c>
      <c r="AX174" s="9"/>
      <c r="AY174" s="22">
        <v>0.72586099999999998</v>
      </c>
      <c r="AZ174" s="22">
        <v>253.13200000000001</v>
      </c>
      <c r="BA174" s="22">
        <v>-6.2530499999999996E-3</v>
      </c>
      <c r="BB174" s="22">
        <v>164</v>
      </c>
      <c r="BC174" s="22">
        <v>0.72540300000000002</v>
      </c>
      <c r="BD174">
        <f t="shared" si="34"/>
        <v>6.25305</v>
      </c>
      <c r="BE174">
        <f t="shared" si="35"/>
        <v>4.53884512605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1.00922</v>
      </c>
      <c r="H175" s="22">
        <v>38.860599999999998</v>
      </c>
      <c r="I175" s="22">
        <v>-1.6433699999999999E-2</v>
      </c>
      <c r="J175" s="22">
        <v>165</v>
      </c>
      <c r="K175" s="22">
        <v>1.0083</v>
      </c>
      <c r="L175">
        <f t="shared" si="24"/>
        <v>16.433699999999998</v>
      </c>
      <c r="M175">
        <f t="shared" si="25"/>
        <v>16.585218714</v>
      </c>
      <c r="N175" s="9"/>
      <c r="O175" s="22">
        <v>0.73089599999999999</v>
      </c>
      <c r="P175" s="22">
        <v>88.299099999999996</v>
      </c>
      <c r="Q175" s="22">
        <v>-1.6641199999999998E-2</v>
      </c>
      <c r="R175" s="22">
        <v>165</v>
      </c>
      <c r="S175" s="22">
        <v>0.73004199999999997</v>
      </c>
      <c r="T175">
        <f t="shared" si="26"/>
        <v>16.641199999999998</v>
      </c>
      <c r="U175">
        <f t="shared" si="27"/>
        <v>12.162986515199998</v>
      </c>
      <c r="X175" s="9"/>
      <c r="Y175" s="22">
        <v>1.00922</v>
      </c>
      <c r="Z175" s="22">
        <v>137.845</v>
      </c>
      <c r="AA175" s="22">
        <v>-1.6983000000000002E-2</v>
      </c>
      <c r="AB175" s="22">
        <v>165</v>
      </c>
      <c r="AC175" s="22">
        <v>1.00769</v>
      </c>
      <c r="AD175">
        <f t="shared" si="28"/>
        <v>16.983000000000001</v>
      </c>
      <c r="AE175">
        <f t="shared" si="29"/>
        <v>17.139583260000002</v>
      </c>
      <c r="AF175" s="9"/>
      <c r="AG175" s="22">
        <v>0.73089599999999999</v>
      </c>
      <c r="AH175" s="22">
        <v>187.459</v>
      </c>
      <c r="AI175" s="22">
        <v>-1.6653399999999999E-2</v>
      </c>
      <c r="AJ175" s="22">
        <v>165</v>
      </c>
      <c r="AK175" s="22">
        <v>0.73001099999999997</v>
      </c>
      <c r="AL175">
        <f t="shared" si="30"/>
        <v>16.653399999999998</v>
      </c>
      <c r="AM175">
        <f t="shared" si="31"/>
        <v>12.171903446399998</v>
      </c>
      <c r="AP175" s="9"/>
      <c r="AQ175" s="22">
        <v>1.00922</v>
      </c>
      <c r="AR175" s="22">
        <v>237.08199999999999</v>
      </c>
      <c r="AS175" s="25">
        <v>3.0609099999999998E-5</v>
      </c>
      <c r="AT175" s="22">
        <v>165</v>
      </c>
      <c r="AU175" s="22">
        <v>7.8857399999999994E-2</v>
      </c>
      <c r="AV175">
        <f t="shared" si="32"/>
        <v>-3.0609099999999997E-2</v>
      </c>
      <c r="AW175">
        <f t="shared" si="33"/>
        <v>-3.0891315901999998E-2</v>
      </c>
      <c r="AX175" s="9"/>
      <c r="AY175" s="22">
        <v>0.73089599999999999</v>
      </c>
      <c r="AZ175" s="22">
        <v>253.142</v>
      </c>
      <c r="BA175" s="22">
        <v>-6.2408400000000001E-3</v>
      </c>
      <c r="BB175" s="22">
        <v>165</v>
      </c>
      <c r="BC175" s="22">
        <v>0.73040799999999995</v>
      </c>
      <c r="BD175">
        <f t="shared" si="34"/>
        <v>6.2408400000000004</v>
      </c>
      <c r="BE175">
        <f t="shared" si="35"/>
        <v>4.56140499264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1.0041800000000001</v>
      </c>
      <c r="H176" s="22">
        <v>38.870699999999999</v>
      </c>
      <c r="I176" s="22">
        <v>-1.6436800000000001E-2</v>
      </c>
      <c r="J176" s="22">
        <v>166</v>
      </c>
      <c r="K176" s="22">
        <v>1.0031099999999999</v>
      </c>
      <c r="L176">
        <f t="shared" si="24"/>
        <v>16.436800000000002</v>
      </c>
      <c r="M176">
        <f t="shared" si="25"/>
        <v>16.505505824000004</v>
      </c>
      <c r="N176" s="9"/>
      <c r="O176" s="22">
        <v>0.735931</v>
      </c>
      <c r="P176" s="22">
        <v>88.309100000000001</v>
      </c>
      <c r="Q176" s="22">
        <v>-1.6638199999999999E-2</v>
      </c>
      <c r="R176" s="22">
        <v>166</v>
      </c>
      <c r="S176" s="22">
        <v>0.73492400000000002</v>
      </c>
      <c r="T176">
        <f t="shared" si="26"/>
        <v>16.638199999999998</v>
      </c>
      <c r="U176">
        <f t="shared" si="27"/>
        <v>12.244567164199998</v>
      </c>
      <c r="X176" s="9"/>
      <c r="Y176" s="22">
        <v>1.0041800000000001</v>
      </c>
      <c r="Z176" s="22">
        <v>137.85499999999999</v>
      </c>
      <c r="AA176" s="22">
        <v>-1.6995199999999999E-2</v>
      </c>
      <c r="AB176" s="22">
        <v>166</v>
      </c>
      <c r="AC176" s="22">
        <v>1.00342</v>
      </c>
      <c r="AD176">
        <f t="shared" si="28"/>
        <v>16.995199999999997</v>
      </c>
      <c r="AE176">
        <f t="shared" si="29"/>
        <v>17.066239935999999</v>
      </c>
      <c r="AF176" s="9"/>
      <c r="AG176" s="22">
        <v>0.735931</v>
      </c>
      <c r="AH176" s="22">
        <v>187.46899999999999</v>
      </c>
      <c r="AI176" s="22">
        <v>-1.6650399999999999E-2</v>
      </c>
      <c r="AJ176" s="22">
        <v>166</v>
      </c>
      <c r="AK176" s="22">
        <v>0.73495500000000002</v>
      </c>
      <c r="AL176">
        <f t="shared" si="30"/>
        <v>16.650399999999998</v>
      </c>
      <c r="AM176">
        <f t="shared" si="31"/>
        <v>12.253545522399998</v>
      </c>
      <c r="AP176" s="9"/>
      <c r="AQ176" s="22">
        <v>1.0041800000000001</v>
      </c>
      <c r="AR176" s="22">
        <v>237.09200000000001</v>
      </c>
      <c r="AS176" s="25">
        <v>3.12805E-5</v>
      </c>
      <c r="AT176" s="22">
        <v>166</v>
      </c>
      <c r="AU176" s="22">
        <v>7.8826900000000005E-2</v>
      </c>
      <c r="AV176">
        <f t="shared" si="32"/>
        <v>-3.1280500000000003E-2</v>
      </c>
      <c r="AW176">
        <f t="shared" si="33"/>
        <v>-3.1411252490000006E-2</v>
      </c>
      <c r="AX176" s="9"/>
      <c r="AY176" s="22">
        <v>0.735931</v>
      </c>
      <c r="AZ176" s="22">
        <v>253.15199999999999</v>
      </c>
      <c r="BA176" s="22">
        <v>-6.1889600000000003E-3</v>
      </c>
      <c r="BB176" s="22">
        <v>166</v>
      </c>
      <c r="BC176" s="22">
        <v>0.73544299999999996</v>
      </c>
      <c r="BD176">
        <f t="shared" si="34"/>
        <v>6.1889600000000007</v>
      </c>
      <c r="BE176">
        <f t="shared" si="35"/>
        <v>4.5546475217600007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0.99914599999999998</v>
      </c>
      <c r="H177" s="22">
        <v>38.880800000000001</v>
      </c>
      <c r="I177" s="22">
        <v>-1.6439800000000001E-2</v>
      </c>
      <c r="J177" s="22">
        <v>167</v>
      </c>
      <c r="K177" s="22">
        <v>0.99731400000000003</v>
      </c>
      <c r="L177">
        <f t="shared" si="24"/>
        <v>16.439800000000002</v>
      </c>
      <c r="M177">
        <f t="shared" si="25"/>
        <v>16.425760410800002</v>
      </c>
      <c r="N177" s="9"/>
      <c r="O177" s="22">
        <v>0.74096700000000004</v>
      </c>
      <c r="P177" s="22">
        <v>88.319199999999995</v>
      </c>
      <c r="Q177" s="22">
        <v>-1.66351E-2</v>
      </c>
      <c r="R177" s="22">
        <v>167</v>
      </c>
      <c r="S177" s="22">
        <v>0.74005100000000001</v>
      </c>
      <c r="T177">
        <f t="shared" si="26"/>
        <v>16.635100000000001</v>
      </c>
      <c r="U177">
        <f t="shared" si="27"/>
        <v>12.326060141700001</v>
      </c>
      <c r="X177" s="9"/>
      <c r="Y177" s="22">
        <v>0.99914599999999998</v>
      </c>
      <c r="Z177" s="22">
        <v>137.86500000000001</v>
      </c>
      <c r="AA177" s="22">
        <v>-1.7010500000000001E-2</v>
      </c>
      <c r="AB177" s="22">
        <v>167</v>
      </c>
      <c r="AC177" s="22">
        <v>0.99822999999999995</v>
      </c>
      <c r="AD177">
        <f t="shared" si="28"/>
        <v>17.0105</v>
      </c>
      <c r="AE177">
        <f t="shared" si="29"/>
        <v>16.995973032999999</v>
      </c>
      <c r="AF177" s="9"/>
      <c r="AG177" s="22">
        <v>0.74096700000000004</v>
      </c>
      <c r="AH177" s="22">
        <v>187.47900000000001</v>
      </c>
      <c r="AI177" s="22">
        <v>-1.6644300000000001E-2</v>
      </c>
      <c r="AJ177" s="22">
        <v>167</v>
      </c>
      <c r="AK177" s="22">
        <v>0.74005100000000001</v>
      </c>
      <c r="AL177">
        <f t="shared" si="30"/>
        <v>16.644300000000001</v>
      </c>
      <c r="AM177">
        <f t="shared" si="31"/>
        <v>12.332877038100001</v>
      </c>
      <c r="AP177" s="9"/>
      <c r="AQ177" s="22">
        <v>0.99914599999999998</v>
      </c>
      <c r="AR177" s="22">
        <v>237.10300000000001</v>
      </c>
      <c r="AS177" s="25">
        <v>3.32336E-5</v>
      </c>
      <c r="AT177" s="22">
        <v>167</v>
      </c>
      <c r="AU177" s="22">
        <v>7.8949000000000005E-2</v>
      </c>
      <c r="AV177">
        <f t="shared" si="32"/>
        <v>-3.3233600000000002E-2</v>
      </c>
      <c r="AW177">
        <f t="shared" si="33"/>
        <v>-3.3205218505600001E-2</v>
      </c>
      <c r="AX177" s="9"/>
      <c r="AY177" s="22">
        <v>0.74096700000000004</v>
      </c>
      <c r="AZ177" s="22">
        <v>253.16200000000001</v>
      </c>
      <c r="BA177" s="22">
        <v>-6.1584500000000002E-3</v>
      </c>
      <c r="BB177" s="22">
        <v>167</v>
      </c>
      <c r="BC177" s="22">
        <v>0.740479</v>
      </c>
      <c r="BD177">
        <f t="shared" si="34"/>
        <v>6.1584500000000002</v>
      </c>
      <c r="BE177">
        <f t="shared" si="35"/>
        <v>4.56320822115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0.99411000000000005</v>
      </c>
      <c r="H178" s="22">
        <v>38.890799999999999</v>
      </c>
      <c r="I178" s="22">
        <v>-1.6439800000000001E-2</v>
      </c>
      <c r="J178" s="22">
        <v>168</v>
      </c>
      <c r="K178" s="22">
        <v>0.99273699999999998</v>
      </c>
      <c r="L178">
        <f t="shared" si="24"/>
        <v>16.439800000000002</v>
      </c>
      <c r="M178">
        <f t="shared" si="25"/>
        <v>16.342969578000002</v>
      </c>
      <c r="N178" s="9"/>
      <c r="O178" s="22">
        <v>0.74600200000000005</v>
      </c>
      <c r="P178" s="22">
        <v>88.329300000000003</v>
      </c>
      <c r="Q178" s="22">
        <v>-1.66321E-2</v>
      </c>
      <c r="R178" s="22">
        <v>168</v>
      </c>
      <c r="S178" s="22">
        <v>0.74508700000000005</v>
      </c>
      <c r="T178">
        <f t="shared" si="26"/>
        <v>16.632100000000001</v>
      </c>
      <c r="U178">
        <f t="shared" si="27"/>
        <v>12.407579864200002</v>
      </c>
      <c r="X178" s="9"/>
      <c r="Y178" s="22">
        <v>0.99411000000000005</v>
      </c>
      <c r="Z178" s="22">
        <v>137.875</v>
      </c>
      <c r="AA178" s="22">
        <v>-1.7019699999999999E-2</v>
      </c>
      <c r="AB178" s="22">
        <v>168</v>
      </c>
      <c r="AC178" s="22">
        <v>0.99273699999999998</v>
      </c>
      <c r="AD178">
        <f t="shared" si="28"/>
        <v>17.0197</v>
      </c>
      <c r="AE178">
        <f t="shared" si="29"/>
        <v>16.919453967000003</v>
      </c>
      <c r="AF178" s="9"/>
      <c r="AG178" s="22">
        <v>0.74600200000000005</v>
      </c>
      <c r="AH178" s="22">
        <v>187.489</v>
      </c>
      <c r="AI178" s="22">
        <v>-1.6641199999999998E-2</v>
      </c>
      <c r="AJ178" s="22">
        <v>168</v>
      </c>
      <c r="AK178" s="22">
        <v>0.74514800000000003</v>
      </c>
      <c r="AL178">
        <f t="shared" si="30"/>
        <v>16.641199999999998</v>
      </c>
      <c r="AM178">
        <f t="shared" si="31"/>
        <v>12.414368482399999</v>
      </c>
      <c r="AP178" s="9"/>
      <c r="AQ178" s="22">
        <v>0.99411000000000005</v>
      </c>
      <c r="AR178" s="22">
        <v>237.113</v>
      </c>
      <c r="AS178" s="25">
        <v>2.9479999999999999E-5</v>
      </c>
      <c r="AT178" s="22">
        <v>168</v>
      </c>
      <c r="AU178" s="22">
        <v>7.8857399999999994E-2</v>
      </c>
      <c r="AV178">
        <f t="shared" si="32"/>
        <v>-2.9479999999999999E-2</v>
      </c>
      <c r="AW178">
        <f t="shared" si="33"/>
        <v>-2.9306362799999999E-2</v>
      </c>
      <c r="AX178" s="9"/>
      <c r="AY178" s="22">
        <v>0.74600200000000005</v>
      </c>
      <c r="AZ178" s="22">
        <v>253.172</v>
      </c>
      <c r="BA178" s="22">
        <v>-6.1645500000000004E-3</v>
      </c>
      <c r="BB178" s="22">
        <v>168</v>
      </c>
      <c r="BC178" s="22">
        <v>0.74554399999999998</v>
      </c>
      <c r="BD178">
        <f t="shared" si="34"/>
        <v>6.1645500000000002</v>
      </c>
      <c r="BE178">
        <f t="shared" si="35"/>
        <v>4.5987666291000009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0.98907500000000004</v>
      </c>
      <c r="H179" s="22">
        <v>38.9009</v>
      </c>
      <c r="I179" s="22">
        <v>-1.6439800000000001E-2</v>
      </c>
      <c r="J179" s="22">
        <v>169</v>
      </c>
      <c r="K179" s="22">
        <v>0.98846400000000001</v>
      </c>
      <c r="L179">
        <f t="shared" si="24"/>
        <v>16.439800000000002</v>
      </c>
      <c r="M179">
        <f t="shared" si="25"/>
        <v>16.260195185000001</v>
      </c>
      <c r="N179" s="9"/>
      <c r="O179" s="22">
        <v>0.75103799999999998</v>
      </c>
      <c r="P179" s="22">
        <v>88.339299999999994</v>
      </c>
      <c r="Q179" s="22">
        <v>-1.6625999999999998E-2</v>
      </c>
      <c r="R179" s="22">
        <v>169</v>
      </c>
      <c r="S179" s="22">
        <v>0.75018300000000004</v>
      </c>
      <c r="T179">
        <f t="shared" si="26"/>
        <v>16.625999999999998</v>
      </c>
      <c r="U179">
        <f t="shared" si="27"/>
        <v>12.486757787999998</v>
      </c>
      <c r="X179" s="9"/>
      <c r="Y179" s="22">
        <v>0.98907500000000004</v>
      </c>
      <c r="Z179" s="22">
        <v>137.88499999999999</v>
      </c>
      <c r="AA179" s="22">
        <v>-1.7010500000000001E-2</v>
      </c>
      <c r="AB179" s="22">
        <v>169</v>
      </c>
      <c r="AC179" s="22">
        <v>0.98815900000000001</v>
      </c>
      <c r="AD179">
        <f t="shared" si="28"/>
        <v>17.0105</v>
      </c>
      <c r="AE179">
        <f t="shared" si="29"/>
        <v>16.824660287500002</v>
      </c>
      <c r="AF179" s="9"/>
      <c r="AG179" s="22">
        <v>0.75103799999999998</v>
      </c>
      <c r="AH179" s="22">
        <v>187.499</v>
      </c>
      <c r="AI179" s="22">
        <v>-1.6638199999999999E-2</v>
      </c>
      <c r="AJ179" s="22">
        <v>169</v>
      </c>
      <c r="AK179" s="22">
        <v>0.75018300000000004</v>
      </c>
      <c r="AL179">
        <f t="shared" si="30"/>
        <v>16.638199999999998</v>
      </c>
      <c r="AM179">
        <f t="shared" si="31"/>
        <v>12.495920451599998</v>
      </c>
      <c r="AP179" s="9"/>
      <c r="AQ179" s="22">
        <v>0.98907500000000004</v>
      </c>
      <c r="AR179" s="22">
        <v>237.12299999999999</v>
      </c>
      <c r="AS179" s="25">
        <v>2.6672399999999999E-5</v>
      </c>
      <c r="AT179" s="22">
        <v>169</v>
      </c>
      <c r="AU179" s="22">
        <v>7.8887899999999997E-2</v>
      </c>
      <c r="AV179">
        <f t="shared" si="32"/>
        <v>-2.6672399999999999E-2</v>
      </c>
      <c r="AW179">
        <f t="shared" si="33"/>
        <v>-2.6381004029999999E-2</v>
      </c>
      <c r="AX179" s="9"/>
      <c r="AY179" s="22">
        <v>0.75103799999999998</v>
      </c>
      <c r="AZ179" s="22">
        <v>253.18199999999999</v>
      </c>
      <c r="BA179" s="22">
        <v>-6.1950699999999996E-3</v>
      </c>
      <c r="BB179" s="22">
        <v>169</v>
      </c>
      <c r="BC179" s="22">
        <v>0.75048800000000004</v>
      </c>
      <c r="BD179">
        <f t="shared" si="34"/>
        <v>6.1950699999999994</v>
      </c>
      <c r="BE179">
        <f t="shared" si="35"/>
        <v>4.652732982659999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0.984039</v>
      </c>
      <c r="H180" s="22">
        <v>38.911000000000001</v>
      </c>
      <c r="I180" s="22">
        <v>-1.6445899999999999E-2</v>
      </c>
      <c r="J180" s="22">
        <v>170</v>
      </c>
      <c r="K180" s="22">
        <v>0.98297100000000004</v>
      </c>
      <c r="L180">
        <f t="shared" si="24"/>
        <v>16.445899999999998</v>
      </c>
      <c r="M180">
        <f t="shared" si="25"/>
        <v>16.183406990099996</v>
      </c>
      <c r="N180" s="9"/>
      <c r="O180" s="22">
        <v>0.756073</v>
      </c>
      <c r="P180" s="22">
        <v>88.349400000000003</v>
      </c>
      <c r="Q180" s="22">
        <v>-1.6622899999999999E-2</v>
      </c>
      <c r="R180" s="22">
        <v>170</v>
      </c>
      <c r="S180" s="22">
        <v>0.75470000000000004</v>
      </c>
      <c r="T180">
        <f t="shared" si="26"/>
        <v>16.622899999999998</v>
      </c>
      <c r="U180">
        <f t="shared" si="27"/>
        <v>12.568125871699998</v>
      </c>
      <c r="X180" s="9"/>
      <c r="Y180" s="22">
        <v>0.984039</v>
      </c>
      <c r="Z180" s="22">
        <v>137.89500000000001</v>
      </c>
      <c r="AA180" s="22">
        <v>-1.7019699999999999E-2</v>
      </c>
      <c r="AB180" s="22">
        <v>170</v>
      </c>
      <c r="AC180" s="22">
        <v>0.98297100000000004</v>
      </c>
      <c r="AD180">
        <f t="shared" si="28"/>
        <v>17.0197</v>
      </c>
      <c r="AE180">
        <f t="shared" si="29"/>
        <v>16.7480485683</v>
      </c>
      <c r="AF180" s="9"/>
      <c r="AG180" s="22">
        <v>0.756073</v>
      </c>
      <c r="AH180" s="22">
        <v>187.50899999999999</v>
      </c>
      <c r="AI180" s="22">
        <v>-1.66351E-2</v>
      </c>
      <c r="AJ180" s="22">
        <v>170</v>
      </c>
      <c r="AK180" s="22">
        <v>0.75500500000000004</v>
      </c>
      <c r="AL180">
        <f t="shared" si="30"/>
        <v>16.635100000000001</v>
      </c>
      <c r="AM180">
        <f t="shared" si="31"/>
        <v>12.577349962300001</v>
      </c>
      <c r="AP180" s="9"/>
      <c r="AQ180" s="22">
        <v>0.984039</v>
      </c>
      <c r="AR180" s="22">
        <v>237.13300000000001</v>
      </c>
      <c r="AS180" s="25">
        <v>2.60315E-5</v>
      </c>
      <c r="AT180" s="22">
        <v>170</v>
      </c>
      <c r="AU180" s="22">
        <v>7.8887899999999997E-2</v>
      </c>
      <c r="AV180">
        <f t="shared" si="32"/>
        <v>-2.6031499999999999E-2</v>
      </c>
      <c r="AW180">
        <f t="shared" si="33"/>
        <v>-2.5616011228499998E-2</v>
      </c>
      <c r="AX180" s="9"/>
      <c r="AY180" s="22">
        <v>0.756073</v>
      </c>
      <c r="AZ180" s="22">
        <v>253.19300000000001</v>
      </c>
      <c r="BA180" s="22">
        <v>-6.17981E-3</v>
      </c>
      <c r="BB180" s="22">
        <v>170</v>
      </c>
      <c r="BC180" s="22">
        <v>0.75531000000000004</v>
      </c>
      <c r="BD180">
        <f t="shared" si="34"/>
        <v>6.1798099999999998</v>
      </c>
      <c r="BE180">
        <f t="shared" si="35"/>
        <v>4.6723874861299999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0.97900399999999999</v>
      </c>
      <c r="H181" s="22">
        <v>38.921100000000003</v>
      </c>
      <c r="I181" s="22">
        <v>-1.6448999999999998E-2</v>
      </c>
      <c r="J181" s="22">
        <v>171</v>
      </c>
      <c r="K181" s="22">
        <v>0.97778299999999996</v>
      </c>
      <c r="L181">
        <f t="shared" si="24"/>
        <v>16.448999999999998</v>
      </c>
      <c r="M181">
        <f t="shared" si="25"/>
        <v>16.103636795999996</v>
      </c>
      <c r="N181" s="9"/>
      <c r="O181" s="22">
        <v>0.76110800000000001</v>
      </c>
      <c r="P181" s="22">
        <v>88.359499999999997</v>
      </c>
      <c r="Q181" s="22">
        <v>-1.6616800000000001E-2</v>
      </c>
      <c r="R181" s="22">
        <v>171</v>
      </c>
      <c r="S181" s="22">
        <v>0.76019300000000001</v>
      </c>
      <c r="T181">
        <f t="shared" si="26"/>
        <v>16.616800000000001</v>
      </c>
      <c r="U181">
        <f t="shared" si="27"/>
        <v>12.647179414400002</v>
      </c>
      <c r="X181" s="9"/>
      <c r="Y181" s="22">
        <v>0.97900399999999999</v>
      </c>
      <c r="Z181" s="22">
        <v>137.905</v>
      </c>
      <c r="AA181" s="22">
        <v>-1.7025800000000001E-2</v>
      </c>
      <c r="AB181" s="22">
        <v>171</v>
      </c>
      <c r="AC181" s="22">
        <v>0.97839399999999999</v>
      </c>
      <c r="AD181">
        <f t="shared" si="28"/>
        <v>17.0258</v>
      </c>
      <c r="AE181">
        <f t="shared" si="29"/>
        <v>16.668326303200001</v>
      </c>
      <c r="AF181" s="9"/>
      <c r="AG181" s="22">
        <v>0.76110800000000001</v>
      </c>
      <c r="AH181" s="22">
        <v>187.51900000000001</v>
      </c>
      <c r="AI181" s="22">
        <v>-1.66321E-2</v>
      </c>
      <c r="AJ181" s="22">
        <v>171</v>
      </c>
      <c r="AK181" s="22">
        <v>0.75927699999999998</v>
      </c>
      <c r="AL181">
        <f t="shared" si="30"/>
        <v>16.632100000000001</v>
      </c>
      <c r="AM181">
        <f t="shared" si="31"/>
        <v>12.658824366800001</v>
      </c>
      <c r="AP181" s="9"/>
      <c r="AQ181" s="22">
        <v>0.97900399999999999</v>
      </c>
      <c r="AR181" s="22">
        <v>237.143</v>
      </c>
      <c r="AS181" s="25">
        <v>2.61536E-5</v>
      </c>
      <c r="AT181" s="22">
        <v>171</v>
      </c>
      <c r="AU181" s="22">
        <v>7.8887899999999997E-2</v>
      </c>
      <c r="AV181">
        <f t="shared" si="32"/>
        <v>-2.6153599999999999E-2</v>
      </c>
      <c r="AW181">
        <f t="shared" si="33"/>
        <v>-2.5604479014399998E-2</v>
      </c>
      <c r="AX181" s="9"/>
      <c r="AY181" s="22">
        <v>0.76110800000000001</v>
      </c>
      <c r="AZ181" s="22">
        <v>253.203</v>
      </c>
      <c r="BA181" s="22">
        <v>-6.2744100000000002E-3</v>
      </c>
      <c r="BB181" s="22">
        <v>171</v>
      </c>
      <c r="BC181" s="22">
        <v>0.76019300000000001</v>
      </c>
      <c r="BD181">
        <f t="shared" si="34"/>
        <v>6.2744100000000005</v>
      </c>
      <c r="BE181">
        <f t="shared" si="35"/>
        <v>4.7755036462800007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0.97396899999999997</v>
      </c>
      <c r="H182" s="22">
        <v>38.931100000000001</v>
      </c>
      <c r="I182" s="22">
        <v>-1.64551E-2</v>
      </c>
      <c r="J182" s="22">
        <v>172</v>
      </c>
      <c r="K182" s="22">
        <v>0.97289999999999999</v>
      </c>
      <c r="L182">
        <f t="shared" si="24"/>
        <v>16.455100000000002</v>
      </c>
      <c r="M182">
        <f t="shared" si="25"/>
        <v>16.026757291900001</v>
      </c>
      <c r="N182" s="9"/>
      <c r="O182" s="22">
        <v>0.76614400000000005</v>
      </c>
      <c r="P182" s="22">
        <v>88.369600000000005</v>
      </c>
      <c r="Q182" s="22">
        <v>-1.6613800000000001E-2</v>
      </c>
      <c r="R182" s="22">
        <v>172</v>
      </c>
      <c r="S182" s="22">
        <v>0.76477099999999998</v>
      </c>
      <c r="T182">
        <f t="shared" si="26"/>
        <v>16.613800000000001</v>
      </c>
      <c r="U182">
        <f t="shared" si="27"/>
        <v>12.728563187200002</v>
      </c>
      <c r="X182" s="9"/>
      <c r="Y182" s="22">
        <v>0.97396899999999997</v>
      </c>
      <c r="Z182" s="22">
        <v>137.91499999999999</v>
      </c>
      <c r="AA182" s="22">
        <v>-1.70288E-2</v>
      </c>
      <c r="AB182" s="22">
        <v>172</v>
      </c>
      <c r="AC182" s="22">
        <v>0.97320600000000002</v>
      </c>
      <c r="AD182">
        <f t="shared" si="28"/>
        <v>17.0288</v>
      </c>
      <c r="AE182">
        <f t="shared" si="29"/>
        <v>16.585523307199999</v>
      </c>
      <c r="AF182" s="9"/>
      <c r="AG182" s="22">
        <v>0.76614400000000005</v>
      </c>
      <c r="AH182" s="22">
        <v>187.529</v>
      </c>
      <c r="AI182" s="22">
        <v>-1.6629000000000001E-2</v>
      </c>
      <c r="AJ182" s="22">
        <v>172</v>
      </c>
      <c r="AK182" s="22">
        <v>0.76507599999999998</v>
      </c>
      <c r="AL182">
        <f t="shared" si="30"/>
        <v>16.629000000000001</v>
      </c>
      <c r="AM182">
        <f t="shared" si="31"/>
        <v>12.740208576000002</v>
      </c>
      <c r="AP182" s="9"/>
      <c r="AQ182" s="22">
        <v>0.97396899999999997</v>
      </c>
      <c r="AR182" s="22">
        <v>237.15299999999999</v>
      </c>
      <c r="AS182" s="25">
        <v>2.9174800000000001E-5</v>
      </c>
      <c r="AT182" s="22">
        <v>172</v>
      </c>
      <c r="AU182" s="22">
        <v>7.8887899999999997E-2</v>
      </c>
      <c r="AV182">
        <f t="shared" si="32"/>
        <v>-2.9174800000000001E-2</v>
      </c>
      <c r="AW182">
        <f t="shared" si="33"/>
        <v>-2.8415350781199999E-2</v>
      </c>
      <c r="AX182" s="9"/>
      <c r="AY182" s="22">
        <v>0.76614400000000005</v>
      </c>
      <c r="AZ182" s="22">
        <v>253.21299999999999</v>
      </c>
      <c r="BA182" s="22">
        <v>-6.3995399999999996E-3</v>
      </c>
      <c r="BB182" s="22">
        <v>172</v>
      </c>
      <c r="BC182" s="22">
        <v>0.76538099999999998</v>
      </c>
      <c r="BD182">
        <f t="shared" si="34"/>
        <v>6.39954</v>
      </c>
      <c r="BE182">
        <f t="shared" si="35"/>
        <v>4.9029691737600007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0.96893300000000004</v>
      </c>
      <c r="H183" s="22">
        <v>38.941200000000002</v>
      </c>
      <c r="I183" s="22">
        <v>-1.6461199999999999E-2</v>
      </c>
      <c r="J183" s="22">
        <v>173</v>
      </c>
      <c r="K183" s="22">
        <v>0.96771200000000002</v>
      </c>
      <c r="L183">
        <f t="shared" si="24"/>
        <v>16.461199999999998</v>
      </c>
      <c r="M183">
        <f t="shared" si="25"/>
        <v>15.949799899599999</v>
      </c>
      <c r="N183" s="9"/>
      <c r="O183" s="22">
        <v>0.77117899999999995</v>
      </c>
      <c r="P183" s="22">
        <v>88.379599999999996</v>
      </c>
      <c r="Q183" s="22">
        <v>-1.6613800000000001E-2</v>
      </c>
      <c r="R183" s="22">
        <v>173</v>
      </c>
      <c r="S183" s="22">
        <v>0.77026399999999995</v>
      </c>
      <c r="T183">
        <f t="shared" si="26"/>
        <v>16.613800000000001</v>
      </c>
      <c r="U183">
        <f t="shared" si="27"/>
        <v>12.8122136702</v>
      </c>
      <c r="X183" s="9"/>
      <c r="Y183" s="22">
        <v>0.96893300000000004</v>
      </c>
      <c r="Z183" s="22">
        <v>137.92500000000001</v>
      </c>
      <c r="AA183" s="22">
        <v>-1.7038000000000001E-2</v>
      </c>
      <c r="AB183" s="22">
        <v>173</v>
      </c>
      <c r="AC183" s="22">
        <v>0.96832300000000004</v>
      </c>
      <c r="AD183">
        <f t="shared" si="28"/>
        <v>17.038</v>
      </c>
      <c r="AE183">
        <f t="shared" si="29"/>
        <v>16.508680454</v>
      </c>
      <c r="AF183" s="9"/>
      <c r="AG183" s="22">
        <v>0.77117899999999995</v>
      </c>
      <c r="AH183" s="22">
        <v>187.54</v>
      </c>
      <c r="AI183" s="22">
        <v>-1.6629000000000001E-2</v>
      </c>
      <c r="AJ183" s="22">
        <v>173</v>
      </c>
      <c r="AK183" s="22">
        <v>0.77026399999999995</v>
      </c>
      <c r="AL183">
        <f t="shared" si="30"/>
        <v>16.629000000000001</v>
      </c>
      <c r="AM183">
        <f t="shared" si="31"/>
        <v>12.823935591</v>
      </c>
      <c r="AP183" s="9"/>
      <c r="AQ183" s="22">
        <v>0.96893300000000004</v>
      </c>
      <c r="AR183" s="22">
        <v>237.16300000000001</v>
      </c>
      <c r="AS183" s="25">
        <v>3.5156200000000001E-5</v>
      </c>
      <c r="AT183" s="22">
        <v>173</v>
      </c>
      <c r="AU183" s="22">
        <v>7.8826900000000005E-2</v>
      </c>
      <c r="AV183">
        <f t="shared" si="32"/>
        <v>-3.5156199999999999E-2</v>
      </c>
      <c r="AW183">
        <f t="shared" si="33"/>
        <v>-3.4064002334600003E-2</v>
      </c>
      <c r="AX183" s="9"/>
      <c r="AY183" s="22">
        <v>0.77117899999999995</v>
      </c>
      <c r="AZ183" s="22">
        <v>253.22300000000001</v>
      </c>
      <c r="BA183" s="22">
        <v>-6.6650399999999997E-3</v>
      </c>
      <c r="BB183" s="22">
        <v>173</v>
      </c>
      <c r="BC183" s="22">
        <v>0.77026399999999995</v>
      </c>
      <c r="BD183">
        <f t="shared" si="34"/>
        <v>6.6650399999999994</v>
      </c>
      <c r="BE183">
        <f t="shared" si="35"/>
        <v>5.1399388821599992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0.96389800000000003</v>
      </c>
      <c r="H184" s="22">
        <v>38.951300000000003</v>
      </c>
      <c r="I184" s="22">
        <v>-1.6467300000000001E-2</v>
      </c>
      <c r="J184" s="22">
        <v>174</v>
      </c>
      <c r="K184" s="22">
        <v>0.96252400000000005</v>
      </c>
      <c r="L184">
        <f t="shared" si="24"/>
        <v>16.467300000000002</v>
      </c>
      <c r="M184">
        <f t="shared" si="25"/>
        <v>15.872797535400002</v>
      </c>
      <c r="N184" s="9"/>
      <c r="O184" s="22">
        <v>0.77621499999999999</v>
      </c>
      <c r="P184" s="22">
        <v>88.389700000000005</v>
      </c>
      <c r="Q184" s="22">
        <v>-1.6613800000000001E-2</v>
      </c>
      <c r="R184" s="22">
        <v>174</v>
      </c>
      <c r="S184" s="22">
        <v>0.775146</v>
      </c>
      <c r="T184">
        <f t="shared" si="26"/>
        <v>16.613800000000001</v>
      </c>
      <c r="U184">
        <f t="shared" si="27"/>
        <v>12.895880767000001</v>
      </c>
      <c r="X184" s="9"/>
      <c r="Y184" s="22">
        <v>0.96389800000000003</v>
      </c>
      <c r="Z184" s="22">
        <v>137.935</v>
      </c>
      <c r="AA184" s="22">
        <v>-1.7041000000000001E-2</v>
      </c>
      <c r="AB184" s="22">
        <v>174</v>
      </c>
      <c r="AC184" s="22">
        <v>0.96252400000000005</v>
      </c>
      <c r="AD184">
        <f t="shared" si="28"/>
        <v>17.041</v>
      </c>
      <c r="AE184">
        <f t="shared" si="29"/>
        <v>16.425785818000001</v>
      </c>
      <c r="AF184" s="9"/>
      <c r="AG184" s="22">
        <v>0.77621499999999999</v>
      </c>
      <c r="AH184" s="22">
        <v>187.55</v>
      </c>
      <c r="AI184" s="22">
        <v>-1.6625999999999998E-2</v>
      </c>
      <c r="AJ184" s="22">
        <v>174</v>
      </c>
      <c r="AK184" s="22">
        <v>0.774841</v>
      </c>
      <c r="AL184">
        <f t="shared" si="30"/>
        <v>16.625999999999998</v>
      </c>
      <c r="AM184">
        <f t="shared" si="31"/>
        <v>12.905350589999998</v>
      </c>
      <c r="AP184" s="9"/>
      <c r="AQ184" s="22">
        <v>0.96389800000000003</v>
      </c>
      <c r="AR184" s="22">
        <v>237.173</v>
      </c>
      <c r="AS184" s="25">
        <v>3.3203100000000001E-5</v>
      </c>
      <c r="AT184" s="22">
        <v>174</v>
      </c>
      <c r="AU184" s="22">
        <v>7.8918500000000003E-2</v>
      </c>
      <c r="AV184">
        <f t="shared" si="32"/>
        <v>-3.3203099999999999E-2</v>
      </c>
      <c r="AW184">
        <f t="shared" si="33"/>
        <v>-3.2004401683799998E-2</v>
      </c>
      <c r="AX184" s="9"/>
      <c r="AY184" s="22">
        <v>0.77621499999999999</v>
      </c>
      <c r="AZ184" s="22">
        <v>253.233</v>
      </c>
      <c r="BA184" s="22">
        <v>-6.6986099999999998E-3</v>
      </c>
      <c r="BB184" s="22">
        <v>174</v>
      </c>
      <c r="BC184" s="22">
        <v>0.77545200000000003</v>
      </c>
      <c r="BD184">
        <f t="shared" si="34"/>
        <v>6.6986099999999995</v>
      </c>
      <c r="BE184">
        <f t="shared" si="35"/>
        <v>5.1995615611499995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0.95886199999999999</v>
      </c>
      <c r="H185" s="22">
        <v>38.961300000000001</v>
      </c>
      <c r="I185" s="22">
        <v>-1.6473399999999999E-2</v>
      </c>
      <c r="J185" s="22">
        <v>175</v>
      </c>
      <c r="K185" s="22">
        <v>0.95794699999999999</v>
      </c>
      <c r="L185">
        <f t="shared" si="24"/>
        <v>16.473399999999998</v>
      </c>
      <c r="M185">
        <f t="shared" si="25"/>
        <v>15.795717270799997</v>
      </c>
      <c r="N185" s="9"/>
      <c r="O185" s="22">
        <v>0.78125</v>
      </c>
      <c r="P185" s="22">
        <v>88.399799999999999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0.95886199999999999</v>
      </c>
      <c r="Z185" s="22">
        <v>137.94499999999999</v>
      </c>
      <c r="AA185" s="22">
        <v>-1.7050200000000001E-2</v>
      </c>
      <c r="AB185" s="22">
        <v>175</v>
      </c>
      <c r="AC185" s="22">
        <v>0.95825199999999999</v>
      </c>
      <c r="AD185">
        <f t="shared" si="28"/>
        <v>17.0502</v>
      </c>
      <c r="AE185">
        <f t="shared" si="29"/>
        <v>16.3487888724</v>
      </c>
      <c r="AF185" s="9"/>
      <c r="AG185" s="22">
        <v>0.78125</v>
      </c>
      <c r="AH185" s="22">
        <v>187.56</v>
      </c>
      <c r="AI185" s="22">
        <v>-1.6622899999999999E-2</v>
      </c>
      <c r="AJ185" s="22">
        <v>175</v>
      </c>
      <c r="AK185" s="22">
        <v>0.78002899999999997</v>
      </c>
      <c r="AL185">
        <f t="shared" si="30"/>
        <v>16.622899999999998</v>
      </c>
      <c r="AM185">
        <f t="shared" si="31"/>
        <v>12.986640624999998</v>
      </c>
      <c r="AP185" s="9"/>
      <c r="AQ185" s="22">
        <v>0.95886199999999999</v>
      </c>
      <c r="AR185" s="22">
        <v>237.18299999999999</v>
      </c>
      <c r="AS185" s="25">
        <v>3.3325199999999997E-5</v>
      </c>
      <c r="AT185" s="22">
        <v>175</v>
      </c>
      <c r="AU185" s="22">
        <v>7.8826900000000005E-2</v>
      </c>
      <c r="AV185">
        <f t="shared" si="32"/>
        <v>-3.3325199999999999E-2</v>
      </c>
      <c r="AW185">
        <f t="shared" si="33"/>
        <v>-3.1954267922399998E-2</v>
      </c>
      <c r="AX185" s="9"/>
      <c r="AY185" s="22">
        <v>0.78125</v>
      </c>
      <c r="AZ185" s="22">
        <v>253.24299999999999</v>
      </c>
      <c r="BA185" s="22">
        <v>-6.4575199999999996E-3</v>
      </c>
      <c r="BB185" s="22">
        <v>175</v>
      </c>
      <c r="BC185" s="22">
        <v>0.78064</v>
      </c>
      <c r="BD185">
        <f t="shared" si="34"/>
        <v>6.4575199999999997</v>
      </c>
      <c r="BE185">
        <f t="shared" si="35"/>
        <v>5.0449374999999996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0.95382699999999998</v>
      </c>
      <c r="H186" s="22">
        <v>38.971400000000003</v>
      </c>
      <c r="I186" s="22">
        <v>-1.6473399999999999E-2</v>
      </c>
      <c r="J186" s="22">
        <v>176</v>
      </c>
      <c r="K186" s="22">
        <v>0.95275900000000002</v>
      </c>
      <c r="L186">
        <f t="shared" si="24"/>
        <v>16.473399999999998</v>
      </c>
      <c r="M186">
        <f t="shared" si="25"/>
        <v>15.712773701799998</v>
      </c>
      <c r="N186" s="9"/>
      <c r="O186" s="22">
        <v>0.78628500000000001</v>
      </c>
      <c r="P186" s="22">
        <v>88.409800000000004</v>
      </c>
      <c r="Q186" s="22">
        <v>-1.6610699999999999E-2</v>
      </c>
      <c r="R186" s="22">
        <v>176</v>
      </c>
      <c r="S186" s="22">
        <v>0.78521700000000005</v>
      </c>
      <c r="T186">
        <f t="shared" si="26"/>
        <v>16.610699999999998</v>
      </c>
      <c r="U186">
        <f t="shared" si="27"/>
        <v>13.060744249499999</v>
      </c>
      <c r="X186" s="9"/>
      <c r="Y186" s="22">
        <v>0.95382699999999998</v>
      </c>
      <c r="Z186" s="22">
        <v>137.95500000000001</v>
      </c>
      <c r="AA186" s="22">
        <v>-1.7059299999999999E-2</v>
      </c>
      <c r="AB186" s="22">
        <v>176</v>
      </c>
      <c r="AC186" s="22">
        <v>0.95214799999999999</v>
      </c>
      <c r="AD186">
        <f t="shared" si="28"/>
        <v>17.0593</v>
      </c>
      <c r="AE186">
        <f t="shared" si="29"/>
        <v>16.2716209411</v>
      </c>
      <c r="AF186" s="9"/>
      <c r="AG186" s="22">
        <v>0.78628500000000001</v>
      </c>
      <c r="AH186" s="22">
        <v>187.57</v>
      </c>
      <c r="AI186" s="22">
        <v>-1.6613800000000001E-2</v>
      </c>
      <c r="AJ186" s="22">
        <v>176</v>
      </c>
      <c r="AK186" s="22">
        <v>0.78521700000000005</v>
      </c>
      <c r="AL186">
        <f t="shared" si="30"/>
        <v>16.613800000000001</v>
      </c>
      <c r="AM186">
        <f t="shared" si="31"/>
        <v>13.063181733</v>
      </c>
      <c r="AP186" s="9"/>
      <c r="AQ186" s="22">
        <v>0.95382699999999998</v>
      </c>
      <c r="AR186" s="22">
        <v>237.19300000000001</v>
      </c>
      <c r="AS186" s="25">
        <v>3.5308800000000003E-5</v>
      </c>
      <c r="AT186" s="22">
        <v>176</v>
      </c>
      <c r="AU186" s="22">
        <v>7.8826900000000005E-2</v>
      </c>
      <c r="AV186">
        <f t="shared" si="32"/>
        <v>-3.5308800000000001E-2</v>
      </c>
      <c r="AW186">
        <f t="shared" si="33"/>
        <v>-3.3678486777599999E-2</v>
      </c>
      <c r="AX186" s="9"/>
      <c r="AY186" s="22">
        <v>0.78628500000000001</v>
      </c>
      <c r="AZ186" s="22">
        <v>253.25299999999999</v>
      </c>
      <c r="BA186" s="22">
        <v>-6.4910899999999997E-3</v>
      </c>
      <c r="BB186" s="22">
        <v>176</v>
      </c>
      <c r="BC186" s="22">
        <v>0.78521700000000005</v>
      </c>
      <c r="BD186">
        <f t="shared" si="34"/>
        <v>6.4910899999999998</v>
      </c>
      <c r="BE186">
        <f t="shared" si="35"/>
        <v>5.1038467006500001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0.94879199999999997</v>
      </c>
      <c r="H187" s="22">
        <v>38.981499999999997</v>
      </c>
      <c r="I187" s="22">
        <v>-1.6476399999999999E-2</v>
      </c>
      <c r="J187" s="22">
        <v>177</v>
      </c>
      <c r="K187" s="22">
        <v>0.94757100000000005</v>
      </c>
      <c r="L187">
        <f t="shared" si="24"/>
        <v>16.476399999999998</v>
      </c>
      <c r="M187">
        <f t="shared" si="25"/>
        <v>15.632676508799998</v>
      </c>
      <c r="N187" s="9"/>
      <c r="O187" s="22">
        <v>0.79132100000000005</v>
      </c>
      <c r="P187" s="22">
        <v>88.419899999999998</v>
      </c>
      <c r="Q187" s="22">
        <v>-1.6610699999999999E-2</v>
      </c>
      <c r="R187" s="22">
        <v>177</v>
      </c>
      <c r="S187" s="22">
        <v>0.79040500000000002</v>
      </c>
      <c r="T187">
        <f t="shared" si="26"/>
        <v>16.610699999999998</v>
      </c>
      <c r="U187">
        <f t="shared" si="27"/>
        <v>13.1443957347</v>
      </c>
      <c r="X187" s="9"/>
      <c r="Y187" s="22">
        <v>0.94879199999999997</v>
      </c>
      <c r="Z187" s="22">
        <v>137.965</v>
      </c>
      <c r="AA187" s="22">
        <v>-1.7047099999999999E-2</v>
      </c>
      <c r="AB187" s="22">
        <v>177</v>
      </c>
      <c r="AC187" s="22">
        <v>0.94848600000000005</v>
      </c>
      <c r="AD187">
        <f t="shared" si="28"/>
        <v>17.0471</v>
      </c>
      <c r="AE187">
        <f t="shared" si="29"/>
        <v>16.174152103200001</v>
      </c>
      <c r="AF187" s="9"/>
      <c r="AG187" s="22">
        <v>0.79132100000000005</v>
      </c>
      <c r="AH187" s="22">
        <v>187.58</v>
      </c>
      <c r="AI187" s="22">
        <v>-1.6613800000000001E-2</v>
      </c>
      <c r="AJ187" s="22">
        <v>177</v>
      </c>
      <c r="AK187" s="22">
        <v>0.78949000000000003</v>
      </c>
      <c r="AL187">
        <f t="shared" si="30"/>
        <v>16.613800000000001</v>
      </c>
      <c r="AM187">
        <f t="shared" si="31"/>
        <v>13.146848829800001</v>
      </c>
      <c r="AP187" s="9"/>
      <c r="AQ187" s="22">
        <v>0.94879199999999997</v>
      </c>
      <c r="AR187" s="22">
        <v>237.203</v>
      </c>
      <c r="AS187" s="25">
        <v>3.5156200000000001E-5</v>
      </c>
      <c r="AT187" s="22">
        <v>177</v>
      </c>
      <c r="AU187" s="22">
        <v>7.8796400000000003E-2</v>
      </c>
      <c r="AV187">
        <f t="shared" si="32"/>
        <v>-3.5156199999999999E-2</v>
      </c>
      <c r="AW187">
        <f t="shared" si="33"/>
        <v>-3.3355921310399994E-2</v>
      </c>
      <c r="AX187" s="9"/>
      <c r="AY187" s="22">
        <v>0.79132100000000005</v>
      </c>
      <c r="AZ187" s="22">
        <v>253.26300000000001</v>
      </c>
      <c r="BA187" s="22">
        <v>-6.5734900000000004E-3</v>
      </c>
      <c r="BB187" s="22">
        <v>177</v>
      </c>
      <c r="BC187" s="22">
        <v>0.79101600000000005</v>
      </c>
      <c r="BD187">
        <f t="shared" si="34"/>
        <v>6.5734900000000005</v>
      </c>
      <c r="BE187">
        <f t="shared" si="35"/>
        <v>5.2017406802900004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0.94375600000000004</v>
      </c>
      <c r="H188" s="22">
        <v>38.991599999999998</v>
      </c>
      <c r="I188" s="22">
        <v>-1.6476399999999999E-2</v>
      </c>
      <c r="J188" s="22">
        <v>178</v>
      </c>
      <c r="K188" s="22">
        <v>0.94238299999999997</v>
      </c>
      <c r="L188">
        <f t="shared" si="24"/>
        <v>16.476399999999998</v>
      </c>
      <c r="M188">
        <f t="shared" si="25"/>
        <v>15.549701358399998</v>
      </c>
      <c r="N188" s="9"/>
      <c r="O188" s="22">
        <v>0.79635599999999995</v>
      </c>
      <c r="P188" s="22">
        <v>88.43</v>
      </c>
      <c r="Q188" s="22">
        <v>-1.6604600000000001E-2</v>
      </c>
      <c r="R188" s="22">
        <v>178</v>
      </c>
      <c r="S188" s="22">
        <v>0.79528799999999999</v>
      </c>
      <c r="T188">
        <f t="shared" si="26"/>
        <v>16.604600000000001</v>
      </c>
      <c r="U188">
        <f t="shared" si="27"/>
        <v>13.2231728376</v>
      </c>
      <c r="X188" s="9"/>
      <c r="Y188" s="22">
        <v>0.94375600000000004</v>
      </c>
      <c r="Z188" s="22">
        <v>137.97499999999999</v>
      </c>
      <c r="AA188" s="22">
        <v>-1.70563E-2</v>
      </c>
      <c r="AB188" s="22">
        <v>178</v>
      </c>
      <c r="AC188" s="22">
        <v>0.94299299999999997</v>
      </c>
      <c r="AD188">
        <f t="shared" si="28"/>
        <v>17.0563</v>
      </c>
      <c r="AE188">
        <f t="shared" si="29"/>
        <v>16.096985462799999</v>
      </c>
      <c r="AF188" s="9"/>
      <c r="AG188" s="22">
        <v>0.79635599999999995</v>
      </c>
      <c r="AH188" s="22">
        <v>187.59</v>
      </c>
      <c r="AI188" s="22">
        <v>-1.6610699999999999E-2</v>
      </c>
      <c r="AJ188" s="22">
        <v>178</v>
      </c>
      <c r="AK188" s="22">
        <v>0.794983</v>
      </c>
      <c r="AL188">
        <f t="shared" si="30"/>
        <v>16.610699999999998</v>
      </c>
      <c r="AM188">
        <f t="shared" si="31"/>
        <v>13.228030609199998</v>
      </c>
      <c r="AP188" s="9"/>
      <c r="AQ188" s="22">
        <v>0.94375600000000004</v>
      </c>
      <c r="AR188" s="22">
        <v>237.21299999999999</v>
      </c>
      <c r="AS188" s="25">
        <v>3.3203100000000001E-5</v>
      </c>
      <c r="AT188" s="22">
        <v>178</v>
      </c>
      <c r="AU188" s="22">
        <v>7.8857399999999994E-2</v>
      </c>
      <c r="AV188">
        <f t="shared" si="32"/>
        <v>-3.3203099999999999E-2</v>
      </c>
      <c r="AW188">
        <f t="shared" si="33"/>
        <v>-3.1335624843600002E-2</v>
      </c>
      <c r="AX188" s="9"/>
      <c r="AY188" s="22">
        <v>0.79635599999999995</v>
      </c>
      <c r="AZ188" s="22">
        <v>253.273</v>
      </c>
      <c r="BA188" s="22">
        <v>-6.6253700000000002E-3</v>
      </c>
      <c r="BB188" s="22">
        <v>178</v>
      </c>
      <c r="BC188" s="22">
        <v>0.79589799999999999</v>
      </c>
      <c r="BD188">
        <f t="shared" si="34"/>
        <v>6.6253700000000002</v>
      </c>
      <c r="BE188">
        <f t="shared" si="35"/>
        <v>5.27615315172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0.93872100000000003</v>
      </c>
      <c r="H189" s="22">
        <v>39.001600000000003</v>
      </c>
      <c r="I189" s="22">
        <v>-1.6479500000000001E-2</v>
      </c>
      <c r="J189" s="22">
        <v>179</v>
      </c>
      <c r="K189" s="22">
        <v>0.9375</v>
      </c>
      <c r="L189">
        <f t="shared" si="24"/>
        <v>16.479500000000002</v>
      </c>
      <c r="M189">
        <f t="shared" si="25"/>
        <v>15.469652719500003</v>
      </c>
      <c r="N189" s="9"/>
      <c r="O189" s="22">
        <v>0.80139199999999999</v>
      </c>
      <c r="P189" s="22">
        <v>88.440100000000001</v>
      </c>
      <c r="Q189" s="22">
        <v>-1.6601600000000001E-2</v>
      </c>
      <c r="R189" s="22">
        <v>179</v>
      </c>
      <c r="S189" s="22">
        <v>0.80017099999999997</v>
      </c>
      <c r="T189">
        <f t="shared" si="26"/>
        <v>16.601600000000001</v>
      </c>
      <c r="U189">
        <f t="shared" si="27"/>
        <v>13.3043894272</v>
      </c>
      <c r="X189" s="9"/>
      <c r="Y189" s="22">
        <v>0.93872100000000003</v>
      </c>
      <c r="Z189" s="22">
        <v>137.98599999999999</v>
      </c>
      <c r="AA189" s="22">
        <v>-1.7050200000000001E-2</v>
      </c>
      <c r="AB189" s="22">
        <v>179</v>
      </c>
      <c r="AC189" s="22">
        <v>0.9375</v>
      </c>
      <c r="AD189">
        <f t="shared" si="28"/>
        <v>17.0502</v>
      </c>
      <c r="AE189">
        <f t="shared" si="29"/>
        <v>16.005380794200001</v>
      </c>
      <c r="AF189" s="9"/>
      <c r="AG189" s="22">
        <v>0.80139199999999999</v>
      </c>
      <c r="AH189" s="22">
        <v>187.6</v>
      </c>
      <c r="AI189" s="22">
        <v>-1.66077E-2</v>
      </c>
      <c r="AJ189" s="22">
        <v>179</v>
      </c>
      <c r="AK189" s="22">
        <v>0.80078099999999997</v>
      </c>
      <c r="AL189">
        <f t="shared" si="30"/>
        <v>16.607700000000001</v>
      </c>
      <c r="AM189">
        <f t="shared" si="31"/>
        <v>13.309277918400001</v>
      </c>
      <c r="AP189" s="9"/>
      <c r="AQ189" s="22">
        <v>0.93872100000000003</v>
      </c>
      <c r="AR189" s="22">
        <v>237.22300000000001</v>
      </c>
      <c r="AS189" s="25">
        <v>3.4759499999999998E-5</v>
      </c>
      <c r="AT189" s="22">
        <v>179</v>
      </c>
      <c r="AU189" s="22">
        <v>7.8826900000000005E-2</v>
      </c>
      <c r="AV189">
        <f t="shared" si="32"/>
        <v>-3.4759499999999999E-2</v>
      </c>
      <c r="AW189">
        <f t="shared" si="33"/>
        <v>-3.2629472599499998E-2</v>
      </c>
      <c r="AX189" s="9"/>
      <c r="AY189" s="22">
        <v>0.80139199999999999</v>
      </c>
      <c r="AZ189" s="22">
        <v>253.28299999999999</v>
      </c>
      <c r="BA189" s="22">
        <v>-6.2011699999999998E-3</v>
      </c>
      <c r="BB189" s="22">
        <v>179</v>
      </c>
      <c r="BC189" s="22">
        <v>0.80078099999999997</v>
      </c>
      <c r="BD189">
        <f t="shared" si="34"/>
        <v>6.2011699999999994</v>
      </c>
      <c r="BE189">
        <f t="shared" si="35"/>
        <v>4.9695680286399995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0.93368499999999999</v>
      </c>
      <c r="H190" s="22">
        <v>39.011699999999998</v>
      </c>
      <c r="I190" s="22">
        <v>-1.6479500000000001E-2</v>
      </c>
      <c r="J190" s="22">
        <v>180</v>
      </c>
      <c r="K190" s="22">
        <v>0.93261700000000003</v>
      </c>
      <c r="L190">
        <f t="shared" si="24"/>
        <v>16.479500000000002</v>
      </c>
      <c r="M190">
        <f t="shared" si="25"/>
        <v>15.386661957500001</v>
      </c>
      <c r="N190" s="9"/>
      <c r="O190" s="22">
        <v>0.806427</v>
      </c>
      <c r="P190" s="22">
        <v>88.450100000000006</v>
      </c>
      <c r="Q190" s="22">
        <v>-1.6595499999999999E-2</v>
      </c>
      <c r="R190" s="22">
        <v>180</v>
      </c>
      <c r="S190" s="22">
        <v>0.80535900000000005</v>
      </c>
      <c r="T190">
        <f t="shared" si="26"/>
        <v>16.595499999999998</v>
      </c>
      <c r="U190">
        <f t="shared" si="27"/>
        <v>13.383059278499998</v>
      </c>
      <c r="X190" s="9"/>
      <c r="Y190" s="22">
        <v>0.93368499999999999</v>
      </c>
      <c r="Z190" s="22">
        <v>137.99600000000001</v>
      </c>
      <c r="AA190" s="22">
        <v>-1.7053200000000001E-2</v>
      </c>
      <c r="AB190" s="22">
        <v>180</v>
      </c>
      <c r="AC190" s="22">
        <v>0.93200700000000003</v>
      </c>
      <c r="AD190">
        <f t="shared" si="28"/>
        <v>17.0532</v>
      </c>
      <c r="AE190">
        <f t="shared" si="29"/>
        <v>15.922317042</v>
      </c>
      <c r="AF190" s="9"/>
      <c r="AG190" s="22">
        <v>0.806427</v>
      </c>
      <c r="AH190" s="22">
        <v>187.61</v>
      </c>
      <c r="AI190" s="22">
        <v>-1.6604600000000001E-2</v>
      </c>
      <c r="AJ190" s="22">
        <v>180</v>
      </c>
      <c r="AK190" s="22">
        <v>0.80535900000000005</v>
      </c>
      <c r="AL190">
        <f t="shared" si="30"/>
        <v>16.604600000000001</v>
      </c>
      <c r="AM190">
        <f t="shared" si="31"/>
        <v>13.390397764200001</v>
      </c>
      <c r="AP190" s="9"/>
      <c r="AQ190" s="22">
        <v>0.93368499999999999</v>
      </c>
      <c r="AR190" s="22">
        <v>237.233</v>
      </c>
      <c r="AS190" s="25">
        <v>3.8207999999999997E-5</v>
      </c>
      <c r="AT190" s="22">
        <v>180</v>
      </c>
      <c r="AU190" s="22">
        <v>7.8857399999999994E-2</v>
      </c>
      <c r="AV190">
        <f t="shared" si="32"/>
        <v>-3.8207999999999999E-2</v>
      </c>
      <c r="AW190">
        <f t="shared" si="33"/>
        <v>-3.5674236479999996E-2</v>
      </c>
      <c r="AX190" s="9"/>
      <c r="AY190" s="22">
        <v>0.806427</v>
      </c>
      <c r="AZ190" s="22">
        <v>253.29300000000001</v>
      </c>
      <c r="BA190" s="22">
        <v>-6.1950699999999996E-3</v>
      </c>
      <c r="BB190" s="22">
        <v>180</v>
      </c>
      <c r="BC190" s="22">
        <v>0.80535900000000005</v>
      </c>
      <c r="BD190">
        <f t="shared" si="34"/>
        <v>6.1950699999999994</v>
      </c>
      <c r="BE190">
        <f t="shared" si="35"/>
        <v>4.9958717148899998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0.92864999999999998</v>
      </c>
      <c r="H191" s="22">
        <v>39.021799999999999</v>
      </c>
      <c r="I191" s="22">
        <v>-1.6482500000000001E-2</v>
      </c>
      <c r="J191" s="22">
        <v>181</v>
      </c>
      <c r="K191" s="22">
        <v>0.92773399999999995</v>
      </c>
      <c r="L191">
        <f t="shared" si="24"/>
        <v>16.482500000000002</v>
      </c>
      <c r="M191">
        <f t="shared" si="25"/>
        <v>15.306473625000001</v>
      </c>
      <c r="N191" s="9"/>
      <c r="O191" s="22">
        <v>0.81146200000000002</v>
      </c>
      <c r="P191" s="22">
        <v>88.4602</v>
      </c>
      <c r="Q191" s="22">
        <v>-1.6589400000000001E-2</v>
      </c>
      <c r="R191" s="22">
        <v>181</v>
      </c>
      <c r="S191" s="22">
        <v>0.81054700000000002</v>
      </c>
      <c r="T191">
        <f t="shared" si="26"/>
        <v>16.589400000000001</v>
      </c>
      <c r="U191">
        <f t="shared" si="27"/>
        <v>13.461667702800002</v>
      </c>
      <c r="X191" s="9"/>
      <c r="Y191" s="22">
        <v>0.92864999999999998</v>
      </c>
      <c r="Z191" s="22">
        <v>138.006</v>
      </c>
      <c r="AA191" s="22">
        <v>-1.7050200000000001E-2</v>
      </c>
      <c r="AB191" s="22">
        <v>181</v>
      </c>
      <c r="AC191" s="22">
        <v>0.92773399999999995</v>
      </c>
      <c r="AD191">
        <f t="shared" si="28"/>
        <v>17.0502</v>
      </c>
      <c r="AE191">
        <f t="shared" si="29"/>
        <v>15.833668230000001</v>
      </c>
      <c r="AF191" s="9"/>
      <c r="AG191" s="22">
        <v>0.81146200000000002</v>
      </c>
      <c r="AH191" s="22">
        <v>187.62</v>
      </c>
      <c r="AI191" s="22">
        <v>-1.66077E-2</v>
      </c>
      <c r="AJ191" s="22">
        <v>181</v>
      </c>
      <c r="AK191" s="22">
        <v>0.80993700000000002</v>
      </c>
      <c r="AL191">
        <f t="shared" si="30"/>
        <v>16.607700000000001</v>
      </c>
      <c r="AM191">
        <f t="shared" si="31"/>
        <v>13.476517457400002</v>
      </c>
      <c r="AP191" s="9"/>
      <c r="AQ191" s="22">
        <v>0.92864999999999998</v>
      </c>
      <c r="AR191" s="22">
        <v>237.244</v>
      </c>
      <c r="AS191" s="25">
        <v>3.5217299999999999E-5</v>
      </c>
      <c r="AT191" s="22">
        <v>181</v>
      </c>
      <c r="AU191" s="22">
        <v>7.8857399999999994E-2</v>
      </c>
      <c r="AV191">
        <f t="shared" si="32"/>
        <v>-3.52173E-2</v>
      </c>
      <c r="AW191">
        <f t="shared" si="33"/>
        <v>-3.2704545644999999E-2</v>
      </c>
      <c r="AX191" s="9"/>
      <c r="AY191" s="22">
        <v>0.81146200000000002</v>
      </c>
      <c r="AZ191" s="22">
        <v>253.303</v>
      </c>
      <c r="BA191" s="22">
        <v>-6.1981199999999997E-3</v>
      </c>
      <c r="BB191" s="22">
        <v>181</v>
      </c>
      <c r="BC191" s="22">
        <v>0.81054700000000002</v>
      </c>
      <c r="BD191">
        <f t="shared" si="34"/>
        <v>6.1981199999999994</v>
      </c>
      <c r="BE191">
        <f t="shared" si="35"/>
        <v>5.0295388514399999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0.92361499999999996</v>
      </c>
      <c r="H192" s="22">
        <v>39.031799999999997</v>
      </c>
      <c r="I192" s="22">
        <v>-1.64856E-2</v>
      </c>
      <c r="J192" s="22">
        <v>182</v>
      </c>
      <c r="K192" s="22">
        <v>0.92193599999999998</v>
      </c>
      <c r="L192">
        <f t="shared" si="24"/>
        <v>16.485599999999998</v>
      </c>
      <c r="M192">
        <f t="shared" si="25"/>
        <v>15.226347443999998</v>
      </c>
      <c r="N192" s="9"/>
      <c r="O192" s="22">
        <v>0.81649799999999995</v>
      </c>
      <c r="P192" s="22">
        <v>88.470299999999995</v>
      </c>
      <c r="Q192" s="22">
        <v>-1.6586299999999998E-2</v>
      </c>
      <c r="R192" s="22">
        <v>182</v>
      </c>
      <c r="S192" s="22">
        <v>0.81481899999999996</v>
      </c>
      <c r="T192">
        <f t="shared" si="26"/>
        <v>16.586299999999998</v>
      </c>
      <c r="U192">
        <f t="shared" si="27"/>
        <v>13.542680777399998</v>
      </c>
      <c r="X192" s="9"/>
      <c r="Y192" s="22">
        <v>0.92361499999999996</v>
      </c>
      <c r="Z192" s="22">
        <v>138.01599999999999</v>
      </c>
      <c r="AA192" s="22">
        <v>-1.7053200000000001E-2</v>
      </c>
      <c r="AB192" s="22">
        <v>182</v>
      </c>
      <c r="AC192" s="22">
        <v>0.92315700000000001</v>
      </c>
      <c r="AD192">
        <f t="shared" si="28"/>
        <v>17.0532</v>
      </c>
      <c r="AE192">
        <f t="shared" si="29"/>
        <v>15.750591318</v>
      </c>
      <c r="AF192" s="9"/>
      <c r="AG192" s="22">
        <v>0.81649799999999995</v>
      </c>
      <c r="AH192" s="22">
        <v>187.63</v>
      </c>
      <c r="AI192" s="22">
        <v>-1.66077E-2</v>
      </c>
      <c r="AJ192" s="22">
        <v>182</v>
      </c>
      <c r="AK192" s="22">
        <v>0.81451399999999996</v>
      </c>
      <c r="AL192">
        <f t="shared" si="30"/>
        <v>16.607700000000001</v>
      </c>
      <c r="AM192">
        <f t="shared" si="31"/>
        <v>13.560153834599999</v>
      </c>
      <c r="AP192" s="9"/>
      <c r="AQ192" s="22">
        <v>0.92361499999999996</v>
      </c>
      <c r="AR192" s="22">
        <v>237.25399999999999</v>
      </c>
      <c r="AS192" s="25">
        <v>3.4301799999999997E-5</v>
      </c>
      <c r="AT192" s="22">
        <v>182</v>
      </c>
      <c r="AU192" s="22">
        <v>7.8826900000000005E-2</v>
      </c>
      <c r="AV192">
        <f t="shared" si="32"/>
        <v>-3.43018E-2</v>
      </c>
      <c r="AW192">
        <f t="shared" si="33"/>
        <v>-3.1681657007E-2</v>
      </c>
      <c r="AX192" s="9"/>
      <c r="AY192" s="22">
        <v>0.81649799999999995</v>
      </c>
      <c r="AZ192" s="22">
        <v>253.31299999999999</v>
      </c>
      <c r="BA192" s="22">
        <v>-6.2316899999999998E-3</v>
      </c>
      <c r="BB192" s="22">
        <v>182</v>
      </c>
      <c r="BC192" s="22">
        <v>0.81512499999999999</v>
      </c>
      <c r="BD192">
        <f t="shared" si="34"/>
        <v>6.2316899999999995</v>
      </c>
      <c r="BE192">
        <f t="shared" si="35"/>
        <v>5.088162421619999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0.91857900000000003</v>
      </c>
      <c r="H193" s="22">
        <v>39.041899999999998</v>
      </c>
      <c r="I193" s="22">
        <v>-1.6488599999999999E-2</v>
      </c>
      <c r="J193" s="22">
        <v>183</v>
      </c>
      <c r="K193" s="22">
        <v>0.91735800000000001</v>
      </c>
      <c r="L193">
        <f t="shared" si="24"/>
        <v>16.488599999999998</v>
      </c>
      <c r="M193">
        <f t="shared" si="25"/>
        <v>15.146081699399998</v>
      </c>
      <c r="N193" s="9"/>
      <c r="O193" s="22">
        <v>0.82153299999999996</v>
      </c>
      <c r="P193" s="22">
        <v>88.4803</v>
      </c>
      <c r="Q193" s="22">
        <v>-1.6577100000000001E-2</v>
      </c>
      <c r="R193" s="22">
        <v>183</v>
      </c>
      <c r="S193" s="22">
        <v>0.82031299999999996</v>
      </c>
      <c r="T193">
        <f t="shared" si="26"/>
        <v>16.577100000000002</v>
      </c>
      <c r="U193">
        <f t="shared" si="27"/>
        <v>13.618634694300001</v>
      </c>
      <c r="X193" s="9"/>
      <c r="Y193" s="22">
        <v>0.91857900000000003</v>
      </c>
      <c r="Z193" s="22">
        <v>138.02600000000001</v>
      </c>
      <c r="AA193" s="22">
        <v>-1.70563E-2</v>
      </c>
      <c r="AB193" s="22">
        <v>183</v>
      </c>
      <c r="AC193" s="22">
        <v>0.91766400000000004</v>
      </c>
      <c r="AD193">
        <f t="shared" si="28"/>
        <v>17.0563</v>
      </c>
      <c r="AE193">
        <f t="shared" si="29"/>
        <v>15.6675589977</v>
      </c>
      <c r="AF193" s="9"/>
      <c r="AG193" s="22">
        <v>0.82153299999999996</v>
      </c>
      <c r="AH193" s="22">
        <v>187.64</v>
      </c>
      <c r="AI193" s="22">
        <v>-1.6604600000000001E-2</v>
      </c>
      <c r="AJ193" s="22">
        <v>183</v>
      </c>
      <c r="AK193" s="22">
        <v>0.82061799999999996</v>
      </c>
      <c r="AL193">
        <f t="shared" si="30"/>
        <v>16.604600000000001</v>
      </c>
      <c r="AM193">
        <f t="shared" si="31"/>
        <v>13.641226851800001</v>
      </c>
      <c r="AP193" s="9"/>
      <c r="AQ193" s="22">
        <v>0.91857900000000003</v>
      </c>
      <c r="AR193" s="22">
        <v>237.26400000000001</v>
      </c>
      <c r="AS193" s="25">
        <v>2.9479999999999999E-5</v>
      </c>
      <c r="AT193" s="22">
        <v>183</v>
      </c>
      <c r="AU193" s="22">
        <v>7.87659E-2</v>
      </c>
      <c r="AV193">
        <f t="shared" si="32"/>
        <v>-2.9479999999999999E-2</v>
      </c>
      <c r="AW193">
        <f t="shared" si="33"/>
        <v>-2.7079708920000001E-2</v>
      </c>
      <c r="AX193" s="9"/>
      <c r="AY193" s="22">
        <v>0.82153299999999996</v>
      </c>
      <c r="AZ193" s="22">
        <v>253.32300000000001</v>
      </c>
      <c r="BA193" s="22">
        <v>-6.1981199999999997E-3</v>
      </c>
      <c r="BB193" s="22">
        <v>183</v>
      </c>
      <c r="BC193" s="22">
        <v>0.82122799999999996</v>
      </c>
      <c r="BD193">
        <f t="shared" si="34"/>
        <v>6.1981199999999994</v>
      </c>
      <c r="BE193">
        <f t="shared" si="35"/>
        <v>5.0919601179599994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0.91354400000000002</v>
      </c>
      <c r="H194" s="22">
        <v>39.052</v>
      </c>
      <c r="I194" s="22">
        <v>-1.64948E-2</v>
      </c>
      <c r="J194" s="22">
        <v>184</v>
      </c>
      <c r="K194" s="22">
        <v>0.91217000000000004</v>
      </c>
      <c r="L194">
        <f t="shared" si="24"/>
        <v>16.494800000000001</v>
      </c>
      <c r="M194">
        <f t="shared" si="25"/>
        <v>15.068725571200002</v>
      </c>
      <c r="N194" s="9"/>
      <c r="O194" s="22">
        <v>0.826569</v>
      </c>
      <c r="P194" s="22">
        <v>88.490399999999994</v>
      </c>
      <c r="Q194" s="22">
        <v>-1.6574100000000001E-2</v>
      </c>
      <c r="R194" s="22">
        <v>184</v>
      </c>
      <c r="S194" s="22">
        <v>0.82611100000000004</v>
      </c>
      <c r="T194">
        <f t="shared" si="26"/>
        <v>16.574100000000001</v>
      </c>
      <c r="U194">
        <f t="shared" si="27"/>
        <v>13.699637262900001</v>
      </c>
      <c r="X194" s="9"/>
      <c r="Y194" s="22">
        <v>0.91354400000000002</v>
      </c>
      <c r="Z194" s="22">
        <v>138.036</v>
      </c>
      <c r="AA194" s="22">
        <v>-1.7062399999999998E-2</v>
      </c>
      <c r="AB194" s="22">
        <v>184</v>
      </c>
      <c r="AC194" s="22">
        <v>0.91247599999999995</v>
      </c>
      <c r="AD194">
        <f t="shared" si="28"/>
        <v>17.062399999999997</v>
      </c>
      <c r="AE194">
        <f t="shared" si="29"/>
        <v>15.587253145599997</v>
      </c>
      <c r="AF194" s="9"/>
      <c r="AG194" s="22">
        <v>0.826569</v>
      </c>
      <c r="AH194" s="22">
        <v>187.65</v>
      </c>
      <c r="AI194" s="22">
        <v>-1.6601600000000001E-2</v>
      </c>
      <c r="AJ194" s="22">
        <v>184</v>
      </c>
      <c r="AK194" s="22">
        <v>0.82550000000000001</v>
      </c>
      <c r="AL194">
        <f t="shared" si="30"/>
        <v>16.601600000000001</v>
      </c>
      <c r="AM194">
        <f t="shared" si="31"/>
        <v>13.722367910400001</v>
      </c>
      <c r="AP194" s="9"/>
      <c r="AQ194" s="22">
        <v>0.91354400000000002</v>
      </c>
      <c r="AR194" s="22">
        <v>237.274</v>
      </c>
      <c r="AS194" s="25">
        <v>3.07922E-5</v>
      </c>
      <c r="AT194" s="22">
        <v>184</v>
      </c>
      <c r="AU194" s="22">
        <v>7.8857399999999994E-2</v>
      </c>
      <c r="AV194">
        <f t="shared" si="32"/>
        <v>-3.0792199999999999E-2</v>
      </c>
      <c r="AW194">
        <f t="shared" si="33"/>
        <v>-2.8130029556799999E-2</v>
      </c>
      <c r="AX194" s="9"/>
      <c r="AY194" s="22">
        <v>0.826569</v>
      </c>
      <c r="AZ194" s="22">
        <v>253.334</v>
      </c>
      <c r="BA194" s="22">
        <v>-6.2042199999999999E-3</v>
      </c>
      <c r="BB194" s="22">
        <v>184</v>
      </c>
      <c r="BC194" s="22">
        <v>0.82550000000000001</v>
      </c>
      <c r="BD194">
        <f t="shared" si="34"/>
        <v>6.2042200000000003</v>
      </c>
      <c r="BE194">
        <f t="shared" si="35"/>
        <v>5.1282159211799998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0.90850799999999998</v>
      </c>
      <c r="H195" s="22">
        <v>39.062100000000001</v>
      </c>
      <c r="I195" s="22">
        <v>-1.64978E-2</v>
      </c>
      <c r="J195" s="22">
        <v>185</v>
      </c>
      <c r="K195" s="22">
        <v>0.90728799999999998</v>
      </c>
      <c r="L195">
        <f t="shared" si="24"/>
        <v>16.497800000000002</v>
      </c>
      <c r="M195">
        <f t="shared" si="25"/>
        <v>14.988383282400001</v>
      </c>
      <c r="N195" s="9"/>
      <c r="O195" s="22">
        <v>0.83160400000000001</v>
      </c>
      <c r="P195" s="22">
        <v>88.500500000000002</v>
      </c>
      <c r="Q195" s="22">
        <v>-1.6567999999999999E-2</v>
      </c>
      <c r="R195" s="22">
        <v>185</v>
      </c>
      <c r="S195" s="22">
        <v>0.83038299999999998</v>
      </c>
      <c r="T195">
        <f t="shared" si="26"/>
        <v>16.567999999999998</v>
      </c>
      <c r="U195">
        <f t="shared" si="27"/>
        <v>13.778015071999999</v>
      </c>
      <c r="X195" s="9"/>
      <c r="Y195" s="22">
        <v>0.90850799999999998</v>
      </c>
      <c r="Z195" s="22">
        <v>138.04599999999999</v>
      </c>
      <c r="AA195" s="22">
        <v>-1.70715E-2</v>
      </c>
      <c r="AB195" s="22">
        <v>185</v>
      </c>
      <c r="AC195" s="22">
        <v>0.90759299999999998</v>
      </c>
      <c r="AD195">
        <f t="shared" si="28"/>
        <v>17.0715</v>
      </c>
      <c r="AE195">
        <f t="shared" si="29"/>
        <v>15.509594322</v>
      </c>
      <c r="AF195" s="9"/>
      <c r="AG195" s="22">
        <v>0.83160400000000001</v>
      </c>
      <c r="AH195" s="22">
        <v>187.66</v>
      </c>
      <c r="AI195" s="22">
        <v>-1.65924E-2</v>
      </c>
      <c r="AJ195" s="22">
        <v>185</v>
      </c>
      <c r="AK195" s="22">
        <v>0.83068799999999998</v>
      </c>
      <c r="AL195">
        <f t="shared" si="30"/>
        <v>16.592400000000001</v>
      </c>
      <c r="AM195">
        <f t="shared" si="31"/>
        <v>13.798306209600002</v>
      </c>
      <c r="AP195" s="9"/>
      <c r="AQ195" s="22">
        <v>0.90850799999999998</v>
      </c>
      <c r="AR195" s="22">
        <v>237.28399999999999</v>
      </c>
      <c r="AS195" s="25">
        <v>2.4871800000000001E-5</v>
      </c>
      <c r="AT195" s="22">
        <v>185</v>
      </c>
      <c r="AU195" s="22">
        <v>7.8857399999999994E-2</v>
      </c>
      <c r="AV195">
        <f t="shared" si="32"/>
        <v>-2.4871800000000003E-2</v>
      </c>
      <c r="AW195">
        <f t="shared" si="33"/>
        <v>-2.2596229274400002E-2</v>
      </c>
      <c r="AX195" s="9"/>
      <c r="AY195" s="22">
        <v>0.83160400000000001</v>
      </c>
      <c r="AZ195" s="22">
        <v>253.34399999999999</v>
      </c>
      <c r="BA195" s="22">
        <v>-6.2316899999999998E-3</v>
      </c>
      <c r="BB195" s="22">
        <v>185</v>
      </c>
      <c r="BC195" s="22">
        <v>0.83099400000000001</v>
      </c>
      <c r="BD195">
        <f t="shared" si="34"/>
        <v>6.2316899999999995</v>
      </c>
      <c r="BE195">
        <f t="shared" si="35"/>
        <v>5.1822983307599992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0.90347299999999997</v>
      </c>
      <c r="H196" s="22">
        <v>39.072099999999999</v>
      </c>
      <c r="I196" s="22">
        <v>-1.64948E-2</v>
      </c>
      <c r="J196" s="22">
        <v>186</v>
      </c>
      <c r="K196" s="22">
        <v>0.90271000000000001</v>
      </c>
      <c r="L196">
        <f t="shared" si="24"/>
        <v>16.494800000000001</v>
      </c>
      <c r="M196">
        <f t="shared" si="25"/>
        <v>14.902606440400001</v>
      </c>
      <c r="N196" s="9"/>
      <c r="O196" s="22">
        <v>0.83663900000000002</v>
      </c>
      <c r="P196" s="22">
        <v>88.510599999999997</v>
      </c>
      <c r="Q196" s="22">
        <v>-1.65649E-2</v>
      </c>
      <c r="R196" s="22">
        <v>186</v>
      </c>
      <c r="S196" s="22">
        <v>0.83557099999999995</v>
      </c>
      <c r="T196">
        <f t="shared" si="26"/>
        <v>16.564900000000002</v>
      </c>
      <c r="U196">
        <f t="shared" si="27"/>
        <v>13.858841371100002</v>
      </c>
      <c r="X196" s="9"/>
      <c r="Y196" s="22">
        <v>0.90347299999999997</v>
      </c>
      <c r="Z196" s="22">
        <v>138.05600000000001</v>
      </c>
      <c r="AA196" s="22">
        <v>-1.7077599999999998E-2</v>
      </c>
      <c r="AB196" s="22">
        <v>186</v>
      </c>
      <c r="AC196" s="22">
        <v>0.90301500000000001</v>
      </c>
      <c r="AD196">
        <f t="shared" si="28"/>
        <v>17.077599999999997</v>
      </c>
      <c r="AE196">
        <f t="shared" si="29"/>
        <v>15.429150504799997</v>
      </c>
      <c r="AF196" s="9"/>
      <c r="AG196" s="22">
        <v>0.83663900000000002</v>
      </c>
      <c r="AH196" s="22">
        <v>187.67</v>
      </c>
      <c r="AI196" s="22">
        <v>-1.6589400000000001E-2</v>
      </c>
      <c r="AJ196" s="22">
        <v>186</v>
      </c>
      <c r="AK196" s="22">
        <v>0.83557099999999995</v>
      </c>
      <c r="AL196">
        <f t="shared" si="30"/>
        <v>16.589400000000001</v>
      </c>
      <c r="AM196">
        <f t="shared" si="31"/>
        <v>13.879339026600002</v>
      </c>
      <c r="AP196" s="9"/>
      <c r="AQ196" s="22">
        <v>0.90347299999999997</v>
      </c>
      <c r="AR196" s="22">
        <v>237.29400000000001</v>
      </c>
      <c r="AS196" s="25">
        <v>2.49329E-5</v>
      </c>
      <c r="AT196" s="22">
        <v>186</v>
      </c>
      <c r="AU196" s="22">
        <v>7.8796400000000003E-2</v>
      </c>
      <c r="AV196">
        <f t="shared" si="32"/>
        <v>-2.4932900000000001E-2</v>
      </c>
      <c r="AW196">
        <f t="shared" si="33"/>
        <v>-2.25262019617E-2</v>
      </c>
      <c r="AX196" s="9"/>
      <c r="AY196" s="22">
        <v>0.83663900000000002</v>
      </c>
      <c r="AZ196" s="22">
        <v>253.35400000000001</v>
      </c>
      <c r="BA196" s="22">
        <v>-6.3659700000000003E-3</v>
      </c>
      <c r="BB196" s="22">
        <v>186</v>
      </c>
      <c r="BC196" s="22">
        <v>0.83557099999999995</v>
      </c>
      <c r="BD196">
        <f t="shared" si="34"/>
        <v>6.3659699999999999</v>
      </c>
      <c r="BE196">
        <f t="shared" si="35"/>
        <v>5.3260187748299996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0.89843799999999996</v>
      </c>
      <c r="H197" s="22">
        <v>39.0822</v>
      </c>
      <c r="I197" s="22">
        <v>-1.64978E-2</v>
      </c>
      <c r="J197" s="22">
        <v>187</v>
      </c>
      <c r="K197" s="22">
        <v>0.89752200000000004</v>
      </c>
      <c r="L197">
        <f t="shared" si="24"/>
        <v>16.497800000000002</v>
      </c>
      <c r="M197">
        <f t="shared" si="25"/>
        <v>14.822250436400001</v>
      </c>
      <c r="N197" s="9"/>
      <c r="O197" s="22">
        <v>0.84167499999999995</v>
      </c>
      <c r="P197" s="22">
        <v>88.520600000000002</v>
      </c>
      <c r="Q197" s="22">
        <v>-1.65649E-2</v>
      </c>
      <c r="R197" s="22">
        <v>187</v>
      </c>
      <c r="S197" s="22">
        <v>0.84075900000000003</v>
      </c>
      <c r="T197">
        <f t="shared" si="26"/>
        <v>16.564900000000002</v>
      </c>
      <c r="U197">
        <f t="shared" si="27"/>
        <v>13.942262207500001</v>
      </c>
      <c r="X197" s="9"/>
      <c r="Y197" s="22">
        <v>0.89843799999999996</v>
      </c>
      <c r="Z197" s="22">
        <v>138.066</v>
      </c>
      <c r="AA197" s="22">
        <v>-1.7077599999999998E-2</v>
      </c>
      <c r="AB197" s="22">
        <v>187</v>
      </c>
      <c r="AC197" s="22">
        <v>0.89721700000000004</v>
      </c>
      <c r="AD197">
        <f t="shared" si="28"/>
        <v>17.077599999999997</v>
      </c>
      <c r="AE197">
        <f t="shared" si="29"/>
        <v>15.343164788799996</v>
      </c>
      <c r="AF197" s="9"/>
      <c r="AG197" s="22">
        <v>0.84167499999999995</v>
      </c>
      <c r="AH197" s="22">
        <v>187.68100000000001</v>
      </c>
      <c r="AI197" s="22">
        <v>-1.6589400000000001E-2</v>
      </c>
      <c r="AJ197" s="22">
        <v>187</v>
      </c>
      <c r="AK197" s="22">
        <v>0.84075900000000003</v>
      </c>
      <c r="AL197">
        <f t="shared" si="30"/>
        <v>16.589400000000001</v>
      </c>
      <c r="AM197">
        <f t="shared" si="31"/>
        <v>13.962883245</v>
      </c>
      <c r="AP197" s="9"/>
      <c r="AQ197" s="22">
        <v>0.89843799999999996</v>
      </c>
      <c r="AR197" s="22">
        <v>237.304</v>
      </c>
      <c r="AS197" s="25">
        <v>2.4627700000000001E-5</v>
      </c>
      <c r="AT197" s="22">
        <v>187</v>
      </c>
      <c r="AU197" s="22">
        <v>7.8796400000000003E-2</v>
      </c>
      <c r="AV197">
        <f t="shared" si="32"/>
        <v>-2.4627700000000002E-2</v>
      </c>
      <c r="AW197">
        <f t="shared" si="33"/>
        <v>-2.2126461532600002E-2</v>
      </c>
      <c r="AX197" s="9"/>
      <c r="AY197" s="22">
        <v>0.84167499999999995</v>
      </c>
      <c r="AZ197" s="22">
        <v>253.364</v>
      </c>
      <c r="BA197" s="22">
        <v>-6.2866199999999997E-3</v>
      </c>
      <c r="BB197" s="22">
        <v>187</v>
      </c>
      <c r="BC197" s="22">
        <v>0.84075900000000003</v>
      </c>
      <c r="BD197">
        <f t="shared" si="34"/>
        <v>6.2866200000000001</v>
      </c>
      <c r="BE197">
        <f t="shared" si="35"/>
        <v>5.2912908884999998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0.89340200000000003</v>
      </c>
      <c r="H198" s="22">
        <v>39.092300000000002</v>
      </c>
      <c r="I198" s="22">
        <v>-1.6500899999999999E-2</v>
      </c>
      <c r="J198" s="22">
        <v>188</v>
      </c>
      <c r="K198" s="22">
        <v>0.89172399999999996</v>
      </c>
      <c r="L198">
        <f t="shared" si="24"/>
        <v>16.500899999999998</v>
      </c>
      <c r="M198">
        <f t="shared" si="25"/>
        <v>14.741937061799998</v>
      </c>
      <c r="N198" s="9"/>
      <c r="O198" s="22">
        <v>0.84670999999999996</v>
      </c>
      <c r="P198" s="22">
        <v>88.530699999999996</v>
      </c>
      <c r="Q198" s="22">
        <v>-1.6558799999999999E-2</v>
      </c>
      <c r="R198" s="22">
        <v>188</v>
      </c>
      <c r="S198" s="22">
        <v>0.84533700000000001</v>
      </c>
      <c r="T198">
        <f t="shared" si="26"/>
        <v>16.558799999999998</v>
      </c>
      <c r="U198">
        <f t="shared" si="27"/>
        <v>14.020501547999997</v>
      </c>
      <c r="X198" s="9"/>
      <c r="Y198" s="22">
        <v>0.89340200000000003</v>
      </c>
      <c r="Z198" s="22">
        <v>138.07599999999999</v>
      </c>
      <c r="AA198" s="22">
        <v>-1.7092900000000001E-2</v>
      </c>
      <c r="AB198" s="22">
        <v>188</v>
      </c>
      <c r="AC198" s="22">
        <v>0.89263899999999996</v>
      </c>
      <c r="AD198">
        <f t="shared" si="28"/>
        <v>17.0929</v>
      </c>
      <c r="AE198">
        <f t="shared" si="29"/>
        <v>15.270831045800001</v>
      </c>
      <c r="AF198" s="9"/>
      <c r="AG198" s="22">
        <v>0.84670999999999996</v>
      </c>
      <c r="AH198" s="22">
        <v>187.691</v>
      </c>
      <c r="AI198" s="22">
        <v>-1.6586299999999998E-2</v>
      </c>
      <c r="AJ198" s="22">
        <v>188</v>
      </c>
      <c r="AK198" s="22">
        <v>0.846252</v>
      </c>
      <c r="AL198">
        <f t="shared" si="30"/>
        <v>16.586299999999998</v>
      </c>
      <c r="AM198">
        <f t="shared" si="31"/>
        <v>14.043786072999998</v>
      </c>
      <c r="AP198" s="9"/>
      <c r="AQ198" s="22">
        <v>0.89340200000000003</v>
      </c>
      <c r="AR198" s="22">
        <v>237.31399999999999</v>
      </c>
      <c r="AS198" s="22">
        <v>2.64648E-2</v>
      </c>
      <c r="AT198" s="22">
        <v>188</v>
      </c>
      <c r="AU198" s="22">
        <v>7.9193100000000002E-2</v>
      </c>
      <c r="AV198">
        <f t="shared" si="32"/>
        <v>-26.4648</v>
      </c>
      <c r="AW198">
        <f t="shared" si="33"/>
        <v>-23.6437052496</v>
      </c>
      <c r="AX198" s="9"/>
      <c r="AY198" s="22">
        <v>0.84670999999999996</v>
      </c>
      <c r="AZ198" s="22">
        <v>253.374</v>
      </c>
      <c r="BA198" s="22">
        <v>-6.2652599999999999E-3</v>
      </c>
      <c r="BB198" s="22">
        <v>188</v>
      </c>
      <c r="BC198" s="22">
        <v>0.84655800000000003</v>
      </c>
      <c r="BD198">
        <f t="shared" si="34"/>
        <v>6.2652599999999996</v>
      </c>
      <c r="BE198">
        <f t="shared" si="35"/>
        <v>5.3048582945999998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0.88836700000000002</v>
      </c>
      <c r="H199" s="22">
        <v>39.1023</v>
      </c>
      <c r="I199" s="22">
        <v>-1.6507000000000001E-2</v>
      </c>
      <c r="J199" s="22">
        <v>189</v>
      </c>
      <c r="K199" s="22">
        <v>0.88714599999999999</v>
      </c>
      <c r="L199">
        <f t="shared" si="24"/>
        <v>16.507000000000001</v>
      </c>
      <c r="M199">
        <f t="shared" si="25"/>
        <v>14.664274069000001</v>
      </c>
      <c r="N199" s="9"/>
      <c r="O199" s="22">
        <v>0.851746</v>
      </c>
      <c r="P199" s="22">
        <v>88.540800000000004</v>
      </c>
      <c r="Q199" s="22">
        <v>-1.6555799999999999E-2</v>
      </c>
      <c r="R199" s="22">
        <v>189</v>
      </c>
      <c r="S199" s="22">
        <v>0.85021999999999998</v>
      </c>
      <c r="T199">
        <f t="shared" si="26"/>
        <v>16.555799999999998</v>
      </c>
      <c r="U199">
        <f t="shared" si="27"/>
        <v>14.101336426799998</v>
      </c>
      <c r="X199" s="9"/>
      <c r="Y199" s="22">
        <v>0.88836700000000002</v>
      </c>
      <c r="Z199" s="22">
        <v>138.08600000000001</v>
      </c>
      <c r="AA199" s="22">
        <v>-1.7089799999999999E-2</v>
      </c>
      <c r="AB199" s="22">
        <v>189</v>
      </c>
      <c r="AC199" s="22">
        <v>0.88775599999999999</v>
      </c>
      <c r="AD199">
        <f t="shared" si="28"/>
        <v>17.0898</v>
      </c>
      <c r="AE199">
        <f t="shared" si="29"/>
        <v>15.1820143566</v>
      </c>
      <c r="AF199" s="9"/>
      <c r="AG199" s="22">
        <v>0.851746</v>
      </c>
      <c r="AH199" s="22">
        <v>187.70099999999999</v>
      </c>
      <c r="AI199" s="22">
        <v>-1.6586299999999998E-2</v>
      </c>
      <c r="AJ199" s="22">
        <v>189</v>
      </c>
      <c r="AK199" s="22">
        <v>0.85052499999999998</v>
      </c>
      <c r="AL199">
        <f t="shared" si="30"/>
        <v>16.586299999999998</v>
      </c>
      <c r="AM199">
        <f t="shared" si="31"/>
        <v>14.127314679799998</v>
      </c>
      <c r="AP199" s="9"/>
      <c r="AQ199" s="22">
        <v>0.88836700000000002</v>
      </c>
      <c r="AR199" s="22">
        <v>237.32400000000001</v>
      </c>
      <c r="AS199" s="22">
        <v>2.6486200000000001E-2</v>
      </c>
      <c r="AT199" s="22">
        <v>189</v>
      </c>
      <c r="AU199" s="22">
        <v>7.9071000000000002E-2</v>
      </c>
      <c r="AV199">
        <f t="shared" si="32"/>
        <v>-26.4862</v>
      </c>
      <c r="AW199">
        <f t="shared" si="33"/>
        <v>-23.529466035400002</v>
      </c>
      <c r="AX199" s="9"/>
      <c r="AY199" s="22">
        <v>0.851746</v>
      </c>
      <c r="AZ199" s="22">
        <v>253.38399999999999</v>
      </c>
      <c r="BA199" s="22">
        <v>-6.3110400000000004E-3</v>
      </c>
      <c r="BB199" s="22">
        <v>189</v>
      </c>
      <c r="BC199" s="22">
        <v>0.85082999999999998</v>
      </c>
      <c r="BD199">
        <f t="shared" si="34"/>
        <v>6.3110400000000002</v>
      </c>
      <c r="BE199">
        <f t="shared" si="35"/>
        <v>5.3754030758400004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0.88333099999999998</v>
      </c>
      <c r="H200" s="22">
        <v>39.112400000000001</v>
      </c>
      <c r="I200" s="22">
        <v>-1.6507000000000001E-2</v>
      </c>
      <c r="J200" s="22">
        <v>190</v>
      </c>
      <c r="K200" s="22">
        <v>0.88226300000000002</v>
      </c>
      <c r="L200">
        <f t="shared" si="24"/>
        <v>16.507000000000001</v>
      </c>
      <c r="M200">
        <f t="shared" si="25"/>
        <v>14.581144817</v>
      </c>
      <c r="N200" s="9"/>
      <c r="O200" s="22">
        <v>0.85678100000000001</v>
      </c>
      <c r="P200" s="22">
        <v>88.550799999999995</v>
      </c>
      <c r="Q200" s="22">
        <v>-1.6549700000000001E-2</v>
      </c>
      <c r="R200" s="22">
        <v>190</v>
      </c>
      <c r="S200" s="22">
        <v>0.85571299999999995</v>
      </c>
      <c r="T200">
        <f t="shared" si="26"/>
        <v>16.549700000000001</v>
      </c>
      <c r="U200">
        <f t="shared" si="27"/>
        <v>14.179468515700002</v>
      </c>
      <c r="X200" s="9"/>
      <c r="Y200" s="22">
        <v>0.88333099999999998</v>
      </c>
      <c r="Z200" s="22">
        <v>138.096</v>
      </c>
      <c r="AA200" s="22">
        <v>-1.7095900000000001E-2</v>
      </c>
      <c r="AB200" s="22">
        <v>190</v>
      </c>
      <c r="AC200" s="22">
        <v>0.88195800000000002</v>
      </c>
      <c r="AD200">
        <f t="shared" si="28"/>
        <v>17.0959</v>
      </c>
      <c r="AE200">
        <f t="shared" si="29"/>
        <v>15.101338442899999</v>
      </c>
      <c r="AF200" s="9"/>
      <c r="AG200" s="22">
        <v>0.85678100000000001</v>
      </c>
      <c r="AH200" s="22">
        <v>187.71100000000001</v>
      </c>
      <c r="AI200" s="22">
        <v>-1.6586299999999998E-2</v>
      </c>
      <c r="AJ200" s="22">
        <v>190</v>
      </c>
      <c r="AK200" s="22">
        <v>0.85571299999999995</v>
      </c>
      <c r="AL200">
        <f t="shared" si="30"/>
        <v>16.586299999999998</v>
      </c>
      <c r="AM200">
        <f t="shared" si="31"/>
        <v>14.210826700299998</v>
      </c>
      <c r="AP200" s="9"/>
      <c r="AQ200" s="22">
        <v>0.88333099999999998</v>
      </c>
      <c r="AR200" s="22">
        <v>237.334</v>
      </c>
      <c r="AS200" s="22">
        <v>2.6226800000000002E-2</v>
      </c>
      <c r="AT200" s="22">
        <v>190</v>
      </c>
      <c r="AU200" s="22">
        <v>7.8949000000000005E-2</v>
      </c>
      <c r="AV200">
        <f t="shared" si="32"/>
        <v>-26.226800000000001</v>
      </c>
      <c r="AW200">
        <f t="shared" si="33"/>
        <v>-23.166945470800002</v>
      </c>
      <c r="AX200" s="9"/>
      <c r="AY200" s="22">
        <v>0.85678100000000001</v>
      </c>
      <c r="AZ200" s="22">
        <v>253.39400000000001</v>
      </c>
      <c r="BA200" s="22">
        <v>-6.4025899999999997E-3</v>
      </c>
      <c r="BB200" s="22">
        <v>190</v>
      </c>
      <c r="BC200" s="22">
        <v>0.85571299999999995</v>
      </c>
      <c r="BD200">
        <f t="shared" si="34"/>
        <v>6.40259</v>
      </c>
      <c r="BE200">
        <f t="shared" si="35"/>
        <v>5.4856174627900005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0.87829599999999997</v>
      </c>
      <c r="H201" s="22">
        <v>39.122500000000002</v>
      </c>
      <c r="I201" s="22">
        <v>-1.6503899999999998E-2</v>
      </c>
      <c r="J201" s="22">
        <v>191</v>
      </c>
      <c r="K201" s="22">
        <v>0.87707500000000005</v>
      </c>
      <c r="L201">
        <f t="shared" si="24"/>
        <v>16.503899999999998</v>
      </c>
      <c r="M201">
        <f t="shared" si="25"/>
        <v>14.495309354399998</v>
      </c>
      <c r="N201" s="9"/>
      <c r="O201" s="22">
        <v>0.86181600000000003</v>
      </c>
      <c r="P201" s="22">
        <v>88.560900000000004</v>
      </c>
      <c r="Q201" s="22">
        <v>-1.6549700000000001E-2</v>
      </c>
      <c r="R201" s="22">
        <v>191</v>
      </c>
      <c r="S201" s="22">
        <v>0.86090100000000003</v>
      </c>
      <c r="T201">
        <f t="shared" si="26"/>
        <v>16.549700000000001</v>
      </c>
      <c r="U201">
        <f t="shared" si="27"/>
        <v>14.262796255200001</v>
      </c>
      <c r="X201" s="9"/>
      <c r="Y201" s="22">
        <v>0.87829599999999997</v>
      </c>
      <c r="Z201" s="22">
        <v>138.10599999999999</v>
      </c>
      <c r="AA201" s="22">
        <v>-1.7102099999999999E-2</v>
      </c>
      <c r="AB201" s="22">
        <v>191</v>
      </c>
      <c r="AC201" s="22">
        <v>0.87768599999999997</v>
      </c>
      <c r="AD201">
        <f t="shared" si="28"/>
        <v>17.1021</v>
      </c>
      <c r="AE201">
        <f t="shared" si="29"/>
        <v>15.020706021599999</v>
      </c>
      <c r="AF201" s="9"/>
      <c r="AG201" s="22">
        <v>0.86181600000000003</v>
      </c>
      <c r="AH201" s="22">
        <v>187.721</v>
      </c>
      <c r="AI201" s="22">
        <v>-1.6583299999999999E-2</v>
      </c>
      <c r="AJ201" s="22">
        <v>191</v>
      </c>
      <c r="AK201" s="22">
        <v>0.86090100000000003</v>
      </c>
      <c r="AL201">
        <f t="shared" si="30"/>
        <v>16.583299999999998</v>
      </c>
      <c r="AM201">
        <f t="shared" si="31"/>
        <v>14.291753272799998</v>
      </c>
      <c r="AP201" s="9"/>
      <c r="AQ201" s="22">
        <v>0.87829599999999997</v>
      </c>
      <c r="AR201" s="22">
        <v>237.34399999999999</v>
      </c>
      <c r="AS201" s="22">
        <v>2.6214600000000001E-2</v>
      </c>
      <c r="AT201" s="22">
        <v>191</v>
      </c>
      <c r="AU201" s="22">
        <v>7.9071000000000002E-2</v>
      </c>
      <c r="AV201">
        <f t="shared" si="32"/>
        <v>-26.214600000000001</v>
      </c>
      <c r="AW201">
        <f t="shared" si="33"/>
        <v>-23.024178321600001</v>
      </c>
      <c r="AX201" s="9"/>
      <c r="AY201" s="22">
        <v>0.86181600000000003</v>
      </c>
      <c r="AZ201" s="22">
        <v>253.404</v>
      </c>
      <c r="BA201" s="22">
        <v>-6.5063500000000002E-3</v>
      </c>
      <c r="BB201" s="22">
        <v>191</v>
      </c>
      <c r="BC201" s="22">
        <v>0.86090100000000003</v>
      </c>
      <c r="BD201">
        <f t="shared" si="34"/>
        <v>6.5063500000000003</v>
      </c>
      <c r="BE201">
        <f t="shared" si="35"/>
        <v>5.6072765316000002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0.87326000000000004</v>
      </c>
      <c r="H202" s="22">
        <v>39.1325</v>
      </c>
      <c r="I202" s="22">
        <v>-1.6507000000000001E-2</v>
      </c>
      <c r="J202" s="22">
        <v>192</v>
      </c>
      <c r="K202" s="22">
        <v>0.87188699999999997</v>
      </c>
      <c r="L202">
        <f t="shared" si="24"/>
        <v>16.507000000000001</v>
      </c>
      <c r="M202">
        <f t="shared" si="25"/>
        <v>14.414902820000002</v>
      </c>
      <c r="N202" s="9"/>
      <c r="O202" s="22">
        <v>0.86685199999999996</v>
      </c>
      <c r="P202" s="22">
        <v>88.570999999999998</v>
      </c>
      <c r="Q202" s="22">
        <v>-1.6549700000000001E-2</v>
      </c>
      <c r="R202" s="22">
        <v>192</v>
      </c>
      <c r="S202" s="22">
        <v>0.865784</v>
      </c>
      <c r="T202">
        <f t="shared" si="26"/>
        <v>16.549700000000001</v>
      </c>
      <c r="U202">
        <f t="shared" si="27"/>
        <v>14.346140544400001</v>
      </c>
      <c r="X202" s="9"/>
      <c r="Y202" s="22">
        <v>0.87326000000000004</v>
      </c>
      <c r="Z202" s="22">
        <v>138.11600000000001</v>
      </c>
      <c r="AA202" s="22">
        <v>-1.7095900000000001E-2</v>
      </c>
      <c r="AB202" s="22">
        <v>192</v>
      </c>
      <c r="AC202" s="22">
        <v>0.872803</v>
      </c>
      <c r="AD202">
        <f t="shared" si="28"/>
        <v>17.0959</v>
      </c>
      <c r="AE202">
        <f t="shared" si="29"/>
        <v>14.929165634</v>
      </c>
      <c r="AF202" s="9"/>
      <c r="AG202" s="22">
        <v>0.86685199999999996</v>
      </c>
      <c r="AH202" s="22">
        <v>187.73099999999999</v>
      </c>
      <c r="AI202" s="22">
        <v>-1.6577100000000001E-2</v>
      </c>
      <c r="AJ202" s="22">
        <v>192</v>
      </c>
      <c r="AK202" s="22">
        <v>0.865784</v>
      </c>
      <c r="AL202">
        <f t="shared" si="30"/>
        <v>16.577100000000002</v>
      </c>
      <c r="AM202">
        <f t="shared" si="31"/>
        <v>14.369892289200001</v>
      </c>
      <c r="AP202" s="9"/>
      <c r="AQ202" s="22">
        <v>0.87326000000000004</v>
      </c>
      <c r="AR202" s="22">
        <v>237.35400000000001</v>
      </c>
      <c r="AS202" s="22">
        <v>5.4275499999999997E-2</v>
      </c>
      <c r="AT202" s="22">
        <v>192</v>
      </c>
      <c r="AU202" s="22">
        <v>7.9101599999999994E-2</v>
      </c>
      <c r="AV202">
        <f t="shared" si="32"/>
        <v>-54.275499999999994</v>
      </c>
      <c r="AW202">
        <f t="shared" si="33"/>
        <v>-47.396623129999995</v>
      </c>
      <c r="AX202" s="9"/>
      <c r="AY202" s="22">
        <v>0.86685199999999996</v>
      </c>
      <c r="AZ202" s="22">
        <v>253.41399999999999</v>
      </c>
      <c r="BA202" s="22">
        <v>-6.2622099999999998E-3</v>
      </c>
      <c r="BB202" s="22">
        <v>192</v>
      </c>
      <c r="BC202" s="22">
        <v>0.866089</v>
      </c>
      <c r="BD202">
        <f t="shared" si="34"/>
        <v>6.2622099999999996</v>
      </c>
      <c r="BE202">
        <f t="shared" si="35"/>
        <v>5.4284092629199998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0.86822500000000002</v>
      </c>
      <c r="H203" s="22">
        <v>39.142600000000002</v>
      </c>
      <c r="I203" s="22">
        <v>-1.6513099999999999E-2</v>
      </c>
      <c r="J203" s="22">
        <v>193</v>
      </c>
      <c r="K203" s="22">
        <v>0.86731000000000003</v>
      </c>
      <c r="L203">
        <f t="shared" si="24"/>
        <v>16.513099999999998</v>
      </c>
      <c r="M203">
        <f t="shared" si="25"/>
        <v>14.337086247499998</v>
      </c>
      <c r="N203" s="9"/>
      <c r="O203" s="22">
        <v>0.87188699999999997</v>
      </c>
      <c r="P203" s="22">
        <v>88.581000000000003</v>
      </c>
      <c r="Q203" s="22">
        <v>-1.6546600000000002E-2</v>
      </c>
      <c r="R203" s="22">
        <v>193</v>
      </c>
      <c r="S203" s="22">
        <v>0.87127699999999997</v>
      </c>
      <c r="T203">
        <f t="shared" si="26"/>
        <v>16.546600000000002</v>
      </c>
      <c r="U203">
        <f t="shared" si="27"/>
        <v>14.4267654342</v>
      </c>
      <c r="X203" s="9"/>
      <c r="Y203" s="22">
        <v>0.86822500000000002</v>
      </c>
      <c r="Z203" s="22">
        <v>138.12700000000001</v>
      </c>
      <c r="AA203" s="22">
        <v>-1.71082E-2</v>
      </c>
      <c r="AB203" s="22">
        <v>193</v>
      </c>
      <c r="AC203" s="22">
        <v>0.867004</v>
      </c>
      <c r="AD203">
        <f t="shared" si="28"/>
        <v>17.1082</v>
      </c>
      <c r="AE203">
        <f t="shared" si="29"/>
        <v>14.853766945</v>
      </c>
      <c r="AF203" s="9"/>
      <c r="AG203" s="22">
        <v>0.87188699999999997</v>
      </c>
      <c r="AH203" s="22">
        <v>187.74100000000001</v>
      </c>
      <c r="AI203" s="22">
        <v>-1.6574100000000001E-2</v>
      </c>
      <c r="AJ203" s="22">
        <v>193</v>
      </c>
      <c r="AK203" s="22">
        <v>0.87036100000000005</v>
      </c>
      <c r="AL203">
        <f t="shared" si="30"/>
        <v>16.574100000000001</v>
      </c>
      <c r="AM203">
        <f t="shared" si="31"/>
        <v>14.4507423267</v>
      </c>
      <c r="AP203" s="9"/>
      <c r="AQ203" s="22">
        <v>0.86822500000000002</v>
      </c>
      <c r="AR203" s="22">
        <v>237.364</v>
      </c>
      <c r="AS203" s="25">
        <v>4.1656499999999997E-5</v>
      </c>
      <c r="AT203" s="22">
        <v>193</v>
      </c>
      <c r="AU203" s="22">
        <v>7.8857399999999994E-2</v>
      </c>
      <c r="AV203">
        <f t="shared" si="32"/>
        <v>-4.1656499999999999E-2</v>
      </c>
      <c r="AW203">
        <f t="shared" si="33"/>
        <v>-3.61672147125E-2</v>
      </c>
      <c r="AX203" s="9"/>
      <c r="AY203" s="22">
        <v>0.87188699999999997</v>
      </c>
      <c r="AZ203" s="22">
        <v>253.42400000000001</v>
      </c>
      <c r="BA203" s="22">
        <v>-6.2316899999999998E-3</v>
      </c>
      <c r="BB203" s="22">
        <v>193</v>
      </c>
      <c r="BC203" s="22">
        <v>0.87158199999999997</v>
      </c>
      <c r="BD203">
        <f t="shared" si="34"/>
        <v>6.2316899999999995</v>
      </c>
      <c r="BE203">
        <f t="shared" si="35"/>
        <v>5.4333294990299992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0.86319000000000001</v>
      </c>
      <c r="H204" s="22">
        <v>39.152700000000003</v>
      </c>
      <c r="I204" s="22">
        <v>-1.6516099999999999E-2</v>
      </c>
      <c r="J204" s="22">
        <v>194</v>
      </c>
      <c r="K204" s="22">
        <v>0.86181600000000003</v>
      </c>
      <c r="L204">
        <f t="shared" ref="L204:L267" si="36">-I204/$F$2*1000</f>
        <v>16.516099999999998</v>
      </c>
      <c r="M204">
        <f t="shared" ref="M204:M267" si="37">L204*G204</f>
        <v>14.256532358999998</v>
      </c>
      <c r="N204" s="9"/>
      <c r="O204" s="22">
        <v>0.87692300000000001</v>
      </c>
      <c r="P204" s="22">
        <v>88.591099999999997</v>
      </c>
      <c r="Q204" s="22">
        <v>-1.6543599999999999E-2</v>
      </c>
      <c r="R204" s="22">
        <v>194</v>
      </c>
      <c r="S204" s="22">
        <v>0.87646500000000005</v>
      </c>
      <c r="T204">
        <f t="shared" ref="T204:T267" si="38">-Q204/$F$2*1000</f>
        <v>16.543599999999998</v>
      </c>
      <c r="U204">
        <f t="shared" ref="U204:U267" si="39">T204*O204</f>
        <v>14.507463342799998</v>
      </c>
      <c r="X204" s="9"/>
      <c r="Y204" s="22">
        <v>0.86319000000000001</v>
      </c>
      <c r="Z204" s="22">
        <v>138.137</v>
      </c>
      <c r="AA204" s="22">
        <v>-1.7114299999999999E-2</v>
      </c>
      <c r="AB204" s="22">
        <v>194</v>
      </c>
      <c r="AC204" s="22">
        <v>0.86212200000000005</v>
      </c>
      <c r="AD204">
        <f t="shared" ref="AD204:AD267" si="40">-AA204/$F$2*1000</f>
        <v>17.1143</v>
      </c>
      <c r="AE204">
        <f t="shared" ref="AE204:AE267" si="41">AD204*Y204</f>
        <v>14.772892617</v>
      </c>
      <c r="AF204" s="9"/>
      <c r="AG204" s="22">
        <v>0.87692300000000001</v>
      </c>
      <c r="AH204" s="22">
        <v>187.751</v>
      </c>
      <c r="AI204" s="22">
        <v>-1.6574100000000001E-2</v>
      </c>
      <c r="AJ204" s="22">
        <v>194</v>
      </c>
      <c r="AK204" s="22">
        <v>0.87616000000000005</v>
      </c>
      <c r="AL204">
        <f t="shared" ref="AL204:AL267" si="42">-AI204/$F$2*1000</f>
        <v>16.574100000000001</v>
      </c>
      <c r="AM204">
        <f t="shared" ref="AM204:AM267" si="43">AL204*AG204</f>
        <v>14.534209494300001</v>
      </c>
      <c r="AP204" s="9"/>
      <c r="AQ204" s="22">
        <v>0.86319000000000001</v>
      </c>
      <c r="AR204" s="22">
        <v>237.374</v>
      </c>
      <c r="AS204" s="25">
        <v>3.2684300000000001E-5</v>
      </c>
      <c r="AT204" s="22">
        <v>194</v>
      </c>
      <c r="AU204" s="22">
        <v>7.8857399999999994E-2</v>
      </c>
      <c r="AV204">
        <f t="shared" ref="AV204:AV267" si="44">-AS204/$F$2*1000</f>
        <v>-3.2684299999999999E-2</v>
      </c>
      <c r="AW204">
        <f t="shared" ref="AW204:AW267" si="45">AV204*AQ204</f>
        <v>-2.8212760917E-2</v>
      </c>
      <c r="AX204" s="9"/>
      <c r="AY204" s="22">
        <v>0.87692300000000001</v>
      </c>
      <c r="AZ204" s="22">
        <v>253.434</v>
      </c>
      <c r="BA204" s="22">
        <v>-6.21033E-3</v>
      </c>
      <c r="BB204" s="22">
        <v>194</v>
      </c>
      <c r="BC204" s="22">
        <v>0.87585400000000002</v>
      </c>
      <c r="BD204">
        <f t="shared" ref="BD204:BD267" si="46">-BA204/$F$2*1000</f>
        <v>6.2103299999999999</v>
      </c>
      <c r="BE204">
        <f t="shared" ref="BE204:BE267" si="47">BD204*AY204</f>
        <v>5.4459812145899997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0.85815399999999997</v>
      </c>
      <c r="H205" s="22">
        <v>39.162799999999997</v>
      </c>
      <c r="I205" s="22">
        <v>-1.6519200000000001E-2</v>
      </c>
      <c r="J205" s="22">
        <v>195</v>
      </c>
      <c r="K205" s="22">
        <v>0.85693399999999997</v>
      </c>
      <c r="L205">
        <f t="shared" si="36"/>
        <v>16.519200000000001</v>
      </c>
      <c r="M205">
        <f t="shared" si="37"/>
        <v>14.176017556800002</v>
      </c>
      <c r="N205" s="9"/>
      <c r="O205" s="22">
        <v>0.88195800000000002</v>
      </c>
      <c r="P205" s="22">
        <v>88.601200000000006</v>
      </c>
      <c r="Q205" s="22">
        <v>-1.6543599999999999E-2</v>
      </c>
      <c r="R205" s="22">
        <v>195</v>
      </c>
      <c r="S205" s="22">
        <v>0.88043199999999999</v>
      </c>
      <c r="T205">
        <f t="shared" si="38"/>
        <v>16.543599999999998</v>
      </c>
      <c r="U205">
        <f t="shared" si="39"/>
        <v>14.590760368799998</v>
      </c>
      <c r="X205" s="9"/>
      <c r="Y205" s="22">
        <v>0.85815399999999997</v>
      </c>
      <c r="Z205" s="22">
        <v>138.14699999999999</v>
      </c>
      <c r="AA205" s="22">
        <v>-1.7117299999999998E-2</v>
      </c>
      <c r="AB205" s="22">
        <v>195</v>
      </c>
      <c r="AC205" s="22">
        <v>0.85754399999999997</v>
      </c>
      <c r="AD205">
        <f t="shared" si="40"/>
        <v>17.1173</v>
      </c>
      <c r="AE205">
        <f t="shared" si="41"/>
        <v>14.6892794642</v>
      </c>
      <c r="AF205" s="9"/>
      <c r="AG205" s="22">
        <v>0.88195800000000002</v>
      </c>
      <c r="AH205" s="22">
        <v>187.761</v>
      </c>
      <c r="AI205" s="22">
        <v>-1.65649E-2</v>
      </c>
      <c r="AJ205" s="22">
        <v>195</v>
      </c>
      <c r="AK205" s="22">
        <v>0.88073699999999999</v>
      </c>
      <c r="AL205">
        <f t="shared" si="42"/>
        <v>16.564900000000002</v>
      </c>
      <c r="AM205">
        <f t="shared" si="43"/>
        <v>14.609546074200003</v>
      </c>
      <c r="AP205" s="9"/>
      <c r="AQ205" s="22">
        <v>0.85815399999999997</v>
      </c>
      <c r="AR205" s="22">
        <v>237.38499999999999</v>
      </c>
      <c r="AS205" s="25">
        <v>3.5461399999999999E-5</v>
      </c>
      <c r="AT205" s="22">
        <v>195</v>
      </c>
      <c r="AU205" s="22">
        <v>7.8857399999999994E-2</v>
      </c>
      <c r="AV205">
        <f t="shared" si="44"/>
        <v>-3.5461399999999997E-2</v>
      </c>
      <c r="AW205">
        <f t="shared" si="45"/>
        <v>-3.0431342255599996E-2</v>
      </c>
      <c r="AX205" s="9"/>
      <c r="AY205" s="22">
        <v>0.88195800000000002</v>
      </c>
      <c r="AZ205" s="22">
        <v>253.44399999999999</v>
      </c>
      <c r="BA205" s="22">
        <v>-6.2316899999999998E-3</v>
      </c>
      <c r="BB205" s="22">
        <v>195</v>
      </c>
      <c r="BC205" s="22">
        <v>0.88134800000000002</v>
      </c>
      <c r="BD205">
        <f t="shared" si="46"/>
        <v>6.2316899999999995</v>
      </c>
      <c r="BE205">
        <f t="shared" si="47"/>
        <v>5.4960888490199995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0.85311899999999996</v>
      </c>
      <c r="H206" s="22">
        <v>39.172800000000002</v>
      </c>
      <c r="I206" s="22">
        <v>-1.6522200000000001E-2</v>
      </c>
      <c r="J206" s="22">
        <v>196</v>
      </c>
      <c r="K206" s="22">
        <v>0.852051</v>
      </c>
      <c r="L206">
        <f t="shared" si="36"/>
        <v>16.522200000000002</v>
      </c>
      <c r="M206">
        <f t="shared" si="37"/>
        <v>14.095402741800001</v>
      </c>
      <c r="N206" s="9"/>
      <c r="O206" s="22">
        <v>0.88699300000000003</v>
      </c>
      <c r="P206" s="22">
        <v>88.6113</v>
      </c>
      <c r="Q206" s="22">
        <v>-1.65375E-2</v>
      </c>
      <c r="R206" s="22">
        <v>196</v>
      </c>
      <c r="S206" s="22">
        <v>0.88561999999999996</v>
      </c>
      <c r="T206">
        <f t="shared" si="38"/>
        <v>16.537500000000001</v>
      </c>
      <c r="U206">
        <f t="shared" si="39"/>
        <v>14.668646737500001</v>
      </c>
      <c r="X206" s="9"/>
      <c r="Y206" s="22">
        <v>0.85311899999999996</v>
      </c>
      <c r="Z206" s="22">
        <v>138.15700000000001</v>
      </c>
      <c r="AA206" s="22">
        <v>-1.7126499999999999E-2</v>
      </c>
      <c r="AB206" s="22">
        <v>196</v>
      </c>
      <c r="AC206" s="22">
        <v>0.852356</v>
      </c>
      <c r="AD206">
        <f t="shared" si="40"/>
        <v>17.1265</v>
      </c>
      <c r="AE206">
        <f t="shared" si="41"/>
        <v>14.610942553499999</v>
      </c>
      <c r="AF206" s="9"/>
      <c r="AG206" s="22">
        <v>0.88699300000000003</v>
      </c>
      <c r="AH206" s="22">
        <v>187.77099999999999</v>
      </c>
      <c r="AI206" s="22">
        <v>-1.6561900000000001E-2</v>
      </c>
      <c r="AJ206" s="22">
        <v>196</v>
      </c>
      <c r="AK206" s="22">
        <v>0.88561999999999996</v>
      </c>
      <c r="AL206">
        <f t="shared" si="42"/>
        <v>16.561900000000001</v>
      </c>
      <c r="AM206">
        <f t="shared" si="43"/>
        <v>14.690289366700002</v>
      </c>
      <c r="AP206" s="9"/>
      <c r="AQ206" s="22">
        <v>0.85311899999999996</v>
      </c>
      <c r="AR206" s="22">
        <v>237.39500000000001</v>
      </c>
      <c r="AS206" s="25">
        <v>2.7404799999999999E-5</v>
      </c>
      <c r="AT206" s="22">
        <v>196</v>
      </c>
      <c r="AU206" s="22">
        <v>7.8796400000000003E-2</v>
      </c>
      <c r="AV206">
        <f t="shared" si="44"/>
        <v>-2.74048E-2</v>
      </c>
      <c r="AW206">
        <f t="shared" si="45"/>
        <v>-2.33795555712E-2</v>
      </c>
      <c r="AX206" s="9"/>
      <c r="AY206" s="22">
        <v>0.88699300000000003</v>
      </c>
      <c r="AZ206" s="22">
        <v>253.45400000000001</v>
      </c>
      <c r="BA206" s="22">
        <v>-6.1706499999999997E-3</v>
      </c>
      <c r="BB206" s="22">
        <v>196</v>
      </c>
      <c r="BC206" s="22">
        <v>0.88622999999999996</v>
      </c>
      <c r="BD206">
        <f t="shared" si="46"/>
        <v>6.1706500000000002</v>
      </c>
      <c r="BE206">
        <f t="shared" si="47"/>
        <v>5.4733233554500007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0.84808300000000003</v>
      </c>
      <c r="H207" s="22">
        <v>39.182899999999997</v>
      </c>
      <c r="I207" s="22">
        <v>-1.6522200000000001E-2</v>
      </c>
      <c r="J207" s="22">
        <v>197</v>
      </c>
      <c r="K207" s="22">
        <v>0.84655800000000003</v>
      </c>
      <c r="L207">
        <f t="shared" si="36"/>
        <v>16.522200000000002</v>
      </c>
      <c r="M207">
        <f t="shared" si="37"/>
        <v>14.012196942600001</v>
      </c>
      <c r="N207" s="9"/>
      <c r="O207" s="22">
        <v>0.89202899999999996</v>
      </c>
      <c r="P207" s="22">
        <v>88.621300000000005</v>
      </c>
      <c r="Q207" s="22">
        <v>-1.6534400000000001E-2</v>
      </c>
      <c r="R207" s="22">
        <v>197</v>
      </c>
      <c r="S207" s="22">
        <v>0.89141800000000004</v>
      </c>
      <c r="T207">
        <f t="shared" si="38"/>
        <v>16.534400000000002</v>
      </c>
      <c r="U207">
        <f t="shared" si="39"/>
        <v>14.7491642976</v>
      </c>
      <c r="X207" s="9"/>
      <c r="Y207" s="22">
        <v>0.84808300000000003</v>
      </c>
      <c r="Z207" s="22">
        <v>138.167</v>
      </c>
      <c r="AA207" s="22">
        <v>-1.7120400000000001E-2</v>
      </c>
      <c r="AB207" s="22">
        <v>197</v>
      </c>
      <c r="AC207" s="22">
        <v>0.84777800000000003</v>
      </c>
      <c r="AD207">
        <f t="shared" si="40"/>
        <v>17.1204</v>
      </c>
      <c r="AE207">
        <f t="shared" si="41"/>
        <v>14.5195201932</v>
      </c>
      <c r="AF207" s="9"/>
      <c r="AG207" s="22">
        <v>0.89202899999999996</v>
      </c>
      <c r="AH207" s="22">
        <v>187.78100000000001</v>
      </c>
      <c r="AI207" s="22">
        <v>-1.6558799999999999E-2</v>
      </c>
      <c r="AJ207" s="22">
        <v>197</v>
      </c>
      <c r="AK207" s="22">
        <v>0.89080800000000004</v>
      </c>
      <c r="AL207">
        <f t="shared" si="42"/>
        <v>16.558799999999998</v>
      </c>
      <c r="AM207">
        <f t="shared" si="43"/>
        <v>14.770929805199998</v>
      </c>
      <c r="AP207" s="9"/>
      <c r="AQ207" s="22">
        <v>0.84808300000000003</v>
      </c>
      <c r="AR207" s="22">
        <v>237.405</v>
      </c>
      <c r="AS207" s="25">
        <v>2.8015099999999999E-5</v>
      </c>
      <c r="AT207" s="22">
        <v>197</v>
      </c>
      <c r="AU207" s="22">
        <v>7.8826900000000005E-2</v>
      </c>
      <c r="AV207">
        <f t="shared" si="44"/>
        <v>-2.8015099999999998E-2</v>
      </c>
      <c r="AW207">
        <f t="shared" si="45"/>
        <v>-2.37591300533E-2</v>
      </c>
      <c r="AX207" s="9"/>
      <c r="AY207" s="22">
        <v>0.89202899999999996</v>
      </c>
      <c r="AZ207" s="22">
        <v>253.464</v>
      </c>
      <c r="BA207" s="22">
        <v>-6.1859100000000002E-3</v>
      </c>
      <c r="BB207" s="22">
        <v>197</v>
      </c>
      <c r="BC207" s="22">
        <v>0.89202899999999996</v>
      </c>
      <c r="BD207">
        <f t="shared" si="46"/>
        <v>6.1859099999999998</v>
      </c>
      <c r="BE207">
        <f t="shared" si="47"/>
        <v>5.5180111113899999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0.84304800000000002</v>
      </c>
      <c r="H208" s="22">
        <v>39.192999999999998</v>
      </c>
      <c r="I208" s="22">
        <v>-1.65253E-2</v>
      </c>
      <c r="J208" s="22">
        <v>198</v>
      </c>
      <c r="K208" s="22">
        <v>0.84167499999999995</v>
      </c>
      <c r="L208">
        <f t="shared" si="36"/>
        <v>16.525300000000001</v>
      </c>
      <c r="M208">
        <f t="shared" si="37"/>
        <v>13.931621114400002</v>
      </c>
      <c r="N208" s="9"/>
      <c r="O208" s="22">
        <v>0.89706399999999997</v>
      </c>
      <c r="P208" s="22">
        <v>88.631399999999999</v>
      </c>
      <c r="Q208" s="22">
        <v>-1.6531400000000002E-2</v>
      </c>
      <c r="R208" s="22">
        <v>198</v>
      </c>
      <c r="S208" s="22">
        <v>0.89630100000000001</v>
      </c>
      <c r="T208">
        <f t="shared" si="38"/>
        <v>16.531400000000001</v>
      </c>
      <c r="U208">
        <f t="shared" si="39"/>
        <v>14.829723809600001</v>
      </c>
      <c r="X208" s="9"/>
      <c r="Y208" s="22">
        <v>0.84304800000000002</v>
      </c>
      <c r="Z208" s="22">
        <v>138.17699999999999</v>
      </c>
      <c r="AA208" s="22">
        <v>-1.7120400000000001E-2</v>
      </c>
      <c r="AB208" s="22">
        <v>198</v>
      </c>
      <c r="AC208" s="22">
        <v>0.84228499999999995</v>
      </c>
      <c r="AD208">
        <f t="shared" si="40"/>
        <v>17.1204</v>
      </c>
      <c r="AE208">
        <f t="shared" si="41"/>
        <v>14.433318979200001</v>
      </c>
      <c r="AF208" s="9"/>
      <c r="AG208" s="22">
        <v>0.89706399999999997</v>
      </c>
      <c r="AH208" s="22">
        <v>187.791</v>
      </c>
      <c r="AI208" s="22">
        <v>-1.65527E-2</v>
      </c>
      <c r="AJ208" s="22">
        <v>198</v>
      </c>
      <c r="AK208" s="22">
        <v>0.89630100000000001</v>
      </c>
      <c r="AL208">
        <f t="shared" si="42"/>
        <v>16.552700000000002</v>
      </c>
      <c r="AM208">
        <f t="shared" si="43"/>
        <v>14.8488312728</v>
      </c>
      <c r="AP208" s="9"/>
      <c r="AQ208" s="22">
        <v>0.84304800000000002</v>
      </c>
      <c r="AR208" s="22">
        <v>237.41499999999999</v>
      </c>
      <c r="AS208" s="25">
        <v>2.7160599999999999E-5</v>
      </c>
      <c r="AT208" s="22">
        <v>198</v>
      </c>
      <c r="AU208" s="22">
        <v>7.8826900000000005E-2</v>
      </c>
      <c r="AV208">
        <f t="shared" si="44"/>
        <v>-2.71606E-2</v>
      </c>
      <c r="AW208">
        <f t="shared" si="45"/>
        <v>-2.2897689508800001E-2</v>
      </c>
      <c r="AX208" s="9"/>
      <c r="AY208" s="22">
        <v>0.89706399999999997</v>
      </c>
      <c r="AZ208" s="22">
        <v>253.47499999999999</v>
      </c>
      <c r="BA208" s="22">
        <v>-6.1248800000000001E-3</v>
      </c>
      <c r="BB208" s="22">
        <v>198</v>
      </c>
      <c r="BC208" s="22">
        <v>0.89569100000000001</v>
      </c>
      <c r="BD208">
        <f t="shared" si="46"/>
        <v>6.1248800000000001</v>
      </c>
      <c r="BE208">
        <f t="shared" si="47"/>
        <v>5.4944093523199999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0.83801300000000001</v>
      </c>
      <c r="H209" s="22">
        <v>39.203000000000003</v>
      </c>
      <c r="I209" s="22">
        <v>-1.65253E-2</v>
      </c>
      <c r="J209" s="22">
        <v>199</v>
      </c>
      <c r="K209" s="22">
        <v>0.83770800000000001</v>
      </c>
      <c r="L209">
        <f t="shared" si="36"/>
        <v>16.525300000000001</v>
      </c>
      <c r="M209">
        <f t="shared" si="37"/>
        <v>13.848416228900001</v>
      </c>
      <c r="N209" s="9"/>
      <c r="O209" s="22">
        <v>0.90210000000000001</v>
      </c>
      <c r="P209" s="22">
        <v>88.641499999999994</v>
      </c>
      <c r="Q209" s="22">
        <v>-1.6528299999999999E-2</v>
      </c>
      <c r="R209" s="22">
        <v>199</v>
      </c>
      <c r="S209" s="22">
        <v>0.90118399999999999</v>
      </c>
      <c r="T209">
        <f t="shared" si="38"/>
        <v>16.528299999999998</v>
      </c>
      <c r="U209">
        <f t="shared" si="39"/>
        <v>14.910179429999998</v>
      </c>
      <c r="X209" s="9"/>
      <c r="Y209" s="22">
        <v>0.83801300000000001</v>
      </c>
      <c r="Z209" s="22">
        <v>138.18700000000001</v>
      </c>
      <c r="AA209" s="22">
        <v>-1.7132600000000001E-2</v>
      </c>
      <c r="AB209" s="22">
        <v>199</v>
      </c>
      <c r="AC209" s="22">
        <v>0.83709699999999998</v>
      </c>
      <c r="AD209">
        <f t="shared" si="40"/>
        <v>17.1326</v>
      </c>
      <c r="AE209">
        <f t="shared" si="41"/>
        <v>14.357341523800001</v>
      </c>
      <c r="AF209" s="9"/>
      <c r="AG209" s="22">
        <v>0.90210000000000001</v>
      </c>
      <c r="AH209" s="22">
        <v>187.80099999999999</v>
      </c>
      <c r="AI209" s="22">
        <v>-1.65527E-2</v>
      </c>
      <c r="AJ209" s="22">
        <v>199</v>
      </c>
      <c r="AK209" s="22">
        <v>0.90118399999999999</v>
      </c>
      <c r="AL209">
        <f t="shared" si="42"/>
        <v>16.552700000000002</v>
      </c>
      <c r="AM209">
        <f t="shared" si="43"/>
        <v>14.932190670000002</v>
      </c>
      <c r="AP209" s="9"/>
      <c r="AQ209" s="22">
        <v>0.83801300000000001</v>
      </c>
      <c r="AR209" s="22">
        <v>237.42500000000001</v>
      </c>
      <c r="AS209" s="25">
        <v>2.8320300000000001E-5</v>
      </c>
      <c r="AT209" s="22">
        <v>199</v>
      </c>
      <c r="AU209" s="22">
        <v>7.8796400000000003E-2</v>
      </c>
      <c r="AV209">
        <f t="shared" si="44"/>
        <v>-2.83203E-2</v>
      </c>
      <c r="AW209">
        <f t="shared" si="45"/>
        <v>-2.3732779563899999E-2</v>
      </c>
      <c r="AX209" s="9"/>
      <c r="AY209" s="22">
        <v>0.90210000000000001</v>
      </c>
      <c r="AZ209" s="22">
        <v>253.48500000000001</v>
      </c>
      <c r="BA209" s="22">
        <v>-6.1523400000000001E-3</v>
      </c>
      <c r="BB209" s="22">
        <v>199</v>
      </c>
      <c r="BC209" s="22">
        <v>0.90118399999999999</v>
      </c>
      <c r="BD209">
        <f t="shared" si="46"/>
        <v>6.1523399999999997</v>
      </c>
      <c r="BE209">
        <f t="shared" si="47"/>
        <v>5.5500259139999999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0.83297699999999997</v>
      </c>
      <c r="H210" s="22">
        <v>39.213099999999997</v>
      </c>
      <c r="I210" s="22">
        <v>-1.6531400000000002E-2</v>
      </c>
      <c r="J210" s="22">
        <v>200</v>
      </c>
      <c r="K210" s="22">
        <v>0.83160400000000001</v>
      </c>
      <c r="L210">
        <f t="shared" si="36"/>
        <v>16.531400000000001</v>
      </c>
      <c r="M210">
        <f t="shared" si="37"/>
        <v>13.770275977800001</v>
      </c>
      <c r="N210" s="9"/>
      <c r="O210" s="22">
        <v>0.90713500000000002</v>
      </c>
      <c r="P210" s="22">
        <v>88.651499999999999</v>
      </c>
      <c r="Q210" s="22">
        <v>-1.65253E-2</v>
      </c>
      <c r="R210" s="22">
        <v>200</v>
      </c>
      <c r="S210" s="22">
        <v>0.90545699999999996</v>
      </c>
      <c r="T210">
        <f t="shared" si="38"/>
        <v>16.525300000000001</v>
      </c>
      <c r="U210">
        <f t="shared" si="39"/>
        <v>14.990678015500002</v>
      </c>
      <c r="X210" s="9"/>
      <c r="Y210" s="22">
        <v>0.83297699999999997</v>
      </c>
      <c r="Z210" s="22">
        <v>138.197</v>
      </c>
      <c r="AA210" s="22">
        <v>-1.7126499999999999E-2</v>
      </c>
      <c r="AB210" s="22">
        <v>200</v>
      </c>
      <c r="AC210" s="22">
        <v>0.83221400000000001</v>
      </c>
      <c r="AD210">
        <f t="shared" si="40"/>
        <v>17.1265</v>
      </c>
      <c r="AE210">
        <f t="shared" si="41"/>
        <v>14.2659805905</v>
      </c>
      <c r="AF210" s="9"/>
      <c r="AG210" s="22">
        <v>0.90713500000000002</v>
      </c>
      <c r="AH210" s="22">
        <v>187.81100000000001</v>
      </c>
      <c r="AI210" s="22">
        <v>-1.6546600000000002E-2</v>
      </c>
      <c r="AJ210" s="22">
        <v>200</v>
      </c>
      <c r="AK210" s="22">
        <v>0.90606699999999996</v>
      </c>
      <c r="AL210">
        <f t="shared" si="42"/>
        <v>16.546600000000002</v>
      </c>
      <c r="AM210">
        <f t="shared" si="43"/>
        <v>15.009999991000003</v>
      </c>
      <c r="AP210" s="9"/>
      <c r="AQ210" s="22">
        <v>0.83297699999999997</v>
      </c>
      <c r="AR210" s="22">
        <v>237.435</v>
      </c>
      <c r="AS210" s="25">
        <v>2.9907200000000001E-5</v>
      </c>
      <c r="AT210" s="22">
        <v>200</v>
      </c>
      <c r="AU210" s="22">
        <v>7.8735399999999997E-2</v>
      </c>
      <c r="AV210">
        <f t="shared" si="44"/>
        <v>-2.9907200000000002E-2</v>
      </c>
      <c r="AW210">
        <f t="shared" si="45"/>
        <v>-2.4912009734400001E-2</v>
      </c>
      <c r="AX210" s="9"/>
      <c r="AY210" s="22">
        <v>0.90713500000000002</v>
      </c>
      <c r="AZ210" s="22">
        <v>253.495</v>
      </c>
      <c r="BA210" s="22">
        <v>-6.21033E-3</v>
      </c>
      <c r="BB210" s="22">
        <v>200</v>
      </c>
      <c r="BC210" s="22">
        <v>0.90667699999999996</v>
      </c>
      <c r="BD210">
        <f t="shared" si="46"/>
        <v>6.2103299999999999</v>
      </c>
      <c r="BE210">
        <f t="shared" si="47"/>
        <v>5.6336077045500002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0.82794199999999996</v>
      </c>
      <c r="H211" s="22">
        <v>39.223199999999999</v>
      </c>
      <c r="I211" s="22">
        <v>-1.65405E-2</v>
      </c>
      <c r="J211" s="22">
        <v>201</v>
      </c>
      <c r="K211" s="22">
        <v>0.82672100000000004</v>
      </c>
      <c r="L211">
        <f t="shared" si="36"/>
        <v>16.540499999999998</v>
      </c>
      <c r="M211">
        <f t="shared" si="37"/>
        <v>13.694574650999998</v>
      </c>
      <c r="N211" s="9"/>
      <c r="O211" s="22">
        <v>0.91217000000000004</v>
      </c>
      <c r="P211" s="22">
        <v>88.661600000000007</v>
      </c>
      <c r="Q211" s="22">
        <v>-1.6522200000000001E-2</v>
      </c>
      <c r="R211" s="22">
        <v>201</v>
      </c>
      <c r="S211" s="22">
        <v>0.91095000000000004</v>
      </c>
      <c r="T211">
        <f t="shared" si="38"/>
        <v>16.522200000000002</v>
      </c>
      <c r="U211">
        <f t="shared" si="39"/>
        <v>15.071055174000001</v>
      </c>
      <c r="X211" s="9"/>
      <c r="Y211" s="22">
        <v>0.82794199999999996</v>
      </c>
      <c r="Z211" s="22">
        <v>138.20699999999999</v>
      </c>
      <c r="AA211" s="22">
        <v>-1.7132600000000001E-2</v>
      </c>
      <c r="AB211" s="22">
        <v>201</v>
      </c>
      <c r="AC211" s="22">
        <v>0.82702600000000004</v>
      </c>
      <c r="AD211">
        <f t="shared" si="40"/>
        <v>17.1326</v>
      </c>
      <c r="AE211">
        <f t="shared" si="41"/>
        <v>14.1847991092</v>
      </c>
      <c r="AF211" s="9"/>
      <c r="AG211" s="22">
        <v>0.91217000000000004</v>
      </c>
      <c r="AH211" s="22">
        <v>187.822</v>
      </c>
      <c r="AI211" s="22">
        <v>-1.6543599999999999E-2</v>
      </c>
      <c r="AJ211" s="22">
        <v>201</v>
      </c>
      <c r="AK211" s="22">
        <v>0.91125500000000004</v>
      </c>
      <c r="AL211">
        <f t="shared" si="42"/>
        <v>16.543599999999998</v>
      </c>
      <c r="AM211">
        <f t="shared" si="43"/>
        <v>15.090575611999999</v>
      </c>
      <c r="AP211" s="9"/>
      <c r="AQ211" s="22">
        <v>0.82794199999999996</v>
      </c>
      <c r="AR211" s="22">
        <v>237.44499999999999</v>
      </c>
      <c r="AS211" s="25">
        <v>2.83508E-5</v>
      </c>
      <c r="AT211" s="22">
        <v>201</v>
      </c>
      <c r="AU211" s="22">
        <v>7.87659E-2</v>
      </c>
      <c r="AV211">
        <f t="shared" si="44"/>
        <v>-2.8350799999999999E-2</v>
      </c>
      <c r="AW211">
        <f t="shared" si="45"/>
        <v>-2.3472818053599999E-2</v>
      </c>
      <c r="AX211" s="9"/>
      <c r="AY211" s="22">
        <v>0.91217000000000004</v>
      </c>
      <c r="AZ211" s="22">
        <v>253.505</v>
      </c>
      <c r="BA211" s="22">
        <v>-6.32629E-3</v>
      </c>
      <c r="BB211" s="22">
        <v>201</v>
      </c>
      <c r="BC211" s="22">
        <v>0.91125500000000004</v>
      </c>
      <c r="BD211">
        <f t="shared" si="46"/>
        <v>6.3262900000000002</v>
      </c>
      <c r="BE211">
        <f t="shared" si="47"/>
        <v>5.7706519493000004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0.82290600000000003</v>
      </c>
      <c r="H212" s="22">
        <v>39.2333</v>
      </c>
      <c r="I212" s="22">
        <v>-1.6546600000000002E-2</v>
      </c>
      <c r="J212" s="22">
        <v>202</v>
      </c>
      <c r="K212" s="22">
        <v>0.82153299999999996</v>
      </c>
      <c r="L212">
        <f t="shared" si="36"/>
        <v>16.546600000000002</v>
      </c>
      <c r="M212">
        <f t="shared" si="37"/>
        <v>13.616296419600001</v>
      </c>
      <c r="N212" s="9"/>
      <c r="O212" s="22">
        <v>0.91720599999999997</v>
      </c>
      <c r="P212" s="22">
        <v>88.671700000000001</v>
      </c>
      <c r="Q212" s="22">
        <v>-1.6519200000000001E-2</v>
      </c>
      <c r="R212" s="22">
        <v>202</v>
      </c>
      <c r="S212" s="22">
        <v>0.91583300000000001</v>
      </c>
      <c r="T212">
        <f t="shared" si="38"/>
        <v>16.519200000000001</v>
      </c>
      <c r="U212">
        <f t="shared" si="39"/>
        <v>15.1515093552</v>
      </c>
      <c r="X212" s="9"/>
      <c r="Y212" s="22">
        <v>0.82290600000000003</v>
      </c>
      <c r="Z212" s="22">
        <v>138.21700000000001</v>
      </c>
      <c r="AA212" s="22">
        <v>-1.7117299999999998E-2</v>
      </c>
      <c r="AB212" s="22">
        <v>202</v>
      </c>
      <c r="AC212" s="22">
        <v>0.82183799999999996</v>
      </c>
      <c r="AD212">
        <f t="shared" si="40"/>
        <v>17.1173</v>
      </c>
      <c r="AE212">
        <f t="shared" si="41"/>
        <v>14.0859288738</v>
      </c>
      <c r="AF212" s="9"/>
      <c r="AG212" s="22">
        <v>0.91720599999999997</v>
      </c>
      <c r="AH212" s="22">
        <v>187.83199999999999</v>
      </c>
      <c r="AI212" s="22">
        <v>-1.65375E-2</v>
      </c>
      <c r="AJ212" s="22">
        <v>202</v>
      </c>
      <c r="AK212" s="22">
        <v>0.91644300000000001</v>
      </c>
      <c r="AL212">
        <f t="shared" si="42"/>
        <v>16.537500000000001</v>
      </c>
      <c r="AM212">
        <f t="shared" si="43"/>
        <v>15.168294225</v>
      </c>
      <c r="AP212" s="9"/>
      <c r="AQ212" s="22">
        <v>0.82290600000000003</v>
      </c>
      <c r="AR212" s="22">
        <v>237.45500000000001</v>
      </c>
      <c r="AS212" s="25">
        <v>2.5604200000000001E-5</v>
      </c>
      <c r="AT212" s="22">
        <v>202</v>
      </c>
      <c r="AU212" s="22">
        <v>7.87659E-2</v>
      </c>
      <c r="AV212">
        <f t="shared" si="44"/>
        <v>-2.5604200000000001E-2</v>
      </c>
      <c r="AW212">
        <f t="shared" si="45"/>
        <v>-2.1069849805200002E-2</v>
      </c>
      <c r="AX212" s="9"/>
      <c r="AY212" s="22">
        <v>0.91720599999999997</v>
      </c>
      <c r="AZ212" s="22">
        <v>253.51499999999999</v>
      </c>
      <c r="BA212" s="22">
        <v>-6.2927199999999999E-3</v>
      </c>
      <c r="BB212" s="22">
        <v>202</v>
      </c>
      <c r="BC212" s="22">
        <v>0.91674800000000001</v>
      </c>
      <c r="BD212">
        <f t="shared" si="46"/>
        <v>6.2927200000000001</v>
      </c>
      <c r="BE212">
        <f t="shared" si="47"/>
        <v>5.7717205403199996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0.81787100000000001</v>
      </c>
      <c r="H213" s="22">
        <v>39.243299999999998</v>
      </c>
      <c r="I213" s="22">
        <v>-1.65527E-2</v>
      </c>
      <c r="J213" s="22">
        <v>203</v>
      </c>
      <c r="K213" s="22">
        <v>0.81726100000000002</v>
      </c>
      <c r="L213">
        <f t="shared" si="36"/>
        <v>16.552700000000002</v>
      </c>
      <c r="M213">
        <f t="shared" si="37"/>
        <v>13.537973301700001</v>
      </c>
      <c r="N213" s="9"/>
      <c r="O213" s="22">
        <v>0.92224099999999998</v>
      </c>
      <c r="P213" s="22">
        <v>88.681799999999996</v>
      </c>
      <c r="Q213" s="22">
        <v>-1.6516099999999999E-2</v>
      </c>
      <c r="R213" s="22">
        <v>203</v>
      </c>
      <c r="S213" s="22">
        <v>0.92102099999999998</v>
      </c>
      <c r="T213">
        <f t="shared" si="38"/>
        <v>16.516099999999998</v>
      </c>
      <c r="U213">
        <f t="shared" si="39"/>
        <v>15.231824580099998</v>
      </c>
      <c r="X213" s="9"/>
      <c r="Y213" s="22">
        <v>0.81787100000000001</v>
      </c>
      <c r="Z213" s="22">
        <v>138.227</v>
      </c>
      <c r="AA213" s="22">
        <v>-1.7141699999999999E-2</v>
      </c>
      <c r="AB213" s="22">
        <v>203</v>
      </c>
      <c r="AC213" s="22">
        <v>0.81787100000000001</v>
      </c>
      <c r="AD213">
        <f t="shared" si="40"/>
        <v>17.1417</v>
      </c>
      <c r="AE213">
        <f t="shared" si="41"/>
        <v>14.019699320700001</v>
      </c>
      <c r="AF213" s="9"/>
      <c r="AG213" s="22">
        <v>0.92224099999999998</v>
      </c>
      <c r="AH213" s="22">
        <v>187.84200000000001</v>
      </c>
      <c r="AI213" s="22">
        <v>-1.6534400000000001E-2</v>
      </c>
      <c r="AJ213" s="22">
        <v>203</v>
      </c>
      <c r="AK213" s="22">
        <v>0.92071499999999995</v>
      </c>
      <c r="AL213">
        <f t="shared" si="42"/>
        <v>16.534400000000002</v>
      </c>
      <c r="AM213">
        <f t="shared" si="43"/>
        <v>15.248701590400001</v>
      </c>
      <c r="AP213" s="9"/>
      <c r="AQ213" s="22">
        <v>0.81787100000000001</v>
      </c>
      <c r="AR213" s="22">
        <v>237.465</v>
      </c>
      <c r="AS213" s="25">
        <v>2.8625499999999999E-5</v>
      </c>
      <c r="AT213" s="22">
        <v>203</v>
      </c>
      <c r="AU213" s="22">
        <v>7.87659E-2</v>
      </c>
      <c r="AV213">
        <f t="shared" si="44"/>
        <v>-2.8625499999999998E-2</v>
      </c>
      <c r="AW213">
        <f t="shared" si="45"/>
        <v>-2.34119663105E-2</v>
      </c>
      <c r="AX213" s="9"/>
      <c r="AY213" s="22">
        <v>0.92224099999999998</v>
      </c>
      <c r="AZ213" s="22">
        <v>253.52500000000001</v>
      </c>
      <c r="BA213" s="22">
        <v>-6.4544700000000003E-3</v>
      </c>
      <c r="BB213" s="22">
        <v>203</v>
      </c>
      <c r="BC213" s="22">
        <v>0.92102099999999998</v>
      </c>
      <c r="BD213">
        <f t="shared" si="46"/>
        <v>6.4544700000000006</v>
      </c>
      <c r="BE213">
        <f t="shared" si="47"/>
        <v>5.9525768672700003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0.812836</v>
      </c>
      <c r="H214" s="22">
        <v>39.253399999999999</v>
      </c>
      <c r="I214" s="22">
        <v>-1.6555799999999999E-2</v>
      </c>
      <c r="J214" s="22">
        <v>204</v>
      </c>
      <c r="K214" s="22">
        <v>0.81207300000000004</v>
      </c>
      <c r="L214">
        <f t="shared" si="36"/>
        <v>16.555799999999998</v>
      </c>
      <c r="M214">
        <f t="shared" si="37"/>
        <v>13.457150248799998</v>
      </c>
      <c r="N214" s="9"/>
      <c r="O214" s="22">
        <v>0.92727700000000002</v>
      </c>
      <c r="P214" s="22">
        <v>88.691800000000001</v>
      </c>
      <c r="Q214" s="22">
        <v>-1.6513099999999999E-2</v>
      </c>
      <c r="R214" s="22">
        <v>204</v>
      </c>
      <c r="S214" s="22">
        <v>0.92590300000000003</v>
      </c>
      <c r="T214">
        <f t="shared" si="38"/>
        <v>16.513099999999998</v>
      </c>
      <c r="U214">
        <f t="shared" si="39"/>
        <v>15.312217828699998</v>
      </c>
      <c r="X214" s="9"/>
      <c r="Y214" s="22">
        <v>0.812836</v>
      </c>
      <c r="Z214" s="22">
        <v>138.23699999999999</v>
      </c>
      <c r="AA214" s="22">
        <v>-1.71387E-2</v>
      </c>
      <c r="AB214" s="22">
        <v>204</v>
      </c>
      <c r="AC214" s="22">
        <v>0.81146200000000002</v>
      </c>
      <c r="AD214">
        <f t="shared" si="40"/>
        <v>17.1387</v>
      </c>
      <c r="AE214">
        <f t="shared" si="41"/>
        <v>13.9309523532</v>
      </c>
      <c r="AF214" s="9"/>
      <c r="AG214" s="22">
        <v>0.92727700000000002</v>
      </c>
      <c r="AH214" s="22">
        <v>187.852</v>
      </c>
      <c r="AI214" s="22">
        <v>-1.6531400000000002E-2</v>
      </c>
      <c r="AJ214" s="22">
        <v>204</v>
      </c>
      <c r="AK214" s="22">
        <v>0.92590300000000003</v>
      </c>
      <c r="AL214">
        <f t="shared" si="42"/>
        <v>16.531400000000001</v>
      </c>
      <c r="AM214">
        <f t="shared" si="43"/>
        <v>15.329186997800001</v>
      </c>
      <c r="AP214" s="9"/>
      <c r="AQ214" s="22">
        <v>0.812836</v>
      </c>
      <c r="AR214" s="22">
        <v>237.47499999999999</v>
      </c>
      <c r="AS214" s="25">
        <v>2.92053E-5</v>
      </c>
      <c r="AT214" s="22">
        <v>204</v>
      </c>
      <c r="AU214" s="22">
        <v>7.8735399999999997E-2</v>
      </c>
      <c r="AV214">
        <f t="shared" si="44"/>
        <v>-2.92053E-2</v>
      </c>
      <c r="AW214">
        <f t="shared" si="45"/>
        <v>-2.37391192308E-2</v>
      </c>
      <c r="AX214" s="9"/>
      <c r="AY214" s="22">
        <v>0.92727700000000002</v>
      </c>
      <c r="AZ214" s="22">
        <v>253.535</v>
      </c>
      <c r="BA214" s="22">
        <v>-6.4483600000000002E-3</v>
      </c>
      <c r="BB214" s="22">
        <v>204</v>
      </c>
      <c r="BC214" s="22">
        <v>0.92681899999999995</v>
      </c>
      <c r="BD214">
        <f t="shared" si="46"/>
        <v>6.4483600000000001</v>
      </c>
      <c r="BE214">
        <f t="shared" si="47"/>
        <v>5.9794159157200006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0.80779999999999996</v>
      </c>
      <c r="H215" s="22">
        <v>39.263500000000001</v>
      </c>
      <c r="I215" s="22">
        <v>-1.6555799999999999E-2</v>
      </c>
      <c r="J215" s="22">
        <v>205</v>
      </c>
      <c r="K215" s="22">
        <v>0.80657999999999996</v>
      </c>
      <c r="L215">
        <f t="shared" si="36"/>
        <v>16.555799999999998</v>
      </c>
      <c r="M215">
        <f t="shared" si="37"/>
        <v>13.373775239999997</v>
      </c>
      <c r="N215" s="9"/>
      <c r="O215" s="22">
        <v>0.93231200000000003</v>
      </c>
      <c r="P215" s="22">
        <v>88.701899999999995</v>
      </c>
      <c r="Q215" s="22">
        <v>-1.6507000000000001E-2</v>
      </c>
      <c r="R215" s="22">
        <v>205</v>
      </c>
      <c r="S215" s="22">
        <v>0.931396</v>
      </c>
      <c r="T215">
        <f t="shared" si="38"/>
        <v>16.507000000000001</v>
      </c>
      <c r="U215">
        <f t="shared" si="39"/>
        <v>15.389674184000002</v>
      </c>
      <c r="X215" s="9"/>
      <c r="Y215" s="22">
        <v>0.80779999999999996</v>
      </c>
      <c r="Z215" s="22">
        <v>138.24700000000001</v>
      </c>
      <c r="AA215" s="22">
        <v>-1.7147800000000001E-2</v>
      </c>
      <c r="AB215" s="22">
        <v>205</v>
      </c>
      <c r="AC215" s="22">
        <v>0.80657999999999996</v>
      </c>
      <c r="AD215">
        <f t="shared" si="40"/>
        <v>17.1478</v>
      </c>
      <c r="AE215">
        <f t="shared" si="41"/>
        <v>13.851992839999999</v>
      </c>
      <c r="AF215" s="9"/>
      <c r="AG215" s="22">
        <v>0.93231200000000003</v>
      </c>
      <c r="AH215" s="22">
        <v>187.86199999999999</v>
      </c>
      <c r="AI215" s="22">
        <v>-1.6528299999999999E-2</v>
      </c>
      <c r="AJ215" s="22">
        <v>205</v>
      </c>
      <c r="AK215" s="22">
        <v>0.931091</v>
      </c>
      <c r="AL215">
        <f t="shared" si="42"/>
        <v>16.528299999999998</v>
      </c>
      <c r="AM215">
        <f t="shared" si="43"/>
        <v>15.409532429599999</v>
      </c>
      <c r="AP215" s="9"/>
      <c r="AQ215" s="22">
        <v>0.80779999999999996</v>
      </c>
      <c r="AR215" s="22">
        <v>237.48500000000001</v>
      </c>
      <c r="AS215" s="25">
        <v>3.2653800000000002E-5</v>
      </c>
      <c r="AT215" s="22">
        <v>205</v>
      </c>
      <c r="AU215" s="22">
        <v>7.8735399999999997E-2</v>
      </c>
      <c r="AV215">
        <f t="shared" si="44"/>
        <v>-3.2653800000000004E-2</v>
      </c>
      <c r="AW215">
        <f t="shared" si="45"/>
        <v>-2.6377739640000002E-2</v>
      </c>
      <c r="AX215" s="9"/>
      <c r="AY215" s="22">
        <v>0.93231200000000003</v>
      </c>
      <c r="AZ215" s="22">
        <v>253.54499999999999</v>
      </c>
      <c r="BA215" s="22">
        <v>-6.4910899999999997E-3</v>
      </c>
      <c r="BB215" s="22">
        <v>205</v>
      </c>
      <c r="BC215" s="22">
        <v>0.931091</v>
      </c>
      <c r="BD215">
        <f t="shared" si="46"/>
        <v>6.4910899999999998</v>
      </c>
      <c r="BE215">
        <f t="shared" si="47"/>
        <v>6.05172110008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0.80276499999999995</v>
      </c>
      <c r="H216" s="22">
        <v>39.273499999999999</v>
      </c>
      <c r="I216" s="22">
        <v>-1.6558799999999999E-2</v>
      </c>
      <c r="J216" s="22">
        <v>206</v>
      </c>
      <c r="K216" s="22">
        <v>0.80139199999999999</v>
      </c>
      <c r="L216">
        <f t="shared" si="36"/>
        <v>16.558799999999998</v>
      </c>
      <c r="M216">
        <f t="shared" si="37"/>
        <v>13.292825081999997</v>
      </c>
      <c r="N216" s="9"/>
      <c r="O216" s="22">
        <v>0.93734700000000004</v>
      </c>
      <c r="P216" s="22">
        <v>88.712000000000003</v>
      </c>
      <c r="Q216" s="22">
        <v>-1.6500899999999999E-2</v>
      </c>
      <c r="R216" s="22">
        <v>206</v>
      </c>
      <c r="S216" s="22">
        <v>0.93627899999999997</v>
      </c>
      <c r="T216">
        <f t="shared" si="38"/>
        <v>16.500899999999998</v>
      </c>
      <c r="U216">
        <f t="shared" si="39"/>
        <v>15.467069112299999</v>
      </c>
      <c r="X216" s="9"/>
      <c r="Y216" s="22">
        <v>0.80276499999999995</v>
      </c>
      <c r="Z216" s="22">
        <v>138.25700000000001</v>
      </c>
      <c r="AA216" s="22">
        <v>-1.71539E-2</v>
      </c>
      <c r="AB216" s="22">
        <v>206</v>
      </c>
      <c r="AC216" s="22">
        <v>0.80200199999999999</v>
      </c>
      <c r="AD216">
        <f t="shared" si="40"/>
        <v>17.1539</v>
      </c>
      <c r="AE216">
        <f t="shared" si="41"/>
        <v>13.7705505335</v>
      </c>
      <c r="AF216" s="9"/>
      <c r="AG216" s="22">
        <v>0.93734700000000004</v>
      </c>
      <c r="AH216" s="22">
        <v>187.87200000000001</v>
      </c>
      <c r="AI216" s="22">
        <v>-1.6522200000000001E-2</v>
      </c>
      <c r="AJ216" s="22">
        <v>206</v>
      </c>
      <c r="AK216" s="22">
        <v>0.93658399999999997</v>
      </c>
      <c r="AL216">
        <f t="shared" si="42"/>
        <v>16.522200000000002</v>
      </c>
      <c r="AM216">
        <f t="shared" si="43"/>
        <v>15.487034603400001</v>
      </c>
      <c r="AP216" s="9"/>
      <c r="AQ216" s="22">
        <v>0.80276499999999995</v>
      </c>
      <c r="AR216" s="22">
        <v>237.495</v>
      </c>
      <c r="AS216" s="25">
        <v>2.6214600000000001E-5</v>
      </c>
      <c r="AT216" s="22">
        <v>206</v>
      </c>
      <c r="AU216" s="22">
        <v>7.87659E-2</v>
      </c>
      <c r="AV216">
        <f t="shared" si="44"/>
        <v>-2.6214600000000001E-2</v>
      </c>
      <c r="AW216">
        <f t="shared" si="45"/>
        <v>-2.1044163368999998E-2</v>
      </c>
      <c r="AX216" s="9"/>
      <c r="AY216" s="22">
        <v>0.93734700000000004</v>
      </c>
      <c r="AZ216" s="22">
        <v>253.55500000000001</v>
      </c>
      <c r="BA216" s="22">
        <v>-6.4636199999999998E-3</v>
      </c>
      <c r="BB216" s="22">
        <v>206</v>
      </c>
      <c r="BC216" s="22">
        <v>0.93658399999999997</v>
      </c>
      <c r="BD216">
        <f t="shared" si="46"/>
        <v>6.4636199999999997</v>
      </c>
      <c r="BE216">
        <f t="shared" si="47"/>
        <v>6.0586548161399998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0.79772900000000002</v>
      </c>
      <c r="H217" s="22">
        <v>39.2836</v>
      </c>
      <c r="I217" s="22">
        <v>-1.65649E-2</v>
      </c>
      <c r="J217" s="22">
        <v>207</v>
      </c>
      <c r="K217" s="22">
        <v>0.79620400000000002</v>
      </c>
      <c r="L217">
        <f t="shared" si="36"/>
        <v>16.564900000000002</v>
      </c>
      <c r="M217">
        <f t="shared" si="37"/>
        <v>13.214301112100001</v>
      </c>
      <c r="N217" s="9"/>
      <c r="O217" s="22">
        <v>0.94238299999999997</v>
      </c>
      <c r="P217" s="22">
        <v>88.721999999999994</v>
      </c>
      <c r="Q217" s="22">
        <v>-1.64948E-2</v>
      </c>
      <c r="R217" s="22">
        <v>207</v>
      </c>
      <c r="S217" s="22">
        <v>0.94085700000000005</v>
      </c>
      <c r="T217">
        <f t="shared" si="38"/>
        <v>16.494800000000001</v>
      </c>
      <c r="U217">
        <f t="shared" si="39"/>
        <v>15.544419108400001</v>
      </c>
      <c r="X217" s="9"/>
      <c r="Y217" s="22">
        <v>0.79772900000000002</v>
      </c>
      <c r="Z217" s="22">
        <v>138.267</v>
      </c>
      <c r="AA217" s="22">
        <v>-1.71539E-2</v>
      </c>
      <c r="AB217" s="22">
        <v>207</v>
      </c>
      <c r="AC217" s="22">
        <v>0.79772900000000002</v>
      </c>
      <c r="AD217">
        <f t="shared" si="40"/>
        <v>17.1539</v>
      </c>
      <c r="AE217">
        <f t="shared" si="41"/>
        <v>13.6841634931</v>
      </c>
      <c r="AF217" s="9"/>
      <c r="AG217" s="22">
        <v>0.94238299999999997</v>
      </c>
      <c r="AH217" s="22">
        <v>187.88200000000001</v>
      </c>
      <c r="AI217" s="22">
        <v>-1.6522200000000001E-2</v>
      </c>
      <c r="AJ217" s="22">
        <v>207</v>
      </c>
      <c r="AK217" s="22">
        <v>0.94146700000000005</v>
      </c>
      <c r="AL217">
        <f t="shared" si="42"/>
        <v>16.522200000000002</v>
      </c>
      <c r="AM217">
        <f t="shared" si="43"/>
        <v>15.570240402600001</v>
      </c>
      <c r="AP217" s="9"/>
      <c r="AQ217" s="22">
        <v>0.79772900000000002</v>
      </c>
      <c r="AR217" s="22">
        <v>237.505</v>
      </c>
      <c r="AS217" s="25">
        <v>3.1494100000000001E-5</v>
      </c>
      <c r="AT217" s="22">
        <v>207</v>
      </c>
      <c r="AU217" s="22">
        <v>7.87659E-2</v>
      </c>
      <c r="AV217">
        <f t="shared" si="44"/>
        <v>-3.1494099999999997E-2</v>
      </c>
      <c r="AW217">
        <f t="shared" si="45"/>
        <v>-2.5123756898899997E-2</v>
      </c>
      <c r="AX217" s="9"/>
      <c r="AY217" s="22">
        <v>0.94238299999999997</v>
      </c>
      <c r="AZ217" s="22">
        <v>253.565</v>
      </c>
      <c r="BA217" s="22">
        <v>-6.4849900000000004E-3</v>
      </c>
      <c r="BB217" s="22">
        <v>207</v>
      </c>
      <c r="BC217" s="22">
        <v>0.94116200000000005</v>
      </c>
      <c r="BD217">
        <f t="shared" si="46"/>
        <v>6.4849900000000007</v>
      </c>
      <c r="BE217">
        <f t="shared" si="47"/>
        <v>6.1113443311700006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0.79269400000000001</v>
      </c>
      <c r="H218" s="22">
        <v>39.293700000000001</v>
      </c>
      <c r="I218" s="22">
        <v>-1.6567999999999999E-2</v>
      </c>
      <c r="J218" s="22">
        <v>208</v>
      </c>
      <c r="K218" s="22">
        <v>0.79162600000000005</v>
      </c>
      <c r="L218">
        <f t="shared" si="36"/>
        <v>16.567999999999998</v>
      </c>
      <c r="M218">
        <f t="shared" si="37"/>
        <v>13.133354191999999</v>
      </c>
      <c r="N218" s="9"/>
      <c r="O218" s="22">
        <v>0.94741799999999998</v>
      </c>
      <c r="P218" s="22">
        <v>88.732100000000003</v>
      </c>
      <c r="Q218" s="22">
        <v>-1.64948E-2</v>
      </c>
      <c r="R218" s="22">
        <v>208</v>
      </c>
      <c r="S218" s="22">
        <v>0.94635000000000002</v>
      </c>
      <c r="T218">
        <f t="shared" si="38"/>
        <v>16.494800000000001</v>
      </c>
      <c r="U218">
        <f t="shared" si="39"/>
        <v>15.6274704264</v>
      </c>
      <c r="X218" s="9"/>
      <c r="Y218" s="22">
        <v>0.79269400000000001</v>
      </c>
      <c r="Z218" s="22">
        <v>138.27799999999999</v>
      </c>
      <c r="AA218" s="22">
        <v>-1.7129499999999999E-2</v>
      </c>
      <c r="AB218" s="22">
        <v>208</v>
      </c>
      <c r="AC218" s="22">
        <v>0.79162600000000005</v>
      </c>
      <c r="AD218">
        <f t="shared" si="40"/>
        <v>17.1295</v>
      </c>
      <c r="AE218">
        <f t="shared" si="41"/>
        <v>13.578451873000001</v>
      </c>
      <c r="AF218" s="9"/>
      <c r="AG218" s="22">
        <v>0.94741799999999998</v>
      </c>
      <c r="AH218" s="22">
        <v>187.892</v>
      </c>
      <c r="AI218" s="22">
        <v>-1.6519200000000001E-2</v>
      </c>
      <c r="AJ218" s="22">
        <v>208</v>
      </c>
      <c r="AK218" s="22">
        <v>0.94635000000000002</v>
      </c>
      <c r="AL218">
        <f t="shared" si="42"/>
        <v>16.519200000000001</v>
      </c>
      <c r="AM218">
        <f t="shared" si="43"/>
        <v>15.650587425600001</v>
      </c>
      <c r="AP218" s="9"/>
      <c r="AQ218" s="22">
        <v>0.79269400000000001</v>
      </c>
      <c r="AR218" s="22">
        <v>237.51499999999999</v>
      </c>
      <c r="AS218" s="25">
        <v>2.49023E-5</v>
      </c>
      <c r="AT218" s="22">
        <v>208</v>
      </c>
      <c r="AU218" s="22">
        <v>7.8735399999999997E-2</v>
      </c>
      <c r="AV218">
        <f t="shared" si="44"/>
        <v>-2.4902299999999999E-2</v>
      </c>
      <c r="AW218">
        <f t="shared" si="45"/>
        <v>-1.9739903796199998E-2</v>
      </c>
      <c r="AX218" s="9"/>
      <c r="AY218" s="22">
        <v>0.94741799999999998</v>
      </c>
      <c r="AZ218" s="22">
        <v>253.57499999999999</v>
      </c>
      <c r="BA218" s="22">
        <v>-6.5185499999999997E-3</v>
      </c>
      <c r="BB218" s="22">
        <v>208</v>
      </c>
      <c r="BC218" s="22">
        <v>0.94665500000000002</v>
      </c>
      <c r="BD218">
        <f t="shared" si="46"/>
        <v>6.5185499999999994</v>
      </c>
      <c r="BE218">
        <f t="shared" si="47"/>
        <v>6.1757916038999996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0.787659</v>
      </c>
      <c r="H219" s="22">
        <v>39.303800000000003</v>
      </c>
      <c r="I219" s="22">
        <v>-1.6567999999999999E-2</v>
      </c>
      <c r="J219" s="22">
        <v>209</v>
      </c>
      <c r="K219" s="22">
        <v>0.78674299999999997</v>
      </c>
      <c r="L219">
        <f t="shared" si="36"/>
        <v>16.567999999999998</v>
      </c>
      <c r="M219">
        <f t="shared" si="37"/>
        <v>13.049934311999998</v>
      </c>
      <c r="N219" s="9"/>
      <c r="O219" s="22">
        <v>0.95245400000000002</v>
      </c>
      <c r="P219" s="22">
        <v>88.742199999999997</v>
      </c>
      <c r="Q219" s="22">
        <v>-1.6488599999999999E-2</v>
      </c>
      <c r="R219" s="22">
        <v>209</v>
      </c>
      <c r="S219" s="22">
        <v>0.950623</v>
      </c>
      <c r="T219">
        <f t="shared" si="38"/>
        <v>16.488599999999998</v>
      </c>
      <c r="U219">
        <f t="shared" si="39"/>
        <v>15.704633024399998</v>
      </c>
      <c r="X219" s="9"/>
      <c r="Y219" s="22">
        <v>0.787659</v>
      </c>
      <c r="Z219" s="22">
        <v>138.28800000000001</v>
      </c>
      <c r="AA219" s="22">
        <v>-1.7135600000000001E-2</v>
      </c>
      <c r="AB219" s="22">
        <v>209</v>
      </c>
      <c r="AC219" s="22">
        <v>0.78674299999999997</v>
      </c>
      <c r="AD219">
        <f t="shared" si="40"/>
        <v>17.1356</v>
      </c>
      <c r="AE219">
        <f t="shared" si="41"/>
        <v>13.4970095604</v>
      </c>
      <c r="AF219" s="9"/>
      <c r="AG219" s="22">
        <v>0.95245400000000002</v>
      </c>
      <c r="AH219" s="22">
        <v>187.90199999999999</v>
      </c>
      <c r="AI219" s="22">
        <v>-1.651E-2</v>
      </c>
      <c r="AJ219" s="22">
        <v>209</v>
      </c>
      <c r="AK219" s="22">
        <v>0.95153799999999999</v>
      </c>
      <c r="AL219">
        <f t="shared" si="42"/>
        <v>16.510000000000002</v>
      </c>
      <c r="AM219">
        <f t="shared" si="43"/>
        <v>15.725015540000001</v>
      </c>
      <c r="AP219" s="9"/>
      <c r="AQ219" s="22">
        <v>0.787659</v>
      </c>
      <c r="AR219" s="22">
        <v>237.52500000000001</v>
      </c>
      <c r="AS219" s="25">
        <v>2.7557400000000001E-5</v>
      </c>
      <c r="AT219" s="22">
        <v>209</v>
      </c>
      <c r="AU219" s="22">
        <v>7.8735399999999997E-2</v>
      </c>
      <c r="AV219">
        <f t="shared" si="44"/>
        <v>-2.7557400000000003E-2</v>
      </c>
      <c r="AW219">
        <f t="shared" si="45"/>
        <v>-2.1705834126600002E-2</v>
      </c>
      <c r="AX219" s="9"/>
      <c r="AY219" s="22">
        <v>0.95245400000000002</v>
      </c>
      <c r="AZ219" s="22">
        <v>253.58500000000001</v>
      </c>
      <c r="BA219" s="22">
        <v>-6.4361599999999998E-3</v>
      </c>
      <c r="BB219" s="22">
        <v>209</v>
      </c>
      <c r="BC219" s="22">
        <v>0.95153799999999999</v>
      </c>
      <c r="BD219">
        <f t="shared" si="46"/>
        <v>6.4361600000000001</v>
      </c>
      <c r="BE219">
        <f t="shared" si="47"/>
        <v>6.1301463366400002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0.78262299999999996</v>
      </c>
      <c r="H220" s="22">
        <v>39.313800000000001</v>
      </c>
      <c r="I220" s="22">
        <v>-1.65649E-2</v>
      </c>
      <c r="J220" s="22">
        <v>210</v>
      </c>
      <c r="K220" s="22">
        <v>0.780945</v>
      </c>
      <c r="L220">
        <f t="shared" si="36"/>
        <v>16.564900000000002</v>
      </c>
      <c r="M220">
        <f t="shared" si="37"/>
        <v>12.964071732700001</v>
      </c>
      <c r="N220" s="9"/>
      <c r="O220" s="22">
        <v>0.95748900000000003</v>
      </c>
      <c r="P220" s="22">
        <v>88.752300000000005</v>
      </c>
      <c r="Q220" s="22">
        <v>-1.6488599999999999E-2</v>
      </c>
      <c r="R220" s="22">
        <v>210</v>
      </c>
      <c r="S220" s="22">
        <v>0.95703099999999997</v>
      </c>
      <c r="T220">
        <f t="shared" si="38"/>
        <v>16.488599999999998</v>
      </c>
      <c r="U220">
        <f t="shared" si="39"/>
        <v>15.787653125399999</v>
      </c>
      <c r="X220" s="9"/>
      <c r="Y220" s="22">
        <v>0.78262299999999996</v>
      </c>
      <c r="Z220" s="22">
        <v>138.298</v>
      </c>
      <c r="AA220" s="22">
        <v>-1.71387E-2</v>
      </c>
      <c r="AB220" s="22">
        <v>210</v>
      </c>
      <c r="AC220" s="22">
        <v>0.78277600000000003</v>
      </c>
      <c r="AD220">
        <f t="shared" si="40"/>
        <v>17.1387</v>
      </c>
      <c r="AE220">
        <f t="shared" si="41"/>
        <v>13.4131408101</v>
      </c>
      <c r="AF220" s="9"/>
      <c r="AG220" s="22">
        <v>0.95748900000000003</v>
      </c>
      <c r="AH220" s="22">
        <v>187.91200000000001</v>
      </c>
      <c r="AI220" s="22">
        <v>-1.6507000000000001E-2</v>
      </c>
      <c r="AJ220" s="22">
        <v>210</v>
      </c>
      <c r="AK220" s="22">
        <v>0.95703099999999997</v>
      </c>
      <c r="AL220">
        <f t="shared" si="42"/>
        <v>16.507000000000001</v>
      </c>
      <c r="AM220">
        <f t="shared" si="43"/>
        <v>15.805270923000002</v>
      </c>
      <c r="AP220" s="9"/>
      <c r="AQ220" s="22">
        <v>0.78262299999999996</v>
      </c>
      <c r="AR220" s="22">
        <v>237.536</v>
      </c>
      <c r="AS220" s="25">
        <v>2.79846E-5</v>
      </c>
      <c r="AT220" s="22">
        <v>210</v>
      </c>
      <c r="AU220" s="22">
        <v>7.8735399999999997E-2</v>
      </c>
      <c r="AV220">
        <f t="shared" si="44"/>
        <v>-2.7984599999999998E-2</v>
      </c>
      <c r="AW220">
        <f t="shared" si="45"/>
        <v>-2.1901391605799996E-2</v>
      </c>
      <c r="AX220" s="9"/>
      <c r="AY220" s="22">
        <v>0.95748900000000003</v>
      </c>
      <c r="AZ220" s="22">
        <v>253.595</v>
      </c>
      <c r="BA220" s="22">
        <v>-6.41174E-3</v>
      </c>
      <c r="BB220" s="22">
        <v>210</v>
      </c>
      <c r="BC220" s="22">
        <v>0.95672599999999997</v>
      </c>
      <c r="BD220">
        <f t="shared" si="46"/>
        <v>6.41174</v>
      </c>
      <c r="BE220">
        <f t="shared" si="47"/>
        <v>6.1391705208600005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0.77758799999999995</v>
      </c>
      <c r="H221" s="22">
        <v>39.323900000000002</v>
      </c>
      <c r="I221" s="22">
        <v>-1.6570999999999999E-2</v>
      </c>
      <c r="J221" s="22">
        <v>211</v>
      </c>
      <c r="K221" s="22">
        <v>0.77636700000000003</v>
      </c>
      <c r="L221">
        <f t="shared" si="36"/>
        <v>16.570999999999998</v>
      </c>
      <c r="M221">
        <f t="shared" si="37"/>
        <v>12.885410747999998</v>
      </c>
      <c r="N221" s="9"/>
      <c r="O221" s="22">
        <v>0.96252400000000005</v>
      </c>
      <c r="P221" s="22">
        <v>88.762299999999996</v>
      </c>
      <c r="Q221" s="22">
        <v>-1.64856E-2</v>
      </c>
      <c r="R221" s="22">
        <v>211</v>
      </c>
      <c r="S221" s="22">
        <v>0.96160900000000005</v>
      </c>
      <c r="T221">
        <f t="shared" si="38"/>
        <v>16.485599999999998</v>
      </c>
      <c r="U221">
        <f t="shared" si="39"/>
        <v>15.867785654399999</v>
      </c>
      <c r="X221" s="9"/>
      <c r="Y221" s="22">
        <v>0.77758799999999995</v>
      </c>
      <c r="Z221" s="22">
        <v>138.30799999999999</v>
      </c>
      <c r="AA221" s="22">
        <v>-1.71387E-2</v>
      </c>
      <c r="AB221" s="22">
        <v>211</v>
      </c>
      <c r="AC221" s="22">
        <v>0.77697799999999995</v>
      </c>
      <c r="AD221">
        <f t="shared" si="40"/>
        <v>17.1387</v>
      </c>
      <c r="AE221">
        <f t="shared" si="41"/>
        <v>13.326847455599999</v>
      </c>
      <c r="AF221" s="9"/>
      <c r="AG221" s="22">
        <v>0.96252400000000005</v>
      </c>
      <c r="AH221" s="22">
        <v>187.922</v>
      </c>
      <c r="AI221" s="22">
        <v>-1.6503899999999998E-2</v>
      </c>
      <c r="AJ221" s="22">
        <v>211</v>
      </c>
      <c r="AK221" s="22">
        <v>0.96130400000000005</v>
      </c>
      <c r="AL221">
        <f t="shared" si="42"/>
        <v>16.503899999999998</v>
      </c>
      <c r="AM221">
        <f t="shared" si="43"/>
        <v>15.885399843599998</v>
      </c>
      <c r="AP221" s="9"/>
      <c r="AQ221" s="22">
        <v>0.77758799999999995</v>
      </c>
      <c r="AR221" s="22">
        <v>237.54599999999999</v>
      </c>
      <c r="AS221" s="25">
        <v>3.0120800000000001E-5</v>
      </c>
      <c r="AT221" s="22">
        <v>211</v>
      </c>
      <c r="AU221" s="22">
        <v>7.8735399999999997E-2</v>
      </c>
      <c r="AV221">
        <f t="shared" si="44"/>
        <v>-3.01208E-2</v>
      </c>
      <c r="AW221">
        <f t="shared" si="45"/>
        <v>-2.3421572630399998E-2</v>
      </c>
      <c r="AX221" s="9"/>
      <c r="AY221" s="22">
        <v>0.96252400000000005</v>
      </c>
      <c r="AZ221" s="22">
        <v>253.60499999999999</v>
      </c>
      <c r="BA221" s="22">
        <v>-6.50024E-3</v>
      </c>
      <c r="BB221" s="22">
        <v>211</v>
      </c>
      <c r="BC221" s="22">
        <v>0.96160900000000005</v>
      </c>
      <c r="BD221">
        <f t="shared" si="46"/>
        <v>6.5002399999999998</v>
      </c>
      <c r="BE221">
        <f t="shared" si="47"/>
        <v>6.25663700576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0.77255200000000002</v>
      </c>
      <c r="H222" s="22">
        <v>39.334000000000003</v>
      </c>
      <c r="I222" s="22">
        <v>-1.6574100000000001E-2</v>
      </c>
      <c r="J222" s="22">
        <v>212</v>
      </c>
      <c r="K222" s="22">
        <v>0.77117899999999995</v>
      </c>
      <c r="L222">
        <f t="shared" si="36"/>
        <v>16.574100000000001</v>
      </c>
      <c r="M222">
        <f t="shared" si="37"/>
        <v>12.804354103200001</v>
      </c>
      <c r="N222" s="9"/>
      <c r="O222" s="22">
        <v>0.96755999999999998</v>
      </c>
      <c r="P222" s="22">
        <v>88.772400000000005</v>
      </c>
      <c r="Q222" s="22">
        <v>-1.6482500000000001E-2</v>
      </c>
      <c r="R222" s="22">
        <v>212</v>
      </c>
      <c r="S222" s="22">
        <v>0.96618700000000002</v>
      </c>
      <c r="T222">
        <f t="shared" si="38"/>
        <v>16.482500000000002</v>
      </c>
      <c r="U222">
        <f t="shared" si="39"/>
        <v>15.947807700000002</v>
      </c>
      <c r="X222" s="9"/>
      <c r="Y222" s="22">
        <v>0.77255200000000002</v>
      </c>
      <c r="Z222" s="22">
        <v>138.31800000000001</v>
      </c>
      <c r="AA222" s="22">
        <v>-1.7144800000000002E-2</v>
      </c>
      <c r="AB222" s="22">
        <v>212</v>
      </c>
      <c r="AC222" s="22">
        <v>0.77209499999999998</v>
      </c>
      <c r="AD222">
        <f t="shared" si="40"/>
        <v>17.1448</v>
      </c>
      <c r="AE222">
        <f t="shared" si="41"/>
        <v>13.245249529600001</v>
      </c>
      <c r="AF222" s="9"/>
      <c r="AG222" s="22">
        <v>0.96755999999999998</v>
      </c>
      <c r="AH222" s="22">
        <v>187.93199999999999</v>
      </c>
      <c r="AI222" s="22">
        <v>-1.6500899999999999E-2</v>
      </c>
      <c r="AJ222" s="22">
        <v>212</v>
      </c>
      <c r="AK222" s="22">
        <v>0.96649200000000002</v>
      </c>
      <c r="AL222">
        <f t="shared" si="42"/>
        <v>16.500899999999998</v>
      </c>
      <c r="AM222">
        <f t="shared" si="43"/>
        <v>15.965610803999997</v>
      </c>
      <c r="AP222" s="9"/>
      <c r="AQ222" s="22">
        <v>0.77255200000000002</v>
      </c>
      <c r="AR222" s="22">
        <v>237.55600000000001</v>
      </c>
      <c r="AS222" s="25">
        <v>2.9907200000000001E-5</v>
      </c>
      <c r="AT222" s="22">
        <v>212</v>
      </c>
      <c r="AU222" s="22">
        <v>7.8674300000000003E-2</v>
      </c>
      <c r="AV222">
        <f t="shared" si="44"/>
        <v>-2.9907200000000002E-2</v>
      </c>
      <c r="AW222">
        <f t="shared" si="45"/>
        <v>-2.3104867174400003E-2</v>
      </c>
      <c r="AX222" s="9"/>
      <c r="AY222" s="22">
        <v>0.96755999999999998</v>
      </c>
      <c r="AZ222" s="22">
        <v>253.61600000000001</v>
      </c>
      <c r="BA222" s="22">
        <v>-6.4758300000000001E-3</v>
      </c>
      <c r="BB222" s="22">
        <v>212</v>
      </c>
      <c r="BC222" s="22">
        <v>0.96649200000000002</v>
      </c>
      <c r="BD222">
        <f t="shared" si="46"/>
        <v>6.4758300000000002</v>
      </c>
      <c r="BE222">
        <f t="shared" si="47"/>
        <v>6.2657540748000002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0.767517</v>
      </c>
      <c r="H223" s="22">
        <v>39.344000000000001</v>
      </c>
      <c r="I223" s="22">
        <v>-1.6577100000000001E-2</v>
      </c>
      <c r="J223" s="22">
        <v>213</v>
      </c>
      <c r="K223" s="22">
        <v>0.76629599999999998</v>
      </c>
      <c r="L223">
        <f t="shared" si="36"/>
        <v>16.577100000000002</v>
      </c>
      <c r="M223">
        <f t="shared" si="37"/>
        <v>12.723206060700001</v>
      </c>
      <c r="N223" s="9"/>
      <c r="O223" s="22">
        <v>0.97259499999999999</v>
      </c>
      <c r="P223" s="22">
        <v>88.782499999999999</v>
      </c>
      <c r="Q223" s="22">
        <v>-1.6479500000000001E-2</v>
      </c>
      <c r="R223" s="22">
        <v>213</v>
      </c>
      <c r="S223" s="22">
        <v>0.97167999999999999</v>
      </c>
      <c r="T223">
        <f t="shared" si="38"/>
        <v>16.479500000000002</v>
      </c>
      <c r="U223">
        <f t="shared" si="39"/>
        <v>16.027879302500001</v>
      </c>
      <c r="X223" s="9"/>
      <c r="Y223" s="22">
        <v>0.767517</v>
      </c>
      <c r="Z223" s="22">
        <v>138.328</v>
      </c>
      <c r="AA223" s="22">
        <v>-1.71509E-2</v>
      </c>
      <c r="AB223" s="22">
        <v>213</v>
      </c>
      <c r="AC223" s="22">
        <v>0.76629599999999998</v>
      </c>
      <c r="AD223">
        <f t="shared" si="40"/>
        <v>17.1509</v>
      </c>
      <c r="AE223">
        <f t="shared" si="41"/>
        <v>13.1636073153</v>
      </c>
      <c r="AF223" s="9"/>
      <c r="AG223" s="22">
        <v>0.97259499999999999</v>
      </c>
      <c r="AH223" s="22">
        <v>187.94200000000001</v>
      </c>
      <c r="AI223" s="22">
        <v>-1.64978E-2</v>
      </c>
      <c r="AJ223" s="22">
        <v>213</v>
      </c>
      <c r="AK223" s="22">
        <v>0.97167999999999999</v>
      </c>
      <c r="AL223">
        <f t="shared" si="42"/>
        <v>16.497800000000002</v>
      </c>
      <c r="AM223">
        <f t="shared" si="43"/>
        <v>16.045677791000003</v>
      </c>
      <c r="AP223" s="9"/>
      <c r="AQ223" s="22">
        <v>0.767517</v>
      </c>
      <c r="AR223" s="22">
        <v>237.566</v>
      </c>
      <c r="AS223" s="25">
        <v>3.2043499999999999E-5</v>
      </c>
      <c r="AT223" s="22">
        <v>213</v>
      </c>
      <c r="AU223" s="22">
        <v>7.8735399999999997E-2</v>
      </c>
      <c r="AV223">
        <f t="shared" si="44"/>
        <v>-3.2043500000000003E-2</v>
      </c>
      <c r="AW223">
        <f t="shared" si="45"/>
        <v>-2.4593930989500003E-2</v>
      </c>
      <c r="AX223" s="9"/>
      <c r="AY223" s="22">
        <v>0.97259499999999999</v>
      </c>
      <c r="AZ223" s="22">
        <v>253.626</v>
      </c>
      <c r="BA223" s="22">
        <v>-6.5368700000000002E-3</v>
      </c>
      <c r="BB223" s="22">
        <v>213</v>
      </c>
      <c r="BC223" s="22">
        <v>0.97167999999999999</v>
      </c>
      <c r="BD223">
        <f t="shared" si="46"/>
        <v>6.5368700000000004</v>
      </c>
      <c r="BE223">
        <f t="shared" si="47"/>
        <v>6.3577270776499999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0.76248199999999999</v>
      </c>
      <c r="H224" s="22">
        <v>39.354100000000003</v>
      </c>
      <c r="I224" s="22">
        <v>-1.65802E-2</v>
      </c>
      <c r="J224" s="22">
        <v>214</v>
      </c>
      <c r="K224" s="22">
        <v>0.76141400000000004</v>
      </c>
      <c r="L224">
        <f t="shared" si="36"/>
        <v>16.580200000000001</v>
      </c>
      <c r="M224">
        <f t="shared" si="37"/>
        <v>12.642104056400001</v>
      </c>
      <c r="N224" s="9"/>
      <c r="O224" s="22">
        <v>0.97763100000000003</v>
      </c>
      <c r="P224" s="22">
        <v>88.792500000000004</v>
      </c>
      <c r="Q224" s="22">
        <v>-1.6473399999999999E-2</v>
      </c>
      <c r="R224" s="22">
        <v>214</v>
      </c>
      <c r="S224" s="22">
        <v>0.97656299999999996</v>
      </c>
      <c r="T224">
        <f t="shared" si="38"/>
        <v>16.473399999999998</v>
      </c>
      <c r="U224">
        <f t="shared" si="39"/>
        <v>16.1049065154</v>
      </c>
      <c r="X224" s="9"/>
      <c r="Y224" s="22">
        <v>0.76248199999999999</v>
      </c>
      <c r="Z224" s="22">
        <v>138.33799999999999</v>
      </c>
      <c r="AA224" s="22">
        <v>-1.71539E-2</v>
      </c>
      <c r="AB224" s="22">
        <v>214</v>
      </c>
      <c r="AC224" s="22">
        <v>0.76080300000000001</v>
      </c>
      <c r="AD224">
        <f t="shared" si="40"/>
        <v>17.1539</v>
      </c>
      <c r="AE224">
        <f t="shared" si="41"/>
        <v>13.0795399798</v>
      </c>
      <c r="AF224" s="9"/>
      <c r="AG224" s="22">
        <v>0.97763100000000003</v>
      </c>
      <c r="AH224" s="22">
        <v>187.952</v>
      </c>
      <c r="AI224" s="22">
        <v>-1.64948E-2</v>
      </c>
      <c r="AJ224" s="22">
        <v>214</v>
      </c>
      <c r="AK224" s="22">
        <v>0.97625700000000004</v>
      </c>
      <c r="AL224">
        <f t="shared" si="42"/>
        <v>16.494800000000001</v>
      </c>
      <c r="AM224">
        <f t="shared" si="43"/>
        <v>16.125827818800001</v>
      </c>
      <c r="AP224" s="9"/>
      <c r="AQ224" s="22">
        <v>0.76248199999999999</v>
      </c>
      <c r="AR224" s="22">
        <v>237.57599999999999</v>
      </c>
      <c r="AS224" s="25">
        <v>3.1799299999999999E-5</v>
      </c>
      <c r="AT224" s="22">
        <v>214</v>
      </c>
      <c r="AU224" s="22">
        <v>7.8704800000000005E-2</v>
      </c>
      <c r="AV224">
        <f t="shared" si="44"/>
        <v>-3.1799299999999996E-2</v>
      </c>
      <c r="AW224">
        <f t="shared" si="45"/>
        <v>-2.4246393862599996E-2</v>
      </c>
      <c r="AX224" s="9"/>
      <c r="AY224" s="22">
        <v>0.97763100000000003</v>
      </c>
      <c r="AZ224" s="22">
        <v>253.636</v>
      </c>
      <c r="BA224" s="22">
        <v>-6.47278E-3</v>
      </c>
      <c r="BB224" s="22">
        <v>214</v>
      </c>
      <c r="BC224" s="22">
        <v>0.97656299999999996</v>
      </c>
      <c r="BD224">
        <f t="shared" si="46"/>
        <v>6.4727800000000002</v>
      </c>
      <c r="BE224">
        <f t="shared" si="47"/>
        <v>6.3279903841800005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0.75744599999999995</v>
      </c>
      <c r="H225" s="22">
        <v>39.364199999999997</v>
      </c>
      <c r="I225" s="22">
        <v>-1.6583299999999999E-2</v>
      </c>
      <c r="J225" s="22">
        <v>215</v>
      </c>
      <c r="K225" s="22">
        <v>0.75622599999999995</v>
      </c>
      <c r="L225">
        <f t="shared" si="36"/>
        <v>16.583299999999998</v>
      </c>
      <c r="M225">
        <f t="shared" si="37"/>
        <v>12.560954251799998</v>
      </c>
      <c r="N225" s="9"/>
      <c r="O225" s="22">
        <v>0.98266600000000004</v>
      </c>
      <c r="P225" s="22">
        <v>88.802599999999998</v>
      </c>
      <c r="Q225" s="22">
        <v>-1.6473399999999999E-2</v>
      </c>
      <c r="R225" s="22">
        <v>215</v>
      </c>
      <c r="S225" s="22">
        <v>0.98114000000000001</v>
      </c>
      <c r="T225">
        <f t="shared" si="38"/>
        <v>16.473399999999998</v>
      </c>
      <c r="U225">
        <f t="shared" si="39"/>
        <v>16.187850084399997</v>
      </c>
      <c r="X225" s="9"/>
      <c r="Y225" s="22">
        <v>0.75744599999999995</v>
      </c>
      <c r="Z225" s="22">
        <v>138.34800000000001</v>
      </c>
      <c r="AA225" s="22">
        <v>-1.71539E-2</v>
      </c>
      <c r="AB225" s="22">
        <v>215</v>
      </c>
      <c r="AC225" s="22">
        <v>0.75683599999999995</v>
      </c>
      <c r="AD225">
        <f t="shared" si="40"/>
        <v>17.1539</v>
      </c>
      <c r="AE225">
        <f t="shared" si="41"/>
        <v>12.9931529394</v>
      </c>
      <c r="AF225" s="9"/>
      <c r="AG225" s="22">
        <v>0.98266600000000004</v>
      </c>
      <c r="AH225" s="22">
        <v>187.96299999999999</v>
      </c>
      <c r="AI225" s="22">
        <v>-1.64948E-2</v>
      </c>
      <c r="AJ225" s="22">
        <v>215</v>
      </c>
      <c r="AK225" s="22">
        <v>0.98114000000000001</v>
      </c>
      <c r="AL225">
        <f t="shared" si="42"/>
        <v>16.494800000000001</v>
      </c>
      <c r="AM225">
        <f t="shared" si="43"/>
        <v>16.208879136800004</v>
      </c>
      <c r="AP225" s="9"/>
      <c r="AQ225" s="22">
        <v>0.75744599999999995</v>
      </c>
      <c r="AR225" s="22">
        <v>237.58600000000001</v>
      </c>
      <c r="AS225" s="25">
        <v>3.2775899999999999E-5</v>
      </c>
      <c r="AT225" s="22">
        <v>215</v>
      </c>
      <c r="AU225" s="22">
        <v>7.87659E-2</v>
      </c>
      <c r="AV225">
        <f t="shared" si="44"/>
        <v>-3.2775899999999997E-2</v>
      </c>
      <c r="AW225">
        <f t="shared" si="45"/>
        <v>-2.4825974351399997E-2</v>
      </c>
      <c r="AX225" s="9"/>
      <c r="AY225" s="22">
        <v>0.98266600000000004</v>
      </c>
      <c r="AZ225" s="22">
        <v>253.64599999999999</v>
      </c>
      <c r="BA225" s="22">
        <v>-6.4605699999999997E-3</v>
      </c>
      <c r="BB225" s="22">
        <v>215</v>
      </c>
      <c r="BC225" s="22">
        <v>0.98205600000000004</v>
      </c>
      <c r="BD225">
        <f t="shared" si="46"/>
        <v>6.4605699999999997</v>
      </c>
      <c r="BE225">
        <f t="shared" si="47"/>
        <v>6.3485824796200001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0.75241100000000005</v>
      </c>
      <c r="H226" s="22">
        <v>39.374299999999998</v>
      </c>
      <c r="I226" s="22">
        <v>-1.65924E-2</v>
      </c>
      <c r="J226" s="22">
        <v>216</v>
      </c>
      <c r="K226" s="22">
        <v>0.75195299999999998</v>
      </c>
      <c r="L226">
        <f t="shared" si="36"/>
        <v>16.592400000000001</v>
      </c>
      <c r="M226">
        <f t="shared" si="37"/>
        <v>12.484304276400001</v>
      </c>
      <c r="N226" s="9"/>
      <c r="O226" s="22">
        <v>0.98770100000000005</v>
      </c>
      <c r="P226" s="22">
        <v>88.812700000000007</v>
      </c>
      <c r="Q226" s="22">
        <v>-1.6473399999999999E-2</v>
      </c>
      <c r="R226" s="22">
        <v>216</v>
      </c>
      <c r="S226" s="22">
        <v>0.98693799999999998</v>
      </c>
      <c r="T226">
        <f t="shared" si="38"/>
        <v>16.473399999999998</v>
      </c>
      <c r="U226">
        <f t="shared" si="39"/>
        <v>16.270793653399998</v>
      </c>
      <c r="X226" s="9"/>
      <c r="Y226" s="22">
        <v>0.75241100000000005</v>
      </c>
      <c r="Z226" s="22">
        <v>138.358</v>
      </c>
      <c r="AA226" s="22">
        <v>-1.7163100000000001E-2</v>
      </c>
      <c r="AB226" s="22">
        <v>216</v>
      </c>
      <c r="AC226" s="22">
        <v>0.75195299999999998</v>
      </c>
      <c r="AD226">
        <f t="shared" si="40"/>
        <v>17.1631</v>
      </c>
      <c r="AE226">
        <f t="shared" si="41"/>
        <v>12.9137052341</v>
      </c>
      <c r="AF226" s="9"/>
      <c r="AG226" s="22">
        <v>0.98770100000000005</v>
      </c>
      <c r="AH226" s="22">
        <v>187.97300000000001</v>
      </c>
      <c r="AI226" s="22">
        <v>-1.6491700000000001E-2</v>
      </c>
      <c r="AJ226" s="22">
        <v>216</v>
      </c>
      <c r="AK226" s="22">
        <v>0.98663299999999998</v>
      </c>
      <c r="AL226">
        <f t="shared" si="42"/>
        <v>16.491700000000002</v>
      </c>
      <c r="AM226">
        <f t="shared" si="43"/>
        <v>16.288868581700001</v>
      </c>
      <c r="AP226" s="9"/>
      <c r="AQ226" s="22">
        <v>0.75241100000000005</v>
      </c>
      <c r="AR226" s="22">
        <v>237.596</v>
      </c>
      <c r="AS226" s="25">
        <v>3.2531699999999999E-5</v>
      </c>
      <c r="AT226" s="22">
        <v>216</v>
      </c>
      <c r="AU226" s="22">
        <v>7.8735399999999997E-2</v>
      </c>
      <c r="AV226">
        <f t="shared" si="44"/>
        <v>-3.2531699999999997E-2</v>
      </c>
      <c r="AW226">
        <f t="shared" si="45"/>
        <v>-2.4477208928699999E-2</v>
      </c>
      <c r="AX226" s="9"/>
      <c r="AY226" s="22">
        <v>0.98770100000000005</v>
      </c>
      <c r="AZ226" s="22">
        <v>253.65600000000001</v>
      </c>
      <c r="BA226" s="22">
        <v>-6.3873300000000001E-3</v>
      </c>
      <c r="BB226" s="22">
        <v>216</v>
      </c>
      <c r="BC226" s="22">
        <v>0.98693799999999998</v>
      </c>
      <c r="BD226">
        <f t="shared" si="46"/>
        <v>6.3873300000000004</v>
      </c>
      <c r="BE226">
        <f t="shared" si="47"/>
        <v>6.3087722283300005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0.74737500000000001</v>
      </c>
      <c r="H227" s="22">
        <v>39.384300000000003</v>
      </c>
      <c r="I227" s="22">
        <v>-1.6595499999999999E-2</v>
      </c>
      <c r="J227" s="22">
        <v>217</v>
      </c>
      <c r="K227" s="22">
        <v>0.74655199999999999</v>
      </c>
      <c r="L227">
        <f t="shared" si="36"/>
        <v>16.595499999999998</v>
      </c>
      <c r="M227">
        <f t="shared" si="37"/>
        <v>12.403061812499999</v>
      </c>
      <c r="N227" s="9"/>
      <c r="O227" s="22">
        <v>0.99273699999999998</v>
      </c>
      <c r="P227" s="22">
        <v>88.822800000000001</v>
      </c>
      <c r="Q227" s="22">
        <v>-1.64703E-2</v>
      </c>
      <c r="R227" s="22">
        <v>217</v>
      </c>
      <c r="S227" s="22">
        <v>0.99151599999999995</v>
      </c>
      <c r="T227">
        <f t="shared" si="38"/>
        <v>16.470300000000002</v>
      </c>
      <c r="U227">
        <f t="shared" si="39"/>
        <v>16.350676211100001</v>
      </c>
      <c r="X227" s="9"/>
      <c r="Y227" s="22">
        <v>0.74737500000000001</v>
      </c>
      <c r="Z227" s="22">
        <v>138.36799999999999</v>
      </c>
      <c r="AA227" s="22">
        <v>-1.7169199999999999E-2</v>
      </c>
      <c r="AB227" s="22">
        <v>217</v>
      </c>
      <c r="AC227" s="22">
        <v>0.74667399999999995</v>
      </c>
      <c r="AD227">
        <f t="shared" si="40"/>
        <v>17.1692</v>
      </c>
      <c r="AE227">
        <f t="shared" si="41"/>
        <v>12.831830849999999</v>
      </c>
      <c r="AF227" s="9"/>
      <c r="AG227" s="22">
        <v>0.99273699999999998</v>
      </c>
      <c r="AH227" s="22">
        <v>187.983</v>
      </c>
      <c r="AI227" s="22">
        <v>-1.6488599999999999E-2</v>
      </c>
      <c r="AJ227" s="22">
        <v>217</v>
      </c>
      <c r="AK227" s="22">
        <v>0.99182099999999995</v>
      </c>
      <c r="AL227">
        <f t="shared" si="42"/>
        <v>16.488599999999998</v>
      </c>
      <c r="AM227">
        <f t="shared" si="43"/>
        <v>16.368843298199998</v>
      </c>
      <c r="AP227" s="9"/>
      <c r="AQ227" s="22">
        <v>0.74737500000000001</v>
      </c>
      <c r="AR227" s="22">
        <v>237.60599999999999</v>
      </c>
      <c r="AS227" s="25">
        <v>2.8656000000000001E-5</v>
      </c>
      <c r="AT227" s="22">
        <v>217</v>
      </c>
      <c r="AU227" s="22">
        <v>7.8735399999999997E-2</v>
      </c>
      <c r="AV227">
        <f t="shared" si="44"/>
        <v>-2.8656000000000001E-2</v>
      </c>
      <c r="AW227">
        <f t="shared" si="45"/>
        <v>-2.1416778000000001E-2</v>
      </c>
      <c r="AX227" s="9"/>
      <c r="AY227" s="22">
        <v>0.99273699999999998</v>
      </c>
      <c r="AZ227" s="22">
        <v>253.666</v>
      </c>
      <c r="BA227" s="22">
        <v>-6.5399200000000003E-3</v>
      </c>
      <c r="BB227" s="22">
        <v>217</v>
      </c>
      <c r="BC227" s="22">
        <v>0.99151599999999995</v>
      </c>
      <c r="BD227">
        <f t="shared" si="46"/>
        <v>6.5399200000000004</v>
      </c>
      <c r="BE227">
        <f t="shared" si="47"/>
        <v>6.4924205610400003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0.74234</v>
      </c>
      <c r="H228" s="22">
        <v>39.394399999999997</v>
      </c>
      <c r="I228" s="22">
        <v>-1.6598499999999999E-2</v>
      </c>
      <c r="J228" s="22">
        <v>218</v>
      </c>
      <c r="K228" s="22">
        <v>0.741425</v>
      </c>
      <c r="L228">
        <f t="shared" si="36"/>
        <v>16.598499999999998</v>
      </c>
      <c r="M228">
        <f t="shared" si="37"/>
        <v>12.321730489999998</v>
      </c>
      <c r="N228" s="9"/>
      <c r="O228" s="22">
        <v>0.99777199999999999</v>
      </c>
      <c r="P228" s="22">
        <v>88.832800000000006</v>
      </c>
      <c r="Q228" s="22">
        <v>-1.6464199999999998E-2</v>
      </c>
      <c r="R228" s="22">
        <v>218</v>
      </c>
      <c r="S228" s="22">
        <v>0.99700900000000003</v>
      </c>
      <c r="T228">
        <f t="shared" si="38"/>
        <v>16.464199999999998</v>
      </c>
      <c r="U228">
        <f t="shared" si="39"/>
        <v>16.427517762399997</v>
      </c>
      <c r="X228" s="9"/>
      <c r="Y228" s="22">
        <v>0.74234</v>
      </c>
      <c r="Z228" s="22">
        <v>138.37799999999999</v>
      </c>
      <c r="AA228" s="22">
        <v>-1.7172199999999999E-2</v>
      </c>
      <c r="AB228" s="22">
        <v>218</v>
      </c>
      <c r="AC228" s="22">
        <v>0.74188200000000004</v>
      </c>
      <c r="AD228">
        <f t="shared" si="40"/>
        <v>17.1722</v>
      </c>
      <c r="AE228">
        <f t="shared" si="41"/>
        <v>12.747610948</v>
      </c>
      <c r="AF228" s="9"/>
      <c r="AG228" s="22">
        <v>0.99777199999999999</v>
      </c>
      <c r="AH228" s="22">
        <v>187.99299999999999</v>
      </c>
      <c r="AI228" s="22">
        <v>-1.64856E-2</v>
      </c>
      <c r="AJ228" s="22">
        <v>218</v>
      </c>
      <c r="AK228" s="22">
        <v>0.99700900000000003</v>
      </c>
      <c r="AL228">
        <f t="shared" si="42"/>
        <v>16.485599999999998</v>
      </c>
      <c r="AM228">
        <f t="shared" si="43"/>
        <v>16.448870083199999</v>
      </c>
      <c r="AP228" s="9"/>
      <c r="AQ228" s="22">
        <v>0.74234</v>
      </c>
      <c r="AR228" s="22">
        <v>237.61600000000001</v>
      </c>
      <c r="AS228" s="25">
        <v>2.7282699999999999E-5</v>
      </c>
      <c r="AT228" s="22">
        <v>218</v>
      </c>
      <c r="AU228" s="22">
        <v>7.8735399999999997E-2</v>
      </c>
      <c r="AV228">
        <f t="shared" si="44"/>
        <v>-2.72827E-2</v>
      </c>
      <c r="AW228">
        <f t="shared" si="45"/>
        <v>-2.0253039518000001E-2</v>
      </c>
      <c r="AX228" s="9"/>
      <c r="AY228" s="22">
        <v>0.99777199999999999</v>
      </c>
      <c r="AZ228" s="22">
        <v>253.67599999999999</v>
      </c>
      <c r="BA228" s="22">
        <v>-6.6650399999999997E-3</v>
      </c>
      <c r="BB228" s="22">
        <v>218</v>
      </c>
      <c r="BC228" s="22">
        <v>0.99670400000000003</v>
      </c>
      <c r="BD228">
        <f t="shared" si="46"/>
        <v>6.6650399999999994</v>
      </c>
      <c r="BE228">
        <f t="shared" si="47"/>
        <v>6.6501902908799995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0.73730499999999999</v>
      </c>
      <c r="H229" s="22">
        <v>39.404499999999999</v>
      </c>
      <c r="I229" s="22">
        <v>-1.6604600000000001E-2</v>
      </c>
      <c r="J229" s="22">
        <v>219</v>
      </c>
      <c r="K229" s="22">
        <v>0.73632799999999998</v>
      </c>
      <c r="L229">
        <f t="shared" si="36"/>
        <v>16.604600000000001</v>
      </c>
      <c r="M229">
        <f t="shared" si="37"/>
        <v>12.242654603</v>
      </c>
      <c r="N229" s="9"/>
      <c r="O229" s="22">
        <v>1.00281</v>
      </c>
      <c r="P229" s="22">
        <v>88.8429</v>
      </c>
      <c r="Q229" s="22">
        <v>-1.6461199999999999E-2</v>
      </c>
      <c r="R229" s="22">
        <v>219</v>
      </c>
      <c r="S229" s="22">
        <v>1.00098</v>
      </c>
      <c r="T229">
        <f t="shared" si="38"/>
        <v>16.461199999999998</v>
      </c>
      <c r="U229">
        <f t="shared" si="39"/>
        <v>16.507455971999999</v>
      </c>
      <c r="X229" s="9"/>
      <c r="Y229" s="22">
        <v>0.73730499999999999</v>
      </c>
      <c r="Z229" s="22">
        <v>138.38800000000001</v>
      </c>
      <c r="AA229" s="22">
        <v>-1.7175300000000001E-2</v>
      </c>
      <c r="AB229" s="22">
        <v>219</v>
      </c>
      <c r="AC229" s="22">
        <v>0.73651100000000003</v>
      </c>
      <c r="AD229">
        <f t="shared" si="40"/>
        <v>17.1753</v>
      </c>
      <c r="AE229">
        <f t="shared" si="41"/>
        <v>12.663434566499999</v>
      </c>
      <c r="AF229" s="9"/>
      <c r="AG229" s="22">
        <v>1.00281</v>
      </c>
      <c r="AH229" s="22">
        <v>188.00299999999999</v>
      </c>
      <c r="AI229" s="22">
        <v>-1.6476399999999999E-2</v>
      </c>
      <c r="AJ229" s="22">
        <v>219</v>
      </c>
      <c r="AK229" s="22">
        <v>1.00159</v>
      </c>
      <c r="AL229">
        <f t="shared" si="42"/>
        <v>16.476399999999998</v>
      </c>
      <c r="AM229">
        <f t="shared" si="43"/>
        <v>16.522698683999998</v>
      </c>
      <c r="AP229" s="9"/>
      <c r="AQ229" s="22">
        <v>0.73730499999999999</v>
      </c>
      <c r="AR229" s="22">
        <v>237.626</v>
      </c>
      <c r="AS229" s="25">
        <v>2.7313200000000001E-5</v>
      </c>
      <c r="AT229" s="22">
        <v>219</v>
      </c>
      <c r="AU229" s="22">
        <v>7.8704800000000005E-2</v>
      </c>
      <c r="AV229">
        <f t="shared" si="44"/>
        <v>-2.7313200000000003E-2</v>
      </c>
      <c r="AW229">
        <f t="shared" si="45"/>
        <v>-2.0138158926000002E-2</v>
      </c>
      <c r="AX229" s="9"/>
      <c r="AY229" s="22">
        <v>1.00281</v>
      </c>
      <c r="AZ229" s="22">
        <v>253.68600000000001</v>
      </c>
      <c r="BA229" s="22">
        <v>-6.7077600000000001E-3</v>
      </c>
      <c r="BB229" s="22">
        <v>219</v>
      </c>
      <c r="BC229" s="22">
        <v>1.0022</v>
      </c>
      <c r="BD229">
        <f t="shared" si="46"/>
        <v>6.7077600000000004</v>
      </c>
      <c r="BE229">
        <f t="shared" si="47"/>
        <v>6.7266088056000006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0.73226899999999995</v>
      </c>
      <c r="H230" s="22">
        <v>39.414499999999997</v>
      </c>
      <c r="I230" s="22">
        <v>-1.6625999999999998E-2</v>
      </c>
      <c r="J230" s="22">
        <v>220</v>
      </c>
      <c r="K230" s="22">
        <v>0.73141500000000004</v>
      </c>
      <c r="L230">
        <f t="shared" si="36"/>
        <v>16.625999999999998</v>
      </c>
      <c r="M230">
        <f t="shared" si="37"/>
        <v>12.174704393999997</v>
      </c>
      <c r="N230" s="9"/>
      <c r="O230" s="22">
        <v>1.0078400000000001</v>
      </c>
      <c r="P230" s="22">
        <v>88.852999999999994</v>
      </c>
      <c r="Q230" s="22">
        <v>-1.64551E-2</v>
      </c>
      <c r="R230" s="22">
        <v>220</v>
      </c>
      <c r="S230" s="22">
        <v>1.00647</v>
      </c>
      <c r="T230">
        <f t="shared" si="38"/>
        <v>16.455100000000002</v>
      </c>
      <c r="U230">
        <f t="shared" si="39"/>
        <v>16.584107984000003</v>
      </c>
      <c r="X230" s="9"/>
      <c r="Y230" s="22">
        <v>0.73226899999999995</v>
      </c>
      <c r="Z230" s="22">
        <v>138.398</v>
      </c>
      <c r="AA230" s="22">
        <v>-1.7175300000000001E-2</v>
      </c>
      <c r="AB230" s="22">
        <v>220</v>
      </c>
      <c r="AC230" s="22">
        <v>0.73168900000000003</v>
      </c>
      <c r="AD230">
        <f t="shared" si="40"/>
        <v>17.1753</v>
      </c>
      <c r="AE230">
        <f t="shared" si="41"/>
        <v>12.5769397557</v>
      </c>
      <c r="AF230" s="9"/>
      <c r="AG230" s="22">
        <v>1.0078400000000001</v>
      </c>
      <c r="AH230" s="22">
        <v>188.01300000000001</v>
      </c>
      <c r="AI230" s="22">
        <v>-1.6473399999999999E-2</v>
      </c>
      <c r="AJ230" s="22">
        <v>220</v>
      </c>
      <c r="AK230" s="22">
        <v>1.0067699999999999</v>
      </c>
      <c r="AL230">
        <f t="shared" si="42"/>
        <v>16.473399999999998</v>
      </c>
      <c r="AM230">
        <f t="shared" si="43"/>
        <v>16.602551456</v>
      </c>
      <c r="AP230" s="9"/>
      <c r="AQ230" s="22">
        <v>0.73226899999999995</v>
      </c>
      <c r="AR230" s="22">
        <v>237.636</v>
      </c>
      <c r="AS230" s="25">
        <v>2.66113E-5</v>
      </c>
      <c r="AT230" s="22">
        <v>220</v>
      </c>
      <c r="AU230" s="22">
        <v>7.8735399999999997E-2</v>
      </c>
      <c r="AV230">
        <f t="shared" si="44"/>
        <v>-2.6611300000000001E-2</v>
      </c>
      <c r="AW230">
        <f t="shared" si="45"/>
        <v>-1.9486630039699998E-2</v>
      </c>
      <c r="AX230" s="9"/>
      <c r="AY230" s="22">
        <v>1.0078400000000001</v>
      </c>
      <c r="AZ230" s="22">
        <v>253.696</v>
      </c>
      <c r="BA230" s="22">
        <v>-6.6497800000000001E-3</v>
      </c>
      <c r="BB230" s="22">
        <v>220</v>
      </c>
      <c r="BC230" s="22">
        <v>1.00708</v>
      </c>
      <c r="BD230">
        <f t="shared" si="46"/>
        <v>6.6497799999999998</v>
      </c>
      <c r="BE230">
        <f t="shared" si="47"/>
        <v>6.7019142752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0.72723400000000005</v>
      </c>
      <c r="H231" s="22">
        <v>39.424599999999998</v>
      </c>
      <c r="I231" s="22">
        <v>-1.6625999999999998E-2</v>
      </c>
      <c r="J231" s="22">
        <v>221</v>
      </c>
      <c r="K231" s="22">
        <v>0.726105</v>
      </c>
      <c r="L231">
        <f t="shared" si="36"/>
        <v>16.625999999999998</v>
      </c>
      <c r="M231">
        <f t="shared" si="37"/>
        <v>12.090992483999999</v>
      </c>
      <c r="N231" s="9"/>
      <c r="O231" s="22">
        <v>1.01288</v>
      </c>
      <c r="P231" s="22">
        <v>88.863</v>
      </c>
      <c r="Q231" s="22">
        <v>-1.6452000000000001E-2</v>
      </c>
      <c r="R231" s="22">
        <v>221</v>
      </c>
      <c r="S231" s="22">
        <v>1.01196</v>
      </c>
      <c r="T231">
        <f t="shared" si="38"/>
        <v>16.452000000000002</v>
      </c>
      <c r="U231">
        <f t="shared" si="39"/>
        <v>16.663901760000002</v>
      </c>
      <c r="X231" s="9"/>
      <c r="Y231" s="22">
        <v>0.72723400000000005</v>
      </c>
      <c r="Z231" s="22">
        <v>138.40799999999999</v>
      </c>
      <c r="AA231" s="22">
        <v>-1.7184399999999999E-2</v>
      </c>
      <c r="AB231" s="22">
        <v>221</v>
      </c>
      <c r="AC231" s="22">
        <v>0.72665400000000002</v>
      </c>
      <c r="AD231">
        <f t="shared" si="40"/>
        <v>17.1844</v>
      </c>
      <c r="AE231">
        <f t="shared" si="41"/>
        <v>12.497079949600002</v>
      </c>
      <c r="AF231" s="9"/>
      <c r="AG231" s="22">
        <v>1.01288</v>
      </c>
      <c r="AH231" s="22">
        <v>188.023</v>
      </c>
      <c r="AI231" s="22">
        <v>-1.6467300000000001E-2</v>
      </c>
      <c r="AJ231" s="22">
        <v>221</v>
      </c>
      <c r="AK231" s="22">
        <v>1.01196</v>
      </c>
      <c r="AL231">
        <f t="shared" si="42"/>
        <v>16.467300000000002</v>
      </c>
      <c r="AM231">
        <f t="shared" si="43"/>
        <v>16.679398824000003</v>
      </c>
      <c r="AP231" s="9"/>
      <c r="AQ231" s="22">
        <v>0.72723400000000005</v>
      </c>
      <c r="AR231" s="22">
        <v>237.64599999999999</v>
      </c>
      <c r="AS231" s="25">
        <v>2.7099600000000001E-5</v>
      </c>
      <c r="AT231" s="22">
        <v>221</v>
      </c>
      <c r="AU231" s="22">
        <v>7.8704800000000005E-2</v>
      </c>
      <c r="AV231">
        <f t="shared" si="44"/>
        <v>-2.7099600000000001E-2</v>
      </c>
      <c r="AW231">
        <f t="shared" si="45"/>
        <v>-1.9707750506400001E-2</v>
      </c>
      <c r="AX231" s="9"/>
      <c r="AY231" s="22">
        <v>1.01288</v>
      </c>
      <c r="AZ231" s="22">
        <v>253.70599999999999</v>
      </c>
      <c r="BA231" s="22">
        <v>-6.6650399999999997E-3</v>
      </c>
      <c r="BB231" s="22">
        <v>221</v>
      </c>
      <c r="BC231" s="22">
        <v>1.01227</v>
      </c>
      <c r="BD231">
        <f t="shared" si="46"/>
        <v>6.6650399999999994</v>
      </c>
      <c r="BE231">
        <f t="shared" si="47"/>
        <v>6.750885715199999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0.72219800000000001</v>
      </c>
      <c r="H232" s="22">
        <v>39.434699999999999</v>
      </c>
      <c r="I232" s="22">
        <v>-1.6625999999999998E-2</v>
      </c>
      <c r="J232" s="22">
        <v>222</v>
      </c>
      <c r="K232" s="22">
        <v>0.72116100000000005</v>
      </c>
      <c r="L232">
        <f t="shared" si="36"/>
        <v>16.625999999999998</v>
      </c>
      <c r="M232">
        <f t="shared" si="37"/>
        <v>12.007263947999999</v>
      </c>
      <c r="N232" s="9"/>
      <c r="O232" s="22">
        <v>1.0179100000000001</v>
      </c>
      <c r="P232" s="22">
        <v>88.873099999999994</v>
      </c>
      <c r="Q232" s="22">
        <v>-1.6448999999999998E-2</v>
      </c>
      <c r="R232" s="22">
        <v>222</v>
      </c>
      <c r="S232" s="22">
        <v>1.01715</v>
      </c>
      <c r="T232">
        <f t="shared" si="38"/>
        <v>16.448999999999998</v>
      </c>
      <c r="U232">
        <f t="shared" si="39"/>
        <v>16.743601590000001</v>
      </c>
      <c r="X232" s="9"/>
      <c r="Y232" s="22">
        <v>0.72219800000000001</v>
      </c>
      <c r="Z232" s="22">
        <v>138.41900000000001</v>
      </c>
      <c r="AA232" s="22">
        <v>-1.7187500000000001E-2</v>
      </c>
      <c r="AB232" s="22">
        <v>222</v>
      </c>
      <c r="AC232" s="22">
        <v>0.72143599999999997</v>
      </c>
      <c r="AD232">
        <f t="shared" si="40"/>
        <v>17.1875</v>
      </c>
      <c r="AE232">
        <f t="shared" si="41"/>
        <v>12.412778125000001</v>
      </c>
      <c r="AF232" s="9"/>
      <c r="AG232" s="22">
        <v>1.0179100000000001</v>
      </c>
      <c r="AH232" s="22">
        <v>188.03299999999999</v>
      </c>
      <c r="AI232" s="22">
        <v>-1.6467300000000001E-2</v>
      </c>
      <c r="AJ232" s="22">
        <v>222</v>
      </c>
      <c r="AK232" s="22">
        <v>1.01654</v>
      </c>
      <c r="AL232">
        <f t="shared" si="42"/>
        <v>16.467300000000002</v>
      </c>
      <c r="AM232">
        <f t="shared" si="43"/>
        <v>16.762229343000005</v>
      </c>
      <c r="AP232" s="9"/>
      <c r="AQ232" s="22">
        <v>0.72219800000000001</v>
      </c>
      <c r="AR232" s="22">
        <v>237.65600000000001</v>
      </c>
      <c r="AS232" s="25">
        <v>2.8533900000000001E-5</v>
      </c>
      <c r="AT232" s="22">
        <v>222</v>
      </c>
      <c r="AU232" s="22">
        <v>7.8704800000000005E-2</v>
      </c>
      <c r="AV232">
        <f t="shared" si="44"/>
        <v>-2.8533900000000001E-2</v>
      </c>
      <c r="AW232">
        <f t="shared" si="45"/>
        <v>-2.0607125512200002E-2</v>
      </c>
      <c r="AX232" s="9"/>
      <c r="AY232" s="22">
        <v>1.0179100000000001</v>
      </c>
      <c r="AZ232" s="22">
        <v>253.71600000000001</v>
      </c>
      <c r="BA232" s="22">
        <v>-6.7108200000000002E-3</v>
      </c>
      <c r="BB232" s="22">
        <v>222</v>
      </c>
      <c r="BC232" s="22">
        <v>1.01715</v>
      </c>
      <c r="BD232">
        <f t="shared" si="46"/>
        <v>6.71082</v>
      </c>
      <c r="BE232">
        <f t="shared" si="47"/>
        <v>6.8310107862000002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0.71716299999999999</v>
      </c>
      <c r="H233" s="22">
        <v>39.444699999999997</v>
      </c>
      <c r="I233" s="22">
        <v>-1.6629000000000001E-2</v>
      </c>
      <c r="J233" s="22">
        <v>223</v>
      </c>
      <c r="K233" s="22">
        <v>0.71627799999999997</v>
      </c>
      <c r="L233">
        <f t="shared" si="36"/>
        <v>16.629000000000001</v>
      </c>
      <c r="M233">
        <f t="shared" si="37"/>
        <v>11.925703527000001</v>
      </c>
      <c r="N233" s="9"/>
      <c r="O233" s="22">
        <v>1.02295</v>
      </c>
      <c r="P233" s="22">
        <v>88.883200000000002</v>
      </c>
      <c r="Q233" s="22">
        <v>-1.6448999999999998E-2</v>
      </c>
      <c r="R233" s="22">
        <v>223</v>
      </c>
      <c r="S233" s="22">
        <v>1.02173</v>
      </c>
      <c r="T233">
        <f t="shared" si="38"/>
        <v>16.448999999999998</v>
      </c>
      <c r="U233">
        <f t="shared" si="39"/>
        <v>16.826504549999999</v>
      </c>
      <c r="X233" s="9"/>
      <c r="Y233" s="22">
        <v>0.71716299999999999</v>
      </c>
      <c r="Z233" s="22">
        <v>138.429</v>
      </c>
      <c r="AA233" s="22">
        <v>-1.7187500000000001E-2</v>
      </c>
      <c r="AB233" s="22">
        <v>223</v>
      </c>
      <c r="AC233" s="22">
        <v>0.71615600000000001</v>
      </c>
      <c r="AD233">
        <f t="shared" si="40"/>
        <v>17.1875</v>
      </c>
      <c r="AE233">
        <f t="shared" si="41"/>
        <v>12.326239062499999</v>
      </c>
      <c r="AF233" s="9"/>
      <c r="AG233" s="22">
        <v>1.02295</v>
      </c>
      <c r="AH233" s="22">
        <v>188.04300000000001</v>
      </c>
      <c r="AI233" s="22">
        <v>-1.6464199999999998E-2</v>
      </c>
      <c r="AJ233" s="22">
        <v>223</v>
      </c>
      <c r="AK233" s="22">
        <v>1.02142</v>
      </c>
      <c r="AL233">
        <f t="shared" si="42"/>
        <v>16.464199999999998</v>
      </c>
      <c r="AM233">
        <f t="shared" si="43"/>
        <v>16.84205339</v>
      </c>
      <c r="AP233" s="9"/>
      <c r="AQ233" s="22">
        <v>0.71716299999999999</v>
      </c>
      <c r="AR233" s="22">
        <v>237.666</v>
      </c>
      <c r="AS233" s="25">
        <v>3.6041300000000003E-5</v>
      </c>
      <c r="AT233" s="22">
        <v>223</v>
      </c>
      <c r="AU233" s="22">
        <v>7.8735399999999997E-2</v>
      </c>
      <c r="AV233">
        <f t="shared" si="44"/>
        <v>-3.6041300000000005E-2</v>
      </c>
      <c r="AW233">
        <f t="shared" si="45"/>
        <v>-2.5847486831900003E-2</v>
      </c>
      <c r="AX233" s="9"/>
      <c r="AY233" s="22">
        <v>1.02295</v>
      </c>
      <c r="AZ233" s="22">
        <v>253.726</v>
      </c>
      <c r="BA233" s="22">
        <v>-6.7230199999999997E-3</v>
      </c>
      <c r="BB233" s="22">
        <v>223</v>
      </c>
      <c r="BC233" s="22">
        <v>1.02203</v>
      </c>
      <c r="BD233">
        <f t="shared" si="46"/>
        <v>6.72302</v>
      </c>
      <c r="BE233">
        <f t="shared" si="47"/>
        <v>6.8773133089999998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0.71212799999999998</v>
      </c>
      <c r="H234" s="22">
        <v>39.454799999999999</v>
      </c>
      <c r="I234" s="22">
        <v>-1.66321E-2</v>
      </c>
      <c r="J234" s="22">
        <v>224</v>
      </c>
      <c r="K234" s="22">
        <v>0.71121199999999996</v>
      </c>
      <c r="L234">
        <f t="shared" si="36"/>
        <v>16.632100000000001</v>
      </c>
      <c r="M234">
        <f t="shared" si="37"/>
        <v>11.8441841088</v>
      </c>
      <c r="N234" s="9"/>
      <c r="O234" s="22">
        <v>1.0279799999999999</v>
      </c>
      <c r="P234" s="22">
        <v>88.893199999999993</v>
      </c>
      <c r="Q234" s="22">
        <v>-1.64429E-2</v>
      </c>
      <c r="R234" s="22">
        <v>224</v>
      </c>
      <c r="S234" s="22">
        <v>1.02661</v>
      </c>
      <c r="T234">
        <f t="shared" si="38"/>
        <v>16.442900000000002</v>
      </c>
      <c r="U234">
        <f t="shared" si="39"/>
        <v>16.902972341999998</v>
      </c>
      <c r="X234" s="9"/>
      <c r="Y234" s="22">
        <v>0.71212799999999998</v>
      </c>
      <c r="Z234" s="22">
        <v>138.43899999999999</v>
      </c>
      <c r="AA234" s="22">
        <v>-1.71936E-2</v>
      </c>
      <c r="AB234" s="22">
        <v>224</v>
      </c>
      <c r="AC234" s="22">
        <v>0.71157800000000004</v>
      </c>
      <c r="AD234">
        <f t="shared" si="40"/>
        <v>17.1936</v>
      </c>
      <c r="AE234">
        <f t="shared" si="41"/>
        <v>12.244043980799999</v>
      </c>
      <c r="AF234" s="9"/>
      <c r="AG234" s="22">
        <v>1.0279799999999999</v>
      </c>
      <c r="AH234" s="22">
        <v>188.053</v>
      </c>
      <c r="AI234" s="22">
        <v>-1.6461199999999999E-2</v>
      </c>
      <c r="AJ234" s="22">
        <v>224</v>
      </c>
      <c r="AK234" s="22">
        <v>1.02661</v>
      </c>
      <c r="AL234">
        <f t="shared" si="42"/>
        <v>16.461199999999998</v>
      </c>
      <c r="AM234">
        <f t="shared" si="43"/>
        <v>16.921784375999998</v>
      </c>
      <c r="AP234" s="9"/>
      <c r="AQ234" s="22">
        <v>0.71212799999999998</v>
      </c>
      <c r="AR234" s="22">
        <v>237.67699999999999</v>
      </c>
      <c r="AS234" s="25">
        <v>4.4891400000000002E-5</v>
      </c>
      <c r="AT234" s="22">
        <v>224</v>
      </c>
      <c r="AU234" s="22">
        <v>7.8674300000000003E-2</v>
      </c>
      <c r="AV234">
        <f t="shared" si="44"/>
        <v>-4.4891400000000005E-2</v>
      </c>
      <c r="AW234">
        <f t="shared" si="45"/>
        <v>-3.1968422899200002E-2</v>
      </c>
      <c r="AX234" s="9"/>
      <c r="AY234" s="22">
        <v>1.0279799999999999</v>
      </c>
      <c r="AZ234" s="22">
        <v>253.73599999999999</v>
      </c>
      <c r="BA234" s="22">
        <v>-6.7840599999999997E-3</v>
      </c>
      <c r="BB234" s="22">
        <v>224</v>
      </c>
      <c r="BC234" s="22">
        <v>1.02722</v>
      </c>
      <c r="BD234">
        <f t="shared" si="46"/>
        <v>6.7840599999999993</v>
      </c>
      <c r="BE234">
        <f t="shared" si="47"/>
        <v>6.9738779987999981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0.70709200000000005</v>
      </c>
      <c r="H235" s="22">
        <v>39.4649</v>
      </c>
      <c r="I235" s="22">
        <v>-1.6638199999999999E-2</v>
      </c>
      <c r="J235" s="22">
        <v>225</v>
      </c>
      <c r="K235" s="22">
        <v>0.70617700000000005</v>
      </c>
      <c r="L235">
        <f t="shared" si="36"/>
        <v>16.638199999999998</v>
      </c>
      <c r="M235">
        <f t="shared" si="37"/>
        <v>11.7647381144</v>
      </c>
      <c r="N235" s="9"/>
      <c r="O235" s="22">
        <v>1.03302</v>
      </c>
      <c r="P235" s="22">
        <v>88.903300000000002</v>
      </c>
      <c r="Q235" s="22">
        <v>-1.64429E-2</v>
      </c>
      <c r="R235" s="22">
        <v>225</v>
      </c>
      <c r="S235" s="22">
        <v>1.0318000000000001</v>
      </c>
      <c r="T235">
        <f t="shared" si="38"/>
        <v>16.442900000000002</v>
      </c>
      <c r="U235">
        <f t="shared" si="39"/>
        <v>16.985844558000004</v>
      </c>
      <c r="X235" s="9"/>
      <c r="Y235" s="22">
        <v>0.70709200000000005</v>
      </c>
      <c r="Z235" s="22">
        <v>138.44900000000001</v>
      </c>
      <c r="AA235" s="22">
        <v>-1.7196699999999999E-2</v>
      </c>
      <c r="AB235" s="22">
        <v>225</v>
      </c>
      <c r="AC235" s="22">
        <v>0.70635999999999999</v>
      </c>
      <c r="AD235">
        <f t="shared" si="40"/>
        <v>17.1967</v>
      </c>
      <c r="AE235">
        <f t="shared" si="41"/>
        <v>12.159648996400001</v>
      </c>
      <c r="AF235" s="9"/>
      <c r="AG235" s="22">
        <v>1.03302</v>
      </c>
      <c r="AH235" s="22">
        <v>188.06299999999999</v>
      </c>
      <c r="AI235" s="22">
        <v>-1.64581E-2</v>
      </c>
      <c r="AJ235" s="22">
        <v>225</v>
      </c>
      <c r="AK235" s="22">
        <v>1.03149</v>
      </c>
      <c r="AL235">
        <f t="shared" si="42"/>
        <v>16.458099999999998</v>
      </c>
      <c r="AM235">
        <f t="shared" si="43"/>
        <v>17.001546462</v>
      </c>
      <c r="AP235" s="9"/>
      <c r="AQ235" s="22">
        <v>0.70709200000000005</v>
      </c>
      <c r="AR235" s="22">
        <v>237.68700000000001</v>
      </c>
      <c r="AS235" s="25">
        <v>4.1137699999999997E-5</v>
      </c>
      <c r="AT235" s="22">
        <v>225</v>
      </c>
      <c r="AU235" s="22">
        <v>7.8735399999999997E-2</v>
      </c>
      <c r="AV235">
        <f t="shared" si="44"/>
        <v>-4.1137699999999999E-2</v>
      </c>
      <c r="AW235">
        <f t="shared" si="45"/>
        <v>-2.90881385684E-2</v>
      </c>
      <c r="AX235" s="9"/>
      <c r="AY235" s="22">
        <v>1.03302</v>
      </c>
      <c r="AZ235" s="22">
        <v>253.74600000000001</v>
      </c>
      <c r="BA235" s="22">
        <v>-6.7260699999999998E-3</v>
      </c>
      <c r="BB235" s="22">
        <v>225</v>
      </c>
      <c r="BC235" s="22">
        <v>1.0318000000000001</v>
      </c>
      <c r="BD235">
        <f t="shared" si="46"/>
        <v>6.72607</v>
      </c>
      <c r="BE235">
        <f t="shared" si="47"/>
        <v>6.9481648314000006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0.70205700000000004</v>
      </c>
      <c r="H236" s="22">
        <v>39.475000000000001</v>
      </c>
      <c r="I236" s="22">
        <v>-1.6641199999999998E-2</v>
      </c>
      <c r="J236" s="22">
        <v>226</v>
      </c>
      <c r="K236" s="22">
        <v>0.70104999999999995</v>
      </c>
      <c r="L236">
        <f t="shared" si="36"/>
        <v>16.641199999999998</v>
      </c>
      <c r="M236">
        <f t="shared" si="37"/>
        <v>11.683070948399999</v>
      </c>
      <c r="N236" s="9"/>
      <c r="O236" s="22">
        <v>1.03806</v>
      </c>
      <c r="P236" s="22">
        <v>88.913399999999996</v>
      </c>
      <c r="Q236" s="22">
        <v>-1.6436800000000001E-2</v>
      </c>
      <c r="R236" s="22">
        <v>226</v>
      </c>
      <c r="S236" s="22">
        <v>1.0363800000000001</v>
      </c>
      <c r="T236">
        <f t="shared" si="38"/>
        <v>16.436800000000002</v>
      </c>
      <c r="U236">
        <f t="shared" si="39"/>
        <v>17.062384608000002</v>
      </c>
      <c r="X236" s="9"/>
      <c r="Y236" s="22">
        <v>0.70205700000000004</v>
      </c>
      <c r="Z236" s="22">
        <v>138.459</v>
      </c>
      <c r="AA236" s="22">
        <v>-1.7202800000000001E-2</v>
      </c>
      <c r="AB236" s="22">
        <v>226</v>
      </c>
      <c r="AC236" s="22">
        <v>0.701233</v>
      </c>
      <c r="AD236">
        <f t="shared" si="40"/>
        <v>17.2028</v>
      </c>
      <c r="AE236">
        <f t="shared" si="41"/>
        <v>12.077346159600001</v>
      </c>
      <c r="AF236" s="9"/>
      <c r="AG236" s="22">
        <v>1.03806</v>
      </c>
      <c r="AH236" s="22">
        <v>188.07300000000001</v>
      </c>
      <c r="AI236" s="22">
        <v>-1.6452000000000001E-2</v>
      </c>
      <c r="AJ236" s="22">
        <v>226</v>
      </c>
      <c r="AK236" s="22">
        <v>1.03668</v>
      </c>
      <c r="AL236">
        <f t="shared" si="42"/>
        <v>16.452000000000002</v>
      </c>
      <c r="AM236">
        <f t="shared" si="43"/>
        <v>17.078163120000003</v>
      </c>
      <c r="AP236" s="9"/>
      <c r="AQ236" s="22">
        <v>0.70205700000000004</v>
      </c>
      <c r="AR236" s="22">
        <v>237.697</v>
      </c>
      <c r="AS236" s="25">
        <v>4.7210699999999998E-5</v>
      </c>
      <c r="AT236" s="22">
        <v>226</v>
      </c>
      <c r="AU236" s="22">
        <v>7.87659E-2</v>
      </c>
      <c r="AV236">
        <f t="shared" si="44"/>
        <v>-4.7210700000000001E-2</v>
      </c>
      <c r="AW236">
        <f t="shared" si="45"/>
        <v>-3.3144602409900005E-2</v>
      </c>
      <c r="AX236" s="9"/>
      <c r="AY236" s="22">
        <v>1.03806</v>
      </c>
      <c r="AZ236" s="22">
        <v>253.75700000000001</v>
      </c>
      <c r="BA236" s="22">
        <v>-6.8145799999999998E-3</v>
      </c>
      <c r="BB236" s="22">
        <v>226</v>
      </c>
      <c r="BC236" s="22">
        <v>1.0376000000000001</v>
      </c>
      <c r="BD236">
        <f t="shared" si="46"/>
        <v>6.8145799999999994</v>
      </c>
      <c r="BE236">
        <f t="shared" si="47"/>
        <v>7.073942914799999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0.697021</v>
      </c>
      <c r="H237" s="22">
        <v>39.484999999999999</v>
      </c>
      <c r="I237" s="22">
        <v>-1.66473E-2</v>
      </c>
      <c r="J237" s="22">
        <v>227</v>
      </c>
      <c r="K237" s="22">
        <v>0.69613599999999998</v>
      </c>
      <c r="L237">
        <f t="shared" si="36"/>
        <v>16.647300000000001</v>
      </c>
      <c r="M237">
        <f t="shared" si="37"/>
        <v>11.603517693300001</v>
      </c>
      <c r="N237" s="9"/>
      <c r="O237" s="22">
        <v>1.0430900000000001</v>
      </c>
      <c r="P237" s="22">
        <v>88.923500000000004</v>
      </c>
      <c r="Q237" s="22">
        <v>-1.6436800000000001E-2</v>
      </c>
      <c r="R237" s="22">
        <v>227</v>
      </c>
      <c r="S237" s="22">
        <v>1.0421800000000001</v>
      </c>
      <c r="T237">
        <f t="shared" si="38"/>
        <v>16.436800000000002</v>
      </c>
      <c r="U237">
        <f t="shared" si="39"/>
        <v>17.145061712000004</v>
      </c>
      <c r="X237" s="9"/>
      <c r="Y237" s="22">
        <v>0.697021</v>
      </c>
      <c r="Z237" s="22">
        <v>138.46899999999999</v>
      </c>
      <c r="AA237" s="22">
        <v>-1.7202800000000001E-2</v>
      </c>
      <c r="AB237" s="22">
        <v>227</v>
      </c>
      <c r="AC237" s="22">
        <v>0.69653299999999996</v>
      </c>
      <c r="AD237">
        <f t="shared" si="40"/>
        <v>17.2028</v>
      </c>
      <c r="AE237">
        <f t="shared" si="41"/>
        <v>11.9907128588</v>
      </c>
      <c r="AF237" s="9"/>
      <c r="AG237" s="22">
        <v>1.0430900000000001</v>
      </c>
      <c r="AH237" s="22">
        <v>188.083</v>
      </c>
      <c r="AI237" s="22">
        <v>-1.6452000000000001E-2</v>
      </c>
      <c r="AJ237" s="22">
        <v>227</v>
      </c>
      <c r="AK237" s="22">
        <v>1.0421800000000001</v>
      </c>
      <c r="AL237">
        <f t="shared" si="42"/>
        <v>16.452000000000002</v>
      </c>
      <c r="AM237">
        <f t="shared" si="43"/>
        <v>17.160916680000003</v>
      </c>
      <c r="AP237" s="9"/>
      <c r="AQ237" s="22">
        <v>0.697021</v>
      </c>
      <c r="AR237" s="22">
        <v>237.70699999999999</v>
      </c>
      <c r="AS237" s="25">
        <v>3.9184599999999997E-5</v>
      </c>
      <c r="AT237" s="22">
        <v>227</v>
      </c>
      <c r="AU237" s="22">
        <v>7.87659E-2</v>
      </c>
      <c r="AV237">
        <f t="shared" si="44"/>
        <v>-3.91846E-2</v>
      </c>
      <c r="AW237">
        <f t="shared" si="45"/>
        <v>-2.7312489076599999E-2</v>
      </c>
      <c r="AX237" s="9"/>
      <c r="AY237" s="22">
        <v>1.0430900000000001</v>
      </c>
      <c r="AZ237" s="22">
        <v>253.767</v>
      </c>
      <c r="BA237" s="22">
        <v>-6.6558800000000003E-3</v>
      </c>
      <c r="BB237" s="22">
        <v>227</v>
      </c>
      <c r="BC237" s="22">
        <v>1.0421800000000001</v>
      </c>
      <c r="BD237">
        <f t="shared" si="46"/>
        <v>6.6558800000000007</v>
      </c>
      <c r="BE237">
        <f t="shared" si="47"/>
        <v>6.9426818692000012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0.69198599999999999</v>
      </c>
      <c r="H238" s="22">
        <v>39.495100000000001</v>
      </c>
      <c r="I238" s="22">
        <v>-1.6650399999999999E-2</v>
      </c>
      <c r="J238" s="22">
        <v>228</v>
      </c>
      <c r="K238" s="22">
        <v>0.69094800000000001</v>
      </c>
      <c r="L238">
        <f t="shared" si="36"/>
        <v>16.650399999999998</v>
      </c>
      <c r="M238">
        <f t="shared" si="37"/>
        <v>11.521843694399998</v>
      </c>
      <c r="N238" s="9"/>
      <c r="O238" s="22">
        <v>1.04813</v>
      </c>
      <c r="P238" s="22">
        <v>88.933499999999995</v>
      </c>
      <c r="Q238" s="22">
        <v>-1.6433699999999999E-2</v>
      </c>
      <c r="R238" s="22">
        <v>228</v>
      </c>
      <c r="S238" s="22">
        <v>1.0467500000000001</v>
      </c>
      <c r="T238">
        <f t="shared" si="38"/>
        <v>16.433699999999998</v>
      </c>
      <c r="U238">
        <f t="shared" si="39"/>
        <v>17.224653980999999</v>
      </c>
      <c r="X238" s="9"/>
      <c r="Y238" s="22">
        <v>0.69198599999999999</v>
      </c>
      <c r="Z238" s="22">
        <v>138.47900000000001</v>
      </c>
      <c r="AA238" s="22">
        <v>-1.72058E-2</v>
      </c>
      <c r="AB238" s="22">
        <v>228</v>
      </c>
      <c r="AC238" s="22">
        <v>0.69149799999999995</v>
      </c>
      <c r="AD238">
        <f t="shared" si="40"/>
        <v>17.2058</v>
      </c>
      <c r="AE238">
        <f t="shared" si="41"/>
        <v>11.906172718800001</v>
      </c>
      <c r="AF238" s="9"/>
      <c r="AG238" s="22">
        <v>1.04813</v>
      </c>
      <c r="AH238" s="22">
        <v>188.09299999999999</v>
      </c>
      <c r="AI238" s="22">
        <v>-1.6448999999999998E-2</v>
      </c>
      <c r="AJ238" s="22">
        <v>228</v>
      </c>
      <c r="AK238" s="22">
        <v>1.0467500000000001</v>
      </c>
      <c r="AL238">
        <f t="shared" si="42"/>
        <v>16.448999999999998</v>
      </c>
      <c r="AM238">
        <f t="shared" si="43"/>
        <v>17.240690369999999</v>
      </c>
      <c r="AP238" s="9"/>
      <c r="AQ238" s="22">
        <v>0.69198599999999999</v>
      </c>
      <c r="AR238" s="22">
        <v>237.71700000000001</v>
      </c>
      <c r="AS238" s="25">
        <v>3.5278299999999997E-5</v>
      </c>
      <c r="AT238" s="22">
        <v>228</v>
      </c>
      <c r="AU238" s="22">
        <v>7.8674300000000003E-2</v>
      </c>
      <c r="AV238">
        <f t="shared" si="44"/>
        <v>-3.5278299999999999E-2</v>
      </c>
      <c r="AW238">
        <f t="shared" si="45"/>
        <v>-2.4412089703799999E-2</v>
      </c>
      <c r="AX238" s="9"/>
      <c r="AY238" s="22">
        <v>1.04813</v>
      </c>
      <c r="AZ238" s="22">
        <v>253.77699999999999</v>
      </c>
      <c r="BA238" s="22">
        <v>-6.7413300000000002E-3</v>
      </c>
      <c r="BB238" s="22">
        <v>228</v>
      </c>
      <c r="BC238" s="22">
        <v>1.0473600000000001</v>
      </c>
      <c r="BD238">
        <f t="shared" si="46"/>
        <v>6.7413300000000005</v>
      </c>
      <c r="BE238">
        <f t="shared" si="47"/>
        <v>7.0657902129000005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0.68695099999999998</v>
      </c>
      <c r="H239" s="22">
        <v>39.505200000000002</v>
      </c>
      <c r="I239" s="22">
        <v>-1.6653399999999999E-2</v>
      </c>
      <c r="J239" s="22">
        <v>229</v>
      </c>
      <c r="K239" s="22">
        <v>0.68591299999999999</v>
      </c>
      <c r="L239">
        <f t="shared" si="36"/>
        <v>16.653399999999998</v>
      </c>
      <c r="M239">
        <f t="shared" si="37"/>
        <v>11.440069783399998</v>
      </c>
      <c r="N239" s="9"/>
      <c r="O239" s="22">
        <v>1.0531600000000001</v>
      </c>
      <c r="P239" s="22">
        <v>88.943600000000004</v>
      </c>
      <c r="Q239" s="22">
        <v>-1.6430699999999999E-2</v>
      </c>
      <c r="R239" s="22">
        <v>229</v>
      </c>
      <c r="S239" s="22">
        <v>1.0519400000000001</v>
      </c>
      <c r="T239">
        <f t="shared" si="38"/>
        <v>16.430699999999998</v>
      </c>
      <c r="U239">
        <f t="shared" si="39"/>
        <v>17.304156012</v>
      </c>
      <c r="X239" s="9"/>
      <c r="Y239" s="22">
        <v>0.68695099999999998</v>
      </c>
      <c r="Z239" s="22">
        <v>138.489</v>
      </c>
      <c r="AA239" s="22">
        <v>-1.7211899999999999E-2</v>
      </c>
      <c r="AB239" s="22">
        <v>229</v>
      </c>
      <c r="AC239" s="22">
        <v>0.68652299999999999</v>
      </c>
      <c r="AD239">
        <f t="shared" si="40"/>
        <v>17.2119</v>
      </c>
      <c r="AE239">
        <f t="shared" si="41"/>
        <v>11.8237319169</v>
      </c>
      <c r="AF239" s="9"/>
      <c r="AG239" s="22">
        <v>1.0531600000000001</v>
      </c>
      <c r="AH239" s="22">
        <v>188.10400000000001</v>
      </c>
      <c r="AI239" s="22">
        <v>-1.64429E-2</v>
      </c>
      <c r="AJ239" s="22">
        <v>229</v>
      </c>
      <c r="AK239" s="22">
        <v>1.0522499999999999</v>
      </c>
      <c r="AL239">
        <f t="shared" si="42"/>
        <v>16.442900000000002</v>
      </c>
      <c r="AM239">
        <f t="shared" si="43"/>
        <v>17.317004564000005</v>
      </c>
      <c r="AP239" s="9"/>
      <c r="AQ239" s="22">
        <v>0.68695099999999998</v>
      </c>
      <c r="AR239" s="22">
        <v>237.727</v>
      </c>
      <c r="AS239" s="25">
        <v>3.1829799999999998E-5</v>
      </c>
      <c r="AT239" s="22">
        <v>229</v>
      </c>
      <c r="AU239" s="22">
        <v>7.8704800000000005E-2</v>
      </c>
      <c r="AV239">
        <f t="shared" si="44"/>
        <v>-3.1829799999999998E-2</v>
      </c>
      <c r="AW239">
        <f t="shared" si="45"/>
        <v>-2.1865512939799998E-2</v>
      </c>
      <c r="AX239" s="9"/>
      <c r="AY239" s="22">
        <v>1.0531600000000001</v>
      </c>
      <c r="AZ239" s="22">
        <v>253.78700000000001</v>
      </c>
      <c r="BA239" s="22">
        <v>-6.7077600000000001E-3</v>
      </c>
      <c r="BB239" s="22">
        <v>229</v>
      </c>
      <c r="BC239" s="22">
        <v>1.0528599999999999</v>
      </c>
      <c r="BD239">
        <f t="shared" si="46"/>
        <v>6.7077600000000004</v>
      </c>
      <c r="BE239">
        <f t="shared" si="47"/>
        <v>7.0643445216000007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0.68191500000000005</v>
      </c>
      <c r="H240" s="22">
        <v>39.5152</v>
      </c>
      <c r="I240" s="22">
        <v>-1.6653399999999999E-2</v>
      </c>
      <c r="J240" s="22">
        <v>230</v>
      </c>
      <c r="K240" s="22">
        <v>0.68090799999999996</v>
      </c>
      <c r="L240">
        <f t="shared" si="36"/>
        <v>16.653399999999998</v>
      </c>
      <c r="M240">
        <f t="shared" si="37"/>
        <v>11.356203260999999</v>
      </c>
      <c r="N240" s="9"/>
      <c r="O240" s="22">
        <v>1.0582</v>
      </c>
      <c r="P240" s="22">
        <v>88.953699999999998</v>
      </c>
      <c r="Q240" s="22">
        <v>-1.6424600000000001E-2</v>
      </c>
      <c r="R240" s="22">
        <v>230</v>
      </c>
      <c r="S240" s="22">
        <v>1.0571299999999999</v>
      </c>
      <c r="T240">
        <f t="shared" si="38"/>
        <v>16.424600000000002</v>
      </c>
      <c r="U240">
        <f t="shared" si="39"/>
        <v>17.380511720000001</v>
      </c>
      <c r="X240" s="9"/>
      <c r="Y240" s="22">
        <v>0.68191500000000005</v>
      </c>
      <c r="Z240" s="22">
        <v>138.499</v>
      </c>
      <c r="AA240" s="22">
        <v>-1.7211899999999999E-2</v>
      </c>
      <c r="AB240" s="22">
        <v>230</v>
      </c>
      <c r="AC240" s="22">
        <v>0.68054199999999998</v>
      </c>
      <c r="AD240">
        <f t="shared" si="40"/>
        <v>17.2119</v>
      </c>
      <c r="AE240">
        <f t="shared" si="41"/>
        <v>11.737052788500002</v>
      </c>
      <c r="AF240" s="9"/>
      <c r="AG240" s="22">
        <v>1.0582</v>
      </c>
      <c r="AH240" s="22">
        <v>188.114</v>
      </c>
      <c r="AI240" s="22">
        <v>-1.6439800000000001E-2</v>
      </c>
      <c r="AJ240" s="22">
        <v>230</v>
      </c>
      <c r="AK240" s="22">
        <v>1.0571299999999999</v>
      </c>
      <c r="AL240">
        <f t="shared" si="42"/>
        <v>16.439800000000002</v>
      </c>
      <c r="AM240">
        <f t="shared" si="43"/>
        <v>17.396596360000004</v>
      </c>
      <c r="AP240" s="9"/>
      <c r="AQ240" s="22">
        <v>0.68191500000000005</v>
      </c>
      <c r="AR240" s="22">
        <v>237.73699999999999</v>
      </c>
      <c r="AS240" s="25">
        <v>3.3660900000000002E-5</v>
      </c>
      <c r="AT240" s="22">
        <v>230</v>
      </c>
      <c r="AU240" s="22">
        <v>7.8704800000000005E-2</v>
      </c>
      <c r="AV240">
        <f t="shared" si="44"/>
        <v>-3.3660900000000001E-2</v>
      </c>
      <c r="AW240">
        <f t="shared" si="45"/>
        <v>-2.2953872623500002E-2</v>
      </c>
      <c r="AX240" s="9"/>
      <c r="AY240" s="22">
        <v>1.0582</v>
      </c>
      <c r="AZ240" s="22">
        <v>253.797</v>
      </c>
      <c r="BA240" s="22">
        <v>-6.5856899999999999E-3</v>
      </c>
      <c r="BB240" s="22">
        <v>230</v>
      </c>
      <c r="BC240" s="22">
        <v>1.0574300000000001</v>
      </c>
      <c r="BD240">
        <f t="shared" si="46"/>
        <v>6.5856899999999996</v>
      </c>
      <c r="BE240">
        <f t="shared" si="47"/>
        <v>6.9689771579999995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0.67688000000000004</v>
      </c>
      <c r="H241" s="22">
        <v>39.525300000000001</v>
      </c>
      <c r="I241" s="22">
        <v>-1.6656500000000001E-2</v>
      </c>
      <c r="J241" s="22">
        <v>231</v>
      </c>
      <c r="K241" s="22">
        <v>0.67593400000000003</v>
      </c>
      <c r="L241">
        <f t="shared" si="36"/>
        <v>16.656500000000001</v>
      </c>
      <c r="M241">
        <f t="shared" si="37"/>
        <v>11.274451720000002</v>
      </c>
      <c r="N241" s="9"/>
      <c r="O241" s="22">
        <v>1.0632299999999999</v>
      </c>
      <c r="P241" s="22">
        <v>88.963700000000003</v>
      </c>
      <c r="Q241" s="22">
        <v>-1.6418499999999999E-2</v>
      </c>
      <c r="R241" s="22">
        <v>231</v>
      </c>
      <c r="S241" s="22">
        <v>1.0626199999999999</v>
      </c>
      <c r="T241">
        <f t="shared" si="38"/>
        <v>16.418499999999998</v>
      </c>
      <c r="U241">
        <f t="shared" si="39"/>
        <v>17.456641754999996</v>
      </c>
      <c r="X241" s="9"/>
      <c r="Y241" s="22">
        <v>0.67688000000000004</v>
      </c>
      <c r="Z241" s="22">
        <v>138.50899999999999</v>
      </c>
      <c r="AA241" s="22">
        <v>-1.7215000000000001E-2</v>
      </c>
      <c r="AB241" s="22">
        <v>231</v>
      </c>
      <c r="AC241" s="22">
        <v>0.67645299999999997</v>
      </c>
      <c r="AD241">
        <f t="shared" si="40"/>
        <v>17.215</v>
      </c>
      <c r="AE241">
        <f t="shared" si="41"/>
        <v>11.6524892</v>
      </c>
      <c r="AF241" s="9"/>
      <c r="AG241" s="22">
        <v>1.0632299999999999</v>
      </c>
      <c r="AH241" s="22">
        <v>188.124</v>
      </c>
      <c r="AI241" s="22">
        <v>-1.6436800000000001E-2</v>
      </c>
      <c r="AJ241" s="22">
        <v>231</v>
      </c>
      <c r="AK241" s="22">
        <v>1.0623199999999999</v>
      </c>
      <c r="AL241">
        <f t="shared" si="42"/>
        <v>16.436800000000002</v>
      </c>
      <c r="AM241">
        <f t="shared" si="43"/>
        <v>17.476098864000001</v>
      </c>
      <c r="AP241" s="9"/>
      <c r="AQ241" s="22">
        <v>0.67688000000000004</v>
      </c>
      <c r="AR241" s="22">
        <v>237.74700000000001</v>
      </c>
      <c r="AS241" s="25">
        <v>3.3599900000000003E-5</v>
      </c>
      <c r="AT241" s="22">
        <v>231</v>
      </c>
      <c r="AU241" s="22">
        <v>7.8735399999999997E-2</v>
      </c>
      <c r="AV241">
        <f t="shared" si="44"/>
        <v>-3.3599900000000002E-2</v>
      </c>
      <c r="AW241">
        <f t="shared" si="45"/>
        <v>-2.2743100312000001E-2</v>
      </c>
      <c r="AX241" s="9"/>
      <c r="AY241" s="22">
        <v>1.0632299999999999</v>
      </c>
      <c r="AZ241" s="22">
        <v>253.80699999999999</v>
      </c>
      <c r="BA241" s="22">
        <v>-6.6589400000000003E-3</v>
      </c>
      <c r="BB241" s="22">
        <v>231</v>
      </c>
      <c r="BC241" s="22">
        <v>1.0620099999999999</v>
      </c>
      <c r="BD241">
        <f t="shared" si="46"/>
        <v>6.6589400000000003</v>
      </c>
      <c r="BE241">
        <f t="shared" si="47"/>
        <v>7.0799847761999999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0.671844</v>
      </c>
      <c r="H242" s="22">
        <v>39.535400000000003</v>
      </c>
      <c r="I242" s="22">
        <v>-1.6665599999999999E-2</v>
      </c>
      <c r="J242" s="22">
        <v>232</v>
      </c>
      <c r="K242" s="22">
        <v>0.67089799999999999</v>
      </c>
      <c r="L242">
        <f t="shared" si="36"/>
        <v>16.665599999999998</v>
      </c>
      <c r="M242">
        <f t="shared" si="37"/>
        <v>11.196683366399999</v>
      </c>
      <c r="N242" s="9"/>
      <c r="O242" s="22">
        <v>1.0682700000000001</v>
      </c>
      <c r="P242" s="22">
        <v>88.973799999999997</v>
      </c>
      <c r="Q242" s="22">
        <v>-1.64154E-2</v>
      </c>
      <c r="R242" s="22">
        <v>232</v>
      </c>
      <c r="S242" s="22">
        <v>1.0668899999999999</v>
      </c>
      <c r="T242">
        <f t="shared" si="38"/>
        <v>16.415400000000002</v>
      </c>
      <c r="U242">
        <f t="shared" si="39"/>
        <v>17.536079358000002</v>
      </c>
      <c r="X242" s="9"/>
      <c r="Y242" s="22">
        <v>0.671844</v>
      </c>
      <c r="Z242" s="22">
        <v>138.51900000000001</v>
      </c>
      <c r="AA242" s="22">
        <v>-1.72211E-2</v>
      </c>
      <c r="AB242" s="22">
        <v>232</v>
      </c>
      <c r="AC242" s="22">
        <v>0.67117300000000002</v>
      </c>
      <c r="AD242">
        <f t="shared" si="40"/>
        <v>17.2211</v>
      </c>
      <c r="AE242">
        <f t="shared" si="41"/>
        <v>11.569892708399999</v>
      </c>
      <c r="AF242" s="9"/>
      <c r="AG242" s="22">
        <v>1.0682700000000001</v>
      </c>
      <c r="AH242" s="22">
        <v>188.13399999999999</v>
      </c>
      <c r="AI242" s="22">
        <v>-1.6439800000000001E-2</v>
      </c>
      <c r="AJ242" s="22">
        <v>232</v>
      </c>
      <c r="AK242" s="22">
        <v>1.0665899999999999</v>
      </c>
      <c r="AL242">
        <f t="shared" si="42"/>
        <v>16.439800000000002</v>
      </c>
      <c r="AM242">
        <f t="shared" si="43"/>
        <v>17.562145146000002</v>
      </c>
      <c r="AP242" s="9"/>
      <c r="AQ242" s="22">
        <v>0.671844</v>
      </c>
      <c r="AR242" s="22">
        <v>237.75700000000001</v>
      </c>
      <c r="AS242" s="25">
        <v>3.3691400000000001E-5</v>
      </c>
      <c r="AT242" s="22">
        <v>232</v>
      </c>
      <c r="AU242" s="22">
        <v>7.8704800000000005E-2</v>
      </c>
      <c r="AV242">
        <f t="shared" si="44"/>
        <v>-3.3691400000000003E-2</v>
      </c>
      <c r="AW242">
        <f t="shared" si="45"/>
        <v>-2.2635364941600001E-2</v>
      </c>
      <c r="AX242" s="9"/>
      <c r="AY242" s="22">
        <v>1.0682700000000001</v>
      </c>
      <c r="AZ242" s="22">
        <v>253.81700000000001</v>
      </c>
      <c r="BA242" s="22">
        <v>-6.7382800000000001E-3</v>
      </c>
      <c r="BB242" s="22">
        <v>232</v>
      </c>
      <c r="BC242" s="22">
        <v>1.0671999999999999</v>
      </c>
      <c r="BD242">
        <f t="shared" si="46"/>
        <v>6.7382800000000005</v>
      </c>
      <c r="BE242">
        <f t="shared" si="47"/>
        <v>7.1983023756000009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0.66680899999999999</v>
      </c>
      <c r="H243" s="22">
        <v>39.545499999999997</v>
      </c>
      <c r="I243" s="22">
        <v>-1.6668700000000002E-2</v>
      </c>
      <c r="J243" s="22">
        <v>233</v>
      </c>
      <c r="K243" s="22">
        <v>0.66598500000000005</v>
      </c>
      <c r="L243">
        <f t="shared" si="36"/>
        <v>16.668700000000001</v>
      </c>
      <c r="M243">
        <f t="shared" si="37"/>
        <v>11.1148391783</v>
      </c>
      <c r="N243" s="9"/>
      <c r="O243" s="22">
        <v>1.0732999999999999</v>
      </c>
      <c r="P243" s="22">
        <v>88.983900000000006</v>
      </c>
      <c r="Q243" s="22">
        <v>-1.6409300000000002E-2</v>
      </c>
      <c r="R243" s="22">
        <v>233</v>
      </c>
      <c r="S243" s="22">
        <v>1.07239</v>
      </c>
      <c r="T243">
        <f t="shared" si="38"/>
        <v>16.409300000000002</v>
      </c>
      <c r="U243">
        <f t="shared" si="39"/>
        <v>17.612101689999999</v>
      </c>
      <c r="X243" s="9"/>
      <c r="Y243" s="22">
        <v>0.66680899999999999</v>
      </c>
      <c r="Z243" s="22">
        <v>138.529</v>
      </c>
      <c r="AA243" s="22">
        <v>-1.72211E-2</v>
      </c>
      <c r="AB243" s="22">
        <v>233</v>
      </c>
      <c r="AC243" s="22">
        <v>0.66619899999999999</v>
      </c>
      <c r="AD243">
        <f t="shared" si="40"/>
        <v>17.2211</v>
      </c>
      <c r="AE243">
        <f t="shared" si="41"/>
        <v>11.483184469899999</v>
      </c>
      <c r="AF243" s="9"/>
      <c r="AG243" s="22">
        <v>1.0732999999999999</v>
      </c>
      <c r="AH243" s="22">
        <v>188.14400000000001</v>
      </c>
      <c r="AI243" s="22">
        <v>-1.6436800000000001E-2</v>
      </c>
      <c r="AJ243" s="22">
        <v>233</v>
      </c>
      <c r="AK243" s="22">
        <v>1.07239</v>
      </c>
      <c r="AL243">
        <f t="shared" si="42"/>
        <v>16.436800000000002</v>
      </c>
      <c r="AM243">
        <f t="shared" si="43"/>
        <v>17.641617440000001</v>
      </c>
      <c r="AP243" s="9"/>
      <c r="AQ243" s="22">
        <v>0.66680899999999999</v>
      </c>
      <c r="AR243" s="22">
        <v>237.767</v>
      </c>
      <c r="AS243" s="25">
        <v>3.71399E-5</v>
      </c>
      <c r="AT243" s="22">
        <v>233</v>
      </c>
      <c r="AU243" s="22">
        <v>7.8735399999999997E-2</v>
      </c>
      <c r="AV243">
        <f t="shared" si="44"/>
        <v>-3.7139899999999997E-2</v>
      </c>
      <c r="AW243">
        <f t="shared" si="45"/>
        <v>-2.4765219579099999E-2</v>
      </c>
      <c r="AX243" s="9"/>
      <c r="AY243" s="22">
        <v>1.0732999999999999</v>
      </c>
      <c r="AZ243" s="22">
        <v>253.827</v>
      </c>
      <c r="BA243" s="22">
        <v>-6.5612800000000001E-3</v>
      </c>
      <c r="BB243" s="22">
        <v>233</v>
      </c>
      <c r="BC243" s="22">
        <v>1.07178</v>
      </c>
      <c r="BD243">
        <f t="shared" si="46"/>
        <v>6.56128</v>
      </c>
      <c r="BE243">
        <f t="shared" si="47"/>
        <v>7.0422218239999994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0.66177399999999997</v>
      </c>
      <c r="H244" s="22">
        <v>39.555500000000002</v>
      </c>
      <c r="I244" s="22">
        <v>-1.6665599999999999E-2</v>
      </c>
      <c r="J244" s="22">
        <v>234</v>
      </c>
      <c r="K244" s="22">
        <v>0.66088899999999995</v>
      </c>
      <c r="L244">
        <f t="shared" si="36"/>
        <v>16.665599999999998</v>
      </c>
      <c r="M244">
        <f t="shared" si="37"/>
        <v>11.028860774399998</v>
      </c>
      <c r="N244" s="9"/>
      <c r="O244" s="22">
        <v>1.0783400000000001</v>
      </c>
      <c r="P244" s="22">
        <v>88.994</v>
      </c>
      <c r="Q244" s="22">
        <v>-1.6406299999999999E-2</v>
      </c>
      <c r="R244" s="22">
        <v>234</v>
      </c>
      <c r="S244" s="22">
        <v>1.07697</v>
      </c>
      <c r="T244">
        <f t="shared" si="38"/>
        <v>16.406299999999998</v>
      </c>
      <c r="U244">
        <f t="shared" si="39"/>
        <v>17.691569542</v>
      </c>
      <c r="X244" s="9"/>
      <c r="Y244" s="22">
        <v>0.66177399999999997</v>
      </c>
      <c r="Z244" s="22">
        <v>138.53899999999999</v>
      </c>
      <c r="AA244" s="22">
        <v>-1.72211E-2</v>
      </c>
      <c r="AB244" s="22">
        <v>234</v>
      </c>
      <c r="AC244" s="22">
        <v>0.66067500000000001</v>
      </c>
      <c r="AD244">
        <f t="shared" si="40"/>
        <v>17.2211</v>
      </c>
      <c r="AE244">
        <f t="shared" si="41"/>
        <v>11.396476231399999</v>
      </c>
      <c r="AF244" s="9"/>
      <c r="AG244" s="22">
        <v>1.0783400000000001</v>
      </c>
      <c r="AH244" s="22">
        <v>188.154</v>
      </c>
      <c r="AI244" s="22">
        <v>-1.6430699999999999E-2</v>
      </c>
      <c r="AJ244" s="22">
        <v>234</v>
      </c>
      <c r="AK244" s="22">
        <v>1.07758</v>
      </c>
      <c r="AL244">
        <f t="shared" si="42"/>
        <v>16.430699999999998</v>
      </c>
      <c r="AM244">
        <f t="shared" si="43"/>
        <v>17.717881037999998</v>
      </c>
      <c r="AP244" s="9"/>
      <c r="AQ244" s="22">
        <v>0.66177399999999997</v>
      </c>
      <c r="AR244" s="22">
        <v>237.77699999999999</v>
      </c>
      <c r="AS244" s="25">
        <v>5.00793E-5</v>
      </c>
      <c r="AT244" s="22">
        <v>234</v>
      </c>
      <c r="AU244" s="22">
        <v>7.8704800000000005E-2</v>
      </c>
      <c r="AV244">
        <f t="shared" si="44"/>
        <v>-5.00793E-2</v>
      </c>
      <c r="AW244">
        <f t="shared" si="45"/>
        <v>-3.3141178678199996E-2</v>
      </c>
      <c r="AX244" s="9"/>
      <c r="AY244" s="22">
        <v>1.0783400000000001</v>
      </c>
      <c r="AZ244" s="22">
        <v>253.83699999999999</v>
      </c>
      <c r="BA244" s="22">
        <v>-6.55823E-3</v>
      </c>
      <c r="BB244" s="22">
        <v>234</v>
      </c>
      <c r="BC244" s="22">
        <v>1.0772699999999999</v>
      </c>
      <c r="BD244">
        <f t="shared" si="46"/>
        <v>6.55823</v>
      </c>
      <c r="BE244">
        <f t="shared" si="47"/>
        <v>7.0720017382000009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0.65673800000000004</v>
      </c>
      <c r="H245" s="22">
        <v>39.565600000000003</v>
      </c>
      <c r="I245" s="22">
        <v>-1.6668700000000002E-2</v>
      </c>
      <c r="J245" s="22">
        <v>235</v>
      </c>
      <c r="K245" s="22">
        <v>0.65566999999999998</v>
      </c>
      <c r="L245">
        <f t="shared" si="36"/>
        <v>16.668700000000001</v>
      </c>
      <c r="M245">
        <f t="shared" si="37"/>
        <v>10.946968700600001</v>
      </c>
      <c r="N245" s="9"/>
      <c r="O245" s="22">
        <v>1.0833699999999999</v>
      </c>
      <c r="P245" s="22">
        <v>89.004000000000005</v>
      </c>
      <c r="Q245" s="22">
        <v>-1.6400100000000001E-2</v>
      </c>
      <c r="R245" s="22">
        <v>235</v>
      </c>
      <c r="S245" s="22">
        <v>1.08185</v>
      </c>
      <c r="T245">
        <f t="shared" si="38"/>
        <v>16.400100000000002</v>
      </c>
      <c r="U245">
        <f t="shared" si="39"/>
        <v>17.767376337000002</v>
      </c>
      <c r="X245" s="9"/>
      <c r="Y245" s="22">
        <v>0.65673800000000004</v>
      </c>
      <c r="Z245" s="22">
        <v>138.54900000000001</v>
      </c>
      <c r="AA245" s="22">
        <v>-1.7224099999999999E-2</v>
      </c>
      <c r="AB245" s="22">
        <v>235</v>
      </c>
      <c r="AC245" s="22">
        <v>0.656555</v>
      </c>
      <c r="AD245">
        <f t="shared" si="40"/>
        <v>17.2241</v>
      </c>
      <c r="AE245">
        <f t="shared" si="41"/>
        <v>11.311720985800001</v>
      </c>
      <c r="AF245" s="9"/>
      <c r="AG245" s="22">
        <v>1.0833699999999999</v>
      </c>
      <c r="AH245" s="22">
        <v>188.16399999999999</v>
      </c>
      <c r="AI245" s="22">
        <v>-1.6430699999999999E-2</v>
      </c>
      <c r="AJ245" s="22">
        <v>235</v>
      </c>
      <c r="AK245" s="22">
        <v>1.08246</v>
      </c>
      <c r="AL245">
        <f t="shared" si="42"/>
        <v>16.430699999999998</v>
      </c>
      <c r="AM245">
        <f t="shared" si="43"/>
        <v>17.800527458999998</v>
      </c>
      <c r="AP245" s="9"/>
      <c r="AQ245" s="22">
        <v>0.65673800000000004</v>
      </c>
      <c r="AR245" s="22">
        <v>237.78700000000001</v>
      </c>
      <c r="AS245" s="25">
        <v>2.5207499999999999E-5</v>
      </c>
      <c r="AT245" s="22">
        <v>235</v>
      </c>
      <c r="AU245" s="22">
        <v>7.8704800000000005E-2</v>
      </c>
      <c r="AV245">
        <f t="shared" si="44"/>
        <v>-2.5207499999999997E-2</v>
      </c>
      <c r="AW245">
        <f t="shared" si="45"/>
        <v>-1.6554723134999998E-2</v>
      </c>
      <c r="AX245" s="9"/>
      <c r="AY245" s="22">
        <v>1.0833699999999999</v>
      </c>
      <c r="AZ245" s="22">
        <v>253.84700000000001</v>
      </c>
      <c r="BA245" s="22">
        <v>-6.5429700000000004E-3</v>
      </c>
      <c r="BB245" s="22">
        <v>235</v>
      </c>
      <c r="BC245" s="22">
        <v>1.0821499999999999</v>
      </c>
      <c r="BD245">
        <f t="shared" si="46"/>
        <v>6.5429700000000004</v>
      </c>
      <c r="BE245">
        <f t="shared" si="47"/>
        <v>7.0884574089000001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0.65170300000000003</v>
      </c>
      <c r="H246" s="22">
        <v>39.575699999999998</v>
      </c>
      <c r="I246" s="22">
        <v>-1.6671800000000001E-2</v>
      </c>
      <c r="J246" s="22">
        <v>236</v>
      </c>
      <c r="K246" s="22">
        <v>0.65066500000000005</v>
      </c>
      <c r="L246">
        <f t="shared" si="36"/>
        <v>16.671800000000001</v>
      </c>
      <c r="M246">
        <f t="shared" si="37"/>
        <v>10.865062075400001</v>
      </c>
      <c r="N246" s="9"/>
      <c r="O246" s="22">
        <v>1.0884100000000001</v>
      </c>
      <c r="P246" s="22">
        <v>89.014099999999999</v>
      </c>
      <c r="Q246" s="22">
        <v>-1.6393999999999999E-2</v>
      </c>
      <c r="R246" s="22">
        <v>236</v>
      </c>
      <c r="S246" s="22">
        <v>1.08734</v>
      </c>
      <c r="T246">
        <f t="shared" si="38"/>
        <v>16.393999999999998</v>
      </c>
      <c r="U246">
        <f t="shared" si="39"/>
        <v>17.843393540000001</v>
      </c>
      <c r="X246" s="9"/>
      <c r="Y246" s="22">
        <v>0.65170300000000003</v>
      </c>
      <c r="Z246" s="22">
        <v>138.56</v>
      </c>
      <c r="AA246" s="22">
        <v>-1.7230200000000001E-2</v>
      </c>
      <c r="AB246" s="22">
        <v>236</v>
      </c>
      <c r="AC246" s="22">
        <v>0.65100100000000005</v>
      </c>
      <c r="AD246">
        <f t="shared" si="40"/>
        <v>17.2302</v>
      </c>
      <c r="AE246">
        <f t="shared" si="41"/>
        <v>11.228973030600001</v>
      </c>
      <c r="AF246" s="9"/>
      <c r="AG246" s="22">
        <v>1.0884100000000001</v>
      </c>
      <c r="AH246" s="22">
        <v>188.17400000000001</v>
      </c>
      <c r="AI246" s="22">
        <v>-1.6427600000000001E-2</v>
      </c>
      <c r="AJ246" s="22">
        <v>236</v>
      </c>
      <c r="AK246" s="22">
        <v>1.08673</v>
      </c>
      <c r="AL246">
        <f t="shared" si="42"/>
        <v>16.427600000000002</v>
      </c>
      <c r="AM246">
        <f t="shared" si="43"/>
        <v>17.879964116000004</v>
      </c>
      <c r="AP246" s="9"/>
      <c r="AQ246" s="22">
        <v>0.65170300000000003</v>
      </c>
      <c r="AR246" s="22">
        <v>237.797</v>
      </c>
      <c r="AS246" s="25">
        <v>2.50244E-5</v>
      </c>
      <c r="AT246" s="22">
        <v>236</v>
      </c>
      <c r="AU246" s="22">
        <v>7.8704800000000005E-2</v>
      </c>
      <c r="AV246">
        <f t="shared" si="44"/>
        <v>-2.5024400000000002E-2</v>
      </c>
      <c r="AW246">
        <f t="shared" si="45"/>
        <v>-1.6308476553200002E-2</v>
      </c>
      <c r="AX246" s="9"/>
      <c r="AY246" s="22">
        <v>1.0884100000000001</v>
      </c>
      <c r="AZ246" s="22">
        <v>253.857</v>
      </c>
      <c r="BA246" s="22">
        <v>-6.6253700000000002E-3</v>
      </c>
      <c r="BB246" s="22">
        <v>236</v>
      </c>
      <c r="BC246" s="22">
        <v>1.08704</v>
      </c>
      <c r="BD246">
        <f t="shared" si="46"/>
        <v>6.6253700000000002</v>
      </c>
      <c r="BE246">
        <f t="shared" si="47"/>
        <v>7.2111189617000004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0.64666699999999999</v>
      </c>
      <c r="H247" s="22">
        <v>39.585700000000003</v>
      </c>
      <c r="I247" s="22">
        <v>-1.6677899999999999E-2</v>
      </c>
      <c r="J247" s="22">
        <v>237</v>
      </c>
      <c r="K247" s="22">
        <v>0.64581299999999997</v>
      </c>
      <c r="L247">
        <f t="shared" si="36"/>
        <v>16.677899999999998</v>
      </c>
      <c r="M247">
        <f t="shared" si="37"/>
        <v>10.785047559299999</v>
      </c>
      <c r="N247" s="9"/>
      <c r="O247" s="22">
        <v>1.09344</v>
      </c>
      <c r="P247" s="22">
        <v>89.024199999999993</v>
      </c>
      <c r="Q247" s="22">
        <v>-1.6393999999999999E-2</v>
      </c>
      <c r="R247" s="22">
        <v>237</v>
      </c>
      <c r="S247" s="22">
        <v>1.09283</v>
      </c>
      <c r="T247">
        <f t="shared" si="38"/>
        <v>16.393999999999998</v>
      </c>
      <c r="U247">
        <f t="shared" si="39"/>
        <v>17.925855359999996</v>
      </c>
      <c r="X247" s="9"/>
      <c r="Y247" s="22">
        <v>0.64666699999999999</v>
      </c>
      <c r="Z247" s="22">
        <v>138.57</v>
      </c>
      <c r="AA247" s="22">
        <v>-1.7242400000000001E-2</v>
      </c>
      <c r="AB247" s="22">
        <v>237</v>
      </c>
      <c r="AC247" s="22">
        <v>0.64596600000000004</v>
      </c>
      <c r="AD247">
        <f t="shared" si="40"/>
        <v>17.2424</v>
      </c>
      <c r="AE247">
        <f t="shared" si="41"/>
        <v>11.150091080799999</v>
      </c>
      <c r="AF247" s="9"/>
      <c r="AG247" s="22">
        <v>1.09344</v>
      </c>
      <c r="AH247" s="22">
        <v>188.184</v>
      </c>
      <c r="AI247" s="22">
        <v>-1.6421499999999999E-2</v>
      </c>
      <c r="AJ247" s="22">
        <v>237</v>
      </c>
      <c r="AK247" s="22">
        <v>1.09192</v>
      </c>
      <c r="AL247">
        <f t="shared" si="42"/>
        <v>16.421499999999998</v>
      </c>
      <c r="AM247">
        <f t="shared" si="43"/>
        <v>17.955924959999997</v>
      </c>
      <c r="AP247" s="9"/>
      <c r="AQ247" s="22">
        <v>0.64666699999999999</v>
      </c>
      <c r="AR247" s="22">
        <v>237.80699999999999</v>
      </c>
      <c r="AS247" s="25">
        <v>2.7893099999999999E-5</v>
      </c>
      <c r="AT247" s="22">
        <v>237</v>
      </c>
      <c r="AU247" s="22">
        <v>7.8796400000000003E-2</v>
      </c>
      <c r="AV247">
        <f t="shared" si="44"/>
        <v>-2.7893100000000001E-2</v>
      </c>
      <c r="AW247">
        <f t="shared" si="45"/>
        <v>-1.8037547297700001E-2</v>
      </c>
      <c r="AX247" s="9"/>
      <c r="AY247" s="22">
        <v>1.09344</v>
      </c>
      <c r="AZ247" s="22">
        <v>253.86699999999999</v>
      </c>
      <c r="BA247" s="22">
        <v>-6.6955599999999997E-3</v>
      </c>
      <c r="BB247" s="22">
        <v>237</v>
      </c>
      <c r="BC247" s="22">
        <v>1.09222</v>
      </c>
      <c r="BD247">
        <f t="shared" si="46"/>
        <v>6.6955599999999995</v>
      </c>
      <c r="BE247">
        <f t="shared" si="47"/>
        <v>7.321193126399999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0.64163199999999998</v>
      </c>
      <c r="H248" s="22">
        <v>39.595799999999997</v>
      </c>
      <c r="I248" s="22">
        <v>-1.6680899999999999E-2</v>
      </c>
      <c r="J248" s="22">
        <v>238</v>
      </c>
      <c r="K248" s="22">
        <v>0.64074699999999996</v>
      </c>
      <c r="L248">
        <f t="shared" si="36"/>
        <v>16.680899999999998</v>
      </c>
      <c r="M248">
        <f t="shared" si="37"/>
        <v>10.702999228799998</v>
      </c>
      <c r="N248" s="9"/>
      <c r="O248" s="22">
        <v>1.0984799999999999</v>
      </c>
      <c r="P248" s="22">
        <v>89.034199999999998</v>
      </c>
      <c r="Q248" s="22">
        <v>-1.6393999999999999E-2</v>
      </c>
      <c r="R248" s="22">
        <v>238</v>
      </c>
      <c r="S248" s="22">
        <v>1.09741</v>
      </c>
      <c r="T248">
        <f t="shared" si="38"/>
        <v>16.393999999999998</v>
      </c>
      <c r="U248">
        <f t="shared" si="39"/>
        <v>18.008481119999995</v>
      </c>
      <c r="X248" s="9"/>
      <c r="Y248" s="22">
        <v>0.64163199999999998</v>
      </c>
      <c r="Z248" s="22">
        <v>138.58000000000001</v>
      </c>
      <c r="AA248" s="22">
        <v>-1.72455E-2</v>
      </c>
      <c r="AB248" s="22">
        <v>238</v>
      </c>
      <c r="AC248" s="22">
        <v>0.64090000000000003</v>
      </c>
      <c r="AD248">
        <f t="shared" si="40"/>
        <v>17.2455</v>
      </c>
      <c r="AE248">
        <f t="shared" si="41"/>
        <v>11.065264656</v>
      </c>
      <c r="AF248" s="9"/>
      <c r="AG248" s="22">
        <v>1.0984799999999999</v>
      </c>
      <c r="AH248" s="22">
        <v>188.19399999999999</v>
      </c>
      <c r="AI248" s="22">
        <v>-1.64154E-2</v>
      </c>
      <c r="AJ248" s="22">
        <v>238</v>
      </c>
      <c r="AK248" s="22">
        <v>1.09833</v>
      </c>
      <c r="AL248">
        <f t="shared" si="42"/>
        <v>16.415400000000002</v>
      </c>
      <c r="AM248">
        <f t="shared" si="43"/>
        <v>18.031988592000001</v>
      </c>
      <c r="AP248" s="9"/>
      <c r="AQ248" s="22">
        <v>0.64163199999999998</v>
      </c>
      <c r="AR248" s="22">
        <v>237.81800000000001</v>
      </c>
      <c r="AS248" s="25">
        <v>2.8137199999999999E-5</v>
      </c>
      <c r="AT248" s="22">
        <v>238</v>
      </c>
      <c r="AU248" s="22">
        <v>7.8704800000000005E-2</v>
      </c>
      <c r="AV248">
        <f t="shared" si="44"/>
        <v>-2.8137199999999998E-2</v>
      </c>
      <c r="AW248">
        <f t="shared" si="45"/>
        <v>-1.8053727910399997E-2</v>
      </c>
      <c r="AX248" s="9"/>
      <c r="AY248" s="22">
        <v>1.0984799999999999</v>
      </c>
      <c r="AZ248" s="22">
        <v>253.87700000000001</v>
      </c>
      <c r="BA248" s="22">
        <v>-6.6406299999999998E-3</v>
      </c>
      <c r="BB248" s="22">
        <v>238</v>
      </c>
      <c r="BC248" s="22">
        <v>1.09741</v>
      </c>
      <c r="BD248">
        <f t="shared" si="46"/>
        <v>6.6406299999999998</v>
      </c>
      <c r="BE248">
        <f t="shared" si="47"/>
        <v>7.2945992423999995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0.63659699999999997</v>
      </c>
      <c r="H249" s="22">
        <v>39.605899999999998</v>
      </c>
      <c r="I249" s="22">
        <v>-1.6684000000000001E-2</v>
      </c>
      <c r="J249" s="22">
        <v>239</v>
      </c>
      <c r="K249" s="22">
        <v>0.63580300000000001</v>
      </c>
      <c r="L249">
        <f t="shared" si="36"/>
        <v>16.684000000000001</v>
      </c>
      <c r="M249">
        <f t="shared" si="37"/>
        <v>10.620984348</v>
      </c>
      <c r="N249" s="9"/>
      <c r="O249" s="22">
        <v>1.1035200000000001</v>
      </c>
      <c r="P249" s="22">
        <v>89.044300000000007</v>
      </c>
      <c r="Q249" s="22">
        <v>-1.6390999999999999E-2</v>
      </c>
      <c r="R249" s="22">
        <v>239</v>
      </c>
      <c r="S249" s="22">
        <v>1.10229</v>
      </c>
      <c r="T249">
        <f t="shared" si="38"/>
        <v>16.390999999999998</v>
      </c>
      <c r="U249">
        <f t="shared" si="39"/>
        <v>18.087796319999999</v>
      </c>
      <c r="X249" s="9"/>
      <c r="Y249" s="22">
        <v>0.63659699999999997</v>
      </c>
      <c r="Z249" s="22">
        <v>138.59</v>
      </c>
      <c r="AA249" s="22">
        <v>-1.7263799999999999E-2</v>
      </c>
      <c r="AB249" s="22">
        <v>239</v>
      </c>
      <c r="AC249" s="22">
        <v>0.63613900000000001</v>
      </c>
      <c r="AD249">
        <f t="shared" si="40"/>
        <v>17.2638</v>
      </c>
      <c r="AE249">
        <f t="shared" si="41"/>
        <v>10.990083288599999</v>
      </c>
      <c r="AF249" s="9"/>
      <c r="AG249" s="22">
        <v>1.1035200000000001</v>
      </c>
      <c r="AH249" s="22">
        <v>188.20400000000001</v>
      </c>
      <c r="AI249" s="22">
        <v>-1.6409300000000002E-2</v>
      </c>
      <c r="AJ249" s="22">
        <v>239</v>
      </c>
      <c r="AK249" s="22">
        <v>1.1026</v>
      </c>
      <c r="AL249">
        <f t="shared" si="42"/>
        <v>16.409300000000002</v>
      </c>
      <c r="AM249">
        <f t="shared" si="43"/>
        <v>18.107990736000001</v>
      </c>
      <c r="AP249" s="9"/>
      <c r="AQ249" s="22">
        <v>0.63659699999999997</v>
      </c>
      <c r="AR249" s="22">
        <v>237.828</v>
      </c>
      <c r="AS249" s="25">
        <v>2.73743E-5</v>
      </c>
      <c r="AT249" s="22">
        <v>239</v>
      </c>
      <c r="AU249" s="22">
        <v>7.8674300000000003E-2</v>
      </c>
      <c r="AV249">
        <f t="shared" si="44"/>
        <v>-2.7374300000000001E-2</v>
      </c>
      <c r="AW249">
        <f t="shared" si="45"/>
        <v>-1.7426397257100001E-2</v>
      </c>
      <c r="AX249" s="9"/>
      <c r="AY249" s="22">
        <v>1.1035200000000001</v>
      </c>
      <c r="AZ249" s="22">
        <v>253.887</v>
      </c>
      <c r="BA249" s="22">
        <v>-6.6223100000000002E-3</v>
      </c>
      <c r="BB249" s="22">
        <v>239</v>
      </c>
      <c r="BC249" s="22">
        <v>1.1026</v>
      </c>
      <c r="BD249">
        <f t="shared" si="46"/>
        <v>6.6223100000000006</v>
      </c>
      <c r="BE249">
        <f t="shared" si="47"/>
        <v>7.3078515312000007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0.63156100000000004</v>
      </c>
      <c r="H250" s="22">
        <v>39.616</v>
      </c>
      <c r="I250" s="22">
        <v>-1.6687E-2</v>
      </c>
      <c r="J250" s="22">
        <v>240</v>
      </c>
      <c r="K250" s="22">
        <v>0.63064600000000004</v>
      </c>
      <c r="L250">
        <f t="shared" si="36"/>
        <v>16.687000000000001</v>
      </c>
      <c r="M250">
        <f t="shared" si="37"/>
        <v>10.538858407000001</v>
      </c>
      <c r="N250" s="9"/>
      <c r="O250" s="22">
        <v>1.1085499999999999</v>
      </c>
      <c r="P250" s="22">
        <v>89.054400000000001</v>
      </c>
      <c r="Q250" s="22">
        <v>-1.63879E-2</v>
      </c>
      <c r="R250" s="22">
        <v>240</v>
      </c>
      <c r="S250" s="22">
        <v>1.1071800000000001</v>
      </c>
      <c r="T250">
        <f t="shared" si="38"/>
        <v>16.387900000000002</v>
      </c>
      <c r="U250">
        <f t="shared" si="39"/>
        <v>18.166806545</v>
      </c>
      <c r="X250" s="9"/>
      <c r="Y250" s="22">
        <v>0.63156100000000004</v>
      </c>
      <c r="Z250" s="22">
        <v>138.6</v>
      </c>
      <c r="AA250" s="22">
        <v>-1.7263799999999999E-2</v>
      </c>
      <c r="AB250" s="22">
        <v>240</v>
      </c>
      <c r="AC250" s="22">
        <v>0.63092000000000004</v>
      </c>
      <c r="AD250">
        <f t="shared" si="40"/>
        <v>17.2638</v>
      </c>
      <c r="AE250">
        <f t="shared" si="41"/>
        <v>10.903142791800001</v>
      </c>
      <c r="AF250" s="9"/>
      <c r="AG250" s="22">
        <v>1.1085499999999999</v>
      </c>
      <c r="AH250" s="22">
        <v>188.214</v>
      </c>
      <c r="AI250" s="22">
        <v>-1.64032E-2</v>
      </c>
      <c r="AJ250" s="22">
        <v>240</v>
      </c>
      <c r="AK250" s="22">
        <v>1.10748</v>
      </c>
      <c r="AL250">
        <f t="shared" si="42"/>
        <v>16.403199999999998</v>
      </c>
      <c r="AM250">
        <f t="shared" si="43"/>
        <v>18.183767359999997</v>
      </c>
      <c r="AP250" s="9"/>
      <c r="AQ250" s="22">
        <v>0.63156100000000004</v>
      </c>
      <c r="AR250" s="22">
        <v>237.83799999999999</v>
      </c>
      <c r="AS250" s="25">
        <v>2.6458700000000001E-5</v>
      </c>
      <c r="AT250" s="22">
        <v>240</v>
      </c>
      <c r="AU250" s="22">
        <v>7.8704800000000005E-2</v>
      </c>
      <c r="AV250">
        <f t="shared" si="44"/>
        <v>-2.6458700000000002E-2</v>
      </c>
      <c r="AW250">
        <f t="shared" si="45"/>
        <v>-1.6710283030700001E-2</v>
      </c>
      <c r="AX250" s="9"/>
      <c r="AY250" s="22">
        <v>1.1085499999999999</v>
      </c>
      <c r="AZ250" s="22">
        <v>253.898</v>
      </c>
      <c r="BA250" s="22">
        <v>-6.7382800000000001E-3</v>
      </c>
      <c r="BB250" s="22">
        <v>240</v>
      </c>
      <c r="BC250" s="22">
        <v>1.10748</v>
      </c>
      <c r="BD250">
        <f t="shared" si="46"/>
        <v>6.7382800000000005</v>
      </c>
      <c r="BE250">
        <f t="shared" si="47"/>
        <v>7.469720294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0.62652600000000003</v>
      </c>
      <c r="H251" s="22">
        <v>39.625999999999998</v>
      </c>
      <c r="I251" s="22">
        <v>-1.6687E-2</v>
      </c>
      <c r="J251" s="22">
        <v>241</v>
      </c>
      <c r="K251" s="22">
        <v>0.62567099999999998</v>
      </c>
      <c r="L251">
        <f t="shared" si="36"/>
        <v>16.687000000000001</v>
      </c>
      <c r="M251">
        <f t="shared" si="37"/>
        <v>10.454839362000001</v>
      </c>
      <c r="N251" s="9"/>
      <c r="O251" s="22">
        <v>1.1135900000000001</v>
      </c>
      <c r="P251" s="22">
        <v>89.064499999999995</v>
      </c>
      <c r="Q251" s="22">
        <v>-1.6378799999999999E-2</v>
      </c>
      <c r="R251" s="22">
        <v>241</v>
      </c>
      <c r="S251" s="22">
        <v>1.1129800000000001</v>
      </c>
      <c r="T251">
        <f t="shared" si="38"/>
        <v>16.378799999999998</v>
      </c>
      <c r="U251">
        <f t="shared" si="39"/>
        <v>18.239267892000001</v>
      </c>
      <c r="X251" s="9"/>
      <c r="Y251" s="22">
        <v>0.62652600000000003</v>
      </c>
      <c r="Z251" s="22">
        <v>138.61000000000001</v>
      </c>
      <c r="AA251" s="22">
        <v>-1.7263799999999999E-2</v>
      </c>
      <c r="AB251" s="22">
        <v>241</v>
      </c>
      <c r="AC251" s="22">
        <v>0.62558000000000002</v>
      </c>
      <c r="AD251">
        <f t="shared" si="40"/>
        <v>17.2638</v>
      </c>
      <c r="AE251">
        <f t="shared" si="41"/>
        <v>10.8162195588</v>
      </c>
      <c r="AF251" s="9"/>
      <c r="AG251" s="22">
        <v>1.1135900000000001</v>
      </c>
      <c r="AH251" s="22">
        <v>188.22399999999999</v>
      </c>
      <c r="AI251" s="22">
        <v>-1.6400100000000001E-2</v>
      </c>
      <c r="AJ251" s="22">
        <v>241</v>
      </c>
      <c r="AK251" s="22">
        <v>1.1123700000000001</v>
      </c>
      <c r="AL251">
        <f t="shared" si="42"/>
        <v>16.400100000000002</v>
      </c>
      <c r="AM251">
        <f t="shared" si="43"/>
        <v>18.262987359000004</v>
      </c>
      <c r="AP251" s="9"/>
      <c r="AQ251" s="22">
        <v>0.62652600000000003</v>
      </c>
      <c r="AR251" s="22">
        <v>237.84800000000001</v>
      </c>
      <c r="AS251" s="25">
        <v>2.8045700000000002E-5</v>
      </c>
      <c r="AT251" s="22">
        <v>241</v>
      </c>
      <c r="AU251" s="22">
        <v>7.8704800000000005E-2</v>
      </c>
      <c r="AV251">
        <f t="shared" si="44"/>
        <v>-2.80457E-2</v>
      </c>
      <c r="AW251">
        <f t="shared" si="45"/>
        <v>-1.7571360238199999E-2</v>
      </c>
      <c r="AX251" s="9"/>
      <c r="AY251" s="22">
        <v>1.1135900000000001</v>
      </c>
      <c r="AZ251" s="22">
        <v>253.90799999999999</v>
      </c>
      <c r="BA251" s="22">
        <v>-6.7871099999999998E-3</v>
      </c>
      <c r="BB251" s="22">
        <v>241</v>
      </c>
      <c r="BC251" s="22">
        <v>1.1123700000000001</v>
      </c>
      <c r="BD251">
        <f t="shared" si="46"/>
        <v>6.7871100000000002</v>
      </c>
      <c r="BE251">
        <f t="shared" si="47"/>
        <v>7.5580578249000006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0.62148999999999999</v>
      </c>
      <c r="H252" s="22">
        <v>39.636099999999999</v>
      </c>
      <c r="I252" s="22">
        <v>-1.6687E-2</v>
      </c>
      <c r="J252" s="22">
        <v>242</v>
      </c>
      <c r="K252" s="22">
        <v>0.62045300000000003</v>
      </c>
      <c r="L252">
        <f t="shared" si="36"/>
        <v>16.687000000000001</v>
      </c>
      <c r="M252">
        <f t="shared" si="37"/>
        <v>10.370803630000001</v>
      </c>
      <c r="N252" s="9"/>
      <c r="O252" s="22">
        <v>1.1186199999999999</v>
      </c>
      <c r="P252" s="22">
        <v>89.0745</v>
      </c>
      <c r="Q252" s="22">
        <v>-1.63757E-2</v>
      </c>
      <c r="R252" s="22">
        <v>242</v>
      </c>
      <c r="S252" s="22">
        <v>1.11755</v>
      </c>
      <c r="T252">
        <f t="shared" si="38"/>
        <v>16.375699999999998</v>
      </c>
      <c r="U252">
        <f t="shared" si="39"/>
        <v>18.318185533999998</v>
      </c>
      <c r="X252" s="9"/>
      <c r="Y252" s="22">
        <v>0.62148999999999999</v>
      </c>
      <c r="Z252" s="22">
        <v>138.62</v>
      </c>
      <c r="AA252" s="22">
        <v>-1.7266799999999999E-2</v>
      </c>
      <c r="AB252" s="22">
        <v>242</v>
      </c>
      <c r="AC252" s="22">
        <v>0.62069700000000005</v>
      </c>
      <c r="AD252">
        <f t="shared" si="40"/>
        <v>17.2668</v>
      </c>
      <c r="AE252">
        <f t="shared" si="41"/>
        <v>10.731143531999999</v>
      </c>
      <c r="AF252" s="9"/>
      <c r="AG252" s="22">
        <v>1.1186199999999999</v>
      </c>
      <c r="AH252" s="22">
        <v>188.23400000000001</v>
      </c>
      <c r="AI252" s="22">
        <v>-1.6393999999999999E-2</v>
      </c>
      <c r="AJ252" s="22">
        <v>242</v>
      </c>
      <c r="AK252" s="22">
        <v>1.1178600000000001</v>
      </c>
      <c r="AL252">
        <f t="shared" si="42"/>
        <v>16.393999999999998</v>
      </c>
      <c r="AM252">
        <f t="shared" si="43"/>
        <v>18.338656279999999</v>
      </c>
      <c r="AP252" s="9"/>
      <c r="AQ252" s="22">
        <v>0.62148999999999999</v>
      </c>
      <c r="AR252" s="22">
        <v>237.858</v>
      </c>
      <c r="AS252" s="25">
        <v>2.7069100000000001E-5</v>
      </c>
      <c r="AT252" s="22">
        <v>242</v>
      </c>
      <c r="AU252" s="22">
        <v>7.8735399999999997E-2</v>
      </c>
      <c r="AV252">
        <f t="shared" si="44"/>
        <v>-2.7069100000000002E-2</v>
      </c>
      <c r="AW252">
        <f t="shared" si="45"/>
        <v>-1.6823174959000001E-2</v>
      </c>
      <c r="AX252" s="9"/>
      <c r="AY252" s="22">
        <v>1.1186199999999999</v>
      </c>
      <c r="AZ252" s="22">
        <v>253.91800000000001</v>
      </c>
      <c r="BA252" s="22">
        <v>-6.8939200000000004E-3</v>
      </c>
      <c r="BB252" s="22">
        <v>242</v>
      </c>
      <c r="BC252" s="22">
        <v>1.1178600000000001</v>
      </c>
      <c r="BD252">
        <f t="shared" si="46"/>
        <v>6.8939200000000005</v>
      </c>
      <c r="BE252">
        <f t="shared" si="47"/>
        <v>7.7116767904000003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0.61645499999999998</v>
      </c>
      <c r="H253" s="22">
        <v>39.6462</v>
      </c>
      <c r="I253" s="22">
        <v>-1.6693099999999999E-2</v>
      </c>
      <c r="J253" s="22">
        <v>243</v>
      </c>
      <c r="K253" s="22">
        <v>0.61584499999999998</v>
      </c>
      <c r="L253">
        <f t="shared" si="36"/>
        <v>16.693099999999998</v>
      </c>
      <c r="M253">
        <f t="shared" si="37"/>
        <v>10.290544960499998</v>
      </c>
      <c r="N253" s="9"/>
      <c r="O253" s="22">
        <v>1.1236600000000001</v>
      </c>
      <c r="P253" s="22">
        <v>89.084599999999995</v>
      </c>
      <c r="Q253" s="22">
        <v>-1.6369600000000002E-2</v>
      </c>
      <c r="R253" s="22">
        <v>243</v>
      </c>
      <c r="S253" s="22">
        <v>1.1224400000000001</v>
      </c>
      <c r="T253">
        <f t="shared" si="38"/>
        <v>16.369600000000002</v>
      </c>
      <c r="U253">
        <f t="shared" si="39"/>
        <v>18.393864736000005</v>
      </c>
      <c r="X253" s="9"/>
      <c r="Y253" s="22">
        <v>0.61645499999999998</v>
      </c>
      <c r="Z253" s="22">
        <v>138.63</v>
      </c>
      <c r="AA253" s="22">
        <v>-1.7269900000000001E-2</v>
      </c>
      <c r="AB253" s="22">
        <v>243</v>
      </c>
      <c r="AC253" s="22">
        <v>0.61593600000000004</v>
      </c>
      <c r="AD253">
        <f t="shared" si="40"/>
        <v>17.2699</v>
      </c>
      <c r="AE253">
        <f t="shared" si="41"/>
        <v>10.6461162045</v>
      </c>
      <c r="AF253" s="9"/>
      <c r="AG253" s="22">
        <v>1.1236600000000001</v>
      </c>
      <c r="AH253" s="22">
        <v>188.244</v>
      </c>
      <c r="AI253" s="22">
        <v>-1.6390999999999999E-2</v>
      </c>
      <c r="AJ253" s="22">
        <v>243</v>
      </c>
      <c r="AK253" s="22">
        <v>1.1227400000000001</v>
      </c>
      <c r="AL253">
        <f t="shared" si="42"/>
        <v>16.390999999999998</v>
      </c>
      <c r="AM253">
        <f t="shared" si="43"/>
        <v>18.417911059999998</v>
      </c>
      <c r="AP253" s="9"/>
      <c r="AQ253" s="22">
        <v>0.61645499999999998</v>
      </c>
      <c r="AR253" s="22">
        <v>237.86799999999999</v>
      </c>
      <c r="AS253" s="25">
        <v>2.7770999999999999E-5</v>
      </c>
      <c r="AT253" s="22">
        <v>243</v>
      </c>
      <c r="AU253" s="22">
        <v>7.8735399999999997E-2</v>
      </c>
      <c r="AV253">
        <f t="shared" si="44"/>
        <v>-2.7771000000000001E-2</v>
      </c>
      <c r="AW253">
        <f t="shared" si="45"/>
        <v>-1.7119571805000001E-2</v>
      </c>
      <c r="AX253" s="9"/>
      <c r="AY253" s="22">
        <v>1.1236600000000001</v>
      </c>
      <c r="AZ253" s="22">
        <v>253.928</v>
      </c>
      <c r="BA253" s="22">
        <v>-6.8512E-3</v>
      </c>
      <c r="BB253" s="22">
        <v>243</v>
      </c>
      <c r="BC253" s="22">
        <v>1.1218300000000001</v>
      </c>
      <c r="BD253">
        <f t="shared" si="46"/>
        <v>6.8512000000000004</v>
      </c>
      <c r="BE253">
        <f t="shared" si="47"/>
        <v>7.6984193920000008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0.61141999999999996</v>
      </c>
      <c r="H254" s="22">
        <v>39.656199999999998</v>
      </c>
      <c r="I254" s="22">
        <v>-1.6696200000000001E-2</v>
      </c>
      <c r="J254" s="22">
        <v>244</v>
      </c>
      <c r="K254" s="22">
        <v>0.61047399999999996</v>
      </c>
      <c r="L254">
        <f t="shared" si="36"/>
        <v>16.696200000000001</v>
      </c>
      <c r="M254">
        <f t="shared" si="37"/>
        <v>10.208390604</v>
      </c>
      <c r="N254" s="9"/>
      <c r="O254" s="22">
        <v>1.12869</v>
      </c>
      <c r="P254" s="22">
        <v>89.094700000000003</v>
      </c>
      <c r="Q254" s="22">
        <v>-1.6369600000000002E-2</v>
      </c>
      <c r="R254" s="22">
        <v>244</v>
      </c>
      <c r="S254" s="22">
        <v>1.1279300000000001</v>
      </c>
      <c r="T254">
        <f t="shared" si="38"/>
        <v>16.369600000000002</v>
      </c>
      <c r="U254">
        <f t="shared" si="39"/>
        <v>18.476203824000002</v>
      </c>
      <c r="X254" s="9"/>
      <c r="Y254" s="22">
        <v>0.61141999999999996</v>
      </c>
      <c r="Z254" s="22">
        <v>138.63999999999999</v>
      </c>
      <c r="AA254" s="22">
        <v>-1.7276E-2</v>
      </c>
      <c r="AB254" s="22">
        <v>244</v>
      </c>
      <c r="AC254" s="22">
        <v>0.61059600000000003</v>
      </c>
      <c r="AD254">
        <f t="shared" si="40"/>
        <v>17.276</v>
      </c>
      <c r="AE254">
        <f t="shared" si="41"/>
        <v>10.562891919999998</v>
      </c>
      <c r="AF254" s="9"/>
      <c r="AG254" s="22">
        <v>1.12869</v>
      </c>
      <c r="AH254" s="22">
        <v>188.255</v>
      </c>
      <c r="AI254" s="22">
        <v>-1.63879E-2</v>
      </c>
      <c r="AJ254" s="22">
        <v>244</v>
      </c>
      <c r="AK254" s="22">
        <v>1.1279300000000001</v>
      </c>
      <c r="AL254">
        <f t="shared" si="42"/>
        <v>16.387900000000002</v>
      </c>
      <c r="AM254">
        <f t="shared" si="43"/>
        <v>18.496858851000002</v>
      </c>
      <c r="AP254" s="9"/>
      <c r="AQ254" s="22">
        <v>0.61141999999999996</v>
      </c>
      <c r="AR254" s="22">
        <v>237.87799999999999</v>
      </c>
      <c r="AS254" s="25">
        <v>2.83508E-5</v>
      </c>
      <c r="AT254" s="22">
        <v>244</v>
      </c>
      <c r="AU254" s="22">
        <v>7.8674300000000003E-2</v>
      </c>
      <c r="AV254">
        <f t="shared" si="44"/>
        <v>-2.8350799999999999E-2</v>
      </c>
      <c r="AW254">
        <f t="shared" si="45"/>
        <v>-1.7334246135999997E-2</v>
      </c>
      <c r="AX254" s="9"/>
      <c r="AY254" s="22">
        <v>1.12869</v>
      </c>
      <c r="AZ254" s="22">
        <v>253.93799999999999</v>
      </c>
      <c r="BA254" s="22">
        <v>-6.7840599999999997E-3</v>
      </c>
      <c r="BB254" s="22">
        <v>244</v>
      </c>
      <c r="BC254" s="22">
        <v>1.1273200000000001</v>
      </c>
      <c r="BD254">
        <f t="shared" si="46"/>
        <v>6.7840599999999993</v>
      </c>
      <c r="BE254">
        <f t="shared" si="47"/>
        <v>7.6571006813999993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0.60638400000000003</v>
      </c>
      <c r="H255" s="22">
        <v>39.6663</v>
      </c>
      <c r="I255" s="22">
        <v>-1.67023E-2</v>
      </c>
      <c r="J255" s="22">
        <v>245</v>
      </c>
      <c r="K255" s="22">
        <v>0.60543800000000003</v>
      </c>
      <c r="L255">
        <f t="shared" si="36"/>
        <v>16.702300000000001</v>
      </c>
      <c r="M255">
        <f t="shared" si="37"/>
        <v>10.128007483200001</v>
      </c>
      <c r="N255" s="9"/>
      <c r="O255" s="22">
        <v>1.1337299999999999</v>
      </c>
      <c r="P255" s="22">
        <v>89.104699999999994</v>
      </c>
      <c r="Q255" s="22">
        <v>-1.6366599999999999E-2</v>
      </c>
      <c r="R255" s="22">
        <v>245</v>
      </c>
      <c r="S255" s="22">
        <v>1.1325099999999999</v>
      </c>
      <c r="T255">
        <f t="shared" si="38"/>
        <v>16.366599999999998</v>
      </c>
      <c r="U255">
        <f t="shared" si="39"/>
        <v>18.555305417999996</v>
      </c>
      <c r="X255" s="9"/>
      <c r="Y255" s="22">
        <v>0.60638400000000003</v>
      </c>
      <c r="Z255" s="22">
        <v>138.65</v>
      </c>
      <c r="AA255" s="22">
        <v>-1.7285200000000001E-2</v>
      </c>
      <c r="AB255" s="22">
        <v>245</v>
      </c>
      <c r="AC255" s="22">
        <v>0.610626</v>
      </c>
      <c r="AD255">
        <f t="shared" si="40"/>
        <v>17.2852</v>
      </c>
      <c r="AE255">
        <f t="shared" si="41"/>
        <v>10.4814687168</v>
      </c>
      <c r="AF255" s="9"/>
      <c r="AG255" s="22">
        <v>1.1337299999999999</v>
      </c>
      <c r="AH255" s="22">
        <v>188.26499999999999</v>
      </c>
      <c r="AI255" s="22">
        <v>-1.6384900000000001E-2</v>
      </c>
      <c r="AJ255" s="22">
        <v>245</v>
      </c>
      <c r="AK255" s="22">
        <v>1.1322000000000001</v>
      </c>
      <c r="AL255">
        <f t="shared" si="42"/>
        <v>16.384900000000002</v>
      </c>
      <c r="AM255">
        <f t="shared" si="43"/>
        <v>18.576052677</v>
      </c>
      <c r="AP255" s="9"/>
      <c r="AQ255" s="22">
        <v>0.60638400000000003</v>
      </c>
      <c r="AR255" s="22">
        <v>237.88800000000001</v>
      </c>
      <c r="AS255" s="25">
        <v>2.8259299999999999E-5</v>
      </c>
      <c r="AT255" s="22">
        <v>245</v>
      </c>
      <c r="AU255" s="22">
        <v>7.8704800000000005E-2</v>
      </c>
      <c r="AV255">
        <f t="shared" si="44"/>
        <v>-2.8259299999999998E-2</v>
      </c>
      <c r="AW255">
        <f t="shared" si="45"/>
        <v>-1.71359873712E-2</v>
      </c>
      <c r="AX255" s="9"/>
      <c r="AY255" s="22">
        <v>1.1337299999999999</v>
      </c>
      <c r="AZ255" s="22">
        <v>253.94800000000001</v>
      </c>
      <c r="BA255" s="22">
        <v>-6.7565899999999998E-3</v>
      </c>
      <c r="BB255" s="22">
        <v>245</v>
      </c>
      <c r="BC255" s="22">
        <v>1.1322000000000001</v>
      </c>
      <c r="BD255">
        <f t="shared" si="46"/>
        <v>6.7565900000000001</v>
      </c>
      <c r="BE255">
        <f t="shared" si="47"/>
        <v>7.6601487806999993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0.60134900000000002</v>
      </c>
      <c r="H256" s="22">
        <v>39.676400000000001</v>
      </c>
      <c r="I256" s="22">
        <v>-1.6705299999999999E-2</v>
      </c>
      <c r="J256" s="22">
        <v>246</v>
      </c>
      <c r="K256" s="22">
        <v>0.60043299999999999</v>
      </c>
      <c r="L256">
        <f t="shared" si="36"/>
        <v>16.705299999999998</v>
      </c>
      <c r="M256">
        <f t="shared" si="37"/>
        <v>10.045715449699999</v>
      </c>
      <c r="N256" s="9"/>
      <c r="O256" s="22">
        <v>1.13876</v>
      </c>
      <c r="P256" s="22">
        <v>89.114800000000002</v>
      </c>
      <c r="Q256" s="22">
        <v>-1.63605E-2</v>
      </c>
      <c r="R256" s="22">
        <v>246</v>
      </c>
      <c r="S256" s="22">
        <v>1.1379999999999999</v>
      </c>
      <c r="T256">
        <f t="shared" si="38"/>
        <v>16.360500000000002</v>
      </c>
      <c r="U256">
        <f t="shared" si="39"/>
        <v>18.630682980000003</v>
      </c>
      <c r="X256" s="9"/>
      <c r="Y256" s="22">
        <v>0.60134900000000002</v>
      </c>
      <c r="Z256" s="22">
        <v>138.66</v>
      </c>
      <c r="AA256" s="22">
        <v>-1.72882E-2</v>
      </c>
      <c r="AB256" s="22">
        <v>246</v>
      </c>
      <c r="AC256" s="22">
        <v>0.60067700000000002</v>
      </c>
      <c r="AD256">
        <f t="shared" si="40"/>
        <v>17.2882</v>
      </c>
      <c r="AE256">
        <f t="shared" si="41"/>
        <v>10.396241781800001</v>
      </c>
      <c r="AF256" s="9"/>
      <c r="AG256" s="22">
        <v>1.13876</v>
      </c>
      <c r="AH256" s="22">
        <v>188.27500000000001</v>
      </c>
      <c r="AI256" s="22">
        <v>-1.6381799999999998E-2</v>
      </c>
      <c r="AJ256" s="22">
        <v>246</v>
      </c>
      <c r="AK256" s="22">
        <v>1.1376999999999999</v>
      </c>
      <c r="AL256">
        <f t="shared" si="42"/>
        <v>16.381799999999998</v>
      </c>
      <c r="AM256">
        <f t="shared" si="43"/>
        <v>18.654938567999999</v>
      </c>
      <c r="AP256" s="9"/>
      <c r="AQ256" s="22">
        <v>0.60134900000000002</v>
      </c>
      <c r="AR256" s="22">
        <v>237.898</v>
      </c>
      <c r="AS256" s="25">
        <v>2.8991699999999999E-5</v>
      </c>
      <c r="AT256" s="22">
        <v>246</v>
      </c>
      <c r="AU256" s="22">
        <v>7.8674300000000003E-2</v>
      </c>
      <c r="AV256">
        <f t="shared" si="44"/>
        <v>-2.8991699999999999E-2</v>
      </c>
      <c r="AW256">
        <f t="shared" si="45"/>
        <v>-1.7434129803299999E-2</v>
      </c>
      <c r="AX256" s="9"/>
      <c r="AY256" s="22">
        <v>1.13876</v>
      </c>
      <c r="AZ256" s="22">
        <v>253.958</v>
      </c>
      <c r="BA256" s="22">
        <v>-6.8054200000000004E-3</v>
      </c>
      <c r="BB256" s="22">
        <v>246</v>
      </c>
      <c r="BC256" s="22">
        <v>1.1379999999999999</v>
      </c>
      <c r="BD256">
        <f t="shared" si="46"/>
        <v>6.8054200000000007</v>
      </c>
      <c r="BE256">
        <f t="shared" si="47"/>
        <v>7.7497400792000004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0.59631299999999998</v>
      </c>
      <c r="H257" s="22">
        <v>39.686500000000002</v>
      </c>
      <c r="I257" s="22">
        <v>-1.6705299999999999E-2</v>
      </c>
      <c r="J257" s="22">
        <v>247</v>
      </c>
      <c r="K257" s="22">
        <v>0.59524500000000002</v>
      </c>
      <c r="L257">
        <f t="shared" si="36"/>
        <v>16.705299999999998</v>
      </c>
      <c r="M257">
        <f t="shared" si="37"/>
        <v>9.961587558899998</v>
      </c>
      <c r="N257" s="9"/>
      <c r="O257" s="22">
        <v>1.1437999999999999</v>
      </c>
      <c r="P257" s="22">
        <v>89.124899999999997</v>
      </c>
      <c r="Q257" s="22">
        <v>-1.6357400000000001E-2</v>
      </c>
      <c r="R257" s="22">
        <v>247</v>
      </c>
      <c r="S257" s="22">
        <v>1.1428799999999999</v>
      </c>
      <c r="T257">
        <f t="shared" si="38"/>
        <v>16.357400000000002</v>
      </c>
      <c r="U257">
        <f t="shared" si="39"/>
        <v>18.709594120000002</v>
      </c>
      <c r="X257" s="9"/>
      <c r="Y257" s="22">
        <v>0.59631299999999998</v>
      </c>
      <c r="Z257" s="22">
        <v>138.66999999999999</v>
      </c>
      <c r="AA257" s="22">
        <v>-1.7294299999999999E-2</v>
      </c>
      <c r="AB257" s="22">
        <v>247</v>
      </c>
      <c r="AC257" s="22">
        <v>0.59573399999999999</v>
      </c>
      <c r="AD257">
        <f t="shared" si="40"/>
        <v>17.2943</v>
      </c>
      <c r="AE257">
        <f t="shared" si="41"/>
        <v>10.3128159159</v>
      </c>
      <c r="AF257" s="9"/>
      <c r="AG257" s="22">
        <v>1.1437999999999999</v>
      </c>
      <c r="AH257" s="22">
        <v>188.285</v>
      </c>
      <c r="AI257" s="22">
        <v>-1.6381799999999998E-2</v>
      </c>
      <c r="AJ257" s="22">
        <v>247</v>
      </c>
      <c r="AK257" s="22">
        <v>1.1434899999999999</v>
      </c>
      <c r="AL257">
        <f t="shared" si="42"/>
        <v>16.381799999999998</v>
      </c>
      <c r="AM257">
        <f t="shared" si="43"/>
        <v>18.737502839999998</v>
      </c>
      <c r="AP257" s="9"/>
      <c r="AQ257" s="22">
        <v>0.59631299999999998</v>
      </c>
      <c r="AR257" s="22">
        <v>237.90799999999999</v>
      </c>
      <c r="AS257" s="25">
        <v>2.5573699999999999E-5</v>
      </c>
      <c r="AT257" s="22">
        <v>247</v>
      </c>
      <c r="AU257" s="22">
        <v>7.8674300000000003E-2</v>
      </c>
      <c r="AV257">
        <f t="shared" si="44"/>
        <v>-2.5573699999999998E-2</v>
      </c>
      <c r="AW257">
        <f t="shared" si="45"/>
        <v>-1.5249929768099997E-2</v>
      </c>
      <c r="AX257" s="9"/>
      <c r="AY257" s="22">
        <v>1.1437999999999999</v>
      </c>
      <c r="AZ257" s="22">
        <v>253.96799999999999</v>
      </c>
      <c r="BA257" s="22">
        <v>-6.8115199999999997E-3</v>
      </c>
      <c r="BB257" s="22">
        <v>247</v>
      </c>
      <c r="BC257" s="22">
        <v>1.1425799999999999</v>
      </c>
      <c r="BD257">
        <f t="shared" si="46"/>
        <v>6.8115199999999998</v>
      </c>
      <c r="BE257">
        <f t="shared" si="47"/>
        <v>7.7910165759999996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0.59127799999999997</v>
      </c>
      <c r="H258" s="22">
        <v>39.6965</v>
      </c>
      <c r="I258" s="22">
        <v>-1.6708400000000002E-2</v>
      </c>
      <c r="J258" s="22">
        <v>248</v>
      </c>
      <c r="K258" s="22">
        <v>0.59027099999999999</v>
      </c>
      <c r="L258">
        <f t="shared" si="36"/>
        <v>16.708400000000001</v>
      </c>
      <c r="M258">
        <f t="shared" si="37"/>
        <v>9.8793093352000003</v>
      </c>
      <c r="N258" s="9"/>
      <c r="O258" s="22">
        <v>1.14883</v>
      </c>
      <c r="P258" s="22">
        <v>89.135000000000005</v>
      </c>
      <c r="Q258" s="22">
        <v>-1.63483E-2</v>
      </c>
      <c r="R258" s="22">
        <v>248</v>
      </c>
      <c r="S258" s="22">
        <v>1.1474599999999999</v>
      </c>
      <c r="T258">
        <f t="shared" si="38"/>
        <v>16.348299999999998</v>
      </c>
      <c r="U258">
        <f t="shared" si="39"/>
        <v>18.781417488999999</v>
      </c>
      <c r="X258" s="9"/>
      <c r="Y258" s="22">
        <v>0.59127799999999997</v>
      </c>
      <c r="Z258" s="22">
        <v>138.68</v>
      </c>
      <c r="AA258" s="22">
        <v>-1.73004E-2</v>
      </c>
      <c r="AB258" s="22">
        <v>248</v>
      </c>
      <c r="AC258" s="22">
        <v>0.59106400000000003</v>
      </c>
      <c r="AD258">
        <f t="shared" si="40"/>
        <v>17.3004</v>
      </c>
      <c r="AE258">
        <f t="shared" si="41"/>
        <v>10.229345911199999</v>
      </c>
      <c r="AF258" s="9"/>
      <c r="AG258" s="22">
        <v>1.14883</v>
      </c>
      <c r="AH258" s="22">
        <v>188.29499999999999</v>
      </c>
      <c r="AI258" s="22">
        <v>-1.63757E-2</v>
      </c>
      <c r="AJ258" s="22">
        <v>248</v>
      </c>
      <c r="AK258" s="22">
        <v>1.1474599999999999</v>
      </c>
      <c r="AL258">
        <f t="shared" si="42"/>
        <v>16.375699999999998</v>
      </c>
      <c r="AM258">
        <f t="shared" si="43"/>
        <v>18.812895430999998</v>
      </c>
      <c r="AP258" s="9"/>
      <c r="AQ258" s="22">
        <v>0.59127799999999997</v>
      </c>
      <c r="AR258" s="22">
        <v>237.91800000000001</v>
      </c>
      <c r="AS258" s="25">
        <v>2.6001000000000001E-5</v>
      </c>
      <c r="AT258" s="22">
        <v>248</v>
      </c>
      <c r="AU258" s="22">
        <v>7.86438E-2</v>
      </c>
      <c r="AV258">
        <f t="shared" si="44"/>
        <v>-2.6001E-2</v>
      </c>
      <c r="AW258">
        <f t="shared" si="45"/>
        <v>-1.5373819277999998E-2</v>
      </c>
      <c r="AX258" s="9"/>
      <c r="AY258" s="22">
        <v>1.14883</v>
      </c>
      <c r="AZ258" s="22">
        <v>253.97800000000001</v>
      </c>
      <c r="BA258" s="22">
        <v>-6.7718500000000003E-3</v>
      </c>
      <c r="BB258" s="22">
        <v>248</v>
      </c>
      <c r="BC258" s="22">
        <v>1.14777</v>
      </c>
      <c r="BD258">
        <f t="shared" si="46"/>
        <v>6.7718500000000006</v>
      </c>
      <c r="BE258">
        <f t="shared" si="47"/>
        <v>7.7797044355000011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0.58624299999999996</v>
      </c>
      <c r="H259" s="22">
        <v>39.706600000000002</v>
      </c>
      <c r="I259" s="22">
        <v>-1.6711400000000001E-2</v>
      </c>
      <c r="J259" s="22">
        <v>249</v>
      </c>
      <c r="K259" s="22">
        <v>0.58532700000000004</v>
      </c>
      <c r="L259">
        <f t="shared" si="36"/>
        <v>16.711400000000001</v>
      </c>
      <c r="M259">
        <f t="shared" si="37"/>
        <v>9.7969412701999996</v>
      </c>
      <c r="N259" s="9"/>
      <c r="O259" s="22">
        <v>1.15387</v>
      </c>
      <c r="P259" s="22">
        <v>89.144999999999996</v>
      </c>
      <c r="Q259" s="22">
        <v>-1.6345200000000001E-2</v>
      </c>
      <c r="R259" s="22">
        <v>249</v>
      </c>
      <c r="S259" s="22">
        <v>1.1529499999999999</v>
      </c>
      <c r="T259">
        <f t="shared" si="38"/>
        <v>16.345200000000002</v>
      </c>
      <c r="U259">
        <f t="shared" si="39"/>
        <v>18.860235924000001</v>
      </c>
      <c r="X259" s="9"/>
      <c r="Y259" s="22">
        <v>0.58624299999999996</v>
      </c>
      <c r="Z259" s="22">
        <v>138.69</v>
      </c>
      <c r="AA259" s="22">
        <v>-1.7303499999999999E-2</v>
      </c>
      <c r="AB259" s="22">
        <v>249</v>
      </c>
      <c r="AC259" s="22">
        <v>0.58566300000000004</v>
      </c>
      <c r="AD259">
        <f t="shared" si="40"/>
        <v>17.3035</v>
      </c>
      <c r="AE259">
        <f t="shared" si="41"/>
        <v>10.1440557505</v>
      </c>
      <c r="AF259" s="9"/>
      <c r="AG259" s="22">
        <v>1.15387</v>
      </c>
      <c r="AH259" s="22">
        <v>188.30500000000001</v>
      </c>
      <c r="AI259" s="22">
        <v>-1.63757E-2</v>
      </c>
      <c r="AJ259" s="22">
        <v>249</v>
      </c>
      <c r="AK259" s="22">
        <v>1.1529499999999999</v>
      </c>
      <c r="AL259">
        <f t="shared" si="42"/>
        <v>16.375699999999998</v>
      </c>
      <c r="AM259">
        <f t="shared" si="43"/>
        <v>18.895428958999997</v>
      </c>
      <c r="AP259" s="9"/>
      <c r="AQ259" s="22">
        <v>0.58624299999999996</v>
      </c>
      <c r="AR259" s="22">
        <v>237.928</v>
      </c>
      <c r="AS259" s="25">
        <v>2.2186300000000001E-5</v>
      </c>
      <c r="AT259" s="22">
        <v>249</v>
      </c>
      <c r="AU259" s="22">
        <v>7.87659E-2</v>
      </c>
      <c r="AV259">
        <f t="shared" si="44"/>
        <v>-2.2186300000000003E-2</v>
      </c>
      <c r="AW259">
        <f t="shared" si="45"/>
        <v>-1.30065630709E-2</v>
      </c>
      <c r="AX259" s="9"/>
      <c r="AY259" s="22">
        <v>1.15387</v>
      </c>
      <c r="AZ259" s="22">
        <v>253.988</v>
      </c>
      <c r="BA259" s="22">
        <v>-6.7413300000000002E-3</v>
      </c>
      <c r="BB259" s="22">
        <v>249</v>
      </c>
      <c r="BC259" s="22">
        <v>1.15265</v>
      </c>
      <c r="BD259">
        <f t="shared" si="46"/>
        <v>6.7413300000000005</v>
      </c>
      <c r="BE259">
        <f t="shared" si="47"/>
        <v>7.7786184471000004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0.58120700000000003</v>
      </c>
      <c r="H260" s="22">
        <v>39.716700000000003</v>
      </c>
      <c r="I260" s="22">
        <v>-1.67145E-2</v>
      </c>
      <c r="J260" s="22">
        <v>250</v>
      </c>
      <c r="K260" s="22">
        <v>0.58020000000000005</v>
      </c>
      <c r="L260">
        <f t="shared" si="36"/>
        <v>16.714500000000001</v>
      </c>
      <c r="M260">
        <f t="shared" si="37"/>
        <v>9.7145844015000016</v>
      </c>
      <c r="N260" s="9"/>
      <c r="O260" s="22">
        <v>1.1589100000000001</v>
      </c>
      <c r="P260" s="22">
        <v>89.155100000000004</v>
      </c>
      <c r="Q260" s="22">
        <v>-1.6339099999999999E-2</v>
      </c>
      <c r="R260" s="22">
        <v>250</v>
      </c>
      <c r="S260" s="22">
        <v>1.1581399999999999</v>
      </c>
      <c r="T260">
        <f t="shared" si="38"/>
        <v>16.339099999999998</v>
      </c>
      <c r="U260">
        <f t="shared" si="39"/>
        <v>18.935546380999998</v>
      </c>
      <c r="X260" s="9"/>
      <c r="Y260" s="22">
        <v>0.58120700000000003</v>
      </c>
      <c r="Z260" s="22">
        <v>138.70099999999999</v>
      </c>
      <c r="AA260" s="22">
        <v>-1.7312600000000001E-2</v>
      </c>
      <c r="AB260" s="22">
        <v>250</v>
      </c>
      <c r="AC260" s="22">
        <v>0.58038299999999998</v>
      </c>
      <c r="AD260">
        <f t="shared" si="40"/>
        <v>17.3126</v>
      </c>
      <c r="AE260">
        <f t="shared" si="41"/>
        <v>10.0622043082</v>
      </c>
      <c r="AF260" s="9"/>
      <c r="AG260" s="22">
        <v>1.1589100000000001</v>
      </c>
      <c r="AH260" s="22">
        <v>188.315</v>
      </c>
      <c r="AI260" s="22">
        <v>-1.6366599999999999E-2</v>
      </c>
      <c r="AJ260" s="22">
        <v>250</v>
      </c>
      <c r="AK260" s="22">
        <v>1.1575299999999999</v>
      </c>
      <c r="AL260">
        <f t="shared" si="42"/>
        <v>16.366599999999998</v>
      </c>
      <c r="AM260">
        <f t="shared" si="43"/>
        <v>18.967416405999998</v>
      </c>
      <c r="AP260" s="9"/>
      <c r="AQ260" s="22">
        <v>0.58120700000000003</v>
      </c>
      <c r="AR260" s="22">
        <v>237.93799999999999</v>
      </c>
      <c r="AS260" s="25">
        <v>2.2521999999999999E-5</v>
      </c>
      <c r="AT260" s="22">
        <v>250</v>
      </c>
      <c r="AU260" s="22">
        <v>7.86438E-2</v>
      </c>
      <c r="AV260">
        <f t="shared" si="44"/>
        <v>-2.2522E-2</v>
      </c>
      <c r="AW260">
        <f t="shared" si="45"/>
        <v>-1.3089944054000002E-2</v>
      </c>
      <c r="AX260" s="9"/>
      <c r="AY260" s="22">
        <v>1.1589100000000001</v>
      </c>
      <c r="AZ260" s="22">
        <v>253.99799999999999</v>
      </c>
      <c r="BA260" s="22">
        <v>-6.6864000000000003E-3</v>
      </c>
      <c r="BB260" s="22">
        <v>250</v>
      </c>
      <c r="BC260" s="22">
        <v>1.15784</v>
      </c>
      <c r="BD260">
        <f t="shared" si="46"/>
        <v>6.6863999999999999</v>
      </c>
      <c r="BE260">
        <f t="shared" si="47"/>
        <v>7.748935824000001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0.57617200000000002</v>
      </c>
      <c r="H261" s="22">
        <v>39.726700000000001</v>
      </c>
      <c r="I261" s="22">
        <v>-1.67145E-2</v>
      </c>
      <c r="J261" s="22">
        <v>251</v>
      </c>
      <c r="K261" s="22">
        <v>0.57534799999999997</v>
      </c>
      <c r="L261">
        <f t="shared" si="36"/>
        <v>16.714500000000001</v>
      </c>
      <c r="M261">
        <f t="shared" si="37"/>
        <v>9.6304268940000011</v>
      </c>
      <c r="N261" s="9"/>
      <c r="O261" s="22">
        <v>1.16394</v>
      </c>
      <c r="P261" s="22">
        <v>89.165199999999999</v>
      </c>
      <c r="Q261" s="22">
        <v>-1.6333E-2</v>
      </c>
      <c r="R261" s="22">
        <v>251</v>
      </c>
      <c r="S261" s="22">
        <v>1.1630199999999999</v>
      </c>
      <c r="T261">
        <f t="shared" si="38"/>
        <v>16.333000000000002</v>
      </c>
      <c r="U261">
        <f t="shared" si="39"/>
        <v>19.010632020000003</v>
      </c>
      <c r="X261" s="9"/>
      <c r="Y261" s="22">
        <v>0.57617200000000002</v>
      </c>
      <c r="Z261" s="22">
        <v>138.71100000000001</v>
      </c>
      <c r="AA261" s="22">
        <v>-1.7318699999999999E-2</v>
      </c>
      <c r="AB261" s="22">
        <v>251</v>
      </c>
      <c r="AC261" s="22">
        <v>0.57534799999999997</v>
      </c>
      <c r="AD261">
        <f t="shared" si="40"/>
        <v>17.3187</v>
      </c>
      <c r="AE261">
        <f t="shared" si="41"/>
        <v>9.9785500163999998</v>
      </c>
      <c r="AF261" s="9"/>
      <c r="AG261" s="22">
        <v>1.16394</v>
      </c>
      <c r="AH261" s="22">
        <v>188.32499999999999</v>
      </c>
      <c r="AI261" s="22">
        <v>-1.6366599999999999E-2</v>
      </c>
      <c r="AJ261" s="22">
        <v>251</v>
      </c>
      <c r="AK261" s="22">
        <v>1.16333</v>
      </c>
      <c r="AL261">
        <f t="shared" si="42"/>
        <v>16.366599999999998</v>
      </c>
      <c r="AM261">
        <f t="shared" si="43"/>
        <v>19.049740403999998</v>
      </c>
      <c r="AP261" s="9"/>
      <c r="AQ261" s="22">
        <v>0.57617200000000002</v>
      </c>
      <c r="AR261" s="22">
        <v>237.94800000000001</v>
      </c>
      <c r="AS261" s="25">
        <v>2.3620599999999999E-5</v>
      </c>
      <c r="AT261" s="22">
        <v>251</v>
      </c>
      <c r="AU261" s="22">
        <v>7.8704800000000005E-2</v>
      </c>
      <c r="AV261">
        <f t="shared" si="44"/>
        <v>-2.3620599999999999E-2</v>
      </c>
      <c r="AW261">
        <f t="shared" si="45"/>
        <v>-1.3609528343199999E-2</v>
      </c>
      <c r="AX261" s="9"/>
      <c r="AY261" s="22">
        <v>1.16394</v>
      </c>
      <c r="AZ261" s="22">
        <v>254.00800000000001</v>
      </c>
      <c r="BA261" s="22">
        <v>-6.8237300000000001E-3</v>
      </c>
      <c r="BB261" s="22">
        <v>251</v>
      </c>
      <c r="BC261" s="22">
        <v>1.1630199999999999</v>
      </c>
      <c r="BD261">
        <f t="shared" si="46"/>
        <v>6.8237300000000003</v>
      </c>
      <c r="BE261">
        <f t="shared" si="47"/>
        <v>7.9424122962000006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0.57113599999999998</v>
      </c>
      <c r="H262" s="22">
        <v>39.736800000000002</v>
      </c>
      <c r="I262" s="22">
        <v>-1.67145E-2</v>
      </c>
      <c r="J262" s="22">
        <v>252</v>
      </c>
      <c r="K262" s="22">
        <v>0.57022099999999998</v>
      </c>
      <c r="L262">
        <f t="shared" si="36"/>
        <v>16.714500000000001</v>
      </c>
      <c r="M262">
        <f t="shared" si="37"/>
        <v>9.5462526719999996</v>
      </c>
      <c r="N262" s="9"/>
      <c r="O262" s="22">
        <v>1.1689799999999999</v>
      </c>
      <c r="P262" s="22">
        <v>89.175200000000004</v>
      </c>
      <c r="Q262" s="22">
        <v>-1.6330000000000001E-2</v>
      </c>
      <c r="R262" s="22">
        <v>252</v>
      </c>
      <c r="S262" s="22">
        <v>1.1676</v>
      </c>
      <c r="T262">
        <f t="shared" si="38"/>
        <v>16.330000000000002</v>
      </c>
      <c r="U262">
        <f t="shared" si="39"/>
        <v>19.0894434</v>
      </c>
      <c r="X262" s="9"/>
      <c r="Y262" s="22">
        <v>0.57113599999999998</v>
      </c>
      <c r="Z262" s="22">
        <v>138.721</v>
      </c>
      <c r="AA262" s="22">
        <v>-1.7321799999999998E-2</v>
      </c>
      <c r="AB262" s="22">
        <v>252</v>
      </c>
      <c r="AC262" s="22">
        <v>0.57028199999999996</v>
      </c>
      <c r="AD262">
        <f t="shared" si="40"/>
        <v>17.3218</v>
      </c>
      <c r="AE262">
        <f t="shared" si="41"/>
        <v>9.8931035647999988</v>
      </c>
      <c r="AF262" s="9"/>
      <c r="AG262" s="22">
        <v>1.1689799999999999</v>
      </c>
      <c r="AH262" s="22">
        <v>188.33500000000001</v>
      </c>
      <c r="AI262" s="22">
        <v>-1.63605E-2</v>
      </c>
      <c r="AJ262" s="22">
        <v>252</v>
      </c>
      <c r="AK262" s="22">
        <v>1.1676</v>
      </c>
      <c r="AL262">
        <f t="shared" si="42"/>
        <v>16.360500000000002</v>
      </c>
      <c r="AM262">
        <f t="shared" si="43"/>
        <v>19.125097289999999</v>
      </c>
      <c r="AP262" s="9"/>
      <c r="AQ262" s="22">
        <v>0.57113599999999998</v>
      </c>
      <c r="AR262" s="22">
        <v>237.959</v>
      </c>
      <c r="AS262" s="25">
        <v>2.8320300000000001E-5</v>
      </c>
      <c r="AT262" s="22">
        <v>252</v>
      </c>
      <c r="AU262" s="22">
        <v>7.8704800000000005E-2</v>
      </c>
      <c r="AV262">
        <f t="shared" si="44"/>
        <v>-2.83203E-2</v>
      </c>
      <c r="AW262">
        <f t="shared" si="45"/>
        <v>-1.61747428608E-2</v>
      </c>
      <c r="AX262" s="9"/>
      <c r="AY262" s="22">
        <v>1.1689799999999999</v>
      </c>
      <c r="AZ262" s="22">
        <v>254.018</v>
      </c>
      <c r="BA262" s="22">
        <v>-6.8176299999999999E-3</v>
      </c>
      <c r="BB262" s="22">
        <v>252</v>
      </c>
      <c r="BC262" s="22">
        <v>1.16821</v>
      </c>
      <c r="BD262">
        <f t="shared" si="46"/>
        <v>6.8176300000000003</v>
      </c>
      <c r="BE262">
        <f t="shared" si="47"/>
        <v>7.9696731173999993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0.56610099999999997</v>
      </c>
      <c r="H263" s="22">
        <v>39.746899999999997</v>
      </c>
      <c r="I263" s="22">
        <v>-1.67145E-2</v>
      </c>
      <c r="J263" s="22">
        <v>253</v>
      </c>
      <c r="K263" s="22">
        <v>0.56521600000000005</v>
      </c>
      <c r="L263">
        <f t="shared" si="36"/>
        <v>16.714500000000001</v>
      </c>
      <c r="M263">
        <f t="shared" si="37"/>
        <v>9.4620951645000009</v>
      </c>
      <c r="N263" s="9"/>
      <c r="O263" s="22">
        <v>1.17401</v>
      </c>
      <c r="P263" s="22">
        <v>89.185299999999998</v>
      </c>
      <c r="Q263" s="22">
        <v>-1.6330000000000001E-2</v>
      </c>
      <c r="R263" s="22">
        <v>253</v>
      </c>
      <c r="S263" s="22">
        <v>1.17279</v>
      </c>
      <c r="T263">
        <f t="shared" si="38"/>
        <v>16.330000000000002</v>
      </c>
      <c r="U263">
        <f t="shared" si="39"/>
        <v>19.171583300000002</v>
      </c>
      <c r="X263" s="9"/>
      <c r="Y263" s="22">
        <v>0.56610099999999997</v>
      </c>
      <c r="Z263" s="22">
        <v>138.73099999999999</v>
      </c>
      <c r="AA263" s="22">
        <v>-1.73279E-2</v>
      </c>
      <c r="AB263" s="22">
        <v>253</v>
      </c>
      <c r="AC263" s="22">
        <v>0.56549099999999997</v>
      </c>
      <c r="AD263">
        <f t="shared" si="40"/>
        <v>17.3279</v>
      </c>
      <c r="AE263">
        <f t="shared" si="41"/>
        <v>9.8093415178999983</v>
      </c>
      <c r="AF263" s="9"/>
      <c r="AG263" s="22">
        <v>1.17401</v>
      </c>
      <c r="AH263" s="22">
        <v>188.345</v>
      </c>
      <c r="AI263" s="22">
        <v>-1.6354400000000002E-2</v>
      </c>
      <c r="AJ263" s="22">
        <v>253</v>
      </c>
      <c r="AK263" s="22">
        <v>1.17279</v>
      </c>
      <c r="AL263">
        <f t="shared" si="42"/>
        <v>16.354400000000002</v>
      </c>
      <c r="AM263">
        <f t="shared" si="43"/>
        <v>19.200229144000001</v>
      </c>
      <c r="AP263" s="9"/>
      <c r="AQ263" s="22">
        <v>0.56610099999999997</v>
      </c>
      <c r="AR263" s="22">
        <v>237.96899999999999</v>
      </c>
      <c r="AS263" s="25">
        <v>2.66113E-5</v>
      </c>
      <c r="AT263" s="22">
        <v>253</v>
      </c>
      <c r="AU263" s="22">
        <v>7.8704800000000005E-2</v>
      </c>
      <c r="AV263">
        <f t="shared" si="44"/>
        <v>-2.6611300000000001E-2</v>
      </c>
      <c r="AW263">
        <f t="shared" si="45"/>
        <v>-1.50646835413E-2</v>
      </c>
      <c r="AX263" s="9"/>
      <c r="AY263" s="22">
        <v>1.17401</v>
      </c>
      <c r="AZ263" s="22">
        <v>254.02799999999999</v>
      </c>
      <c r="BA263" s="22">
        <v>-6.8695099999999997E-3</v>
      </c>
      <c r="BB263" s="22">
        <v>253</v>
      </c>
      <c r="BC263" s="22">
        <v>1.1731</v>
      </c>
      <c r="BD263">
        <f t="shared" si="46"/>
        <v>6.86951</v>
      </c>
      <c r="BE263">
        <f t="shared" si="47"/>
        <v>8.0648734351000009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0.56106599999999995</v>
      </c>
      <c r="H264" s="22">
        <v>39.756999999999998</v>
      </c>
      <c r="I264" s="22">
        <v>-1.6720599999999999E-2</v>
      </c>
      <c r="J264" s="22">
        <v>254</v>
      </c>
      <c r="K264" s="22">
        <v>0.56008899999999995</v>
      </c>
      <c r="L264">
        <f t="shared" si="36"/>
        <v>16.720599999999997</v>
      </c>
      <c r="M264">
        <f t="shared" si="37"/>
        <v>9.381360159599998</v>
      </c>
      <c r="N264" s="9"/>
      <c r="O264" s="22">
        <v>1.1790499999999999</v>
      </c>
      <c r="P264" s="22">
        <v>89.195400000000006</v>
      </c>
      <c r="Q264" s="22">
        <v>-1.6326899999999998E-2</v>
      </c>
      <c r="R264" s="22">
        <v>254</v>
      </c>
      <c r="S264" s="22">
        <v>1.17706</v>
      </c>
      <c r="T264">
        <f t="shared" si="38"/>
        <v>16.326899999999998</v>
      </c>
      <c r="U264">
        <f t="shared" si="39"/>
        <v>19.250231444999997</v>
      </c>
      <c r="X264" s="9"/>
      <c r="Y264" s="22">
        <v>0.56106599999999995</v>
      </c>
      <c r="Z264" s="22">
        <v>138.74100000000001</v>
      </c>
      <c r="AA264" s="22">
        <v>-1.73309E-2</v>
      </c>
      <c r="AB264" s="22">
        <v>254</v>
      </c>
      <c r="AC264" s="22">
        <v>0.560608</v>
      </c>
      <c r="AD264">
        <f t="shared" si="40"/>
        <v>17.3309</v>
      </c>
      <c r="AE264">
        <f t="shared" si="41"/>
        <v>9.7237787393999984</v>
      </c>
      <c r="AF264" s="9"/>
      <c r="AG264" s="22">
        <v>1.1790499999999999</v>
      </c>
      <c r="AH264" s="22">
        <v>188.35499999999999</v>
      </c>
      <c r="AI264" s="22">
        <v>-1.63483E-2</v>
      </c>
      <c r="AJ264" s="22">
        <v>254</v>
      </c>
      <c r="AK264" s="22">
        <v>1.17798</v>
      </c>
      <c r="AL264">
        <f t="shared" si="42"/>
        <v>16.348299999999998</v>
      </c>
      <c r="AM264">
        <f t="shared" si="43"/>
        <v>19.275463114999997</v>
      </c>
      <c r="AP264" s="9"/>
      <c r="AQ264" s="22">
        <v>0.56106599999999995</v>
      </c>
      <c r="AR264" s="22">
        <v>237.97900000000001</v>
      </c>
      <c r="AS264" s="25">
        <v>2.65198E-5</v>
      </c>
      <c r="AT264" s="22">
        <v>254</v>
      </c>
      <c r="AU264" s="22">
        <v>7.8735399999999997E-2</v>
      </c>
      <c r="AV264">
        <f t="shared" si="44"/>
        <v>-2.65198E-2</v>
      </c>
      <c r="AW264">
        <f t="shared" si="45"/>
        <v>-1.4879358106799998E-2</v>
      </c>
      <c r="AX264" s="9"/>
      <c r="AY264" s="22">
        <v>1.1790499999999999</v>
      </c>
      <c r="AZ264" s="22">
        <v>254.03899999999999</v>
      </c>
      <c r="BA264" s="22">
        <v>-6.8328900000000003E-3</v>
      </c>
      <c r="BB264" s="22">
        <v>254</v>
      </c>
      <c r="BC264" s="22">
        <v>1.17798</v>
      </c>
      <c r="BD264">
        <f t="shared" si="46"/>
        <v>6.8328899999999999</v>
      </c>
      <c r="BE264">
        <f t="shared" si="47"/>
        <v>8.0563189545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0.55603000000000002</v>
      </c>
      <c r="H265" s="22">
        <v>39.767000000000003</v>
      </c>
      <c r="I265" s="22">
        <v>-1.6723600000000002E-2</v>
      </c>
      <c r="J265" s="22">
        <v>255</v>
      </c>
      <c r="K265" s="22">
        <v>0.555145</v>
      </c>
      <c r="L265">
        <f t="shared" si="36"/>
        <v>16.723600000000001</v>
      </c>
      <c r="M265">
        <f t="shared" si="37"/>
        <v>9.2988233080000011</v>
      </c>
      <c r="N265" s="9"/>
      <c r="O265" s="22">
        <v>1.18408</v>
      </c>
      <c r="P265" s="22">
        <v>89.205399999999997</v>
      </c>
      <c r="Q265" s="22">
        <v>-1.6317700000000001E-2</v>
      </c>
      <c r="R265" s="22">
        <v>255</v>
      </c>
      <c r="S265" s="22">
        <v>1.18225</v>
      </c>
      <c r="T265">
        <f t="shared" si="38"/>
        <v>16.317700000000002</v>
      </c>
      <c r="U265">
        <f t="shared" si="39"/>
        <v>19.321462216000004</v>
      </c>
      <c r="X265" s="9"/>
      <c r="Y265" s="22">
        <v>0.55603000000000002</v>
      </c>
      <c r="Z265" s="22">
        <v>138.751</v>
      </c>
      <c r="AA265" s="22">
        <v>-1.7337000000000002E-2</v>
      </c>
      <c r="AB265" s="22">
        <v>255</v>
      </c>
      <c r="AC265" s="22">
        <v>0.55545</v>
      </c>
      <c r="AD265">
        <f t="shared" si="40"/>
        <v>17.337000000000003</v>
      </c>
      <c r="AE265">
        <f t="shared" si="41"/>
        <v>9.6398921100000017</v>
      </c>
      <c r="AF265" s="9"/>
      <c r="AG265" s="22">
        <v>1.18408</v>
      </c>
      <c r="AH265" s="22">
        <v>188.36500000000001</v>
      </c>
      <c r="AI265" s="22">
        <v>-1.6345200000000001E-2</v>
      </c>
      <c r="AJ265" s="22">
        <v>255</v>
      </c>
      <c r="AK265" s="22">
        <v>1.18286</v>
      </c>
      <c r="AL265">
        <f t="shared" si="42"/>
        <v>16.345200000000002</v>
      </c>
      <c r="AM265">
        <f t="shared" si="43"/>
        <v>19.354024416000001</v>
      </c>
      <c r="AP265" s="9"/>
      <c r="AQ265" s="22">
        <v>0.55603000000000002</v>
      </c>
      <c r="AR265" s="22">
        <v>237.989</v>
      </c>
      <c r="AS265" s="25">
        <v>5.6427E-5</v>
      </c>
      <c r="AT265" s="22">
        <v>255</v>
      </c>
      <c r="AU265" s="22">
        <v>7.87659E-2</v>
      </c>
      <c r="AV265">
        <f t="shared" si="44"/>
        <v>-5.6426999999999998E-2</v>
      </c>
      <c r="AW265">
        <f t="shared" si="45"/>
        <v>-3.1375104809999999E-2</v>
      </c>
      <c r="AX265" s="9"/>
      <c r="AY265" s="22">
        <v>1.18408</v>
      </c>
      <c r="AZ265" s="22">
        <v>254.04900000000001</v>
      </c>
      <c r="BA265" s="22">
        <v>-6.7993200000000002E-3</v>
      </c>
      <c r="BB265" s="22">
        <v>255</v>
      </c>
      <c r="BC265" s="22">
        <v>1.1825600000000001</v>
      </c>
      <c r="BD265">
        <f t="shared" si="46"/>
        <v>6.7993199999999998</v>
      </c>
      <c r="BE265">
        <f t="shared" si="47"/>
        <v>8.0509388255999994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0.55099500000000001</v>
      </c>
      <c r="H266" s="22">
        <v>39.777099999999997</v>
      </c>
      <c r="I266" s="22">
        <v>-1.6726700000000001E-2</v>
      </c>
      <c r="J266" s="22">
        <v>256</v>
      </c>
      <c r="K266" s="22">
        <v>0.55010999999999999</v>
      </c>
      <c r="L266">
        <f t="shared" si="36"/>
        <v>16.726700000000001</v>
      </c>
      <c r="M266">
        <f t="shared" si="37"/>
        <v>9.2163280665000009</v>
      </c>
      <c r="N266" s="9"/>
      <c r="O266" s="22">
        <v>1.18912</v>
      </c>
      <c r="P266" s="22">
        <v>89.215500000000006</v>
      </c>
      <c r="Q266" s="22">
        <v>-1.6317700000000001E-2</v>
      </c>
      <c r="R266" s="22">
        <v>256</v>
      </c>
      <c r="S266" s="22">
        <v>1.1880500000000001</v>
      </c>
      <c r="T266">
        <f t="shared" si="38"/>
        <v>16.317700000000002</v>
      </c>
      <c r="U266">
        <f t="shared" si="39"/>
        <v>19.403703424000003</v>
      </c>
      <c r="X266" s="9"/>
      <c r="Y266" s="22">
        <v>0.55099500000000001</v>
      </c>
      <c r="Z266" s="22">
        <v>138.761</v>
      </c>
      <c r="AA266" s="22">
        <v>-1.7340100000000001E-2</v>
      </c>
      <c r="AB266" s="22">
        <v>256</v>
      </c>
      <c r="AC266" s="22">
        <v>0.54980499999999999</v>
      </c>
      <c r="AD266">
        <f t="shared" si="40"/>
        <v>17.3401</v>
      </c>
      <c r="AE266">
        <f t="shared" si="41"/>
        <v>9.5543083995</v>
      </c>
      <c r="AF266" s="9"/>
      <c r="AG266" s="22">
        <v>1.18912</v>
      </c>
      <c r="AH266" s="22">
        <v>188.375</v>
      </c>
      <c r="AI266" s="22">
        <v>-1.6345200000000001E-2</v>
      </c>
      <c r="AJ266" s="22">
        <v>256</v>
      </c>
      <c r="AK266" s="22">
        <v>1.1880500000000001</v>
      </c>
      <c r="AL266">
        <f t="shared" si="42"/>
        <v>16.345200000000002</v>
      </c>
      <c r="AM266">
        <f t="shared" si="43"/>
        <v>19.436404224</v>
      </c>
      <c r="AP266" s="9"/>
      <c r="AQ266" s="22">
        <v>0.55099500000000001</v>
      </c>
      <c r="AR266" s="22">
        <v>237.999</v>
      </c>
      <c r="AS266" s="25">
        <v>2.4749800000000001E-5</v>
      </c>
      <c r="AT266" s="22">
        <v>256</v>
      </c>
      <c r="AU266" s="22">
        <v>7.8674300000000003E-2</v>
      </c>
      <c r="AV266">
        <f t="shared" si="44"/>
        <v>-2.4749800000000002E-2</v>
      </c>
      <c r="AW266">
        <f t="shared" si="45"/>
        <v>-1.3637016051000001E-2</v>
      </c>
      <c r="AX266" s="9"/>
      <c r="AY266" s="22">
        <v>1.18912</v>
      </c>
      <c r="AZ266" s="22">
        <v>254.059</v>
      </c>
      <c r="BA266" s="22">
        <v>-6.6558800000000003E-3</v>
      </c>
      <c r="BB266" s="22">
        <v>256</v>
      </c>
      <c r="BC266" s="22">
        <v>1.1880500000000001</v>
      </c>
      <c r="BD266">
        <f t="shared" si="46"/>
        <v>6.6558800000000007</v>
      </c>
      <c r="BE266">
        <f t="shared" si="47"/>
        <v>7.9146400256000007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0.54595899999999997</v>
      </c>
      <c r="H267" s="22">
        <v>39.787199999999999</v>
      </c>
      <c r="I267" s="22">
        <v>-1.6732799999999999E-2</v>
      </c>
      <c r="J267" s="22">
        <v>257</v>
      </c>
      <c r="K267" s="22">
        <v>0.54504399999999997</v>
      </c>
      <c r="L267">
        <f t="shared" si="36"/>
        <v>16.732799999999997</v>
      </c>
      <c r="M267">
        <f t="shared" si="37"/>
        <v>9.1354227551999987</v>
      </c>
      <c r="N267" s="9"/>
      <c r="O267" s="22">
        <v>1.19415</v>
      </c>
      <c r="P267" s="22">
        <v>89.2256</v>
      </c>
      <c r="Q267" s="22">
        <v>-1.6314700000000001E-2</v>
      </c>
      <c r="R267" s="22">
        <v>257</v>
      </c>
      <c r="S267" s="22">
        <v>1.1926300000000001</v>
      </c>
      <c r="T267">
        <f t="shared" si="38"/>
        <v>16.314700000000002</v>
      </c>
      <c r="U267">
        <f t="shared" si="39"/>
        <v>19.482199005000002</v>
      </c>
      <c r="X267" s="9"/>
      <c r="Y267" s="22">
        <v>0.54595899999999997</v>
      </c>
      <c r="Z267" s="22">
        <v>138.77099999999999</v>
      </c>
      <c r="AA267" s="22">
        <v>-1.73431E-2</v>
      </c>
      <c r="AB267" s="22">
        <v>257</v>
      </c>
      <c r="AC267" s="22">
        <v>0.54455600000000004</v>
      </c>
      <c r="AD267">
        <f t="shared" si="40"/>
        <v>17.3431</v>
      </c>
      <c r="AE267">
        <f t="shared" si="41"/>
        <v>9.4686215328999985</v>
      </c>
      <c r="AF267" s="9"/>
      <c r="AG267" s="22">
        <v>1.19415</v>
      </c>
      <c r="AH267" s="22">
        <v>188.38499999999999</v>
      </c>
      <c r="AI267" s="22">
        <v>-1.6345200000000001E-2</v>
      </c>
      <c r="AJ267" s="22">
        <v>257</v>
      </c>
      <c r="AK267" s="22">
        <v>1.19293</v>
      </c>
      <c r="AL267">
        <f t="shared" si="42"/>
        <v>16.345200000000002</v>
      </c>
      <c r="AM267">
        <f t="shared" si="43"/>
        <v>19.518620580000004</v>
      </c>
      <c r="AP267" s="9"/>
      <c r="AQ267" s="22">
        <v>0.54595899999999997</v>
      </c>
      <c r="AR267" s="22">
        <v>238.00899999999999</v>
      </c>
      <c r="AS267" s="25">
        <v>3.0822799999999999E-5</v>
      </c>
      <c r="AT267" s="22">
        <v>257</v>
      </c>
      <c r="AU267" s="22">
        <v>7.86438E-2</v>
      </c>
      <c r="AV267">
        <f t="shared" si="44"/>
        <v>-3.0822799999999997E-2</v>
      </c>
      <c r="AW267">
        <f t="shared" si="45"/>
        <v>-1.6827985065199998E-2</v>
      </c>
      <c r="AX267" s="9"/>
      <c r="AY267" s="22">
        <v>1.19415</v>
      </c>
      <c r="AZ267" s="22">
        <v>254.06899999999999</v>
      </c>
      <c r="BA267" s="22">
        <v>-6.8908700000000003E-3</v>
      </c>
      <c r="BB267" s="22">
        <v>257</v>
      </c>
      <c r="BC267" s="22">
        <v>1.19232</v>
      </c>
      <c r="BD267">
        <f t="shared" si="46"/>
        <v>6.8908700000000005</v>
      </c>
      <c r="BE267">
        <f t="shared" si="47"/>
        <v>8.228732410500001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0.54092399999999996</v>
      </c>
      <c r="H268" s="22">
        <v>39.797199999999997</v>
      </c>
      <c r="I268" s="22">
        <v>-1.6732799999999999E-2</v>
      </c>
      <c r="J268" s="22">
        <v>258</v>
      </c>
      <c r="K268" s="22">
        <v>0.53994799999999998</v>
      </c>
      <c r="L268">
        <f t="shared" ref="L268:L331" si="48">-I268/$F$2*1000</f>
        <v>16.732799999999997</v>
      </c>
      <c r="M268">
        <f t="shared" ref="M268:M331" si="49">L268*G268</f>
        <v>9.0511731071999986</v>
      </c>
      <c r="N268" s="9"/>
      <c r="O268" s="22">
        <v>1.19919</v>
      </c>
      <c r="P268" s="22">
        <v>89.235699999999994</v>
      </c>
      <c r="Q268" s="22">
        <v>-1.6311599999999999E-2</v>
      </c>
      <c r="R268" s="22">
        <v>258</v>
      </c>
      <c r="S268" s="22">
        <v>1.19781</v>
      </c>
      <c r="T268">
        <f t="shared" ref="T268:T331" si="50">-Q268/$F$2*1000</f>
        <v>16.311599999999999</v>
      </c>
      <c r="U268">
        <f t="shared" ref="U268:U331" si="51">T268*O268</f>
        <v>19.560707603999997</v>
      </c>
      <c r="X268" s="9"/>
      <c r="Y268" s="22">
        <v>0.54092399999999996</v>
      </c>
      <c r="Z268" s="22">
        <v>138.78100000000001</v>
      </c>
      <c r="AA268" s="22">
        <v>-1.73431E-2</v>
      </c>
      <c r="AB268" s="22">
        <v>258</v>
      </c>
      <c r="AC268" s="22">
        <v>0.54049700000000001</v>
      </c>
      <c r="AD268">
        <f t="shared" ref="AD268:AD331" si="52">-AA268/$F$2*1000</f>
        <v>17.3431</v>
      </c>
      <c r="AE268">
        <f t="shared" ref="AE268:AE331" si="53">AD268*Y268</f>
        <v>9.3812990243999987</v>
      </c>
      <c r="AF268" s="9"/>
      <c r="AG268" s="22">
        <v>1.19919</v>
      </c>
      <c r="AH268" s="22">
        <v>188.39599999999999</v>
      </c>
      <c r="AI268" s="22">
        <v>-1.6339099999999999E-2</v>
      </c>
      <c r="AJ268" s="22">
        <v>258</v>
      </c>
      <c r="AK268" s="22">
        <v>1.19781</v>
      </c>
      <c r="AL268">
        <f t="shared" ref="AL268:AL331" si="54">-AI268/$F$2*1000</f>
        <v>16.339099999999998</v>
      </c>
      <c r="AM268">
        <f t="shared" ref="AM268:AM331" si="55">AL268*AG268</f>
        <v>19.593685328999999</v>
      </c>
      <c r="AP268" s="9"/>
      <c r="AQ268" s="22">
        <v>0.54092399999999996</v>
      </c>
      <c r="AR268" s="22">
        <v>238.01900000000001</v>
      </c>
      <c r="AS268" s="25">
        <v>2.3864699999999999E-5</v>
      </c>
      <c r="AT268" s="22">
        <v>258</v>
      </c>
      <c r="AU268" s="22">
        <v>7.8674300000000003E-2</v>
      </c>
      <c r="AV268">
        <f t="shared" ref="AV268:AV331" si="56">-AS268/$F$2*1000</f>
        <v>-2.3864699999999999E-2</v>
      </c>
      <c r="AW268">
        <f t="shared" ref="AW268:AW331" si="57">AV268*AQ268</f>
        <v>-1.2908988982799999E-2</v>
      </c>
      <c r="AX268" s="9"/>
      <c r="AY268" s="22">
        <v>1.19919</v>
      </c>
      <c r="AZ268" s="22">
        <v>254.07900000000001</v>
      </c>
      <c r="BA268" s="22">
        <v>-6.7993200000000002E-3</v>
      </c>
      <c r="BB268" s="22">
        <v>258</v>
      </c>
      <c r="BC268" s="22">
        <v>1.19781</v>
      </c>
      <c r="BD268">
        <f t="shared" ref="BD268:BD331" si="58">-BA268/$F$2*1000</f>
        <v>6.7993199999999998</v>
      </c>
      <c r="BE268">
        <f t="shared" ref="BE268:BE331" si="59">BD268*AY268</f>
        <v>8.1536765508000002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0.53588899999999995</v>
      </c>
      <c r="H269" s="22">
        <v>39.807299999999998</v>
      </c>
      <c r="I269" s="22">
        <v>-1.6735799999999999E-2</v>
      </c>
      <c r="J269" s="22">
        <v>259</v>
      </c>
      <c r="K269" s="22">
        <v>0.53497300000000003</v>
      </c>
      <c r="L269">
        <f t="shared" si="48"/>
        <v>16.735799999999998</v>
      </c>
      <c r="M269">
        <f t="shared" si="49"/>
        <v>8.9685311261999985</v>
      </c>
      <c r="N269" s="9"/>
      <c r="O269" s="22">
        <v>1.2042200000000001</v>
      </c>
      <c r="P269" s="22">
        <v>89.245699999999999</v>
      </c>
      <c r="Q269" s="22">
        <v>-1.6308599999999999E-2</v>
      </c>
      <c r="R269" s="22">
        <v>259</v>
      </c>
      <c r="S269" s="22">
        <v>1.2030000000000001</v>
      </c>
      <c r="T269">
        <f t="shared" si="50"/>
        <v>16.308599999999998</v>
      </c>
      <c r="U269">
        <f t="shared" si="51"/>
        <v>19.639142291999999</v>
      </c>
      <c r="X269" s="9"/>
      <c r="Y269" s="22">
        <v>0.53588899999999995</v>
      </c>
      <c r="Z269" s="22">
        <v>138.791</v>
      </c>
      <c r="AA269" s="22">
        <v>-1.7346199999999999E-2</v>
      </c>
      <c r="AB269" s="22">
        <v>259</v>
      </c>
      <c r="AC269" s="22">
        <v>0.53537000000000001</v>
      </c>
      <c r="AD269">
        <f t="shared" si="52"/>
        <v>17.3462</v>
      </c>
      <c r="AE269">
        <f t="shared" si="53"/>
        <v>9.2956377717999992</v>
      </c>
      <c r="AF269" s="9"/>
      <c r="AG269" s="22">
        <v>1.2042200000000001</v>
      </c>
      <c r="AH269" s="22">
        <v>188.40600000000001</v>
      </c>
      <c r="AI269" s="22">
        <v>-1.6333E-2</v>
      </c>
      <c r="AJ269" s="22">
        <v>259</v>
      </c>
      <c r="AK269" s="22">
        <v>1.2033100000000001</v>
      </c>
      <c r="AL269">
        <f t="shared" si="54"/>
        <v>16.333000000000002</v>
      </c>
      <c r="AM269">
        <f t="shared" si="55"/>
        <v>19.668525260000003</v>
      </c>
      <c r="AP269" s="9"/>
      <c r="AQ269" s="22">
        <v>0.53588899999999995</v>
      </c>
      <c r="AR269" s="22">
        <v>238.029</v>
      </c>
      <c r="AS269" s="25">
        <v>2.36816E-5</v>
      </c>
      <c r="AT269" s="22">
        <v>259</v>
      </c>
      <c r="AU269" s="22">
        <v>7.8735399999999997E-2</v>
      </c>
      <c r="AV269">
        <f t="shared" si="56"/>
        <v>-2.3681600000000001E-2</v>
      </c>
      <c r="AW269">
        <f t="shared" si="57"/>
        <v>-1.2690708942399999E-2</v>
      </c>
      <c r="AX269" s="9"/>
      <c r="AY269" s="22">
        <v>1.2042200000000001</v>
      </c>
      <c r="AZ269" s="22">
        <v>254.089</v>
      </c>
      <c r="BA269" s="22">
        <v>-6.6650399999999997E-3</v>
      </c>
      <c r="BB269" s="22">
        <v>259</v>
      </c>
      <c r="BC269" s="22">
        <v>1.2030000000000001</v>
      </c>
      <c r="BD269">
        <f t="shared" si="58"/>
        <v>6.6650399999999994</v>
      </c>
      <c r="BE269">
        <f t="shared" si="59"/>
        <v>8.026174468799999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0.53085300000000002</v>
      </c>
      <c r="H270" s="22">
        <v>39.817399999999999</v>
      </c>
      <c r="I270" s="22">
        <v>-1.6741900000000001E-2</v>
      </c>
      <c r="J270" s="22">
        <v>260</v>
      </c>
      <c r="K270" s="22">
        <v>0.52996799999999999</v>
      </c>
      <c r="L270">
        <f t="shared" si="48"/>
        <v>16.741900000000001</v>
      </c>
      <c r="M270">
        <f t="shared" si="49"/>
        <v>8.8874878407000004</v>
      </c>
      <c r="N270" s="9"/>
      <c r="O270" s="22">
        <v>1.20926</v>
      </c>
      <c r="P270" s="22">
        <v>89.255799999999994</v>
      </c>
      <c r="Q270" s="22">
        <v>-1.6305500000000001E-2</v>
      </c>
      <c r="R270" s="22">
        <v>260</v>
      </c>
      <c r="S270" s="22">
        <v>1.2084999999999999</v>
      </c>
      <c r="T270">
        <f t="shared" si="50"/>
        <v>16.305500000000002</v>
      </c>
      <c r="U270">
        <f t="shared" si="51"/>
        <v>19.717588930000002</v>
      </c>
      <c r="X270" s="9"/>
      <c r="Y270" s="22">
        <v>0.53085300000000002</v>
      </c>
      <c r="Z270" s="22">
        <v>138.80099999999999</v>
      </c>
      <c r="AA270" s="22">
        <v>-1.7349199999999999E-2</v>
      </c>
      <c r="AB270" s="22">
        <v>260</v>
      </c>
      <c r="AC270" s="22">
        <v>0.53015100000000004</v>
      </c>
      <c r="AD270">
        <f t="shared" si="52"/>
        <v>17.3492</v>
      </c>
      <c r="AE270">
        <f t="shared" si="53"/>
        <v>9.2098748676</v>
      </c>
      <c r="AF270" s="9"/>
      <c r="AG270" s="22">
        <v>1.20926</v>
      </c>
      <c r="AH270" s="22">
        <v>188.416</v>
      </c>
      <c r="AI270" s="22">
        <v>-1.6326899999999998E-2</v>
      </c>
      <c r="AJ270" s="22">
        <v>260</v>
      </c>
      <c r="AK270" s="22">
        <v>1.2081900000000001</v>
      </c>
      <c r="AL270">
        <f t="shared" si="54"/>
        <v>16.326899999999998</v>
      </c>
      <c r="AM270">
        <f t="shared" si="55"/>
        <v>19.743467094</v>
      </c>
      <c r="AP270" s="9"/>
      <c r="AQ270" s="22">
        <v>0.53085300000000002</v>
      </c>
      <c r="AR270" s="22">
        <v>238.03899999999999</v>
      </c>
      <c r="AS270" s="25">
        <v>2.36816E-5</v>
      </c>
      <c r="AT270" s="22">
        <v>260</v>
      </c>
      <c r="AU270" s="22">
        <v>7.8674300000000003E-2</v>
      </c>
      <c r="AV270">
        <f t="shared" si="56"/>
        <v>-2.3681600000000001E-2</v>
      </c>
      <c r="AW270">
        <f t="shared" si="57"/>
        <v>-1.2571448404800002E-2</v>
      </c>
      <c r="AX270" s="9"/>
      <c r="AY270" s="22">
        <v>1.20926</v>
      </c>
      <c r="AZ270" s="22">
        <v>254.09899999999999</v>
      </c>
      <c r="BA270" s="22">
        <v>-6.79321E-3</v>
      </c>
      <c r="BB270" s="22">
        <v>260</v>
      </c>
      <c r="BC270" s="22">
        <v>1.2078899999999999</v>
      </c>
      <c r="BD270">
        <f t="shared" si="58"/>
        <v>6.7932100000000002</v>
      </c>
      <c r="BE270">
        <f t="shared" si="59"/>
        <v>8.2147571246000002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0.52581800000000001</v>
      </c>
      <c r="H271" s="22">
        <v>39.827399999999997</v>
      </c>
      <c r="I271" s="22">
        <v>-1.6747999999999999E-2</v>
      </c>
      <c r="J271" s="22">
        <v>261</v>
      </c>
      <c r="K271" s="22">
        <v>0.52496299999999996</v>
      </c>
      <c r="L271">
        <f t="shared" si="48"/>
        <v>16.747999999999998</v>
      </c>
      <c r="M271">
        <f t="shared" si="49"/>
        <v>8.8063998639999994</v>
      </c>
      <c r="N271" s="9"/>
      <c r="O271" s="22">
        <v>1.2142900000000001</v>
      </c>
      <c r="P271" s="22">
        <v>89.265900000000002</v>
      </c>
      <c r="Q271" s="22">
        <v>-1.6299399999999999E-2</v>
      </c>
      <c r="R271" s="22">
        <v>261</v>
      </c>
      <c r="S271" s="22">
        <v>1.2130700000000001</v>
      </c>
      <c r="T271">
        <f t="shared" si="50"/>
        <v>16.299399999999999</v>
      </c>
      <c r="U271">
        <f t="shared" si="51"/>
        <v>19.792198425999999</v>
      </c>
      <c r="X271" s="9"/>
      <c r="Y271" s="22">
        <v>0.52581800000000001</v>
      </c>
      <c r="Z271" s="22">
        <v>138.81100000000001</v>
      </c>
      <c r="AA271" s="22">
        <v>-1.7352300000000001E-2</v>
      </c>
      <c r="AB271" s="22">
        <v>261</v>
      </c>
      <c r="AC271" s="22">
        <v>0.52526899999999999</v>
      </c>
      <c r="AD271">
        <f t="shared" si="52"/>
        <v>17.3523</v>
      </c>
      <c r="AE271">
        <f t="shared" si="53"/>
        <v>9.1241516814000008</v>
      </c>
      <c r="AF271" s="9"/>
      <c r="AG271" s="22">
        <v>1.2142900000000001</v>
      </c>
      <c r="AH271" s="22">
        <v>188.42599999999999</v>
      </c>
      <c r="AI271" s="22">
        <v>-1.6317700000000001E-2</v>
      </c>
      <c r="AJ271" s="22">
        <v>261</v>
      </c>
      <c r="AK271" s="22">
        <v>1.2130700000000001</v>
      </c>
      <c r="AL271">
        <f t="shared" si="54"/>
        <v>16.317700000000002</v>
      </c>
      <c r="AM271">
        <f t="shared" si="55"/>
        <v>19.814419933000003</v>
      </c>
      <c r="AP271" s="9"/>
      <c r="AQ271" s="22">
        <v>0.52581800000000001</v>
      </c>
      <c r="AR271" s="22">
        <v>238.04900000000001</v>
      </c>
      <c r="AS271" s="25">
        <v>2.8137199999999999E-5</v>
      </c>
      <c r="AT271" s="22">
        <v>261</v>
      </c>
      <c r="AU271" s="22">
        <v>7.86438E-2</v>
      </c>
      <c r="AV271">
        <f t="shared" si="56"/>
        <v>-2.8137199999999998E-2</v>
      </c>
      <c r="AW271">
        <f t="shared" si="57"/>
        <v>-1.47950462296E-2</v>
      </c>
      <c r="AX271" s="9"/>
      <c r="AY271" s="22">
        <v>1.2142900000000001</v>
      </c>
      <c r="AZ271" s="22">
        <v>254.10900000000001</v>
      </c>
      <c r="BA271" s="22">
        <v>-6.82068E-3</v>
      </c>
      <c r="BB271" s="22">
        <v>261</v>
      </c>
      <c r="BC271" s="22">
        <v>1.2133799999999999</v>
      </c>
      <c r="BD271">
        <f t="shared" si="58"/>
        <v>6.8206800000000003</v>
      </c>
      <c r="BE271">
        <f t="shared" si="59"/>
        <v>8.2822835172000016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0.52078199999999997</v>
      </c>
      <c r="H272" s="22">
        <v>39.837499999999999</v>
      </c>
      <c r="I272" s="22">
        <v>-1.6751100000000001E-2</v>
      </c>
      <c r="J272" s="22">
        <v>262</v>
      </c>
      <c r="K272" s="22">
        <v>0.51992799999999995</v>
      </c>
      <c r="L272">
        <f t="shared" si="48"/>
        <v>16.751100000000001</v>
      </c>
      <c r="M272">
        <f t="shared" si="49"/>
        <v>8.7236713601999991</v>
      </c>
      <c r="N272" s="9"/>
      <c r="O272" s="22">
        <v>1.21933</v>
      </c>
      <c r="P272" s="22">
        <v>89.275899999999993</v>
      </c>
      <c r="Q272" s="22">
        <v>-1.62933E-2</v>
      </c>
      <c r="R272" s="22">
        <v>262</v>
      </c>
      <c r="S272" s="22">
        <v>1.2179599999999999</v>
      </c>
      <c r="T272">
        <f t="shared" si="50"/>
        <v>16.293299999999999</v>
      </c>
      <c r="U272">
        <f t="shared" si="51"/>
        <v>19.866909488999998</v>
      </c>
      <c r="X272" s="9"/>
      <c r="Y272" s="22">
        <v>0.52078199999999997</v>
      </c>
      <c r="Z272" s="22">
        <v>138.821</v>
      </c>
      <c r="AA272" s="22">
        <v>-1.73584E-2</v>
      </c>
      <c r="AB272" s="22">
        <v>262</v>
      </c>
      <c r="AC272" s="22">
        <v>0.52011099999999999</v>
      </c>
      <c r="AD272">
        <f t="shared" si="52"/>
        <v>17.3584</v>
      </c>
      <c r="AE272">
        <f t="shared" si="53"/>
        <v>9.0399422687999991</v>
      </c>
      <c r="AF272" s="9"/>
      <c r="AG272" s="22">
        <v>1.21933</v>
      </c>
      <c r="AH272" s="22">
        <v>188.43600000000001</v>
      </c>
      <c r="AI272" s="22">
        <v>-1.6311599999999999E-2</v>
      </c>
      <c r="AJ272" s="22">
        <v>262</v>
      </c>
      <c r="AK272" s="22">
        <v>1.2176499999999999</v>
      </c>
      <c r="AL272">
        <f t="shared" si="54"/>
        <v>16.311599999999999</v>
      </c>
      <c r="AM272">
        <f t="shared" si="55"/>
        <v>19.889223227999999</v>
      </c>
      <c r="AP272" s="9"/>
      <c r="AQ272" s="22">
        <v>0.52078199999999997</v>
      </c>
      <c r="AR272" s="22">
        <v>238.059</v>
      </c>
      <c r="AS272" s="25">
        <v>3.0975300000000001E-5</v>
      </c>
      <c r="AT272" s="22">
        <v>262</v>
      </c>
      <c r="AU272" s="22">
        <v>7.8704800000000005E-2</v>
      </c>
      <c r="AV272">
        <f t="shared" si="56"/>
        <v>-3.0975300000000001E-2</v>
      </c>
      <c r="AW272">
        <f t="shared" si="57"/>
        <v>-1.61313786846E-2</v>
      </c>
      <c r="AX272" s="9"/>
      <c r="AY272" s="22">
        <v>1.21933</v>
      </c>
      <c r="AZ272" s="22">
        <v>254.119</v>
      </c>
      <c r="BA272" s="22">
        <v>-6.7962600000000001E-3</v>
      </c>
      <c r="BB272" s="22">
        <v>262</v>
      </c>
      <c r="BC272" s="22">
        <v>1.2185699999999999</v>
      </c>
      <c r="BD272">
        <f t="shared" si="58"/>
        <v>6.7962600000000002</v>
      </c>
      <c r="BE272">
        <f t="shared" si="59"/>
        <v>8.2868837058000011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0.51574699999999996</v>
      </c>
      <c r="H273" s="22">
        <v>39.8476</v>
      </c>
      <c r="I273" s="22">
        <v>-1.67542E-2</v>
      </c>
      <c r="J273" s="22">
        <v>263</v>
      </c>
      <c r="K273" s="22">
        <v>0.514679</v>
      </c>
      <c r="L273">
        <f t="shared" si="48"/>
        <v>16.754200000000001</v>
      </c>
      <c r="M273">
        <f t="shared" si="49"/>
        <v>8.6409283873999989</v>
      </c>
      <c r="N273" s="9"/>
      <c r="O273" s="22">
        <v>1.22437</v>
      </c>
      <c r="P273" s="22">
        <v>89.286000000000001</v>
      </c>
      <c r="Q273" s="22">
        <v>-1.6287200000000002E-2</v>
      </c>
      <c r="R273" s="22">
        <v>263</v>
      </c>
      <c r="S273" s="22">
        <v>1.2231399999999999</v>
      </c>
      <c r="T273">
        <f t="shared" si="50"/>
        <v>16.287200000000002</v>
      </c>
      <c r="U273">
        <f t="shared" si="51"/>
        <v>19.941559064000003</v>
      </c>
      <c r="X273" s="9"/>
      <c r="Y273" s="22">
        <v>0.51574699999999996</v>
      </c>
      <c r="Z273" s="22">
        <v>138.83099999999999</v>
      </c>
      <c r="AA273" s="22">
        <v>-1.73706E-2</v>
      </c>
      <c r="AB273" s="22">
        <v>263</v>
      </c>
      <c r="AC273" s="22">
        <v>0.51492300000000002</v>
      </c>
      <c r="AD273">
        <f t="shared" si="52"/>
        <v>17.3706</v>
      </c>
      <c r="AE273">
        <f t="shared" si="53"/>
        <v>8.9588348381999996</v>
      </c>
      <c r="AF273" s="9"/>
      <c r="AG273" s="22">
        <v>1.22437</v>
      </c>
      <c r="AH273" s="22">
        <v>188.446</v>
      </c>
      <c r="AI273" s="22">
        <v>-1.6308599999999999E-2</v>
      </c>
      <c r="AJ273" s="22">
        <v>263</v>
      </c>
      <c r="AK273" s="22">
        <v>1.2231399999999999</v>
      </c>
      <c r="AL273">
        <f t="shared" si="54"/>
        <v>16.308599999999998</v>
      </c>
      <c r="AM273">
        <f t="shared" si="55"/>
        <v>19.967760581999997</v>
      </c>
      <c r="AP273" s="9"/>
      <c r="AQ273" s="22">
        <v>0.51574699999999996</v>
      </c>
      <c r="AR273" s="22">
        <v>238.06899999999999</v>
      </c>
      <c r="AS273" s="25">
        <v>2.8808600000000001E-5</v>
      </c>
      <c r="AT273" s="22">
        <v>263</v>
      </c>
      <c r="AU273" s="22">
        <v>7.8704800000000005E-2</v>
      </c>
      <c r="AV273">
        <f t="shared" si="56"/>
        <v>-2.88086E-2</v>
      </c>
      <c r="AW273">
        <f t="shared" si="57"/>
        <v>-1.4857949024199998E-2</v>
      </c>
      <c r="AX273" s="9"/>
      <c r="AY273" s="22">
        <v>1.22437</v>
      </c>
      <c r="AZ273" s="22">
        <v>254.12899999999999</v>
      </c>
      <c r="BA273" s="22">
        <v>-6.7230199999999997E-3</v>
      </c>
      <c r="BB273" s="22">
        <v>263</v>
      </c>
      <c r="BC273" s="22">
        <v>1.2231399999999999</v>
      </c>
      <c r="BD273">
        <f t="shared" si="58"/>
        <v>6.72302</v>
      </c>
      <c r="BE273">
        <f t="shared" si="59"/>
        <v>8.2314639974000006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0.51071200000000005</v>
      </c>
      <c r="H274" s="22">
        <v>39.857700000000001</v>
      </c>
      <c r="I274" s="22">
        <v>-1.67572E-2</v>
      </c>
      <c r="J274" s="22">
        <v>264</v>
      </c>
      <c r="K274" s="22">
        <v>0.50994899999999999</v>
      </c>
      <c r="L274">
        <f t="shared" si="48"/>
        <v>16.757200000000001</v>
      </c>
      <c r="M274">
        <f t="shared" si="49"/>
        <v>8.5581031264000007</v>
      </c>
      <c r="N274" s="9"/>
      <c r="O274" s="22">
        <v>1.2294</v>
      </c>
      <c r="P274" s="22">
        <v>89.296099999999996</v>
      </c>
      <c r="Q274" s="22">
        <v>-1.6284199999999999E-2</v>
      </c>
      <c r="R274" s="22">
        <v>264</v>
      </c>
      <c r="S274" s="22">
        <v>1.22803</v>
      </c>
      <c r="T274">
        <f t="shared" si="50"/>
        <v>16.284199999999998</v>
      </c>
      <c r="U274">
        <f t="shared" si="51"/>
        <v>20.019795479999999</v>
      </c>
      <c r="X274" s="9"/>
      <c r="Y274" s="22">
        <v>0.51071200000000005</v>
      </c>
      <c r="Z274" s="22">
        <v>138.84200000000001</v>
      </c>
      <c r="AA274" s="22">
        <v>-1.7379800000000001E-2</v>
      </c>
      <c r="AB274" s="22">
        <v>264</v>
      </c>
      <c r="AC274" s="22">
        <v>0.50997899999999996</v>
      </c>
      <c r="AD274">
        <f t="shared" si="52"/>
        <v>17.379799999999999</v>
      </c>
      <c r="AE274">
        <f t="shared" si="53"/>
        <v>8.8760724176000014</v>
      </c>
      <c r="AF274" s="9"/>
      <c r="AG274" s="22">
        <v>1.2294</v>
      </c>
      <c r="AH274" s="22">
        <v>188.45599999999999</v>
      </c>
      <c r="AI274" s="22">
        <v>-1.6302500000000001E-2</v>
      </c>
      <c r="AJ274" s="22">
        <v>264</v>
      </c>
      <c r="AK274" s="22">
        <v>1.2283299999999999</v>
      </c>
      <c r="AL274">
        <f t="shared" si="54"/>
        <v>16.302500000000002</v>
      </c>
      <c r="AM274">
        <f t="shared" si="55"/>
        <v>20.042293500000003</v>
      </c>
      <c r="AP274" s="9"/>
      <c r="AQ274" s="22">
        <v>0.51071200000000005</v>
      </c>
      <c r="AR274" s="22">
        <v>238.07900000000001</v>
      </c>
      <c r="AS274" s="25">
        <v>3.5400400000000001E-5</v>
      </c>
      <c r="AT274" s="22">
        <v>264</v>
      </c>
      <c r="AU274" s="22">
        <v>7.8704800000000005E-2</v>
      </c>
      <c r="AV274">
        <f t="shared" si="56"/>
        <v>-3.5400399999999999E-2</v>
      </c>
      <c r="AW274">
        <f t="shared" si="57"/>
        <v>-1.8079409084800002E-2</v>
      </c>
      <c r="AX274" s="9"/>
      <c r="AY274" s="22">
        <v>1.2294</v>
      </c>
      <c r="AZ274" s="22">
        <v>254.13900000000001</v>
      </c>
      <c r="BA274" s="22">
        <v>-6.6986099999999998E-3</v>
      </c>
      <c r="BB274" s="22">
        <v>264</v>
      </c>
      <c r="BC274" s="22">
        <v>1.2283299999999999</v>
      </c>
      <c r="BD274">
        <f t="shared" si="58"/>
        <v>6.6986099999999995</v>
      </c>
      <c r="BE274">
        <f t="shared" si="59"/>
        <v>8.2352711339999995</v>
      </c>
    </row>
    <row r="275" spans="6:101">
      <c r="F275" s="9"/>
      <c r="G275" s="22">
        <v>0.50567600000000001</v>
      </c>
      <c r="H275" s="22">
        <v>39.867699999999999</v>
      </c>
      <c r="I275" s="22">
        <v>-1.6763299999999998E-2</v>
      </c>
      <c r="J275" s="22">
        <v>265</v>
      </c>
      <c r="K275" s="22">
        <v>0.50476100000000002</v>
      </c>
      <c r="L275">
        <f t="shared" si="48"/>
        <v>16.763299999999997</v>
      </c>
      <c r="M275">
        <f t="shared" si="49"/>
        <v>8.4767984907999985</v>
      </c>
      <c r="N275" s="9"/>
      <c r="O275" s="22">
        <v>1.23444</v>
      </c>
      <c r="P275" s="22">
        <v>89.306200000000004</v>
      </c>
      <c r="Q275" s="22">
        <v>-1.62781E-2</v>
      </c>
      <c r="R275" s="22">
        <v>265</v>
      </c>
      <c r="S275" s="22">
        <v>1.2325999999999999</v>
      </c>
      <c r="T275">
        <f t="shared" si="50"/>
        <v>16.278099999999998</v>
      </c>
      <c r="U275">
        <f t="shared" si="51"/>
        <v>20.094337763999999</v>
      </c>
      <c r="X275" s="9"/>
      <c r="Y275" s="22">
        <v>0.50567600000000001</v>
      </c>
      <c r="Z275" s="22">
        <v>138.852</v>
      </c>
      <c r="AA275" s="22">
        <v>-1.7385899999999999E-2</v>
      </c>
      <c r="AB275" s="22">
        <v>265</v>
      </c>
      <c r="AC275" s="22">
        <v>0.50482199999999999</v>
      </c>
      <c r="AD275">
        <f t="shared" si="52"/>
        <v>17.385899999999999</v>
      </c>
      <c r="AE275">
        <f t="shared" si="53"/>
        <v>8.7916323684000002</v>
      </c>
      <c r="AF275" s="9"/>
      <c r="AG275" s="22">
        <v>1.23444</v>
      </c>
      <c r="AH275" s="22">
        <v>188.46600000000001</v>
      </c>
      <c r="AI275" s="22">
        <v>-1.6299399999999999E-2</v>
      </c>
      <c r="AJ275" s="22">
        <v>265</v>
      </c>
      <c r="AK275" s="22">
        <v>1.2335199999999999</v>
      </c>
      <c r="AL275">
        <f t="shared" si="54"/>
        <v>16.299399999999999</v>
      </c>
      <c r="AM275">
        <f t="shared" si="55"/>
        <v>20.120631335999999</v>
      </c>
      <c r="AP275" s="9"/>
      <c r="AQ275" s="22">
        <v>0.50567600000000001</v>
      </c>
      <c r="AR275" s="22">
        <v>238.089</v>
      </c>
      <c r="AS275" s="25">
        <v>2.9907200000000001E-5</v>
      </c>
      <c r="AT275" s="22">
        <v>265</v>
      </c>
      <c r="AU275" s="22">
        <v>7.8674300000000003E-2</v>
      </c>
      <c r="AV275">
        <f t="shared" si="56"/>
        <v>-2.9907200000000002E-2</v>
      </c>
      <c r="AW275">
        <f t="shared" si="57"/>
        <v>-1.5123353267200001E-2</v>
      </c>
      <c r="AX275" s="9"/>
      <c r="AY275" s="22">
        <v>1.23444</v>
      </c>
      <c r="AZ275" s="22">
        <v>254.149</v>
      </c>
      <c r="BA275" s="22">
        <v>-6.6711399999999999E-3</v>
      </c>
      <c r="BB275" s="22">
        <v>265</v>
      </c>
      <c r="BC275" s="22">
        <v>1.23322</v>
      </c>
      <c r="BD275">
        <f t="shared" si="58"/>
        <v>6.6711400000000003</v>
      </c>
      <c r="BE275">
        <f t="shared" si="59"/>
        <v>8.2351220616000003</v>
      </c>
    </row>
    <row r="276" spans="6:101">
      <c r="F276" s="9"/>
      <c r="G276" s="22">
        <v>0.500641</v>
      </c>
      <c r="H276" s="22">
        <v>39.877800000000001</v>
      </c>
      <c r="I276" s="22">
        <v>-1.6766400000000001E-2</v>
      </c>
      <c r="J276" s="22">
        <v>266</v>
      </c>
      <c r="K276" s="22">
        <v>0.49972499999999997</v>
      </c>
      <c r="L276">
        <f t="shared" si="48"/>
        <v>16.766400000000001</v>
      </c>
      <c r="M276">
        <f t="shared" si="49"/>
        <v>8.3939472624000011</v>
      </c>
      <c r="N276" s="9"/>
      <c r="O276" s="22">
        <v>1.2394700000000001</v>
      </c>
      <c r="P276" s="22">
        <v>89.316199999999995</v>
      </c>
      <c r="Q276" s="22">
        <v>-1.6271999999999998E-2</v>
      </c>
      <c r="R276" s="22">
        <v>266</v>
      </c>
      <c r="S276" s="22">
        <v>1.2383999999999999</v>
      </c>
      <c r="T276">
        <f t="shared" si="50"/>
        <v>16.271999999999998</v>
      </c>
      <c r="U276">
        <f t="shared" si="51"/>
        <v>20.16865584</v>
      </c>
      <c r="X276" s="9"/>
      <c r="Y276" s="22">
        <v>0.500641</v>
      </c>
      <c r="Z276" s="22">
        <v>138.86199999999999</v>
      </c>
      <c r="AA276" s="22">
        <v>-1.7395000000000001E-2</v>
      </c>
      <c r="AB276" s="22">
        <v>266</v>
      </c>
      <c r="AC276" s="22">
        <v>0.50012199999999996</v>
      </c>
      <c r="AD276">
        <f t="shared" si="52"/>
        <v>17.395</v>
      </c>
      <c r="AE276">
        <f t="shared" si="53"/>
        <v>8.7086501950000006</v>
      </c>
      <c r="AF276" s="9"/>
      <c r="AG276" s="22">
        <v>1.2394700000000001</v>
      </c>
      <c r="AH276" s="22">
        <v>188.476</v>
      </c>
      <c r="AI276" s="22">
        <v>-1.6296399999999999E-2</v>
      </c>
      <c r="AJ276" s="22">
        <v>266</v>
      </c>
      <c r="AK276" s="22">
        <v>1.2383999999999999</v>
      </c>
      <c r="AL276">
        <f t="shared" si="54"/>
        <v>16.296399999999998</v>
      </c>
      <c r="AM276">
        <f t="shared" si="55"/>
        <v>20.198898908</v>
      </c>
      <c r="AP276" s="9"/>
      <c r="AQ276" s="22">
        <v>0.500641</v>
      </c>
      <c r="AR276" s="22">
        <v>238.1</v>
      </c>
      <c r="AS276" s="25">
        <v>6.0394299999999999E-5</v>
      </c>
      <c r="AT276" s="22">
        <v>266</v>
      </c>
      <c r="AU276" s="22">
        <v>7.8613299999999997E-2</v>
      </c>
      <c r="AV276">
        <f t="shared" si="56"/>
        <v>-6.0394299999999998E-2</v>
      </c>
      <c r="AW276">
        <f t="shared" si="57"/>
        <v>-3.02358627463E-2</v>
      </c>
      <c r="AX276" s="9"/>
      <c r="AY276" s="22">
        <v>1.2394700000000001</v>
      </c>
      <c r="AZ276" s="22">
        <v>254.15899999999999</v>
      </c>
      <c r="BA276" s="22">
        <v>-6.6101099999999998E-3</v>
      </c>
      <c r="BB276" s="22">
        <v>266</v>
      </c>
      <c r="BC276" s="22">
        <v>1.2383999999999999</v>
      </c>
      <c r="BD276">
        <f t="shared" si="58"/>
        <v>6.6101099999999997</v>
      </c>
      <c r="BE276">
        <f t="shared" si="59"/>
        <v>8.1930330416999997</v>
      </c>
    </row>
    <row r="277" spans="6:101">
      <c r="F277" s="9"/>
      <c r="G277" s="22">
        <v>0.49560500000000002</v>
      </c>
      <c r="H277" s="22">
        <v>39.887900000000002</v>
      </c>
      <c r="I277" s="22">
        <v>-1.6772499999999999E-2</v>
      </c>
      <c r="J277" s="22">
        <v>267</v>
      </c>
      <c r="K277" s="22">
        <v>0.49469000000000002</v>
      </c>
      <c r="L277">
        <f t="shared" si="48"/>
        <v>16.772500000000001</v>
      </c>
      <c r="M277">
        <f t="shared" si="49"/>
        <v>8.3125348625000015</v>
      </c>
      <c r="N277" s="9"/>
      <c r="O277" s="22">
        <v>1.24451</v>
      </c>
      <c r="P277" s="22">
        <v>89.326300000000003</v>
      </c>
      <c r="Q277" s="22">
        <v>-1.62659E-2</v>
      </c>
      <c r="R277" s="22">
        <v>267</v>
      </c>
      <c r="S277" s="22">
        <v>1.24329</v>
      </c>
      <c r="T277">
        <f t="shared" si="50"/>
        <v>16.265899999999998</v>
      </c>
      <c r="U277">
        <f t="shared" si="51"/>
        <v>20.243075208999997</v>
      </c>
      <c r="X277" s="9"/>
      <c r="Y277" s="22">
        <v>0.49560500000000002</v>
      </c>
      <c r="Z277" s="22">
        <v>138.87200000000001</v>
      </c>
      <c r="AA277" s="22">
        <v>-1.73981E-2</v>
      </c>
      <c r="AB277" s="22">
        <v>267</v>
      </c>
      <c r="AC277" s="22">
        <v>0.495087</v>
      </c>
      <c r="AD277">
        <f t="shared" si="52"/>
        <v>17.398099999999999</v>
      </c>
      <c r="AE277">
        <f t="shared" si="53"/>
        <v>8.6225853504999996</v>
      </c>
      <c r="AF277" s="9"/>
      <c r="AG277" s="22">
        <v>1.24451</v>
      </c>
      <c r="AH277" s="22">
        <v>188.48599999999999</v>
      </c>
      <c r="AI277" s="22">
        <v>-1.6287200000000002E-2</v>
      </c>
      <c r="AJ277" s="22">
        <v>267</v>
      </c>
      <c r="AK277" s="22">
        <v>1.24268</v>
      </c>
      <c r="AL277">
        <f t="shared" si="54"/>
        <v>16.287200000000002</v>
      </c>
      <c r="AM277">
        <f t="shared" si="55"/>
        <v>20.269583272000002</v>
      </c>
      <c r="AP277" s="9"/>
      <c r="AQ277" s="22">
        <v>0.49560500000000002</v>
      </c>
      <c r="AR277" s="22">
        <v>238.11</v>
      </c>
      <c r="AS277" s="25">
        <v>8.4899899999999997E-5</v>
      </c>
      <c r="AT277" s="22">
        <v>267</v>
      </c>
      <c r="AU277" s="22">
        <v>7.86438E-2</v>
      </c>
      <c r="AV277">
        <f t="shared" si="56"/>
        <v>-8.48999E-2</v>
      </c>
      <c r="AW277">
        <f t="shared" si="57"/>
        <v>-4.2076814939500003E-2</v>
      </c>
      <c r="AX277" s="9"/>
      <c r="AY277" s="22">
        <v>1.24451</v>
      </c>
      <c r="AZ277" s="22">
        <v>254.16900000000001</v>
      </c>
      <c r="BA277" s="22">
        <v>-6.6619899999999996E-3</v>
      </c>
      <c r="BB277" s="22">
        <v>267</v>
      </c>
      <c r="BC277" s="22">
        <v>1.24298</v>
      </c>
      <c r="BD277">
        <f t="shared" si="58"/>
        <v>6.6619899999999994</v>
      </c>
      <c r="BE277">
        <f t="shared" si="59"/>
        <v>8.2909131749</v>
      </c>
    </row>
    <row r="278" spans="6:101">
      <c r="F278" s="9"/>
      <c r="G278" s="22">
        <v>0.49057000000000001</v>
      </c>
      <c r="H278" s="22">
        <v>39.8979</v>
      </c>
      <c r="I278" s="22">
        <v>-1.6775499999999999E-2</v>
      </c>
      <c r="J278" s="22">
        <v>268</v>
      </c>
      <c r="K278" s="22">
        <v>0.48980699999999999</v>
      </c>
      <c r="L278">
        <f t="shared" si="48"/>
        <v>16.775499999999997</v>
      </c>
      <c r="M278">
        <f t="shared" si="49"/>
        <v>8.2295570349999991</v>
      </c>
      <c r="N278" s="9"/>
      <c r="O278" s="22">
        <v>1.2495400000000001</v>
      </c>
      <c r="P278" s="22">
        <v>89.336399999999998</v>
      </c>
      <c r="Q278" s="22">
        <v>-1.6259800000000001E-2</v>
      </c>
      <c r="R278" s="22">
        <v>268</v>
      </c>
      <c r="S278" s="22">
        <v>1.24847</v>
      </c>
      <c r="T278">
        <f t="shared" si="50"/>
        <v>16.259800000000002</v>
      </c>
      <c r="U278">
        <f t="shared" si="51"/>
        <v>20.317270492000006</v>
      </c>
      <c r="X278" s="9"/>
      <c r="Y278" s="22">
        <v>0.49057000000000001</v>
      </c>
      <c r="Z278" s="22">
        <v>138.88200000000001</v>
      </c>
      <c r="AA278" s="22">
        <v>-1.7401099999999999E-2</v>
      </c>
      <c r="AB278" s="22">
        <v>268</v>
      </c>
      <c r="AC278" s="22">
        <v>0.49005100000000001</v>
      </c>
      <c r="AD278">
        <f t="shared" si="52"/>
        <v>17.4011</v>
      </c>
      <c r="AE278">
        <f t="shared" si="53"/>
        <v>8.5364576270000008</v>
      </c>
      <c r="AF278" s="9"/>
      <c r="AG278" s="22">
        <v>1.2495400000000001</v>
      </c>
      <c r="AH278" s="22">
        <v>188.49600000000001</v>
      </c>
      <c r="AI278" s="22">
        <v>-1.6284199999999999E-2</v>
      </c>
      <c r="AJ278" s="22">
        <v>268</v>
      </c>
      <c r="AK278" s="22">
        <v>1.24847</v>
      </c>
      <c r="AL278">
        <f t="shared" si="54"/>
        <v>16.284199999999998</v>
      </c>
      <c r="AM278">
        <f t="shared" si="55"/>
        <v>20.347759268000001</v>
      </c>
      <c r="AP278" s="9"/>
      <c r="AQ278" s="22">
        <v>0.49057000000000001</v>
      </c>
      <c r="AR278" s="22">
        <v>238.12</v>
      </c>
      <c r="AS278" s="25">
        <v>5.2429200000000003E-5</v>
      </c>
      <c r="AT278" s="22">
        <v>268</v>
      </c>
      <c r="AU278" s="22">
        <v>7.86438E-2</v>
      </c>
      <c r="AV278">
        <f t="shared" si="56"/>
        <v>-5.2429200000000002E-2</v>
      </c>
      <c r="AW278">
        <f t="shared" si="57"/>
        <v>-2.5720192644000002E-2</v>
      </c>
      <c r="AX278" s="9"/>
      <c r="AY278" s="22">
        <v>1.2495400000000001</v>
      </c>
      <c r="AZ278" s="22">
        <v>254.18</v>
      </c>
      <c r="BA278" s="22">
        <v>-6.7169200000000004E-3</v>
      </c>
      <c r="BB278" s="22">
        <v>268</v>
      </c>
      <c r="BC278" s="22">
        <v>1.24847</v>
      </c>
      <c r="BD278">
        <f t="shared" si="58"/>
        <v>6.71692</v>
      </c>
      <c r="BE278">
        <f t="shared" si="59"/>
        <v>8.3930602168000004</v>
      </c>
    </row>
    <row r="279" spans="6:101">
      <c r="F279" s="9"/>
      <c r="G279" s="22">
        <v>0.48553499999999999</v>
      </c>
      <c r="H279" s="22">
        <v>39.908000000000001</v>
      </c>
      <c r="I279" s="22">
        <v>-1.6778600000000001E-2</v>
      </c>
      <c r="J279" s="22">
        <v>269</v>
      </c>
      <c r="K279" s="22">
        <v>0.48461900000000002</v>
      </c>
      <c r="L279">
        <f t="shared" si="48"/>
        <v>16.778600000000001</v>
      </c>
      <c r="M279">
        <f t="shared" si="49"/>
        <v>8.146597551000001</v>
      </c>
      <c r="N279" s="9"/>
      <c r="O279" s="22">
        <v>1.25458</v>
      </c>
      <c r="P279" s="22">
        <v>89.346400000000003</v>
      </c>
      <c r="Q279" s="22">
        <v>-1.6253699999999999E-2</v>
      </c>
      <c r="R279" s="22">
        <v>269</v>
      </c>
      <c r="S279" s="22">
        <v>1.25336</v>
      </c>
      <c r="T279">
        <f t="shared" si="50"/>
        <v>16.253699999999998</v>
      </c>
      <c r="U279">
        <f t="shared" si="51"/>
        <v>20.391566945999998</v>
      </c>
      <c r="X279" s="9"/>
      <c r="Y279" s="22">
        <v>0.48553499999999999</v>
      </c>
      <c r="Z279" s="22">
        <v>138.892</v>
      </c>
      <c r="AA279" s="22">
        <v>-1.7407200000000001E-2</v>
      </c>
      <c r="AB279" s="22">
        <v>269</v>
      </c>
      <c r="AC279" s="22">
        <v>0.48480200000000001</v>
      </c>
      <c r="AD279">
        <f t="shared" si="52"/>
        <v>17.4072</v>
      </c>
      <c r="AE279">
        <f t="shared" si="53"/>
        <v>8.4518048520000004</v>
      </c>
      <c r="AF279" s="9"/>
      <c r="AG279" s="22">
        <v>1.25458</v>
      </c>
      <c r="AH279" s="22">
        <v>188.506</v>
      </c>
      <c r="AI279" s="22">
        <v>-1.6271999999999998E-2</v>
      </c>
      <c r="AJ279" s="22">
        <v>269</v>
      </c>
      <c r="AK279" s="22">
        <v>1.25366</v>
      </c>
      <c r="AL279">
        <f t="shared" si="54"/>
        <v>16.271999999999998</v>
      </c>
      <c r="AM279">
        <f t="shared" si="55"/>
        <v>20.41452576</v>
      </c>
      <c r="AP279" s="9"/>
      <c r="AQ279" s="22">
        <v>0.48553499999999999</v>
      </c>
      <c r="AR279" s="22">
        <v>238.13</v>
      </c>
      <c r="AS279" s="25">
        <v>2.6916499999999999E-5</v>
      </c>
      <c r="AT279" s="22">
        <v>269</v>
      </c>
      <c r="AU279" s="22">
        <v>7.86438E-2</v>
      </c>
      <c r="AV279">
        <f t="shared" si="56"/>
        <v>-2.6916499999999999E-2</v>
      </c>
      <c r="AW279">
        <f t="shared" si="57"/>
        <v>-1.3068902827499999E-2</v>
      </c>
      <c r="AX279" s="9"/>
      <c r="AY279" s="22">
        <v>1.25458</v>
      </c>
      <c r="AZ279" s="22">
        <v>254.19</v>
      </c>
      <c r="BA279" s="22">
        <v>-6.6314700000000004E-3</v>
      </c>
      <c r="BB279" s="22">
        <v>269</v>
      </c>
      <c r="BC279" s="22">
        <v>1.25366</v>
      </c>
      <c r="BD279">
        <f t="shared" si="58"/>
        <v>6.6314700000000002</v>
      </c>
      <c r="BE279">
        <f t="shared" si="59"/>
        <v>8.3197096326000004</v>
      </c>
    </row>
    <row r="280" spans="6:101">
      <c r="F280" s="9"/>
      <c r="G280" s="22">
        <v>0.48049900000000001</v>
      </c>
      <c r="H280" s="22">
        <v>39.918100000000003</v>
      </c>
      <c r="I280" s="22">
        <v>-1.67847E-2</v>
      </c>
      <c r="J280" s="22">
        <v>270</v>
      </c>
      <c r="K280" s="22">
        <v>0.47952299999999998</v>
      </c>
      <c r="L280">
        <f t="shared" si="48"/>
        <v>16.784700000000001</v>
      </c>
      <c r="M280">
        <f t="shared" si="49"/>
        <v>8.0650315653</v>
      </c>
      <c r="N280" s="9"/>
      <c r="O280" s="22">
        <v>1.2596099999999999</v>
      </c>
      <c r="P280" s="22">
        <v>89.356499999999997</v>
      </c>
      <c r="Q280" s="22">
        <v>-1.6244499999999999E-2</v>
      </c>
      <c r="R280" s="22">
        <v>270</v>
      </c>
      <c r="S280" s="22">
        <v>1.25854</v>
      </c>
      <c r="T280">
        <f t="shared" si="50"/>
        <v>16.244499999999999</v>
      </c>
      <c r="U280">
        <f t="shared" si="51"/>
        <v>20.461734644999996</v>
      </c>
      <c r="X280" s="9"/>
      <c r="Y280" s="22">
        <v>0.48049900000000001</v>
      </c>
      <c r="Z280" s="22">
        <v>138.90199999999999</v>
      </c>
      <c r="AA280" s="22">
        <v>-1.7404200000000002E-2</v>
      </c>
      <c r="AB280" s="22">
        <v>270</v>
      </c>
      <c r="AC280" s="22">
        <v>0.480103</v>
      </c>
      <c r="AD280">
        <f t="shared" si="52"/>
        <v>17.404200000000003</v>
      </c>
      <c r="AE280">
        <f t="shared" si="53"/>
        <v>8.362700695800001</v>
      </c>
      <c r="AF280" s="9"/>
      <c r="AG280" s="22">
        <v>1.2596099999999999</v>
      </c>
      <c r="AH280" s="22">
        <v>188.51599999999999</v>
      </c>
      <c r="AI280" s="22">
        <v>-1.6268899999999999E-2</v>
      </c>
      <c r="AJ280" s="22">
        <v>270</v>
      </c>
      <c r="AK280" s="22">
        <v>1.25885</v>
      </c>
      <c r="AL280">
        <f t="shared" si="54"/>
        <v>16.268899999999999</v>
      </c>
      <c r="AM280">
        <f t="shared" si="55"/>
        <v>20.492469128999996</v>
      </c>
      <c r="AP280" s="9"/>
      <c r="AQ280" s="22">
        <v>0.48049900000000001</v>
      </c>
      <c r="AR280" s="22">
        <v>238.14</v>
      </c>
      <c r="AS280" s="25">
        <v>2.8533900000000001E-5</v>
      </c>
      <c r="AT280" s="22">
        <v>270</v>
      </c>
      <c r="AU280" s="22">
        <v>7.86438E-2</v>
      </c>
      <c r="AV280">
        <f t="shared" si="56"/>
        <v>-2.8533900000000001E-2</v>
      </c>
      <c r="AW280">
        <f t="shared" si="57"/>
        <v>-1.37105104161E-2</v>
      </c>
      <c r="AX280" s="9"/>
      <c r="AY280" s="22">
        <v>1.2596099999999999</v>
      </c>
      <c r="AZ280" s="22">
        <v>254.2</v>
      </c>
      <c r="BA280" s="22">
        <v>-6.73523E-3</v>
      </c>
      <c r="BB280" s="22">
        <v>270</v>
      </c>
      <c r="BC280" s="22">
        <v>1.25824</v>
      </c>
      <c r="BD280">
        <f t="shared" si="58"/>
        <v>6.7352299999999996</v>
      </c>
      <c r="BE280">
        <f t="shared" si="59"/>
        <v>8.4837630602999994</v>
      </c>
    </row>
    <row r="281" spans="6:101">
      <c r="F281" s="9"/>
      <c r="G281" s="22">
        <v>0.475464</v>
      </c>
      <c r="H281" s="22">
        <v>39.928199999999997</v>
      </c>
      <c r="I281" s="22">
        <v>-1.6790800000000002E-2</v>
      </c>
      <c r="J281" s="22">
        <v>271</v>
      </c>
      <c r="K281" s="22">
        <v>0.47476200000000002</v>
      </c>
      <c r="L281">
        <f t="shared" si="48"/>
        <v>16.790800000000001</v>
      </c>
      <c r="M281">
        <f t="shared" si="49"/>
        <v>7.9834209312000004</v>
      </c>
      <c r="N281" s="9"/>
      <c r="O281" s="22">
        <v>1.2646500000000001</v>
      </c>
      <c r="P281" s="22">
        <v>89.366600000000005</v>
      </c>
      <c r="Q281" s="22">
        <v>-1.6241499999999999E-2</v>
      </c>
      <c r="R281" s="22">
        <v>271</v>
      </c>
      <c r="S281" s="22">
        <v>1.2634300000000001</v>
      </c>
      <c r="T281">
        <f t="shared" si="50"/>
        <v>16.241499999999998</v>
      </c>
      <c r="U281">
        <f t="shared" si="51"/>
        <v>20.539812975</v>
      </c>
      <c r="X281" s="9"/>
      <c r="Y281" s="22">
        <v>0.475464</v>
      </c>
      <c r="Z281" s="22">
        <v>138.91200000000001</v>
      </c>
      <c r="AA281" s="22">
        <v>-1.73981E-2</v>
      </c>
      <c r="AB281" s="22">
        <v>271</v>
      </c>
      <c r="AC281" s="22">
        <v>0.47439599999999998</v>
      </c>
      <c r="AD281">
        <f t="shared" si="52"/>
        <v>17.398099999999999</v>
      </c>
      <c r="AE281">
        <f t="shared" si="53"/>
        <v>8.2721702183999994</v>
      </c>
      <c r="AF281" s="9"/>
      <c r="AG281" s="22">
        <v>1.2646500000000001</v>
      </c>
      <c r="AH281" s="22">
        <v>188.52600000000001</v>
      </c>
      <c r="AI281" s="22">
        <v>-1.62659E-2</v>
      </c>
      <c r="AJ281" s="22">
        <v>271</v>
      </c>
      <c r="AK281" s="22">
        <v>1.2640400000000001</v>
      </c>
      <c r="AL281">
        <f t="shared" si="54"/>
        <v>16.265899999999998</v>
      </c>
      <c r="AM281">
        <f t="shared" si="55"/>
        <v>20.570670435</v>
      </c>
      <c r="AP281" s="9"/>
      <c r="AQ281" s="22">
        <v>0.475464</v>
      </c>
      <c r="AR281" s="22">
        <v>238.15</v>
      </c>
      <c r="AS281" s="25">
        <v>7.8979499999999998E-5</v>
      </c>
      <c r="AT281" s="22">
        <v>271</v>
      </c>
      <c r="AU281" s="22">
        <v>7.8674300000000003E-2</v>
      </c>
      <c r="AV281">
        <f t="shared" si="56"/>
        <v>-7.8979499999999994E-2</v>
      </c>
      <c r="AW281">
        <f t="shared" si="57"/>
        <v>-3.7551908987999996E-2</v>
      </c>
      <c r="AX281" s="9"/>
      <c r="AY281" s="22">
        <v>1.2646500000000001</v>
      </c>
      <c r="AZ281" s="22">
        <v>254.21</v>
      </c>
      <c r="BA281" s="22">
        <v>-6.96716E-3</v>
      </c>
      <c r="BB281" s="22">
        <v>271</v>
      </c>
      <c r="BC281" s="22">
        <v>1.26373</v>
      </c>
      <c r="BD281">
        <f t="shared" si="58"/>
        <v>6.9671599999999998</v>
      </c>
      <c r="BE281">
        <f t="shared" si="59"/>
        <v>8.811018894</v>
      </c>
    </row>
    <row r="282" spans="6:101">
      <c r="F282" s="9"/>
      <c r="G282" s="22">
        <v>0.47042800000000001</v>
      </c>
      <c r="H282" s="22">
        <v>39.938200000000002</v>
      </c>
      <c r="I282" s="22">
        <v>-1.6790800000000002E-2</v>
      </c>
      <c r="J282" s="22">
        <v>272</v>
      </c>
      <c r="K282" s="22">
        <v>0.46942099999999998</v>
      </c>
      <c r="L282">
        <f t="shared" si="48"/>
        <v>16.790800000000001</v>
      </c>
      <c r="M282">
        <f t="shared" si="49"/>
        <v>7.8988624624000003</v>
      </c>
      <c r="N282" s="9"/>
      <c r="O282" s="22">
        <v>1.2696799999999999</v>
      </c>
      <c r="P282" s="22">
        <v>89.3767</v>
      </c>
      <c r="Q282" s="22">
        <v>-1.6235400000000001E-2</v>
      </c>
      <c r="R282" s="22">
        <v>272</v>
      </c>
      <c r="S282" s="22">
        <v>1.26892</v>
      </c>
      <c r="T282">
        <f t="shared" si="50"/>
        <v>16.235400000000002</v>
      </c>
      <c r="U282">
        <f t="shared" si="51"/>
        <v>20.613762672</v>
      </c>
      <c r="X282" s="9"/>
      <c r="Y282" s="22">
        <v>0.47042800000000001</v>
      </c>
      <c r="Z282" s="22">
        <v>138.922</v>
      </c>
      <c r="AA282" s="22">
        <v>-1.7404200000000002E-2</v>
      </c>
      <c r="AB282" s="22">
        <v>272</v>
      </c>
      <c r="AC282" s="22">
        <v>0.46942099999999998</v>
      </c>
      <c r="AD282">
        <f t="shared" si="52"/>
        <v>17.404200000000003</v>
      </c>
      <c r="AE282">
        <f t="shared" si="53"/>
        <v>8.1874229976000024</v>
      </c>
      <c r="AF282" s="9"/>
      <c r="AG282" s="22">
        <v>1.2696799999999999</v>
      </c>
      <c r="AH282" s="22">
        <v>188.53700000000001</v>
      </c>
      <c r="AI282" s="22">
        <v>-1.6259800000000001E-2</v>
      </c>
      <c r="AJ282" s="22">
        <v>272</v>
      </c>
      <c r="AK282" s="22">
        <v>1.2692300000000001</v>
      </c>
      <c r="AL282">
        <f t="shared" si="54"/>
        <v>16.259800000000002</v>
      </c>
      <c r="AM282">
        <f t="shared" si="55"/>
        <v>20.644742864000001</v>
      </c>
      <c r="AP282" s="9"/>
      <c r="AQ282" s="22">
        <v>0.47042800000000001</v>
      </c>
      <c r="AR282" s="22">
        <v>238.16</v>
      </c>
      <c r="AS282" s="25">
        <v>5.0353999999999999E-5</v>
      </c>
      <c r="AT282" s="22">
        <v>272</v>
      </c>
      <c r="AU282" s="22">
        <v>7.8552200000000003E-2</v>
      </c>
      <c r="AV282">
        <f t="shared" si="56"/>
        <v>-5.0353999999999996E-2</v>
      </c>
      <c r="AW282">
        <f t="shared" si="57"/>
        <v>-2.3687931512E-2</v>
      </c>
      <c r="AX282" s="9"/>
      <c r="AY282" s="22">
        <v>1.2696799999999999</v>
      </c>
      <c r="AZ282" s="22">
        <v>254.22</v>
      </c>
      <c r="BA282" s="22">
        <v>-7.0678700000000004E-3</v>
      </c>
      <c r="BB282" s="22">
        <v>272</v>
      </c>
      <c r="BC282" s="22">
        <v>1.2686200000000001</v>
      </c>
      <c r="BD282">
        <f t="shared" si="58"/>
        <v>7.0678700000000001</v>
      </c>
      <c r="BE282">
        <f t="shared" si="59"/>
        <v>8.9739331815999996</v>
      </c>
    </row>
    <row r="283" spans="6:101">
      <c r="F283" s="9"/>
      <c r="G283" s="22">
        <v>0.465393</v>
      </c>
      <c r="H283" s="22">
        <v>39.948300000000003</v>
      </c>
      <c r="I283" s="22">
        <v>-1.6793800000000001E-2</v>
      </c>
      <c r="J283" s="22">
        <v>273</v>
      </c>
      <c r="K283" s="22">
        <v>0.46456900000000001</v>
      </c>
      <c r="L283">
        <f t="shared" si="48"/>
        <v>16.793800000000001</v>
      </c>
      <c r="M283">
        <f t="shared" si="49"/>
        <v>7.8157169634000008</v>
      </c>
      <c r="N283" s="9"/>
      <c r="O283" s="22">
        <v>1.2747200000000001</v>
      </c>
      <c r="P283" s="22">
        <v>89.386700000000005</v>
      </c>
      <c r="Q283" s="22">
        <v>-1.6232300000000002E-2</v>
      </c>
      <c r="R283" s="22">
        <v>273</v>
      </c>
      <c r="S283" s="22">
        <v>1.27319</v>
      </c>
      <c r="T283">
        <f t="shared" si="50"/>
        <v>16.232300000000002</v>
      </c>
      <c r="U283">
        <f t="shared" si="51"/>
        <v>20.691637456000002</v>
      </c>
      <c r="X283" s="9"/>
      <c r="Y283" s="22">
        <v>0.465393</v>
      </c>
      <c r="Z283" s="22">
        <v>138.93199999999999</v>
      </c>
      <c r="AA283" s="22">
        <v>-1.7407200000000001E-2</v>
      </c>
      <c r="AB283" s="22">
        <v>273</v>
      </c>
      <c r="AC283" s="22">
        <v>0.46496599999999999</v>
      </c>
      <c r="AD283">
        <f t="shared" si="52"/>
        <v>17.4072</v>
      </c>
      <c r="AE283">
        <f t="shared" si="53"/>
        <v>8.1011890296000004</v>
      </c>
      <c r="AF283" s="9"/>
      <c r="AG283" s="22">
        <v>1.2747200000000001</v>
      </c>
      <c r="AH283" s="22">
        <v>188.547</v>
      </c>
      <c r="AI283" s="22">
        <v>-1.6253699999999999E-2</v>
      </c>
      <c r="AJ283" s="22">
        <v>273</v>
      </c>
      <c r="AK283" s="22">
        <v>1.2741100000000001</v>
      </c>
      <c r="AL283">
        <f t="shared" si="54"/>
        <v>16.253699999999998</v>
      </c>
      <c r="AM283">
        <f t="shared" si="55"/>
        <v>20.718916463999999</v>
      </c>
      <c r="AP283" s="9"/>
      <c r="AQ283" s="22">
        <v>0.465393</v>
      </c>
      <c r="AR283" s="22">
        <v>238.17</v>
      </c>
      <c r="AS283" s="25">
        <v>5.1849399999999999E-5</v>
      </c>
      <c r="AT283" s="22">
        <v>273</v>
      </c>
      <c r="AU283" s="22">
        <v>7.8704800000000005E-2</v>
      </c>
      <c r="AV283">
        <f t="shared" si="56"/>
        <v>-5.1849399999999997E-2</v>
      </c>
      <c r="AW283">
        <f t="shared" si="57"/>
        <v>-2.4130347814199999E-2</v>
      </c>
      <c r="AX283" s="9"/>
      <c r="AY283" s="22">
        <v>1.2747200000000001</v>
      </c>
      <c r="AZ283" s="22">
        <v>254.23</v>
      </c>
      <c r="BA283" s="22">
        <v>-7.05261E-3</v>
      </c>
      <c r="BB283" s="22">
        <v>273</v>
      </c>
      <c r="BC283" s="22">
        <v>1.2738</v>
      </c>
      <c r="BD283">
        <f t="shared" si="58"/>
        <v>7.0526099999999996</v>
      </c>
      <c r="BE283">
        <f t="shared" si="59"/>
        <v>8.9901030191999993</v>
      </c>
    </row>
    <row r="284" spans="6:101">
      <c r="F284" s="9"/>
      <c r="G284" s="22">
        <v>0.46035799999999999</v>
      </c>
      <c r="H284" s="22">
        <v>39.958399999999997</v>
      </c>
      <c r="I284" s="22">
        <v>-1.67969E-2</v>
      </c>
      <c r="J284" s="22">
        <v>274</v>
      </c>
      <c r="K284" s="22">
        <v>0.459534</v>
      </c>
      <c r="L284">
        <f t="shared" si="48"/>
        <v>16.796900000000001</v>
      </c>
      <c r="M284">
        <f t="shared" si="49"/>
        <v>7.7325872902000006</v>
      </c>
      <c r="N284" s="9"/>
      <c r="O284" s="22">
        <v>1.2797499999999999</v>
      </c>
      <c r="P284" s="22">
        <v>89.396799999999999</v>
      </c>
      <c r="Q284" s="22">
        <v>-1.62262E-2</v>
      </c>
      <c r="R284" s="22">
        <v>274</v>
      </c>
      <c r="S284" s="22">
        <v>1.2783800000000001</v>
      </c>
      <c r="T284">
        <f t="shared" si="50"/>
        <v>16.226199999999999</v>
      </c>
      <c r="U284">
        <f t="shared" si="51"/>
        <v>20.765479449999997</v>
      </c>
      <c r="X284" s="9"/>
      <c r="Y284" s="22">
        <v>0.46035799999999999</v>
      </c>
      <c r="Z284" s="22">
        <v>138.94200000000001</v>
      </c>
      <c r="AA284" s="22">
        <v>-1.74133E-2</v>
      </c>
      <c r="AB284" s="22">
        <v>274</v>
      </c>
      <c r="AC284" s="22">
        <v>0.45977800000000002</v>
      </c>
      <c r="AD284">
        <f t="shared" si="52"/>
        <v>17.4133</v>
      </c>
      <c r="AE284">
        <f t="shared" si="53"/>
        <v>8.0163519613999998</v>
      </c>
      <c r="AF284" s="9"/>
      <c r="AG284" s="22">
        <v>1.2797499999999999</v>
      </c>
      <c r="AH284" s="22">
        <v>188.55699999999999</v>
      </c>
      <c r="AI284" s="22">
        <v>-1.6247600000000001E-2</v>
      </c>
      <c r="AJ284" s="22">
        <v>274</v>
      </c>
      <c r="AK284" s="22">
        <v>1.2786900000000001</v>
      </c>
      <c r="AL284">
        <f t="shared" si="54"/>
        <v>16.247600000000002</v>
      </c>
      <c r="AM284">
        <f t="shared" si="55"/>
        <v>20.792866100000001</v>
      </c>
      <c r="AP284" s="9"/>
      <c r="AQ284" s="22">
        <v>0.46035799999999999</v>
      </c>
      <c r="AR284" s="22">
        <v>238.18</v>
      </c>
      <c r="AS284" s="25">
        <v>2.7710000000000001E-5</v>
      </c>
      <c r="AT284" s="22">
        <v>274</v>
      </c>
      <c r="AU284" s="22">
        <v>7.8552200000000003E-2</v>
      </c>
      <c r="AV284">
        <f t="shared" si="56"/>
        <v>-2.7710000000000002E-2</v>
      </c>
      <c r="AW284">
        <f t="shared" si="57"/>
        <v>-1.2756520180000001E-2</v>
      </c>
      <c r="AX284" s="9"/>
      <c r="AY284" s="22">
        <v>1.2797499999999999</v>
      </c>
      <c r="AZ284" s="22">
        <v>254.24</v>
      </c>
      <c r="BA284" s="22">
        <v>-7.0709199999999996E-3</v>
      </c>
      <c r="BB284" s="22">
        <v>274</v>
      </c>
      <c r="BC284" s="22">
        <v>1.2786900000000001</v>
      </c>
      <c r="BD284">
        <f t="shared" si="58"/>
        <v>7.0709199999999992</v>
      </c>
      <c r="BE284">
        <f t="shared" si="59"/>
        <v>9.049009869999999</v>
      </c>
    </row>
    <row r="285" spans="6:101">
      <c r="F285" s="9"/>
      <c r="G285" s="22">
        <v>0.455322</v>
      </c>
      <c r="H285" s="22">
        <v>39.968400000000003</v>
      </c>
      <c r="I285" s="22">
        <v>-1.67999E-2</v>
      </c>
      <c r="J285" s="22">
        <v>275</v>
      </c>
      <c r="K285" s="22">
        <v>0.45446799999999998</v>
      </c>
      <c r="L285">
        <f t="shared" si="48"/>
        <v>16.799900000000001</v>
      </c>
      <c r="M285">
        <f t="shared" si="49"/>
        <v>7.6493640678000006</v>
      </c>
      <c r="N285" s="9"/>
      <c r="O285" s="22">
        <v>1.2847900000000001</v>
      </c>
      <c r="P285" s="22">
        <v>89.406899999999993</v>
      </c>
      <c r="Q285" s="22">
        <v>-1.6223100000000001E-2</v>
      </c>
      <c r="R285" s="22">
        <v>275</v>
      </c>
      <c r="S285" s="22">
        <v>1.2838700000000001</v>
      </c>
      <c r="T285">
        <f t="shared" si="50"/>
        <v>16.223100000000002</v>
      </c>
      <c r="U285">
        <f t="shared" si="51"/>
        <v>20.843276649000003</v>
      </c>
      <c r="X285" s="9"/>
      <c r="Y285" s="22">
        <v>0.455322</v>
      </c>
      <c r="Z285" s="22">
        <v>138.952</v>
      </c>
      <c r="AA285" s="22">
        <v>-1.74225E-2</v>
      </c>
      <c r="AB285" s="22">
        <v>275</v>
      </c>
      <c r="AC285" s="22">
        <v>0.45462000000000002</v>
      </c>
      <c r="AD285">
        <f t="shared" si="52"/>
        <v>17.422499999999999</v>
      </c>
      <c r="AE285">
        <f t="shared" si="53"/>
        <v>7.9328475449999996</v>
      </c>
      <c r="AF285" s="9"/>
      <c r="AG285" s="22">
        <v>1.2847900000000001</v>
      </c>
      <c r="AH285" s="22">
        <v>188.56700000000001</v>
      </c>
      <c r="AI285" s="22">
        <v>-1.6241499999999999E-2</v>
      </c>
      <c r="AJ285" s="22">
        <v>275</v>
      </c>
      <c r="AK285" s="22">
        <v>1.2835700000000001</v>
      </c>
      <c r="AL285">
        <f t="shared" si="54"/>
        <v>16.241499999999998</v>
      </c>
      <c r="AM285">
        <f t="shared" si="55"/>
        <v>20.866916785000001</v>
      </c>
      <c r="AP285" s="9"/>
      <c r="AQ285" s="22">
        <v>0.455322</v>
      </c>
      <c r="AR285" s="22">
        <v>238.19</v>
      </c>
      <c r="AS285" s="25">
        <v>2.7587900000000001E-5</v>
      </c>
      <c r="AT285" s="22">
        <v>275</v>
      </c>
      <c r="AU285" s="22">
        <v>7.86438E-2</v>
      </c>
      <c r="AV285">
        <f t="shared" si="56"/>
        <v>-2.7587900000000002E-2</v>
      </c>
      <c r="AW285">
        <f t="shared" si="57"/>
        <v>-1.2561377803800001E-2</v>
      </c>
      <c r="AX285" s="9"/>
      <c r="AY285" s="22">
        <v>1.2847900000000001</v>
      </c>
      <c r="AZ285" s="22">
        <v>254.25</v>
      </c>
      <c r="BA285" s="22">
        <v>-6.96716E-3</v>
      </c>
      <c r="BB285" s="22">
        <v>275</v>
      </c>
      <c r="BC285" s="22">
        <v>1.2838700000000001</v>
      </c>
      <c r="BD285">
        <f t="shared" si="58"/>
        <v>6.9671599999999998</v>
      </c>
      <c r="BE285">
        <f t="shared" si="59"/>
        <v>8.9513374964000008</v>
      </c>
    </row>
    <row r="286" spans="6:101">
      <c r="F286" s="9"/>
      <c r="G286" s="22">
        <v>0.45028699999999999</v>
      </c>
      <c r="H286" s="22">
        <v>39.978499999999997</v>
      </c>
      <c r="I286" s="22">
        <v>-1.6806000000000001E-2</v>
      </c>
      <c r="J286" s="22">
        <v>276</v>
      </c>
      <c r="K286" s="22">
        <v>0.44955400000000001</v>
      </c>
      <c r="L286">
        <f t="shared" si="48"/>
        <v>16.806000000000001</v>
      </c>
      <c r="M286">
        <f t="shared" si="49"/>
        <v>7.5675233220000004</v>
      </c>
      <c r="N286" s="9"/>
      <c r="O286" s="22">
        <v>1.28983</v>
      </c>
      <c r="P286" s="22">
        <v>89.416899999999998</v>
      </c>
      <c r="Q286" s="22">
        <v>-1.6216999999999999E-2</v>
      </c>
      <c r="R286" s="22">
        <v>276</v>
      </c>
      <c r="S286" s="22">
        <v>1.2887599999999999</v>
      </c>
      <c r="T286">
        <f t="shared" si="50"/>
        <v>16.216999999999999</v>
      </c>
      <c r="U286">
        <f t="shared" si="51"/>
        <v>20.91717311</v>
      </c>
      <c r="X286" s="9"/>
      <c r="Y286" s="22">
        <v>0.45028699999999999</v>
      </c>
      <c r="Z286" s="22">
        <v>138.96199999999999</v>
      </c>
      <c r="AA286" s="22">
        <v>-1.7428599999999999E-2</v>
      </c>
      <c r="AB286" s="22">
        <v>276</v>
      </c>
      <c r="AC286" s="22">
        <v>0.44970700000000002</v>
      </c>
      <c r="AD286">
        <f t="shared" si="52"/>
        <v>17.428599999999999</v>
      </c>
      <c r="AE286">
        <f t="shared" si="53"/>
        <v>7.8478720081999995</v>
      </c>
      <c r="AF286" s="9"/>
      <c r="AG286" s="22">
        <v>1.28983</v>
      </c>
      <c r="AH286" s="22">
        <v>188.577</v>
      </c>
      <c r="AI286" s="22">
        <v>-1.6232300000000002E-2</v>
      </c>
      <c r="AJ286" s="22">
        <v>276</v>
      </c>
      <c r="AK286" s="22">
        <v>1.2896700000000001</v>
      </c>
      <c r="AL286">
        <f t="shared" si="54"/>
        <v>16.232300000000002</v>
      </c>
      <c r="AM286">
        <f t="shared" si="55"/>
        <v>20.936907509000005</v>
      </c>
      <c r="AP286" s="9"/>
      <c r="AQ286" s="22">
        <v>0.45028699999999999</v>
      </c>
      <c r="AR286" s="22">
        <v>238.2</v>
      </c>
      <c r="AS286" s="25">
        <v>2.6550299999999999E-5</v>
      </c>
      <c r="AT286" s="22">
        <v>276</v>
      </c>
      <c r="AU286" s="22">
        <v>7.86438E-2</v>
      </c>
      <c r="AV286">
        <f t="shared" si="56"/>
        <v>-2.6550299999999999E-2</v>
      </c>
      <c r="AW286">
        <f t="shared" si="57"/>
        <v>-1.19552549361E-2</v>
      </c>
      <c r="AX286" s="9"/>
      <c r="AY286" s="22">
        <v>1.28983</v>
      </c>
      <c r="AZ286" s="22">
        <v>254.26</v>
      </c>
      <c r="BA286" s="22">
        <v>-6.9274899999999997E-3</v>
      </c>
      <c r="BB286" s="22">
        <v>276</v>
      </c>
      <c r="BC286" s="22">
        <v>1.2890600000000001</v>
      </c>
      <c r="BD286">
        <f t="shared" si="58"/>
        <v>6.9274899999999997</v>
      </c>
      <c r="BE286">
        <f t="shared" si="59"/>
        <v>8.9352844266999991</v>
      </c>
    </row>
    <row r="287" spans="6:101">
      <c r="F287" s="9"/>
      <c r="G287" s="22">
        <v>0.44525100000000001</v>
      </c>
      <c r="H287" s="22">
        <v>39.988599999999998</v>
      </c>
      <c r="I287" s="22">
        <v>-1.6806000000000001E-2</v>
      </c>
      <c r="J287" s="22">
        <v>277</v>
      </c>
      <c r="K287" s="22">
        <v>0.44433600000000001</v>
      </c>
      <c r="L287">
        <f t="shared" si="48"/>
        <v>16.806000000000001</v>
      </c>
      <c r="M287">
        <f t="shared" si="49"/>
        <v>7.4828883060000004</v>
      </c>
      <c r="N287" s="9"/>
      <c r="O287" s="22">
        <v>1.2948599999999999</v>
      </c>
      <c r="P287" s="22">
        <v>89.427000000000007</v>
      </c>
      <c r="Q287" s="22">
        <v>-1.6207900000000001E-2</v>
      </c>
      <c r="R287" s="22">
        <v>277</v>
      </c>
      <c r="S287" s="22">
        <v>1.2936399999999999</v>
      </c>
      <c r="T287">
        <f t="shared" si="50"/>
        <v>16.207900000000002</v>
      </c>
      <c r="U287">
        <f t="shared" si="51"/>
        <v>20.986961394000001</v>
      </c>
      <c r="X287" s="9"/>
      <c r="Y287" s="22">
        <v>0.44525100000000001</v>
      </c>
      <c r="Z287" s="22">
        <v>138.97200000000001</v>
      </c>
      <c r="AA287" s="22">
        <v>-1.7431599999999998E-2</v>
      </c>
      <c r="AB287" s="22">
        <v>277</v>
      </c>
      <c r="AC287" s="22">
        <v>0.44445800000000002</v>
      </c>
      <c r="AD287">
        <f t="shared" si="52"/>
        <v>17.4316</v>
      </c>
      <c r="AE287">
        <f t="shared" si="53"/>
        <v>7.7614373315999998</v>
      </c>
      <c r="AF287" s="9"/>
      <c r="AG287" s="22">
        <v>1.2948599999999999</v>
      </c>
      <c r="AH287" s="22">
        <v>188.58699999999999</v>
      </c>
      <c r="AI287" s="22">
        <v>-1.6220100000000001E-2</v>
      </c>
      <c r="AJ287" s="22">
        <v>277</v>
      </c>
      <c r="AK287" s="22">
        <v>1.2933300000000001</v>
      </c>
      <c r="AL287">
        <f t="shared" si="54"/>
        <v>16.220100000000002</v>
      </c>
      <c r="AM287">
        <f t="shared" si="55"/>
        <v>21.002758686</v>
      </c>
      <c r="AP287" s="9"/>
      <c r="AQ287" s="22">
        <v>0.44525100000000001</v>
      </c>
      <c r="AR287" s="22">
        <v>238.21</v>
      </c>
      <c r="AS287" s="25">
        <v>2.8991699999999999E-5</v>
      </c>
      <c r="AT287" s="22">
        <v>277</v>
      </c>
      <c r="AU287" s="22">
        <v>7.8582799999999994E-2</v>
      </c>
      <c r="AV287">
        <f t="shared" si="56"/>
        <v>-2.8991699999999999E-2</v>
      </c>
      <c r="AW287">
        <f t="shared" si="57"/>
        <v>-1.29085834167E-2</v>
      </c>
      <c r="AX287" s="9"/>
      <c r="AY287" s="22">
        <v>1.2948599999999999</v>
      </c>
      <c r="AZ287" s="22">
        <v>254.27</v>
      </c>
      <c r="BA287" s="22">
        <v>-6.9580099999999997E-3</v>
      </c>
      <c r="BB287" s="22">
        <v>277</v>
      </c>
      <c r="BC287" s="22">
        <v>1.2936399999999999</v>
      </c>
      <c r="BD287">
        <f t="shared" si="58"/>
        <v>6.9580099999999998</v>
      </c>
      <c r="BE287">
        <f t="shared" si="59"/>
        <v>9.0096488285999996</v>
      </c>
    </row>
    <row r="288" spans="6:101">
      <c r="F288" s="9"/>
      <c r="G288" s="22">
        <v>0.440216</v>
      </c>
      <c r="H288" s="22">
        <v>39.998699999999999</v>
      </c>
      <c r="I288" s="22">
        <v>-1.68091E-2</v>
      </c>
      <c r="J288" s="22">
        <v>278</v>
      </c>
      <c r="K288" s="22">
        <v>0.43936199999999997</v>
      </c>
      <c r="L288">
        <f t="shared" si="48"/>
        <v>16.809100000000001</v>
      </c>
      <c r="M288">
        <f t="shared" si="49"/>
        <v>7.3996347656000001</v>
      </c>
      <c r="N288" s="9"/>
      <c r="O288" s="22">
        <v>1.2999000000000001</v>
      </c>
      <c r="P288" s="22">
        <v>89.437100000000001</v>
      </c>
      <c r="Q288" s="22">
        <v>-1.6201799999999999E-2</v>
      </c>
      <c r="R288" s="22">
        <v>278</v>
      </c>
      <c r="S288" s="22">
        <v>1.2982199999999999</v>
      </c>
      <c r="T288">
        <f t="shared" si="50"/>
        <v>16.201799999999999</v>
      </c>
      <c r="U288">
        <f t="shared" si="51"/>
        <v>21.060719819999999</v>
      </c>
      <c r="X288" s="9"/>
      <c r="Y288" s="22">
        <v>0.440216</v>
      </c>
      <c r="Z288" s="22">
        <v>138.983</v>
      </c>
      <c r="AA288" s="22">
        <v>-1.7440799999999999E-2</v>
      </c>
      <c r="AB288" s="22">
        <v>278</v>
      </c>
      <c r="AC288" s="22">
        <v>0.43948399999999999</v>
      </c>
      <c r="AD288">
        <f t="shared" si="52"/>
        <v>17.440799999999999</v>
      </c>
      <c r="AE288">
        <f t="shared" si="53"/>
        <v>7.6777192127999996</v>
      </c>
      <c r="AF288" s="9"/>
      <c r="AG288" s="22">
        <v>1.2999000000000001</v>
      </c>
      <c r="AH288" s="22">
        <v>188.59700000000001</v>
      </c>
      <c r="AI288" s="22">
        <v>-1.62109E-2</v>
      </c>
      <c r="AJ288" s="22">
        <v>278</v>
      </c>
      <c r="AK288" s="22">
        <v>1.2988299999999999</v>
      </c>
      <c r="AL288">
        <f t="shared" si="54"/>
        <v>16.210899999999999</v>
      </c>
      <c r="AM288">
        <f t="shared" si="55"/>
        <v>21.072548909999998</v>
      </c>
      <c r="AP288" s="9"/>
      <c r="AQ288" s="22">
        <v>0.440216</v>
      </c>
      <c r="AR288" s="22">
        <v>238.22</v>
      </c>
      <c r="AS288" s="25">
        <v>2.8778100000000001E-5</v>
      </c>
      <c r="AT288" s="22">
        <v>278</v>
      </c>
      <c r="AU288" s="22">
        <v>7.8674300000000003E-2</v>
      </c>
      <c r="AV288">
        <f t="shared" si="56"/>
        <v>-2.8778100000000001E-2</v>
      </c>
      <c r="AW288">
        <f t="shared" si="57"/>
        <v>-1.26685800696E-2</v>
      </c>
      <c r="AX288" s="9"/>
      <c r="AY288" s="22">
        <v>1.2999000000000001</v>
      </c>
      <c r="AZ288" s="22">
        <v>254.28</v>
      </c>
      <c r="BA288" s="22">
        <v>-6.9549599999999996E-3</v>
      </c>
      <c r="BB288" s="22">
        <v>278</v>
      </c>
      <c r="BC288" s="22">
        <v>1.2988299999999999</v>
      </c>
      <c r="BD288">
        <f t="shared" si="58"/>
        <v>6.9549599999999998</v>
      </c>
      <c r="BE288">
        <f t="shared" si="59"/>
        <v>9.0407525040000003</v>
      </c>
    </row>
    <row r="289" spans="6:57">
      <c r="F289" s="9"/>
      <c r="G289" s="22">
        <v>0.43518099999999998</v>
      </c>
      <c r="H289" s="22">
        <v>40.008699999999997</v>
      </c>
      <c r="I289" s="22">
        <v>-1.6790800000000002E-2</v>
      </c>
      <c r="J289" s="22">
        <v>279</v>
      </c>
      <c r="K289" s="22">
        <v>0.43441800000000003</v>
      </c>
      <c r="L289">
        <f t="shared" si="48"/>
        <v>16.790800000000001</v>
      </c>
      <c r="M289">
        <f t="shared" si="49"/>
        <v>7.3070371347999998</v>
      </c>
      <c r="N289" s="9"/>
      <c r="O289" s="22">
        <v>1.3049299999999999</v>
      </c>
      <c r="P289" s="22">
        <v>89.447199999999995</v>
      </c>
      <c r="Q289" s="22">
        <v>-1.6189599999999998E-2</v>
      </c>
      <c r="R289" s="22">
        <v>279</v>
      </c>
      <c r="S289" s="22">
        <v>1.30402</v>
      </c>
      <c r="T289">
        <f t="shared" si="50"/>
        <v>16.189599999999999</v>
      </c>
      <c r="U289">
        <f t="shared" si="51"/>
        <v>21.126294727999998</v>
      </c>
      <c r="X289" s="9"/>
      <c r="Y289" s="22">
        <v>0.43518099999999998</v>
      </c>
      <c r="Z289" s="22">
        <v>138.99299999999999</v>
      </c>
      <c r="AA289" s="22">
        <v>-1.7443799999999999E-2</v>
      </c>
      <c r="AB289" s="22">
        <v>279</v>
      </c>
      <c r="AC289" s="22">
        <v>0.434448</v>
      </c>
      <c r="AD289">
        <f t="shared" si="52"/>
        <v>17.4438</v>
      </c>
      <c r="AE289">
        <f t="shared" si="53"/>
        <v>7.5912103277999998</v>
      </c>
      <c r="AF289" s="9"/>
      <c r="AG289" s="22">
        <v>1.3049299999999999</v>
      </c>
      <c r="AH289" s="22">
        <v>188.607</v>
      </c>
      <c r="AI289" s="22">
        <v>-1.6204799999999998E-2</v>
      </c>
      <c r="AJ289" s="22">
        <v>279</v>
      </c>
      <c r="AK289" s="22">
        <v>1.3037099999999999</v>
      </c>
      <c r="AL289">
        <f t="shared" si="54"/>
        <v>16.204799999999999</v>
      </c>
      <c r="AM289">
        <f t="shared" si="55"/>
        <v>21.146129663999996</v>
      </c>
      <c r="AP289" s="9"/>
      <c r="AQ289" s="22">
        <v>0.43518099999999998</v>
      </c>
      <c r="AR289" s="22">
        <v>238.23</v>
      </c>
      <c r="AS289" s="25">
        <v>2.9022200000000001E-5</v>
      </c>
      <c r="AT289" s="22">
        <v>279</v>
      </c>
      <c r="AU289" s="22">
        <v>7.86438E-2</v>
      </c>
      <c r="AV289">
        <f t="shared" si="56"/>
        <v>-2.9022200000000001E-2</v>
      </c>
      <c r="AW289">
        <f t="shared" si="57"/>
        <v>-1.26299100182E-2</v>
      </c>
      <c r="AX289" s="9"/>
      <c r="AY289" s="22">
        <v>1.3049299999999999</v>
      </c>
      <c r="AZ289" s="22">
        <v>254.29</v>
      </c>
      <c r="BA289" s="22">
        <v>-7.0312500000000002E-3</v>
      </c>
      <c r="BB289" s="22">
        <v>279</v>
      </c>
      <c r="BC289" s="22">
        <v>1.3037099999999999</v>
      </c>
      <c r="BD289">
        <f t="shared" si="58"/>
        <v>7.03125</v>
      </c>
      <c r="BE289">
        <f t="shared" si="59"/>
        <v>9.1752890624999992</v>
      </c>
    </row>
    <row r="290" spans="6:57">
      <c r="F290" s="9"/>
      <c r="G290" s="22">
        <v>0.430145</v>
      </c>
      <c r="H290" s="22">
        <v>40.018799999999999</v>
      </c>
      <c r="I290" s="22">
        <v>-1.6790800000000002E-2</v>
      </c>
      <c r="J290" s="22">
        <v>280</v>
      </c>
      <c r="K290" s="22">
        <v>0.42941299999999999</v>
      </c>
      <c r="L290">
        <f t="shared" si="48"/>
        <v>16.790800000000001</v>
      </c>
      <c r="M290">
        <f t="shared" si="49"/>
        <v>7.2224786660000007</v>
      </c>
      <c r="N290" s="9"/>
      <c r="O290" s="22">
        <v>1.3099700000000001</v>
      </c>
      <c r="P290" s="22">
        <v>89.4572</v>
      </c>
      <c r="Q290" s="22">
        <v>-1.6186499999999999E-2</v>
      </c>
      <c r="R290" s="22">
        <v>280</v>
      </c>
      <c r="S290" s="22">
        <v>1.3091999999999999</v>
      </c>
      <c r="T290">
        <f t="shared" si="50"/>
        <v>16.186499999999999</v>
      </c>
      <c r="U290">
        <f t="shared" si="51"/>
        <v>21.203829405</v>
      </c>
      <c r="X290" s="9"/>
      <c r="Y290" s="22">
        <v>0.430145</v>
      </c>
      <c r="Z290" s="22">
        <v>139.00299999999999</v>
      </c>
      <c r="AA290" s="22">
        <v>-1.7434700000000001E-2</v>
      </c>
      <c r="AB290" s="22">
        <v>280</v>
      </c>
      <c r="AC290" s="22">
        <v>0.42932100000000001</v>
      </c>
      <c r="AD290">
        <f t="shared" si="52"/>
        <v>17.434699999999999</v>
      </c>
      <c r="AE290">
        <f t="shared" si="53"/>
        <v>7.4994490314999993</v>
      </c>
      <c r="AF290" s="9"/>
      <c r="AG290" s="22">
        <v>1.3099700000000001</v>
      </c>
      <c r="AH290" s="22">
        <v>188.61699999999999</v>
      </c>
      <c r="AI290" s="22">
        <v>-1.6201799999999999E-2</v>
      </c>
      <c r="AJ290" s="22">
        <v>280</v>
      </c>
      <c r="AK290" s="22">
        <v>1.3091999999999999</v>
      </c>
      <c r="AL290">
        <f t="shared" si="54"/>
        <v>16.201799999999999</v>
      </c>
      <c r="AM290">
        <f t="shared" si="55"/>
        <v>21.223871945999999</v>
      </c>
      <c r="AP290" s="9"/>
      <c r="AQ290" s="22">
        <v>0.430145</v>
      </c>
      <c r="AR290" s="22">
        <v>238.24100000000001</v>
      </c>
      <c r="AS290" s="25">
        <v>2.7893099999999999E-5</v>
      </c>
      <c r="AT290" s="22">
        <v>280</v>
      </c>
      <c r="AU290" s="22">
        <v>7.8674300000000003E-2</v>
      </c>
      <c r="AV290">
        <f t="shared" si="56"/>
        <v>-2.7893100000000001E-2</v>
      </c>
      <c r="AW290">
        <f t="shared" si="57"/>
        <v>-1.19980774995E-2</v>
      </c>
      <c r="AX290" s="9"/>
      <c r="AY290" s="22">
        <v>1.3099700000000001</v>
      </c>
      <c r="AZ290" s="22">
        <v>254.3</v>
      </c>
      <c r="BA290" s="22">
        <v>-6.9366499999999999E-3</v>
      </c>
      <c r="BB290" s="22">
        <v>280</v>
      </c>
      <c r="BC290" s="22">
        <v>1.30951</v>
      </c>
      <c r="BD290">
        <f t="shared" si="58"/>
        <v>6.9366500000000002</v>
      </c>
      <c r="BE290">
        <f t="shared" si="59"/>
        <v>9.0868034005000009</v>
      </c>
    </row>
    <row r="291" spans="6:57">
      <c r="F291" s="9"/>
      <c r="G291" s="22">
        <v>0.42510999999999999</v>
      </c>
      <c r="H291" s="22">
        <v>40.0289</v>
      </c>
      <c r="I291" s="22">
        <v>-1.6793800000000001E-2</v>
      </c>
      <c r="J291" s="22">
        <v>281</v>
      </c>
      <c r="K291" s="22">
        <v>0.42425499999999999</v>
      </c>
      <c r="L291">
        <f t="shared" si="48"/>
        <v>16.793800000000001</v>
      </c>
      <c r="M291">
        <f t="shared" si="49"/>
        <v>7.1392123180000002</v>
      </c>
      <c r="N291" s="9"/>
      <c r="O291" s="22">
        <v>1.3149999999999999</v>
      </c>
      <c r="P291" s="22">
        <v>89.467299999999994</v>
      </c>
      <c r="Q291" s="22">
        <v>-1.6180400000000001E-2</v>
      </c>
      <c r="R291" s="22">
        <v>281</v>
      </c>
      <c r="S291" s="22">
        <v>1.31409</v>
      </c>
      <c r="T291">
        <f t="shared" si="50"/>
        <v>16.180400000000002</v>
      </c>
      <c r="U291">
        <f t="shared" si="51"/>
        <v>21.277226000000002</v>
      </c>
      <c r="X291" s="9"/>
      <c r="Y291" s="22">
        <v>0.42510999999999999</v>
      </c>
      <c r="Z291" s="22">
        <v>139.01300000000001</v>
      </c>
      <c r="AA291" s="22">
        <v>-1.7440799999999999E-2</v>
      </c>
      <c r="AB291" s="22">
        <v>281</v>
      </c>
      <c r="AC291" s="22">
        <v>0.42486600000000002</v>
      </c>
      <c r="AD291">
        <f t="shared" si="52"/>
        <v>17.440799999999999</v>
      </c>
      <c r="AE291">
        <f t="shared" si="53"/>
        <v>7.4142584879999998</v>
      </c>
      <c r="AF291" s="9"/>
      <c r="AG291" s="22">
        <v>1.3149999999999999</v>
      </c>
      <c r="AH291" s="22">
        <v>188.62700000000001</v>
      </c>
      <c r="AI291" s="22">
        <v>-1.61957E-2</v>
      </c>
      <c r="AJ291" s="22">
        <v>281</v>
      </c>
      <c r="AK291" s="22">
        <v>1.31348</v>
      </c>
      <c r="AL291">
        <f t="shared" si="54"/>
        <v>16.195699999999999</v>
      </c>
      <c r="AM291">
        <f t="shared" si="55"/>
        <v>21.297345499999999</v>
      </c>
      <c r="AP291" s="9"/>
      <c r="AQ291" s="22">
        <v>0.42510999999999999</v>
      </c>
      <c r="AR291" s="22">
        <v>238.251</v>
      </c>
      <c r="AS291" s="25">
        <v>3.5614000000000002E-5</v>
      </c>
      <c r="AT291" s="22">
        <v>281</v>
      </c>
      <c r="AU291" s="22">
        <v>7.8582799999999994E-2</v>
      </c>
      <c r="AV291">
        <f t="shared" si="56"/>
        <v>-3.5614E-2</v>
      </c>
      <c r="AW291">
        <f t="shared" si="57"/>
        <v>-1.5139867539999999E-2</v>
      </c>
      <c r="AX291" s="9"/>
      <c r="AY291" s="22">
        <v>1.3149999999999999</v>
      </c>
      <c r="AZ291" s="22">
        <v>254.31</v>
      </c>
      <c r="BA291" s="22">
        <v>-6.9885299999999997E-3</v>
      </c>
      <c r="BB291" s="22">
        <v>281</v>
      </c>
      <c r="BC291" s="22">
        <v>1.31409</v>
      </c>
      <c r="BD291">
        <f t="shared" si="58"/>
        <v>6.9885299999999999</v>
      </c>
      <c r="BE291">
        <f t="shared" si="59"/>
        <v>9.1899169499999989</v>
      </c>
    </row>
    <row r="292" spans="6:57">
      <c r="F292" s="9"/>
      <c r="G292" s="22">
        <v>0.420074</v>
      </c>
      <c r="H292" s="22">
        <v>40.038899999999998</v>
      </c>
      <c r="I292" s="22">
        <v>-1.6793800000000001E-2</v>
      </c>
      <c r="J292" s="22">
        <v>282</v>
      </c>
      <c r="K292" s="22">
        <v>0.419159</v>
      </c>
      <c r="L292">
        <f t="shared" si="48"/>
        <v>16.793800000000001</v>
      </c>
      <c r="M292">
        <f t="shared" si="49"/>
        <v>7.0546387412000007</v>
      </c>
      <c r="N292" s="9"/>
      <c r="O292" s="22">
        <v>1.3200400000000001</v>
      </c>
      <c r="P292" s="22">
        <v>89.477400000000003</v>
      </c>
      <c r="Q292" s="22">
        <v>-1.6174299999999999E-2</v>
      </c>
      <c r="R292" s="22">
        <v>282</v>
      </c>
      <c r="S292" s="22">
        <v>1.31897</v>
      </c>
      <c r="T292">
        <f t="shared" si="50"/>
        <v>16.174299999999999</v>
      </c>
      <c r="U292">
        <f t="shared" si="51"/>
        <v>21.350722972</v>
      </c>
      <c r="X292" s="9"/>
      <c r="Y292" s="22">
        <v>0.420074</v>
      </c>
      <c r="Z292" s="22">
        <v>139.023</v>
      </c>
      <c r="AA292" s="22">
        <v>-1.745E-2</v>
      </c>
      <c r="AB292" s="22">
        <v>282</v>
      </c>
      <c r="AC292" s="22">
        <v>0.41918899999999998</v>
      </c>
      <c r="AD292">
        <f t="shared" si="52"/>
        <v>17.45</v>
      </c>
      <c r="AE292">
        <f t="shared" si="53"/>
        <v>7.3302912999999998</v>
      </c>
      <c r="AF292" s="9"/>
      <c r="AG292" s="22">
        <v>1.3200400000000001</v>
      </c>
      <c r="AH292" s="22">
        <v>188.637</v>
      </c>
      <c r="AI292" s="22">
        <v>-1.61957E-2</v>
      </c>
      <c r="AJ292" s="22">
        <v>282</v>
      </c>
      <c r="AK292" s="22">
        <v>1.31897</v>
      </c>
      <c r="AL292">
        <f t="shared" si="54"/>
        <v>16.195699999999999</v>
      </c>
      <c r="AM292">
        <f t="shared" si="55"/>
        <v>21.378971828000001</v>
      </c>
      <c r="AP292" s="9"/>
      <c r="AQ292" s="22">
        <v>0.420074</v>
      </c>
      <c r="AR292" s="22">
        <v>238.261</v>
      </c>
      <c r="AS292" s="25">
        <v>2.77405E-5</v>
      </c>
      <c r="AT292" s="22">
        <v>282</v>
      </c>
      <c r="AU292" s="22">
        <v>7.8613299999999997E-2</v>
      </c>
      <c r="AV292">
        <f t="shared" si="56"/>
        <v>-2.7740500000000001E-2</v>
      </c>
      <c r="AW292">
        <f t="shared" si="57"/>
        <v>-1.1653062797000001E-2</v>
      </c>
      <c r="AX292" s="9"/>
      <c r="AY292" s="22">
        <v>1.3200400000000001</v>
      </c>
      <c r="AZ292" s="22">
        <v>254.32</v>
      </c>
      <c r="BA292" s="22">
        <v>-7.0098900000000004E-3</v>
      </c>
      <c r="BB292" s="22">
        <v>282</v>
      </c>
      <c r="BC292" s="22">
        <v>1.31836</v>
      </c>
      <c r="BD292">
        <f t="shared" si="58"/>
        <v>7.0098900000000004</v>
      </c>
      <c r="BE292">
        <f t="shared" si="59"/>
        <v>9.2533351956000018</v>
      </c>
    </row>
    <row r="293" spans="6:57">
      <c r="F293" s="9"/>
      <c r="G293" s="22">
        <v>0.41503899999999999</v>
      </c>
      <c r="H293" s="22">
        <v>40.048999999999999</v>
      </c>
      <c r="I293" s="22">
        <v>-1.6793800000000001E-2</v>
      </c>
      <c r="J293" s="22">
        <v>283</v>
      </c>
      <c r="K293" s="22">
        <v>0.41415400000000002</v>
      </c>
      <c r="L293">
        <f t="shared" si="48"/>
        <v>16.793800000000001</v>
      </c>
      <c r="M293">
        <f t="shared" si="49"/>
        <v>6.9700819582000006</v>
      </c>
      <c r="N293" s="9"/>
      <c r="O293" s="22">
        <v>1.32507</v>
      </c>
      <c r="P293" s="22">
        <v>89.487399999999994</v>
      </c>
      <c r="Q293" s="22">
        <v>-1.61713E-2</v>
      </c>
      <c r="R293" s="22">
        <v>283</v>
      </c>
      <c r="S293" s="22">
        <v>1.32416</v>
      </c>
      <c r="T293">
        <f t="shared" si="50"/>
        <v>16.171299999999999</v>
      </c>
      <c r="U293">
        <f t="shared" si="51"/>
        <v>21.428104490999999</v>
      </c>
      <c r="X293" s="9"/>
      <c r="Y293" s="22">
        <v>0.41503899999999999</v>
      </c>
      <c r="Z293" s="22">
        <v>139.03299999999999</v>
      </c>
      <c r="AA293" s="22">
        <v>-1.7453E-2</v>
      </c>
      <c r="AB293" s="22">
        <v>283</v>
      </c>
      <c r="AC293" s="22">
        <v>0.41430699999999998</v>
      </c>
      <c r="AD293">
        <f t="shared" si="52"/>
        <v>17.452999999999999</v>
      </c>
      <c r="AE293">
        <f t="shared" si="53"/>
        <v>7.2436756669999998</v>
      </c>
      <c r="AF293" s="9"/>
      <c r="AG293" s="22">
        <v>1.32507</v>
      </c>
      <c r="AH293" s="22">
        <v>188.64699999999999</v>
      </c>
      <c r="AI293" s="22">
        <v>-1.6186499999999999E-2</v>
      </c>
      <c r="AJ293" s="22">
        <v>283</v>
      </c>
      <c r="AK293" s="22">
        <v>1.32416</v>
      </c>
      <c r="AL293">
        <f t="shared" si="54"/>
        <v>16.186499999999999</v>
      </c>
      <c r="AM293">
        <f t="shared" si="55"/>
        <v>21.448245554999996</v>
      </c>
      <c r="AP293" s="9"/>
      <c r="AQ293" s="22">
        <v>0.41503899999999999</v>
      </c>
      <c r="AR293" s="22">
        <v>238.27099999999999</v>
      </c>
      <c r="AS293" s="25">
        <v>2.7587900000000001E-5</v>
      </c>
      <c r="AT293" s="22">
        <v>283</v>
      </c>
      <c r="AU293" s="22">
        <v>7.8552200000000003E-2</v>
      </c>
      <c r="AV293">
        <f t="shared" si="56"/>
        <v>-2.7587900000000002E-2</v>
      </c>
      <c r="AW293">
        <f t="shared" si="57"/>
        <v>-1.1450054428100001E-2</v>
      </c>
      <c r="AX293" s="9"/>
      <c r="AY293" s="22">
        <v>1.32507</v>
      </c>
      <c r="AZ293" s="22">
        <v>254.33099999999999</v>
      </c>
      <c r="BA293" s="22">
        <v>-7.1624799999999997E-3</v>
      </c>
      <c r="BB293" s="22">
        <v>283</v>
      </c>
      <c r="BC293" s="22">
        <v>1.32385</v>
      </c>
      <c r="BD293">
        <f t="shared" si="58"/>
        <v>7.1624799999999995</v>
      </c>
      <c r="BE293">
        <f t="shared" si="59"/>
        <v>9.4907873735999999</v>
      </c>
    </row>
    <row r="294" spans="6:57">
      <c r="F294" s="9"/>
      <c r="G294" s="22">
        <v>0.41000399999999998</v>
      </c>
      <c r="H294" s="22">
        <v>40.059100000000001</v>
      </c>
      <c r="I294" s="22">
        <v>-1.67969E-2</v>
      </c>
      <c r="J294" s="22">
        <v>284</v>
      </c>
      <c r="K294" s="22">
        <v>0.40914899999999998</v>
      </c>
      <c r="L294">
        <f t="shared" si="48"/>
        <v>16.796900000000001</v>
      </c>
      <c r="M294">
        <f t="shared" si="49"/>
        <v>6.8867961875999999</v>
      </c>
      <c r="N294" s="9"/>
      <c r="O294" s="22">
        <v>1.3301099999999999</v>
      </c>
      <c r="P294" s="22">
        <v>89.497500000000002</v>
      </c>
      <c r="Q294" s="22">
        <v>-1.6162099999999999E-2</v>
      </c>
      <c r="R294" s="22">
        <v>284</v>
      </c>
      <c r="S294" s="22">
        <v>1.32904</v>
      </c>
      <c r="T294">
        <f t="shared" si="50"/>
        <v>16.162099999999999</v>
      </c>
      <c r="U294">
        <f t="shared" si="51"/>
        <v>21.497370830999998</v>
      </c>
      <c r="X294" s="9"/>
      <c r="Y294" s="22">
        <v>0.41000399999999998</v>
      </c>
      <c r="Z294" s="22">
        <v>139.04300000000001</v>
      </c>
      <c r="AA294" s="22">
        <v>-1.7459100000000002E-2</v>
      </c>
      <c r="AB294" s="22">
        <v>284</v>
      </c>
      <c r="AC294" s="22">
        <v>0.40942400000000001</v>
      </c>
      <c r="AD294">
        <f t="shared" si="52"/>
        <v>17.459100000000003</v>
      </c>
      <c r="AE294">
        <f t="shared" si="53"/>
        <v>7.1583008364000005</v>
      </c>
      <c r="AF294" s="9"/>
      <c r="AG294" s="22">
        <v>1.3301099999999999</v>
      </c>
      <c r="AH294" s="22">
        <v>188.65700000000001</v>
      </c>
      <c r="AI294" s="22">
        <v>-1.6180400000000001E-2</v>
      </c>
      <c r="AJ294" s="22">
        <v>284</v>
      </c>
      <c r="AK294" s="22">
        <v>1.32965</v>
      </c>
      <c r="AL294">
        <f t="shared" si="54"/>
        <v>16.180400000000002</v>
      </c>
      <c r="AM294">
        <f t="shared" si="55"/>
        <v>21.521711844000002</v>
      </c>
      <c r="AP294" s="9"/>
      <c r="AQ294" s="22">
        <v>0.41000399999999998</v>
      </c>
      <c r="AR294" s="22">
        <v>238.28100000000001</v>
      </c>
      <c r="AS294" s="25">
        <v>2.8778100000000001E-5</v>
      </c>
      <c r="AT294" s="22">
        <v>284</v>
      </c>
      <c r="AU294" s="22">
        <v>7.86438E-2</v>
      </c>
      <c r="AV294">
        <f t="shared" si="56"/>
        <v>-2.8778100000000001E-2</v>
      </c>
      <c r="AW294">
        <f t="shared" si="57"/>
        <v>-1.1799136112399999E-2</v>
      </c>
      <c r="AX294" s="9"/>
      <c r="AY294" s="22">
        <v>1.3301099999999999</v>
      </c>
      <c r="AZ294" s="22">
        <v>254.34100000000001</v>
      </c>
      <c r="BA294" s="22">
        <v>-7.0922900000000002E-3</v>
      </c>
      <c r="BB294" s="22">
        <v>284</v>
      </c>
      <c r="BC294" s="22">
        <v>1.32904</v>
      </c>
      <c r="BD294">
        <f t="shared" si="58"/>
        <v>7.0922900000000002</v>
      </c>
      <c r="BE294">
        <f t="shared" si="59"/>
        <v>9.4335258518999989</v>
      </c>
    </row>
    <row r="295" spans="6:57">
      <c r="F295" s="9"/>
      <c r="G295" s="22">
        <v>0.40496799999999999</v>
      </c>
      <c r="H295" s="22">
        <v>40.069200000000002</v>
      </c>
      <c r="I295" s="22">
        <v>-1.6821300000000001E-2</v>
      </c>
      <c r="J295" s="22">
        <v>285</v>
      </c>
      <c r="K295" s="22">
        <v>0.40417500000000001</v>
      </c>
      <c r="L295">
        <f t="shared" si="48"/>
        <v>16.821300000000001</v>
      </c>
      <c r="M295">
        <f t="shared" si="49"/>
        <v>6.8120882184000005</v>
      </c>
      <c r="N295" s="9"/>
      <c r="O295" s="22">
        <v>1.33514</v>
      </c>
      <c r="P295" s="22">
        <v>89.507599999999996</v>
      </c>
      <c r="Q295" s="22">
        <v>-1.6162099999999999E-2</v>
      </c>
      <c r="R295" s="22">
        <v>285</v>
      </c>
      <c r="S295" s="22">
        <v>1.33392</v>
      </c>
      <c r="T295">
        <f t="shared" si="50"/>
        <v>16.162099999999999</v>
      </c>
      <c r="U295">
        <f t="shared" si="51"/>
        <v>21.578666193999997</v>
      </c>
      <c r="X295" s="9"/>
      <c r="Y295" s="22">
        <v>0.40496799999999999</v>
      </c>
      <c r="Z295" s="22">
        <v>139.053</v>
      </c>
      <c r="AA295" s="22">
        <v>-1.7459100000000002E-2</v>
      </c>
      <c r="AB295" s="22">
        <v>285</v>
      </c>
      <c r="AC295" s="22">
        <v>0.40448000000000001</v>
      </c>
      <c r="AD295">
        <f t="shared" si="52"/>
        <v>17.459100000000003</v>
      </c>
      <c r="AE295">
        <f t="shared" si="53"/>
        <v>7.0703768088000007</v>
      </c>
      <c r="AF295" s="9"/>
      <c r="AG295" s="22">
        <v>1.33514</v>
      </c>
      <c r="AH295" s="22">
        <v>188.667</v>
      </c>
      <c r="AI295" s="22">
        <v>-1.6174299999999999E-2</v>
      </c>
      <c r="AJ295" s="22">
        <v>285</v>
      </c>
      <c r="AK295" s="22">
        <v>1.33453</v>
      </c>
      <c r="AL295">
        <f t="shared" si="54"/>
        <v>16.174299999999999</v>
      </c>
      <c r="AM295">
        <f t="shared" si="55"/>
        <v>21.594954901999998</v>
      </c>
      <c r="AP295" s="9"/>
      <c r="AQ295" s="22">
        <v>0.40496799999999999</v>
      </c>
      <c r="AR295" s="22">
        <v>238.291</v>
      </c>
      <c r="AS295" s="25">
        <v>2.67639E-5</v>
      </c>
      <c r="AT295" s="22">
        <v>285</v>
      </c>
      <c r="AU295" s="22">
        <v>7.8613299999999997E-2</v>
      </c>
      <c r="AV295">
        <f t="shared" si="56"/>
        <v>-2.67639E-2</v>
      </c>
      <c r="AW295">
        <f t="shared" si="57"/>
        <v>-1.08385230552E-2</v>
      </c>
      <c r="AX295" s="9"/>
      <c r="AY295" s="22">
        <v>1.33514</v>
      </c>
      <c r="AZ295" s="22">
        <v>254.351</v>
      </c>
      <c r="BA295" s="22">
        <v>-7.0861800000000001E-3</v>
      </c>
      <c r="BB295" s="22">
        <v>285</v>
      </c>
      <c r="BC295" s="22">
        <v>1.33362</v>
      </c>
      <c r="BD295">
        <f t="shared" si="58"/>
        <v>7.0861799999999997</v>
      </c>
      <c r="BE295">
        <f t="shared" si="59"/>
        <v>9.4610423651999991</v>
      </c>
    </row>
    <row r="296" spans="6:57">
      <c r="F296" s="9"/>
      <c r="G296" s="22">
        <v>0.39993299999999998</v>
      </c>
      <c r="H296" s="22">
        <v>40.0792</v>
      </c>
      <c r="I296" s="22">
        <v>-1.68243E-2</v>
      </c>
      <c r="J296" s="22">
        <v>286</v>
      </c>
      <c r="K296" s="22">
        <v>0.39907799999999999</v>
      </c>
      <c r="L296">
        <f t="shared" si="48"/>
        <v>16.824300000000001</v>
      </c>
      <c r="M296">
        <f t="shared" si="49"/>
        <v>6.7285927718999998</v>
      </c>
      <c r="N296" s="9"/>
      <c r="O296" s="22">
        <v>1.3401799999999999</v>
      </c>
      <c r="P296" s="22">
        <v>89.517700000000005</v>
      </c>
      <c r="Q296" s="22">
        <v>-1.6159099999999999E-2</v>
      </c>
      <c r="R296" s="22">
        <v>286</v>
      </c>
      <c r="S296" s="22">
        <v>1.3394200000000001</v>
      </c>
      <c r="T296">
        <f t="shared" si="50"/>
        <v>16.159099999999999</v>
      </c>
      <c r="U296">
        <f t="shared" si="51"/>
        <v>21.656102637999997</v>
      </c>
      <c r="X296" s="9"/>
      <c r="Y296" s="22">
        <v>0.39993299999999998</v>
      </c>
      <c r="Z296" s="22">
        <v>139.06299999999999</v>
      </c>
      <c r="AA296" s="22">
        <v>-1.7468299999999999E-2</v>
      </c>
      <c r="AB296" s="22">
        <v>286</v>
      </c>
      <c r="AC296" s="22">
        <v>0.39917000000000002</v>
      </c>
      <c r="AD296">
        <f t="shared" si="52"/>
        <v>17.468299999999999</v>
      </c>
      <c r="AE296">
        <f t="shared" si="53"/>
        <v>6.9861496238999994</v>
      </c>
      <c r="AF296" s="9"/>
      <c r="AG296" s="22">
        <v>1.3401799999999999</v>
      </c>
      <c r="AH296" s="22">
        <v>188.678</v>
      </c>
      <c r="AI296" s="22">
        <v>-1.6165200000000001E-2</v>
      </c>
      <c r="AJ296" s="22">
        <v>286</v>
      </c>
      <c r="AK296" s="22">
        <v>1.33911</v>
      </c>
      <c r="AL296">
        <f t="shared" si="54"/>
        <v>16.165200000000002</v>
      </c>
      <c r="AM296">
        <f t="shared" si="55"/>
        <v>21.664277736000003</v>
      </c>
      <c r="AP296" s="9"/>
      <c r="AQ296" s="22">
        <v>0.39993299999999998</v>
      </c>
      <c r="AR296" s="22">
        <v>238.30099999999999</v>
      </c>
      <c r="AS296" s="25">
        <v>2.56653E-5</v>
      </c>
      <c r="AT296" s="22">
        <v>286</v>
      </c>
      <c r="AU296" s="22">
        <v>7.8613299999999997E-2</v>
      </c>
      <c r="AV296">
        <f t="shared" si="56"/>
        <v>-2.5665299999999999E-2</v>
      </c>
      <c r="AW296">
        <f t="shared" si="57"/>
        <v>-1.0264400424899999E-2</v>
      </c>
      <c r="AX296" s="9"/>
      <c r="AY296" s="22">
        <v>1.3401799999999999</v>
      </c>
      <c r="AZ296" s="22">
        <v>254.36099999999999</v>
      </c>
      <c r="BA296" s="22">
        <v>-7.1258500000000004E-3</v>
      </c>
      <c r="BB296" s="22">
        <v>286</v>
      </c>
      <c r="BC296" s="22">
        <v>1.3385</v>
      </c>
      <c r="BD296">
        <f t="shared" si="58"/>
        <v>7.1258500000000007</v>
      </c>
      <c r="BE296">
        <f t="shared" si="59"/>
        <v>9.5499216530000002</v>
      </c>
    </row>
    <row r="297" spans="6:57">
      <c r="F297" s="9"/>
      <c r="G297" s="22">
        <v>0.394897</v>
      </c>
      <c r="H297" s="22">
        <v>40.089300000000001</v>
      </c>
      <c r="I297" s="22">
        <v>-1.6827399999999999E-2</v>
      </c>
      <c r="J297" s="22">
        <v>287</v>
      </c>
      <c r="K297" s="22">
        <v>0.39407300000000001</v>
      </c>
      <c r="L297">
        <f t="shared" si="48"/>
        <v>16.827400000000001</v>
      </c>
      <c r="M297">
        <f t="shared" si="49"/>
        <v>6.6450897778</v>
      </c>
      <c r="N297" s="9"/>
      <c r="O297" s="22">
        <v>1.34521</v>
      </c>
      <c r="P297" s="22">
        <v>89.527699999999996</v>
      </c>
      <c r="Q297" s="22">
        <v>-1.6156E-2</v>
      </c>
      <c r="R297" s="22">
        <v>287</v>
      </c>
      <c r="S297" s="22">
        <v>1.3436900000000001</v>
      </c>
      <c r="T297">
        <f t="shared" si="50"/>
        <v>16.155999999999999</v>
      </c>
      <c r="U297">
        <f t="shared" si="51"/>
        <v>21.733212759999997</v>
      </c>
      <c r="X297" s="9"/>
      <c r="Y297" s="22">
        <v>0.394897</v>
      </c>
      <c r="Z297" s="22">
        <v>139.07300000000001</v>
      </c>
      <c r="AA297" s="22">
        <v>-1.74652E-2</v>
      </c>
      <c r="AB297" s="22">
        <v>287</v>
      </c>
      <c r="AC297" s="22">
        <v>0.39468399999999998</v>
      </c>
      <c r="AD297">
        <f t="shared" si="52"/>
        <v>17.465199999999999</v>
      </c>
      <c r="AE297">
        <f t="shared" si="53"/>
        <v>6.8969550844</v>
      </c>
      <c r="AF297" s="9"/>
      <c r="AG297" s="22">
        <v>1.34521</v>
      </c>
      <c r="AH297" s="22">
        <v>188.68799999999999</v>
      </c>
      <c r="AI297" s="22">
        <v>-1.6156E-2</v>
      </c>
      <c r="AJ297" s="22">
        <v>287</v>
      </c>
      <c r="AK297" s="22">
        <v>1.3436900000000001</v>
      </c>
      <c r="AL297">
        <f t="shared" si="54"/>
        <v>16.155999999999999</v>
      </c>
      <c r="AM297">
        <f t="shared" si="55"/>
        <v>21.733212759999997</v>
      </c>
      <c r="AP297" s="9"/>
      <c r="AQ297" s="22">
        <v>0.394897</v>
      </c>
      <c r="AR297" s="22">
        <v>238.31100000000001</v>
      </c>
      <c r="AS297" s="25">
        <v>2.6702900000000001E-5</v>
      </c>
      <c r="AT297" s="22">
        <v>287</v>
      </c>
      <c r="AU297" s="22">
        <v>7.8582799999999994E-2</v>
      </c>
      <c r="AV297">
        <f t="shared" si="56"/>
        <v>-2.6702900000000002E-2</v>
      </c>
      <c r="AW297">
        <f t="shared" si="57"/>
        <v>-1.05448951013E-2</v>
      </c>
      <c r="AX297" s="9"/>
      <c r="AY297" s="22">
        <v>1.34521</v>
      </c>
      <c r="AZ297" s="22">
        <v>254.37100000000001</v>
      </c>
      <c r="BA297" s="22">
        <v>-7.11365E-3</v>
      </c>
      <c r="BB297" s="22">
        <v>287</v>
      </c>
      <c r="BC297" s="22">
        <v>1.34399</v>
      </c>
      <c r="BD297">
        <f t="shared" si="58"/>
        <v>7.1136499999999998</v>
      </c>
      <c r="BE297">
        <f t="shared" si="59"/>
        <v>9.5693531165000003</v>
      </c>
    </row>
    <row r="298" spans="6:57">
      <c r="F298" s="9"/>
      <c r="G298" s="22">
        <v>0.38986199999999999</v>
      </c>
      <c r="H298" s="22">
        <v>40.099400000000003</v>
      </c>
      <c r="I298" s="22">
        <v>-1.6830399999999999E-2</v>
      </c>
      <c r="J298" s="22">
        <v>288</v>
      </c>
      <c r="K298" s="22">
        <v>0.38888499999999998</v>
      </c>
      <c r="L298">
        <f t="shared" si="48"/>
        <v>16.830399999999997</v>
      </c>
      <c r="M298">
        <f t="shared" si="49"/>
        <v>6.5615334047999987</v>
      </c>
      <c r="N298" s="9"/>
      <c r="O298" s="22">
        <v>1.35025</v>
      </c>
      <c r="P298" s="22">
        <v>89.537800000000004</v>
      </c>
      <c r="Q298" s="22">
        <v>-1.6146899999999999E-2</v>
      </c>
      <c r="R298" s="22">
        <v>288</v>
      </c>
      <c r="S298" s="22">
        <v>1.34918</v>
      </c>
      <c r="T298">
        <f t="shared" si="50"/>
        <v>16.146899999999999</v>
      </c>
      <c r="U298">
        <f t="shared" si="51"/>
        <v>21.802351724999998</v>
      </c>
      <c r="X298" s="9"/>
      <c r="Y298" s="22">
        <v>0.38986199999999999</v>
      </c>
      <c r="Z298" s="22">
        <v>139.083</v>
      </c>
      <c r="AA298" s="22">
        <v>-1.7474400000000001E-2</v>
      </c>
      <c r="AB298" s="22">
        <v>288</v>
      </c>
      <c r="AC298" s="22">
        <v>0.38900800000000002</v>
      </c>
      <c r="AD298">
        <f t="shared" si="52"/>
        <v>17.474400000000003</v>
      </c>
      <c r="AE298">
        <f t="shared" si="53"/>
        <v>6.8126045328000009</v>
      </c>
      <c r="AF298" s="9"/>
      <c r="AG298" s="22">
        <v>1.35025</v>
      </c>
      <c r="AH298" s="22">
        <v>188.69800000000001</v>
      </c>
      <c r="AI298" s="22">
        <v>-1.61438E-2</v>
      </c>
      <c r="AJ298" s="22">
        <v>288</v>
      </c>
      <c r="AK298" s="22">
        <v>1.3494900000000001</v>
      </c>
      <c r="AL298">
        <f t="shared" si="54"/>
        <v>16.143799999999999</v>
      </c>
      <c r="AM298">
        <f t="shared" si="55"/>
        <v>21.798165949999998</v>
      </c>
      <c r="AP298" s="9"/>
      <c r="AQ298" s="22">
        <v>0.38986199999999999</v>
      </c>
      <c r="AR298" s="22">
        <v>238.321</v>
      </c>
      <c r="AS298" s="25">
        <v>2.70081E-5</v>
      </c>
      <c r="AT298" s="22">
        <v>288</v>
      </c>
      <c r="AU298" s="22">
        <v>7.8552200000000003E-2</v>
      </c>
      <c r="AV298">
        <f t="shared" si="56"/>
        <v>-2.70081E-2</v>
      </c>
      <c r="AW298">
        <f t="shared" si="57"/>
        <v>-1.0529431882199999E-2</v>
      </c>
      <c r="AX298" s="9"/>
      <c r="AY298" s="22">
        <v>1.35025</v>
      </c>
      <c r="AZ298" s="22">
        <v>254.381</v>
      </c>
      <c r="BA298" s="22">
        <v>-6.7077600000000001E-3</v>
      </c>
      <c r="BB298" s="22">
        <v>288</v>
      </c>
      <c r="BC298" s="22">
        <v>1.3494900000000001</v>
      </c>
      <c r="BD298">
        <f t="shared" si="58"/>
        <v>6.7077600000000004</v>
      </c>
      <c r="BE298">
        <f t="shared" si="59"/>
        <v>9.0571529399999999</v>
      </c>
    </row>
    <row r="299" spans="6:57">
      <c r="F299" s="9"/>
      <c r="G299" s="22">
        <v>0.38482699999999997</v>
      </c>
      <c r="H299" s="22">
        <v>40.109400000000001</v>
      </c>
      <c r="I299" s="22">
        <v>-1.6833500000000001E-2</v>
      </c>
      <c r="J299" s="22">
        <v>289</v>
      </c>
      <c r="K299" s="22">
        <v>0.38400299999999998</v>
      </c>
      <c r="L299">
        <f t="shared" si="48"/>
        <v>16.833500000000001</v>
      </c>
      <c r="M299">
        <f t="shared" si="49"/>
        <v>6.4779853044999998</v>
      </c>
      <c r="N299" s="9"/>
      <c r="O299" s="22">
        <v>1.3552900000000001</v>
      </c>
      <c r="P299" s="22">
        <v>89.547899999999998</v>
      </c>
      <c r="Q299" s="22">
        <v>-1.6140700000000001E-2</v>
      </c>
      <c r="R299" s="22">
        <v>289</v>
      </c>
      <c r="S299" s="22">
        <v>1.35406</v>
      </c>
      <c r="T299">
        <f t="shared" si="50"/>
        <v>16.140700000000002</v>
      </c>
      <c r="U299">
        <f t="shared" si="51"/>
        <v>21.875329303000004</v>
      </c>
      <c r="X299" s="9"/>
      <c r="Y299" s="22">
        <v>0.38482699999999997</v>
      </c>
      <c r="Z299" s="22">
        <v>139.09299999999999</v>
      </c>
      <c r="AA299" s="22">
        <v>-1.7483499999999999E-2</v>
      </c>
      <c r="AB299" s="22">
        <v>289</v>
      </c>
      <c r="AC299" s="22">
        <v>0.384216</v>
      </c>
      <c r="AD299">
        <f t="shared" si="52"/>
        <v>17.483499999999999</v>
      </c>
      <c r="AE299">
        <f t="shared" si="53"/>
        <v>6.7281228544999996</v>
      </c>
      <c r="AF299" s="9"/>
      <c r="AG299" s="22">
        <v>1.3552900000000001</v>
      </c>
      <c r="AH299" s="22">
        <v>188.708</v>
      </c>
      <c r="AI299" s="22">
        <v>-1.6134599999999999E-2</v>
      </c>
      <c r="AJ299" s="22">
        <v>289</v>
      </c>
      <c r="AK299" s="22">
        <v>1.35406</v>
      </c>
      <c r="AL299">
        <f t="shared" si="54"/>
        <v>16.134599999999999</v>
      </c>
      <c r="AM299">
        <f t="shared" si="55"/>
        <v>21.867062034</v>
      </c>
      <c r="AP299" s="9"/>
      <c r="AQ299" s="22">
        <v>0.38482699999999997</v>
      </c>
      <c r="AR299" s="22">
        <v>238.33099999999999</v>
      </c>
      <c r="AS299" s="25">
        <v>2.78625E-5</v>
      </c>
      <c r="AT299" s="22">
        <v>289</v>
      </c>
      <c r="AU299" s="22">
        <v>7.86438E-2</v>
      </c>
      <c r="AV299">
        <f t="shared" si="56"/>
        <v>-2.7862499999999998E-2</v>
      </c>
      <c r="AW299">
        <f t="shared" si="57"/>
        <v>-1.0722242287499999E-2</v>
      </c>
      <c r="AX299" s="9"/>
      <c r="AY299" s="22">
        <v>1.3552900000000001</v>
      </c>
      <c r="AZ299" s="22">
        <v>254.39099999999999</v>
      </c>
      <c r="BA299" s="22">
        <v>-6.6803000000000001E-3</v>
      </c>
      <c r="BB299" s="22">
        <v>289</v>
      </c>
      <c r="BC299" s="22">
        <v>1.3546800000000001</v>
      </c>
      <c r="BD299">
        <f t="shared" si="58"/>
        <v>6.6802999999999999</v>
      </c>
      <c r="BE299">
        <f t="shared" si="59"/>
        <v>9.0537437870000002</v>
      </c>
    </row>
    <row r="300" spans="6:57">
      <c r="F300" s="9"/>
      <c r="G300" s="22">
        <v>0.37979099999999999</v>
      </c>
      <c r="H300" s="22">
        <v>40.119500000000002</v>
      </c>
      <c r="I300" s="22">
        <v>-1.6836500000000001E-2</v>
      </c>
      <c r="J300" s="22">
        <v>290</v>
      </c>
      <c r="K300" s="22">
        <v>0.37878400000000001</v>
      </c>
      <c r="L300">
        <f t="shared" si="48"/>
        <v>16.836500000000001</v>
      </c>
      <c r="M300">
        <f t="shared" si="49"/>
        <v>6.3943511715000003</v>
      </c>
      <c r="N300" s="9"/>
      <c r="O300" s="22">
        <v>1.36032</v>
      </c>
      <c r="P300" s="22">
        <v>89.557900000000004</v>
      </c>
      <c r="Q300" s="22">
        <v>-1.6131599999999999E-2</v>
      </c>
      <c r="R300" s="22">
        <v>290</v>
      </c>
      <c r="S300" s="22">
        <v>1.3592500000000001</v>
      </c>
      <c r="T300">
        <f t="shared" si="50"/>
        <v>16.131599999999999</v>
      </c>
      <c r="U300">
        <f t="shared" si="51"/>
        <v>21.944138111999997</v>
      </c>
      <c r="X300" s="9"/>
      <c r="Y300" s="22">
        <v>0.37979099999999999</v>
      </c>
      <c r="Z300" s="22">
        <v>139.10300000000001</v>
      </c>
      <c r="AA300" s="22">
        <v>-1.7489600000000001E-2</v>
      </c>
      <c r="AB300" s="22">
        <v>290</v>
      </c>
      <c r="AC300" s="22">
        <v>0.37921100000000002</v>
      </c>
      <c r="AD300">
        <f t="shared" si="52"/>
        <v>17.489599999999999</v>
      </c>
      <c r="AE300">
        <f t="shared" si="53"/>
        <v>6.6423926735999999</v>
      </c>
      <c r="AF300" s="9"/>
      <c r="AG300" s="22">
        <v>1.36032</v>
      </c>
      <c r="AH300" s="22">
        <v>188.71799999999999</v>
      </c>
      <c r="AI300" s="22">
        <v>-1.6131599999999999E-2</v>
      </c>
      <c r="AJ300" s="22">
        <v>290</v>
      </c>
      <c r="AK300" s="22">
        <v>1.3592500000000001</v>
      </c>
      <c r="AL300">
        <f t="shared" si="54"/>
        <v>16.131599999999999</v>
      </c>
      <c r="AM300">
        <f t="shared" si="55"/>
        <v>21.944138111999997</v>
      </c>
      <c r="AP300" s="9"/>
      <c r="AQ300" s="22">
        <v>0.37979099999999999</v>
      </c>
      <c r="AR300" s="22">
        <v>238.34100000000001</v>
      </c>
      <c r="AS300" s="25">
        <v>2.5726300000000001E-5</v>
      </c>
      <c r="AT300" s="22">
        <v>290</v>
      </c>
      <c r="AU300" s="22">
        <v>7.8613299999999997E-2</v>
      </c>
      <c r="AV300">
        <f t="shared" si="56"/>
        <v>-2.5726300000000001E-2</v>
      </c>
      <c r="AW300">
        <f t="shared" si="57"/>
        <v>-9.7706172033000006E-3</v>
      </c>
      <c r="AX300" s="9"/>
      <c r="AY300" s="22">
        <v>1.36032</v>
      </c>
      <c r="AZ300" s="22">
        <v>254.40100000000001</v>
      </c>
      <c r="BA300" s="22">
        <v>-6.6680899999999998E-3</v>
      </c>
      <c r="BB300" s="22">
        <v>290</v>
      </c>
      <c r="BC300" s="22">
        <v>1.3592500000000001</v>
      </c>
      <c r="BD300">
        <f t="shared" si="58"/>
        <v>6.6680899999999994</v>
      </c>
      <c r="BE300">
        <f t="shared" si="59"/>
        <v>9.0707361887999998</v>
      </c>
    </row>
    <row r="301" spans="6:57">
      <c r="F301" s="9"/>
      <c r="G301" s="22">
        <v>0.37475599999999998</v>
      </c>
      <c r="H301" s="22">
        <v>40.129600000000003</v>
      </c>
      <c r="I301" s="22">
        <v>-1.68396E-2</v>
      </c>
      <c r="J301" s="22">
        <v>291</v>
      </c>
      <c r="K301" s="22">
        <v>0.373749</v>
      </c>
      <c r="L301">
        <f t="shared" si="48"/>
        <v>16.839600000000001</v>
      </c>
      <c r="M301">
        <f t="shared" si="49"/>
        <v>6.3107411376</v>
      </c>
      <c r="N301" s="9"/>
      <c r="O301" s="22">
        <v>1.3653599999999999</v>
      </c>
      <c r="P301" s="22">
        <v>89.567999999999998</v>
      </c>
      <c r="Q301" s="22">
        <v>-1.61163E-2</v>
      </c>
      <c r="R301" s="22">
        <v>291</v>
      </c>
      <c r="S301" s="22">
        <v>1.3644400000000001</v>
      </c>
      <c r="T301">
        <f t="shared" si="50"/>
        <v>16.116299999999999</v>
      </c>
      <c r="U301">
        <f t="shared" si="51"/>
        <v>22.004551367999998</v>
      </c>
      <c r="X301" s="9"/>
      <c r="Y301" s="22">
        <v>0.37475599999999998</v>
      </c>
      <c r="Z301" s="22">
        <v>139.113</v>
      </c>
      <c r="AA301" s="22">
        <v>-1.7495699999999999E-2</v>
      </c>
      <c r="AB301" s="22">
        <v>291</v>
      </c>
      <c r="AC301" s="22">
        <v>0.37439</v>
      </c>
      <c r="AD301">
        <f t="shared" si="52"/>
        <v>17.495699999999999</v>
      </c>
      <c r="AE301">
        <f t="shared" si="53"/>
        <v>6.5566185491999995</v>
      </c>
      <c r="AF301" s="9"/>
      <c r="AG301" s="22">
        <v>1.3653599999999999</v>
      </c>
      <c r="AH301" s="22">
        <v>188.72800000000001</v>
      </c>
      <c r="AI301" s="22">
        <v>-1.6125500000000001E-2</v>
      </c>
      <c r="AJ301" s="22">
        <v>291</v>
      </c>
      <c r="AK301" s="22">
        <v>1.3644400000000001</v>
      </c>
      <c r="AL301">
        <f t="shared" si="54"/>
        <v>16.125500000000002</v>
      </c>
      <c r="AM301">
        <f t="shared" si="55"/>
        <v>22.01711268</v>
      </c>
      <c r="AP301" s="9"/>
      <c r="AQ301" s="22">
        <v>0.37475599999999998</v>
      </c>
      <c r="AR301" s="22">
        <v>238.351</v>
      </c>
      <c r="AS301" s="25">
        <v>2.4780300000000001E-5</v>
      </c>
      <c r="AT301" s="22">
        <v>291</v>
      </c>
      <c r="AU301" s="22">
        <v>7.86438E-2</v>
      </c>
      <c r="AV301">
        <f t="shared" si="56"/>
        <v>-2.4780300000000002E-2</v>
      </c>
      <c r="AW301">
        <f t="shared" si="57"/>
        <v>-9.2865661068000007E-3</v>
      </c>
      <c r="AX301" s="9"/>
      <c r="AY301" s="22">
        <v>1.3653599999999999</v>
      </c>
      <c r="AZ301" s="22">
        <v>254.411</v>
      </c>
      <c r="BA301" s="22">
        <v>-6.5795899999999997E-3</v>
      </c>
      <c r="BB301" s="22">
        <v>291</v>
      </c>
      <c r="BC301" s="22">
        <v>1.3638300000000001</v>
      </c>
      <c r="BD301">
        <f t="shared" si="58"/>
        <v>6.5795899999999996</v>
      </c>
      <c r="BE301">
        <f t="shared" si="59"/>
        <v>8.9835090023999982</v>
      </c>
    </row>
    <row r="302" spans="6:57">
      <c r="F302" s="9"/>
      <c r="G302" s="22">
        <v>0.36971999999999999</v>
      </c>
      <c r="H302" s="22">
        <v>40.139600000000002</v>
      </c>
      <c r="I302" s="22">
        <v>-1.6845700000000002E-2</v>
      </c>
      <c r="J302" s="22">
        <v>292</v>
      </c>
      <c r="K302" s="22">
        <v>0.36877399999999999</v>
      </c>
      <c r="L302">
        <f t="shared" si="48"/>
        <v>16.845700000000001</v>
      </c>
      <c r="M302">
        <f t="shared" si="49"/>
        <v>6.228192204</v>
      </c>
      <c r="N302" s="9"/>
      <c r="O302" s="22">
        <v>1.37039</v>
      </c>
      <c r="P302" s="22">
        <v>89.578100000000006</v>
      </c>
      <c r="Q302" s="22">
        <v>-1.6107199999999999E-2</v>
      </c>
      <c r="R302" s="22">
        <v>292</v>
      </c>
      <c r="S302" s="22">
        <v>1.3690199999999999</v>
      </c>
      <c r="T302">
        <f t="shared" si="50"/>
        <v>16.107199999999999</v>
      </c>
      <c r="U302">
        <f t="shared" si="51"/>
        <v>22.073145808</v>
      </c>
      <c r="X302" s="9"/>
      <c r="Y302" s="22">
        <v>0.36971999999999999</v>
      </c>
      <c r="Z302" s="22">
        <v>139.124</v>
      </c>
      <c r="AA302" s="22">
        <v>-1.7501800000000001E-2</v>
      </c>
      <c r="AB302" s="22">
        <v>292</v>
      </c>
      <c r="AC302" s="22">
        <v>0.36917100000000003</v>
      </c>
      <c r="AD302">
        <f t="shared" si="52"/>
        <v>17.501800000000003</v>
      </c>
      <c r="AE302">
        <f t="shared" si="53"/>
        <v>6.4707654960000012</v>
      </c>
      <c r="AF302" s="9"/>
      <c r="AG302" s="22">
        <v>1.37039</v>
      </c>
      <c r="AH302" s="22">
        <v>188.738</v>
      </c>
      <c r="AI302" s="22">
        <v>-1.6122399999999999E-2</v>
      </c>
      <c r="AJ302" s="22">
        <v>292</v>
      </c>
      <c r="AK302" s="22">
        <v>1.3696299999999999</v>
      </c>
      <c r="AL302">
        <f t="shared" si="54"/>
        <v>16.122399999999999</v>
      </c>
      <c r="AM302">
        <f t="shared" si="55"/>
        <v>22.093975735999997</v>
      </c>
      <c r="AP302" s="9"/>
      <c r="AQ302" s="22">
        <v>0.36971999999999999</v>
      </c>
      <c r="AR302" s="22">
        <v>238.36099999999999</v>
      </c>
      <c r="AS302" s="25">
        <v>2.6306199999999999E-5</v>
      </c>
      <c r="AT302" s="22">
        <v>292</v>
      </c>
      <c r="AU302" s="22">
        <v>7.86438E-2</v>
      </c>
      <c r="AV302">
        <f t="shared" si="56"/>
        <v>-2.6306199999999998E-2</v>
      </c>
      <c r="AW302">
        <f t="shared" si="57"/>
        <v>-9.7259282639999989E-3</v>
      </c>
      <c r="AX302" s="9"/>
      <c r="AY302" s="22">
        <v>1.37039</v>
      </c>
      <c r="AZ302" s="22">
        <v>254.42099999999999</v>
      </c>
      <c r="BA302" s="22">
        <v>-6.6406299999999998E-3</v>
      </c>
      <c r="BB302" s="22">
        <v>292</v>
      </c>
      <c r="BC302" s="22">
        <v>1.3690199999999999</v>
      </c>
      <c r="BD302">
        <f t="shared" si="58"/>
        <v>6.6406299999999998</v>
      </c>
      <c r="BE302">
        <f t="shared" si="59"/>
        <v>9.1002529456999994</v>
      </c>
    </row>
    <row r="303" spans="6:57">
      <c r="F303" s="9"/>
      <c r="G303" s="22">
        <v>0.36468499999999998</v>
      </c>
      <c r="H303" s="22">
        <v>40.149700000000003</v>
      </c>
      <c r="I303" s="22">
        <v>-1.6848800000000001E-2</v>
      </c>
      <c r="J303" s="22">
        <v>293</v>
      </c>
      <c r="K303" s="22">
        <v>0.36383100000000002</v>
      </c>
      <c r="L303">
        <f t="shared" si="48"/>
        <v>16.848800000000001</v>
      </c>
      <c r="M303">
        <f t="shared" si="49"/>
        <v>6.144504628</v>
      </c>
      <c r="N303" s="9"/>
      <c r="O303" s="22">
        <v>1.3754299999999999</v>
      </c>
      <c r="P303" s="22">
        <v>89.588099999999997</v>
      </c>
      <c r="Q303" s="22">
        <v>-1.61011E-2</v>
      </c>
      <c r="R303" s="22">
        <v>293</v>
      </c>
      <c r="S303" s="22">
        <v>1.3751199999999999</v>
      </c>
      <c r="T303">
        <f t="shared" si="50"/>
        <v>16.101099999999999</v>
      </c>
      <c r="U303">
        <f t="shared" si="51"/>
        <v>22.145935972999997</v>
      </c>
      <c r="X303" s="9"/>
      <c r="Y303" s="22">
        <v>0.36468499999999998</v>
      </c>
      <c r="Z303" s="22">
        <v>139.13399999999999</v>
      </c>
      <c r="AA303" s="22">
        <v>-1.7510999999999999E-2</v>
      </c>
      <c r="AB303" s="22">
        <v>293</v>
      </c>
      <c r="AC303" s="22">
        <v>0.36395300000000003</v>
      </c>
      <c r="AD303">
        <f t="shared" si="52"/>
        <v>17.510999999999999</v>
      </c>
      <c r="AE303">
        <f t="shared" si="53"/>
        <v>6.3859990349999993</v>
      </c>
      <c r="AF303" s="9"/>
      <c r="AG303" s="22">
        <v>1.3754299999999999</v>
      </c>
      <c r="AH303" s="22">
        <v>188.74799999999999</v>
      </c>
      <c r="AI303" s="22">
        <v>-1.6113300000000001E-2</v>
      </c>
      <c r="AJ303" s="22">
        <v>293</v>
      </c>
      <c r="AK303" s="22">
        <v>1.3745099999999999</v>
      </c>
      <c r="AL303">
        <f t="shared" si="54"/>
        <v>16.113299999999999</v>
      </c>
      <c r="AM303">
        <f t="shared" si="55"/>
        <v>22.162716218999996</v>
      </c>
      <c r="AP303" s="9"/>
      <c r="AQ303" s="22">
        <v>0.36468499999999998</v>
      </c>
      <c r="AR303" s="22">
        <v>238.37100000000001</v>
      </c>
      <c r="AS303" s="25">
        <v>2.4292000000000001E-5</v>
      </c>
      <c r="AT303" s="22">
        <v>293</v>
      </c>
      <c r="AU303" s="22">
        <v>7.8582799999999994E-2</v>
      </c>
      <c r="AV303">
        <f t="shared" si="56"/>
        <v>-2.4292000000000001E-2</v>
      </c>
      <c r="AW303">
        <f t="shared" si="57"/>
        <v>-8.8589280200000002E-3</v>
      </c>
      <c r="AX303" s="9"/>
      <c r="AY303" s="22">
        <v>1.3754299999999999</v>
      </c>
      <c r="AZ303" s="22">
        <v>254.43100000000001</v>
      </c>
      <c r="BA303" s="22">
        <v>-6.5734900000000004E-3</v>
      </c>
      <c r="BB303" s="22">
        <v>293</v>
      </c>
      <c r="BC303" s="22">
        <v>1.3742099999999999</v>
      </c>
      <c r="BD303">
        <f t="shared" si="58"/>
        <v>6.5734900000000005</v>
      </c>
      <c r="BE303">
        <f t="shared" si="59"/>
        <v>9.041375350700001</v>
      </c>
    </row>
    <row r="304" spans="6:57">
      <c r="F304" s="9"/>
      <c r="G304" s="22">
        <v>0.35965000000000003</v>
      </c>
      <c r="H304" s="22">
        <v>40.159799999999997</v>
      </c>
      <c r="I304" s="22">
        <v>-1.68518E-2</v>
      </c>
      <c r="J304" s="22">
        <v>294</v>
      </c>
      <c r="K304" s="22">
        <v>0.358765</v>
      </c>
      <c r="L304">
        <f t="shared" si="48"/>
        <v>16.851800000000001</v>
      </c>
      <c r="M304">
        <f t="shared" si="49"/>
        <v>6.0607498700000004</v>
      </c>
      <c r="N304" s="9"/>
      <c r="O304" s="22">
        <v>1.38046</v>
      </c>
      <c r="P304" s="22">
        <v>89.598200000000006</v>
      </c>
      <c r="Q304" s="22">
        <v>-1.6091899999999999E-2</v>
      </c>
      <c r="R304" s="22">
        <v>294</v>
      </c>
      <c r="S304" s="22">
        <v>1.3790899999999999</v>
      </c>
      <c r="T304">
        <f t="shared" si="50"/>
        <v>16.091899999999999</v>
      </c>
      <c r="U304">
        <f t="shared" si="51"/>
        <v>22.214224273999999</v>
      </c>
      <c r="X304" s="9"/>
      <c r="Y304" s="22">
        <v>0.35965000000000003</v>
      </c>
      <c r="Z304" s="22">
        <v>139.14400000000001</v>
      </c>
      <c r="AA304" s="22">
        <v>-1.7510999999999999E-2</v>
      </c>
      <c r="AB304" s="22">
        <v>294</v>
      </c>
      <c r="AC304" s="22">
        <v>0.35909999999999997</v>
      </c>
      <c r="AD304">
        <f t="shared" si="52"/>
        <v>17.510999999999999</v>
      </c>
      <c r="AE304">
        <f t="shared" si="53"/>
        <v>6.2978311500000004</v>
      </c>
      <c r="AF304" s="9"/>
      <c r="AG304" s="22">
        <v>1.38046</v>
      </c>
      <c r="AH304" s="22">
        <v>188.75800000000001</v>
      </c>
      <c r="AI304" s="22">
        <v>-1.6107199999999999E-2</v>
      </c>
      <c r="AJ304" s="22">
        <v>294</v>
      </c>
      <c r="AK304" s="22">
        <v>1.3790899999999999</v>
      </c>
      <c r="AL304">
        <f t="shared" si="54"/>
        <v>16.107199999999999</v>
      </c>
      <c r="AM304">
        <f t="shared" si="55"/>
        <v>22.235345312</v>
      </c>
      <c r="AP304" s="9"/>
      <c r="AQ304" s="22">
        <v>0.35965000000000003</v>
      </c>
      <c r="AR304" s="22">
        <v>238.38200000000001</v>
      </c>
      <c r="AS304" s="25">
        <v>2.3193400000000001E-5</v>
      </c>
      <c r="AT304" s="22">
        <v>294</v>
      </c>
      <c r="AU304" s="22">
        <v>7.8552200000000003E-2</v>
      </c>
      <c r="AV304">
        <f t="shared" si="56"/>
        <v>-2.3193399999999999E-2</v>
      </c>
      <c r="AW304">
        <f t="shared" si="57"/>
        <v>-8.3415063099999999E-3</v>
      </c>
      <c r="AX304" s="9"/>
      <c r="AY304" s="22">
        <v>1.38046</v>
      </c>
      <c r="AZ304" s="22">
        <v>254.441</v>
      </c>
      <c r="BA304" s="22">
        <v>-6.6986099999999998E-3</v>
      </c>
      <c r="BB304" s="22">
        <v>294</v>
      </c>
      <c r="BC304" s="22">
        <v>1.3796999999999999</v>
      </c>
      <c r="BD304">
        <f t="shared" si="58"/>
        <v>6.6986099999999995</v>
      </c>
      <c r="BE304">
        <f t="shared" si="59"/>
        <v>9.2471631605999995</v>
      </c>
    </row>
    <row r="305" spans="6:57">
      <c r="F305" s="9"/>
      <c r="G305" s="22">
        <v>0.35461399999999998</v>
      </c>
      <c r="H305" s="22">
        <v>40.169899999999998</v>
      </c>
      <c r="I305" s="22">
        <v>-1.68518E-2</v>
      </c>
      <c r="J305" s="22">
        <v>295</v>
      </c>
      <c r="K305" s="22">
        <v>0.353821</v>
      </c>
      <c r="L305">
        <f t="shared" si="48"/>
        <v>16.851800000000001</v>
      </c>
      <c r="M305">
        <f t="shared" si="49"/>
        <v>5.9758842051999999</v>
      </c>
      <c r="N305" s="9"/>
      <c r="O305" s="22">
        <v>1.3855</v>
      </c>
      <c r="P305" s="22">
        <v>89.6083</v>
      </c>
      <c r="Q305" s="22">
        <v>-1.6079699999999999E-2</v>
      </c>
      <c r="R305" s="22">
        <v>295</v>
      </c>
      <c r="S305" s="22">
        <v>1.3845799999999999</v>
      </c>
      <c r="T305">
        <f t="shared" si="50"/>
        <v>16.079699999999999</v>
      </c>
      <c r="U305">
        <f t="shared" si="51"/>
        <v>22.278424349999998</v>
      </c>
      <c r="X305" s="9"/>
      <c r="Y305" s="22">
        <v>0.35461399999999998</v>
      </c>
      <c r="Z305" s="22">
        <v>139.154</v>
      </c>
      <c r="AA305" s="22">
        <v>-1.7517100000000001E-2</v>
      </c>
      <c r="AB305" s="22">
        <v>295</v>
      </c>
      <c r="AC305" s="22">
        <v>0.35424800000000001</v>
      </c>
      <c r="AD305">
        <f t="shared" si="52"/>
        <v>17.517099999999999</v>
      </c>
      <c r="AE305">
        <f t="shared" si="53"/>
        <v>6.2118088993999994</v>
      </c>
      <c r="AF305" s="9"/>
      <c r="AG305" s="22">
        <v>1.3855</v>
      </c>
      <c r="AH305" s="22">
        <v>188.768</v>
      </c>
      <c r="AI305" s="22">
        <v>-1.61011E-2</v>
      </c>
      <c r="AJ305" s="22">
        <v>295</v>
      </c>
      <c r="AK305" s="22">
        <v>1.3845799999999999</v>
      </c>
      <c r="AL305">
        <f t="shared" si="54"/>
        <v>16.101099999999999</v>
      </c>
      <c r="AM305">
        <f t="shared" si="55"/>
        <v>22.308074049999998</v>
      </c>
      <c r="AP305" s="9"/>
      <c r="AQ305" s="22">
        <v>0.35461399999999998</v>
      </c>
      <c r="AR305" s="22">
        <v>238.392</v>
      </c>
      <c r="AS305" s="25">
        <v>2.63977E-5</v>
      </c>
      <c r="AT305" s="22">
        <v>295</v>
      </c>
      <c r="AU305" s="22">
        <v>7.8613299999999997E-2</v>
      </c>
      <c r="AV305">
        <f t="shared" si="56"/>
        <v>-2.63977E-2</v>
      </c>
      <c r="AW305">
        <f t="shared" si="57"/>
        <v>-9.3609939877999995E-3</v>
      </c>
      <c r="AX305" s="9"/>
      <c r="AY305" s="22">
        <v>1.3855</v>
      </c>
      <c r="AZ305" s="22">
        <v>254.45099999999999</v>
      </c>
      <c r="BA305" s="22">
        <v>-6.6589400000000003E-3</v>
      </c>
      <c r="BB305" s="22">
        <v>295</v>
      </c>
      <c r="BC305" s="22">
        <v>1.3845799999999999</v>
      </c>
      <c r="BD305">
        <f t="shared" si="58"/>
        <v>6.6589400000000003</v>
      </c>
      <c r="BE305">
        <f t="shared" si="59"/>
        <v>9.2259613700000003</v>
      </c>
    </row>
    <row r="306" spans="6:57">
      <c r="F306" s="9"/>
      <c r="G306" s="22">
        <v>0.34957899999999997</v>
      </c>
      <c r="H306" s="22">
        <v>40.179900000000004</v>
      </c>
      <c r="I306" s="22">
        <v>-1.6842699999999999E-2</v>
      </c>
      <c r="J306" s="22">
        <v>296</v>
      </c>
      <c r="K306" s="22">
        <v>0.348694</v>
      </c>
      <c r="L306">
        <f t="shared" si="48"/>
        <v>16.842699999999997</v>
      </c>
      <c r="M306">
        <f t="shared" si="49"/>
        <v>5.8878542232999989</v>
      </c>
      <c r="N306" s="9"/>
      <c r="O306" s="22">
        <v>1.39053</v>
      </c>
      <c r="P306" s="22">
        <v>89.618399999999994</v>
      </c>
      <c r="Q306" s="22">
        <v>-1.60736E-2</v>
      </c>
      <c r="R306" s="22">
        <v>296</v>
      </c>
      <c r="S306" s="22">
        <v>1.3897699999999999</v>
      </c>
      <c r="T306">
        <f t="shared" si="50"/>
        <v>16.073599999999999</v>
      </c>
      <c r="U306">
        <f t="shared" si="51"/>
        <v>22.350823007999999</v>
      </c>
      <c r="X306" s="9"/>
      <c r="Y306" s="22">
        <v>0.34957899999999997</v>
      </c>
      <c r="Z306" s="22">
        <v>139.16399999999999</v>
      </c>
      <c r="AA306" s="22">
        <v>-1.75201E-2</v>
      </c>
      <c r="AB306" s="22">
        <v>296</v>
      </c>
      <c r="AC306" s="22">
        <v>0.34872399999999998</v>
      </c>
      <c r="AD306">
        <f t="shared" si="52"/>
        <v>17.520099999999999</v>
      </c>
      <c r="AE306">
        <f t="shared" si="53"/>
        <v>6.124659037899999</v>
      </c>
      <c r="AF306" s="9"/>
      <c r="AG306" s="22">
        <v>1.39053</v>
      </c>
      <c r="AH306" s="22">
        <v>188.77799999999999</v>
      </c>
      <c r="AI306" s="22">
        <v>-1.60889E-2</v>
      </c>
      <c r="AJ306" s="22">
        <v>296</v>
      </c>
      <c r="AK306" s="22">
        <v>1.38947</v>
      </c>
      <c r="AL306">
        <f t="shared" si="54"/>
        <v>16.088899999999999</v>
      </c>
      <c r="AM306">
        <f t="shared" si="55"/>
        <v>22.372098117</v>
      </c>
      <c r="AP306" s="9"/>
      <c r="AQ306" s="22">
        <v>0.34957899999999997</v>
      </c>
      <c r="AR306" s="22">
        <v>238.40199999999999</v>
      </c>
      <c r="AS306" s="25">
        <v>2.5085399999999999E-5</v>
      </c>
      <c r="AT306" s="22">
        <v>296</v>
      </c>
      <c r="AU306" s="22">
        <v>7.8613299999999997E-2</v>
      </c>
      <c r="AV306">
        <f t="shared" si="56"/>
        <v>-2.5085399999999997E-2</v>
      </c>
      <c r="AW306">
        <f t="shared" si="57"/>
        <v>-8.7693290465999992E-3</v>
      </c>
      <c r="AX306" s="9"/>
      <c r="AY306" s="22">
        <v>1.39053</v>
      </c>
      <c r="AZ306" s="22">
        <v>254.46100000000001</v>
      </c>
      <c r="BA306" s="22">
        <v>-6.5979000000000003E-3</v>
      </c>
      <c r="BB306" s="22">
        <v>296</v>
      </c>
      <c r="BC306" s="22">
        <v>1.38947</v>
      </c>
      <c r="BD306">
        <f t="shared" si="58"/>
        <v>6.5979000000000001</v>
      </c>
      <c r="BE306">
        <f t="shared" si="59"/>
        <v>9.1745778869999999</v>
      </c>
    </row>
    <row r="307" spans="6:57">
      <c r="F307" s="9"/>
      <c r="G307" s="22">
        <v>0.34454299999999999</v>
      </c>
      <c r="H307" s="22">
        <v>40.19</v>
      </c>
      <c r="I307" s="22">
        <v>-1.6848800000000001E-2</v>
      </c>
      <c r="J307" s="22">
        <v>297</v>
      </c>
      <c r="K307" s="22">
        <v>0.34365800000000002</v>
      </c>
      <c r="L307">
        <f t="shared" si="48"/>
        <v>16.848800000000001</v>
      </c>
      <c r="M307">
        <f t="shared" si="49"/>
        <v>5.8051360984000002</v>
      </c>
      <c r="N307" s="9"/>
      <c r="O307" s="22">
        <v>1.39557</v>
      </c>
      <c r="P307" s="22">
        <v>89.628399999999999</v>
      </c>
      <c r="Q307" s="22">
        <v>-1.6067499999999998E-2</v>
      </c>
      <c r="R307" s="22">
        <v>297</v>
      </c>
      <c r="S307" s="22">
        <v>1.3946499999999999</v>
      </c>
      <c r="T307">
        <f t="shared" si="50"/>
        <v>16.067499999999999</v>
      </c>
      <c r="U307">
        <f t="shared" si="51"/>
        <v>22.423320974999999</v>
      </c>
      <c r="X307" s="9"/>
      <c r="Y307" s="22">
        <v>0.34454299999999999</v>
      </c>
      <c r="Z307" s="22">
        <v>139.17400000000001</v>
      </c>
      <c r="AA307" s="22">
        <v>-1.7517100000000001E-2</v>
      </c>
      <c r="AB307" s="22">
        <v>297</v>
      </c>
      <c r="AC307" s="22">
        <v>0.34375</v>
      </c>
      <c r="AD307">
        <f t="shared" si="52"/>
        <v>17.517099999999999</v>
      </c>
      <c r="AE307">
        <f t="shared" si="53"/>
        <v>6.0353941852999995</v>
      </c>
      <c r="AF307" s="9"/>
      <c r="AG307" s="22">
        <v>1.39557</v>
      </c>
      <c r="AH307" s="22">
        <v>188.78800000000001</v>
      </c>
      <c r="AI307" s="22">
        <v>-1.6085800000000001E-2</v>
      </c>
      <c r="AJ307" s="22">
        <v>297</v>
      </c>
      <c r="AK307" s="22">
        <v>1.39374</v>
      </c>
      <c r="AL307">
        <f t="shared" si="54"/>
        <v>16.085800000000003</v>
      </c>
      <c r="AM307">
        <f t="shared" si="55"/>
        <v>22.448859906000003</v>
      </c>
      <c r="AP307" s="9"/>
      <c r="AQ307" s="22">
        <v>0.34454299999999999</v>
      </c>
      <c r="AR307" s="22">
        <v>238.41200000000001</v>
      </c>
      <c r="AS307" s="25">
        <v>2.79846E-5</v>
      </c>
      <c r="AT307" s="22">
        <v>297</v>
      </c>
      <c r="AU307" s="22">
        <v>7.8613299999999997E-2</v>
      </c>
      <c r="AV307">
        <f t="shared" si="56"/>
        <v>-2.7984599999999998E-2</v>
      </c>
      <c r="AW307">
        <f t="shared" si="57"/>
        <v>-9.6418980377999987E-3</v>
      </c>
      <c r="AX307" s="9"/>
      <c r="AY307" s="22">
        <v>1.39557</v>
      </c>
      <c r="AZ307" s="22">
        <v>254.47200000000001</v>
      </c>
      <c r="BA307" s="22">
        <v>-6.5826399999999998E-3</v>
      </c>
      <c r="BB307" s="22">
        <v>297</v>
      </c>
      <c r="BC307" s="22">
        <v>1.39435</v>
      </c>
      <c r="BD307">
        <f t="shared" si="58"/>
        <v>6.5826399999999996</v>
      </c>
      <c r="BE307">
        <f t="shared" si="59"/>
        <v>9.1865349047999985</v>
      </c>
    </row>
    <row r="308" spans="6:57">
      <c r="F308" s="9"/>
      <c r="G308" s="22">
        <v>0.33950799999999998</v>
      </c>
      <c r="H308" s="22">
        <v>40.200099999999999</v>
      </c>
      <c r="I308" s="22">
        <v>-1.6854899999999999E-2</v>
      </c>
      <c r="J308" s="22">
        <v>298</v>
      </c>
      <c r="K308" s="22">
        <v>0.33862300000000001</v>
      </c>
      <c r="L308">
        <f t="shared" si="48"/>
        <v>16.854900000000001</v>
      </c>
      <c r="M308">
        <f t="shared" si="49"/>
        <v>5.7223733891999995</v>
      </c>
      <c r="N308" s="9"/>
      <c r="O308" s="22">
        <v>1.4006000000000001</v>
      </c>
      <c r="P308" s="22">
        <v>89.638499999999993</v>
      </c>
      <c r="Q308" s="22">
        <v>-1.6058300000000001E-2</v>
      </c>
      <c r="R308" s="22">
        <v>298</v>
      </c>
      <c r="S308" s="22">
        <v>1.39893</v>
      </c>
      <c r="T308">
        <f t="shared" si="50"/>
        <v>16.058300000000003</v>
      </c>
      <c r="U308">
        <f t="shared" si="51"/>
        <v>22.491254980000004</v>
      </c>
      <c r="X308" s="9"/>
      <c r="Y308" s="22">
        <v>0.33950799999999998</v>
      </c>
      <c r="Z308" s="22">
        <v>139.184</v>
      </c>
      <c r="AA308" s="22">
        <v>-1.7529300000000001E-2</v>
      </c>
      <c r="AB308" s="22">
        <v>298</v>
      </c>
      <c r="AC308" s="22">
        <v>0.33886699999999997</v>
      </c>
      <c r="AD308">
        <f t="shared" si="52"/>
        <v>17.529300000000003</v>
      </c>
      <c r="AE308">
        <f t="shared" si="53"/>
        <v>5.9513375844000009</v>
      </c>
      <c r="AF308" s="9"/>
      <c r="AG308" s="22">
        <v>1.4006000000000001</v>
      </c>
      <c r="AH308" s="22">
        <v>188.798</v>
      </c>
      <c r="AI308" s="22">
        <v>-1.60736E-2</v>
      </c>
      <c r="AJ308" s="22">
        <v>298</v>
      </c>
      <c r="AK308" s="22">
        <v>1.39984</v>
      </c>
      <c r="AL308">
        <f t="shared" si="54"/>
        <v>16.073599999999999</v>
      </c>
      <c r="AM308">
        <f t="shared" si="55"/>
        <v>22.512684159999999</v>
      </c>
      <c r="AP308" s="9"/>
      <c r="AQ308" s="22">
        <v>0.33950799999999998</v>
      </c>
      <c r="AR308" s="22">
        <v>238.422</v>
      </c>
      <c r="AS308" s="25">
        <v>2.9113799999999999E-5</v>
      </c>
      <c r="AT308" s="22">
        <v>298</v>
      </c>
      <c r="AU308" s="22">
        <v>7.86438E-2</v>
      </c>
      <c r="AV308">
        <f t="shared" si="56"/>
        <v>-2.9113799999999999E-2</v>
      </c>
      <c r="AW308">
        <f t="shared" si="57"/>
        <v>-9.8843680103999996E-3</v>
      </c>
      <c r="AX308" s="9"/>
      <c r="AY308" s="22">
        <v>1.4006000000000001</v>
      </c>
      <c r="AZ308" s="22">
        <v>254.482</v>
      </c>
      <c r="BA308" s="22">
        <v>-6.6009500000000004E-3</v>
      </c>
      <c r="BB308" s="22">
        <v>298</v>
      </c>
      <c r="BC308" s="22">
        <v>1.39954</v>
      </c>
      <c r="BD308">
        <f t="shared" si="58"/>
        <v>6.6009500000000001</v>
      </c>
      <c r="BE308">
        <f t="shared" si="59"/>
        <v>9.2452905699999999</v>
      </c>
    </row>
    <row r="309" spans="6:57">
      <c r="F309" s="9"/>
      <c r="G309" s="22">
        <v>0.33447300000000002</v>
      </c>
      <c r="H309" s="22">
        <v>40.210099999999997</v>
      </c>
      <c r="I309" s="22">
        <v>-1.6854899999999999E-2</v>
      </c>
      <c r="J309" s="22">
        <v>299</v>
      </c>
      <c r="K309" s="22">
        <v>0.33364899999999997</v>
      </c>
      <c r="L309">
        <f t="shared" si="48"/>
        <v>16.854900000000001</v>
      </c>
      <c r="M309">
        <f t="shared" si="49"/>
        <v>5.6375089677000005</v>
      </c>
      <c r="N309" s="9"/>
      <c r="O309" s="22">
        <v>1.40564</v>
      </c>
      <c r="P309" s="22">
        <v>89.648600000000002</v>
      </c>
      <c r="Q309" s="22">
        <v>-1.6052199999999999E-2</v>
      </c>
      <c r="R309" s="22">
        <v>299</v>
      </c>
      <c r="S309" s="22">
        <v>1.40411</v>
      </c>
      <c r="T309">
        <f t="shared" si="50"/>
        <v>16.052199999999999</v>
      </c>
      <c r="U309">
        <f t="shared" si="51"/>
        <v>22.563614407999999</v>
      </c>
      <c r="X309" s="9"/>
      <c r="Y309" s="22">
        <v>0.33447300000000002</v>
      </c>
      <c r="Z309" s="22">
        <v>139.19399999999999</v>
      </c>
      <c r="AA309" s="22">
        <v>-1.7532300000000001E-2</v>
      </c>
      <c r="AB309" s="22">
        <v>299</v>
      </c>
      <c r="AC309" s="22">
        <v>0.33371000000000001</v>
      </c>
      <c r="AD309">
        <f t="shared" si="52"/>
        <v>17.532299999999999</v>
      </c>
      <c r="AE309">
        <f t="shared" si="53"/>
        <v>5.8640809779000005</v>
      </c>
      <c r="AF309" s="9"/>
      <c r="AG309" s="22">
        <v>1.40564</v>
      </c>
      <c r="AH309" s="22">
        <v>188.80799999999999</v>
      </c>
      <c r="AI309" s="22">
        <v>-1.6064499999999999E-2</v>
      </c>
      <c r="AJ309" s="22">
        <v>299</v>
      </c>
      <c r="AK309" s="22">
        <v>1.40472</v>
      </c>
      <c r="AL309">
        <f t="shared" si="54"/>
        <v>16.064499999999999</v>
      </c>
      <c r="AM309">
        <f t="shared" si="55"/>
        <v>22.58090378</v>
      </c>
      <c r="AP309" s="9"/>
      <c r="AQ309" s="22">
        <v>0.33447300000000002</v>
      </c>
      <c r="AR309" s="22">
        <v>238.43199999999999</v>
      </c>
      <c r="AS309" s="25">
        <v>2.6245100000000001E-5</v>
      </c>
      <c r="AT309" s="22">
        <v>299</v>
      </c>
      <c r="AU309" s="22">
        <v>7.8582799999999994E-2</v>
      </c>
      <c r="AV309">
        <f t="shared" si="56"/>
        <v>-2.62451E-2</v>
      </c>
      <c r="AW309">
        <f t="shared" si="57"/>
        <v>-8.778277332300001E-3</v>
      </c>
      <c r="AX309" s="9"/>
      <c r="AY309" s="22">
        <v>1.40564</v>
      </c>
      <c r="AZ309" s="22">
        <v>254.49199999999999</v>
      </c>
      <c r="BA309" s="22">
        <v>-6.5460199999999996E-3</v>
      </c>
      <c r="BB309" s="22">
        <v>299</v>
      </c>
      <c r="BC309" s="22">
        <v>1.40533</v>
      </c>
      <c r="BD309">
        <f t="shared" si="58"/>
        <v>6.5460199999999995</v>
      </c>
      <c r="BE309">
        <f t="shared" si="59"/>
        <v>9.2013475527999997</v>
      </c>
    </row>
    <row r="310" spans="6:57">
      <c r="F310" s="9"/>
      <c r="G310" s="22">
        <v>0.32943699999999998</v>
      </c>
      <c r="H310" s="22">
        <v>40.220199999999998</v>
      </c>
      <c r="I310" s="22">
        <v>-1.6864000000000001E-2</v>
      </c>
      <c r="J310" s="22">
        <v>300</v>
      </c>
      <c r="K310" s="22">
        <v>0.32858300000000001</v>
      </c>
      <c r="L310">
        <f t="shared" si="48"/>
        <v>16.864000000000001</v>
      </c>
      <c r="M310">
        <f t="shared" si="49"/>
        <v>5.555625568</v>
      </c>
      <c r="N310" s="9"/>
      <c r="O310" s="22">
        <v>1.4106799999999999</v>
      </c>
      <c r="P310" s="22">
        <v>89.658600000000007</v>
      </c>
      <c r="Q310" s="22">
        <v>-1.6046100000000001E-2</v>
      </c>
      <c r="R310" s="22">
        <v>300</v>
      </c>
      <c r="S310" s="22">
        <v>1.409</v>
      </c>
      <c r="T310">
        <f t="shared" si="50"/>
        <v>16.046099999999999</v>
      </c>
      <c r="U310">
        <f t="shared" si="51"/>
        <v>22.635912347999998</v>
      </c>
      <c r="X310" s="9"/>
      <c r="Y310" s="22">
        <v>0.32943699999999998</v>
      </c>
      <c r="Z310" s="22">
        <v>139.20400000000001</v>
      </c>
      <c r="AA310" s="22">
        <v>-1.75354E-2</v>
      </c>
      <c r="AB310" s="22">
        <v>300</v>
      </c>
      <c r="AC310" s="22">
        <v>0.328461</v>
      </c>
      <c r="AD310">
        <f t="shared" si="52"/>
        <v>17.535399999999999</v>
      </c>
      <c r="AE310">
        <f t="shared" si="53"/>
        <v>5.7768095697999993</v>
      </c>
      <c r="AF310" s="9"/>
      <c r="AG310" s="22">
        <v>1.4106799999999999</v>
      </c>
      <c r="AH310" s="22">
        <v>188.81899999999999</v>
      </c>
      <c r="AI310" s="22">
        <v>-1.6055300000000002E-2</v>
      </c>
      <c r="AJ310" s="22">
        <v>300</v>
      </c>
      <c r="AK310" s="22">
        <v>1.40991</v>
      </c>
      <c r="AL310">
        <f t="shared" si="54"/>
        <v>16.055300000000003</v>
      </c>
      <c r="AM310">
        <f t="shared" si="55"/>
        <v>22.648890604000002</v>
      </c>
      <c r="AP310" s="9"/>
      <c r="AQ310" s="22">
        <v>0.32943699999999998</v>
      </c>
      <c r="AR310" s="22">
        <v>238.44200000000001</v>
      </c>
      <c r="AS310" s="25">
        <v>2.49329E-5</v>
      </c>
      <c r="AT310" s="22">
        <v>300</v>
      </c>
      <c r="AU310" s="22">
        <v>7.8582799999999994E-2</v>
      </c>
      <c r="AV310">
        <f t="shared" si="56"/>
        <v>-2.4932900000000001E-2</v>
      </c>
      <c r="AW310">
        <f t="shared" si="57"/>
        <v>-8.2138197772999993E-3</v>
      </c>
      <c r="AX310" s="9"/>
      <c r="AY310" s="22">
        <v>1.4106799999999999</v>
      </c>
      <c r="AZ310" s="22">
        <v>254.50200000000001</v>
      </c>
      <c r="BA310" s="22">
        <v>-6.5185499999999997E-3</v>
      </c>
      <c r="BB310" s="22">
        <v>300</v>
      </c>
      <c r="BC310" s="22">
        <v>1.41022</v>
      </c>
      <c r="BD310">
        <f t="shared" si="58"/>
        <v>6.5185499999999994</v>
      </c>
      <c r="BE310">
        <f t="shared" si="59"/>
        <v>9.1955881139999995</v>
      </c>
    </row>
    <row r="311" spans="6:57">
      <c r="F311" s="9"/>
      <c r="G311" s="22">
        <v>0.32440200000000002</v>
      </c>
      <c r="H311" s="22">
        <v>40.2303</v>
      </c>
      <c r="I311" s="22">
        <v>-1.6864000000000001E-2</v>
      </c>
      <c r="J311" s="22">
        <v>301</v>
      </c>
      <c r="K311" s="22">
        <v>0.32354699999999997</v>
      </c>
      <c r="L311">
        <f t="shared" si="48"/>
        <v>16.864000000000001</v>
      </c>
      <c r="M311">
        <f t="shared" si="49"/>
        <v>5.4707153280000007</v>
      </c>
      <c r="N311" s="9"/>
      <c r="O311" s="22">
        <v>1.41571</v>
      </c>
      <c r="P311" s="22">
        <v>89.668700000000001</v>
      </c>
      <c r="Q311" s="22">
        <v>-1.6036999999999999E-2</v>
      </c>
      <c r="R311" s="22">
        <v>301</v>
      </c>
      <c r="S311" s="22">
        <v>1.4151</v>
      </c>
      <c r="T311">
        <f t="shared" si="50"/>
        <v>16.036999999999999</v>
      </c>
      <c r="U311">
        <f t="shared" si="51"/>
        <v>22.703741269999998</v>
      </c>
      <c r="X311" s="9"/>
      <c r="Y311" s="22">
        <v>0.32440200000000002</v>
      </c>
      <c r="Z311" s="22">
        <v>139.214</v>
      </c>
      <c r="AA311" s="22">
        <v>-1.7532300000000001E-2</v>
      </c>
      <c r="AB311" s="22">
        <v>301</v>
      </c>
      <c r="AC311" s="22">
        <v>0.32391399999999998</v>
      </c>
      <c r="AD311">
        <f t="shared" si="52"/>
        <v>17.532299999999999</v>
      </c>
      <c r="AE311">
        <f t="shared" si="53"/>
        <v>5.6875131846000002</v>
      </c>
      <c r="AF311" s="9"/>
      <c r="AG311" s="22">
        <v>1.41571</v>
      </c>
      <c r="AH311" s="22">
        <v>188.82900000000001</v>
      </c>
      <c r="AI311" s="22">
        <v>-1.6043100000000001E-2</v>
      </c>
      <c r="AJ311" s="22">
        <v>301</v>
      </c>
      <c r="AK311" s="22">
        <v>1.41479</v>
      </c>
      <c r="AL311">
        <f t="shared" si="54"/>
        <v>16.043100000000003</v>
      </c>
      <c r="AM311">
        <f t="shared" si="55"/>
        <v>22.712377101000005</v>
      </c>
      <c r="AP311" s="9"/>
      <c r="AQ311" s="22">
        <v>0.32440200000000002</v>
      </c>
      <c r="AR311" s="22">
        <v>238.452</v>
      </c>
      <c r="AS311" s="25">
        <v>2.37122E-5</v>
      </c>
      <c r="AT311" s="22">
        <v>301</v>
      </c>
      <c r="AU311" s="22">
        <v>7.86438E-2</v>
      </c>
      <c r="AV311">
        <f t="shared" si="56"/>
        <v>-2.3712199999999999E-2</v>
      </c>
      <c r="AW311">
        <f t="shared" si="57"/>
        <v>-7.6922851044E-3</v>
      </c>
      <c r="AX311" s="9"/>
      <c r="AY311" s="22">
        <v>1.41571</v>
      </c>
      <c r="AZ311" s="22">
        <v>254.512</v>
      </c>
      <c r="BA311" s="22">
        <v>-6.5338100000000001E-3</v>
      </c>
      <c r="BB311" s="22">
        <v>301</v>
      </c>
      <c r="BC311" s="22">
        <v>1.41449</v>
      </c>
      <c r="BD311">
        <f t="shared" si="58"/>
        <v>6.5338099999999999</v>
      </c>
      <c r="BE311">
        <f t="shared" si="59"/>
        <v>9.2499801550999994</v>
      </c>
    </row>
    <row r="312" spans="6:57">
      <c r="F312" s="9"/>
      <c r="G312" s="22">
        <v>0.31936599999999998</v>
      </c>
      <c r="H312" s="22">
        <v>40.240400000000001</v>
      </c>
      <c r="I312" s="22">
        <v>-1.6867099999999999E-2</v>
      </c>
      <c r="J312" s="22">
        <v>302</v>
      </c>
      <c r="K312" s="22">
        <v>0.31845099999999998</v>
      </c>
      <c r="L312">
        <f t="shared" si="48"/>
        <v>16.867100000000001</v>
      </c>
      <c r="M312">
        <f t="shared" si="49"/>
        <v>5.3867782585999997</v>
      </c>
      <c r="N312" s="9"/>
      <c r="O312" s="22">
        <v>1.42075</v>
      </c>
      <c r="P312" s="22">
        <v>89.678799999999995</v>
      </c>
      <c r="Q312" s="22">
        <v>-1.6030900000000001E-2</v>
      </c>
      <c r="R312" s="22">
        <v>302</v>
      </c>
      <c r="S312" s="22">
        <v>1.4190700000000001</v>
      </c>
      <c r="T312">
        <f t="shared" si="50"/>
        <v>16.030899999999999</v>
      </c>
      <c r="U312">
        <f t="shared" si="51"/>
        <v>22.775901174999998</v>
      </c>
      <c r="X312" s="9"/>
      <c r="Y312" s="22">
        <v>0.31936599999999998</v>
      </c>
      <c r="Z312" s="22">
        <v>139.22399999999999</v>
      </c>
      <c r="AA312" s="22">
        <v>-1.75354E-2</v>
      </c>
      <c r="AB312" s="22">
        <v>302</v>
      </c>
      <c r="AC312" s="22">
        <v>0.31820700000000002</v>
      </c>
      <c r="AD312">
        <f t="shared" si="52"/>
        <v>17.535399999999999</v>
      </c>
      <c r="AE312">
        <f t="shared" si="53"/>
        <v>5.6002105563999995</v>
      </c>
      <c r="AF312" s="9"/>
      <c r="AG312" s="22">
        <v>1.42075</v>
      </c>
      <c r="AH312" s="22">
        <v>188.839</v>
      </c>
      <c r="AI312" s="22">
        <v>-1.6030900000000001E-2</v>
      </c>
      <c r="AJ312" s="22">
        <v>302</v>
      </c>
      <c r="AK312" s="22">
        <v>1.42059</v>
      </c>
      <c r="AL312">
        <f t="shared" si="54"/>
        <v>16.030899999999999</v>
      </c>
      <c r="AM312">
        <f t="shared" si="55"/>
        <v>22.775901174999998</v>
      </c>
      <c r="AP312" s="9"/>
      <c r="AQ312" s="22">
        <v>0.31936599999999998</v>
      </c>
      <c r="AR312" s="22">
        <v>238.46199999999999</v>
      </c>
      <c r="AS312" s="25">
        <v>2.4597199999999999E-5</v>
      </c>
      <c r="AT312" s="22">
        <v>302</v>
      </c>
      <c r="AU312" s="22">
        <v>7.8582799999999994E-2</v>
      </c>
      <c r="AV312">
        <f t="shared" si="56"/>
        <v>-2.45972E-2</v>
      </c>
      <c r="AW312">
        <f t="shared" si="57"/>
        <v>-7.8555093751999996E-3</v>
      </c>
      <c r="AX312" s="9"/>
      <c r="AY312" s="22">
        <v>1.42075</v>
      </c>
      <c r="AZ312" s="22">
        <v>254.52199999999999</v>
      </c>
      <c r="BA312" s="22">
        <v>-6.84814E-3</v>
      </c>
      <c r="BB312" s="22">
        <v>302</v>
      </c>
      <c r="BC312" s="22">
        <v>1.4202900000000001</v>
      </c>
      <c r="BD312">
        <f t="shared" si="58"/>
        <v>6.8481399999999999</v>
      </c>
      <c r="BE312">
        <f t="shared" si="59"/>
        <v>9.7294949049999992</v>
      </c>
    </row>
    <row r="313" spans="6:57">
      <c r="F313" s="9"/>
      <c r="G313" s="22">
        <v>0.31433100000000003</v>
      </c>
      <c r="H313" s="22">
        <v>40.250399999999999</v>
      </c>
      <c r="I313" s="22">
        <v>-1.6867099999999999E-2</v>
      </c>
      <c r="J313" s="22">
        <v>303</v>
      </c>
      <c r="K313" s="22">
        <v>0.31350699999999998</v>
      </c>
      <c r="L313">
        <f t="shared" si="48"/>
        <v>16.867100000000001</v>
      </c>
      <c r="M313">
        <f t="shared" si="49"/>
        <v>5.3018524101000004</v>
      </c>
      <c r="N313" s="9"/>
      <c r="O313" s="22">
        <v>1.42578</v>
      </c>
      <c r="P313" s="22">
        <v>89.688900000000004</v>
      </c>
      <c r="Q313" s="22">
        <v>-1.60187E-2</v>
      </c>
      <c r="R313" s="22">
        <v>303</v>
      </c>
      <c r="S313" s="22">
        <v>1.42456</v>
      </c>
      <c r="T313">
        <f t="shared" si="50"/>
        <v>16.018699999999999</v>
      </c>
      <c r="U313">
        <f t="shared" si="51"/>
        <v>22.839142085999999</v>
      </c>
      <c r="X313" s="9"/>
      <c r="Y313" s="22">
        <v>0.31433100000000003</v>
      </c>
      <c r="Z313" s="22">
        <v>139.23400000000001</v>
      </c>
      <c r="AA313" s="22">
        <v>-1.7541500000000002E-2</v>
      </c>
      <c r="AB313" s="22">
        <v>303</v>
      </c>
      <c r="AC313" s="22">
        <v>0.31350699999999998</v>
      </c>
      <c r="AD313">
        <f t="shared" si="52"/>
        <v>17.541500000000003</v>
      </c>
      <c r="AE313">
        <f t="shared" si="53"/>
        <v>5.5138372365000015</v>
      </c>
      <c r="AF313" s="9"/>
      <c r="AG313" s="22">
        <v>1.42578</v>
      </c>
      <c r="AH313" s="22">
        <v>188.84899999999999</v>
      </c>
      <c r="AI313" s="22">
        <v>-1.60217E-2</v>
      </c>
      <c r="AJ313" s="22">
        <v>303</v>
      </c>
      <c r="AK313" s="22">
        <v>1.42456</v>
      </c>
      <c r="AL313">
        <f t="shared" si="54"/>
        <v>16.021699999999999</v>
      </c>
      <c r="AM313">
        <f t="shared" si="55"/>
        <v>22.843419426000001</v>
      </c>
      <c r="AP313" s="9"/>
      <c r="AQ313" s="22">
        <v>0.31433100000000003</v>
      </c>
      <c r="AR313" s="22">
        <v>238.47200000000001</v>
      </c>
      <c r="AS313" s="25">
        <v>2.39563E-5</v>
      </c>
      <c r="AT313" s="22">
        <v>303</v>
      </c>
      <c r="AU313" s="22">
        <v>7.8552200000000003E-2</v>
      </c>
      <c r="AV313">
        <f t="shared" si="56"/>
        <v>-2.39563E-2</v>
      </c>
      <c r="AW313">
        <f t="shared" si="57"/>
        <v>-7.5302077353000003E-3</v>
      </c>
      <c r="AX313" s="9"/>
      <c r="AY313" s="22">
        <v>1.42578</v>
      </c>
      <c r="AZ313" s="22">
        <v>254.53200000000001</v>
      </c>
      <c r="BA313" s="22">
        <v>-6.7993200000000002E-3</v>
      </c>
      <c r="BB313" s="22">
        <v>303</v>
      </c>
      <c r="BC313" s="22">
        <v>1.42517</v>
      </c>
      <c r="BD313">
        <f t="shared" si="58"/>
        <v>6.7993199999999998</v>
      </c>
      <c r="BE313">
        <f t="shared" si="59"/>
        <v>9.6943344695999993</v>
      </c>
    </row>
    <row r="314" spans="6:57">
      <c r="F314" s="9"/>
      <c r="G314" s="22">
        <v>0.30929600000000002</v>
      </c>
      <c r="H314" s="22">
        <v>40.2605</v>
      </c>
      <c r="I314" s="22">
        <v>-1.6867099999999999E-2</v>
      </c>
      <c r="J314" s="22">
        <v>304</v>
      </c>
      <c r="K314" s="22">
        <v>0.30847200000000002</v>
      </c>
      <c r="L314">
        <f t="shared" si="48"/>
        <v>16.867100000000001</v>
      </c>
      <c r="M314">
        <f t="shared" si="49"/>
        <v>5.2169265616000002</v>
      </c>
      <c r="N314" s="9"/>
      <c r="O314" s="22">
        <v>1.43082</v>
      </c>
      <c r="P314" s="22">
        <v>89.698899999999995</v>
      </c>
      <c r="Q314" s="22">
        <v>-1.6009499999999999E-2</v>
      </c>
      <c r="R314" s="22">
        <v>304</v>
      </c>
      <c r="S314" s="22">
        <v>1.42944</v>
      </c>
      <c r="T314">
        <f t="shared" si="50"/>
        <v>16.009499999999999</v>
      </c>
      <c r="U314">
        <f t="shared" si="51"/>
        <v>22.90671279</v>
      </c>
      <c r="X314" s="9"/>
      <c r="Y314" s="22">
        <v>0.30929600000000002</v>
      </c>
      <c r="Z314" s="22">
        <v>139.244</v>
      </c>
      <c r="AA314" s="22">
        <v>-1.7550699999999999E-2</v>
      </c>
      <c r="AB314" s="22">
        <v>304</v>
      </c>
      <c r="AC314" s="22">
        <v>0.30898999999999999</v>
      </c>
      <c r="AD314">
        <f t="shared" si="52"/>
        <v>17.550699999999999</v>
      </c>
      <c r="AE314">
        <f t="shared" si="53"/>
        <v>5.4283613072000003</v>
      </c>
      <c r="AF314" s="9"/>
      <c r="AG314" s="22">
        <v>1.43082</v>
      </c>
      <c r="AH314" s="22">
        <v>188.85900000000001</v>
      </c>
      <c r="AI314" s="22">
        <v>-1.6012599999999998E-2</v>
      </c>
      <c r="AJ314" s="22">
        <v>304</v>
      </c>
      <c r="AK314" s="22">
        <v>1.42944</v>
      </c>
      <c r="AL314">
        <f t="shared" si="54"/>
        <v>16.012599999999999</v>
      </c>
      <c r="AM314">
        <f t="shared" si="55"/>
        <v>22.911148332</v>
      </c>
      <c r="AP314" s="9"/>
      <c r="AQ314" s="22">
        <v>0.30929600000000002</v>
      </c>
      <c r="AR314" s="22">
        <v>238.482</v>
      </c>
      <c r="AS314" s="25">
        <v>2.29797E-5</v>
      </c>
      <c r="AT314" s="22">
        <v>304</v>
      </c>
      <c r="AU314" s="22">
        <v>7.8582799999999994E-2</v>
      </c>
      <c r="AV314">
        <f t="shared" si="56"/>
        <v>-2.2979699999999999E-2</v>
      </c>
      <c r="AW314">
        <f t="shared" si="57"/>
        <v>-7.1075292912000003E-3</v>
      </c>
      <c r="AX314" s="9"/>
      <c r="AY314" s="22">
        <v>1.43082</v>
      </c>
      <c r="AZ314" s="22">
        <v>254.542</v>
      </c>
      <c r="BA314" s="22">
        <v>-6.6253700000000002E-3</v>
      </c>
      <c r="BB314" s="22">
        <v>304</v>
      </c>
      <c r="BC314" s="22">
        <v>1.42944</v>
      </c>
      <c r="BD314">
        <f t="shared" si="58"/>
        <v>6.6253700000000002</v>
      </c>
      <c r="BE314">
        <f t="shared" si="59"/>
        <v>9.4797119034000001</v>
      </c>
    </row>
    <row r="315" spans="6:57">
      <c r="F315" s="9"/>
      <c r="G315" s="22">
        <v>0.30425999999999997</v>
      </c>
      <c r="H315" s="22">
        <v>40.270600000000002</v>
      </c>
      <c r="I315" s="22">
        <v>-1.6870099999999999E-2</v>
      </c>
      <c r="J315" s="22">
        <v>305</v>
      </c>
      <c r="K315" s="22">
        <v>0.30343599999999998</v>
      </c>
      <c r="L315">
        <f t="shared" si="48"/>
        <v>16.870100000000001</v>
      </c>
      <c r="M315">
        <f t="shared" si="49"/>
        <v>5.132896626</v>
      </c>
      <c r="N315" s="9"/>
      <c r="O315" s="22">
        <v>1.4358500000000001</v>
      </c>
      <c r="P315" s="22">
        <v>89.709000000000003</v>
      </c>
      <c r="Q315" s="22">
        <v>-1.6000400000000001E-2</v>
      </c>
      <c r="R315" s="22">
        <v>305</v>
      </c>
      <c r="S315" s="22">
        <v>1.4340200000000001</v>
      </c>
      <c r="T315">
        <f t="shared" si="50"/>
        <v>16.000400000000003</v>
      </c>
      <c r="U315">
        <f t="shared" si="51"/>
        <v>22.974174340000005</v>
      </c>
      <c r="X315" s="9"/>
      <c r="Y315" s="22">
        <v>0.30425999999999997</v>
      </c>
      <c r="Z315" s="22">
        <v>139.25399999999999</v>
      </c>
      <c r="AA315" s="22">
        <v>-1.7553699999999998E-2</v>
      </c>
      <c r="AB315" s="22">
        <v>305</v>
      </c>
      <c r="AC315" s="22">
        <v>0.303589</v>
      </c>
      <c r="AD315">
        <f t="shared" si="52"/>
        <v>17.553699999999999</v>
      </c>
      <c r="AE315">
        <f t="shared" si="53"/>
        <v>5.3408887619999996</v>
      </c>
      <c r="AF315" s="9"/>
      <c r="AG315" s="22">
        <v>1.4358500000000001</v>
      </c>
      <c r="AH315" s="22">
        <v>188.869</v>
      </c>
      <c r="AI315" s="22">
        <v>-1.6000400000000001E-2</v>
      </c>
      <c r="AJ315" s="22">
        <v>305</v>
      </c>
      <c r="AK315" s="22">
        <v>1.4346300000000001</v>
      </c>
      <c r="AL315">
        <f t="shared" si="54"/>
        <v>16.000400000000003</v>
      </c>
      <c r="AM315">
        <f t="shared" si="55"/>
        <v>22.974174340000005</v>
      </c>
      <c r="AP315" s="9"/>
      <c r="AQ315" s="22">
        <v>0.30425999999999997</v>
      </c>
      <c r="AR315" s="22">
        <v>238.49199999999999</v>
      </c>
      <c r="AS315" s="25">
        <v>2.36816E-5</v>
      </c>
      <c r="AT315" s="22">
        <v>305</v>
      </c>
      <c r="AU315" s="22">
        <v>7.8552200000000003E-2</v>
      </c>
      <c r="AV315">
        <f t="shared" si="56"/>
        <v>-2.3681600000000001E-2</v>
      </c>
      <c r="AW315">
        <f t="shared" si="57"/>
        <v>-7.2053636159999995E-3</v>
      </c>
      <c r="AX315" s="9"/>
      <c r="AY315" s="22">
        <v>1.4358500000000001</v>
      </c>
      <c r="AZ315" s="22">
        <v>254.55199999999999</v>
      </c>
      <c r="BA315" s="22">
        <v>-6.6589400000000003E-3</v>
      </c>
      <c r="BB315" s="22">
        <v>305</v>
      </c>
      <c r="BC315" s="22">
        <v>1.4346300000000001</v>
      </c>
      <c r="BD315">
        <f t="shared" si="58"/>
        <v>6.6589400000000003</v>
      </c>
      <c r="BE315">
        <f t="shared" si="59"/>
        <v>9.5612389990000004</v>
      </c>
    </row>
    <row r="316" spans="6:57">
      <c r="F316" s="9"/>
      <c r="G316" s="22">
        <v>0.29922500000000002</v>
      </c>
      <c r="H316" s="22">
        <v>40.2806</v>
      </c>
      <c r="I316" s="22">
        <v>-1.6873200000000001E-2</v>
      </c>
      <c r="J316" s="22">
        <v>306</v>
      </c>
      <c r="K316" s="22">
        <v>0.298431</v>
      </c>
      <c r="L316">
        <f t="shared" si="48"/>
        <v>16.873200000000001</v>
      </c>
      <c r="M316">
        <f t="shared" si="49"/>
        <v>5.0488832700000001</v>
      </c>
      <c r="N316" s="9"/>
      <c r="O316" s="22">
        <v>1.44089</v>
      </c>
      <c r="P316" s="22">
        <v>89.719099999999997</v>
      </c>
      <c r="Q316" s="22">
        <v>-1.5991200000000001E-2</v>
      </c>
      <c r="R316" s="22">
        <v>306</v>
      </c>
      <c r="S316" s="22">
        <v>1.4401200000000001</v>
      </c>
      <c r="T316">
        <f t="shared" si="50"/>
        <v>15.991200000000001</v>
      </c>
      <c r="U316">
        <f t="shared" si="51"/>
        <v>23.041560168</v>
      </c>
      <c r="X316" s="9"/>
      <c r="Y316" s="22">
        <v>0.29922500000000002</v>
      </c>
      <c r="Z316" s="22">
        <v>139.26499999999999</v>
      </c>
      <c r="AA316" s="22">
        <v>-1.75598E-2</v>
      </c>
      <c r="AB316" s="22">
        <v>306</v>
      </c>
      <c r="AC316" s="22">
        <v>0.29833999999999999</v>
      </c>
      <c r="AD316">
        <f t="shared" si="52"/>
        <v>17.559799999999999</v>
      </c>
      <c r="AE316">
        <f t="shared" si="53"/>
        <v>5.254331155</v>
      </c>
      <c r="AF316" s="9"/>
      <c r="AG316" s="22">
        <v>1.44089</v>
      </c>
      <c r="AH316" s="22">
        <v>188.87899999999999</v>
      </c>
      <c r="AI316" s="22">
        <v>-1.5997299999999999E-2</v>
      </c>
      <c r="AJ316" s="22">
        <v>306</v>
      </c>
      <c r="AK316" s="22">
        <v>1.4401200000000001</v>
      </c>
      <c r="AL316">
        <f t="shared" si="54"/>
        <v>15.997299999999999</v>
      </c>
      <c r="AM316">
        <f t="shared" si="55"/>
        <v>23.050349597</v>
      </c>
      <c r="AP316" s="9"/>
      <c r="AQ316" s="22">
        <v>0.29922500000000002</v>
      </c>
      <c r="AR316" s="22">
        <v>238.50200000000001</v>
      </c>
      <c r="AS316" s="25">
        <v>2.3742699999999999E-5</v>
      </c>
      <c r="AT316" s="22">
        <v>306</v>
      </c>
      <c r="AU316" s="22">
        <v>7.8613299999999997E-2</v>
      </c>
      <c r="AV316">
        <f t="shared" si="56"/>
        <v>-2.3742699999999999E-2</v>
      </c>
      <c r="AW316">
        <f t="shared" si="57"/>
        <v>-7.1044094074999998E-3</v>
      </c>
      <c r="AX316" s="9"/>
      <c r="AY316" s="22">
        <v>1.44089</v>
      </c>
      <c r="AZ316" s="22">
        <v>254.56200000000001</v>
      </c>
      <c r="BA316" s="22">
        <v>-6.5704300000000004E-3</v>
      </c>
      <c r="BB316" s="22">
        <v>306</v>
      </c>
      <c r="BC316" s="22">
        <v>1.4395100000000001</v>
      </c>
      <c r="BD316">
        <f t="shared" si="58"/>
        <v>6.57043</v>
      </c>
      <c r="BE316">
        <f t="shared" si="59"/>
        <v>9.4672668827000006</v>
      </c>
    </row>
    <row r="317" spans="6:57">
      <c r="F317" s="9"/>
      <c r="G317" s="22">
        <v>0.29418899999999998</v>
      </c>
      <c r="H317" s="22">
        <v>40.290700000000001</v>
      </c>
      <c r="I317" s="22">
        <v>-1.6876200000000001E-2</v>
      </c>
      <c r="J317" s="22">
        <v>307</v>
      </c>
      <c r="K317" s="22">
        <v>0.29339599999999999</v>
      </c>
      <c r="L317">
        <f t="shared" si="48"/>
        <v>16.876200000000001</v>
      </c>
      <c r="M317">
        <f t="shared" si="49"/>
        <v>4.9647924017999996</v>
      </c>
      <c r="N317" s="9"/>
      <c r="O317" s="22">
        <v>1.4459200000000001</v>
      </c>
      <c r="P317" s="22">
        <v>89.729100000000003</v>
      </c>
      <c r="Q317" s="22">
        <v>-1.5982099999999999E-2</v>
      </c>
      <c r="R317" s="22">
        <v>307</v>
      </c>
      <c r="S317" s="22">
        <v>1.4447000000000001</v>
      </c>
      <c r="T317">
        <f t="shared" si="50"/>
        <v>15.982099999999999</v>
      </c>
      <c r="U317">
        <f t="shared" si="51"/>
        <v>23.108838032000001</v>
      </c>
      <c r="X317" s="9"/>
      <c r="Y317" s="22">
        <v>0.29418899999999998</v>
      </c>
      <c r="Z317" s="22">
        <v>139.27500000000001</v>
      </c>
      <c r="AA317" s="22">
        <v>-1.7562899999999999E-2</v>
      </c>
      <c r="AB317" s="22">
        <v>307</v>
      </c>
      <c r="AC317" s="22">
        <v>0.29345700000000002</v>
      </c>
      <c r="AD317">
        <f t="shared" si="52"/>
        <v>17.562899999999999</v>
      </c>
      <c r="AE317">
        <f t="shared" si="53"/>
        <v>5.1668119880999992</v>
      </c>
      <c r="AF317" s="9"/>
      <c r="AG317" s="22">
        <v>1.4459200000000001</v>
      </c>
      <c r="AH317" s="22">
        <v>188.88900000000001</v>
      </c>
      <c r="AI317" s="22">
        <v>-1.5991200000000001E-2</v>
      </c>
      <c r="AJ317" s="22">
        <v>307</v>
      </c>
      <c r="AK317" s="22">
        <v>1.4450099999999999</v>
      </c>
      <c r="AL317">
        <f t="shared" si="54"/>
        <v>15.991200000000001</v>
      </c>
      <c r="AM317">
        <f t="shared" si="55"/>
        <v>23.121995904000002</v>
      </c>
      <c r="AP317" s="9"/>
      <c r="AQ317" s="22">
        <v>0.29418899999999998</v>
      </c>
      <c r="AR317" s="22">
        <v>238.512</v>
      </c>
      <c r="AS317" s="25">
        <v>2.8900100000000001E-5</v>
      </c>
      <c r="AT317" s="22">
        <v>307</v>
      </c>
      <c r="AU317" s="22">
        <v>7.86438E-2</v>
      </c>
      <c r="AV317">
        <f t="shared" si="56"/>
        <v>-2.8900100000000001E-2</v>
      </c>
      <c r="AW317">
        <f t="shared" si="57"/>
        <v>-8.5020915188999992E-3</v>
      </c>
      <c r="AX317" s="9"/>
      <c r="AY317" s="22">
        <v>1.4459200000000001</v>
      </c>
      <c r="AZ317" s="22">
        <v>254.572</v>
      </c>
      <c r="BA317" s="22">
        <v>-6.5948500000000002E-3</v>
      </c>
      <c r="BB317" s="22">
        <v>307</v>
      </c>
      <c r="BC317" s="22">
        <v>1.4456199999999999</v>
      </c>
      <c r="BD317">
        <f t="shared" si="58"/>
        <v>6.5948500000000001</v>
      </c>
      <c r="BE317">
        <f t="shared" si="59"/>
        <v>9.5356255120000011</v>
      </c>
    </row>
    <row r="318" spans="6:57">
      <c r="F318" s="9"/>
      <c r="G318" s="22">
        <v>0.28915400000000002</v>
      </c>
      <c r="H318" s="22">
        <v>40.300800000000002</v>
      </c>
      <c r="I318" s="22">
        <v>-1.6876200000000001E-2</v>
      </c>
      <c r="J318" s="22">
        <v>308</v>
      </c>
      <c r="K318" s="22">
        <v>0.28832999999999998</v>
      </c>
      <c r="L318">
        <f t="shared" si="48"/>
        <v>16.876200000000001</v>
      </c>
      <c r="M318">
        <f t="shared" si="49"/>
        <v>4.8798207348000009</v>
      </c>
      <c r="N318" s="9"/>
      <c r="O318" s="22">
        <v>1.45096</v>
      </c>
      <c r="P318" s="22">
        <v>89.739199999999997</v>
      </c>
      <c r="Q318" s="22">
        <v>-1.5969799999999999E-2</v>
      </c>
      <c r="R318" s="22">
        <v>308</v>
      </c>
      <c r="S318" s="22">
        <v>1.4501999999999999</v>
      </c>
      <c r="T318">
        <f t="shared" si="50"/>
        <v>15.969799999999999</v>
      </c>
      <c r="U318">
        <f t="shared" si="51"/>
        <v>23.171541007999998</v>
      </c>
      <c r="X318" s="9"/>
      <c r="Y318" s="22">
        <v>0.28915400000000002</v>
      </c>
      <c r="Z318" s="22">
        <v>139.285</v>
      </c>
      <c r="AA318" s="22">
        <v>-1.7565899999999999E-2</v>
      </c>
      <c r="AB318" s="22">
        <v>308</v>
      </c>
      <c r="AC318" s="22">
        <v>0.28817700000000002</v>
      </c>
      <c r="AD318">
        <f t="shared" si="52"/>
        <v>17.565899999999999</v>
      </c>
      <c r="AE318">
        <f t="shared" si="53"/>
        <v>5.0792502486000002</v>
      </c>
      <c r="AF318" s="9"/>
      <c r="AG318" s="22">
        <v>1.45096</v>
      </c>
      <c r="AH318" s="22">
        <v>188.899</v>
      </c>
      <c r="AI318" s="22">
        <v>-1.5982099999999999E-2</v>
      </c>
      <c r="AJ318" s="22">
        <v>308</v>
      </c>
      <c r="AK318" s="22">
        <v>1.4501999999999999</v>
      </c>
      <c r="AL318">
        <f t="shared" si="54"/>
        <v>15.982099999999999</v>
      </c>
      <c r="AM318">
        <f t="shared" si="55"/>
        <v>23.189387816</v>
      </c>
      <c r="AP318" s="9"/>
      <c r="AQ318" s="22">
        <v>0.28915400000000002</v>
      </c>
      <c r="AR318" s="22">
        <v>238.523</v>
      </c>
      <c r="AS318" s="25">
        <v>2.7526899999999999E-5</v>
      </c>
      <c r="AT318" s="22">
        <v>308</v>
      </c>
      <c r="AU318" s="22">
        <v>7.8582799999999994E-2</v>
      </c>
      <c r="AV318">
        <f t="shared" si="56"/>
        <v>-2.75269E-2</v>
      </c>
      <c r="AW318">
        <f t="shared" si="57"/>
        <v>-7.9595132426000005E-3</v>
      </c>
      <c r="AX318" s="9"/>
      <c r="AY318" s="22">
        <v>1.45096</v>
      </c>
      <c r="AZ318" s="22">
        <v>254.58199999999999</v>
      </c>
      <c r="BA318" s="22">
        <v>-6.6986099999999998E-3</v>
      </c>
      <c r="BB318" s="22">
        <v>308</v>
      </c>
      <c r="BC318" s="22">
        <v>1.4498899999999999</v>
      </c>
      <c r="BD318">
        <f t="shared" si="58"/>
        <v>6.6986099999999995</v>
      </c>
      <c r="BE318">
        <f t="shared" si="59"/>
        <v>9.7194151655999992</v>
      </c>
    </row>
    <row r="319" spans="6:57">
      <c r="F319" s="9"/>
      <c r="G319" s="22">
        <v>0.28411900000000001</v>
      </c>
      <c r="H319" s="22">
        <v>40.310899999999997</v>
      </c>
      <c r="I319" s="22">
        <v>-1.68793E-2</v>
      </c>
      <c r="J319" s="22">
        <v>309</v>
      </c>
      <c r="K319" s="22">
        <v>0.28326400000000002</v>
      </c>
      <c r="L319">
        <f t="shared" si="48"/>
        <v>16.879300000000001</v>
      </c>
      <c r="M319">
        <f t="shared" si="49"/>
        <v>4.7957298367000005</v>
      </c>
      <c r="N319" s="9"/>
      <c r="O319" s="22">
        <v>1.4559899999999999</v>
      </c>
      <c r="P319" s="22">
        <v>89.749300000000005</v>
      </c>
      <c r="Q319" s="22">
        <v>-1.5960700000000001E-2</v>
      </c>
      <c r="R319" s="22">
        <v>309</v>
      </c>
      <c r="S319" s="22">
        <v>1.4550799999999999</v>
      </c>
      <c r="T319">
        <f t="shared" si="50"/>
        <v>15.960700000000001</v>
      </c>
      <c r="U319">
        <f t="shared" si="51"/>
        <v>23.238619592999999</v>
      </c>
      <c r="X319" s="9"/>
      <c r="Y319" s="22">
        <v>0.28411900000000001</v>
      </c>
      <c r="Z319" s="22">
        <v>139.29499999999999</v>
      </c>
      <c r="AA319" s="22">
        <v>-1.7565899999999999E-2</v>
      </c>
      <c r="AB319" s="22">
        <v>309</v>
      </c>
      <c r="AC319" s="22">
        <v>0.28353899999999999</v>
      </c>
      <c r="AD319">
        <f t="shared" si="52"/>
        <v>17.565899999999999</v>
      </c>
      <c r="AE319">
        <f t="shared" si="53"/>
        <v>4.9908059420999997</v>
      </c>
      <c r="AF319" s="9"/>
      <c r="AG319" s="22">
        <v>1.4559899999999999</v>
      </c>
      <c r="AH319" s="22">
        <v>188.90899999999999</v>
      </c>
      <c r="AI319" s="22">
        <v>-1.5972900000000002E-2</v>
      </c>
      <c r="AJ319" s="22">
        <v>309</v>
      </c>
      <c r="AK319" s="22">
        <v>1.4553799999999999</v>
      </c>
      <c r="AL319">
        <f t="shared" si="54"/>
        <v>15.972900000000001</v>
      </c>
      <c r="AM319">
        <f t="shared" si="55"/>
        <v>23.256382671000001</v>
      </c>
      <c r="AP319" s="9"/>
      <c r="AQ319" s="22">
        <v>0.28411900000000001</v>
      </c>
      <c r="AR319" s="22">
        <v>238.53299999999999</v>
      </c>
      <c r="AS319" s="25">
        <v>2.72522E-5</v>
      </c>
      <c r="AT319" s="22">
        <v>309</v>
      </c>
      <c r="AU319" s="22">
        <v>7.8582799999999994E-2</v>
      </c>
      <c r="AV319">
        <f t="shared" si="56"/>
        <v>-2.7252200000000001E-2</v>
      </c>
      <c r="AW319">
        <f t="shared" si="57"/>
        <v>-7.7428678118000001E-3</v>
      </c>
      <c r="AX319" s="9"/>
      <c r="AY319" s="22">
        <v>1.4559899999999999</v>
      </c>
      <c r="AZ319" s="22">
        <v>254.59200000000001</v>
      </c>
      <c r="BA319" s="22">
        <v>-6.7871099999999998E-3</v>
      </c>
      <c r="BB319" s="22">
        <v>309</v>
      </c>
      <c r="BC319" s="22">
        <v>1.4547699999999999</v>
      </c>
      <c r="BD319">
        <f t="shared" si="58"/>
        <v>6.7871100000000002</v>
      </c>
      <c r="BE319">
        <f t="shared" si="59"/>
        <v>9.881964288899999</v>
      </c>
    </row>
    <row r="320" spans="6:57">
      <c r="F320" s="9"/>
      <c r="G320" s="22">
        <v>0.27908300000000003</v>
      </c>
      <c r="H320" s="22">
        <v>40.320900000000002</v>
      </c>
      <c r="I320" s="22">
        <v>-1.6885399999999998E-2</v>
      </c>
      <c r="J320" s="22">
        <v>310</v>
      </c>
      <c r="K320" s="22">
        <v>0.278229</v>
      </c>
      <c r="L320">
        <f t="shared" si="48"/>
        <v>16.885399999999997</v>
      </c>
      <c r="M320">
        <f t="shared" si="49"/>
        <v>4.7124280881999994</v>
      </c>
      <c r="N320" s="9"/>
      <c r="O320" s="22">
        <v>1.4610300000000001</v>
      </c>
      <c r="P320" s="22">
        <v>89.759399999999999</v>
      </c>
      <c r="Q320" s="22">
        <v>-1.59515E-2</v>
      </c>
      <c r="R320" s="22">
        <v>310</v>
      </c>
      <c r="S320" s="22">
        <v>1.4599599999999999</v>
      </c>
      <c r="T320">
        <f t="shared" si="50"/>
        <v>15.951500000000001</v>
      </c>
      <c r="U320">
        <f t="shared" si="51"/>
        <v>23.305620045000001</v>
      </c>
      <c r="X320" s="9"/>
      <c r="Y320" s="22">
        <v>0.27908300000000003</v>
      </c>
      <c r="Z320" s="22">
        <v>139.30500000000001</v>
      </c>
      <c r="AA320" s="22">
        <v>-1.7569000000000001E-2</v>
      </c>
      <c r="AB320" s="22">
        <v>310</v>
      </c>
      <c r="AC320" s="22">
        <v>0.279053</v>
      </c>
      <c r="AD320">
        <f t="shared" si="52"/>
        <v>17.569000000000003</v>
      </c>
      <c r="AE320">
        <f t="shared" si="53"/>
        <v>4.9032092270000014</v>
      </c>
      <c r="AF320" s="9"/>
      <c r="AG320" s="22">
        <v>1.4610300000000001</v>
      </c>
      <c r="AH320" s="22">
        <v>188.91900000000001</v>
      </c>
      <c r="AI320" s="22">
        <v>-1.5960700000000001E-2</v>
      </c>
      <c r="AJ320" s="22">
        <v>310</v>
      </c>
      <c r="AK320" s="22">
        <v>1.4599599999999999</v>
      </c>
      <c r="AL320">
        <f t="shared" si="54"/>
        <v>15.960700000000001</v>
      </c>
      <c r="AM320">
        <f t="shared" si="55"/>
        <v>23.319061521000002</v>
      </c>
      <c r="AP320" s="9"/>
      <c r="AQ320" s="22">
        <v>0.27908300000000003</v>
      </c>
      <c r="AR320" s="22">
        <v>238.54300000000001</v>
      </c>
      <c r="AS320" s="25">
        <v>2.6245100000000001E-5</v>
      </c>
      <c r="AT320" s="22">
        <v>310</v>
      </c>
      <c r="AU320" s="22">
        <v>7.8582799999999994E-2</v>
      </c>
      <c r="AV320">
        <f t="shared" si="56"/>
        <v>-2.62451E-2</v>
      </c>
      <c r="AW320">
        <f t="shared" si="57"/>
        <v>-7.3245612433000011E-3</v>
      </c>
      <c r="AX320" s="9"/>
      <c r="AY320" s="22">
        <v>1.4610300000000001</v>
      </c>
      <c r="AZ320" s="22">
        <v>254.602</v>
      </c>
      <c r="BA320" s="22">
        <v>-6.6680899999999998E-3</v>
      </c>
      <c r="BB320" s="22">
        <v>310</v>
      </c>
      <c r="BC320" s="22">
        <v>1.46027</v>
      </c>
      <c r="BD320">
        <f t="shared" si="58"/>
        <v>6.6680899999999994</v>
      </c>
      <c r="BE320">
        <f t="shared" si="59"/>
        <v>9.7422795326999996</v>
      </c>
    </row>
    <row r="321" spans="6:57">
      <c r="F321" s="9"/>
      <c r="G321" s="22">
        <v>0.27404800000000001</v>
      </c>
      <c r="H321" s="22">
        <v>40.331000000000003</v>
      </c>
      <c r="I321" s="22">
        <v>-1.6888400000000001E-2</v>
      </c>
      <c r="J321" s="22">
        <v>311</v>
      </c>
      <c r="K321" s="22">
        <v>0.27319300000000002</v>
      </c>
      <c r="L321">
        <f t="shared" si="48"/>
        <v>16.888400000000001</v>
      </c>
      <c r="M321">
        <f t="shared" si="49"/>
        <v>4.6282322432000003</v>
      </c>
      <c r="N321" s="9"/>
      <c r="O321" s="22">
        <v>1.4660599999999999</v>
      </c>
      <c r="P321" s="22">
        <v>89.769400000000005</v>
      </c>
      <c r="Q321" s="22">
        <v>-1.59393E-2</v>
      </c>
      <c r="R321" s="22">
        <v>311</v>
      </c>
      <c r="S321" s="22">
        <v>1.4648399999999999</v>
      </c>
      <c r="T321">
        <f t="shared" si="50"/>
        <v>15.939299999999999</v>
      </c>
      <c r="U321">
        <f t="shared" si="51"/>
        <v>23.367970157999999</v>
      </c>
      <c r="X321" s="9"/>
      <c r="Y321" s="22">
        <v>0.27404800000000001</v>
      </c>
      <c r="Z321" s="22">
        <v>139.315</v>
      </c>
      <c r="AA321" s="22">
        <v>-1.7572000000000001E-2</v>
      </c>
      <c r="AB321" s="22">
        <v>311</v>
      </c>
      <c r="AC321" s="22">
        <v>0.27395599999999998</v>
      </c>
      <c r="AD321">
        <f t="shared" si="52"/>
        <v>17.571999999999999</v>
      </c>
      <c r="AE321">
        <f t="shared" si="53"/>
        <v>4.8155714559999998</v>
      </c>
      <c r="AF321" s="9"/>
      <c r="AG321" s="22">
        <v>1.4660599999999999</v>
      </c>
      <c r="AH321" s="22">
        <v>188.929</v>
      </c>
      <c r="AI321" s="22">
        <v>-1.5945399999999998E-2</v>
      </c>
      <c r="AJ321" s="22">
        <v>311</v>
      </c>
      <c r="AK321" s="22">
        <v>1.4648399999999999</v>
      </c>
      <c r="AL321">
        <f t="shared" si="54"/>
        <v>15.945399999999999</v>
      </c>
      <c r="AM321">
        <f t="shared" si="55"/>
        <v>23.376913123999998</v>
      </c>
      <c r="AP321" s="9"/>
      <c r="AQ321" s="22">
        <v>0.27404800000000001</v>
      </c>
      <c r="AR321" s="22">
        <v>238.553</v>
      </c>
      <c r="AS321" s="25">
        <v>2.6825000000000002E-5</v>
      </c>
      <c r="AT321" s="22">
        <v>311</v>
      </c>
      <c r="AU321" s="22">
        <v>7.8613299999999997E-2</v>
      </c>
      <c r="AV321">
        <f t="shared" si="56"/>
        <v>-2.6825000000000002E-2</v>
      </c>
      <c r="AW321">
        <f t="shared" si="57"/>
        <v>-7.3513376000000005E-3</v>
      </c>
      <c r="AX321" s="9"/>
      <c r="AY321" s="22">
        <v>1.4660599999999999</v>
      </c>
      <c r="AZ321" s="22">
        <v>254.613</v>
      </c>
      <c r="BA321" s="22">
        <v>-6.6680899999999998E-3</v>
      </c>
      <c r="BB321" s="22">
        <v>311</v>
      </c>
      <c r="BC321" s="22">
        <v>1.46515</v>
      </c>
      <c r="BD321">
        <f t="shared" si="58"/>
        <v>6.6680899999999994</v>
      </c>
      <c r="BE321">
        <f t="shared" si="59"/>
        <v>9.7758200253999981</v>
      </c>
    </row>
    <row r="322" spans="6:57">
      <c r="F322" s="9"/>
      <c r="G322" s="22">
        <v>0.26901199999999997</v>
      </c>
      <c r="H322" s="22">
        <v>40.341099999999997</v>
      </c>
      <c r="I322" s="22">
        <v>-1.68915E-2</v>
      </c>
      <c r="J322" s="22">
        <v>312</v>
      </c>
      <c r="K322" s="22">
        <v>0.26821899999999999</v>
      </c>
      <c r="L322">
        <f t="shared" si="48"/>
        <v>16.891500000000001</v>
      </c>
      <c r="M322">
        <f t="shared" si="49"/>
        <v>4.5440161979999996</v>
      </c>
      <c r="N322" s="9"/>
      <c r="O322" s="22">
        <v>1.4711000000000001</v>
      </c>
      <c r="P322" s="22">
        <v>89.779499999999999</v>
      </c>
      <c r="Q322" s="22">
        <v>-1.5930199999999999E-2</v>
      </c>
      <c r="R322" s="22">
        <v>312</v>
      </c>
      <c r="S322" s="22">
        <v>1.4706399999999999</v>
      </c>
      <c r="T322">
        <f t="shared" si="50"/>
        <v>15.930199999999999</v>
      </c>
      <c r="U322">
        <f t="shared" si="51"/>
        <v>23.434917219999999</v>
      </c>
      <c r="X322" s="9"/>
      <c r="Y322" s="22">
        <v>0.26901199999999997</v>
      </c>
      <c r="Z322" s="22">
        <v>139.32499999999999</v>
      </c>
      <c r="AA322" s="22">
        <v>-1.7572000000000001E-2</v>
      </c>
      <c r="AB322" s="22">
        <v>312</v>
      </c>
      <c r="AC322" s="22">
        <v>0.268341</v>
      </c>
      <c r="AD322">
        <f t="shared" si="52"/>
        <v>17.571999999999999</v>
      </c>
      <c r="AE322">
        <f t="shared" si="53"/>
        <v>4.7270788639999992</v>
      </c>
      <c r="AF322" s="9"/>
      <c r="AG322" s="22">
        <v>1.4711000000000001</v>
      </c>
      <c r="AH322" s="22">
        <v>188.93899999999999</v>
      </c>
      <c r="AI322" s="22">
        <v>-1.5930199999999999E-2</v>
      </c>
      <c r="AJ322" s="22">
        <v>312</v>
      </c>
      <c r="AK322" s="22">
        <v>1.46973</v>
      </c>
      <c r="AL322">
        <f t="shared" si="54"/>
        <v>15.930199999999999</v>
      </c>
      <c r="AM322">
        <f t="shared" si="55"/>
        <v>23.434917219999999</v>
      </c>
      <c r="AP322" s="9"/>
      <c r="AQ322" s="22">
        <v>0.26901199999999997</v>
      </c>
      <c r="AR322" s="22">
        <v>238.56299999999999</v>
      </c>
      <c r="AS322" s="25">
        <v>2.7343800000000001E-5</v>
      </c>
      <c r="AT322" s="22">
        <v>312</v>
      </c>
      <c r="AU322" s="22">
        <v>7.8582799999999994E-2</v>
      </c>
      <c r="AV322">
        <f t="shared" si="56"/>
        <v>-2.7343800000000001E-2</v>
      </c>
      <c r="AW322">
        <f t="shared" si="57"/>
        <v>-7.3558103256E-3</v>
      </c>
      <c r="AX322" s="9"/>
      <c r="AY322" s="22">
        <v>1.4711000000000001</v>
      </c>
      <c r="AZ322" s="22">
        <v>254.62299999999999</v>
      </c>
      <c r="BA322" s="22">
        <v>-6.6864000000000003E-3</v>
      </c>
      <c r="BB322" s="22">
        <v>312</v>
      </c>
      <c r="BC322" s="22">
        <v>1.47034</v>
      </c>
      <c r="BD322">
        <f t="shared" si="58"/>
        <v>6.6863999999999999</v>
      </c>
      <c r="BE322">
        <f t="shared" si="59"/>
        <v>9.8363630400000002</v>
      </c>
    </row>
    <row r="323" spans="6:57">
      <c r="F323" s="9"/>
      <c r="G323" s="22">
        <v>0.26397700000000002</v>
      </c>
      <c r="H323" s="22">
        <v>40.351100000000002</v>
      </c>
      <c r="I323" s="22">
        <v>-1.68945E-2</v>
      </c>
      <c r="J323" s="22">
        <v>313</v>
      </c>
      <c r="K323" s="22">
        <v>0.26300000000000001</v>
      </c>
      <c r="L323">
        <f t="shared" si="48"/>
        <v>16.894500000000001</v>
      </c>
      <c r="M323">
        <f t="shared" si="49"/>
        <v>4.4597594265000007</v>
      </c>
      <c r="N323" s="9"/>
      <c r="O323" s="22">
        <v>1.47614</v>
      </c>
      <c r="P323" s="22">
        <v>89.789599999999993</v>
      </c>
      <c r="Q323" s="22">
        <v>-1.5918000000000002E-2</v>
      </c>
      <c r="R323" s="22">
        <v>313</v>
      </c>
      <c r="S323" s="22">
        <v>1.4755199999999999</v>
      </c>
      <c r="T323">
        <f t="shared" si="50"/>
        <v>15.918000000000001</v>
      </c>
      <c r="U323">
        <f t="shared" si="51"/>
        <v>23.497196520000003</v>
      </c>
      <c r="X323" s="9"/>
      <c r="Y323" s="22">
        <v>0.26397700000000002</v>
      </c>
      <c r="Z323" s="22">
        <v>139.33500000000001</v>
      </c>
      <c r="AA323" s="22">
        <v>-1.7578099999999999E-2</v>
      </c>
      <c r="AB323" s="22">
        <v>313</v>
      </c>
      <c r="AC323" s="22">
        <v>0.26348899999999997</v>
      </c>
      <c r="AD323">
        <f t="shared" si="52"/>
        <v>17.578099999999999</v>
      </c>
      <c r="AE323">
        <f t="shared" si="53"/>
        <v>4.6402141037</v>
      </c>
      <c r="AF323" s="9"/>
      <c r="AG323" s="22">
        <v>1.47614</v>
      </c>
      <c r="AH323" s="22">
        <v>188.94900000000001</v>
      </c>
      <c r="AI323" s="22">
        <v>-1.59119E-2</v>
      </c>
      <c r="AJ323" s="22">
        <v>313</v>
      </c>
      <c r="AK323" s="22">
        <v>1.4755199999999999</v>
      </c>
      <c r="AL323">
        <f t="shared" si="54"/>
        <v>15.911899999999999</v>
      </c>
      <c r="AM323">
        <f t="shared" si="55"/>
        <v>23.488192066</v>
      </c>
      <c r="AP323" s="9"/>
      <c r="AQ323" s="22">
        <v>0.26397700000000002</v>
      </c>
      <c r="AR323" s="22">
        <v>238.57300000000001</v>
      </c>
      <c r="AS323" s="25">
        <v>2.7313200000000001E-5</v>
      </c>
      <c r="AT323" s="22">
        <v>313</v>
      </c>
      <c r="AU323" s="22">
        <v>7.8582799999999994E-2</v>
      </c>
      <c r="AV323">
        <f t="shared" si="56"/>
        <v>-2.7313200000000003E-2</v>
      </c>
      <c r="AW323">
        <f t="shared" si="57"/>
        <v>-7.2100565964000008E-3</v>
      </c>
      <c r="AX323" s="9"/>
      <c r="AY323" s="22">
        <v>1.47614</v>
      </c>
      <c r="AZ323" s="22">
        <v>254.63300000000001</v>
      </c>
      <c r="BA323" s="22">
        <v>-6.6436799999999999E-3</v>
      </c>
      <c r="BB323" s="22">
        <v>313</v>
      </c>
      <c r="BC323" s="22">
        <v>1.4749099999999999</v>
      </c>
      <c r="BD323">
        <f t="shared" si="58"/>
        <v>6.6436799999999998</v>
      </c>
      <c r="BE323">
        <f t="shared" si="59"/>
        <v>9.8070017951999997</v>
      </c>
    </row>
    <row r="324" spans="6:57">
      <c r="F324" s="9"/>
      <c r="G324" s="22">
        <v>0.25894200000000001</v>
      </c>
      <c r="H324" s="22">
        <v>40.361199999999997</v>
      </c>
      <c r="I324" s="22">
        <v>-1.6900600000000002E-2</v>
      </c>
      <c r="J324" s="22">
        <v>314</v>
      </c>
      <c r="K324" s="22">
        <v>0.25814799999999999</v>
      </c>
      <c r="L324">
        <f t="shared" si="48"/>
        <v>16.900600000000001</v>
      </c>
      <c r="M324">
        <f t="shared" si="49"/>
        <v>4.3762751652</v>
      </c>
      <c r="N324" s="9"/>
      <c r="O324" s="22">
        <v>1.4811700000000001</v>
      </c>
      <c r="P324" s="22">
        <v>89.799599999999998</v>
      </c>
      <c r="Q324" s="22">
        <v>-1.5902699999999999E-2</v>
      </c>
      <c r="R324" s="22">
        <v>314</v>
      </c>
      <c r="S324" s="22">
        <v>1.48071</v>
      </c>
      <c r="T324">
        <f t="shared" si="50"/>
        <v>15.902699999999999</v>
      </c>
      <c r="U324">
        <f t="shared" si="51"/>
        <v>23.554602159000002</v>
      </c>
      <c r="X324" s="9"/>
      <c r="Y324" s="22">
        <v>0.25894200000000001</v>
      </c>
      <c r="Z324" s="22">
        <v>139.345</v>
      </c>
      <c r="AA324" s="22">
        <v>-1.7578099999999999E-2</v>
      </c>
      <c r="AB324" s="22">
        <v>314</v>
      </c>
      <c r="AC324" s="22">
        <v>0.25784299999999999</v>
      </c>
      <c r="AD324">
        <f t="shared" si="52"/>
        <v>17.578099999999999</v>
      </c>
      <c r="AE324">
        <f t="shared" si="53"/>
        <v>4.5517083702000001</v>
      </c>
      <c r="AF324" s="9"/>
      <c r="AG324" s="22">
        <v>1.4811700000000001</v>
      </c>
      <c r="AH324" s="22">
        <v>188.96</v>
      </c>
      <c r="AI324" s="22">
        <v>-1.58966E-2</v>
      </c>
      <c r="AJ324" s="22">
        <v>314</v>
      </c>
      <c r="AK324" s="22">
        <v>1.4801</v>
      </c>
      <c r="AL324">
        <f t="shared" si="54"/>
        <v>15.896600000000001</v>
      </c>
      <c r="AM324">
        <f t="shared" si="55"/>
        <v>23.545567022000004</v>
      </c>
      <c r="AP324" s="9"/>
      <c r="AQ324" s="22">
        <v>0.25894200000000001</v>
      </c>
      <c r="AR324" s="22">
        <v>238.583</v>
      </c>
      <c r="AS324" s="25">
        <v>2.6733400000000001E-5</v>
      </c>
      <c r="AT324" s="22">
        <v>314</v>
      </c>
      <c r="AU324" s="22">
        <v>7.8582799999999994E-2</v>
      </c>
      <c r="AV324">
        <f t="shared" si="56"/>
        <v>-2.6733400000000001E-2</v>
      </c>
      <c r="AW324">
        <f t="shared" si="57"/>
        <v>-6.9224000628E-3</v>
      </c>
      <c r="AX324" s="9"/>
      <c r="AY324" s="22">
        <v>1.4811700000000001</v>
      </c>
      <c r="AZ324" s="22">
        <v>254.643</v>
      </c>
      <c r="BA324" s="22">
        <v>-6.6192600000000001E-3</v>
      </c>
      <c r="BB324" s="22">
        <v>314</v>
      </c>
      <c r="BC324" s="22">
        <v>1.47949</v>
      </c>
      <c r="BD324">
        <f t="shared" si="58"/>
        <v>6.6192599999999997</v>
      </c>
      <c r="BE324">
        <f t="shared" si="59"/>
        <v>9.8042493341999997</v>
      </c>
    </row>
    <row r="325" spans="6:57">
      <c r="F325" s="9"/>
      <c r="G325" s="22">
        <v>0.25390600000000002</v>
      </c>
      <c r="H325" s="22">
        <v>40.371299999999998</v>
      </c>
      <c r="I325" s="22">
        <v>-1.6900600000000002E-2</v>
      </c>
      <c r="J325" s="22">
        <v>315</v>
      </c>
      <c r="K325" s="22">
        <v>0.25317400000000001</v>
      </c>
      <c r="L325">
        <f t="shared" si="48"/>
        <v>16.900600000000001</v>
      </c>
      <c r="M325">
        <f t="shared" si="49"/>
        <v>4.2911637436000003</v>
      </c>
      <c r="N325" s="9"/>
      <c r="O325" s="22">
        <v>1.48621</v>
      </c>
      <c r="P325" s="22">
        <v>89.809700000000007</v>
      </c>
      <c r="Q325" s="22">
        <v>-1.58844E-2</v>
      </c>
      <c r="R325" s="22">
        <v>315</v>
      </c>
      <c r="S325" s="22">
        <v>1.4856</v>
      </c>
      <c r="T325">
        <f t="shared" si="50"/>
        <v>15.884399999999999</v>
      </c>
      <c r="U325">
        <f t="shared" si="51"/>
        <v>23.607554124</v>
      </c>
      <c r="X325" s="9"/>
      <c r="Y325" s="22">
        <v>0.25390600000000002</v>
      </c>
      <c r="Z325" s="22">
        <v>139.35499999999999</v>
      </c>
      <c r="AA325" s="22">
        <v>-1.7584200000000001E-2</v>
      </c>
      <c r="AB325" s="22">
        <v>315</v>
      </c>
      <c r="AC325" s="22">
        <v>0.25323499999999999</v>
      </c>
      <c r="AD325">
        <f t="shared" si="52"/>
        <v>17.584200000000003</v>
      </c>
      <c r="AE325">
        <f t="shared" si="53"/>
        <v>4.4647338852000011</v>
      </c>
      <c r="AF325" s="9"/>
      <c r="AG325" s="22">
        <v>1.48621</v>
      </c>
      <c r="AH325" s="22">
        <v>188.97</v>
      </c>
      <c r="AI325" s="22">
        <v>-1.5881300000000001E-2</v>
      </c>
      <c r="AJ325" s="22">
        <v>315</v>
      </c>
      <c r="AK325" s="22">
        <v>1.48529</v>
      </c>
      <c r="AL325">
        <f t="shared" si="54"/>
        <v>15.881300000000001</v>
      </c>
      <c r="AM325">
        <f t="shared" si="55"/>
        <v>23.602946873000004</v>
      </c>
      <c r="AP325" s="9"/>
      <c r="AQ325" s="22">
        <v>0.25390600000000002</v>
      </c>
      <c r="AR325" s="22">
        <v>238.59299999999999</v>
      </c>
      <c r="AS325" s="25">
        <v>2.73743E-5</v>
      </c>
      <c r="AT325" s="22">
        <v>315</v>
      </c>
      <c r="AU325" s="22">
        <v>7.8552200000000003E-2</v>
      </c>
      <c r="AV325">
        <f t="shared" si="56"/>
        <v>-2.7374300000000001E-2</v>
      </c>
      <c r="AW325">
        <f t="shared" si="57"/>
        <v>-6.9504990158000008E-3</v>
      </c>
      <c r="AX325" s="9"/>
      <c r="AY325" s="22">
        <v>1.48621</v>
      </c>
      <c r="AZ325" s="22">
        <v>254.65299999999999</v>
      </c>
      <c r="BA325" s="22">
        <v>-6.8725599999999998E-3</v>
      </c>
      <c r="BB325" s="22">
        <v>315</v>
      </c>
      <c r="BC325" s="22">
        <v>1.48499</v>
      </c>
      <c r="BD325">
        <f t="shared" si="58"/>
        <v>6.87256</v>
      </c>
      <c r="BE325">
        <f t="shared" si="59"/>
        <v>10.214067397600001</v>
      </c>
    </row>
    <row r="326" spans="6:57">
      <c r="F326" s="9"/>
      <c r="G326" s="22">
        <v>0.24887100000000001</v>
      </c>
      <c r="H326" s="22">
        <v>40.381399999999999</v>
      </c>
      <c r="I326" s="22">
        <v>-1.6900600000000002E-2</v>
      </c>
      <c r="J326" s="22">
        <v>316</v>
      </c>
      <c r="K326" s="22">
        <v>0.24823000000000001</v>
      </c>
      <c r="L326">
        <f t="shared" si="48"/>
        <v>16.900600000000001</v>
      </c>
      <c r="M326">
        <f t="shared" si="49"/>
        <v>4.2060692226</v>
      </c>
      <c r="N326" s="9"/>
      <c r="O326" s="22">
        <v>1.4912399999999999</v>
      </c>
      <c r="P326" s="22">
        <v>89.819800000000001</v>
      </c>
      <c r="Q326" s="22">
        <v>-1.5866100000000001E-2</v>
      </c>
      <c r="R326" s="22">
        <v>316</v>
      </c>
      <c r="S326" s="22">
        <v>1.49078</v>
      </c>
      <c r="T326">
        <f t="shared" si="50"/>
        <v>15.866100000000001</v>
      </c>
      <c r="U326">
        <f t="shared" si="51"/>
        <v>23.660162964000001</v>
      </c>
      <c r="X326" s="9"/>
      <c r="Y326" s="22">
        <v>0.24887100000000001</v>
      </c>
      <c r="Z326" s="22">
        <v>139.36500000000001</v>
      </c>
      <c r="AA326" s="22">
        <v>-1.7584200000000001E-2</v>
      </c>
      <c r="AB326" s="22">
        <v>316</v>
      </c>
      <c r="AC326" s="22">
        <v>0.24826000000000001</v>
      </c>
      <c r="AD326">
        <f t="shared" si="52"/>
        <v>17.584200000000003</v>
      </c>
      <c r="AE326">
        <f t="shared" si="53"/>
        <v>4.3761974382000011</v>
      </c>
      <c r="AF326" s="9"/>
      <c r="AG326" s="22">
        <v>1.4912399999999999</v>
      </c>
      <c r="AH326" s="22">
        <v>188.98</v>
      </c>
      <c r="AI326" s="22">
        <v>-1.5859999999999999E-2</v>
      </c>
      <c r="AJ326" s="22">
        <v>316</v>
      </c>
      <c r="AK326" s="22">
        <v>1.49017</v>
      </c>
      <c r="AL326">
        <f t="shared" si="54"/>
        <v>15.86</v>
      </c>
      <c r="AM326">
        <f t="shared" si="55"/>
        <v>23.651066399999998</v>
      </c>
      <c r="AP326" s="9"/>
      <c r="AQ326" s="22">
        <v>0.24887100000000001</v>
      </c>
      <c r="AR326" s="22">
        <v>238.60300000000001</v>
      </c>
      <c r="AS326" s="25">
        <v>3.0700700000000002E-5</v>
      </c>
      <c r="AT326" s="22">
        <v>316</v>
      </c>
      <c r="AU326" s="22">
        <v>7.85217E-2</v>
      </c>
      <c r="AV326">
        <f t="shared" si="56"/>
        <v>-3.0700700000000001E-2</v>
      </c>
      <c r="AW326">
        <f t="shared" si="57"/>
        <v>-7.6405139097000009E-3</v>
      </c>
      <c r="AX326" s="9"/>
      <c r="AY326" s="22">
        <v>1.4912399999999999</v>
      </c>
      <c r="AZ326" s="22">
        <v>254.66300000000001</v>
      </c>
      <c r="BA326" s="22">
        <v>-6.84814E-3</v>
      </c>
      <c r="BB326" s="22">
        <v>316</v>
      </c>
      <c r="BC326" s="22">
        <v>1.49017</v>
      </c>
      <c r="BD326">
        <f t="shared" si="58"/>
        <v>6.8481399999999999</v>
      </c>
      <c r="BE326">
        <f t="shared" si="59"/>
        <v>10.2122202936</v>
      </c>
    </row>
    <row r="327" spans="6:57">
      <c r="F327" s="9"/>
      <c r="G327" s="22">
        <v>0.243835</v>
      </c>
      <c r="H327" s="22">
        <v>40.391399999999997</v>
      </c>
      <c r="I327" s="22">
        <v>-1.6903700000000001E-2</v>
      </c>
      <c r="J327" s="22">
        <v>317</v>
      </c>
      <c r="K327" s="22">
        <v>0.243011</v>
      </c>
      <c r="L327">
        <f t="shared" si="48"/>
        <v>16.903700000000001</v>
      </c>
      <c r="M327">
        <f t="shared" si="49"/>
        <v>4.1217136894999999</v>
      </c>
      <c r="N327" s="9"/>
      <c r="O327" s="22">
        <v>1.4962800000000001</v>
      </c>
      <c r="P327" s="22">
        <v>89.829899999999995</v>
      </c>
      <c r="Q327" s="22">
        <v>-1.5847799999999999E-2</v>
      </c>
      <c r="R327" s="22">
        <v>317</v>
      </c>
      <c r="S327" s="22">
        <v>1.4950600000000001</v>
      </c>
      <c r="T327">
        <f t="shared" si="50"/>
        <v>15.847799999999999</v>
      </c>
      <c r="U327">
        <f t="shared" si="51"/>
        <v>23.712746184</v>
      </c>
      <c r="X327" s="9"/>
      <c r="Y327" s="22">
        <v>0.243835</v>
      </c>
      <c r="Z327" s="22">
        <v>139.375</v>
      </c>
      <c r="AA327" s="22">
        <v>-1.75903E-2</v>
      </c>
      <c r="AB327" s="22">
        <v>317</v>
      </c>
      <c r="AC327" s="22">
        <v>0.24316399999999999</v>
      </c>
      <c r="AD327">
        <f t="shared" si="52"/>
        <v>17.590299999999999</v>
      </c>
      <c r="AE327">
        <f t="shared" si="53"/>
        <v>4.2891308004999997</v>
      </c>
      <c r="AF327" s="9"/>
      <c r="AG327" s="22">
        <v>1.4962800000000001</v>
      </c>
      <c r="AH327" s="22">
        <v>188.99</v>
      </c>
      <c r="AI327" s="22">
        <v>-1.58417E-2</v>
      </c>
      <c r="AJ327" s="22">
        <v>317</v>
      </c>
      <c r="AK327" s="22">
        <v>1.4950600000000001</v>
      </c>
      <c r="AL327">
        <f t="shared" si="54"/>
        <v>15.841699999999999</v>
      </c>
      <c r="AM327">
        <f t="shared" si="55"/>
        <v>23.703618876</v>
      </c>
      <c r="AP327" s="9"/>
      <c r="AQ327" s="22">
        <v>0.243835</v>
      </c>
      <c r="AR327" s="22">
        <v>238.613</v>
      </c>
      <c r="AS327" s="25">
        <v>2.5634800000000001E-5</v>
      </c>
      <c r="AT327" s="22">
        <v>317</v>
      </c>
      <c r="AU327" s="22">
        <v>7.8582799999999994E-2</v>
      </c>
      <c r="AV327">
        <f t="shared" si="56"/>
        <v>-2.5634799999999999E-2</v>
      </c>
      <c r="AW327">
        <f t="shared" si="57"/>
        <v>-6.2506614580000001E-3</v>
      </c>
      <c r="AX327" s="9"/>
      <c r="AY327" s="22">
        <v>1.4962800000000001</v>
      </c>
      <c r="AZ327" s="22">
        <v>254.673</v>
      </c>
      <c r="BA327" s="22">
        <v>-6.7810099999999996E-3</v>
      </c>
      <c r="BB327" s="22">
        <v>317</v>
      </c>
      <c r="BC327" s="22">
        <v>1.49536</v>
      </c>
      <c r="BD327">
        <f t="shared" si="58"/>
        <v>6.7810099999999993</v>
      </c>
      <c r="BE327">
        <f t="shared" si="59"/>
        <v>10.146289642799999</v>
      </c>
    </row>
    <row r="328" spans="6:57">
      <c r="F328" s="9"/>
      <c r="G328" s="22">
        <v>0.23880000000000001</v>
      </c>
      <c r="H328" s="22">
        <v>40.401499999999999</v>
      </c>
      <c r="I328" s="22">
        <v>-1.69067E-2</v>
      </c>
      <c r="J328" s="22">
        <v>318</v>
      </c>
      <c r="K328" s="22">
        <v>0.23819000000000001</v>
      </c>
      <c r="L328">
        <f t="shared" si="48"/>
        <v>16.906700000000001</v>
      </c>
      <c r="M328">
        <f t="shared" si="49"/>
        <v>4.0373199600000005</v>
      </c>
      <c r="N328" s="9"/>
      <c r="O328" s="22">
        <v>1.5013099999999999</v>
      </c>
      <c r="P328" s="22">
        <v>89.8399</v>
      </c>
      <c r="Q328" s="22">
        <v>-1.5832499999999999E-2</v>
      </c>
      <c r="R328" s="22">
        <v>318</v>
      </c>
      <c r="S328" s="22">
        <v>1.50024</v>
      </c>
      <c r="T328">
        <f t="shared" si="50"/>
        <v>15.8325</v>
      </c>
      <c r="U328">
        <f t="shared" si="51"/>
        <v>23.769490574999999</v>
      </c>
      <c r="X328" s="9"/>
      <c r="Y328" s="22">
        <v>0.23880000000000001</v>
      </c>
      <c r="Z328" s="22">
        <v>139.38499999999999</v>
      </c>
      <c r="AA328" s="22">
        <v>-1.7593399999999999E-2</v>
      </c>
      <c r="AB328" s="22">
        <v>318</v>
      </c>
      <c r="AC328" s="22">
        <v>0.23812900000000001</v>
      </c>
      <c r="AD328">
        <f t="shared" si="52"/>
        <v>17.593399999999999</v>
      </c>
      <c r="AE328">
        <f t="shared" si="53"/>
        <v>4.20130392</v>
      </c>
      <c r="AF328" s="9"/>
      <c r="AG328" s="22">
        <v>1.5013099999999999</v>
      </c>
      <c r="AH328" s="22">
        <v>189</v>
      </c>
      <c r="AI328" s="22">
        <v>-1.58142E-2</v>
      </c>
      <c r="AJ328" s="22">
        <v>318</v>
      </c>
      <c r="AK328" s="22">
        <v>1.4999400000000001</v>
      </c>
      <c r="AL328">
        <f t="shared" si="54"/>
        <v>15.8142</v>
      </c>
      <c r="AM328">
        <f t="shared" si="55"/>
        <v>23.742016602</v>
      </c>
      <c r="AP328" s="9"/>
      <c r="AQ328" s="22">
        <v>0.23880000000000001</v>
      </c>
      <c r="AR328" s="22">
        <v>238.62299999999999</v>
      </c>
      <c r="AS328" s="25">
        <v>3.1341599999999998E-5</v>
      </c>
      <c r="AT328" s="22">
        <v>318</v>
      </c>
      <c r="AU328" s="22">
        <v>7.8582799999999994E-2</v>
      </c>
      <c r="AV328">
        <f t="shared" si="56"/>
        <v>-3.1341599999999997E-2</v>
      </c>
      <c r="AW328">
        <f t="shared" si="57"/>
        <v>-7.4843740799999999E-3</v>
      </c>
      <c r="AX328" s="9"/>
      <c r="AY328" s="22">
        <v>1.5013099999999999</v>
      </c>
      <c r="AZ328" s="22">
        <v>254.68299999999999</v>
      </c>
      <c r="BA328" s="22">
        <v>-6.79321E-3</v>
      </c>
      <c r="BB328" s="22">
        <v>318</v>
      </c>
      <c r="BC328" s="22">
        <v>1.4999400000000001</v>
      </c>
      <c r="BD328">
        <f t="shared" si="58"/>
        <v>6.7932100000000002</v>
      </c>
      <c r="BE328">
        <f t="shared" si="59"/>
        <v>10.198714105100001</v>
      </c>
    </row>
    <row r="329" spans="6:57">
      <c r="F329" s="9"/>
      <c r="G329" s="22">
        <v>0.233765</v>
      </c>
      <c r="H329" s="22">
        <v>40.4116</v>
      </c>
      <c r="I329" s="22">
        <v>-1.6909799999999999E-2</v>
      </c>
      <c r="J329" s="22">
        <v>319</v>
      </c>
      <c r="K329" s="22">
        <v>0.23300199999999999</v>
      </c>
      <c r="L329">
        <f t="shared" si="48"/>
        <v>16.909800000000001</v>
      </c>
      <c r="M329">
        <f t="shared" si="49"/>
        <v>3.9529193970000001</v>
      </c>
      <c r="N329" s="9"/>
      <c r="O329" s="22">
        <v>1.5063500000000001</v>
      </c>
      <c r="P329" s="22">
        <v>89.85</v>
      </c>
      <c r="Q329" s="22">
        <v>-1.5817299999999999E-2</v>
      </c>
      <c r="R329" s="22">
        <v>319</v>
      </c>
      <c r="S329" s="22">
        <v>1.50482</v>
      </c>
      <c r="T329">
        <f t="shared" si="50"/>
        <v>15.817299999999999</v>
      </c>
      <c r="U329">
        <f t="shared" si="51"/>
        <v>23.826389855000002</v>
      </c>
      <c r="X329" s="9"/>
      <c r="Y329" s="22">
        <v>0.233765</v>
      </c>
      <c r="Z329" s="22">
        <v>139.39500000000001</v>
      </c>
      <c r="AA329" s="22">
        <v>-1.7593399999999999E-2</v>
      </c>
      <c r="AB329" s="22">
        <v>319</v>
      </c>
      <c r="AC329" s="22">
        <v>0.233185</v>
      </c>
      <c r="AD329">
        <f t="shared" si="52"/>
        <v>17.593399999999999</v>
      </c>
      <c r="AE329">
        <f t="shared" si="53"/>
        <v>4.1127211509999997</v>
      </c>
      <c r="AF329" s="9"/>
      <c r="AG329" s="22">
        <v>1.5063500000000001</v>
      </c>
      <c r="AH329" s="22">
        <v>189.01</v>
      </c>
      <c r="AI329" s="22">
        <v>-1.5783700000000001E-2</v>
      </c>
      <c r="AJ329" s="22">
        <v>319</v>
      </c>
      <c r="AK329" s="22">
        <v>1.5045200000000001</v>
      </c>
      <c r="AL329">
        <f t="shared" si="54"/>
        <v>15.783700000000001</v>
      </c>
      <c r="AM329">
        <f t="shared" si="55"/>
        <v>23.775776495000002</v>
      </c>
      <c r="AP329" s="9"/>
      <c r="AQ329" s="22">
        <v>0.233765</v>
      </c>
      <c r="AR329" s="22">
        <v>238.63300000000001</v>
      </c>
      <c r="AS329" s="25">
        <v>2.83508E-5</v>
      </c>
      <c r="AT329" s="22">
        <v>319</v>
      </c>
      <c r="AU329" s="22">
        <v>7.8552200000000003E-2</v>
      </c>
      <c r="AV329">
        <f t="shared" si="56"/>
        <v>-2.8350799999999999E-2</v>
      </c>
      <c r="AW329">
        <f t="shared" si="57"/>
        <v>-6.6274247619999994E-3</v>
      </c>
      <c r="AX329" s="9"/>
      <c r="AY329" s="22">
        <v>1.5063500000000001</v>
      </c>
      <c r="AZ329" s="22">
        <v>254.69300000000001</v>
      </c>
      <c r="BA329" s="22">
        <v>-6.8054200000000004E-3</v>
      </c>
      <c r="BB329" s="22">
        <v>319</v>
      </c>
      <c r="BC329" s="22">
        <v>1.5051300000000001</v>
      </c>
      <c r="BD329">
        <f t="shared" si="58"/>
        <v>6.8054200000000007</v>
      </c>
      <c r="BE329">
        <f t="shared" si="59"/>
        <v>10.251344417000002</v>
      </c>
    </row>
    <row r="330" spans="6:57">
      <c r="F330" s="9"/>
      <c r="G330" s="22">
        <v>0.22872899999999999</v>
      </c>
      <c r="H330" s="22">
        <v>40.421599999999998</v>
      </c>
      <c r="I330" s="22">
        <v>-1.6909799999999999E-2</v>
      </c>
      <c r="J330" s="22">
        <v>320</v>
      </c>
      <c r="K330" s="22">
        <v>0.227905</v>
      </c>
      <c r="L330">
        <f t="shared" si="48"/>
        <v>16.909800000000001</v>
      </c>
      <c r="M330">
        <f t="shared" si="49"/>
        <v>3.8677616441999998</v>
      </c>
      <c r="N330" s="9"/>
      <c r="O330" s="22">
        <v>1.5113799999999999</v>
      </c>
      <c r="P330" s="22">
        <v>89.860100000000003</v>
      </c>
      <c r="Q330" s="22">
        <v>-1.5795900000000002E-2</v>
      </c>
      <c r="R330" s="22">
        <v>320</v>
      </c>
      <c r="S330" s="22">
        <v>1.51031</v>
      </c>
      <c r="T330">
        <f t="shared" si="50"/>
        <v>15.795900000000001</v>
      </c>
      <c r="U330">
        <f t="shared" si="51"/>
        <v>23.873607342</v>
      </c>
      <c r="X330" s="9"/>
      <c r="Y330" s="22">
        <v>0.22872899999999999</v>
      </c>
      <c r="Z330" s="22">
        <v>139.40600000000001</v>
      </c>
      <c r="AA330" s="22">
        <v>-1.75903E-2</v>
      </c>
      <c r="AB330" s="22">
        <v>320</v>
      </c>
      <c r="AC330" s="22">
        <v>0.227966</v>
      </c>
      <c r="AD330">
        <f t="shared" si="52"/>
        <v>17.590299999999999</v>
      </c>
      <c r="AE330">
        <f t="shared" si="53"/>
        <v>4.0234117286999993</v>
      </c>
      <c r="AF330" s="9"/>
      <c r="AG330" s="22">
        <v>1.5113799999999999</v>
      </c>
      <c r="AH330" s="22">
        <v>189.02</v>
      </c>
      <c r="AI330" s="22">
        <v>-1.57501E-2</v>
      </c>
      <c r="AJ330" s="22">
        <v>320</v>
      </c>
      <c r="AK330" s="22">
        <v>1.51031</v>
      </c>
      <c r="AL330">
        <f t="shared" si="54"/>
        <v>15.7501</v>
      </c>
      <c r="AM330">
        <f t="shared" si="55"/>
        <v>23.804386137999998</v>
      </c>
      <c r="AP330" s="9"/>
      <c r="AQ330" s="22">
        <v>0.22872899999999999</v>
      </c>
      <c r="AR330" s="22">
        <v>238.643</v>
      </c>
      <c r="AS330" s="25">
        <v>2.9479999999999999E-5</v>
      </c>
      <c r="AT330" s="22">
        <v>320</v>
      </c>
      <c r="AU330" s="22">
        <v>7.8613299999999997E-2</v>
      </c>
      <c r="AV330">
        <f t="shared" si="56"/>
        <v>-2.9479999999999999E-2</v>
      </c>
      <c r="AW330">
        <f t="shared" si="57"/>
        <v>-6.7429309199999992E-3</v>
      </c>
      <c r="AX330" s="9"/>
      <c r="AY330" s="22">
        <v>1.5113799999999999</v>
      </c>
      <c r="AZ330" s="22">
        <v>254.703</v>
      </c>
      <c r="BA330" s="22">
        <v>-6.64673E-3</v>
      </c>
      <c r="BB330" s="22">
        <v>320</v>
      </c>
      <c r="BC330" s="22">
        <v>1.51031</v>
      </c>
      <c r="BD330">
        <f t="shared" si="58"/>
        <v>6.6467299999999998</v>
      </c>
      <c r="BE330">
        <f t="shared" si="59"/>
        <v>10.045734787399999</v>
      </c>
    </row>
    <row r="331" spans="6:57">
      <c r="F331" s="9"/>
      <c r="G331" s="22">
        <v>0.223694</v>
      </c>
      <c r="H331" s="22">
        <v>40.431699999999999</v>
      </c>
      <c r="I331" s="22">
        <v>-1.6912799999999999E-2</v>
      </c>
      <c r="J331" s="22">
        <v>321</v>
      </c>
      <c r="K331" s="22">
        <v>0.22287000000000001</v>
      </c>
      <c r="L331">
        <f t="shared" si="48"/>
        <v>16.912799999999997</v>
      </c>
      <c r="M331">
        <f t="shared" si="49"/>
        <v>3.7832918831999995</v>
      </c>
      <c r="N331" s="9"/>
      <c r="O331" s="22">
        <v>1.5164200000000001</v>
      </c>
      <c r="P331" s="22">
        <v>89.870099999999994</v>
      </c>
      <c r="Q331" s="22">
        <v>-1.57745E-2</v>
      </c>
      <c r="R331" s="22">
        <v>321</v>
      </c>
      <c r="S331" s="22">
        <v>1.5158100000000001</v>
      </c>
      <c r="T331">
        <f t="shared" si="50"/>
        <v>15.7745</v>
      </c>
      <c r="U331">
        <f t="shared" si="51"/>
        <v>23.920767290000001</v>
      </c>
      <c r="X331" s="9"/>
      <c r="Y331" s="22">
        <v>0.223694</v>
      </c>
      <c r="Z331" s="22">
        <v>139.416</v>
      </c>
      <c r="AA331" s="22">
        <v>-1.7596400000000002E-2</v>
      </c>
      <c r="AB331" s="22">
        <v>321</v>
      </c>
      <c r="AC331" s="22">
        <v>0.22341900000000001</v>
      </c>
      <c r="AD331">
        <f t="shared" si="52"/>
        <v>17.596400000000003</v>
      </c>
      <c r="AE331">
        <f t="shared" si="53"/>
        <v>3.9362091016000007</v>
      </c>
      <c r="AF331" s="9"/>
      <c r="AG331" s="22">
        <v>1.5164200000000001</v>
      </c>
      <c r="AH331" s="22">
        <v>189.03</v>
      </c>
      <c r="AI331" s="22">
        <v>-1.5722699999999999E-2</v>
      </c>
      <c r="AJ331" s="22">
        <v>321</v>
      </c>
      <c r="AK331" s="22">
        <v>1.5152000000000001</v>
      </c>
      <c r="AL331">
        <f t="shared" si="54"/>
        <v>15.7227</v>
      </c>
      <c r="AM331">
        <f t="shared" si="55"/>
        <v>23.842216734000001</v>
      </c>
      <c r="AP331" s="9"/>
      <c r="AQ331" s="22">
        <v>0.223694</v>
      </c>
      <c r="AR331" s="22">
        <v>238.65299999999999</v>
      </c>
      <c r="AS331" s="25">
        <v>2.7770999999999999E-5</v>
      </c>
      <c r="AT331" s="22">
        <v>321</v>
      </c>
      <c r="AU331" s="22">
        <v>7.8582799999999994E-2</v>
      </c>
      <c r="AV331">
        <f t="shared" si="56"/>
        <v>-2.7771000000000001E-2</v>
      </c>
      <c r="AW331">
        <f t="shared" si="57"/>
        <v>-6.2122060740000002E-3</v>
      </c>
      <c r="AX331" s="9"/>
      <c r="AY331" s="22">
        <v>1.5164200000000001</v>
      </c>
      <c r="AZ331" s="22">
        <v>254.71299999999999</v>
      </c>
      <c r="BA331" s="22">
        <v>-7.4096700000000001E-3</v>
      </c>
      <c r="BB331" s="22">
        <v>321</v>
      </c>
      <c r="BC331" s="22">
        <v>1.5152000000000001</v>
      </c>
      <c r="BD331">
        <f t="shared" si="58"/>
        <v>7.4096700000000002</v>
      </c>
      <c r="BE331">
        <f t="shared" si="59"/>
        <v>11.236171781400001</v>
      </c>
    </row>
    <row r="332" spans="6:57">
      <c r="F332" s="9"/>
      <c r="G332" s="22">
        <v>0.21865799999999999</v>
      </c>
      <c r="H332" s="22">
        <v>40.441800000000001</v>
      </c>
      <c r="I332" s="22">
        <v>-1.6912799999999999E-2</v>
      </c>
      <c r="J332" s="22">
        <v>322</v>
      </c>
      <c r="K332" s="22">
        <v>0.217834</v>
      </c>
      <c r="L332">
        <f t="shared" ref="L332:L395" si="60">-I332/$F$2*1000</f>
        <v>16.912799999999997</v>
      </c>
      <c r="M332">
        <f t="shared" ref="M332:M395" si="61">L332*G332</f>
        <v>3.6981190223999993</v>
      </c>
      <c r="N332" s="9"/>
      <c r="O332" s="22">
        <v>1.52145</v>
      </c>
      <c r="P332" s="22">
        <v>89.880200000000002</v>
      </c>
      <c r="Q332" s="22">
        <v>-1.57501E-2</v>
      </c>
      <c r="R332" s="22">
        <v>322</v>
      </c>
      <c r="S332" s="22">
        <v>1.5206900000000001</v>
      </c>
      <c r="T332">
        <f t="shared" ref="T332:T395" si="62">-Q332/$F$2*1000</f>
        <v>15.7501</v>
      </c>
      <c r="U332">
        <f t="shared" ref="U332:U395" si="63">T332*O332</f>
        <v>23.962989645</v>
      </c>
      <c r="X332" s="9"/>
      <c r="Y332" s="22">
        <v>0.21865799999999999</v>
      </c>
      <c r="Z332" s="22">
        <v>139.42599999999999</v>
      </c>
      <c r="AA332" s="22">
        <v>-1.7599500000000001E-2</v>
      </c>
      <c r="AB332" s="22">
        <v>322</v>
      </c>
      <c r="AC332" s="22">
        <v>0.21826200000000001</v>
      </c>
      <c r="AD332">
        <f t="shared" ref="AD332:AD395" si="64">-AA332/$F$2*1000</f>
        <v>17.599499999999999</v>
      </c>
      <c r="AE332">
        <f t="shared" ref="AE332:AE395" si="65">AD332*Y332</f>
        <v>3.8482714709999994</v>
      </c>
      <c r="AF332" s="9"/>
      <c r="AG332" s="22">
        <v>1.52145</v>
      </c>
      <c r="AH332" s="22">
        <v>189.04</v>
      </c>
      <c r="AI332" s="22">
        <v>-1.5685999999999999E-2</v>
      </c>
      <c r="AJ332" s="22">
        <v>322</v>
      </c>
      <c r="AK332" s="22">
        <v>1.5200800000000001</v>
      </c>
      <c r="AL332">
        <f t="shared" ref="AL332:AL395" si="66">-AI332/$F$2*1000</f>
        <v>15.685999999999998</v>
      </c>
      <c r="AM332">
        <f t="shared" ref="AM332:AM395" si="67">AL332*AG332</f>
        <v>23.865464699999997</v>
      </c>
      <c r="AP332" s="9"/>
      <c r="AQ332" s="22">
        <v>0.21865799999999999</v>
      </c>
      <c r="AR332" s="22">
        <v>238.66399999999999</v>
      </c>
      <c r="AS332" s="25">
        <v>2.8900100000000001E-5</v>
      </c>
      <c r="AT332" s="22">
        <v>322</v>
      </c>
      <c r="AU332" s="22">
        <v>7.85217E-2</v>
      </c>
      <c r="AV332">
        <f t="shared" ref="AV332:AV395" si="68">-AS332/$F$2*1000</f>
        <v>-2.8900100000000001E-2</v>
      </c>
      <c r="AW332">
        <f t="shared" ref="AW332:AW395" si="69">AV332*AQ332</f>
        <v>-6.3192380658000005E-3</v>
      </c>
      <c r="AX332" s="9"/>
      <c r="AY332" s="22">
        <v>1.52145</v>
      </c>
      <c r="AZ332" s="22">
        <v>254.72300000000001</v>
      </c>
      <c r="BA332" s="22">
        <v>-7.5103799999999997E-3</v>
      </c>
      <c r="BB332" s="22">
        <v>322</v>
      </c>
      <c r="BC332" s="22">
        <v>1.5203899999999999</v>
      </c>
      <c r="BD332">
        <f t="shared" ref="BD332:BD395" si="70">-BA332/$F$2*1000</f>
        <v>7.5103799999999996</v>
      </c>
      <c r="BE332">
        <f t="shared" ref="BE332:BE395" si="71">BD332*AY332</f>
        <v>11.426667650999999</v>
      </c>
    </row>
    <row r="333" spans="6:57">
      <c r="F333" s="9"/>
      <c r="G333" s="22">
        <v>0.21362300000000001</v>
      </c>
      <c r="H333" s="22">
        <v>40.451799999999999</v>
      </c>
      <c r="I333" s="22">
        <v>-1.6912799999999999E-2</v>
      </c>
      <c r="J333" s="22">
        <v>323</v>
      </c>
      <c r="K333" s="22">
        <v>0.212982</v>
      </c>
      <c r="L333">
        <f t="shared" si="60"/>
        <v>16.912799999999997</v>
      </c>
      <c r="M333">
        <f t="shared" si="61"/>
        <v>3.6129630743999996</v>
      </c>
      <c r="N333" s="9"/>
      <c r="O333" s="22">
        <v>1.5264899999999999</v>
      </c>
      <c r="P333" s="22">
        <v>89.890299999999996</v>
      </c>
      <c r="Q333" s="22">
        <v>-1.57196E-2</v>
      </c>
      <c r="R333" s="22">
        <v>323</v>
      </c>
      <c r="S333" s="22">
        <v>1.5258799999999999</v>
      </c>
      <c r="T333">
        <f t="shared" si="62"/>
        <v>15.7196</v>
      </c>
      <c r="U333">
        <f t="shared" si="63"/>
        <v>23.995812204</v>
      </c>
      <c r="X333" s="9"/>
      <c r="Y333" s="22">
        <v>0.21362300000000001</v>
      </c>
      <c r="Z333" s="22">
        <v>139.43600000000001</v>
      </c>
      <c r="AA333" s="22">
        <v>-1.7581200000000002E-2</v>
      </c>
      <c r="AB333" s="22">
        <v>323</v>
      </c>
      <c r="AC333" s="22">
        <v>0.21212800000000001</v>
      </c>
      <c r="AD333">
        <f t="shared" si="64"/>
        <v>17.581200000000003</v>
      </c>
      <c r="AE333">
        <f t="shared" si="65"/>
        <v>3.7557486876000006</v>
      </c>
      <c r="AF333" s="9"/>
      <c r="AG333" s="22">
        <v>1.5264899999999999</v>
      </c>
      <c r="AH333" s="22">
        <v>189.05</v>
      </c>
      <c r="AI333" s="22">
        <v>-1.56525E-2</v>
      </c>
      <c r="AJ333" s="22">
        <v>323</v>
      </c>
      <c r="AK333" s="22">
        <v>1.5249600000000001</v>
      </c>
      <c r="AL333">
        <f t="shared" si="66"/>
        <v>15.6525</v>
      </c>
      <c r="AM333">
        <f t="shared" si="67"/>
        <v>23.893384724999997</v>
      </c>
      <c r="AP333" s="9"/>
      <c r="AQ333" s="22">
        <v>0.21362300000000001</v>
      </c>
      <c r="AR333" s="22">
        <v>238.67400000000001</v>
      </c>
      <c r="AS333" s="25">
        <v>2.9754600000000001E-5</v>
      </c>
      <c r="AT333" s="22">
        <v>323</v>
      </c>
      <c r="AU333" s="22">
        <v>7.8552200000000003E-2</v>
      </c>
      <c r="AV333">
        <f t="shared" si="68"/>
        <v>-2.9754600000000003E-2</v>
      </c>
      <c r="AW333">
        <f t="shared" si="69"/>
        <v>-6.3562669158000011E-3</v>
      </c>
      <c r="AX333" s="9"/>
      <c r="AY333" s="22">
        <v>1.5264899999999999</v>
      </c>
      <c r="AZ333" s="22">
        <v>254.733</v>
      </c>
      <c r="BA333" s="22">
        <v>-7.2723400000000004E-3</v>
      </c>
      <c r="BB333" s="22">
        <v>323</v>
      </c>
      <c r="BC333" s="22">
        <v>1.5255700000000001</v>
      </c>
      <c r="BD333">
        <f t="shared" si="70"/>
        <v>7.2723400000000007</v>
      </c>
      <c r="BE333">
        <f t="shared" si="71"/>
        <v>11.1011542866</v>
      </c>
    </row>
    <row r="334" spans="6:57">
      <c r="F334" s="9"/>
      <c r="G334" s="22">
        <v>0.208588</v>
      </c>
      <c r="H334" s="22">
        <v>40.4619</v>
      </c>
      <c r="I334" s="22">
        <v>-1.6918900000000001E-2</v>
      </c>
      <c r="J334" s="22">
        <v>324</v>
      </c>
      <c r="K334" s="22">
        <v>0.20782500000000001</v>
      </c>
      <c r="L334">
        <f t="shared" si="60"/>
        <v>16.918900000000001</v>
      </c>
      <c r="M334">
        <f t="shared" si="61"/>
        <v>3.5290795132000001</v>
      </c>
      <c r="N334" s="9"/>
      <c r="O334" s="22">
        <v>1.53152</v>
      </c>
      <c r="P334" s="22">
        <v>89.900300000000001</v>
      </c>
      <c r="Q334" s="22">
        <v>-1.5685999999999999E-2</v>
      </c>
      <c r="R334" s="22">
        <v>324</v>
      </c>
      <c r="S334" s="22">
        <v>1.5304599999999999</v>
      </c>
      <c r="T334">
        <f t="shared" si="62"/>
        <v>15.685999999999998</v>
      </c>
      <c r="U334">
        <f t="shared" si="63"/>
        <v>24.023422719999996</v>
      </c>
      <c r="X334" s="9"/>
      <c r="Y334" s="22">
        <v>0.208588</v>
      </c>
      <c r="Z334" s="22">
        <v>139.446</v>
      </c>
      <c r="AA334" s="22">
        <v>-1.75903E-2</v>
      </c>
      <c r="AB334" s="22">
        <v>324</v>
      </c>
      <c r="AC334" s="22">
        <v>0.208038</v>
      </c>
      <c r="AD334">
        <f t="shared" si="64"/>
        <v>17.590299999999999</v>
      </c>
      <c r="AE334">
        <f t="shared" si="65"/>
        <v>3.6691254964</v>
      </c>
      <c r="AF334" s="9"/>
      <c r="AG334" s="22">
        <v>1.53152</v>
      </c>
      <c r="AH334" s="22">
        <v>189.06</v>
      </c>
      <c r="AI334" s="22">
        <v>-1.56128E-2</v>
      </c>
      <c r="AJ334" s="22">
        <v>324</v>
      </c>
      <c r="AK334" s="22">
        <v>1.5304599999999999</v>
      </c>
      <c r="AL334">
        <f t="shared" si="66"/>
        <v>15.6128</v>
      </c>
      <c r="AM334">
        <f t="shared" si="67"/>
        <v>23.911315456000001</v>
      </c>
      <c r="AP334" s="9"/>
      <c r="AQ334" s="22">
        <v>0.208588</v>
      </c>
      <c r="AR334" s="22">
        <v>238.684</v>
      </c>
      <c r="AS334" s="25">
        <v>2.5329599999999999E-5</v>
      </c>
      <c r="AT334" s="22">
        <v>324</v>
      </c>
      <c r="AU334" s="22">
        <v>7.85217E-2</v>
      </c>
      <c r="AV334">
        <f t="shared" si="68"/>
        <v>-2.5329599999999997E-2</v>
      </c>
      <c r="AW334">
        <f t="shared" si="69"/>
        <v>-5.2834506047999994E-3</v>
      </c>
      <c r="AX334" s="9"/>
      <c r="AY334" s="22">
        <v>1.53152</v>
      </c>
      <c r="AZ334" s="22">
        <v>254.74299999999999</v>
      </c>
      <c r="BA334" s="22">
        <v>-7.1319599999999997E-3</v>
      </c>
      <c r="BB334" s="22">
        <v>324</v>
      </c>
      <c r="BC334" s="22">
        <v>1.5304599999999999</v>
      </c>
      <c r="BD334">
        <f t="shared" si="70"/>
        <v>7.1319599999999994</v>
      </c>
      <c r="BE334">
        <f t="shared" si="71"/>
        <v>10.922739379199999</v>
      </c>
    </row>
    <row r="335" spans="6:57">
      <c r="F335" s="9"/>
      <c r="G335" s="22">
        <v>0.20355200000000001</v>
      </c>
      <c r="H335" s="22">
        <v>40.472000000000001</v>
      </c>
      <c r="I335" s="22">
        <v>-1.6922E-2</v>
      </c>
      <c r="J335" s="22">
        <v>325</v>
      </c>
      <c r="K335" s="22">
        <v>0.20272799999999999</v>
      </c>
      <c r="L335">
        <f t="shared" si="60"/>
        <v>16.922000000000001</v>
      </c>
      <c r="M335">
        <f t="shared" si="61"/>
        <v>3.4445069440000005</v>
      </c>
      <c r="N335" s="9"/>
      <c r="O335" s="22">
        <v>1.5365599999999999</v>
      </c>
      <c r="P335" s="22">
        <v>89.910399999999996</v>
      </c>
      <c r="Q335" s="22">
        <v>-1.5649400000000001E-2</v>
      </c>
      <c r="R335" s="22">
        <v>325</v>
      </c>
      <c r="S335" s="22">
        <v>1.5350299999999999</v>
      </c>
      <c r="T335">
        <f t="shared" si="62"/>
        <v>15.6494</v>
      </c>
      <c r="U335">
        <f t="shared" si="63"/>
        <v>24.046242063999998</v>
      </c>
      <c r="X335" s="9"/>
      <c r="Y335" s="22">
        <v>0.20355200000000001</v>
      </c>
      <c r="Z335" s="22">
        <v>139.45599999999999</v>
      </c>
      <c r="AA335" s="22">
        <v>-1.7593399999999999E-2</v>
      </c>
      <c r="AB335" s="22">
        <v>325</v>
      </c>
      <c r="AC335" s="22">
        <v>0.20306399999999999</v>
      </c>
      <c r="AD335">
        <f t="shared" si="64"/>
        <v>17.593399999999999</v>
      </c>
      <c r="AE335">
        <f t="shared" si="65"/>
        <v>3.5811717567999999</v>
      </c>
      <c r="AF335" s="9"/>
      <c r="AG335" s="22">
        <v>1.5365599999999999</v>
      </c>
      <c r="AH335" s="22">
        <v>189.07</v>
      </c>
      <c r="AI335" s="22">
        <v>-1.5564E-2</v>
      </c>
      <c r="AJ335" s="22">
        <v>325</v>
      </c>
      <c r="AK335" s="22">
        <v>1.5353399999999999</v>
      </c>
      <c r="AL335">
        <f t="shared" si="66"/>
        <v>15.564</v>
      </c>
      <c r="AM335">
        <f t="shared" si="67"/>
        <v>23.915019839999999</v>
      </c>
      <c r="AP335" s="9"/>
      <c r="AQ335" s="22">
        <v>0.20355200000000001</v>
      </c>
      <c r="AR335" s="22">
        <v>238.69399999999999</v>
      </c>
      <c r="AS335" s="25">
        <v>2.33154E-5</v>
      </c>
      <c r="AT335" s="22">
        <v>325</v>
      </c>
      <c r="AU335" s="22">
        <v>7.8582799999999994E-2</v>
      </c>
      <c r="AV335">
        <f t="shared" si="68"/>
        <v>-2.33154E-2</v>
      </c>
      <c r="AW335">
        <f t="shared" si="69"/>
        <v>-4.7458963008000007E-3</v>
      </c>
      <c r="AX335" s="9"/>
      <c r="AY335" s="22">
        <v>1.5365599999999999</v>
      </c>
      <c r="AZ335" s="22">
        <v>254.75399999999999</v>
      </c>
      <c r="BA335" s="22">
        <v>-7.0922900000000002E-3</v>
      </c>
      <c r="BB335" s="22">
        <v>325</v>
      </c>
      <c r="BC335" s="22">
        <v>1.5356399999999999</v>
      </c>
      <c r="BD335">
        <f t="shared" si="70"/>
        <v>7.0922900000000002</v>
      </c>
      <c r="BE335">
        <f t="shared" si="71"/>
        <v>10.897729122399999</v>
      </c>
    </row>
    <row r="336" spans="6:57">
      <c r="F336" s="9"/>
      <c r="G336" s="22">
        <v>0.198517</v>
      </c>
      <c r="H336" s="22">
        <v>40.482100000000003</v>
      </c>
      <c r="I336" s="22">
        <v>-1.6924999999999999E-2</v>
      </c>
      <c r="J336" s="22">
        <v>326</v>
      </c>
      <c r="K336" s="22">
        <v>0.197906</v>
      </c>
      <c r="L336">
        <f t="shared" si="60"/>
        <v>16.925000000000001</v>
      </c>
      <c r="M336">
        <f t="shared" si="61"/>
        <v>3.3599002250000001</v>
      </c>
      <c r="N336" s="9"/>
      <c r="O336" s="22">
        <v>1.5416000000000001</v>
      </c>
      <c r="P336" s="22">
        <v>89.920500000000004</v>
      </c>
      <c r="Q336" s="22">
        <v>-1.56128E-2</v>
      </c>
      <c r="R336" s="22">
        <v>326</v>
      </c>
      <c r="S336" s="22">
        <v>1.5402199999999999</v>
      </c>
      <c r="T336">
        <f t="shared" si="62"/>
        <v>15.6128</v>
      </c>
      <c r="U336">
        <f t="shared" si="63"/>
        <v>24.068692480000003</v>
      </c>
      <c r="X336" s="9"/>
      <c r="Y336" s="22">
        <v>0.198517</v>
      </c>
      <c r="Z336" s="22">
        <v>139.46600000000001</v>
      </c>
      <c r="AA336" s="22">
        <v>-1.75903E-2</v>
      </c>
      <c r="AB336" s="22">
        <v>326</v>
      </c>
      <c r="AC336" s="22">
        <v>0.19769300000000001</v>
      </c>
      <c r="AD336">
        <f t="shared" si="64"/>
        <v>17.590299999999999</v>
      </c>
      <c r="AE336">
        <f t="shared" si="65"/>
        <v>3.4919735850999998</v>
      </c>
      <c r="AF336" s="9"/>
      <c r="AG336" s="22">
        <v>1.5416000000000001</v>
      </c>
      <c r="AH336" s="22">
        <v>189.08</v>
      </c>
      <c r="AI336" s="22">
        <v>-1.5518199999999999E-2</v>
      </c>
      <c r="AJ336" s="22">
        <v>326</v>
      </c>
      <c r="AK336" s="22">
        <v>1.54053</v>
      </c>
      <c r="AL336">
        <f t="shared" si="66"/>
        <v>15.5182</v>
      </c>
      <c r="AM336">
        <f t="shared" si="67"/>
        <v>23.922857120000003</v>
      </c>
      <c r="AP336" s="9"/>
      <c r="AQ336" s="22">
        <v>0.198517</v>
      </c>
      <c r="AR336" s="22">
        <v>238.70400000000001</v>
      </c>
      <c r="AS336" s="25">
        <v>2.6916499999999999E-5</v>
      </c>
      <c r="AT336" s="22">
        <v>326</v>
      </c>
      <c r="AU336" s="22">
        <v>7.85217E-2</v>
      </c>
      <c r="AV336">
        <f t="shared" si="68"/>
        <v>-2.6916499999999999E-2</v>
      </c>
      <c r="AW336">
        <f t="shared" si="69"/>
        <v>-5.3433828305000002E-3</v>
      </c>
      <c r="AX336" s="9"/>
      <c r="AY336" s="22">
        <v>1.5416000000000001</v>
      </c>
      <c r="AZ336" s="22">
        <v>254.76400000000001</v>
      </c>
      <c r="BA336" s="22">
        <v>-6.9732700000000002E-3</v>
      </c>
      <c r="BB336" s="22">
        <v>326</v>
      </c>
      <c r="BC336" s="22">
        <v>1.54053</v>
      </c>
      <c r="BD336">
        <f t="shared" si="70"/>
        <v>6.9732700000000003</v>
      </c>
      <c r="BE336">
        <f t="shared" si="71"/>
        <v>10.749993032000001</v>
      </c>
    </row>
    <row r="337" spans="6:57">
      <c r="F337" s="9"/>
      <c r="G337" s="22">
        <v>0.19348099999999999</v>
      </c>
      <c r="H337" s="22">
        <v>40.492100000000001</v>
      </c>
      <c r="I337" s="22">
        <v>-1.6924999999999999E-2</v>
      </c>
      <c r="J337" s="22">
        <v>327</v>
      </c>
      <c r="K337" s="22">
        <v>0.192749</v>
      </c>
      <c r="L337">
        <f t="shared" si="60"/>
        <v>16.925000000000001</v>
      </c>
      <c r="M337">
        <f t="shared" si="61"/>
        <v>3.2746659249999999</v>
      </c>
      <c r="N337" s="9"/>
      <c r="O337" s="22">
        <v>1.5466299999999999</v>
      </c>
      <c r="P337" s="22">
        <v>89.930599999999998</v>
      </c>
      <c r="Q337" s="22">
        <v>-1.5566999999999999E-2</v>
      </c>
      <c r="R337" s="22">
        <v>327</v>
      </c>
      <c r="S337" s="22">
        <v>1.54541</v>
      </c>
      <c r="T337">
        <f t="shared" si="62"/>
        <v>15.566999999999998</v>
      </c>
      <c r="U337">
        <f t="shared" si="63"/>
        <v>24.076389209999995</v>
      </c>
      <c r="X337" s="9"/>
      <c r="Y337" s="22">
        <v>0.19348099999999999</v>
      </c>
      <c r="Z337" s="22">
        <v>139.476</v>
      </c>
      <c r="AA337" s="22">
        <v>-1.7593399999999999E-2</v>
      </c>
      <c r="AB337" s="22">
        <v>327</v>
      </c>
      <c r="AC337" s="22">
        <v>0.192963</v>
      </c>
      <c r="AD337">
        <f t="shared" si="64"/>
        <v>17.593399999999999</v>
      </c>
      <c r="AE337">
        <f t="shared" si="65"/>
        <v>3.4039886253999994</v>
      </c>
      <c r="AF337" s="9"/>
      <c r="AG337" s="22">
        <v>1.5466299999999999</v>
      </c>
      <c r="AH337" s="22">
        <v>189.09</v>
      </c>
      <c r="AI337" s="22">
        <v>-1.54602E-2</v>
      </c>
      <c r="AJ337" s="22">
        <v>327</v>
      </c>
      <c r="AK337" s="22">
        <v>1.5450999999999999</v>
      </c>
      <c r="AL337">
        <f t="shared" si="66"/>
        <v>15.4602</v>
      </c>
      <c r="AM337">
        <f t="shared" si="67"/>
        <v>23.911209125999999</v>
      </c>
      <c r="AP337" s="9"/>
      <c r="AQ337" s="22">
        <v>0.19348099999999999</v>
      </c>
      <c r="AR337" s="22">
        <v>238.714</v>
      </c>
      <c r="AS337" s="25">
        <v>2.6672399999999999E-5</v>
      </c>
      <c r="AT337" s="22">
        <v>327</v>
      </c>
      <c r="AU337" s="22">
        <v>7.85217E-2</v>
      </c>
      <c r="AV337">
        <f t="shared" si="68"/>
        <v>-2.6672399999999999E-2</v>
      </c>
      <c r="AW337">
        <f t="shared" si="69"/>
        <v>-5.1606026243999998E-3</v>
      </c>
      <c r="AX337" s="9"/>
      <c r="AY337" s="22">
        <v>1.5466299999999999</v>
      </c>
      <c r="AZ337" s="22">
        <v>254.774</v>
      </c>
      <c r="BA337" s="22">
        <v>-7.4096700000000001E-3</v>
      </c>
      <c r="BB337" s="22">
        <v>327</v>
      </c>
      <c r="BC337" s="22">
        <v>1.54541</v>
      </c>
      <c r="BD337">
        <f t="shared" si="70"/>
        <v>7.4096700000000002</v>
      </c>
      <c r="BE337">
        <f t="shared" si="71"/>
        <v>11.4600179121</v>
      </c>
    </row>
    <row r="338" spans="6:57">
      <c r="F338" s="9"/>
      <c r="G338" s="22">
        <v>0.188446</v>
      </c>
      <c r="H338" s="22">
        <v>40.502200000000002</v>
      </c>
      <c r="I338" s="22">
        <v>-1.6928100000000001E-2</v>
      </c>
      <c r="J338" s="22">
        <v>328</v>
      </c>
      <c r="K338" s="22">
        <v>0.18771399999999999</v>
      </c>
      <c r="L338">
        <f t="shared" si="60"/>
        <v>16.928100000000001</v>
      </c>
      <c r="M338">
        <f t="shared" si="61"/>
        <v>3.1900327326000002</v>
      </c>
      <c r="N338" s="9"/>
      <c r="O338" s="22">
        <v>1.5516700000000001</v>
      </c>
      <c r="P338" s="22">
        <v>89.940600000000003</v>
      </c>
      <c r="Q338" s="22">
        <v>-1.5527300000000001E-2</v>
      </c>
      <c r="R338" s="22">
        <v>328</v>
      </c>
      <c r="S338" s="22">
        <v>1.5506</v>
      </c>
      <c r="T338">
        <f t="shared" si="62"/>
        <v>15.5273</v>
      </c>
      <c r="U338">
        <f t="shared" si="63"/>
        <v>24.093245591000002</v>
      </c>
      <c r="X338" s="9"/>
      <c r="Y338" s="22">
        <v>0.188446</v>
      </c>
      <c r="Z338" s="22">
        <v>139.48599999999999</v>
      </c>
      <c r="AA338" s="22">
        <v>-1.7596400000000002E-2</v>
      </c>
      <c r="AB338" s="22">
        <v>328</v>
      </c>
      <c r="AC338" s="22">
        <v>0.18789700000000001</v>
      </c>
      <c r="AD338">
        <f t="shared" si="64"/>
        <v>17.596400000000003</v>
      </c>
      <c r="AE338">
        <f t="shared" si="65"/>
        <v>3.3159711944000008</v>
      </c>
      <c r="AF338" s="9"/>
      <c r="AG338" s="22">
        <v>1.5516700000000001</v>
      </c>
      <c r="AH338" s="22">
        <v>189.101</v>
      </c>
      <c r="AI338" s="22">
        <v>-1.54053E-2</v>
      </c>
      <c r="AJ338" s="22">
        <v>328</v>
      </c>
      <c r="AK338" s="22">
        <v>1.5508999999999999</v>
      </c>
      <c r="AL338">
        <f t="shared" si="66"/>
        <v>15.4053</v>
      </c>
      <c r="AM338">
        <f t="shared" si="67"/>
        <v>23.903941851000003</v>
      </c>
      <c r="AP338" s="9"/>
      <c r="AQ338" s="22">
        <v>0.188446</v>
      </c>
      <c r="AR338" s="22">
        <v>238.72399999999999</v>
      </c>
      <c r="AS338" s="25">
        <v>2.6886E-5</v>
      </c>
      <c r="AT338" s="22">
        <v>328</v>
      </c>
      <c r="AU338" s="22">
        <v>7.8491199999999997E-2</v>
      </c>
      <c r="AV338">
        <f t="shared" si="68"/>
        <v>-2.6886E-2</v>
      </c>
      <c r="AW338">
        <f t="shared" si="69"/>
        <v>-5.0665591560000002E-3</v>
      </c>
      <c r="AX338" s="9"/>
      <c r="AY338" s="22">
        <v>1.5516700000000001</v>
      </c>
      <c r="AZ338" s="22">
        <v>254.78399999999999</v>
      </c>
      <c r="BA338" s="22">
        <v>-7.3211700000000001E-3</v>
      </c>
      <c r="BB338" s="22">
        <v>328</v>
      </c>
      <c r="BC338" s="22">
        <v>1.5508999999999999</v>
      </c>
      <c r="BD338">
        <f t="shared" si="70"/>
        <v>7.3211700000000004</v>
      </c>
      <c r="BE338">
        <f t="shared" si="71"/>
        <v>11.360039853900002</v>
      </c>
    </row>
    <row r="339" spans="6:57">
      <c r="F339" s="9"/>
      <c r="G339" s="22">
        <v>0.18341099999999999</v>
      </c>
      <c r="H339" s="22">
        <v>40.512300000000003</v>
      </c>
      <c r="I339" s="22">
        <v>-1.6928100000000001E-2</v>
      </c>
      <c r="J339" s="22">
        <v>329</v>
      </c>
      <c r="K339" s="22">
        <v>0.182617</v>
      </c>
      <c r="L339">
        <f t="shared" si="60"/>
        <v>16.928100000000001</v>
      </c>
      <c r="M339">
        <f t="shared" si="61"/>
        <v>3.1047997491000001</v>
      </c>
      <c r="N339" s="9"/>
      <c r="O339" s="22">
        <v>1.5567</v>
      </c>
      <c r="P339" s="22">
        <v>89.950699999999998</v>
      </c>
      <c r="Q339" s="22">
        <v>-1.5484599999999999E-2</v>
      </c>
      <c r="R339" s="22">
        <v>329</v>
      </c>
      <c r="S339" s="22">
        <v>1.55579</v>
      </c>
      <c r="T339">
        <f t="shared" si="62"/>
        <v>15.484599999999999</v>
      </c>
      <c r="U339">
        <f t="shared" si="63"/>
        <v>24.104876819999998</v>
      </c>
      <c r="X339" s="9"/>
      <c r="Y339" s="22">
        <v>0.18341099999999999</v>
      </c>
      <c r="Z339" s="22">
        <v>139.49600000000001</v>
      </c>
      <c r="AA339" s="22">
        <v>-1.7599500000000001E-2</v>
      </c>
      <c r="AB339" s="22">
        <v>329</v>
      </c>
      <c r="AC339" s="22">
        <v>0.183228</v>
      </c>
      <c r="AD339">
        <f t="shared" si="64"/>
        <v>17.599499999999999</v>
      </c>
      <c r="AE339">
        <f t="shared" si="65"/>
        <v>3.2279418944999998</v>
      </c>
      <c r="AF339" s="9"/>
      <c r="AG339" s="22">
        <v>1.5567</v>
      </c>
      <c r="AH339" s="22">
        <v>189.11099999999999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0.18341099999999999</v>
      </c>
      <c r="AR339" s="22">
        <v>238.73400000000001</v>
      </c>
      <c r="AS339" s="25">
        <v>2.61536E-5</v>
      </c>
      <c r="AT339" s="22">
        <v>329</v>
      </c>
      <c r="AU339" s="22">
        <v>7.8552200000000003E-2</v>
      </c>
      <c r="AV339">
        <f t="shared" si="68"/>
        <v>-2.6153599999999999E-2</v>
      </c>
      <c r="AW339">
        <f t="shared" si="69"/>
        <v>-4.7968579295999993E-3</v>
      </c>
      <c r="AX339" s="9"/>
      <c r="AY339" s="22">
        <v>1.5567</v>
      </c>
      <c r="AZ339" s="22">
        <v>254.79400000000001</v>
      </c>
      <c r="BA339" s="22">
        <v>-7.0037800000000002E-3</v>
      </c>
      <c r="BB339" s="22">
        <v>329</v>
      </c>
      <c r="BC339" s="22">
        <v>1.55548</v>
      </c>
      <c r="BD339">
        <f t="shared" si="70"/>
        <v>7.0037799999999999</v>
      </c>
      <c r="BE339">
        <f t="shared" si="71"/>
        <v>10.902784325999999</v>
      </c>
    </row>
    <row r="340" spans="6:57">
      <c r="F340" s="9"/>
      <c r="G340" s="22">
        <v>0.17837500000000001</v>
      </c>
      <c r="H340" s="22">
        <v>40.522300000000001</v>
      </c>
      <c r="I340" s="22">
        <v>-1.69342E-2</v>
      </c>
      <c r="J340" s="22">
        <v>330</v>
      </c>
      <c r="K340" s="22">
        <v>0.17752100000000001</v>
      </c>
      <c r="L340">
        <f t="shared" si="60"/>
        <v>16.934200000000001</v>
      </c>
      <c r="M340">
        <f t="shared" si="61"/>
        <v>3.0206379250000004</v>
      </c>
      <c r="N340" s="9"/>
      <c r="O340" s="22">
        <v>1.5617399999999999</v>
      </c>
      <c r="P340" s="22">
        <v>89.960800000000006</v>
      </c>
      <c r="Q340" s="22">
        <v>-1.5438800000000001E-2</v>
      </c>
      <c r="R340" s="22">
        <v>330</v>
      </c>
      <c r="S340" s="22">
        <v>1.56067</v>
      </c>
      <c r="T340">
        <f t="shared" si="62"/>
        <v>15.438800000000001</v>
      </c>
      <c r="U340">
        <f t="shared" si="63"/>
        <v>24.111391512000001</v>
      </c>
      <c r="X340" s="9"/>
      <c r="Y340" s="22">
        <v>0.17837500000000001</v>
      </c>
      <c r="Z340" s="22">
        <v>139.506</v>
      </c>
      <c r="AA340" s="22">
        <v>-1.76025E-2</v>
      </c>
      <c r="AB340" s="22">
        <v>330</v>
      </c>
      <c r="AC340" s="22">
        <v>0.17810100000000001</v>
      </c>
      <c r="AD340">
        <f t="shared" si="64"/>
        <v>17.602499999999999</v>
      </c>
      <c r="AE340">
        <f t="shared" si="65"/>
        <v>3.1398459375000001</v>
      </c>
      <c r="AF340" s="9"/>
      <c r="AG340" s="22">
        <v>1.5617399999999999</v>
      </c>
      <c r="AH340" s="22">
        <v>189.12100000000001</v>
      </c>
      <c r="AI340" s="22">
        <v>-1.5280200000000001E-2</v>
      </c>
      <c r="AJ340" s="22">
        <v>330</v>
      </c>
      <c r="AK340" s="22">
        <v>1.56036</v>
      </c>
      <c r="AL340">
        <f t="shared" si="66"/>
        <v>15.280200000000001</v>
      </c>
      <c r="AM340">
        <f t="shared" si="67"/>
        <v>23.863699548</v>
      </c>
      <c r="AP340" s="9"/>
      <c r="AQ340" s="22">
        <v>0.17837500000000001</v>
      </c>
      <c r="AR340" s="22">
        <v>238.744</v>
      </c>
      <c r="AS340" s="25">
        <v>2.6916499999999999E-5</v>
      </c>
      <c r="AT340" s="22">
        <v>330</v>
      </c>
      <c r="AU340" s="22">
        <v>7.8552200000000003E-2</v>
      </c>
      <c r="AV340">
        <f t="shared" si="68"/>
        <v>-2.6916499999999999E-2</v>
      </c>
      <c r="AW340">
        <f t="shared" si="69"/>
        <v>-4.8012306874999997E-3</v>
      </c>
      <c r="AX340" s="9"/>
      <c r="AY340" s="22">
        <v>1.5617399999999999</v>
      </c>
      <c r="AZ340" s="22">
        <v>254.804</v>
      </c>
      <c r="BA340" s="22">
        <v>-6.8908700000000003E-3</v>
      </c>
      <c r="BB340" s="22">
        <v>330</v>
      </c>
      <c r="BC340" s="22">
        <v>1.56097</v>
      </c>
      <c r="BD340">
        <f t="shared" si="70"/>
        <v>6.8908700000000005</v>
      </c>
      <c r="BE340">
        <f t="shared" si="71"/>
        <v>10.761747313800001</v>
      </c>
    </row>
    <row r="341" spans="6:57">
      <c r="F341" s="9"/>
      <c r="G341" s="22">
        <v>0.17333999999999999</v>
      </c>
      <c r="H341" s="22">
        <v>40.532400000000003</v>
      </c>
      <c r="I341" s="22">
        <v>-1.6940299999999998E-2</v>
      </c>
      <c r="J341" s="22">
        <v>331</v>
      </c>
      <c r="K341" s="22">
        <v>0.17260700000000001</v>
      </c>
      <c r="L341">
        <f t="shared" si="60"/>
        <v>16.940299999999997</v>
      </c>
      <c r="M341">
        <f t="shared" si="61"/>
        <v>2.9364316019999994</v>
      </c>
      <c r="N341" s="9"/>
      <c r="O341" s="22">
        <v>1.56677</v>
      </c>
      <c r="P341" s="22">
        <v>89.970799999999997</v>
      </c>
      <c r="Q341" s="22">
        <v>-1.5387E-2</v>
      </c>
      <c r="R341" s="22">
        <v>331</v>
      </c>
      <c r="S341" s="22">
        <v>1.56616</v>
      </c>
      <c r="T341">
        <f t="shared" si="62"/>
        <v>15.387</v>
      </c>
      <c r="U341">
        <f t="shared" si="63"/>
        <v>24.10788999</v>
      </c>
      <c r="X341" s="9"/>
      <c r="Y341" s="22">
        <v>0.17333999999999999</v>
      </c>
      <c r="Z341" s="22">
        <v>139.51599999999999</v>
      </c>
      <c r="AA341" s="22">
        <v>-1.7605599999999999E-2</v>
      </c>
      <c r="AB341" s="22">
        <v>331</v>
      </c>
      <c r="AC341" s="22">
        <v>0.17257700000000001</v>
      </c>
      <c r="AD341">
        <f t="shared" si="64"/>
        <v>17.605599999999999</v>
      </c>
      <c r="AE341">
        <f t="shared" si="65"/>
        <v>3.0517547039999999</v>
      </c>
      <c r="AF341" s="9"/>
      <c r="AG341" s="22">
        <v>1.56677</v>
      </c>
      <c r="AH341" s="22">
        <v>189.131</v>
      </c>
      <c r="AI341" s="22">
        <v>-1.5213000000000001E-2</v>
      </c>
      <c r="AJ341" s="22">
        <v>331</v>
      </c>
      <c r="AK341" s="22">
        <v>1.56555</v>
      </c>
      <c r="AL341">
        <f t="shared" si="66"/>
        <v>15.213000000000001</v>
      </c>
      <c r="AM341">
        <f t="shared" si="67"/>
        <v>23.835272010000001</v>
      </c>
      <c r="AP341" s="9"/>
      <c r="AQ341" s="22">
        <v>0.17333999999999999</v>
      </c>
      <c r="AR341" s="22">
        <v>238.75399999999999</v>
      </c>
      <c r="AS341" s="25">
        <v>2.5848400000000001E-5</v>
      </c>
      <c r="AT341" s="22">
        <v>331</v>
      </c>
      <c r="AU341" s="22">
        <v>7.85217E-2</v>
      </c>
      <c r="AV341">
        <f t="shared" si="68"/>
        <v>-2.5848400000000001E-2</v>
      </c>
      <c r="AW341">
        <f t="shared" si="69"/>
        <v>-4.4805616560000001E-3</v>
      </c>
      <c r="AX341" s="9"/>
      <c r="AY341" s="22">
        <v>1.56677</v>
      </c>
      <c r="AZ341" s="22">
        <v>254.81399999999999</v>
      </c>
      <c r="BA341" s="22">
        <v>-6.7077600000000001E-3</v>
      </c>
      <c r="BB341" s="22">
        <v>331</v>
      </c>
      <c r="BC341" s="22">
        <v>1.56616</v>
      </c>
      <c r="BD341">
        <f t="shared" si="70"/>
        <v>6.7077600000000004</v>
      </c>
      <c r="BE341">
        <f t="shared" si="71"/>
        <v>10.509517135200001</v>
      </c>
    </row>
    <row r="342" spans="6:57">
      <c r="F342" s="9"/>
      <c r="G342" s="22">
        <v>0.16830400000000001</v>
      </c>
      <c r="H342" s="22">
        <v>40.542499999999997</v>
      </c>
      <c r="I342" s="22">
        <v>-1.69464E-2</v>
      </c>
      <c r="J342" s="22">
        <v>332</v>
      </c>
      <c r="K342" s="22">
        <v>0.167572</v>
      </c>
      <c r="L342">
        <f t="shared" si="60"/>
        <v>16.946400000000001</v>
      </c>
      <c r="M342">
        <f t="shared" si="61"/>
        <v>2.8521469056000002</v>
      </c>
      <c r="N342" s="9"/>
      <c r="O342" s="22">
        <v>1.5718099999999999</v>
      </c>
      <c r="P342" s="22">
        <v>89.980900000000005</v>
      </c>
      <c r="Q342" s="22">
        <v>-1.53198E-2</v>
      </c>
      <c r="R342" s="22">
        <v>332</v>
      </c>
      <c r="S342" s="22">
        <v>1.57074</v>
      </c>
      <c r="T342">
        <f t="shared" si="62"/>
        <v>15.319799999999999</v>
      </c>
      <c r="U342">
        <f t="shared" si="63"/>
        <v>24.079814837999997</v>
      </c>
      <c r="X342" s="9"/>
      <c r="Y342" s="22">
        <v>0.16830400000000001</v>
      </c>
      <c r="Z342" s="22">
        <v>139.52600000000001</v>
      </c>
      <c r="AA342" s="22">
        <v>-1.76025E-2</v>
      </c>
      <c r="AB342" s="22">
        <v>332</v>
      </c>
      <c r="AC342" s="22">
        <v>0.167847</v>
      </c>
      <c r="AD342">
        <f t="shared" si="64"/>
        <v>17.602499999999999</v>
      </c>
      <c r="AE342">
        <f t="shared" si="65"/>
        <v>2.96257116</v>
      </c>
      <c r="AF342" s="9"/>
      <c r="AG342" s="22">
        <v>1.5718099999999999</v>
      </c>
      <c r="AH342" s="22">
        <v>189.14099999999999</v>
      </c>
      <c r="AI342" s="22">
        <v>-1.5124500000000001E-2</v>
      </c>
      <c r="AJ342" s="22">
        <v>332</v>
      </c>
      <c r="AK342" s="22">
        <v>1.57074</v>
      </c>
      <c r="AL342">
        <f t="shared" si="66"/>
        <v>15.124500000000001</v>
      </c>
      <c r="AM342">
        <f t="shared" si="67"/>
        <v>23.772840345000002</v>
      </c>
      <c r="AP342" s="9"/>
      <c r="AQ342" s="22">
        <v>0.16830400000000001</v>
      </c>
      <c r="AR342" s="22">
        <v>238.76400000000001</v>
      </c>
      <c r="AS342" s="25">
        <v>2.3986799999999999E-5</v>
      </c>
      <c r="AT342" s="22">
        <v>332</v>
      </c>
      <c r="AU342" s="22">
        <v>7.85217E-2</v>
      </c>
      <c r="AV342">
        <f t="shared" si="68"/>
        <v>-2.3986799999999999E-2</v>
      </c>
      <c r="AW342">
        <f t="shared" si="69"/>
        <v>-4.0370743872000002E-3</v>
      </c>
      <c r="AX342" s="9"/>
      <c r="AY342" s="22">
        <v>1.5718099999999999</v>
      </c>
      <c r="AZ342" s="22">
        <v>254.82400000000001</v>
      </c>
      <c r="BA342" s="22">
        <v>-6.8389899999999997E-3</v>
      </c>
      <c r="BB342" s="22">
        <v>332</v>
      </c>
      <c r="BC342" s="22">
        <v>1.57074</v>
      </c>
      <c r="BD342">
        <f t="shared" si="70"/>
        <v>6.8389899999999999</v>
      </c>
      <c r="BE342">
        <f t="shared" si="71"/>
        <v>10.749592871899999</v>
      </c>
    </row>
    <row r="343" spans="6:57">
      <c r="F343" s="9"/>
      <c r="G343" s="22">
        <v>0.163269</v>
      </c>
      <c r="H343" s="22">
        <v>40.552599999999998</v>
      </c>
      <c r="I343" s="22">
        <v>-1.6949499999999999E-2</v>
      </c>
      <c r="J343" s="22">
        <v>333</v>
      </c>
      <c r="K343" s="22">
        <v>0.16256699999999999</v>
      </c>
      <c r="L343">
        <f t="shared" si="60"/>
        <v>16.9495</v>
      </c>
      <c r="M343">
        <f t="shared" si="61"/>
        <v>2.7673279155000001</v>
      </c>
      <c r="N343" s="9"/>
      <c r="O343" s="22">
        <v>1.57684</v>
      </c>
      <c r="P343" s="22">
        <v>89.991</v>
      </c>
      <c r="Q343" s="22">
        <v>-1.5255700000000001E-2</v>
      </c>
      <c r="R343" s="22">
        <v>333</v>
      </c>
      <c r="S343" s="22">
        <v>1.57623</v>
      </c>
      <c r="T343">
        <f t="shared" si="62"/>
        <v>15.255700000000001</v>
      </c>
      <c r="U343">
        <f t="shared" si="63"/>
        <v>24.055797988000002</v>
      </c>
      <c r="X343" s="9"/>
      <c r="Y343" s="22">
        <v>0.163269</v>
      </c>
      <c r="Z343" s="22">
        <v>139.536</v>
      </c>
      <c r="AA343" s="22">
        <v>-1.7605599999999999E-2</v>
      </c>
      <c r="AB343" s="22">
        <v>333</v>
      </c>
      <c r="AC343" s="22">
        <v>0.16250600000000001</v>
      </c>
      <c r="AD343">
        <f t="shared" si="64"/>
        <v>17.605599999999999</v>
      </c>
      <c r="AE343">
        <f t="shared" si="65"/>
        <v>2.8744487063999999</v>
      </c>
      <c r="AF343" s="9"/>
      <c r="AG343" s="22">
        <v>1.57684</v>
      </c>
      <c r="AH343" s="22">
        <v>189.15100000000001</v>
      </c>
      <c r="AI343" s="22">
        <v>-1.50391E-2</v>
      </c>
      <c r="AJ343" s="22">
        <v>333</v>
      </c>
      <c r="AK343" s="22">
        <v>1.57562</v>
      </c>
      <c r="AL343">
        <f t="shared" si="66"/>
        <v>15.039099999999999</v>
      </c>
      <c r="AM343">
        <f t="shared" si="67"/>
        <v>23.714254443999998</v>
      </c>
      <c r="AP343" s="9"/>
      <c r="AQ343" s="22">
        <v>0.163269</v>
      </c>
      <c r="AR343" s="22">
        <v>238.774</v>
      </c>
      <c r="AS343" s="25">
        <v>2.4749800000000001E-5</v>
      </c>
      <c r="AT343" s="22">
        <v>333</v>
      </c>
      <c r="AU343" s="22">
        <v>7.85217E-2</v>
      </c>
      <c r="AV343">
        <f t="shared" si="68"/>
        <v>-2.4749800000000002E-2</v>
      </c>
      <c r="AW343">
        <f t="shared" si="69"/>
        <v>-4.0408750962000004E-3</v>
      </c>
      <c r="AX343" s="9"/>
      <c r="AY343" s="22">
        <v>1.57684</v>
      </c>
      <c r="AZ343" s="22">
        <v>254.834</v>
      </c>
      <c r="BA343" s="22">
        <v>-6.9824199999999996E-3</v>
      </c>
      <c r="BB343" s="22">
        <v>333</v>
      </c>
      <c r="BC343" s="22">
        <v>1.5765400000000001</v>
      </c>
      <c r="BD343">
        <f t="shared" si="70"/>
        <v>6.9824199999999994</v>
      </c>
      <c r="BE343">
        <f t="shared" si="71"/>
        <v>11.0101591528</v>
      </c>
    </row>
    <row r="344" spans="6:57">
      <c r="F344" s="9"/>
      <c r="G344" s="22">
        <v>0.15823400000000001</v>
      </c>
      <c r="H344" s="22">
        <v>40.562600000000003</v>
      </c>
      <c r="I344" s="22">
        <v>-1.6949499999999999E-2</v>
      </c>
      <c r="J344" s="22">
        <v>334</v>
      </c>
      <c r="K344" s="22">
        <v>0.157471</v>
      </c>
      <c r="L344">
        <f t="shared" si="60"/>
        <v>16.9495</v>
      </c>
      <c r="M344">
        <f t="shared" si="61"/>
        <v>2.6819871830000004</v>
      </c>
      <c r="N344" s="9"/>
      <c r="O344" s="22">
        <v>1.58188</v>
      </c>
      <c r="P344" s="22">
        <v>90.001099999999994</v>
      </c>
      <c r="Q344" s="22">
        <v>-1.51947E-2</v>
      </c>
      <c r="R344" s="22">
        <v>334</v>
      </c>
      <c r="S344" s="22">
        <v>1.5805100000000001</v>
      </c>
      <c r="T344">
        <f t="shared" si="62"/>
        <v>15.194700000000001</v>
      </c>
      <c r="U344">
        <f t="shared" si="63"/>
        <v>24.036192035999999</v>
      </c>
      <c r="X344" s="9"/>
      <c r="Y344" s="22">
        <v>0.15823400000000001</v>
      </c>
      <c r="Z344" s="22">
        <v>139.547</v>
      </c>
      <c r="AA344" s="22">
        <v>-1.7608599999999999E-2</v>
      </c>
      <c r="AB344" s="22">
        <v>334</v>
      </c>
      <c r="AC344" s="22">
        <v>0.15765399999999999</v>
      </c>
      <c r="AD344">
        <f t="shared" si="64"/>
        <v>17.608599999999999</v>
      </c>
      <c r="AE344">
        <f t="shared" si="65"/>
        <v>2.7862792124000002</v>
      </c>
      <c r="AF344" s="9"/>
      <c r="AG344" s="22">
        <v>1.58188</v>
      </c>
      <c r="AH344" s="22">
        <v>189.161</v>
      </c>
      <c r="AI344" s="22">
        <v>-1.49506E-2</v>
      </c>
      <c r="AJ344" s="22">
        <v>334</v>
      </c>
      <c r="AK344" s="22">
        <v>1.58142</v>
      </c>
      <c r="AL344">
        <f t="shared" si="66"/>
        <v>14.9506</v>
      </c>
      <c r="AM344">
        <f t="shared" si="67"/>
        <v>23.650055127999998</v>
      </c>
      <c r="AP344" s="9"/>
      <c r="AQ344" s="22">
        <v>0.15823400000000001</v>
      </c>
      <c r="AR344" s="22">
        <v>238.78399999999999</v>
      </c>
      <c r="AS344" s="25">
        <v>2.4780300000000001E-5</v>
      </c>
      <c r="AT344" s="22">
        <v>334</v>
      </c>
      <c r="AU344" s="22">
        <v>7.8491199999999997E-2</v>
      </c>
      <c r="AV344">
        <f t="shared" si="68"/>
        <v>-2.4780300000000002E-2</v>
      </c>
      <c r="AW344">
        <f t="shared" si="69"/>
        <v>-3.9210859902000005E-3</v>
      </c>
      <c r="AX344" s="9"/>
      <c r="AY344" s="22">
        <v>1.58188</v>
      </c>
      <c r="AZ344" s="22">
        <v>254.84399999999999</v>
      </c>
      <c r="BA344" s="22">
        <v>-6.9152800000000002E-3</v>
      </c>
      <c r="BB344" s="22">
        <v>334</v>
      </c>
      <c r="BC344" s="22">
        <v>1.5805100000000001</v>
      </c>
      <c r="BD344">
        <f t="shared" si="70"/>
        <v>6.9152800000000001</v>
      </c>
      <c r="BE344">
        <f t="shared" si="71"/>
        <v>10.939143126399999</v>
      </c>
    </row>
    <row r="345" spans="6:57">
      <c r="F345" s="9"/>
      <c r="G345" s="22">
        <v>0.153198</v>
      </c>
      <c r="H345" s="22">
        <v>40.572699999999998</v>
      </c>
      <c r="I345" s="22">
        <v>-1.6952499999999999E-2</v>
      </c>
      <c r="J345" s="22">
        <v>335</v>
      </c>
      <c r="K345" s="22">
        <v>0.15246599999999999</v>
      </c>
      <c r="L345">
        <f t="shared" si="60"/>
        <v>16.952500000000001</v>
      </c>
      <c r="M345">
        <f t="shared" si="61"/>
        <v>2.5970890950000003</v>
      </c>
      <c r="N345" s="9"/>
      <c r="O345" s="22">
        <v>1.58691</v>
      </c>
      <c r="P345" s="22">
        <v>90.011099999999999</v>
      </c>
      <c r="Q345" s="22">
        <v>-1.51276E-2</v>
      </c>
      <c r="R345" s="22">
        <v>335</v>
      </c>
      <c r="S345" s="22">
        <v>1.58569</v>
      </c>
      <c r="T345">
        <f t="shared" si="62"/>
        <v>15.127599999999999</v>
      </c>
      <c r="U345">
        <f t="shared" si="63"/>
        <v>24.006139716</v>
      </c>
      <c r="X345" s="9"/>
      <c r="Y345" s="22">
        <v>0.153198</v>
      </c>
      <c r="Z345" s="22">
        <v>139.55699999999999</v>
      </c>
      <c r="AA345" s="22">
        <v>-1.7608599999999999E-2</v>
      </c>
      <c r="AB345" s="22">
        <v>335</v>
      </c>
      <c r="AC345" s="22">
        <v>0.15325900000000001</v>
      </c>
      <c r="AD345">
        <f t="shared" si="64"/>
        <v>17.608599999999999</v>
      </c>
      <c r="AE345">
        <f t="shared" si="65"/>
        <v>2.6976023028</v>
      </c>
      <c r="AF345" s="9"/>
      <c r="AG345" s="22">
        <v>1.58691</v>
      </c>
      <c r="AH345" s="22">
        <v>189.17099999999999</v>
      </c>
      <c r="AI345" s="22">
        <v>-1.4865099999999999E-2</v>
      </c>
      <c r="AJ345" s="22">
        <v>335</v>
      </c>
      <c r="AK345" s="22">
        <v>1.5860000000000001</v>
      </c>
      <c r="AL345">
        <f t="shared" si="66"/>
        <v>14.8651</v>
      </c>
      <c r="AM345">
        <f t="shared" si="67"/>
        <v>23.589575841000002</v>
      </c>
      <c r="AP345" s="9"/>
      <c r="AQ345" s="22">
        <v>0.153198</v>
      </c>
      <c r="AR345" s="22">
        <v>238.79400000000001</v>
      </c>
      <c r="AS345" s="25">
        <v>2.6855500000000001E-5</v>
      </c>
      <c r="AT345" s="22">
        <v>335</v>
      </c>
      <c r="AU345" s="22">
        <v>7.8491199999999997E-2</v>
      </c>
      <c r="AV345">
        <f t="shared" si="68"/>
        <v>-2.6855500000000001E-2</v>
      </c>
      <c r="AW345">
        <f t="shared" si="69"/>
        <v>-4.1142088889999998E-3</v>
      </c>
      <c r="AX345" s="9"/>
      <c r="AY345" s="22">
        <v>1.58691</v>
      </c>
      <c r="AZ345" s="22">
        <v>254.85400000000001</v>
      </c>
      <c r="BA345" s="22">
        <v>-6.96716E-3</v>
      </c>
      <c r="BB345" s="22">
        <v>335</v>
      </c>
      <c r="BC345" s="22">
        <v>1.5860000000000001</v>
      </c>
      <c r="BD345">
        <f t="shared" si="70"/>
        <v>6.9671599999999998</v>
      </c>
      <c r="BE345">
        <f t="shared" si="71"/>
        <v>11.0562558756</v>
      </c>
    </row>
    <row r="346" spans="6:57">
      <c r="F346" s="9"/>
      <c r="G346" s="22">
        <v>0.14816299999999999</v>
      </c>
      <c r="H346" s="22">
        <v>40.582799999999999</v>
      </c>
      <c r="I346" s="22">
        <v>-1.6958600000000001E-2</v>
      </c>
      <c r="J346" s="22">
        <v>336</v>
      </c>
      <c r="K346" s="22">
        <v>0.147339</v>
      </c>
      <c r="L346">
        <f t="shared" si="60"/>
        <v>16.958600000000001</v>
      </c>
      <c r="M346">
        <f t="shared" si="61"/>
        <v>2.5126370518000001</v>
      </c>
      <c r="N346" s="9"/>
      <c r="O346" s="22">
        <v>1.59195</v>
      </c>
      <c r="P346" s="22">
        <v>90.021199999999993</v>
      </c>
      <c r="Q346" s="22">
        <v>-1.50574E-2</v>
      </c>
      <c r="R346" s="22">
        <v>336</v>
      </c>
      <c r="S346" s="22">
        <v>1.5908800000000001</v>
      </c>
      <c r="T346">
        <f t="shared" si="62"/>
        <v>15.057399999999999</v>
      </c>
      <c r="U346">
        <f t="shared" si="63"/>
        <v>23.970627929999999</v>
      </c>
      <c r="X346" s="9"/>
      <c r="Y346" s="22">
        <v>0.14816299999999999</v>
      </c>
      <c r="Z346" s="22">
        <v>139.56700000000001</v>
      </c>
      <c r="AA346" s="22">
        <v>-1.76147E-2</v>
      </c>
      <c r="AB346" s="22">
        <v>336</v>
      </c>
      <c r="AC346" s="22">
        <v>0.14782699999999999</v>
      </c>
      <c r="AD346">
        <f t="shared" si="64"/>
        <v>17.614699999999999</v>
      </c>
      <c r="AE346">
        <f t="shared" si="65"/>
        <v>2.6098467960999998</v>
      </c>
      <c r="AF346" s="9"/>
      <c r="AG346" s="22">
        <v>1.59195</v>
      </c>
      <c r="AH346" s="22">
        <v>189.18100000000001</v>
      </c>
      <c r="AI346" s="22">
        <v>-1.4776600000000001E-2</v>
      </c>
      <c r="AJ346" s="22">
        <v>336</v>
      </c>
      <c r="AK346" s="22">
        <v>1.5902700000000001</v>
      </c>
      <c r="AL346">
        <f t="shared" si="66"/>
        <v>14.7766</v>
      </c>
      <c r="AM346">
        <f t="shared" si="67"/>
        <v>23.523608370000002</v>
      </c>
      <c r="AP346" s="9"/>
      <c r="AQ346" s="22">
        <v>0.14816299999999999</v>
      </c>
      <c r="AR346" s="22">
        <v>238.80500000000001</v>
      </c>
      <c r="AS346" s="22">
        <v>1.66016E-4</v>
      </c>
      <c r="AT346" s="22">
        <v>336</v>
      </c>
      <c r="AU346" s="22">
        <v>7.85217E-2</v>
      </c>
      <c r="AV346">
        <f t="shared" si="68"/>
        <v>-0.166016</v>
      </c>
      <c r="AW346">
        <f t="shared" si="69"/>
        <v>-2.4597428607999999E-2</v>
      </c>
      <c r="AX346" s="9"/>
      <c r="AY346" s="22">
        <v>1.59195</v>
      </c>
      <c r="AZ346" s="22">
        <v>254.864</v>
      </c>
      <c r="BA346" s="22">
        <v>-6.99768E-3</v>
      </c>
      <c r="BB346" s="22">
        <v>336</v>
      </c>
      <c r="BC346" s="22">
        <v>1.5914900000000001</v>
      </c>
      <c r="BD346">
        <f t="shared" si="70"/>
        <v>6.9976799999999999</v>
      </c>
      <c r="BE346">
        <f t="shared" si="71"/>
        <v>11.139956675999999</v>
      </c>
    </row>
    <row r="347" spans="6:57">
      <c r="F347" s="9"/>
      <c r="G347" s="22">
        <v>0.143127</v>
      </c>
      <c r="H347" s="22">
        <v>40.592799999999997</v>
      </c>
      <c r="I347" s="22">
        <v>-1.69617E-2</v>
      </c>
      <c r="J347" s="22">
        <v>337</v>
      </c>
      <c r="K347" s="22">
        <v>0.142426</v>
      </c>
      <c r="L347">
        <f t="shared" si="60"/>
        <v>16.9617</v>
      </c>
      <c r="M347">
        <f t="shared" si="61"/>
        <v>2.4276772359000001</v>
      </c>
      <c r="N347" s="9"/>
      <c r="O347" s="22">
        <v>1.5969800000000001</v>
      </c>
      <c r="P347" s="22">
        <v>90.031300000000002</v>
      </c>
      <c r="Q347" s="22">
        <v>-1.49719E-2</v>
      </c>
      <c r="R347" s="22">
        <v>337</v>
      </c>
      <c r="S347" s="22">
        <v>1.5957600000000001</v>
      </c>
      <c r="T347">
        <f t="shared" si="62"/>
        <v>14.9719</v>
      </c>
      <c r="U347">
        <f t="shared" si="63"/>
        <v>23.909824862000001</v>
      </c>
      <c r="X347" s="9"/>
      <c r="Y347" s="22">
        <v>0.143127</v>
      </c>
      <c r="Z347" s="22">
        <v>139.577</v>
      </c>
      <c r="AA347" s="22">
        <v>-1.76147E-2</v>
      </c>
      <c r="AB347" s="22">
        <v>337</v>
      </c>
      <c r="AC347" s="22">
        <v>0.14285300000000001</v>
      </c>
      <c r="AD347">
        <f t="shared" si="64"/>
        <v>17.614699999999999</v>
      </c>
      <c r="AE347">
        <f t="shared" si="65"/>
        <v>2.5211391668999998</v>
      </c>
      <c r="AF347" s="9"/>
      <c r="AG347" s="22">
        <v>1.5969800000000001</v>
      </c>
      <c r="AH347" s="22">
        <v>189.191</v>
      </c>
      <c r="AI347" s="22">
        <v>-1.46759E-2</v>
      </c>
      <c r="AJ347" s="22">
        <v>337</v>
      </c>
      <c r="AK347" s="22">
        <v>1.5957600000000001</v>
      </c>
      <c r="AL347">
        <f t="shared" si="66"/>
        <v>14.6759</v>
      </c>
      <c r="AM347">
        <f t="shared" si="67"/>
        <v>23.437118782000002</v>
      </c>
      <c r="AP347" s="9"/>
      <c r="AQ347" s="22">
        <v>0.143127</v>
      </c>
      <c r="AR347" s="22">
        <v>238.815</v>
      </c>
      <c r="AS347" s="25">
        <v>2.6855500000000001E-5</v>
      </c>
      <c r="AT347" s="22">
        <v>337</v>
      </c>
      <c r="AU347" s="22">
        <v>7.8460699999999994E-2</v>
      </c>
      <c r="AV347">
        <f t="shared" si="68"/>
        <v>-2.6855500000000001E-2</v>
      </c>
      <c r="AW347">
        <f t="shared" si="69"/>
        <v>-3.8437471485000003E-3</v>
      </c>
      <c r="AX347" s="9"/>
      <c r="AY347" s="22">
        <v>1.5969800000000001</v>
      </c>
      <c r="AZ347" s="22">
        <v>254.874</v>
      </c>
      <c r="BA347" s="22">
        <v>-7.0037800000000002E-3</v>
      </c>
      <c r="BB347" s="22">
        <v>337</v>
      </c>
      <c r="BC347" s="22">
        <v>1.5963700000000001</v>
      </c>
      <c r="BD347">
        <f t="shared" si="70"/>
        <v>7.0037799999999999</v>
      </c>
      <c r="BE347">
        <f t="shared" si="71"/>
        <v>11.184896584400001</v>
      </c>
    </row>
    <row r="348" spans="6:57">
      <c r="F348" s="9"/>
      <c r="G348" s="22">
        <v>0.13809199999999999</v>
      </c>
      <c r="H348" s="22">
        <v>40.602899999999998</v>
      </c>
      <c r="I348" s="22">
        <v>-1.69617E-2</v>
      </c>
      <c r="J348" s="22">
        <v>338</v>
      </c>
      <c r="K348" s="22">
        <v>0.13732900000000001</v>
      </c>
      <c r="L348">
        <f t="shared" si="60"/>
        <v>16.9617</v>
      </c>
      <c r="M348">
        <f t="shared" si="61"/>
        <v>2.3422750764</v>
      </c>
      <c r="N348" s="9"/>
      <c r="O348" s="22">
        <v>1.60202</v>
      </c>
      <c r="P348" s="22">
        <v>90.041300000000007</v>
      </c>
      <c r="Q348" s="22">
        <v>-1.48895E-2</v>
      </c>
      <c r="R348" s="22">
        <v>338</v>
      </c>
      <c r="S348" s="22">
        <v>1.6006499999999999</v>
      </c>
      <c r="T348">
        <f t="shared" si="62"/>
        <v>14.8895</v>
      </c>
      <c r="U348">
        <f t="shared" si="63"/>
        <v>23.853276789999999</v>
      </c>
      <c r="X348" s="9"/>
      <c r="Y348" s="22">
        <v>0.13809199999999999</v>
      </c>
      <c r="Z348" s="22">
        <v>139.58699999999999</v>
      </c>
      <c r="AA348" s="22">
        <v>-1.76147E-2</v>
      </c>
      <c r="AB348" s="22">
        <v>338</v>
      </c>
      <c r="AC348" s="22">
        <v>0.137573</v>
      </c>
      <c r="AD348">
        <f t="shared" si="64"/>
        <v>17.614699999999999</v>
      </c>
      <c r="AE348">
        <f t="shared" si="65"/>
        <v>2.4324491523999998</v>
      </c>
      <c r="AF348" s="9"/>
      <c r="AG348" s="22">
        <v>1.60202</v>
      </c>
      <c r="AH348" s="22">
        <v>189.20099999999999</v>
      </c>
      <c r="AI348" s="22">
        <v>-1.4572099999999999E-2</v>
      </c>
      <c r="AJ348" s="22">
        <v>338</v>
      </c>
      <c r="AK348" s="22">
        <v>1.6006499999999999</v>
      </c>
      <c r="AL348">
        <f t="shared" si="66"/>
        <v>14.572099999999999</v>
      </c>
      <c r="AM348">
        <f t="shared" si="67"/>
        <v>23.344795641999998</v>
      </c>
      <c r="AP348" s="9"/>
      <c r="AQ348" s="22">
        <v>0.13809199999999999</v>
      </c>
      <c r="AR348" s="22">
        <v>238.82499999999999</v>
      </c>
      <c r="AS348" s="25">
        <v>2.41699E-5</v>
      </c>
      <c r="AT348" s="22">
        <v>338</v>
      </c>
      <c r="AU348" s="22">
        <v>7.8552200000000003E-2</v>
      </c>
      <c r="AV348">
        <f t="shared" si="68"/>
        <v>-2.4169900000000001E-2</v>
      </c>
      <c r="AW348">
        <f t="shared" si="69"/>
        <v>-3.3376698308000001E-3</v>
      </c>
      <c r="AX348" s="9"/>
      <c r="AY348" s="22">
        <v>1.60202</v>
      </c>
      <c r="AZ348" s="22">
        <v>254.88399999999999</v>
      </c>
      <c r="BA348" s="22">
        <v>-6.9427500000000001E-3</v>
      </c>
      <c r="BB348" s="22">
        <v>338</v>
      </c>
      <c r="BC348" s="22">
        <v>1.6003400000000001</v>
      </c>
      <c r="BD348">
        <f t="shared" si="70"/>
        <v>6.9427500000000002</v>
      </c>
      <c r="BE348">
        <f t="shared" si="71"/>
        <v>11.122424355</v>
      </c>
    </row>
    <row r="349" spans="6:57">
      <c r="F349" s="9"/>
      <c r="G349" s="22">
        <v>0.13305700000000001</v>
      </c>
      <c r="H349" s="22">
        <v>40.613</v>
      </c>
      <c r="I349" s="22">
        <v>-1.69617E-2</v>
      </c>
      <c r="J349" s="22">
        <v>339</v>
      </c>
      <c r="K349" s="22">
        <v>0.132355</v>
      </c>
      <c r="L349">
        <f t="shared" si="60"/>
        <v>16.9617</v>
      </c>
      <c r="M349">
        <f t="shared" si="61"/>
        <v>2.2568729169000004</v>
      </c>
      <c r="N349" s="9"/>
      <c r="O349" s="22">
        <v>1.6070599999999999</v>
      </c>
      <c r="P349" s="22">
        <v>90.051400000000001</v>
      </c>
      <c r="Q349" s="22">
        <v>-1.47949E-2</v>
      </c>
      <c r="R349" s="22">
        <v>339</v>
      </c>
      <c r="S349" s="22">
        <v>1.6061399999999999</v>
      </c>
      <c r="T349">
        <f t="shared" si="62"/>
        <v>14.7949</v>
      </c>
      <c r="U349">
        <f t="shared" si="63"/>
        <v>23.776291994000001</v>
      </c>
      <c r="X349" s="9"/>
      <c r="Y349" s="22">
        <v>0.13305700000000001</v>
      </c>
      <c r="Z349" s="22">
        <v>139.59700000000001</v>
      </c>
      <c r="AA349" s="22">
        <v>-1.7617799999999999E-2</v>
      </c>
      <c r="AB349" s="22">
        <v>339</v>
      </c>
      <c r="AC349" s="22">
        <v>0.13223299999999999</v>
      </c>
      <c r="AD349">
        <f t="shared" si="64"/>
        <v>17.617799999999999</v>
      </c>
      <c r="AE349">
        <f t="shared" si="65"/>
        <v>2.3441716146</v>
      </c>
      <c r="AF349" s="9"/>
      <c r="AG349" s="22">
        <v>1.6070599999999999</v>
      </c>
      <c r="AH349" s="22">
        <v>189.21100000000001</v>
      </c>
      <c r="AI349" s="22">
        <v>-1.44653E-2</v>
      </c>
      <c r="AJ349" s="22">
        <v>339</v>
      </c>
      <c r="AK349" s="22">
        <v>1.6061399999999999</v>
      </c>
      <c r="AL349">
        <f t="shared" si="66"/>
        <v>14.465300000000001</v>
      </c>
      <c r="AM349">
        <f t="shared" si="67"/>
        <v>23.246605018</v>
      </c>
      <c r="AP349" s="9"/>
      <c r="AQ349" s="22">
        <v>0.13305700000000001</v>
      </c>
      <c r="AR349" s="22">
        <v>238.83500000000001</v>
      </c>
      <c r="AS349" s="25">
        <v>2.4993900000000001E-5</v>
      </c>
      <c r="AT349" s="22">
        <v>339</v>
      </c>
      <c r="AU349" s="22">
        <v>7.8582799999999994E-2</v>
      </c>
      <c r="AV349">
        <f t="shared" si="68"/>
        <v>-2.4993900000000003E-2</v>
      </c>
      <c r="AW349">
        <f t="shared" si="69"/>
        <v>-3.3256133523000006E-3</v>
      </c>
      <c r="AX349" s="9"/>
      <c r="AY349" s="22">
        <v>1.6070599999999999</v>
      </c>
      <c r="AZ349" s="22">
        <v>254.89500000000001</v>
      </c>
      <c r="BA349" s="22">
        <v>-6.8115199999999997E-3</v>
      </c>
      <c r="BB349" s="22">
        <v>339</v>
      </c>
      <c r="BC349" s="22">
        <v>1.6064499999999999</v>
      </c>
      <c r="BD349">
        <f t="shared" si="70"/>
        <v>6.8115199999999998</v>
      </c>
      <c r="BE349">
        <f t="shared" si="71"/>
        <v>10.9465213312</v>
      </c>
    </row>
    <row r="350" spans="6:57">
      <c r="F350" s="9"/>
      <c r="G350" s="22">
        <v>0.128021</v>
      </c>
      <c r="H350" s="22">
        <v>40.623100000000001</v>
      </c>
      <c r="I350" s="22">
        <v>-1.6964699999999999E-2</v>
      </c>
      <c r="J350" s="22">
        <v>340</v>
      </c>
      <c r="K350" s="22">
        <v>0.12728900000000001</v>
      </c>
      <c r="L350">
        <f t="shared" si="60"/>
        <v>16.964700000000001</v>
      </c>
      <c r="M350">
        <f t="shared" si="61"/>
        <v>2.1718378587</v>
      </c>
      <c r="N350" s="9"/>
      <c r="O350" s="22">
        <v>1.61209</v>
      </c>
      <c r="P350" s="22">
        <v>90.061499999999995</v>
      </c>
      <c r="Q350" s="22">
        <v>-1.46851E-2</v>
      </c>
      <c r="R350" s="22">
        <v>340</v>
      </c>
      <c r="S350" s="22">
        <v>1.6113299999999999</v>
      </c>
      <c r="T350">
        <f t="shared" si="62"/>
        <v>14.6851</v>
      </c>
      <c r="U350">
        <f t="shared" si="63"/>
        <v>23.673702859000002</v>
      </c>
      <c r="X350" s="9"/>
      <c r="Y350" s="22">
        <v>0.128021</v>
      </c>
      <c r="Z350" s="22">
        <v>139.607</v>
      </c>
      <c r="AA350" s="22">
        <v>-1.763E-2</v>
      </c>
      <c r="AB350" s="22">
        <v>340</v>
      </c>
      <c r="AC350" s="22">
        <v>0.12737999999999999</v>
      </c>
      <c r="AD350">
        <f t="shared" si="64"/>
        <v>17.63</v>
      </c>
      <c r="AE350">
        <f t="shared" si="65"/>
        <v>2.2570102299999997</v>
      </c>
      <c r="AF350" s="9"/>
      <c r="AG350" s="22">
        <v>1.61209</v>
      </c>
      <c r="AH350" s="22">
        <v>189.221</v>
      </c>
      <c r="AI350" s="22">
        <v>-1.4331099999999999E-2</v>
      </c>
      <c r="AJ350" s="22">
        <v>340</v>
      </c>
      <c r="AK350" s="22">
        <v>1.6110199999999999</v>
      </c>
      <c r="AL350">
        <f t="shared" si="66"/>
        <v>14.331099999999999</v>
      </c>
      <c r="AM350">
        <f t="shared" si="67"/>
        <v>23.103022999</v>
      </c>
      <c r="AP350" s="9"/>
      <c r="AQ350" s="22">
        <v>0.128021</v>
      </c>
      <c r="AR350" s="22">
        <v>238.845</v>
      </c>
      <c r="AS350" s="25">
        <v>2.4871800000000001E-5</v>
      </c>
      <c r="AT350" s="22">
        <v>340</v>
      </c>
      <c r="AU350" s="22">
        <v>7.8460699999999994E-2</v>
      </c>
      <c r="AV350">
        <f t="shared" si="68"/>
        <v>-2.4871800000000003E-2</v>
      </c>
      <c r="AW350">
        <f t="shared" si="69"/>
        <v>-3.1841127078000003E-3</v>
      </c>
      <c r="AX350" s="9"/>
      <c r="AY350" s="22">
        <v>1.61209</v>
      </c>
      <c r="AZ350" s="22">
        <v>254.905</v>
      </c>
      <c r="BA350" s="22">
        <v>-6.9244399999999996E-3</v>
      </c>
      <c r="BB350" s="22">
        <v>340</v>
      </c>
      <c r="BC350" s="22">
        <v>1.6113299999999999</v>
      </c>
      <c r="BD350">
        <f t="shared" si="70"/>
        <v>6.9244399999999997</v>
      </c>
      <c r="BE350">
        <f t="shared" si="71"/>
        <v>11.162820479600001</v>
      </c>
    </row>
    <row r="351" spans="6:57">
      <c r="F351" s="9"/>
      <c r="G351" s="22">
        <v>0.122986</v>
      </c>
      <c r="H351" s="22">
        <v>40.633099999999999</v>
      </c>
      <c r="I351" s="22">
        <v>-1.6964699999999999E-2</v>
      </c>
      <c r="J351" s="22">
        <v>341</v>
      </c>
      <c r="K351" s="22">
        <v>0.122223</v>
      </c>
      <c r="L351">
        <f t="shared" si="60"/>
        <v>16.964700000000001</v>
      </c>
      <c r="M351">
        <f t="shared" si="61"/>
        <v>2.0864205942000003</v>
      </c>
      <c r="N351" s="9"/>
      <c r="O351" s="22">
        <v>1.61713</v>
      </c>
      <c r="P351" s="22">
        <v>90.071600000000004</v>
      </c>
      <c r="Q351" s="22">
        <v>-1.4572099999999999E-2</v>
      </c>
      <c r="R351" s="22">
        <v>341</v>
      </c>
      <c r="S351" s="22">
        <v>1.6155999999999999</v>
      </c>
      <c r="T351">
        <f t="shared" si="62"/>
        <v>14.572099999999999</v>
      </c>
      <c r="U351">
        <f t="shared" si="63"/>
        <v>23.564980072999997</v>
      </c>
      <c r="X351" s="9"/>
      <c r="Y351" s="22">
        <v>0.122986</v>
      </c>
      <c r="Z351" s="22">
        <v>139.61699999999999</v>
      </c>
      <c r="AA351" s="22">
        <v>-1.7636099999999998E-2</v>
      </c>
      <c r="AB351" s="22">
        <v>341</v>
      </c>
      <c r="AC351" s="22">
        <v>0.121216</v>
      </c>
      <c r="AD351">
        <f t="shared" si="64"/>
        <v>17.636099999999999</v>
      </c>
      <c r="AE351">
        <f t="shared" si="65"/>
        <v>2.1689933945999997</v>
      </c>
      <c r="AF351" s="9"/>
      <c r="AG351" s="22">
        <v>1.61713</v>
      </c>
      <c r="AH351" s="22">
        <v>189.23099999999999</v>
      </c>
      <c r="AI351" s="22">
        <v>-1.41937E-2</v>
      </c>
      <c r="AJ351" s="22">
        <v>341</v>
      </c>
      <c r="AK351" s="22">
        <v>1.6162099999999999</v>
      </c>
      <c r="AL351">
        <f t="shared" si="66"/>
        <v>14.1937</v>
      </c>
      <c r="AM351">
        <f t="shared" si="67"/>
        <v>22.953058080999998</v>
      </c>
      <c r="AP351" s="9"/>
      <c r="AQ351" s="22">
        <v>0.122986</v>
      </c>
      <c r="AR351" s="22">
        <v>238.85499999999999</v>
      </c>
      <c r="AS351" s="25">
        <v>2.3620599999999999E-5</v>
      </c>
      <c r="AT351" s="22">
        <v>341</v>
      </c>
      <c r="AU351" s="22">
        <v>7.8430200000000005E-2</v>
      </c>
      <c r="AV351">
        <f t="shared" si="68"/>
        <v>-2.3620599999999999E-2</v>
      </c>
      <c r="AW351">
        <f t="shared" si="69"/>
        <v>-2.9050031115999998E-3</v>
      </c>
      <c r="AX351" s="9"/>
      <c r="AY351" s="22">
        <v>1.61713</v>
      </c>
      <c r="AZ351" s="22">
        <v>254.91499999999999</v>
      </c>
      <c r="BA351" s="22">
        <v>-6.8512E-3</v>
      </c>
      <c r="BB351" s="22">
        <v>341</v>
      </c>
      <c r="BC351" s="22">
        <v>1.61591</v>
      </c>
      <c r="BD351">
        <f t="shared" si="70"/>
        <v>6.8512000000000004</v>
      </c>
      <c r="BE351">
        <f t="shared" si="71"/>
        <v>11.079281056000001</v>
      </c>
    </row>
    <row r="352" spans="6:57">
      <c r="F352" s="9"/>
      <c r="G352" s="22">
        <v>0.11795</v>
      </c>
      <c r="H352" s="22">
        <v>40.6432</v>
      </c>
      <c r="I352" s="22">
        <v>-1.6967800000000002E-2</v>
      </c>
      <c r="J352" s="22">
        <v>342</v>
      </c>
      <c r="K352" s="22">
        <v>0.117188</v>
      </c>
      <c r="L352">
        <f t="shared" si="60"/>
        <v>16.9678</v>
      </c>
      <c r="M352">
        <f t="shared" si="61"/>
        <v>2.0013520100000002</v>
      </c>
      <c r="N352" s="9"/>
      <c r="O352" s="22">
        <v>1.62216</v>
      </c>
      <c r="P352" s="22">
        <v>90.081599999999995</v>
      </c>
      <c r="Q352" s="22">
        <v>-1.44653E-2</v>
      </c>
      <c r="R352" s="22">
        <v>342</v>
      </c>
      <c r="S352" s="22">
        <v>1.6214</v>
      </c>
      <c r="T352">
        <f t="shared" si="62"/>
        <v>14.465300000000001</v>
      </c>
      <c r="U352">
        <f t="shared" si="63"/>
        <v>23.465031048000004</v>
      </c>
      <c r="X352" s="9"/>
      <c r="Y352" s="22">
        <v>0.11795</v>
      </c>
      <c r="Z352" s="22">
        <v>139.62700000000001</v>
      </c>
      <c r="AA352" s="22">
        <v>-1.7645299999999999E-2</v>
      </c>
      <c r="AB352" s="22">
        <v>342</v>
      </c>
      <c r="AC352" s="22">
        <v>0.11740100000000001</v>
      </c>
      <c r="AD352">
        <f t="shared" si="64"/>
        <v>17.645299999999999</v>
      </c>
      <c r="AE352">
        <f t="shared" si="65"/>
        <v>2.0812631349999999</v>
      </c>
      <c r="AF352" s="9"/>
      <c r="AG352" s="22">
        <v>1.62216</v>
      </c>
      <c r="AH352" s="22">
        <v>189.24199999999999</v>
      </c>
      <c r="AI352" s="22">
        <v>-1.4053299999999999E-2</v>
      </c>
      <c r="AJ352" s="22">
        <v>342</v>
      </c>
      <c r="AK352" s="22">
        <v>1.62079</v>
      </c>
      <c r="AL352">
        <f t="shared" si="66"/>
        <v>14.0533</v>
      </c>
      <c r="AM352">
        <f t="shared" si="67"/>
        <v>22.796701128000002</v>
      </c>
      <c r="AP352" s="9"/>
      <c r="AQ352" s="22">
        <v>0.11795</v>
      </c>
      <c r="AR352" s="22">
        <v>238.86500000000001</v>
      </c>
      <c r="AS352" s="25">
        <v>5.7250999999999998E-5</v>
      </c>
      <c r="AT352" s="22">
        <v>342</v>
      </c>
      <c r="AU352" s="22">
        <v>7.8491199999999997E-2</v>
      </c>
      <c r="AV352">
        <f t="shared" si="68"/>
        <v>-5.7250999999999996E-2</v>
      </c>
      <c r="AW352">
        <f t="shared" si="69"/>
        <v>-6.7527554499999991E-3</v>
      </c>
      <c r="AX352" s="9"/>
      <c r="AY352" s="22">
        <v>1.62216</v>
      </c>
      <c r="AZ352" s="22">
        <v>254.92500000000001</v>
      </c>
      <c r="BA352" s="22">
        <v>-6.70471E-3</v>
      </c>
      <c r="BB352" s="22">
        <v>342</v>
      </c>
      <c r="BC352" s="22">
        <v>1.6214</v>
      </c>
      <c r="BD352">
        <f t="shared" si="70"/>
        <v>6.7047100000000004</v>
      </c>
      <c r="BE352">
        <f t="shared" si="71"/>
        <v>10.876112373600002</v>
      </c>
    </row>
    <row r="353" spans="6:57">
      <c r="F353" s="9"/>
      <c r="G353" s="22">
        <v>0.112915</v>
      </c>
      <c r="H353" s="22">
        <v>40.653300000000002</v>
      </c>
      <c r="I353" s="22">
        <v>-1.6967800000000002E-2</v>
      </c>
      <c r="J353" s="22">
        <v>343</v>
      </c>
      <c r="K353" s="22">
        <v>0.112244</v>
      </c>
      <c r="L353">
        <f t="shared" si="60"/>
        <v>16.9678</v>
      </c>
      <c r="M353">
        <f t="shared" si="61"/>
        <v>1.9159191370000002</v>
      </c>
      <c r="N353" s="9"/>
      <c r="O353" s="22">
        <v>1.6272</v>
      </c>
      <c r="P353" s="22">
        <v>90.091700000000003</v>
      </c>
      <c r="Q353" s="22">
        <v>-1.4346299999999999E-2</v>
      </c>
      <c r="R353" s="22">
        <v>343</v>
      </c>
      <c r="S353" s="22">
        <v>1.6262799999999999</v>
      </c>
      <c r="T353">
        <f t="shared" si="62"/>
        <v>14.346299999999999</v>
      </c>
      <c r="U353">
        <f t="shared" si="63"/>
        <v>23.344299359999997</v>
      </c>
      <c r="X353" s="9"/>
      <c r="Y353" s="22">
        <v>0.112915</v>
      </c>
      <c r="Z353" s="22">
        <v>139.637</v>
      </c>
      <c r="AA353" s="22">
        <v>-1.7645299999999999E-2</v>
      </c>
      <c r="AB353" s="22">
        <v>343</v>
      </c>
      <c r="AC353" s="22">
        <v>0.112122</v>
      </c>
      <c r="AD353">
        <f t="shared" si="64"/>
        <v>17.645299999999999</v>
      </c>
      <c r="AE353">
        <f t="shared" si="65"/>
        <v>1.9924190494999998</v>
      </c>
      <c r="AF353" s="9"/>
      <c r="AG353" s="22">
        <v>1.6272</v>
      </c>
      <c r="AH353" s="22">
        <v>189.25200000000001</v>
      </c>
      <c r="AI353" s="22">
        <v>-1.3903799999999999E-2</v>
      </c>
      <c r="AJ353" s="22">
        <v>343</v>
      </c>
      <c r="AK353" s="22">
        <v>1.62659</v>
      </c>
      <c r="AL353">
        <f t="shared" si="66"/>
        <v>13.903799999999999</v>
      </c>
      <c r="AM353">
        <f t="shared" si="67"/>
        <v>22.624263359999997</v>
      </c>
      <c r="AP353" s="9"/>
      <c r="AQ353" s="22">
        <v>0.112915</v>
      </c>
      <c r="AR353" s="22">
        <v>238.875</v>
      </c>
      <c r="AS353" s="25">
        <v>3.3355700000000003E-5</v>
      </c>
      <c r="AT353" s="22">
        <v>343</v>
      </c>
      <c r="AU353" s="22">
        <v>7.8491199999999997E-2</v>
      </c>
      <c r="AV353">
        <f t="shared" si="68"/>
        <v>-3.3355700000000002E-2</v>
      </c>
      <c r="AW353">
        <f t="shared" si="69"/>
        <v>-3.7663588655000003E-3</v>
      </c>
      <c r="AX353" s="9"/>
      <c r="AY353" s="22">
        <v>1.6272</v>
      </c>
      <c r="AZ353" s="22">
        <v>254.935</v>
      </c>
      <c r="BA353" s="22">
        <v>-6.6436799999999999E-3</v>
      </c>
      <c r="BB353" s="22">
        <v>343</v>
      </c>
      <c r="BC353" s="22">
        <v>1.62659</v>
      </c>
      <c r="BD353">
        <f t="shared" si="70"/>
        <v>6.6436799999999998</v>
      </c>
      <c r="BE353">
        <f t="shared" si="71"/>
        <v>10.810596095999999</v>
      </c>
    </row>
    <row r="354" spans="6:57">
      <c r="F354" s="9"/>
      <c r="G354" s="22">
        <v>0.10788</v>
      </c>
      <c r="H354" s="22">
        <v>40.6633</v>
      </c>
      <c r="I354" s="22">
        <v>-1.6970800000000001E-2</v>
      </c>
      <c r="J354" s="22">
        <v>344</v>
      </c>
      <c r="K354" s="22">
        <v>0.10714700000000001</v>
      </c>
      <c r="L354">
        <f t="shared" si="60"/>
        <v>16.970800000000001</v>
      </c>
      <c r="M354">
        <f t="shared" si="61"/>
        <v>1.8308099040000001</v>
      </c>
      <c r="N354" s="9"/>
      <c r="O354" s="22">
        <v>1.6322300000000001</v>
      </c>
      <c r="P354" s="22">
        <v>90.101799999999997</v>
      </c>
      <c r="Q354" s="22">
        <v>-1.42212E-2</v>
      </c>
      <c r="R354" s="22">
        <v>344</v>
      </c>
      <c r="S354" s="22">
        <v>1.63086</v>
      </c>
      <c r="T354">
        <f t="shared" si="62"/>
        <v>14.2212</v>
      </c>
      <c r="U354">
        <f t="shared" si="63"/>
        <v>23.212269276000001</v>
      </c>
      <c r="X354" s="9"/>
      <c r="Y354" s="22">
        <v>0.10788</v>
      </c>
      <c r="Z354" s="22">
        <v>139.64699999999999</v>
      </c>
      <c r="AA354" s="22">
        <v>-1.7645299999999999E-2</v>
      </c>
      <c r="AB354" s="22">
        <v>344</v>
      </c>
      <c r="AC354" s="22">
        <v>0.10732999999999999</v>
      </c>
      <c r="AD354">
        <f t="shared" si="64"/>
        <v>17.645299999999999</v>
      </c>
      <c r="AE354">
        <f t="shared" si="65"/>
        <v>1.9035749639999999</v>
      </c>
      <c r="AF354" s="9"/>
      <c r="AG354" s="22">
        <v>1.6322300000000001</v>
      </c>
      <c r="AH354" s="22">
        <v>189.262</v>
      </c>
      <c r="AI354" s="22">
        <v>-1.37512E-2</v>
      </c>
      <c r="AJ354" s="22">
        <v>344</v>
      </c>
      <c r="AK354" s="22">
        <v>1.6317699999999999</v>
      </c>
      <c r="AL354">
        <f t="shared" si="66"/>
        <v>13.751200000000001</v>
      </c>
      <c r="AM354">
        <f t="shared" si="67"/>
        <v>22.445121176000001</v>
      </c>
      <c r="AP354" s="9"/>
      <c r="AQ354" s="22">
        <v>0.10788</v>
      </c>
      <c r="AR354" s="22">
        <v>238.88499999999999</v>
      </c>
      <c r="AS354" s="25">
        <v>3.2196000000000001E-5</v>
      </c>
      <c r="AT354" s="22">
        <v>344</v>
      </c>
      <c r="AU354" s="22">
        <v>7.85217E-2</v>
      </c>
      <c r="AV354">
        <f t="shared" si="68"/>
        <v>-3.2196000000000002E-2</v>
      </c>
      <c r="AW354">
        <f t="shared" si="69"/>
        <v>-3.4733044800000002E-3</v>
      </c>
      <c r="AX354" s="9"/>
      <c r="AY354" s="22">
        <v>1.6322300000000001</v>
      </c>
      <c r="AZ354" s="22">
        <v>254.94499999999999</v>
      </c>
      <c r="BA354" s="22">
        <v>-6.6009500000000004E-3</v>
      </c>
      <c r="BB354" s="22">
        <v>344</v>
      </c>
      <c r="BC354" s="22">
        <v>1.63147</v>
      </c>
      <c r="BD354">
        <f t="shared" si="70"/>
        <v>6.6009500000000001</v>
      </c>
      <c r="BE354">
        <f t="shared" si="71"/>
        <v>10.774268618500001</v>
      </c>
    </row>
    <row r="355" spans="6:57">
      <c r="F355" s="9"/>
      <c r="G355" s="22">
        <v>0.102844</v>
      </c>
      <c r="H355" s="22">
        <v>40.673400000000001</v>
      </c>
      <c r="I355" s="22">
        <v>-1.69739E-2</v>
      </c>
      <c r="J355" s="22">
        <v>345</v>
      </c>
      <c r="K355" s="22">
        <v>0.102051</v>
      </c>
      <c r="L355">
        <f t="shared" si="60"/>
        <v>16.9739</v>
      </c>
      <c r="M355">
        <f t="shared" si="61"/>
        <v>1.7456637716000001</v>
      </c>
      <c r="N355" s="9"/>
      <c r="O355" s="22">
        <v>1.63727</v>
      </c>
      <c r="P355" s="22">
        <v>90.111800000000002</v>
      </c>
      <c r="Q355" s="22">
        <v>-1.4093E-2</v>
      </c>
      <c r="R355" s="22">
        <v>345</v>
      </c>
      <c r="S355" s="22">
        <v>1.63605</v>
      </c>
      <c r="T355">
        <f t="shared" si="62"/>
        <v>14.093</v>
      </c>
      <c r="U355">
        <f t="shared" si="63"/>
        <v>23.074046110000001</v>
      </c>
      <c r="X355" s="9"/>
      <c r="Y355" s="22">
        <v>0.102844</v>
      </c>
      <c r="Z355" s="22">
        <v>139.65700000000001</v>
      </c>
      <c r="AA355" s="22">
        <v>-1.7645299999999999E-2</v>
      </c>
      <c r="AB355" s="22">
        <v>345</v>
      </c>
      <c r="AC355" s="22">
        <v>0.102509</v>
      </c>
      <c r="AD355">
        <f t="shared" si="64"/>
        <v>17.645299999999999</v>
      </c>
      <c r="AE355">
        <f t="shared" si="65"/>
        <v>1.8147132332</v>
      </c>
      <c r="AF355" s="9"/>
      <c r="AG355" s="22">
        <v>1.63727</v>
      </c>
      <c r="AH355" s="22">
        <v>189.27199999999999</v>
      </c>
      <c r="AI355" s="22">
        <v>-1.35925E-2</v>
      </c>
      <c r="AJ355" s="22">
        <v>345</v>
      </c>
      <c r="AK355" s="22">
        <v>1.63666</v>
      </c>
      <c r="AL355">
        <f t="shared" si="66"/>
        <v>13.592500000000001</v>
      </c>
      <c r="AM355">
        <f t="shared" si="67"/>
        <v>22.254592475000003</v>
      </c>
      <c r="AP355" s="9"/>
      <c r="AQ355" s="22">
        <v>0.102844</v>
      </c>
      <c r="AR355" s="22">
        <v>238.89500000000001</v>
      </c>
      <c r="AS355" s="25">
        <v>3.3355700000000003E-5</v>
      </c>
      <c r="AT355" s="22">
        <v>345</v>
      </c>
      <c r="AU355" s="22">
        <v>7.8460699999999994E-2</v>
      </c>
      <c r="AV355">
        <f t="shared" si="68"/>
        <v>-3.3355700000000002E-2</v>
      </c>
      <c r="AW355">
        <f t="shared" si="69"/>
        <v>-3.4304336108000005E-3</v>
      </c>
      <c r="AX355" s="9"/>
      <c r="AY355" s="22">
        <v>1.63727</v>
      </c>
      <c r="AZ355" s="22">
        <v>254.95500000000001</v>
      </c>
      <c r="BA355" s="22">
        <v>-6.6924999999999997E-3</v>
      </c>
      <c r="BB355" s="22">
        <v>345</v>
      </c>
      <c r="BC355" s="22">
        <v>1.63635</v>
      </c>
      <c r="BD355">
        <f t="shared" si="70"/>
        <v>6.6924999999999999</v>
      </c>
      <c r="BE355">
        <f t="shared" si="71"/>
        <v>10.957429475</v>
      </c>
    </row>
    <row r="356" spans="6:57">
      <c r="F356" s="9"/>
      <c r="G356" s="22">
        <v>9.7808800000000001E-2</v>
      </c>
      <c r="H356" s="22">
        <v>40.683500000000002</v>
      </c>
      <c r="I356" s="22">
        <v>-1.6979999999999999E-2</v>
      </c>
      <c r="J356" s="22">
        <v>346</v>
      </c>
      <c r="K356" s="22">
        <v>9.7106899999999996E-2</v>
      </c>
      <c r="L356">
        <f t="shared" si="60"/>
        <v>16.979999999999997</v>
      </c>
      <c r="M356">
        <f t="shared" si="61"/>
        <v>1.6607934239999997</v>
      </c>
      <c r="N356" s="9"/>
      <c r="O356" s="22">
        <v>1.6423000000000001</v>
      </c>
      <c r="P356" s="22">
        <v>90.121899999999997</v>
      </c>
      <c r="Q356" s="22">
        <v>-1.39496E-2</v>
      </c>
      <c r="R356" s="22">
        <v>346</v>
      </c>
      <c r="S356" s="22">
        <v>1.64124</v>
      </c>
      <c r="T356">
        <f t="shared" si="62"/>
        <v>13.9496</v>
      </c>
      <c r="U356">
        <f t="shared" si="63"/>
        <v>22.909428080000001</v>
      </c>
      <c r="X356" s="9"/>
      <c r="Y356" s="22">
        <v>9.7808800000000001E-2</v>
      </c>
      <c r="Z356" s="22">
        <v>139.667</v>
      </c>
      <c r="AA356" s="22">
        <v>-1.7648299999999999E-2</v>
      </c>
      <c r="AB356" s="22">
        <v>346</v>
      </c>
      <c r="AC356" s="22">
        <v>9.7412100000000001E-2</v>
      </c>
      <c r="AD356">
        <f t="shared" si="64"/>
        <v>17.648299999999999</v>
      </c>
      <c r="AE356">
        <f t="shared" si="65"/>
        <v>1.72615904504</v>
      </c>
      <c r="AF356" s="9"/>
      <c r="AG356" s="22">
        <v>1.6423000000000001</v>
      </c>
      <c r="AH356" s="22">
        <v>189.28200000000001</v>
      </c>
      <c r="AI356" s="22">
        <v>-1.3412500000000001E-2</v>
      </c>
      <c r="AJ356" s="22">
        <v>346</v>
      </c>
      <c r="AK356" s="22">
        <v>1.64124</v>
      </c>
      <c r="AL356">
        <f t="shared" si="66"/>
        <v>13.412500000000001</v>
      </c>
      <c r="AM356">
        <f t="shared" si="67"/>
        <v>22.027348750000005</v>
      </c>
      <c r="AP356" s="9"/>
      <c r="AQ356" s="22">
        <v>9.7808800000000001E-2</v>
      </c>
      <c r="AR356" s="22">
        <v>238.905</v>
      </c>
      <c r="AS356" s="25">
        <v>3.1494100000000001E-5</v>
      </c>
      <c r="AT356" s="22">
        <v>346</v>
      </c>
      <c r="AU356" s="22">
        <v>7.8491199999999997E-2</v>
      </c>
      <c r="AV356">
        <f t="shared" si="68"/>
        <v>-3.1494099999999997E-2</v>
      </c>
      <c r="AW356">
        <f t="shared" si="69"/>
        <v>-3.0804001280799998E-3</v>
      </c>
      <c r="AX356" s="9"/>
      <c r="AY356" s="22">
        <v>1.6423000000000001</v>
      </c>
      <c r="AZ356" s="22">
        <v>254.965</v>
      </c>
      <c r="BA356" s="22">
        <v>-6.67725E-3</v>
      </c>
      <c r="BB356" s="22">
        <v>346</v>
      </c>
      <c r="BC356" s="22">
        <v>1.64124</v>
      </c>
      <c r="BD356">
        <f t="shared" si="70"/>
        <v>6.6772499999999999</v>
      </c>
      <c r="BE356">
        <f t="shared" si="71"/>
        <v>10.966047675</v>
      </c>
    </row>
    <row r="357" spans="6:57">
      <c r="F357" s="9"/>
      <c r="G357" s="22">
        <v>9.2773400000000006E-2</v>
      </c>
      <c r="H357" s="22">
        <v>40.693600000000004</v>
      </c>
      <c r="I357" s="22">
        <v>-1.6979999999999999E-2</v>
      </c>
      <c r="J357" s="22">
        <v>347</v>
      </c>
      <c r="K357" s="22">
        <v>9.2010499999999995E-2</v>
      </c>
      <c r="L357">
        <f t="shared" si="60"/>
        <v>16.979999999999997</v>
      </c>
      <c r="M357">
        <f t="shared" si="61"/>
        <v>1.5752923319999999</v>
      </c>
      <c r="N357" s="9"/>
      <c r="O357" s="22">
        <v>1.64734</v>
      </c>
      <c r="P357" s="22">
        <v>90.132000000000005</v>
      </c>
      <c r="Q357" s="22">
        <v>-1.38E-2</v>
      </c>
      <c r="R357" s="22">
        <v>347</v>
      </c>
      <c r="S357" s="22">
        <v>1.64642</v>
      </c>
      <c r="T357">
        <f t="shared" si="62"/>
        <v>13.799999999999999</v>
      </c>
      <c r="U357">
        <f t="shared" si="63"/>
        <v>22.733291999999999</v>
      </c>
      <c r="X357" s="9"/>
      <c r="Y357" s="22">
        <v>9.2773400000000006E-2</v>
      </c>
      <c r="Z357" s="22">
        <v>139.67699999999999</v>
      </c>
      <c r="AA357" s="22">
        <v>-1.7651400000000001E-2</v>
      </c>
      <c r="AB357" s="22">
        <v>347</v>
      </c>
      <c r="AC357" s="22">
        <v>9.2071500000000001E-2</v>
      </c>
      <c r="AD357">
        <f t="shared" si="64"/>
        <v>17.651400000000002</v>
      </c>
      <c r="AE357">
        <f t="shared" si="65"/>
        <v>1.6375803927600003</v>
      </c>
      <c r="AF357" s="9"/>
      <c r="AG357" s="22">
        <v>1.64734</v>
      </c>
      <c r="AH357" s="22">
        <v>189.292</v>
      </c>
      <c r="AI357" s="22">
        <v>-1.32263E-2</v>
      </c>
      <c r="AJ357" s="22">
        <v>347</v>
      </c>
      <c r="AK357" s="22">
        <v>1.64642</v>
      </c>
      <c r="AL357">
        <f t="shared" si="66"/>
        <v>13.2263</v>
      </c>
      <c r="AM357">
        <f t="shared" si="67"/>
        <v>21.788213041999999</v>
      </c>
      <c r="AP357" s="9"/>
      <c r="AQ357" s="22">
        <v>9.2773400000000006E-2</v>
      </c>
      <c r="AR357" s="22">
        <v>238.91499999999999</v>
      </c>
      <c r="AS357" s="25">
        <v>3.0273400000000001E-5</v>
      </c>
      <c r="AT357" s="22">
        <v>347</v>
      </c>
      <c r="AU357" s="22">
        <v>7.8491199999999997E-2</v>
      </c>
      <c r="AV357">
        <f t="shared" si="68"/>
        <v>-3.0273399999999999E-2</v>
      </c>
      <c r="AW357">
        <f t="shared" si="69"/>
        <v>-2.80856624756E-3</v>
      </c>
      <c r="AX357" s="9"/>
      <c r="AY357" s="22">
        <v>1.64734</v>
      </c>
      <c r="AZ357" s="22">
        <v>254.97499999999999</v>
      </c>
      <c r="BA357" s="22">
        <v>-6.6558800000000003E-3</v>
      </c>
      <c r="BB357" s="22">
        <v>347</v>
      </c>
      <c r="BC357" s="22">
        <v>1.64642</v>
      </c>
      <c r="BD357">
        <f t="shared" si="70"/>
        <v>6.6558800000000007</v>
      </c>
      <c r="BE357">
        <f t="shared" si="71"/>
        <v>10.964497359200001</v>
      </c>
    </row>
    <row r="358" spans="6:57">
      <c r="F358" s="9"/>
      <c r="G358" s="22">
        <v>8.7737999999999997E-2</v>
      </c>
      <c r="H358" s="22">
        <v>40.703600000000002</v>
      </c>
      <c r="I358" s="22">
        <v>-1.6983000000000002E-2</v>
      </c>
      <c r="J358" s="22">
        <v>348</v>
      </c>
      <c r="K358" s="22">
        <v>8.6761500000000005E-2</v>
      </c>
      <c r="L358">
        <f t="shared" si="60"/>
        <v>16.983000000000001</v>
      </c>
      <c r="M358">
        <f t="shared" si="61"/>
        <v>1.490054454</v>
      </c>
      <c r="N358" s="9"/>
      <c r="O358" s="22">
        <v>1.6523699999999999</v>
      </c>
      <c r="P358" s="22">
        <v>90.142099999999999</v>
      </c>
      <c r="Q358" s="22">
        <v>-1.36414E-2</v>
      </c>
      <c r="R358" s="22">
        <v>348</v>
      </c>
      <c r="S358" s="22">
        <v>1.6507000000000001</v>
      </c>
      <c r="T358">
        <f t="shared" si="62"/>
        <v>13.641399999999999</v>
      </c>
      <c r="U358">
        <f t="shared" si="63"/>
        <v>22.540640117999995</v>
      </c>
      <c r="X358" s="9"/>
      <c r="Y358" s="22">
        <v>8.7737999999999997E-2</v>
      </c>
      <c r="Z358" s="22">
        <v>139.68799999999999</v>
      </c>
      <c r="AA358" s="22">
        <v>-1.76575E-2</v>
      </c>
      <c r="AB358" s="22">
        <v>348</v>
      </c>
      <c r="AC358" s="22">
        <v>8.7310799999999994E-2</v>
      </c>
      <c r="AD358">
        <f t="shared" si="64"/>
        <v>17.657499999999999</v>
      </c>
      <c r="AE358">
        <f t="shared" si="65"/>
        <v>1.5492337349999998</v>
      </c>
      <c r="AF358" s="9"/>
      <c r="AG358" s="22">
        <v>1.6523699999999999</v>
      </c>
      <c r="AH358" s="22">
        <v>189.30199999999999</v>
      </c>
      <c r="AI358" s="22">
        <v>-1.3018800000000001E-2</v>
      </c>
      <c r="AJ358" s="22">
        <v>348</v>
      </c>
      <c r="AK358" s="22">
        <v>1.651</v>
      </c>
      <c r="AL358">
        <f t="shared" si="66"/>
        <v>13.018800000000001</v>
      </c>
      <c r="AM358">
        <f t="shared" si="67"/>
        <v>21.511874555999999</v>
      </c>
      <c r="AP358" s="9"/>
      <c r="AQ358" s="22">
        <v>8.7737999999999997E-2</v>
      </c>
      <c r="AR358" s="22">
        <v>238.92500000000001</v>
      </c>
      <c r="AS358" s="25">
        <v>2.8167700000000001E-5</v>
      </c>
      <c r="AT358" s="22">
        <v>348</v>
      </c>
      <c r="AU358" s="22">
        <v>7.8491199999999997E-2</v>
      </c>
      <c r="AV358">
        <f t="shared" si="68"/>
        <v>-2.81677E-2</v>
      </c>
      <c r="AW358">
        <f t="shared" si="69"/>
        <v>-2.4713776625999999E-3</v>
      </c>
      <c r="AX358" s="9"/>
      <c r="AY358" s="22">
        <v>1.6523699999999999</v>
      </c>
      <c r="AZ358" s="22">
        <v>254.98500000000001</v>
      </c>
      <c r="BA358" s="22">
        <v>-6.73523E-3</v>
      </c>
      <c r="BB358" s="22">
        <v>348</v>
      </c>
      <c r="BC358" s="22">
        <v>1.65161</v>
      </c>
      <c r="BD358">
        <f t="shared" si="70"/>
        <v>6.7352299999999996</v>
      </c>
      <c r="BE358">
        <f t="shared" si="71"/>
        <v>11.129091995099998</v>
      </c>
    </row>
    <row r="359" spans="6:57">
      <c r="F359" s="9"/>
      <c r="G359" s="22">
        <v>8.2702600000000001E-2</v>
      </c>
      <c r="H359" s="22">
        <v>40.713700000000003</v>
      </c>
      <c r="I359" s="22">
        <v>-1.69891E-2</v>
      </c>
      <c r="J359" s="22">
        <v>349</v>
      </c>
      <c r="K359" s="22">
        <v>8.2061800000000004E-2</v>
      </c>
      <c r="L359">
        <f t="shared" si="60"/>
        <v>16.989100000000001</v>
      </c>
      <c r="M359">
        <f t="shared" si="61"/>
        <v>1.40504274166</v>
      </c>
      <c r="N359" s="9"/>
      <c r="O359" s="22">
        <v>1.65741</v>
      </c>
      <c r="P359" s="22">
        <v>90.152100000000004</v>
      </c>
      <c r="Q359" s="22">
        <v>-1.34705E-2</v>
      </c>
      <c r="R359" s="22">
        <v>349</v>
      </c>
      <c r="S359" s="22">
        <v>1.65588</v>
      </c>
      <c r="T359">
        <f t="shared" si="62"/>
        <v>13.470499999999999</v>
      </c>
      <c r="U359">
        <f t="shared" si="63"/>
        <v>22.326141405000001</v>
      </c>
      <c r="X359" s="9"/>
      <c r="Y359" s="22">
        <v>8.2702600000000001E-2</v>
      </c>
      <c r="Z359" s="22">
        <v>139.69800000000001</v>
      </c>
      <c r="AA359" s="22">
        <v>-1.7663600000000002E-2</v>
      </c>
      <c r="AB359" s="22">
        <v>349</v>
      </c>
      <c r="AC359" s="22">
        <v>8.1451399999999993E-2</v>
      </c>
      <c r="AD359">
        <f t="shared" si="64"/>
        <v>17.663600000000002</v>
      </c>
      <c r="AE359">
        <f t="shared" si="65"/>
        <v>1.4608256453600001</v>
      </c>
      <c r="AF359" s="9"/>
      <c r="AG359" s="22">
        <v>1.65741</v>
      </c>
      <c r="AH359" s="22">
        <v>189.31200000000001</v>
      </c>
      <c r="AI359" s="22">
        <v>-1.27899E-2</v>
      </c>
      <c r="AJ359" s="22">
        <v>349</v>
      </c>
      <c r="AK359" s="22">
        <v>1.65649</v>
      </c>
      <c r="AL359">
        <f t="shared" si="66"/>
        <v>12.789899999999999</v>
      </c>
      <c r="AM359">
        <f t="shared" si="67"/>
        <v>21.198108159</v>
      </c>
      <c r="AP359" s="9"/>
      <c r="AQ359" s="22">
        <v>8.2702600000000001E-2</v>
      </c>
      <c r="AR359" s="22">
        <v>238.935</v>
      </c>
      <c r="AS359" s="25">
        <v>2.89612E-5</v>
      </c>
      <c r="AT359" s="22">
        <v>349</v>
      </c>
      <c r="AU359" s="22">
        <v>7.8491199999999997E-2</v>
      </c>
      <c r="AV359">
        <f t="shared" si="68"/>
        <v>-2.8961199999999999E-2</v>
      </c>
      <c r="AW359">
        <f t="shared" si="69"/>
        <v>-2.3951665391200002E-3</v>
      </c>
      <c r="AX359" s="9"/>
      <c r="AY359" s="22">
        <v>1.65741</v>
      </c>
      <c r="AZ359" s="22">
        <v>254.995</v>
      </c>
      <c r="BA359" s="22">
        <v>-6.7718500000000003E-3</v>
      </c>
      <c r="BB359" s="22">
        <v>349</v>
      </c>
      <c r="BC359" s="22">
        <v>1.6555800000000001</v>
      </c>
      <c r="BD359">
        <f t="shared" si="70"/>
        <v>6.7718500000000006</v>
      </c>
      <c r="BE359">
        <f t="shared" si="71"/>
        <v>11.223731908500001</v>
      </c>
    </row>
    <row r="360" spans="6:57">
      <c r="F360" s="9"/>
      <c r="G360" s="22">
        <v>7.7667200000000006E-2</v>
      </c>
      <c r="H360" s="22">
        <v>40.723799999999997</v>
      </c>
      <c r="I360" s="22">
        <v>-1.6992199999999999E-2</v>
      </c>
      <c r="J360" s="22">
        <v>350</v>
      </c>
      <c r="K360" s="22">
        <v>7.6782199999999995E-2</v>
      </c>
      <c r="L360">
        <f t="shared" si="60"/>
        <v>16.9922</v>
      </c>
      <c r="M360">
        <f t="shared" si="61"/>
        <v>1.31973659584</v>
      </c>
      <c r="N360" s="9"/>
      <c r="O360" s="22">
        <v>1.66245</v>
      </c>
      <c r="P360" s="22">
        <v>90.162199999999999</v>
      </c>
      <c r="Q360" s="22">
        <v>-1.3284300000000001E-2</v>
      </c>
      <c r="R360" s="22">
        <v>350</v>
      </c>
      <c r="S360" s="22">
        <v>1.66107</v>
      </c>
      <c r="T360">
        <f t="shared" si="62"/>
        <v>13.2843</v>
      </c>
      <c r="U360">
        <f t="shared" si="63"/>
        <v>22.084484535000001</v>
      </c>
      <c r="X360" s="9"/>
      <c r="Y360" s="22">
        <v>7.7667200000000006E-2</v>
      </c>
      <c r="Z360" s="22">
        <v>139.708</v>
      </c>
      <c r="AA360" s="22">
        <v>-1.7663600000000002E-2</v>
      </c>
      <c r="AB360" s="22">
        <v>350</v>
      </c>
      <c r="AC360" s="22">
        <v>7.6782199999999995E-2</v>
      </c>
      <c r="AD360">
        <f t="shared" si="64"/>
        <v>17.663600000000002</v>
      </c>
      <c r="AE360">
        <f t="shared" si="65"/>
        <v>1.3718823539200002</v>
      </c>
      <c r="AF360" s="9"/>
      <c r="AG360" s="22">
        <v>1.66245</v>
      </c>
      <c r="AH360" s="22">
        <v>189.322</v>
      </c>
      <c r="AI360" s="22">
        <v>-1.2558E-2</v>
      </c>
      <c r="AJ360" s="22">
        <v>350</v>
      </c>
      <c r="AK360" s="22">
        <v>1.66168</v>
      </c>
      <c r="AL360">
        <f t="shared" si="66"/>
        <v>12.558</v>
      </c>
      <c r="AM360">
        <f t="shared" si="67"/>
        <v>20.877047099999999</v>
      </c>
      <c r="AP360" s="9"/>
      <c r="AQ360" s="22">
        <v>7.7667200000000006E-2</v>
      </c>
      <c r="AR360" s="22">
        <v>238.946</v>
      </c>
      <c r="AS360" s="25">
        <v>2.9724099999999999E-5</v>
      </c>
      <c r="AT360" s="22">
        <v>350</v>
      </c>
      <c r="AU360" s="22">
        <v>7.77283E-2</v>
      </c>
      <c r="AV360">
        <f t="shared" si="68"/>
        <v>-2.97241E-2</v>
      </c>
      <c r="AW360">
        <f t="shared" si="69"/>
        <v>-2.3085876195200004E-3</v>
      </c>
      <c r="AX360" s="9"/>
      <c r="AY360" s="22">
        <v>1.66245</v>
      </c>
      <c r="AZ360" s="22">
        <v>255.005</v>
      </c>
      <c r="BA360" s="22">
        <v>-6.7840599999999997E-3</v>
      </c>
      <c r="BB360" s="22">
        <v>350</v>
      </c>
      <c r="BC360" s="22">
        <v>1.66168</v>
      </c>
      <c r="BD360">
        <f t="shared" si="70"/>
        <v>6.7840599999999993</v>
      </c>
      <c r="BE360">
        <f t="shared" si="71"/>
        <v>11.278160546999999</v>
      </c>
    </row>
    <row r="361" spans="6:57">
      <c r="F361" s="9"/>
      <c r="G361" s="22">
        <v>7.2631799999999996E-2</v>
      </c>
      <c r="H361" s="22">
        <v>40.733800000000002</v>
      </c>
      <c r="I361" s="22">
        <v>-1.6995199999999999E-2</v>
      </c>
      <c r="J361" s="22">
        <v>351</v>
      </c>
      <c r="K361" s="22">
        <v>7.1899400000000002E-2</v>
      </c>
      <c r="L361">
        <f t="shared" si="60"/>
        <v>16.995199999999997</v>
      </c>
      <c r="M361">
        <f t="shared" si="61"/>
        <v>1.2343919673599997</v>
      </c>
      <c r="N361" s="9"/>
      <c r="O361" s="22">
        <v>1.6674800000000001</v>
      </c>
      <c r="P361" s="22">
        <v>90.172300000000007</v>
      </c>
      <c r="Q361" s="22">
        <v>-1.30829E-2</v>
      </c>
      <c r="R361" s="22">
        <v>351</v>
      </c>
      <c r="S361" s="22">
        <v>1.6656500000000001</v>
      </c>
      <c r="T361">
        <f t="shared" si="62"/>
        <v>13.0829</v>
      </c>
      <c r="U361">
        <f t="shared" si="63"/>
        <v>21.815474092000002</v>
      </c>
      <c r="X361" s="9"/>
      <c r="Y361" s="22">
        <v>7.2631799999999996E-2</v>
      </c>
      <c r="Z361" s="22">
        <v>139.71799999999999</v>
      </c>
      <c r="AA361" s="22">
        <v>-1.76697E-2</v>
      </c>
      <c r="AB361" s="22">
        <v>351</v>
      </c>
      <c r="AC361" s="22">
        <v>7.1777300000000002E-2</v>
      </c>
      <c r="AD361">
        <f t="shared" si="64"/>
        <v>17.669699999999999</v>
      </c>
      <c r="AE361">
        <f t="shared" si="65"/>
        <v>1.2833821164599999</v>
      </c>
      <c r="AF361" s="9"/>
      <c r="AG361" s="22">
        <v>1.6674800000000001</v>
      </c>
      <c r="AH361" s="22">
        <v>189.33199999999999</v>
      </c>
      <c r="AI361" s="22">
        <v>-1.23169E-2</v>
      </c>
      <c r="AJ361" s="22">
        <v>351</v>
      </c>
      <c r="AK361" s="22">
        <v>1.66656</v>
      </c>
      <c r="AL361">
        <f t="shared" si="66"/>
        <v>12.3169</v>
      </c>
      <c r="AM361">
        <f t="shared" si="67"/>
        <v>20.538184412000003</v>
      </c>
      <c r="AP361" s="9"/>
      <c r="AQ361" s="22">
        <v>7.2631799999999996E-2</v>
      </c>
      <c r="AR361" s="22">
        <v>238.95599999999999</v>
      </c>
      <c r="AS361" s="25">
        <v>2.94495E-5</v>
      </c>
      <c r="AT361" s="22">
        <v>351</v>
      </c>
      <c r="AU361" s="22">
        <v>7.3638899999999993E-2</v>
      </c>
      <c r="AV361">
        <f t="shared" si="68"/>
        <v>-2.94495E-2</v>
      </c>
      <c r="AW361">
        <f t="shared" si="69"/>
        <v>-2.1389701941E-3</v>
      </c>
      <c r="AX361" s="9"/>
      <c r="AY361" s="22">
        <v>1.6674800000000001</v>
      </c>
      <c r="AZ361" s="22">
        <v>255.01499999999999</v>
      </c>
      <c r="BA361" s="22">
        <v>-6.61621E-3</v>
      </c>
      <c r="BB361" s="22">
        <v>351</v>
      </c>
      <c r="BC361" s="22">
        <v>1.6662600000000001</v>
      </c>
      <c r="BD361">
        <f t="shared" si="70"/>
        <v>6.6162099999999997</v>
      </c>
      <c r="BE361">
        <f t="shared" si="71"/>
        <v>11.032397850800001</v>
      </c>
    </row>
    <row r="362" spans="6:57">
      <c r="F362" s="9"/>
      <c r="G362" s="22">
        <v>6.7596400000000001E-2</v>
      </c>
      <c r="H362" s="22">
        <v>40.743899999999996</v>
      </c>
      <c r="I362" s="22">
        <v>-1.6995199999999999E-2</v>
      </c>
      <c r="J362" s="22">
        <v>352</v>
      </c>
      <c r="K362" s="22">
        <v>6.6894499999999996E-2</v>
      </c>
      <c r="L362">
        <f t="shared" si="60"/>
        <v>16.995199999999997</v>
      </c>
      <c r="M362">
        <f t="shared" si="61"/>
        <v>1.1488143372799997</v>
      </c>
      <c r="N362" s="9"/>
      <c r="O362" s="22">
        <v>1.67252</v>
      </c>
      <c r="P362" s="22">
        <v>90.182299999999998</v>
      </c>
      <c r="Q362" s="22">
        <v>-1.28723E-2</v>
      </c>
      <c r="R362" s="22">
        <v>352</v>
      </c>
      <c r="S362" s="22">
        <v>1.6708400000000001</v>
      </c>
      <c r="T362">
        <f t="shared" si="62"/>
        <v>12.872299999999999</v>
      </c>
      <c r="U362">
        <f t="shared" si="63"/>
        <v>21.529179195999998</v>
      </c>
      <c r="X362" s="9"/>
      <c r="Y362" s="22">
        <v>6.7596400000000001E-2</v>
      </c>
      <c r="Z362" s="22">
        <v>139.72800000000001</v>
      </c>
      <c r="AA362" s="22">
        <v>-1.76697E-2</v>
      </c>
      <c r="AB362" s="22">
        <v>352</v>
      </c>
      <c r="AC362" s="22">
        <v>6.6467300000000007E-2</v>
      </c>
      <c r="AD362">
        <f t="shared" si="64"/>
        <v>17.669699999999999</v>
      </c>
      <c r="AE362">
        <f t="shared" si="65"/>
        <v>1.1944081090799998</v>
      </c>
      <c r="AF362" s="9"/>
      <c r="AG362" s="22">
        <v>1.67252</v>
      </c>
      <c r="AH362" s="22">
        <v>189.34200000000001</v>
      </c>
      <c r="AI362" s="22">
        <v>-1.2057500000000001E-2</v>
      </c>
      <c r="AJ362" s="22">
        <v>352</v>
      </c>
      <c r="AK362" s="22">
        <v>1.6711400000000001</v>
      </c>
      <c r="AL362">
        <f t="shared" si="66"/>
        <v>12.057500000000001</v>
      </c>
      <c r="AM362">
        <f t="shared" si="67"/>
        <v>20.166409900000001</v>
      </c>
      <c r="AP362" s="9"/>
      <c r="AQ362" s="22">
        <v>6.7596400000000001E-2</v>
      </c>
      <c r="AR362" s="22">
        <v>238.96600000000001</v>
      </c>
      <c r="AS362" s="25">
        <v>1.9866900000000001E-5</v>
      </c>
      <c r="AT362" s="22">
        <v>352</v>
      </c>
      <c r="AU362" s="22">
        <v>7.4432399999999996E-2</v>
      </c>
      <c r="AV362">
        <f t="shared" si="68"/>
        <v>-1.98669E-2</v>
      </c>
      <c r="AW362">
        <f t="shared" si="69"/>
        <v>-1.3429309191600001E-3</v>
      </c>
      <c r="AX362" s="9"/>
      <c r="AY362" s="22">
        <v>1.67252</v>
      </c>
      <c r="AZ362" s="22">
        <v>255.02500000000001</v>
      </c>
      <c r="BA362" s="22">
        <v>-6.7779499999999996E-3</v>
      </c>
      <c r="BB362" s="22">
        <v>352</v>
      </c>
      <c r="BC362" s="22">
        <v>1.6714500000000001</v>
      </c>
      <c r="BD362">
        <f t="shared" si="70"/>
        <v>6.7779499999999997</v>
      </c>
      <c r="BE362">
        <f t="shared" si="71"/>
        <v>11.336256934</v>
      </c>
    </row>
    <row r="363" spans="6:57">
      <c r="F363" s="9"/>
      <c r="G363" s="22">
        <v>6.2561000000000005E-2</v>
      </c>
      <c r="H363" s="22">
        <v>40.753999999999998</v>
      </c>
      <c r="I363" s="22">
        <v>-1.6998300000000001E-2</v>
      </c>
      <c r="J363" s="22">
        <v>353</v>
      </c>
      <c r="K363" s="22">
        <v>6.1920200000000002E-2</v>
      </c>
      <c r="L363">
        <f t="shared" si="60"/>
        <v>16.9983</v>
      </c>
      <c r="M363">
        <f t="shared" si="61"/>
        <v>1.0634306463000001</v>
      </c>
      <c r="N363" s="9"/>
      <c r="O363" s="22">
        <v>1.6775500000000001</v>
      </c>
      <c r="P363" s="22">
        <v>90.192400000000006</v>
      </c>
      <c r="Q363" s="22">
        <v>-1.2655599999999999E-2</v>
      </c>
      <c r="R363" s="22">
        <v>353</v>
      </c>
      <c r="S363" s="22">
        <v>1.6760299999999999</v>
      </c>
      <c r="T363">
        <f t="shared" si="62"/>
        <v>12.6556</v>
      </c>
      <c r="U363">
        <f t="shared" si="63"/>
        <v>21.230401780000001</v>
      </c>
      <c r="X363" s="9"/>
      <c r="Y363" s="22">
        <v>6.2561000000000005E-2</v>
      </c>
      <c r="Z363" s="22">
        <v>139.738</v>
      </c>
      <c r="AA363" s="22">
        <v>-1.7666600000000001E-2</v>
      </c>
      <c r="AB363" s="22">
        <v>353</v>
      </c>
      <c r="AC363" s="22">
        <v>6.2164299999999999E-2</v>
      </c>
      <c r="AD363">
        <f t="shared" si="64"/>
        <v>17.666600000000003</v>
      </c>
      <c r="AE363">
        <f t="shared" si="65"/>
        <v>1.1052401626000004</v>
      </c>
      <c r="AF363" s="9"/>
      <c r="AG363" s="22">
        <v>1.6775500000000001</v>
      </c>
      <c r="AH363" s="22">
        <v>189.352</v>
      </c>
      <c r="AI363" s="22">
        <v>-1.17859E-2</v>
      </c>
      <c r="AJ363" s="22">
        <v>353</v>
      </c>
      <c r="AK363" s="22">
        <v>1.6760299999999999</v>
      </c>
      <c r="AL363">
        <f t="shared" si="66"/>
        <v>11.7859</v>
      </c>
      <c r="AM363">
        <f t="shared" si="67"/>
        <v>19.771436545</v>
      </c>
      <c r="AP363" s="9"/>
      <c r="AQ363" s="22">
        <v>6.2561000000000005E-2</v>
      </c>
      <c r="AR363" s="22">
        <v>238.976</v>
      </c>
      <c r="AS363" s="25">
        <v>-5.7983399999999998E-5</v>
      </c>
      <c r="AT363" s="22">
        <v>353</v>
      </c>
      <c r="AU363" s="22">
        <v>6.2347399999999997E-2</v>
      </c>
      <c r="AV363">
        <f t="shared" si="68"/>
        <v>5.7983399999999997E-2</v>
      </c>
      <c r="AW363">
        <f t="shared" si="69"/>
        <v>3.6274994874000003E-3</v>
      </c>
      <c r="AX363" s="9"/>
      <c r="AY363" s="22">
        <v>1.6775500000000001</v>
      </c>
      <c r="AZ363" s="22">
        <v>255.036</v>
      </c>
      <c r="BA363" s="22">
        <v>-6.8298300000000003E-3</v>
      </c>
      <c r="BB363" s="22">
        <v>353</v>
      </c>
      <c r="BC363" s="22">
        <v>1.6766399999999999</v>
      </c>
      <c r="BD363">
        <f t="shared" si="70"/>
        <v>6.8298300000000003</v>
      </c>
      <c r="BE363">
        <f t="shared" si="71"/>
        <v>11.457381316500001</v>
      </c>
    </row>
    <row r="364" spans="6:57">
      <c r="F364" s="9"/>
      <c r="G364" s="22">
        <v>5.7525600000000003E-2</v>
      </c>
      <c r="H364" s="22">
        <v>40.764099999999999</v>
      </c>
      <c r="I364" s="22">
        <v>-1.6998300000000001E-2</v>
      </c>
      <c r="J364" s="22">
        <v>354</v>
      </c>
      <c r="K364" s="22">
        <v>5.6854200000000001E-2</v>
      </c>
      <c r="L364">
        <f t="shared" si="60"/>
        <v>16.9983</v>
      </c>
      <c r="M364">
        <f t="shared" si="61"/>
        <v>0.97783740648000006</v>
      </c>
      <c r="N364" s="9"/>
      <c r="O364" s="22">
        <v>1.68259</v>
      </c>
      <c r="P364" s="22">
        <v>90.202500000000001</v>
      </c>
      <c r="Q364" s="22">
        <v>-1.2423699999999999E-2</v>
      </c>
      <c r="R364" s="22">
        <v>354</v>
      </c>
      <c r="S364" s="22">
        <v>1.6815199999999999</v>
      </c>
      <c r="T364">
        <f t="shared" si="62"/>
        <v>12.4237</v>
      </c>
      <c r="U364">
        <f t="shared" si="63"/>
        <v>20.903993383</v>
      </c>
      <c r="X364" s="9"/>
      <c r="Y364" s="22">
        <v>5.7525600000000003E-2</v>
      </c>
      <c r="Z364" s="22">
        <v>139.74799999999999</v>
      </c>
      <c r="AA364" s="22">
        <v>-1.76697E-2</v>
      </c>
      <c r="AB364" s="22">
        <v>354</v>
      </c>
      <c r="AC364" s="22">
        <v>5.7189900000000002E-2</v>
      </c>
      <c r="AD364">
        <f t="shared" si="64"/>
        <v>17.669699999999999</v>
      </c>
      <c r="AE364">
        <f t="shared" si="65"/>
        <v>1.01646009432</v>
      </c>
      <c r="AF364" s="9"/>
      <c r="AG364" s="22">
        <v>1.68259</v>
      </c>
      <c r="AH364" s="22">
        <v>189.36199999999999</v>
      </c>
      <c r="AI364" s="22">
        <v>-1.14929E-2</v>
      </c>
      <c r="AJ364" s="22">
        <v>354</v>
      </c>
      <c r="AK364" s="22">
        <v>1.6815199999999999</v>
      </c>
      <c r="AL364">
        <f t="shared" si="66"/>
        <v>11.492900000000001</v>
      </c>
      <c r="AM364">
        <f t="shared" si="67"/>
        <v>19.337838611000002</v>
      </c>
      <c r="AP364" s="9"/>
      <c r="AQ364" s="22">
        <v>5.7525600000000003E-2</v>
      </c>
      <c r="AR364" s="22">
        <v>238.98599999999999</v>
      </c>
      <c r="AS364" s="25">
        <v>-1.5258799999999999E-7</v>
      </c>
      <c r="AT364" s="22">
        <v>354</v>
      </c>
      <c r="AU364" s="22">
        <v>5.7312000000000002E-2</v>
      </c>
      <c r="AV364">
        <f t="shared" si="68"/>
        <v>1.52588E-4</v>
      </c>
      <c r="AW364">
        <f t="shared" si="69"/>
        <v>8.7777162527999997E-6</v>
      </c>
      <c r="AX364" s="9"/>
      <c r="AY364" s="22">
        <v>1.68259</v>
      </c>
      <c r="AZ364" s="22">
        <v>255.04599999999999</v>
      </c>
      <c r="BA364" s="22">
        <v>-6.7840599999999997E-3</v>
      </c>
      <c r="BB364" s="22">
        <v>354</v>
      </c>
      <c r="BC364" s="22">
        <v>1.6818200000000001</v>
      </c>
      <c r="BD364">
        <f t="shared" si="70"/>
        <v>6.7840599999999993</v>
      </c>
      <c r="BE364">
        <f t="shared" si="71"/>
        <v>11.414791515399999</v>
      </c>
    </row>
    <row r="365" spans="6:57">
      <c r="F365" s="9"/>
      <c r="G365" s="22">
        <v>5.2490200000000001E-2</v>
      </c>
      <c r="H365" s="22">
        <v>40.774099999999997</v>
      </c>
      <c r="I365" s="22">
        <v>-1.7004399999999999E-2</v>
      </c>
      <c r="J365" s="22">
        <v>355</v>
      </c>
      <c r="K365" s="22">
        <v>5.1788300000000002E-2</v>
      </c>
      <c r="L365">
        <f t="shared" si="60"/>
        <v>17.0044</v>
      </c>
      <c r="M365">
        <f t="shared" si="61"/>
        <v>0.89256435688000002</v>
      </c>
      <c r="N365" s="9"/>
      <c r="O365" s="22">
        <v>1.6876199999999999</v>
      </c>
      <c r="P365" s="22">
        <v>90.212500000000006</v>
      </c>
      <c r="Q365" s="22">
        <v>-1.21887E-2</v>
      </c>
      <c r="R365" s="22">
        <v>355</v>
      </c>
      <c r="S365" s="22">
        <v>1.6863999999999999</v>
      </c>
      <c r="T365">
        <f t="shared" si="62"/>
        <v>12.188700000000001</v>
      </c>
      <c r="U365">
        <f t="shared" si="63"/>
        <v>20.569893894</v>
      </c>
      <c r="X365" s="9"/>
      <c r="Y365" s="22">
        <v>5.2490200000000001E-2</v>
      </c>
      <c r="Z365" s="22">
        <v>139.75800000000001</v>
      </c>
      <c r="AA365" s="22">
        <v>-1.76727E-2</v>
      </c>
      <c r="AB365" s="22">
        <v>355</v>
      </c>
      <c r="AC365" s="22">
        <v>5.2032500000000002E-2</v>
      </c>
      <c r="AD365">
        <f t="shared" si="64"/>
        <v>17.672699999999999</v>
      </c>
      <c r="AE365">
        <f t="shared" si="65"/>
        <v>0.92764355753999994</v>
      </c>
      <c r="AF365" s="9"/>
      <c r="AG365" s="22">
        <v>1.6876199999999999</v>
      </c>
      <c r="AH365" s="22">
        <v>189.37200000000001</v>
      </c>
      <c r="AI365" s="22">
        <v>-1.11938E-2</v>
      </c>
      <c r="AJ365" s="22">
        <v>355</v>
      </c>
      <c r="AK365" s="22">
        <v>1.6867099999999999</v>
      </c>
      <c r="AL365">
        <f t="shared" si="66"/>
        <v>11.1938</v>
      </c>
      <c r="AM365">
        <f t="shared" si="67"/>
        <v>18.890880755999998</v>
      </c>
      <c r="AP365" s="9"/>
      <c r="AQ365" s="22">
        <v>5.2490200000000001E-2</v>
      </c>
      <c r="AR365" s="22">
        <v>238.99600000000001</v>
      </c>
      <c r="AS365" s="25">
        <v>2.74658E-7</v>
      </c>
      <c r="AT365" s="22">
        <v>355</v>
      </c>
      <c r="AU365" s="22">
        <v>5.2337599999999998E-2</v>
      </c>
      <c r="AV365">
        <f t="shared" si="68"/>
        <v>-2.74658E-4</v>
      </c>
      <c r="AW365">
        <f t="shared" si="69"/>
        <v>-1.4416853351600001E-5</v>
      </c>
      <c r="AX365" s="9"/>
      <c r="AY365" s="22">
        <v>1.6876199999999999</v>
      </c>
      <c r="AZ365" s="22">
        <v>255.05600000000001</v>
      </c>
      <c r="BA365" s="22">
        <v>-6.9061299999999999E-3</v>
      </c>
      <c r="BB365" s="22">
        <v>355</v>
      </c>
      <c r="BC365" s="22">
        <v>1.6863999999999999</v>
      </c>
      <c r="BD365">
        <f t="shared" si="70"/>
        <v>6.9061300000000001</v>
      </c>
      <c r="BE365">
        <f t="shared" si="71"/>
        <v>11.654923110599999</v>
      </c>
    </row>
    <row r="366" spans="6:57">
      <c r="F366" s="9"/>
      <c r="G366" s="22">
        <v>4.7454799999999998E-2</v>
      </c>
      <c r="H366" s="22">
        <v>40.784199999999998</v>
      </c>
      <c r="I366" s="22">
        <v>-1.7010500000000001E-2</v>
      </c>
      <c r="J366" s="22">
        <v>356</v>
      </c>
      <c r="K366" s="22">
        <v>4.7170999999999998E-2</v>
      </c>
      <c r="L366">
        <f t="shared" si="60"/>
        <v>17.0105</v>
      </c>
      <c r="M366">
        <f t="shared" si="61"/>
        <v>0.80722987540000002</v>
      </c>
      <c r="N366" s="9"/>
      <c r="O366" s="22">
        <v>1.6926600000000001</v>
      </c>
      <c r="P366" s="22">
        <v>90.2226</v>
      </c>
      <c r="Q366" s="22">
        <v>-1.1926300000000001E-2</v>
      </c>
      <c r="R366" s="22">
        <v>356</v>
      </c>
      <c r="S366" s="22">
        <v>1.6915899999999999</v>
      </c>
      <c r="T366">
        <f t="shared" si="62"/>
        <v>11.926300000000001</v>
      </c>
      <c r="U366">
        <f t="shared" si="63"/>
        <v>20.187170958000003</v>
      </c>
      <c r="X366" s="9"/>
      <c r="Y366" s="22">
        <v>4.7454799999999998E-2</v>
      </c>
      <c r="Z366" s="22">
        <v>139.768</v>
      </c>
      <c r="AA366" s="22">
        <v>-1.7678800000000001E-2</v>
      </c>
      <c r="AB366" s="22">
        <v>356</v>
      </c>
      <c r="AC366" s="22">
        <v>4.7232099999999999E-2</v>
      </c>
      <c r="AD366">
        <f t="shared" si="64"/>
        <v>17.678800000000003</v>
      </c>
      <c r="AE366">
        <f t="shared" si="65"/>
        <v>0.83894391824000014</v>
      </c>
      <c r="AF366" s="9"/>
      <c r="AG366" s="22">
        <v>1.6926600000000001</v>
      </c>
      <c r="AH366" s="22">
        <v>189.38300000000001</v>
      </c>
      <c r="AI366" s="22">
        <v>-1.08612E-2</v>
      </c>
      <c r="AJ366" s="22">
        <v>356</v>
      </c>
      <c r="AK366" s="22">
        <v>1.6918899999999999</v>
      </c>
      <c r="AL366">
        <f t="shared" si="66"/>
        <v>10.8612</v>
      </c>
      <c r="AM366">
        <f t="shared" si="67"/>
        <v>18.384318792000002</v>
      </c>
      <c r="AP366" s="9"/>
      <c r="AQ366" s="22">
        <v>4.7454799999999998E-2</v>
      </c>
      <c r="AR366" s="22">
        <v>239.006</v>
      </c>
      <c r="AS366" s="25">
        <v>-1.1596699999999999E-6</v>
      </c>
      <c r="AT366" s="22">
        <v>356</v>
      </c>
      <c r="AU366" s="22">
        <v>4.7506699999999999E-2</v>
      </c>
      <c r="AV366">
        <f t="shared" si="68"/>
        <v>1.1596699999999998E-3</v>
      </c>
      <c r="AW366">
        <f t="shared" si="69"/>
        <v>5.5031907915999986E-5</v>
      </c>
      <c r="AX366" s="9"/>
      <c r="AY366" s="22">
        <v>1.6926600000000001</v>
      </c>
      <c r="AZ366" s="22">
        <v>255.066</v>
      </c>
      <c r="BA366" s="22">
        <v>-6.9122300000000001E-3</v>
      </c>
      <c r="BB366" s="22">
        <v>356</v>
      </c>
      <c r="BC366" s="22">
        <v>1.6915899999999999</v>
      </c>
      <c r="BD366">
        <f t="shared" si="70"/>
        <v>6.9122300000000001</v>
      </c>
      <c r="BE366">
        <f t="shared" si="71"/>
        <v>11.7000552318</v>
      </c>
    </row>
    <row r="367" spans="6:57">
      <c r="F367" s="9"/>
      <c r="G367" s="22">
        <v>4.2419400000000003E-2</v>
      </c>
      <c r="H367" s="22">
        <v>40.7943</v>
      </c>
      <c r="I367" s="22">
        <v>-1.7013500000000001E-2</v>
      </c>
      <c r="J367" s="22">
        <v>357</v>
      </c>
      <c r="K367" s="22">
        <v>4.2153900000000001E-2</v>
      </c>
      <c r="L367">
        <f t="shared" si="60"/>
        <v>17.013500000000001</v>
      </c>
      <c r="M367">
        <f t="shared" si="61"/>
        <v>0.72170246190000009</v>
      </c>
      <c r="N367" s="9"/>
      <c r="O367" s="22">
        <v>1.6976899999999999</v>
      </c>
      <c r="P367" s="22">
        <v>90.232699999999994</v>
      </c>
      <c r="Q367" s="22">
        <v>-1.16577E-2</v>
      </c>
      <c r="R367" s="22">
        <v>357</v>
      </c>
      <c r="S367" s="22">
        <v>1.6970799999999999</v>
      </c>
      <c r="T367">
        <f t="shared" si="62"/>
        <v>11.6577</v>
      </c>
      <c r="U367">
        <f t="shared" si="63"/>
        <v>19.791160713</v>
      </c>
      <c r="X367" s="9"/>
      <c r="Y367" s="22">
        <v>4.2419400000000003E-2</v>
      </c>
      <c r="Z367" s="22">
        <v>139.77799999999999</v>
      </c>
      <c r="AA367" s="22">
        <v>-1.7678800000000001E-2</v>
      </c>
      <c r="AB367" s="22">
        <v>357</v>
      </c>
      <c r="AC367" s="22">
        <v>4.0566999999999999E-2</v>
      </c>
      <c r="AD367">
        <f t="shared" si="64"/>
        <v>17.678800000000003</v>
      </c>
      <c r="AE367">
        <f t="shared" si="65"/>
        <v>0.74992408872000016</v>
      </c>
      <c r="AF367" s="9"/>
      <c r="AG367" s="22">
        <v>1.6976899999999999</v>
      </c>
      <c r="AH367" s="22">
        <v>189.393</v>
      </c>
      <c r="AI367" s="22">
        <v>-1.05164E-2</v>
      </c>
      <c r="AJ367" s="22">
        <v>357</v>
      </c>
      <c r="AK367" s="22">
        <v>1.69678</v>
      </c>
      <c r="AL367">
        <f t="shared" si="66"/>
        <v>10.516400000000001</v>
      </c>
      <c r="AM367">
        <f t="shared" si="67"/>
        <v>17.853587116</v>
      </c>
      <c r="AP367" s="9"/>
      <c r="AQ367" s="22">
        <v>4.2419400000000003E-2</v>
      </c>
      <c r="AR367" s="22">
        <v>239.01599999999999</v>
      </c>
      <c r="AS367" s="25">
        <v>6.4086899999999997E-7</v>
      </c>
      <c r="AT367" s="22">
        <v>357</v>
      </c>
      <c r="AU367" s="22">
        <v>4.2480499999999997E-2</v>
      </c>
      <c r="AV367">
        <f t="shared" si="68"/>
        <v>-6.4086899999999997E-4</v>
      </c>
      <c r="AW367">
        <f t="shared" si="69"/>
        <v>-2.7185278458600001E-5</v>
      </c>
      <c r="AX367" s="9"/>
      <c r="AY367" s="22">
        <v>1.6976899999999999</v>
      </c>
      <c r="AZ367" s="22">
        <v>255.07599999999999</v>
      </c>
      <c r="BA367" s="22">
        <v>-6.8542500000000001E-3</v>
      </c>
      <c r="BB367" s="22">
        <v>357</v>
      </c>
      <c r="BC367" s="22">
        <v>1.6970799999999999</v>
      </c>
      <c r="BD367">
        <f t="shared" si="70"/>
        <v>6.8542500000000004</v>
      </c>
      <c r="BE367">
        <f t="shared" si="71"/>
        <v>11.636391682499999</v>
      </c>
    </row>
    <row r="368" spans="6:57">
      <c r="F368" s="9"/>
      <c r="G368" s="22">
        <v>3.7384000000000001E-2</v>
      </c>
      <c r="H368" s="22">
        <v>40.804299999999998</v>
      </c>
      <c r="I368" s="22">
        <v>-1.70166E-2</v>
      </c>
      <c r="J368" s="22">
        <v>358</v>
      </c>
      <c r="K368" s="22">
        <v>3.7103299999999999E-2</v>
      </c>
      <c r="L368">
        <f t="shared" si="60"/>
        <v>17.0166</v>
      </c>
      <c r="M368">
        <f t="shared" si="61"/>
        <v>0.63614857440000006</v>
      </c>
      <c r="N368" s="9"/>
      <c r="O368" s="22">
        <v>1.7027300000000001</v>
      </c>
      <c r="P368" s="22">
        <v>90.242800000000003</v>
      </c>
      <c r="Q368" s="22">
        <v>-1.1361700000000001E-2</v>
      </c>
      <c r="R368" s="22">
        <v>358</v>
      </c>
      <c r="S368" s="22">
        <v>1.70166</v>
      </c>
      <c r="T368">
        <f t="shared" si="62"/>
        <v>11.361700000000001</v>
      </c>
      <c r="U368">
        <f t="shared" si="63"/>
        <v>19.345907441000001</v>
      </c>
      <c r="X368" s="9"/>
      <c r="Y368" s="22">
        <v>3.7384000000000001E-2</v>
      </c>
      <c r="Z368" s="22">
        <v>139.78800000000001</v>
      </c>
      <c r="AA368" s="22">
        <v>-1.76819E-2</v>
      </c>
      <c r="AB368" s="22">
        <v>358</v>
      </c>
      <c r="AC368" s="22">
        <v>3.75336E-2</v>
      </c>
      <c r="AD368">
        <f t="shared" si="64"/>
        <v>17.681899999999999</v>
      </c>
      <c r="AE368">
        <f t="shared" si="65"/>
        <v>0.6610201496</v>
      </c>
      <c r="AF368" s="9"/>
      <c r="AG368" s="22">
        <v>1.7027300000000001</v>
      </c>
      <c r="AH368" s="22">
        <v>189.40299999999999</v>
      </c>
      <c r="AI368" s="22">
        <v>-1.0153199999999999E-2</v>
      </c>
      <c r="AJ368" s="22">
        <v>358</v>
      </c>
      <c r="AK368" s="22">
        <v>1.70197</v>
      </c>
      <c r="AL368">
        <f t="shared" si="66"/>
        <v>10.1532</v>
      </c>
      <c r="AM368">
        <f t="shared" si="67"/>
        <v>17.288158236000001</v>
      </c>
      <c r="AP368" s="9"/>
      <c r="AQ368" s="22">
        <v>3.7384000000000001E-2</v>
      </c>
      <c r="AR368" s="22">
        <v>239.02600000000001</v>
      </c>
      <c r="AS368" s="25">
        <v>-4.57764E-7</v>
      </c>
      <c r="AT368" s="22">
        <v>358</v>
      </c>
      <c r="AU368" s="22">
        <v>3.7408400000000001E-2</v>
      </c>
      <c r="AV368">
        <f t="shared" si="68"/>
        <v>4.5776399999999999E-4</v>
      </c>
      <c r="AW368">
        <f t="shared" si="69"/>
        <v>1.7113049376E-5</v>
      </c>
      <c r="AX368" s="9"/>
      <c r="AY368" s="22">
        <v>1.7027300000000001</v>
      </c>
      <c r="AZ368" s="22">
        <v>255.08600000000001</v>
      </c>
      <c r="BA368" s="22">
        <v>-6.8145799999999998E-3</v>
      </c>
      <c r="BB368" s="22">
        <v>358</v>
      </c>
      <c r="BC368" s="22">
        <v>1.70197</v>
      </c>
      <c r="BD368">
        <f t="shared" si="70"/>
        <v>6.8145799999999994</v>
      </c>
      <c r="BE368">
        <f t="shared" si="71"/>
        <v>11.603389803399999</v>
      </c>
    </row>
    <row r="369" spans="6:57">
      <c r="F369" s="9"/>
      <c r="G369" s="22">
        <v>3.2348599999999998E-2</v>
      </c>
      <c r="H369" s="22">
        <v>40.814399999999999</v>
      </c>
      <c r="I369" s="22">
        <v>-1.7010500000000001E-2</v>
      </c>
      <c r="J369" s="22">
        <v>359</v>
      </c>
      <c r="K369" s="22">
        <v>3.2153300000000003E-2</v>
      </c>
      <c r="L369">
        <f t="shared" si="60"/>
        <v>17.0105</v>
      </c>
      <c r="M369">
        <f t="shared" si="61"/>
        <v>0.55026586030000002</v>
      </c>
      <c r="N369" s="9"/>
      <c r="O369" s="22">
        <v>1.7077599999999999</v>
      </c>
      <c r="P369" s="22">
        <v>90.252799999999993</v>
      </c>
      <c r="Q369" s="22">
        <v>-1.1047400000000001E-2</v>
      </c>
      <c r="R369" s="22">
        <v>359</v>
      </c>
      <c r="S369" s="22">
        <v>1.70685</v>
      </c>
      <c r="T369">
        <f t="shared" si="62"/>
        <v>11.047400000000001</v>
      </c>
      <c r="U369">
        <f t="shared" si="63"/>
        <v>18.866307824000003</v>
      </c>
      <c r="X369" s="9"/>
      <c r="Y369" s="22">
        <v>3.2348599999999998E-2</v>
      </c>
      <c r="Z369" s="22">
        <v>139.798</v>
      </c>
      <c r="AA369" s="22">
        <v>-1.76819E-2</v>
      </c>
      <c r="AB369" s="22">
        <v>359</v>
      </c>
      <c r="AC369" s="22">
        <v>3.22449E-2</v>
      </c>
      <c r="AD369">
        <f t="shared" si="64"/>
        <v>17.681899999999999</v>
      </c>
      <c r="AE369">
        <f t="shared" si="65"/>
        <v>0.57198471033999998</v>
      </c>
      <c r="AF369" s="9"/>
      <c r="AG369" s="22">
        <v>1.7077599999999999</v>
      </c>
      <c r="AH369" s="22">
        <v>189.41300000000001</v>
      </c>
      <c r="AI369" s="22">
        <v>-9.7656300000000008E-3</v>
      </c>
      <c r="AJ369" s="22">
        <v>359</v>
      </c>
      <c r="AK369" s="22">
        <v>1.7065399999999999</v>
      </c>
      <c r="AL369">
        <f t="shared" si="66"/>
        <v>9.7656300000000016</v>
      </c>
      <c r="AM369">
        <f t="shared" si="67"/>
        <v>16.677352288800002</v>
      </c>
      <c r="AP369" s="9"/>
      <c r="AQ369" s="22">
        <v>3.2348599999999998E-2</v>
      </c>
      <c r="AR369" s="22">
        <v>239.036</v>
      </c>
      <c r="AS369" s="25">
        <v>-8.2397500000000002E-7</v>
      </c>
      <c r="AT369" s="22">
        <v>359</v>
      </c>
      <c r="AU369" s="22">
        <v>3.2370000000000003E-2</v>
      </c>
      <c r="AV369">
        <f t="shared" si="68"/>
        <v>8.2397500000000001E-4</v>
      </c>
      <c r="AW369">
        <f t="shared" si="69"/>
        <v>2.6654437684999998E-5</v>
      </c>
      <c r="AX369" s="9"/>
      <c r="AY369" s="22">
        <v>1.7077599999999999</v>
      </c>
      <c r="AZ369" s="22">
        <v>255.096</v>
      </c>
      <c r="BA369" s="22">
        <v>-6.8420399999999998E-3</v>
      </c>
      <c r="BB369" s="22">
        <v>359</v>
      </c>
      <c r="BC369" s="22">
        <v>1.70685</v>
      </c>
      <c r="BD369">
        <f t="shared" si="70"/>
        <v>6.8420399999999999</v>
      </c>
      <c r="BE369">
        <f t="shared" si="71"/>
        <v>11.684562230399999</v>
      </c>
    </row>
    <row r="370" spans="6:57">
      <c r="F370" s="9"/>
      <c r="G370" s="22">
        <v>2.7313199999999999E-2</v>
      </c>
      <c r="H370" s="22">
        <v>40.8245</v>
      </c>
      <c r="I370" s="22">
        <v>-1.7010500000000001E-2</v>
      </c>
      <c r="J370" s="22">
        <v>360</v>
      </c>
      <c r="K370" s="22">
        <v>2.7020300000000001E-2</v>
      </c>
      <c r="L370">
        <f t="shared" si="60"/>
        <v>17.0105</v>
      </c>
      <c r="M370">
        <f t="shared" si="61"/>
        <v>0.4646111886</v>
      </c>
      <c r="N370" s="9"/>
      <c r="O370" s="22">
        <v>1.7128000000000001</v>
      </c>
      <c r="P370" s="22">
        <v>90.262900000000002</v>
      </c>
      <c r="Q370" s="22">
        <v>-1.0711699999999999E-2</v>
      </c>
      <c r="R370" s="22">
        <v>360</v>
      </c>
      <c r="S370" s="22">
        <v>1.71143</v>
      </c>
      <c r="T370">
        <f t="shared" si="62"/>
        <v>10.711699999999999</v>
      </c>
      <c r="U370">
        <f t="shared" si="63"/>
        <v>18.346999759999999</v>
      </c>
      <c r="X370" s="9"/>
      <c r="Y370" s="22">
        <v>2.7313199999999999E-2</v>
      </c>
      <c r="Z370" s="22">
        <v>139.80799999999999</v>
      </c>
      <c r="AA370" s="22">
        <v>-1.7687999999999999E-2</v>
      </c>
      <c r="AB370" s="22">
        <v>360</v>
      </c>
      <c r="AC370" s="22">
        <v>2.6815800000000001E-2</v>
      </c>
      <c r="AD370">
        <f t="shared" si="64"/>
        <v>17.687999999999999</v>
      </c>
      <c r="AE370">
        <f t="shared" si="65"/>
        <v>0.48311588159999996</v>
      </c>
      <c r="AF370" s="9"/>
      <c r="AG370" s="22">
        <v>1.7128000000000001</v>
      </c>
      <c r="AH370" s="22">
        <v>189.423</v>
      </c>
      <c r="AI370" s="22">
        <v>-9.3444800000000005E-3</v>
      </c>
      <c r="AJ370" s="22">
        <v>360</v>
      </c>
      <c r="AK370" s="22">
        <v>1.71112</v>
      </c>
      <c r="AL370">
        <f t="shared" si="66"/>
        <v>9.3444800000000008</v>
      </c>
      <c r="AM370">
        <f t="shared" si="67"/>
        <v>16.005225344000003</v>
      </c>
      <c r="AP370" s="9"/>
      <c r="AQ370" s="22">
        <v>2.7313199999999999E-2</v>
      </c>
      <c r="AR370" s="22">
        <v>239.04599999999999</v>
      </c>
      <c r="AS370" s="25">
        <v>-7.0190400000000001E-7</v>
      </c>
      <c r="AT370" s="22">
        <v>360</v>
      </c>
      <c r="AU370" s="22">
        <v>2.7343800000000001E-2</v>
      </c>
      <c r="AV370">
        <f t="shared" si="68"/>
        <v>7.0190400000000005E-4</v>
      </c>
      <c r="AW370">
        <f t="shared" si="69"/>
        <v>1.9171244332800001E-5</v>
      </c>
      <c r="AX370" s="9"/>
      <c r="AY370" s="22">
        <v>1.7128000000000001</v>
      </c>
      <c r="AZ370" s="22">
        <v>255.10599999999999</v>
      </c>
      <c r="BA370" s="22">
        <v>-6.8420399999999998E-3</v>
      </c>
      <c r="BB370" s="22">
        <v>360</v>
      </c>
      <c r="BC370" s="22">
        <v>1.71234</v>
      </c>
      <c r="BD370">
        <f t="shared" si="70"/>
        <v>6.8420399999999999</v>
      </c>
      <c r="BE370">
        <f t="shared" si="71"/>
        <v>11.719046112000001</v>
      </c>
    </row>
    <row r="371" spans="6:57">
      <c r="F371" s="9"/>
      <c r="G371" s="22">
        <v>2.22778E-2</v>
      </c>
      <c r="H371" s="22">
        <v>40.834499999999998</v>
      </c>
      <c r="I371" s="22">
        <v>-1.7013500000000001E-2</v>
      </c>
      <c r="J371" s="22">
        <v>361</v>
      </c>
      <c r="K371" s="22">
        <v>2.2012299999999999E-2</v>
      </c>
      <c r="L371">
        <f t="shared" si="60"/>
        <v>17.013500000000001</v>
      </c>
      <c r="M371">
        <f t="shared" si="61"/>
        <v>0.37902335030000001</v>
      </c>
      <c r="N371" s="9"/>
      <c r="O371" s="22">
        <v>1.71783</v>
      </c>
      <c r="P371" s="22">
        <v>90.272999999999996</v>
      </c>
      <c r="Q371" s="22">
        <v>-1.0351600000000001E-2</v>
      </c>
      <c r="R371" s="22">
        <v>361</v>
      </c>
      <c r="S371" s="22">
        <v>1.71692</v>
      </c>
      <c r="T371">
        <f t="shared" si="62"/>
        <v>10.351600000000001</v>
      </c>
      <c r="U371">
        <f t="shared" si="63"/>
        <v>17.782289028000001</v>
      </c>
      <c r="X371" s="9"/>
      <c r="Y371" s="22">
        <v>2.22778E-2</v>
      </c>
      <c r="Z371" s="22">
        <v>139.81800000000001</v>
      </c>
      <c r="AA371" s="22">
        <v>-1.7690999999999998E-2</v>
      </c>
      <c r="AB371" s="22">
        <v>361</v>
      </c>
      <c r="AC371" s="22">
        <v>2.2833300000000001E-2</v>
      </c>
      <c r="AD371">
        <f t="shared" si="64"/>
        <v>17.690999999999999</v>
      </c>
      <c r="AE371">
        <f t="shared" si="65"/>
        <v>0.39411655979999999</v>
      </c>
      <c r="AF371" s="9"/>
      <c r="AG371" s="22">
        <v>1.71783</v>
      </c>
      <c r="AH371" s="22">
        <v>189.43299999999999</v>
      </c>
      <c r="AI371" s="22">
        <v>-8.9050299999999995E-3</v>
      </c>
      <c r="AJ371" s="22">
        <v>361</v>
      </c>
      <c r="AK371" s="22">
        <v>1.71661</v>
      </c>
      <c r="AL371">
        <f t="shared" si="66"/>
        <v>8.90503</v>
      </c>
      <c r="AM371">
        <f t="shared" si="67"/>
        <v>15.297327684899999</v>
      </c>
      <c r="AP371" s="9"/>
      <c r="AQ371" s="22">
        <v>2.22778E-2</v>
      </c>
      <c r="AR371" s="22">
        <v>239.05600000000001</v>
      </c>
      <c r="AS371" s="25">
        <v>-5.7678199999999998E-6</v>
      </c>
      <c r="AT371" s="22">
        <v>361</v>
      </c>
      <c r="AU371" s="22">
        <v>2.2259500000000002E-2</v>
      </c>
      <c r="AV371">
        <f t="shared" si="68"/>
        <v>5.7678199999999999E-3</v>
      </c>
      <c r="AW371">
        <f t="shared" si="69"/>
        <v>1.2849434039600001E-4</v>
      </c>
      <c r="AX371" s="9"/>
      <c r="AY371" s="22">
        <v>1.71783</v>
      </c>
      <c r="AZ371" s="22">
        <v>255.11600000000001</v>
      </c>
      <c r="BA371" s="22">
        <v>-6.8908700000000003E-3</v>
      </c>
      <c r="BB371" s="22">
        <v>361</v>
      </c>
      <c r="BC371" s="22">
        <v>1.71631</v>
      </c>
      <c r="BD371">
        <f t="shared" si="70"/>
        <v>6.8908700000000005</v>
      </c>
      <c r="BE371">
        <f t="shared" si="71"/>
        <v>11.8373432121</v>
      </c>
    </row>
    <row r="372" spans="6:57">
      <c r="F372" s="9"/>
      <c r="G372" s="22">
        <v>1.7242400000000001E-2</v>
      </c>
      <c r="H372" s="22">
        <v>40.8446</v>
      </c>
      <c r="I372" s="22">
        <v>-1.70166E-2</v>
      </c>
      <c r="J372" s="22">
        <v>362</v>
      </c>
      <c r="K372" s="22">
        <v>1.7086799999999999E-2</v>
      </c>
      <c r="L372">
        <f t="shared" si="60"/>
        <v>17.0166</v>
      </c>
      <c r="M372">
        <f t="shared" si="61"/>
        <v>0.29340702384000006</v>
      </c>
      <c r="N372" s="9"/>
      <c r="O372" s="22">
        <v>1.7228699999999999</v>
      </c>
      <c r="P372" s="22">
        <v>90.283000000000001</v>
      </c>
      <c r="Q372" s="22">
        <v>-9.9822999999999995E-3</v>
      </c>
      <c r="R372" s="22">
        <v>362</v>
      </c>
      <c r="S372" s="22">
        <v>1.72241</v>
      </c>
      <c r="T372">
        <f t="shared" si="62"/>
        <v>9.9822999999999986</v>
      </c>
      <c r="U372">
        <f t="shared" si="63"/>
        <v>17.198205200999997</v>
      </c>
      <c r="X372" s="9"/>
      <c r="Y372" s="22">
        <v>1.7242400000000001E-2</v>
      </c>
      <c r="Z372" s="22">
        <v>139.828</v>
      </c>
      <c r="AA372" s="22">
        <v>-1.7690999999999998E-2</v>
      </c>
      <c r="AB372" s="22">
        <v>362</v>
      </c>
      <c r="AC372" s="22">
        <v>1.75049E-2</v>
      </c>
      <c r="AD372">
        <f t="shared" si="64"/>
        <v>17.690999999999999</v>
      </c>
      <c r="AE372">
        <f t="shared" si="65"/>
        <v>0.30503529839999999</v>
      </c>
      <c r="AF372" s="9"/>
      <c r="AG372" s="22">
        <v>1.7228699999999999</v>
      </c>
      <c r="AH372" s="22">
        <v>189.44300000000001</v>
      </c>
      <c r="AI372" s="22">
        <v>-8.4320100000000002E-3</v>
      </c>
      <c r="AJ372" s="22">
        <v>362</v>
      </c>
      <c r="AK372" s="22">
        <v>1.7218</v>
      </c>
      <c r="AL372">
        <f t="shared" si="66"/>
        <v>8.43201</v>
      </c>
      <c r="AM372">
        <f t="shared" si="67"/>
        <v>14.527257068699999</v>
      </c>
      <c r="AP372" s="9"/>
      <c r="AQ372" s="22">
        <v>1.7242400000000001E-2</v>
      </c>
      <c r="AR372" s="22">
        <v>239.066</v>
      </c>
      <c r="AS372" s="25">
        <v>-6.0424799999999996E-6</v>
      </c>
      <c r="AT372" s="22">
        <v>362</v>
      </c>
      <c r="AU372" s="22">
        <v>1.7242400000000001E-2</v>
      </c>
      <c r="AV372">
        <f t="shared" si="68"/>
        <v>6.0424799999999994E-3</v>
      </c>
      <c r="AW372">
        <f t="shared" si="69"/>
        <v>1.0418685715199999E-4</v>
      </c>
      <c r="AX372" s="9"/>
      <c r="AY372" s="22">
        <v>1.7228699999999999</v>
      </c>
      <c r="AZ372" s="22">
        <v>255.126</v>
      </c>
      <c r="BA372" s="22">
        <v>-6.7321799999999999E-3</v>
      </c>
      <c r="BB372" s="22">
        <v>362</v>
      </c>
      <c r="BC372" s="22">
        <v>1.72211</v>
      </c>
      <c r="BD372">
        <f t="shared" si="70"/>
        <v>6.7321799999999996</v>
      </c>
      <c r="BE372">
        <f t="shared" si="71"/>
        <v>11.598670956599999</v>
      </c>
    </row>
    <row r="373" spans="6:57">
      <c r="F373" s="9"/>
      <c r="G373" s="22">
        <v>1.2207000000000001E-2</v>
      </c>
      <c r="H373" s="22">
        <v>40.854700000000001</v>
      </c>
      <c r="I373" s="22">
        <v>-1.70166E-2</v>
      </c>
      <c r="J373" s="22">
        <v>363</v>
      </c>
      <c r="K373" s="22">
        <v>1.1987299999999999E-2</v>
      </c>
      <c r="L373">
        <f t="shared" si="60"/>
        <v>17.0166</v>
      </c>
      <c r="M373">
        <f t="shared" si="61"/>
        <v>0.20772163620000003</v>
      </c>
      <c r="N373" s="9"/>
      <c r="O373" s="22">
        <v>1.7279100000000001</v>
      </c>
      <c r="P373" s="22">
        <v>90.293099999999995</v>
      </c>
      <c r="Q373" s="22">
        <v>-9.5825200000000006E-3</v>
      </c>
      <c r="R373" s="22">
        <v>363</v>
      </c>
      <c r="S373" s="22">
        <v>1.72638</v>
      </c>
      <c r="T373">
        <f t="shared" si="62"/>
        <v>9.5825200000000006</v>
      </c>
      <c r="U373">
        <f t="shared" si="63"/>
        <v>16.557732133200002</v>
      </c>
      <c r="X373" s="9"/>
      <c r="Y373" s="22">
        <v>1.2207000000000001E-2</v>
      </c>
      <c r="Z373" s="22">
        <v>139.839</v>
      </c>
      <c r="AA373" s="22">
        <v>-1.76971E-2</v>
      </c>
      <c r="AB373" s="22">
        <v>363</v>
      </c>
      <c r="AC373" s="22">
        <v>1.2548800000000001E-2</v>
      </c>
      <c r="AD373">
        <f t="shared" si="64"/>
        <v>17.697099999999999</v>
      </c>
      <c r="AE373">
        <f t="shared" si="65"/>
        <v>0.21602849970000002</v>
      </c>
      <c r="AF373" s="9"/>
      <c r="AG373" s="22">
        <v>1.7279100000000001</v>
      </c>
      <c r="AH373" s="22">
        <v>189.453</v>
      </c>
      <c r="AI373" s="22">
        <v>-7.9193100000000006E-3</v>
      </c>
      <c r="AJ373" s="22">
        <v>363</v>
      </c>
      <c r="AK373" s="22">
        <v>1.72699</v>
      </c>
      <c r="AL373">
        <f t="shared" si="66"/>
        <v>7.9193100000000003</v>
      </c>
      <c r="AM373">
        <f t="shared" si="67"/>
        <v>13.683854942100002</v>
      </c>
      <c r="AP373" s="9"/>
      <c r="AQ373" s="22">
        <v>1.2207000000000001E-2</v>
      </c>
      <c r="AR373" s="22">
        <v>239.07599999999999</v>
      </c>
      <c r="AS373" s="25">
        <v>-8.4838899999999995E-6</v>
      </c>
      <c r="AT373" s="22">
        <v>363</v>
      </c>
      <c r="AU373" s="22">
        <v>1.2234500000000001E-2</v>
      </c>
      <c r="AV373">
        <f t="shared" si="68"/>
        <v>8.4838899999999991E-3</v>
      </c>
      <c r="AW373">
        <f t="shared" si="69"/>
        <v>1.0356284523E-4</v>
      </c>
      <c r="AX373" s="9"/>
      <c r="AY373" s="22">
        <v>1.7279100000000001</v>
      </c>
      <c r="AZ373" s="22">
        <v>255.136</v>
      </c>
      <c r="BA373" s="22">
        <v>-6.8023700000000003E-3</v>
      </c>
      <c r="BB373" s="22">
        <v>363</v>
      </c>
      <c r="BC373" s="22">
        <v>1.72699</v>
      </c>
      <c r="BD373">
        <f t="shared" si="70"/>
        <v>6.8023700000000007</v>
      </c>
      <c r="BE373">
        <f t="shared" si="71"/>
        <v>11.753883146700002</v>
      </c>
    </row>
    <row r="374" spans="6:57">
      <c r="F374" s="9"/>
      <c r="G374" s="22">
        <v>7.17163E-3</v>
      </c>
      <c r="H374" s="22">
        <v>40.864800000000002</v>
      </c>
      <c r="I374" s="22">
        <v>-1.7019699999999999E-2</v>
      </c>
      <c r="J374" s="22">
        <v>364</v>
      </c>
      <c r="K374" s="22">
        <v>6.8695099999999997E-3</v>
      </c>
      <c r="L374">
        <f t="shared" si="60"/>
        <v>17.0197</v>
      </c>
      <c r="M374">
        <f t="shared" si="61"/>
        <v>0.12205899111100001</v>
      </c>
      <c r="N374" s="9"/>
      <c r="O374" s="22">
        <v>1.7329399999999999</v>
      </c>
      <c r="P374" s="22">
        <v>90.303200000000004</v>
      </c>
      <c r="Q374" s="22">
        <v>-9.1552700000000001E-3</v>
      </c>
      <c r="R374" s="22">
        <v>364</v>
      </c>
      <c r="S374" s="22">
        <v>1.7315700000000001</v>
      </c>
      <c r="T374">
        <f t="shared" si="62"/>
        <v>9.1552699999999998</v>
      </c>
      <c r="U374">
        <f t="shared" si="63"/>
        <v>15.865533593799999</v>
      </c>
      <c r="X374" s="9"/>
      <c r="Y374" s="22">
        <v>7.17163E-3</v>
      </c>
      <c r="Z374" s="22">
        <v>139.84899999999999</v>
      </c>
      <c r="AA374" s="22">
        <v>-1.7703199999999999E-2</v>
      </c>
      <c r="AB374" s="22">
        <v>364</v>
      </c>
      <c r="AC374" s="22">
        <v>6.5795899999999997E-3</v>
      </c>
      <c r="AD374">
        <f t="shared" si="64"/>
        <v>17.703199999999999</v>
      </c>
      <c r="AE374">
        <f t="shared" si="65"/>
        <v>0.12696080021599998</v>
      </c>
      <c r="AF374" s="9"/>
      <c r="AG374" s="22">
        <v>1.7329399999999999</v>
      </c>
      <c r="AH374" s="22">
        <v>189.46299999999999</v>
      </c>
      <c r="AI374" s="22">
        <v>-7.3638899999999997E-3</v>
      </c>
      <c r="AJ374" s="22">
        <v>364</v>
      </c>
      <c r="AK374" s="22">
        <v>1.7315700000000001</v>
      </c>
      <c r="AL374">
        <f t="shared" si="66"/>
        <v>7.3638899999999996</v>
      </c>
      <c r="AM374">
        <f t="shared" si="67"/>
        <v>12.761179536599998</v>
      </c>
      <c r="AP374" s="9"/>
      <c r="AQ374" s="22">
        <v>7.17163E-3</v>
      </c>
      <c r="AR374" s="22">
        <v>239.08600000000001</v>
      </c>
      <c r="AS374" s="25">
        <v>-1.0101299999999999E-5</v>
      </c>
      <c r="AT374" s="22">
        <v>364</v>
      </c>
      <c r="AU374" s="22">
        <v>7.1624799999999997E-3</v>
      </c>
      <c r="AV374">
        <f t="shared" si="68"/>
        <v>1.0101299999999999E-2</v>
      </c>
      <c r="AW374">
        <f t="shared" si="69"/>
        <v>7.2442786118999996E-5</v>
      </c>
      <c r="AX374" s="9"/>
      <c r="AY374" s="22">
        <v>1.7329399999999999</v>
      </c>
      <c r="AZ374" s="22">
        <v>255.14599999999999</v>
      </c>
      <c r="BA374" s="22">
        <v>-6.8023700000000003E-3</v>
      </c>
      <c r="BB374" s="22">
        <v>364</v>
      </c>
      <c r="BC374" s="22">
        <v>1.7321800000000001</v>
      </c>
      <c r="BD374">
        <f t="shared" si="70"/>
        <v>6.8023700000000007</v>
      </c>
      <c r="BE374">
        <f t="shared" si="71"/>
        <v>11.788099067800001</v>
      </c>
    </row>
    <row r="375" spans="6:57">
      <c r="F375" s="9"/>
      <c r="G375" s="22">
        <v>2.1362299999999998E-3</v>
      </c>
      <c r="H375" s="22">
        <v>40.8748</v>
      </c>
      <c r="I375" s="22">
        <v>-1.7019699999999999E-2</v>
      </c>
      <c r="J375" s="22">
        <v>365</v>
      </c>
      <c r="K375" s="22">
        <v>1.8249500000000001E-3</v>
      </c>
      <c r="L375">
        <f t="shared" si="60"/>
        <v>17.0197</v>
      </c>
      <c r="M375">
        <f t="shared" si="61"/>
        <v>3.6357993730999995E-2</v>
      </c>
      <c r="N375" s="9"/>
      <c r="O375" s="22">
        <v>1.7379800000000001</v>
      </c>
      <c r="P375" s="22">
        <v>90.313299999999998</v>
      </c>
      <c r="Q375" s="22">
        <v>-8.6944599999999993E-3</v>
      </c>
      <c r="R375" s="22">
        <v>365</v>
      </c>
      <c r="S375" s="22">
        <v>1.73706</v>
      </c>
      <c r="T375">
        <f t="shared" si="62"/>
        <v>8.6944599999999994</v>
      </c>
      <c r="U375">
        <f t="shared" si="63"/>
        <v>15.110797590799999</v>
      </c>
      <c r="X375" s="9"/>
      <c r="Y375" s="22">
        <v>2.1362299999999998E-3</v>
      </c>
      <c r="Z375" s="22">
        <v>139.85900000000001</v>
      </c>
      <c r="AA375" s="22">
        <v>-1.7706300000000001E-2</v>
      </c>
      <c r="AB375" s="22">
        <v>365</v>
      </c>
      <c r="AC375" s="22">
        <v>2.1331800000000001E-3</v>
      </c>
      <c r="AD375">
        <f t="shared" si="64"/>
        <v>17.706300000000002</v>
      </c>
      <c r="AE375">
        <f t="shared" si="65"/>
        <v>3.7824729249000003E-2</v>
      </c>
      <c r="AF375" s="9"/>
      <c r="AG375" s="22">
        <v>1.7379800000000001</v>
      </c>
      <c r="AH375" s="22">
        <v>189.47300000000001</v>
      </c>
      <c r="AI375" s="22">
        <v>-6.7596399999999999E-3</v>
      </c>
      <c r="AJ375" s="22">
        <v>365</v>
      </c>
      <c r="AK375" s="22">
        <v>1.73706</v>
      </c>
      <c r="AL375">
        <f t="shared" si="66"/>
        <v>6.7596400000000001</v>
      </c>
      <c r="AM375">
        <f t="shared" si="67"/>
        <v>11.748119127200001</v>
      </c>
      <c r="AP375" s="9"/>
      <c r="AQ375" s="22">
        <v>2.1362299999999998E-3</v>
      </c>
      <c r="AR375" s="22">
        <v>239.09700000000001</v>
      </c>
      <c r="AS375" s="25">
        <v>-8.6364700000000007E-6</v>
      </c>
      <c r="AT375" s="22">
        <v>365</v>
      </c>
      <c r="AU375" s="22">
        <v>2.1606400000000001E-3</v>
      </c>
      <c r="AV375">
        <f t="shared" si="68"/>
        <v>8.6364700000000003E-3</v>
      </c>
      <c r="AW375">
        <f t="shared" si="69"/>
        <v>1.84494863081E-5</v>
      </c>
      <c r="AX375" s="9"/>
      <c r="AY375" s="22">
        <v>1.7379800000000001</v>
      </c>
      <c r="AZ375" s="22">
        <v>255.15600000000001</v>
      </c>
      <c r="BA375" s="22">
        <v>-6.84814E-3</v>
      </c>
      <c r="BB375" s="22">
        <v>365</v>
      </c>
      <c r="BC375" s="22">
        <v>1.73645</v>
      </c>
      <c r="BD375">
        <f t="shared" si="70"/>
        <v>6.8481399999999999</v>
      </c>
      <c r="BE375">
        <f t="shared" si="71"/>
        <v>11.901930357200001</v>
      </c>
    </row>
    <row r="376" spans="6:57">
      <c r="F376" s="9"/>
      <c r="G376" s="22">
        <v>-2.89917E-3</v>
      </c>
      <c r="H376" s="22">
        <v>40.884900000000002</v>
      </c>
      <c r="I376" s="22">
        <v>-1.7022700000000002E-2</v>
      </c>
      <c r="J376" s="22">
        <v>366</v>
      </c>
      <c r="K376" s="22">
        <v>-3.39355E-3</v>
      </c>
      <c r="L376">
        <f t="shared" si="60"/>
        <v>17.0227</v>
      </c>
      <c r="M376">
        <f t="shared" si="61"/>
        <v>-4.9351701158999998E-2</v>
      </c>
      <c r="N376" s="9"/>
      <c r="O376" s="22">
        <v>1.7430099999999999</v>
      </c>
      <c r="P376" s="22">
        <v>90.323300000000003</v>
      </c>
      <c r="Q376" s="22">
        <v>-8.1878699999999999E-3</v>
      </c>
      <c r="R376" s="22">
        <v>366</v>
      </c>
      <c r="S376" s="22">
        <v>1.74194</v>
      </c>
      <c r="T376">
        <f t="shared" si="62"/>
        <v>8.1878700000000002</v>
      </c>
      <c r="U376">
        <f t="shared" si="63"/>
        <v>14.2715392887</v>
      </c>
      <c r="X376" s="9"/>
      <c r="Y376" s="22">
        <v>-2.89917E-3</v>
      </c>
      <c r="Z376" s="22">
        <v>139.869</v>
      </c>
      <c r="AA376" s="22">
        <v>-1.77094E-2</v>
      </c>
      <c r="AB376" s="22">
        <v>366</v>
      </c>
      <c r="AC376" s="22">
        <v>-3.07617E-3</v>
      </c>
      <c r="AD376">
        <f t="shared" si="64"/>
        <v>17.709399999999999</v>
      </c>
      <c r="AE376">
        <f t="shared" si="65"/>
        <v>-5.1342561197999993E-2</v>
      </c>
      <c r="AF376" s="9"/>
      <c r="AG376" s="22">
        <v>1.7430099999999999</v>
      </c>
      <c r="AH376" s="22">
        <v>189.483</v>
      </c>
      <c r="AI376" s="22">
        <v>-6.1065700000000004E-3</v>
      </c>
      <c r="AJ376" s="22">
        <v>366</v>
      </c>
      <c r="AK376" s="22">
        <v>1.74194</v>
      </c>
      <c r="AL376">
        <f t="shared" si="66"/>
        <v>6.1065700000000005</v>
      </c>
      <c r="AM376">
        <f t="shared" si="67"/>
        <v>10.6438125757</v>
      </c>
      <c r="AP376" s="9"/>
      <c r="AQ376" s="22">
        <v>-2.89917E-3</v>
      </c>
      <c r="AR376" s="22">
        <v>239.107</v>
      </c>
      <c r="AS376" s="25">
        <v>-1.0894799999999999E-5</v>
      </c>
      <c r="AT376" s="22">
        <v>366</v>
      </c>
      <c r="AU376" s="22">
        <v>-2.8900100000000001E-3</v>
      </c>
      <c r="AV376">
        <f t="shared" si="68"/>
        <v>1.08948E-2</v>
      </c>
      <c r="AW376">
        <f t="shared" si="69"/>
        <v>-3.1585877315999995E-5</v>
      </c>
      <c r="AX376" s="9"/>
      <c r="AY376" s="22">
        <v>1.7430099999999999</v>
      </c>
      <c r="AZ376" s="22">
        <v>255.166</v>
      </c>
      <c r="BA376" s="22">
        <v>-6.8603500000000003E-3</v>
      </c>
      <c r="BB376" s="22">
        <v>366</v>
      </c>
      <c r="BC376" s="22">
        <v>1.7422500000000001</v>
      </c>
      <c r="BD376">
        <f t="shared" si="70"/>
        <v>6.8603500000000004</v>
      </c>
      <c r="BE376">
        <f t="shared" si="71"/>
        <v>11.957658653500001</v>
      </c>
    </row>
    <row r="377" spans="6:57">
      <c r="F377" s="9"/>
      <c r="G377" s="22">
        <v>-7.9345700000000002E-3</v>
      </c>
      <c r="H377" s="22">
        <v>40.895000000000003</v>
      </c>
      <c r="I377" s="22">
        <v>-1.7031899999999999E-2</v>
      </c>
      <c r="J377" s="22">
        <v>367</v>
      </c>
      <c r="K377" s="22">
        <v>-8.3984400000000001E-3</v>
      </c>
      <c r="L377">
        <f t="shared" si="60"/>
        <v>17.0319</v>
      </c>
      <c r="M377">
        <f t="shared" si="61"/>
        <v>-0.135140802783</v>
      </c>
      <c r="N377" s="9"/>
      <c r="O377" s="22">
        <v>1.7480500000000001</v>
      </c>
      <c r="P377" s="22">
        <v>90.333399999999997</v>
      </c>
      <c r="Q377" s="22">
        <v>-7.6416000000000001E-3</v>
      </c>
      <c r="R377" s="22">
        <v>367</v>
      </c>
      <c r="S377" s="22">
        <v>1.7471300000000001</v>
      </c>
      <c r="T377">
        <f t="shared" si="62"/>
        <v>7.6416000000000004</v>
      </c>
      <c r="U377">
        <f t="shared" si="63"/>
        <v>13.357898880000002</v>
      </c>
      <c r="X377" s="9"/>
      <c r="Y377" s="22">
        <v>-7.9345700000000002E-3</v>
      </c>
      <c r="Z377" s="22">
        <v>139.87899999999999</v>
      </c>
      <c r="AA377" s="22">
        <v>-1.7715499999999999E-2</v>
      </c>
      <c r="AB377" s="22">
        <v>367</v>
      </c>
      <c r="AC377" s="22">
        <v>-7.9711899999999995E-3</v>
      </c>
      <c r="AD377">
        <f t="shared" si="64"/>
        <v>17.715499999999999</v>
      </c>
      <c r="AE377">
        <f t="shared" si="65"/>
        <v>-0.14056487483499999</v>
      </c>
      <c r="AF377" s="9"/>
      <c r="AG377" s="22">
        <v>1.7480500000000001</v>
      </c>
      <c r="AH377" s="22">
        <v>189.49299999999999</v>
      </c>
      <c r="AI377" s="22">
        <v>-5.3741500000000003E-3</v>
      </c>
      <c r="AJ377" s="22">
        <v>367</v>
      </c>
      <c r="AK377" s="22">
        <v>1.7468300000000001</v>
      </c>
      <c r="AL377">
        <f t="shared" si="66"/>
        <v>5.3741500000000002</v>
      </c>
      <c r="AM377">
        <f t="shared" si="67"/>
        <v>9.3942829075000009</v>
      </c>
      <c r="AP377" s="9"/>
      <c r="AQ377" s="22">
        <v>-7.9345700000000002E-3</v>
      </c>
      <c r="AR377" s="22">
        <v>239.11699999999999</v>
      </c>
      <c r="AS377" s="25">
        <v>-6.1157199999999998E-5</v>
      </c>
      <c r="AT377" s="22">
        <v>367</v>
      </c>
      <c r="AU377" s="22">
        <v>-7.9162599999999996E-3</v>
      </c>
      <c r="AV377">
        <f t="shared" si="68"/>
        <v>6.1157199999999995E-2</v>
      </c>
      <c r="AW377">
        <f t="shared" si="69"/>
        <v>-4.8525608440399995E-4</v>
      </c>
      <c r="AX377" s="9"/>
      <c r="AY377" s="22">
        <v>1.7480500000000001</v>
      </c>
      <c r="AZ377" s="22">
        <v>255.17699999999999</v>
      </c>
      <c r="BA377" s="22">
        <v>-6.8450899999999999E-3</v>
      </c>
      <c r="BB377" s="22">
        <v>367</v>
      </c>
      <c r="BC377" s="22">
        <v>1.7468300000000001</v>
      </c>
      <c r="BD377">
        <f t="shared" si="70"/>
        <v>6.8450899999999999</v>
      </c>
      <c r="BE377">
        <f t="shared" si="71"/>
        <v>11.9655595745</v>
      </c>
    </row>
    <row r="378" spans="6:57">
      <c r="F378" s="9"/>
      <c r="G378" s="22">
        <v>-1.2970000000000001E-2</v>
      </c>
      <c r="H378" s="22">
        <v>40.905000000000001</v>
      </c>
      <c r="I378" s="22">
        <v>-1.7034899999999999E-2</v>
      </c>
      <c r="J378" s="22">
        <v>368</v>
      </c>
      <c r="K378" s="22">
        <v>-1.3369799999999999E-2</v>
      </c>
      <c r="L378">
        <f t="shared" si="60"/>
        <v>17.0349</v>
      </c>
      <c r="M378">
        <f t="shared" si="61"/>
        <v>-0.22094265300000002</v>
      </c>
      <c r="N378" s="9"/>
      <c r="O378" s="22">
        <v>1.75308</v>
      </c>
      <c r="P378" s="22">
        <v>90.343500000000006</v>
      </c>
      <c r="Q378" s="22">
        <v>-7.0312500000000002E-3</v>
      </c>
      <c r="R378" s="22">
        <v>368</v>
      </c>
      <c r="S378" s="22">
        <v>1.7517100000000001</v>
      </c>
      <c r="T378">
        <f t="shared" si="62"/>
        <v>7.03125</v>
      </c>
      <c r="U378">
        <f t="shared" si="63"/>
        <v>12.326343749999999</v>
      </c>
      <c r="X378" s="9"/>
      <c r="Y378" s="22">
        <v>-1.2970000000000001E-2</v>
      </c>
      <c r="Z378" s="22">
        <v>139.88900000000001</v>
      </c>
      <c r="AA378" s="22">
        <v>-1.7718500000000002E-2</v>
      </c>
      <c r="AB378" s="22">
        <v>368</v>
      </c>
      <c r="AC378" s="22">
        <v>-1.2893699999999999E-2</v>
      </c>
      <c r="AD378">
        <f t="shared" si="64"/>
        <v>17.718500000000002</v>
      </c>
      <c r="AE378">
        <f t="shared" si="65"/>
        <v>-0.22980894500000004</v>
      </c>
      <c r="AF378" s="9"/>
      <c r="AG378" s="22">
        <v>1.75308</v>
      </c>
      <c r="AH378" s="22">
        <v>189.50299999999999</v>
      </c>
      <c r="AI378" s="22">
        <v>-4.5703100000000002E-3</v>
      </c>
      <c r="AJ378" s="22">
        <v>368</v>
      </c>
      <c r="AK378" s="22">
        <v>1.7526200000000001</v>
      </c>
      <c r="AL378">
        <f t="shared" si="66"/>
        <v>4.5703100000000001</v>
      </c>
      <c r="AM378">
        <f t="shared" si="67"/>
        <v>8.0121190547999994</v>
      </c>
      <c r="AP378" s="9"/>
      <c r="AQ378" s="22">
        <v>-1.2970000000000001E-2</v>
      </c>
      <c r="AR378" s="22">
        <v>239.12700000000001</v>
      </c>
      <c r="AS378" s="22">
        <v>-2.3538199999999999E-4</v>
      </c>
      <c r="AT378" s="22">
        <v>368</v>
      </c>
      <c r="AU378" s="22">
        <v>-1.2899799999999999E-2</v>
      </c>
      <c r="AV378">
        <f t="shared" si="68"/>
        <v>0.23538199999999998</v>
      </c>
      <c r="AW378">
        <f t="shared" si="69"/>
        <v>-3.05290454E-3</v>
      </c>
      <c r="AX378" s="9"/>
      <c r="AY378" s="22">
        <v>1.75308</v>
      </c>
      <c r="AZ378" s="22">
        <v>255.18700000000001</v>
      </c>
      <c r="BA378" s="22">
        <v>-6.9000199999999998E-3</v>
      </c>
      <c r="BB378" s="22">
        <v>368</v>
      </c>
      <c r="BC378" s="22">
        <v>1.7523200000000001</v>
      </c>
      <c r="BD378">
        <f t="shared" si="70"/>
        <v>6.9000199999999996</v>
      </c>
      <c r="BE378">
        <f t="shared" si="71"/>
        <v>12.096287061599998</v>
      </c>
    </row>
    <row r="379" spans="6:57">
      <c r="F379" s="9"/>
      <c r="G379" s="22">
        <v>-1.8005400000000001E-2</v>
      </c>
      <c r="H379" s="22">
        <v>40.915100000000002</v>
      </c>
      <c r="I379" s="22">
        <v>-1.7038000000000001E-2</v>
      </c>
      <c r="J379" s="22">
        <v>369</v>
      </c>
      <c r="K379" s="22">
        <v>-1.8429600000000001E-2</v>
      </c>
      <c r="L379">
        <f t="shared" si="60"/>
        <v>17.038</v>
      </c>
      <c r="M379">
        <f t="shared" si="61"/>
        <v>-0.30677600520000003</v>
      </c>
      <c r="N379" s="9"/>
      <c r="O379" s="22">
        <v>1.7581199999999999</v>
      </c>
      <c r="P379" s="22">
        <v>90.353499999999997</v>
      </c>
      <c r="Q379" s="22">
        <v>-6.3690200000000004E-3</v>
      </c>
      <c r="R379" s="22">
        <v>369</v>
      </c>
      <c r="S379" s="22">
        <v>1.7575099999999999</v>
      </c>
      <c r="T379">
        <f t="shared" si="62"/>
        <v>6.3690200000000008</v>
      </c>
      <c r="U379">
        <f t="shared" si="63"/>
        <v>11.1975014424</v>
      </c>
      <c r="X379" s="9"/>
      <c r="Y379" s="22">
        <v>-1.8005400000000001E-2</v>
      </c>
      <c r="Z379" s="22">
        <v>139.899</v>
      </c>
      <c r="AA379" s="22">
        <v>-1.7721600000000001E-2</v>
      </c>
      <c r="AB379" s="22">
        <v>369</v>
      </c>
      <c r="AC379" s="22">
        <v>-1.79565E-2</v>
      </c>
      <c r="AD379">
        <f t="shared" si="64"/>
        <v>17.721600000000002</v>
      </c>
      <c r="AE379">
        <f t="shared" si="65"/>
        <v>-0.31908449664000005</v>
      </c>
      <c r="AF379" s="9"/>
      <c r="AG379" s="22">
        <v>1.7581199999999999</v>
      </c>
      <c r="AH379" s="22">
        <v>189.51300000000001</v>
      </c>
      <c r="AI379" s="22">
        <v>-3.70148E-3</v>
      </c>
      <c r="AJ379" s="22">
        <v>369</v>
      </c>
      <c r="AK379" s="22">
        <v>1.7572000000000001</v>
      </c>
      <c r="AL379">
        <f t="shared" si="66"/>
        <v>3.7014800000000001</v>
      </c>
      <c r="AM379">
        <f t="shared" si="67"/>
        <v>6.5076460175999999</v>
      </c>
      <c r="AP379" s="9"/>
      <c r="AQ379" s="22">
        <v>-1.8005400000000001E-2</v>
      </c>
      <c r="AR379" s="22">
        <v>239.137</v>
      </c>
      <c r="AS379" s="25">
        <v>-2.3559600000000001E-5</v>
      </c>
      <c r="AT379" s="22">
        <v>369</v>
      </c>
      <c r="AU379" s="22">
        <v>-1.7913800000000001E-2</v>
      </c>
      <c r="AV379">
        <f t="shared" si="68"/>
        <v>2.35596E-2</v>
      </c>
      <c r="AW379">
        <f t="shared" si="69"/>
        <v>-4.2420002184000003E-4</v>
      </c>
      <c r="AX379" s="9"/>
      <c r="AY379" s="22">
        <v>1.7581199999999999</v>
      </c>
      <c r="AZ379" s="22">
        <v>255.197</v>
      </c>
      <c r="BA379" s="22">
        <v>-6.7871099999999998E-3</v>
      </c>
      <c r="BB379" s="22">
        <v>369</v>
      </c>
      <c r="BC379" s="22">
        <v>1.7568999999999999</v>
      </c>
      <c r="BD379">
        <f t="shared" si="70"/>
        <v>6.7871100000000002</v>
      </c>
      <c r="BE379">
        <f t="shared" si="71"/>
        <v>11.9325538332</v>
      </c>
    </row>
    <row r="380" spans="6:57">
      <c r="F380" s="9"/>
      <c r="G380" s="22">
        <v>-2.30408E-2</v>
      </c>
      <c r="H380" s="22">
        <v>40.925199999999997</v>
      </c>
      <c r="I380" s="22">
        <v>-1.7041000000000001E-2</v>
      </c>
      <c r="J380" s="22">
        <v>370</v>
      </c>
      <c r="K380" s="22">
        <v>-2.33948E-2</v>
      </c>
      <c r="L380">
        <f t="shared" si="60"/>
        <v>17.041</v>
      </c>
      <c r="M380">
        <f t="shared" si="61"/>
        <v>-0.39263827280000002</v>
      </c>
      <c r="N380" s="9"/>
      <c r="O380" s="22">
        <v>1.76315</v>
      </c>
      <c r="P380" s="22">
        <v>90.363600000000005</v>
      </c>
      <c r="Q380" s="22">
        <v>-5.6426999999999996E-3</v>
      </c>
      <c r="R380" s="22">
        <v>370</v>
      </c>
      <c r="S380" s="22">
        <v>1.7623899999999999</v>
      </c>
      <c r="T380">
        <f t="shared" si="62"/>
        <v>5.6426999999999996</v>
      </c>
      <c r="U380">
        <f t="shared" si="63"/>
        <v>9.9489265049999993</v>
      </c>
      <c r="X380" s="9"/>
      <c r="Y380" s="22">
        <v>-2.30408E-2</v>
      </c>
      <c r="Z380" s="22">
        <v>139.90899999999999</v>
      </c>
      <c r="AA380" s="22">
        <v>-1.7721600000000001E-2</v>
      </c>
      <c r="AB380" s="22">
        <v>370</v>
      </c>
      <c r="AC380" s="22">
        <v>-2.38617E-2</v>
      </c>
      <c r="AD380">
        <f t="shared" si="64"/>
        <v>17.721600000000002</v>
      </c>
      <c r="AE380">
        <f t="shared" si="65"/>
        <v>-0.40831984128000004</v>
      </c>
      <c r="AF380" s="9"/>
      <c r="AG380" s="22">
        <v>1.76315</v>
      </c>
      <c r="AH380" s="22">
        <v>189.524</v>
      </c>
      <c r="AI380" s="22">
        <v>-2.7246100000000001E-3</v>
      </c>
      <c r="AJ380" s="22">
        <v>370</v>
      </c>
      <c r="AK380" s="22">
        <v>1.7623899999999999</v>
      </c>
      <c r="AL380">
        <f t="shared" si="66"/>
        <v>2.7246100000000002</v>
      </c>
      <c r="AM380">
        <f t="shared" si="67"/>
        <v>4.8038961215000002</v>
      </c>
      <c r="AP380" s="9"/>
      <c r="AQ380" s="22">
        <v>-2.30408E-2</v>
      </c>
      <c r="AR380" s="22">
        <v>239.14699999999999</v>
      </c>
      <c r="AS380" s="25">
        <v>-3.3569299999999997E-5</v>
      </c>
      <c r="AT380" s="22">
        <v>370</v>
      </c>
      <c r="AU380" s="22">
        <v>-2.2888200000000001E-2</v>
      </c>
      <c r="AV380">
        <f t="shared" si="68"/>
        <v>3.3569299999999996E-2</v>
      </c>
      <c r="AW380">
        <f t="shared" si="69"/>
        <v>-7.7346352743999994E-4</v>
      </c>
      <c r="AX380" s="9"/>
      <c r="AY380" s="22">
        <v>1.76315</v>
      </c>
      <c r="AZ380" s="22">
        <v>255.20699999999999</v>
      </c>
      <c r="BA380" s="22">
        <v>-6.5704300000000004E-3</v>
      </c>
      <c r="BB380" s="22">
        <v>370</v>
      </c>
      <c r="BC380" s="22">
        <v>1.7623899999999999</v>
      </c>
      <c r="BD380">
        <f t="shared" si="70"/>
        <v>6.57043</v>
      </c>
      <c r="BE380">
        <f t="shared" si="71"/>
        <v>11.5846536545</v>
      </c>
    </row>
    <row r="381" spans="6:57">
      <c r="F381" s="9"/>
      <c r="G381" s="22">
        <v>-2.8076199999999999E-2</v>
      </c>
      <c r="H381" s="22">
        <v>40.935299999999998</v>
      </c>
      <c r="I381" s="22">
        <v>-1.70441E-2</v>
      </c>
      <c r="J381" s="22">
        <v>371</v>
      </c>
      <c r="K381" s="22">
        <v>-2.8476000000000001E-2</v>
      </c>
      <c r="L381">
        <f t="shared" si="60"/>
        <v>17.0441</v>
      </c>
      <c r="M381">
        <f t="shared" si="61"/>
        <v>-0.47853356042</v>
      </c>
      <c r="N381" s="9"/>
      <c r="O381" s="22">
        <v>1.7681899999999999</v>
      </c>
      <c r="P381" s="22">
        <v>90.373699999999999</v>
      </c>
      <c r="Q381" s="22">
        <v>-4.8428300000000002E-3</v>
      </c>
      <c r="R381" s="22">
        <v>371</v>
      </c>
      <c r="S381" s="22">
        <v>1.7666599999999999</v>
      </c>
      <c r="T381">
        <f t="shared" si="62"/>
        <v>4.8428300000000002</v>
      </c>
      <c r="U381">
        <f t="shared" si="63"/>
        <v>8.5630435777000002</v>
      </c>
      <c r="X381" s="9"/>
      <c r="Y381" s="22">
        <v>-2.8076199999999999E-2</v>
      </c>
      <c r="Z381" s="22">
        <v>139.91900000000001</v>
      </c>
      <c r="AA381" s="22">
        <v>-1.77246E-2</v>
      </c>
      <c r="AB381" s="22">
        <v>371</v>
      </c>
      <c r="AC381" s="22">
        <v>-2.7911399999999999E-2</v>
      </c>
      <c r="AD381">
        <f t="shared" si="64"/>
        <v>17.724599999999999</v>
      </c>
      <c r="AE381">
        <f t="shared" si="65"/>
        <v>-0.49763941451999993</v>
      </c>
      <c r="AF381" s="9"/>
      <c r="AG381" s="22">
        <v>1.7681899999999999</v>
      </c>
      <c r="AH381" s="22">
        <v>189.53399999999999</v>
      </c>
      <c r="AI381" s="22">
        <v>-1.64948E-3</v>
      </c>
      <c r="AJ381" s="22">
        <v>371</v>
      </c>
      <c r="AK381" s="22">
        <v>1.7672699999999999</v>
      </c>
      <c r="AL381">
        <f t="shared" si="66"/>
        <v>1.6494800000000001</v>
      </c>
      <c r="AM381">
        <f t="shared" si="67"/>
        <v>2.9165940411999998</v>
      </c>
      <c r="AP381" s="9"/>
      <c r="AQ381" s="22">
        <v>-2.8076199999999999E-2</v>
      </c>
      <c r="AR381" s="22">
        <v>239.15700000000001</v>
      </c>
      <c r="AS381" s="25">
        <v>-3.01819E-5</v>
      </c>
      <c r="AT381" s="22">
        <v>371</v>
      </c>
      <c r="AU381" s="22">
        <v>-2.78564E-2</v>
      </c>
      <c r="AV381">
        <f t="shared" si="68"/>
        <v>3.0181900000000001E-2</v>
      </c>
      <c r="AW381">
        <f t="shared" si="69"/>
        <v>-8.4739306077999995E-4</v>
      </c>
      <c r="AX381" s="9"/>
      <c r="AY381" s="22">
        <v>1.7681899999999999</v>
      </c>
      <c r="AZ381" s="22">
        <v>255.21700000000001</v>
      </c>
      <c r="BA381" s="22">
        <v>-4.8754899999999997E-3</v>
      </c>
      <c r="BB381" s="22">
        <v>371</v>
      </c>
      <c r="BC381" s="22">
        <v>1.7660499999999999</v>
      </c>
      <c r="BD381">
        <f t="shared" si="70"/>
        <v>4.8754900000000001</v>
      </c>
      <c r="BE381">
        <f t="shared" si="71"/>
        <v>8.6207926630999996</v>
      </c>
    </row>
    <row r="382" spans="6:57">
      <c r="F382" s="9"/>
      <c r="G382" s="22">
        <v>-3.3111599999999998E-2</v>
      </c>
      <c r="H382" s="22">
        <v>40.945300000000003</v>
      </c>
      <c r="I382" s="22">
        <v>-1.7047099999999999E-2</v>
      </c>
      <c r="J382" s="22">
        <v>372</v>
      </c>
      <c r="K382" s="22">
        <v>-3.3563200000000001E-2</v>
      </c>
      <c r="L382">
        <f t="shared" si="60"/>
        <v>17.0471</v>
      </c>
      <c r="M382">
        <f t="shared" si="61"/>
        <v>-0.56445675635999992</v>
      </c>
      <c r="N382" s="9"/>
      <c r="O382" s="22">
        <v>1.77322</v>
      </c>
      <c r="P382" s="22">
        <v>90.383799999999994</v>
      </c>
      <c r="Q382" s="22">
        <v>-3.9468400000000001E-3</v>
      </c>
      <c r="R382" s="22">
        <v>372</v>
      </c>
      <c r="S382" s="22">
        <v>1.7724599999999999</v>
      </c>
      <c r="T382">
        <f t="shared" si="62"/>
        <v>3.9468399999999999</v>
      </c>
      <c r="U382">
        <f t="shared" si="63"/>
        <v>6.9986156248000002</v>
      </c>
      <c r="X382" s="9"/>
      <c r="Y382" s="22">
        <v>-3.3111599999999998E-2</v>
      </c>
      <c r="Z382" s="22">
        <v>139.929</v>
      </c>
      <c r="AA382" s="22">
        <v>-1.77246E-2</v>
      </c>
      <c r="AB382" s="22">
        <v>372</v>
      </c>
      <c r="AC382" s="22">
        <v>-3.3343499999999998E-2</v>
      </c>
      <c r="AD382">
        <f t="shared" si="64"/>
        <v>17.724599999999999</v>
      </c>
      <c r="AE382">
        <f t="shared" si="65"/>
        <v>-0.58688986535999987</v>
      </c>
      <c r="AF382" s="9"/>
      <c r="AG382" s="22">
        <v>1.77322</v>
      </c>
      <c r="AH382" s="22">
        <v>189.54400000000001</v>
      </c>
      <c r="AI382" s="22">
        <v>-4.4259600000000002E-4</v>
      </c>
      <c r="AJ382" s="22">
        <v>372</v>
      </c>
      <c r="AK382" s="22">
        <v>1.7724599999999999</v>
      </c>
      <c r="AL382">
        <f t="shared" si="66"/>
        <v>0.44259599999999999</v>
      </c>
      <c r="AM382">
        <f t="shared" si="67"/>
        <v>0.78482007911999996</v>
      </c>
      <c r="AP382" s="9"/>
      <c r="AQ382" s="22">
        <v>-3.3111599999999998E-2</v>
      </c>
      <c r="AR382" s="22">
        <v>239.167</v>
      </c>
      <c r="AS382" s="25">
        <v>-4.4097899999999997E-5</v>
      </c>
      <c r="AT382" s="22">
        <v>372</v>
      </c>
      <c r="AU382" s="22">
        <v>-3.2791099999999997E-2</v>
      </c>
      <c r="AV382">
        <f t="shared" si="68"/>
        <v>4.4097899999999995E-2</v>
      </c>
      <c r="AW382">
        <f t="shared" si="69"/>
        <v>-1.4601520256399998E-3</v>
      </c>
      <c r="AX382" s="9"/>
      <c r="AY382" s="22">
        <v>1.77322</v>
      </c>
      <c r="AZ382" s="22">
        <v>255.227</v>
      </c>
      <c r="BA382" s="22">
        <v>-2.3644999999999998E-3</v>
      </c>
      <c r="BB382" s="22">
        <v>372</v>
      </c>
      <c r="BC382" s="22">
        <v>1.7697099999999999</v>
      </c>
      <c r="BD382">
        <f t="shared" si="70"/>
        <v>2.3645</v>
      </c>
      <c r="BE382">
        <f t="shared" si="71"/>
        <v>4.1927786899999999</v>
      </c>
    </row>
    <row r="383" spans="6:57">
      <c r="F383" s="9"/>
      <c r="G383" s="22">
        <v>-3.8147E-2</v>
      </c>
      <c r="H383" s="22">
        <v>40.955399999999997</v>
      </c>
      <c r="I383" s="22">
        <v>-1.7053200000000001E-2</v>
      </c>
      <c r="J383" s="22">
        <v>373</v>
      </c>
      <c r="K383" s="22">
        <v>-3.8629200000000002E-2</v>
      </c>
      <c r="L383">
        <f t="shared" si="60"/>
        <v>17.0532</v>
      </c>
      <c r="M383">
        <f t="shared" si="61"/>
        <v>-0.65052842040000003</v>
      </c>
      <c r="N383" s="9"/>
      <c r="O383" s="22">
        <v>1.77826</v>
      </c>
      <c r="P383" s="22">
        <v>90.393799999999999</v>
      </c>
      <c r="Q383" s="22">
        <v>-2.9101600000000002E-3</v>
      </c>
      <c r="R383" s="22">
        <v>373</v>
      </c>
      <c r="S383" s="22">
        <v>1.7773399999999999</v>
      </c>
      <c r="T383">
        <f t="shared" si="62"/>
        <v>2.9101600000000003</v>
      </c>
      <c r="U383">
        <f t="shared" si="63"/>
        <v>5.1750211216000004</v>
      </c>
      <c r="X383" s="9"/>
      <c r="Y383" s="22">
        <v>-3.8147E-2</v>
      </c>
      <c r="Z383" s="22">
        <v>139.93899999999999</v>
      </c>
      <c r="AA383" s="22">
        <v>-1.76422E-2</v>
      </c>
      <c r="AB383" s="22">
        <v>373</v>
      </c>
      <c r="AC383" s="22">
        <v>-3.8815299999999997E-2</v>
      </c>
      <c r="AD383">
        <f t="shared" si="64"/>
        <v>17.642199999999999</v>
      </c>
      <c r="AE383">
        <f t="shared" si="65"/>
        <v>-0.67299700340000002</v>
      </c>
      <c r="AF383" s="9"/>
      <c r="AG383" s="22">
        <v>1.77826</v>
      </c>
      <c r="AH383" s="22">
        <v>189.554</v>
      </c>
      <c r="AI383" s="22">
        <v>1.01227E-3</v>
      </c>
      <c r="AJ383" s="22">
        <v>373</v>
      </c>
      <c r="AK383" s="22">
        <v>1.77643</v>
      </c>
      <c r="AL383">
        <f t="shared" si="66"/>
        <v>-1.01227</v>
      </c>
      <c r="AM383">
        <f t="shared" si="67"/>
        <v>-1.8000792502</v>
      </c>
      <c r="AP383" s="9"/>
      <c r="AQ383" s="22">
        <v>-3.8147E-2</v>
      </c>
      <c r="AR383" s="22">
        <v>239.17699999999999</v>
      </c>
      <c r="AS383" s="25">
        <v>-4.3823199999999997E-5</v>
      </c>
      <c r="AT383" s="22">
        <v>373</v>
      </c>
      <c r="AU383" s="22">
        <v>-3.76984E-2</v>
      </c>
      <c r="AV383">
        <f t="shared" si="68"/>
        <v>4.38232E-2</v>
      </c>
      <c r="AW383">
        <f t="shared" si="69"/>
        <v>-1.6717236104E-3</v>
      </c>
      <c r="AX383" s="9"/>
      <c r="AY383" s="22">
        <v>1.77826</v>
      </c>
      <c r="AZ383" s="22">
        <v>255.23699999999999</v>
      </c>
      <c r="BA383" s="22">
        <v>-1.8347200000000001E-4</v>
      </c>
      <c r="BB383" s="22">
        <v>373</v>
      </c>
      <c r="BC383" s="22">
        <v>1.7730699999999999</v>
      </c>
      <c r="BD383">
        <f t="shared" si="70"/>
        <v>0.183472</v>
      </c>
      <c r="BE383">
        <f t="shared" si="71"/>
        <v>0.32626091871999996</v>
      </c>
    </row>
    <row r="384" spans="6:57">
      <c r="F384" s="9"/>
      <c r="G384" s="22">
        <v>-4.3182400000000003E-2</v>
      </c>
      <c r="H384" s="22">
        <v>40.965499999999999</v>
      </c>
      <c r="I384" s="22">
        <v>-1.70563E-2</v>
      </c>
      <c r="J384" s="22">
        <v>374</v>
      </c>
      <c r="K384" s="22">
        <v>-4.3649300000000002E-2</v>
      </c>
      <c r="L384">
        <f t="shared" si="60"/>
        <v>17.0563</v>
      </c>
      <c r="M384">
        <f t="shared" si="61"/>
        <v>-0.73653196912000007</v>
      </c>
      <c r="N384" s="9"/>
      <c r="O384" s="22">
        <v>1.78329</v>
      </c>
      <c r="P384" s="22">
        <v>90.403899999999993</v>
      </c>
      <c r="Q384" s="22">
        <v>-1.7208900000000001E-3</v>
      </c>
      <c r="R384" s="22">
        <v>374</v>
      </c>
      <c r="S384" s="22">
        <v>1.78223</v>
      </c>
      <c r="T384">
        <f t="shared" si="62"/>
        <v>1.72089</v>
      </c>
      <c r="U384">
        <f t="shared" si="63"/>
        <v>3.0688459281</v>
      </c>
      <c r="X384" s="9"/>
      <c r="Y384" s="22">
        <v>-4.3182400000000003E-2</v>
      </c>
      <c r="Z384" s="22">
        <v>139.94900000000001</v>
      </c>
      <c r="AA384" s="22">
        <v>-1.76422E-2</v>
      </c>
      <c r="AB384" s="22">
        <v>374</v>
      </c>
      <c r="AC384" s="22">
        <v>-4.3786600000000002E-2</v>
      </c>
      <c r="AD384">
        <f t="shared" si="64"/>
        <v>17.642199999999999</v>
      </c>
      <c r="AE384">
        <f t="shared" si="65"/>
        <v>-0.76183253728</v>
      </c>
      <c r="AF384" s="9"/>
      <c r="AG384" s="22">
        <v>1.78329</v>
      </c>
      <c r="AH384" s="22">
        <v>189.56399999999999</v>
      </c>
      <c r="AI384" s="22">
        <v>2.8457600000000001E-3</v>
      </c>
      <c r="AJ384" s="22">
        <v>374</v>
      </c>
      <c r="AK384" s="22">
        <v>1.78223</v>
      </c>
      <c r="AL384">
        <f t="shared" si="66"/>
        <v>-2.8457600000000003</v>
      </c>
      <c r="AM384">
        <f t="shared" si="67"/>
        <v>-5.0748153504000006</v>
      </c>
      <c r="AP384" s="9"/>
      <c r="AQ384" s="22">
        <v>-4.3182400000000003E-2</v>
      </c>
      <c r="AR384" s="22">
        <v>239.18700000000001</v>
      </c>
      <c r="AS384" s="25">
        <v>-4.5989999999999998E-5</v>
      </c>
      <c r="AT384" s="22">
        <v>374</v>
      </c>
      <c r="AU384" s="22">
        <v>-4.2645299999999997E-2</v>
      </c>
      <c r="AV384">
        <f t="shared" si="68"/>
        <v>4.5989999999999996E-2</v>
      </c>
      <c r="AW384">
        <f t="shared" si="69"/>
        <v>-1.9859585759999998E-3</v>
      </c>
      <c r="AX384" s="9"/>
      <c r="AY384" s="22">
        <v>1.78329</v>
      </c>
      <c r="AZ384" s="22">
        <v>255.24700000000001</v>
      </c>
      <c r="BA384" s="22">
        <v>5.7556200000000004E-3</v>
      </c>
      <c r="BB384" s="22">
        <v>374</v>
      </c>
      <c r="BC384" s="22">
        <v>1.77826</v>
      </c>
      <c r="BD384">
        <f t="shared" si="70"/>
        <v>-5.7556200000000004</v>
      </c>
      <c r="BE384">
        <f t="shared" si="71"/>
        <v>-10.263939589800001</v>
      </c>
    </row>
    <row r="385" spans="6:57">
      <c r="F385" s="9"/>
      <c r="G385" s="22">
        <v>-4.8217799999999998E-2</v>
      </c>
      <c r="H385" s="22">
        <v>40.975499999999997</v>
      </c>
      <c r="I385" s="22">
        <v>-1.7062399999999998E-2</v>
      </c>
      <c r="J385" s="22">
        <v>375</v>
      </c>
      <c r="K385" s="22">
        <v>-4.8703000000000003E-2</v>
      </c>
      <c r="L385">
        <f t="shared" si="60"/>
        <v>17.062399999999997</v>
      </c>
      <c r="M385">
        <f t="shared" si="61"/>
        <v>-0.82271139071999977</v>
      </c>
      <c r="N385" s="9"/>
      <c r="O385" s="22">
        <v>1.78833</v>
      </c>
      <c r="P385" s="22">
        <v>90.414000000000001</v>
      </c>
      <c r="Q385" s="22">
        <v>-3.0432099999999998E-4</v>
      </c>
      <c r="R385" s="22">
        <v>375</v>
      </c>
      <c r="S385" s="22">
        <v>1.78772</v>
      </c>
      <c r="T385">
        <f t="shared" si="62"/>
        <v>0.30432099999999995</v>
      </c>
      <c r="U385">
        <f t="shared" si="63"/>
        <v>0.54422637392999995</v>
      </c>
      <c r="X385" s="9"/>
      <c r="Y385" s="22">
        <v>-4.8217799999999998E-2</v>
      </c>
      <c r="Z385" s="22">
        <v>139.959</v>
      </c>
      <c r="AA385" s="22">
        <v>-1.7648299999999999E-2</v>
      </c>
      <c r="AB385" s="22">
        <v>375</v>
      </c>
      <c r="AC385" s="22">
        <v>-4.8904400000000001E-2</v>
      </c>
      <c r="AD385">
        <f t="shared" si="64"/>
        <v>17.648299999999999</v>
      </c>
      <c r="AE385">
        <f t="shared" si="65"/>
        <v>-0.85096219973999987</v>
      </c>
      <c r="AF385" s="9"/>
      <c r="AG385" s="22">
        <v>1.78833</v>
      </c>
      <c r="AH385" s="22">
        <v>189.57400000000001</v>
      </c>
      <c r="AI385" s="22">
        <v>5.0323499999999997E-3</v>
      </c>
      <c r="AJ385" s="22">
        <v>375</v>
      </c>
      <c r="AK385" s="22">
        <v>1.7874099999999999</v>
      </c>
      <c r="AL385">
        <f t="shared" si="66"/>
        <v>-5.0323500000000001</v>
      </c>
      <c r="AM385">
        <f t="shared" si="67"/>
        <v>-8.9995024754999999</v>
      </c>
      <c r="AP385" s="9"/>
      <c r="AQ385" s="22">
        <v>-4.8217799999999998E-2</v>
      </c>
      <c r="AR385" s="22">
        <v>239.197</v>
      </c>
      <c r="AS385" s="25">
        <v>-3.3813499999999997E-5</v>
      </c>
      <c r="AT385" s="22">
        <v>375</v>
      </c>
      <c r="AU385" s="22">
        <v>-4.7470100000000001E-2</v>
      </c>
      <c r="AV385">
        <f t="shared" si="68"/>
        <v>3.3813499999999996E-2</v>
      </c>
      <c r="AW385">
        <f t="shared" si="69"/>
        <v>-1.6304125802999998E-3</v>
      </c>
      <c r="AX385" s="9"/>
      <c r="AY385" s="22">
        <v>1.78833</v>
      </c>
      <c r="AZ385" s="22">
        <v>255.25700000000001</v>
      </c>
      <c r="BA385" s="22">
        <v>2.4453700000000001E-3</v>
      </c>
      <c r="BB385" s="22">
        <v>375</v>
      </c>
      <c r="BC385" s="22">
        <v>1.77765</v>
      </c>
      <c r="BD385">
        <f t="shared" si="70"/>
        <v>-2.44537</v>
      </c>
      <c r="BE385">
        <f t="shared" si="71"/>
        <v>-4.3731285321</v>
      </c>
    </row>
    <row r="386" spans="6:57">
      <c r="F386" s="9"/>
      <c r="G386" s="22">
        <v>-5.3253200000000001E-2</v>
      </c>
      <c r="H386" s="22">
        <v>40.985599999999998</v>
      </c>
      <c r="I386" s="22">
        <v>-1.7065400000000001E-2</v>
      </c>
      <c r="J386" s="22">
        <v>376</v>
      </c>
      <c r="K386" s="22">
        <v>-5.3893999999999997E-2</v>
      </c>
      <c r="L386">
        <f t="shared" si="60"/>
        <v>17.0654</v>
      </c>
      <c r="M386">
        <f t="shared" si="61"/>
        <v>-0.90878715927999998</v>
      </c>
      <c r="N386" s="9"/>
      <c r="O386" s="22">
        <v>1.7933699999999999</v>
      </c>
      <c r="P386" s="22">
        <v>90.424000000000007</v>
      </c>
      <c r="Q386" s="22">
        <v>1.5069599999999999E-3</v>
      </c>
      <c r="R386" s="22">
        <v>376</v>
      </c>
      <c r="S386" s="22">
        <v>1.79291</v>
      </c>
      <c r="T386">
        <f t="shared" si="62"/>
        <v>-1.5069599999999999</v>
      </c>
      <c r="U386">
        <f t="shared" si="63"/>
        <v>-2.7025368551999995</v>
      </c>
      <c r="X386" s="9"/>
      <c r="Y386" s="22">
        <v>-5.3253200000000001E-2</v>
      </c>
      <c r="Z386" s="22">
        <v>139.96899999999999</v>
      </c>
      <c r="AA386" s="22">
        <v>-1.7645299999999999E-2</v>
      </c>
      <c r="AB386" s="22">
        <v>376</v>
      </c>
      <c r="AC386" s="22">
        <v>-5.36499E-2</v>
      </c>
      <c r="AD386">
        <f t="shared" si="64"/>
        <v>17.645299999999999</v>
      </c>
      <c r="AE386">
        <f t="shared" si="65"/>
        <v>-0.93966868995999997</v>
      </c>
      <c r="AF386" s="9"/>
      <c r="AG386" s="22">
        <v>1.7933699999999999</v>
      </c>
      <c r="AH386" s="22">
        <v>189.584</v>
      </c>
      <c r="AI386" s="22">
        <v>7.6599099999999998E-3</v>
      </c>
      <c r="AJ386" s="22">
        <v>376</v>
      </c>
      <c r="AK386" s="22">
        <v>1.7923</v>
      </c>
      <c r="AL386">
        <f t="shared" si="66"/>
        <v>-7.65991</v>
      </c>
      <c r="AM386">
        <f t="shared" si="67"/>
        <v>-13.737052796699999</v>
      </c>
      <c r="AP386" s="9"/>
      <c r="AQ386" s="22">
        <v>-5.3253200000000001E-2</v>
      </c>
      <c r="AR386" s="22">
        <v>239.20699999999999</v>
      </c>
      <c r="AS386" s="25">
        <v>-3.1341599999999998E-5</v>
      </c>
      <c r="AT386" s="22">
        <v>376</v>
      </c>
      <c r="AU386" s="22">
        <v>-5.2185099999999998E-2</v>
      </c>
      <c r="AV386">
        <f t="shared" si="68"/>
        <v>3.1341599999999997E-2</v>
      </c>
      <c r="AW386">
        <f t="shared" si="69"/>
        <v>-1.6690404931199998E-3</v>
      </c>
      <c r="AX386" s="9"/>
      <c r="AY386" s="22">
        <v>1.7933699999999999</v>
      </c>
      <c r="AZ386" s="22">
        <v>255.267</v>
      </c>
      <c r="BA386" s="25">
        <v>3.4484899999999999E-5</v>
      </c>
      <c r="BB386" s="22">
        <v>376</v>
      </c>
      <c r="BC386" s="22">
        <v>8.1054699999999993E-2</v>
      </c>
      <c r="BD386">
        <f t="shared" si="70"/>
        <v>-3.4484899999999999E-2</v>
      </c>
      <c r="BE386">
        <f t="shared" si="71"/>
        <v>-6.1844185112999994E-2</v>
      </c>
    </row>
    <row r="387" spans="6:57">
      <c r="F387" s="9"/>
      <c r="G387" s="22">
        <v>-5.8288600000000003E-2</v>
      </c>
      <c r="H387" s="22">
        <v>40.995699999999999</v>
      </c>
      <c r="I387" s="22">
        <v>-1.70715E-2</v>
      </c>
      <c r="J387" s="22">
        <v>377</v>
      </c>
      <c r="K387" s="22">
        <v>-5.8898899999999997E-2</v>
      </c>
      <c r="L387">
        <f t="shared" si="60"/>
        <v>17.0715</v>
      </c>
      <c r="M387">
        <f t="shared" si="61"/>
        <v>-0.99507383490000012</v>
      </c>
      <c r="N387" s="9"/>
      <c r="O387" s="22">
        <v>1.7984</v>
      </c>
      <c r="P387" s="22">
        <v>90.434100000000001</v>
      </c>
      <c r="Q387" s="22">
        <v>3.5668900000000001E-3</v>
      </c>
      <c r="R387" s="22">
        <v>377</v>
      </c>
      <c r="S387" s="22">
        <v>1.79718</v>
      </c>
      <c r="T387">
        <f t="shared" si="62"/>
        <v>-3.5668899999999999</v>
      </c>
      <c r="U387">
        <f t="shared" si="63"/>
        <v>-6.4146949759999998</v>
      </c>
      <c r="X387" s="9"/>
      <c r="Y387" s="22">
        <v>-5.8288600000000003E-2</v>
      </c>
      <c r="Z387" s="22">
        <v>139.97999999999999</v>
      </c>
      <c r="AA387" s="22">
        <v>-1.7633099999999999E-2</v>
      </c>
      <c r="AB387" s="22">
        <v>377</v>
      </c>
      <c r="AC387" s="22">
        <v>-5.8593800000000001E-2</v>
      </c>
      <c r="AD387">
        <f t="shared" si="64"/>
        <v>17.633099999999999</v>
      </c>
      <c r="AE387">
        <f t="shared" si="65"/>
        <v>-1.02780871266</v>
      </c>
      <c r="AF387" s="9"/>
      <c r="AG387" s="22">
        <v>1.7984</v>
      </c>
      <c r="AH387" s="22">
        <v>189.59399999999999</v>
      </c>
      <c r="AI387" s="22">
        <v>1.07635E-2</v>
      </c>
      <c r="AJ387" s="22">
        <v>377</v>
      </c>
      <c r="AK387" s="22">
        <v>1.79718</v>
      </c>
      <c r="AL387">
        <f t="shared" si="66"/>
        <v>-10.763500000000001</v>
      </c>
      <c r="AM387">
        <f t="shared" si="67"/>
        <v>-19.357078400000002</v>
      </c>
      <c r="AP387" s="9"/>
      <c r="AQ387" s="22">
        <v>-5.8288600000000003E-2</v>
      </c>
      <c r="AR387" s="22">
        <v>239.21700000000001</v>
      </c>
      <c r="AS387" s="22">
        <v>-2.5555400000000001E-4</v>
      </c>
      <c r="AT387" s="22">
        <v>377</v>
      </c>
      <c r="AU387" s="22">
        <v>-5.6701700000000001E-2</v>
      </c>
      <c r="AV387">
        <f t="shared" si="68"/>
        <v>0.255554</v>
      </c>
      <c r="AW387">
        <f t="shared" si="69"/>
        <v>-1.4895884884400001E-2</v>
      </c>
      <c r="AX387" s="9"/>
      <c r="AY387" s="22">
        <v>1.7984</v>
      </c>
      <c r="AZ387" s="22">
        <v>255.27699999999999</v>
      </c>
      <c r="BA387" s="25">
        <v>3.2623300000000003E-5</v>
      </c>
      <c r="BB387" s="22">
        <v>377</v>
      </c>
      <c r="BC387" s="22">
        <v>8.0993700000000002E-2</v>
      </c>
      <c r="BD387">
        <f t="shared" si="70"/>
        <v>-3.2623300000000001E-2</v>
      </c>
      <c r="BE387">
        <f t="shared" si="71"/>
        <v>-5.8669742720000001E-2</v>
      </c>
    </row>
    <row r="388" spans="6:57">
      <c r="F388" s="9"/>
      <c r="G388" s="22">
        <v>-6.3324000000000005E-2</v>
      </c>
      <c r="H388" s="22">
        <v>41.005800000000001</v>
      </c>
      <c r="I388" s="22">
        <v>-1.7074599999999999E-2</v>
      </c>
      <c r="J388" s="22">
        <v>378</v>
      </c>
      <c r="K388" s="22">
        <v>-6.3995399999999994E-2</v>
      </c>
      <c r="L388">
        <f t="shared" si="60"/>
        <v>17.0746</v>
      </c>
      <c r="M388">
        <f t="shared" si="61"/>
        <v>-1.0812319704000002</v>
      </c>
      <c r="N388" s="9"/>
      <c r="O388" s="22">
        <v>1.8034399999999999</v>
      </c>
      <c r="P388" s="22">
        <v>90.444199999999995</v>
      </c>
      <c r="Q388" s="22">
        <v>6.0821499999999997E-3</v>
      </c>
      <c r="R388" s="22">
        <v>378</v>
      </c>
      <c r="S388" s="22">
        <v>1.80237</v>
      </c>
      <c r="T388">
        <f t="shared" si="62"/>
        <v>-6.0821499999999995</v>
      </c>
      <c r="U388">
        <f t="shared" si="63"/>
        <v>-10.968792595999998</v>
      </c>
      <c r="X388" s="9"/>
      <c r="Y388" s="22">
        <v>-6.3324000000000005E-2</v>
      </c>
      <c r="Z388" s="22">
        <v>139.99</v>
      </c>
      <c r="AA388" s="22">
        <v>-1.7633099999999999E-2</v>
      </c>
      <c r="AB388" s="22">
        <v>378</v>
      </c>
      <c r="AC388" s="22">
        <v>-6.4178499999999999E-2</v>
      </c>
      <c r="AD388">
        <f t="shared" si="64"/>
        <v>17.633099999999999</v>
      </c>
      <c r="AE388">
        <f t="shared" si="65"/>
        <v>-1.1165984244</v>
      </c>
      <c r="AF388" s="9"/>
      <c r="AG388" s="22">
        <v>1.8034399999999999</v>
      </c>
      <c r="AH388" s="22">
        <v>189.60400000000001</v>
      </c>
      <c r="AI388" s="22">
        <v>1.4334100000000001E-2</v>
      </c>
      <c r="AJ388" s="22">
        <v>378</v>
      </c>
      <c r="AK388" s="22">
        <v>1.80267</v>
      </c>
      <c r="AL388">
        <f t="shared" si="66"/>
        <v>-14.334100000000001</v>
      </c>
      <c r="AM388">
        <f t="shared" si="67"/>
        <v>-25.850689303999999</v>
      </c>
      <c r="AP388" s="9"/>
      <c r="AQ388" s="22">
        <v>-6.3324000000000005E-2</v>
      </c>
      <c r="AR388" s="22">
        <v>239.227</v>
      </c>
      <c r="AS388" s="25">
        <v>-7.4798599999999999E-5</v>
      </c>
      <c r="AT388" s="22">
        <v>378</v>
      </c>
      <c r="AU388" s="22">
        <v>-5.96924E-2</v>
      </c>
      <c r="AV388">
        <f t="shared" si="68"/>
        <v>7.4798599999999993E-2</v>
      </c>
      <c r="AW388">
        <f t="shared" si="69"/>
        <v>-4.7365465464000002E-3</v>
      </c>
      <c r="AX388" s="9"/>
      <c r="AY388" s="22">
        <v>1.8034399999999999</v>
      </c>
      <c r="AZ388" s="22">
        <v>255.28700000000001</v>
      </c>
      <c r="BA388" s="25">
        <v>2.98157E-5</v>
      </c>
      <c r="BB388" s="22">
        <v>378</v>
      </c>
      <c r="BC388" s="22">
        <v>8.0871600000000002E-2</v>
      </c>
      <c r="BD388">
        <f t="shared" si="70"/>
        <v>-2.9815700000000001E-2</v>
      </c>
      <c r="BE388">
        <f t="shared" si="71"/>
        <v>-5.3770826007999997E-2</v>
      </c>
    </row>
    <row r="389" spans="6:57">
      <c r="F389" s="9"/>
      <c r="G389" s="22">
        <v>-6.8359400000000001E-2</v>
      </c>
      <c r="H389" s="22">
        <v>41.015799999999999</v>
      </c>
      <c r="I389" s="22">
        <v>-1.7074599999999999E-2</v>
      </c>
      <c r="J389" s="22">
        <v>379</v>
      </c>
      <c r="K389" s="22">
        <v>-6.9091799999999995E-2</v>
      </c>
      <c r="L389">
        <f t="shared" si="60"/>
        <v>17.0746</v>
      </c>
      <c r="M389">
        <f t="shared" si="61"/>
        <v>-1.16720941124</v>
      </c>
      <c r="N389" s="9"/>
      <c r="O389" s="22">
        <v>1.80847</v>
      </c>
      <c r="P389" s="22">
        <v>90.454300000000003</v>
      </c>
      <c r="Q389" s="22">
        <v>9.2071500000000008E-3</v>
      </c>
      <c r="R389" s="22">
        <v>379</v>
      </c>
      <c r="S389" s="22">
        <v>1.80725</v>
      </c>
      <c r="T389">
        <f t="shared" si="62"/>
        <v>-9.2071500000000004</v>
      </c>
      <c r="U389">
        <f t="shared" si="63"/>
        <v>-16.650854560500001</v>
      </c>
      <c r="X389" s="9"/>
      <c r="Y389" s="22">
        <v>-6.8359400000000001E-2</v>
      </c>
      <c r="Z389" s="22">
        <v>140</v>
      </c>
      <c r="AA389" s="22">
        <v>-1.7636099999999998E-2</v>
      </c>
      <c r="AB389" s="22">
        <v>379</v>
      </c>
      <c r="AC389" s="22">
        <v>-6.8725599999999998E-2</v>
      </c>
      <c r="AD389">
        <f t="shared" si="64"/>
        <v>17.636099999999999</v>
      </c>
      <c r="AE389">
        <f t="shared" si="65"/>
        <v>-1.2055932143399999</v>
      </c>
      <c r="AF389" s="9"/>
      <c r="AG389" s="22">
        <v>1.80847</v>
      </c>
      <c r="AH389" s="22">
        <v>189.614</v>
      </c>
      <c r="AI389" s="22">
        <v>1.8362400000000001E-2</v>
      </c>
      <c r="AJ389" s="22">
        <v>379</v>
      </c>
      <c r="AK389" s="22">
        <v>1.8069500000000001</v>
      </c>
      <c r="AL389">
        <f t="shared" si="66"/>
        <v>-18.362400000000001</v>
      </c>
      <c r="AM389">
        <f t="shared" si="67"/>
        <v>-33.207849528000004</v>
      </c>
      <c r="AP389" s="9"/>
      <c r="AQ389" s="22">
        <v>-6.8359400000000001E-2</v>
      </c>
      <c r="AR389" s="22">
        <v>239.238</v>
      </c>
      <c r="AS389" s="25">
        <v>-7.1044900000000001E-5</v>
      </c>
      <c r="AT389" s="22">
        <v>379</v>
      </c>
      <c r="AU389" s="22">
        <v>-6.0882600000000002E-2</v>
      </c>
      <c r="AV389">
        <f t="shared" si="68"/>
        <v>7.1044900000000008E-2</v>
      </c>
      <c r="AW389">
        <f t="shared" si="69"/>
        <v>-4.8565867370600002E-3</v>
      </c>
      <c r="AX389" s="9"/>
      <c r="AY389" s="22">
        <v>1.80847</v>
      </c>
      <c r="AZ389" s="22">
        <v>255.297</v>
      </c>
      <c r="BA389" s="25">
        <v>2.9876700000000001E-5</v>
      </c>
      <c r="BB389" s="22">
        <v>379</v>
      </c>
      <c r="BC389" s="22">
        <v>8.0841099999999999E-2</v>
      </c>
      <c r="BD389">
        <f t="shared" si="70"/>
        <v>-2.9876700000000003E-2</v>
      </c>
      <c r="BE389">
        <f t="shared" si="71"/>
        <v>-5.4031115649000004E-2</v>
      </c>
    </row>
    <row r="390" spans="6:57">
      <c r="F390" s="9"/>
      <c r="G390" s="22">
        <v>-7.3394799999999996E-2</v>
      </c>
      <c r="H390" s="22">
        <v>41.0259</v>
      </c>
      <c r="I390" s="22">
        <v>-1.7077599999999998E-2</v>
      </c>
      <c r="J390" s="22">
        <v>380</v>
      </c>
      <c r="K390" s="22">
        <v>-7.3913599999999996E-2</v>
      </c>
      <c r="L390">
        <f t="shared" si="60"/>
        <v>17.077599999999997</v>
      </c>
      <c r="M390">
        <f t="shared" si="61"/>
        <v>-1.2534070364799996</v>
      </c>
      <c r="N390" s="9"/>
      <c r="O390" s="22">
        <v>1.81351</v>
      </c>
      <c r="P390" s="22">
        <v>90.464299999999994</v>
      </c>
      <c r="Q390" s="22">
        <v>1.2588500000000001E-2</v>
      </c>
      <c r="R390" s="22">
        <v>380</v>
      </c>
      <c r="S390" s="22">
        <v>1.8130500000000001</v>
      </c>
      <c r="T390">
        <f t="shared" si="62"/>
        <v>-12.588500000000002</v>
      </c>
      <c r="U390">
        <f t="shared" si="63"/>
        <v>-22.829370635000004</v>
      </c>
      <c r="X390" s="9"/>
      <c r="Y390" s="22">
        <v>-7.3394799999999996E-2</v>
      </c>
      <c r="Z390" s="22">
        <v>140.01</v>
      </c>
      <c r="AA390" s="22">
        <v>-1.7596400000000002E-2</v>
      </c>
      <c r="AB390" s="22">
        <v>380</v>
      </c>
      <c r="AC390" s="22">
        <v>-7.3730500000000004E-2</v>
      </c>
      <c r="AD390">
        <f t="shared" si="64"/>
        <v>17.596400000000003</v>
      </c>
      <c r="AE390">
        <f t="shared" si="65"/>
        <v>-1.2914842587200002</v>
      </c>
      <c r="AF390" s="9"/>
      <c r="AG390" s="22">
        <v>1.81351</v>
      </c>
      <c r="AH390" s="22">
        <v>189.624</v>
      </c>
      <c r="AI390" s="22">
        <v>2.2860700000000001E-2</v>
      </c>
      <c r="AJ390" s="22">
        <v>380</v>
      </c>
      <c r="AK390" s="22">
        <v>1.81213</v>
      </c>
      <c r="AL390">
        <f t="shared" si="66"/>
        <v>-22.860700000000001</v>
      </c>
      <c r="AM390">
        <f t="shared" si="67"/>
        <v>-41.458108057000004</v>
      </c>
      <c r="AP390" s="9"/>
      <c r="AQ390" s="22">
        <v>-7.3394799999999996E-2</v>
      </c>
      <c r="AR390" s="22">
        <v>239.24799999999999</v>
      </c>
      <c r="AS390" s="22">
        <v>-1.15326E-4</v>
      </c>
      <c r="AT390" s="22">
        <v>380</v>
      </c>
      <c r="AU390" s="22">
        <v>-6.1615000000000003E-2</v>
      </c>
      <c r="AV390">
        <f t="shared" si="68"/>
        <v>0.115326</v>
      </c>
      <c r="AW390">
        <f t="shared" si="69"/>
        <v>-8.4643287047999997E-3</v>
      </c>
      <c r="AX390" s="9"/>
      <c r="AY390" s="22">
        <v>1.81351</v>
      </c>
      <c r="AZ390" s="22">
        <v>255.30699999999999</v>
      </c>
      <c r="BA390" s="25">
        <v>3.2073999999999998E-5</v>
      </c>
      <c r="BB390" s="22">
        <v>380</v>
      </c>
      <c r="BC390" s="22">
        <v>8.0749500000000002E-2</v>
      </c>
      <c r="BD390">
        <f t="shared" si="70"/>
        <v>-3.2073999999999998E-2</v>
      </c>
      <c r="BE390">
        <f t="shared" si="71"/>
        <v>-5.8166519739999999E-2</v>
      </c>
    </row>
    <row r="391" spans="6:57">
      <c r="F391" s="9"/>
      <c r="G391" s="22">
        <v>-7.8430200000000005E-2</v>
      </c>
      <c r="H391" s="22">
        <v>41.036000000000001</v>
      </c>
      <c r="I391" s="22">
        <v>-1.7080700000000001E-2</v>
      </c>
      <c r="J391" s="22">
        <v>381</v>
      </c>
      <c r="K391" s="22">
        <v>-7.91626E-2</v>
      </c>
      <c r="L391">
        <f t="shared" si="60"/>
        <v>17.0807</v>
      </c>
      <c r="M391">
        <f t="shared" si="61"/>
        <v>-1.33964271714</v>
      </c>
      <c r="N391" s="9"/>
      <c r="O391" s="22">
        <v>1.81854</v>
      </c>
      <c r="P391" s="22">
        <v>90.474400000000003</v>
      </c>
      <c r="Q391" s="22">
        <v>1.67542E-2</v>
      </c>
      <c r="R391" s="22">
        <v>381</v>
      </c>
      <c r="S391" s="22">
        <v>1.81671</v>
      </c>
      <c r="T391">
        <f t="shared" si="62"/>
        <v>-16.754200000000001</v>
      </c>
      <c r="U391">
        <f t="shared" si="63"/>
        <v>-30.468182868000003</v>
      </c>
      <c r="X391" s="9"/>
      <c r="Y391" s="22">
        <v>-7.8430200000000005E-2</v>
      </c>
      <c r="Z391" s="22">
        <v>140.02000000000001</v>
      </c>
      <c r="AA391" s="22">
        <v>-1.7593399999999999E-2</v>
      </c>
      <c r="AB391" s="22">
        <v>381</v>
      </c>
      <c r="AC391" s="22">
        <v>-7.8796400000000003E-2</v>
      </c>
      <c r="AD391">
        <f t="shared" si="64"/>
        <v>17.593399999999999</v>
      </c>
      <c r="AE391">
        <f t="shared" si="65"/>
        <v>-1.37985388068</v>
      </c>
      <c r="AF391" s="9"/>
      <c r="AG391" s="22">
        <v>1.81854</v>
      </c>
      <c r="AH391" s="22">
        <v>189.63399999999999</v>
      </c>
      <c r="AI391" s="22">
        <v>2.77985E-2</v>
      </c>
      <c r="AJ391" s="22">
        <v>381</v>
      </c>
      <c r="AK391" s="22">
        <v>1.8176300000000001</v>
      </c>
      <c r="AL391">
        <f t="shared" si="66"/>
        <v>-27.798500000000001</v>
      </c>
      <c r="AM391">
        <f t="shared" si="67"/>
        <v>-50.552684190000001</v>
      </c>
      <c r="AP391" s="9"/>
      <c r="AQ391" s="22">
        <v>-7.8430200000000005E-2</v>
      </c>
      <c r="AR391" s="22">
        <v>239.25800000000001</v>
      </c>
      <c r="AS391" s="25">
        <v>-8.1543000000000002E-5</v>
      </c>
      <c r="AT391" s="22">
        <v>381</v>
      </c>
      <c r="AU391" s="22">
        <v>-6.2042199999999999E-2</v>
      </c>
      <c r="AV391">
        <f t="shared" si="68"/>
        <v>8.1543000000000004E-2</v>
      </c>
      <c r="AW391">
        <f t="shared" si="69"/>
        <v>-6.3954337986000011E-3</v>
      </c>
      <c r="AX391" s="9"/>
      <c r="AY391" s="22">
        <v>1.81854</v>
      </c>
      <c r="AZ391" s="22">
        <v>255.31800000000001</v>
      </c>
      <c r="BA391" s="25">
        <v>3.00598E-5</v>
      </c>
      <c r="BB391" s="22">
        <v>381</v>
      </c>
      <c r="BC391" s="22">
        <v>8.0718999999999999E-2</v>
      </c>
      <c r="BD391">
        <f t="shared" si="70"/>
        <v>-3.0059800000000001E-2</v>
      </c>
      <c r="BE391">
        <f t="shared" si="71"/>
        <v>-5.4664948692000004E-2</v>
      </c>
    </row>
    <row r="392" spans="6:57">
      <c r="F392" s="9"/>
      <c r="G392" s="22">
        <v>-8.3465600000000001E-2</v>
      </c>
      <c r="H392" s="22">
        <v>41.045999999999999</v>
      </c>
      <c r="I392" s="22">
        <v>-1.70837E-2</v>
      </c>
      <c r="J392" s="22">
        <v>382</v>
      </c>
      <c r="K392" s="22">
        <v>-8.4197999999999995E-2</v>
      </c>
      <c r="L392">
        <f t="shared" si="60"/>
        <v>17.0837</v>
      </c>
      <c r="M392">
        <f t="shared" si="61"/>
        <v>-1.4259012707200001</v>
      </c>
      <c r="N392" s="9"/>
      <c r="O392" s="22">
        <v>1.82358</v>
      </c>
      <c r="P392" s="22">
        <v>90.484499999999997</v>
      </c>
      <c r="Q392" s="22">
        <v>2.09991E-2</v>
      </c>
      <c r="R392" s="22">
        <v>382</v>
      </c>
      <c r="S392" s="22">
        <v>1.8225100000000001</v>
      </c>
      <c r="T392">
        <f t="shared" si="62"/>
        <v>-20.999099999999999</v>
      </c>
      <c r="U392">
        <f t="shared" si="63"/>
        <v>-38.293538777999999</v>
      </c>
      <c r="X392" s="9"/>
      <c r="Y392" s="22">
        <v>-8.3465600000000001E-2</v>
      </c>
      <c r="Z392" s="22">
        <v>140.03</v>
      </c>
      <c r="AA392" s="22">
        <v>-1.7596400000000002E-2</v>
      </c>
      <c r="AB392" s="22">
        <v>382</v>
      </c>
      <c r="AC392" s="22">
        <v>-8.4411600000000003E-2</v>
      </c>
      <c r="AD392">
        <f t="shared" si="64"/>
        <v>17.596400000000003</v>
      </c>
      <c r="AE392">
        <f t="shared" si="65"/>
        <v>-1.4686940838400002</v>
      </c>
      <c r="AF392" s="9"/>
      <c r="AG392" s="22">
        <v>1.82358</v>
      </c>
      <c r="AH392" s="22">
        <v>189.64400000000001</v>
      </c>
      <c r="AI392" s="22">
        <v>3.3505199999999999E-2</v>
      </c>
      <c r="AJ392" s="22">
        <v>382</v>
      </c>
      <c r="AK392" s="22">
        <v>1.8231200000000001</v>
      </c>
      <c r="AL392">
        <f t="shared" si="66"/>
        <v>-33.505200000000002</v>
      </c>
      <c r="AM392">
        <f t="shared" si="67"/>
        <v>-61.099412616000002</v>
      </c>
      <c r="AP392" s="9"/>
      <c r="AQ392" s="22">
        <v>-8.3465600000000001E-2</v>
      </c>
      <c r="AR392" s="22">
        <v>239.268</v>
      </c>
      <c r="AS392" s="25">
        <v>-7.9803500000000003E-5</v>
      </c>
      <c r="AT392" s="22">
        <v>382</v>
      </c>
      <c r="AU392" s="22">
        <v>-6.2225299999999997E-2</v>
      </c>
      <c r="AV392">
        <f t="shared" si="68"/>
        <v>7.9803499999999999E-2</v>
      </c>
      <c r="AW392">
        <f t="shared" si="69"/>
        <v>-6.6608470095999997E-3</v>
      </c>
      <c r="AX392" s="9"/>
      <c r="AY392" s="22">
        <v>1.82358</v>
      </c>
      <c r="AZ392" s="22">
        <v>255.328</v>
      </c>
      <c r="BA392" s="25">
        <v>3.0700700000000002E-5</v>
      </c>
      <c r="BB392" s="22">
        <v>382</v>
      </c>
      <c r="BC392" s="22">
        <v>8.0657999999999994E-2</v>
      </c>
      <c r="BD392">
        <f t="shared" si="70"/>
        <v>-3.0700700000000001E-2</v>
      </c>
      <c r="BE392">
        <f t="shared" si="71"/>
        <v>-5.5985182506E-2</v>
      </c>
    </row>
    <row r="393" spans="6:57">
      <c r="F393" s="9"/>
      <c r="G393" s="22">
        <v>-8.8500999999999996E-2</v>
      </c>
      <c r="H393" s="22">
        <v>41.056100000000001</v>
      </c>
      <c r="I393" s="22">
        <v>-1.70837E-2</v>
      </c>
      <c r="J393" s="22">
        <v>383</v>
      </c>
      <c r="K393" s="22">
        <v>-8.9233400000000004E-2</v>
      </c>
      <c r="L393">
        <f t="shared" si="60"/>
        <v>17.0837</v>
      </c>
      <c r="M393">
        <f t="shared" si="61"/>
        <v>-1.5119245337</v>
      </c>
      <c r="N393" s="9"/>
      <c r="O393" s="22">
        <v>1.8286100000000001</v>
      </c>
      <c r="P393" s="22">
        <v>90.494500000000002</v>
      </c>
      <c r="Q393" s="22">
        <v>2.5884999999999998E-2</v>
      </c>
      <c r="R393" s="22">
        <v>383</v>
      </c>
      <c r="S393" s="22">
        <v>1.8277000000000001</v>
      </c>
      <c r="T393">
        <f t="shared" si="62"/>
        <v>-25.884999999999998</v>
      </c>
      <c r="U393">
        <f t="shared" si="63"/>
        <v>-47.333569849999996</v>
      </c>
      <c r="X393" s="9"/>
      <c r="Y393" s="22">
        <v>-8.8500999999999996E-2</v>
      </c>
      <c r="Z393" s="22">
        <v>140.04</v>
      </c>
      <c r="AA393" s="22">
        <v>-1.7596400000000002E-2</v>
      </c>
      <c r="AB393" s="22">
        <v>383</v>
      </c>
      <c r="AC393" s="22">
        <v>-8.8104199999999994E-2</v>
      </c>
      <c r="AD393">
        <f t="shared" si="64"/>
        <v>17.596400000000003</v>
      </c>
      <c r="AE393">
        <f t="shared" si="65"/>
        <v>-1.5572989964000001</v>
      </c>
      <c r="AF393" s="9"/>
      <c r="AG393" s="22">
        <v>1.8286100000000001</v>
      </c>
      <c r="AH393" s="22">
        <v>189.654</v>
      </c>
      <c r="AI393" s="22">
        <v>3.8952599999999997E-2</v>
      </c>
      <c r="AJ393" s="22">
        <v>383</v>
      </c>
      <c r="AK393" s="22">
        <v>1.8280000000000001</v>
      </c>
      <c r="AL393">
        <f t="shared" si="66"/>
        <v>-38.952599999999997</v>
      </c>
      <c r="AM393">
        <f t="shared" si="67"/>
        <v>-71.229113885999993</v>
      </c>
      <c r="AP393" s="9"/>
      <c r="AQ393" s="22">
        <v>-8.8500999999999996E-2</v>
      </c>
      <c r="AR393" s="22">
        <v>239.27799999999999</v>
      </c>
      <c r="AS393" s="25">
        <v>-8.7738000000000006E-5</v>
      </c>
      <c r="AT393" s="22">
        <v>383</v>
      </c>
      <c r="AU393" s="22">
        <v>-6.2591599999999997E-2</v>
      </c>
      <c r="AV393">
        <f t="shared" si="68"/>
        <v>8.773800000000001E-2</v>
      </c>
      <c r="AW393">
        <f t="shared" si="69"/>
        <v>-7.7649007380000004E-3</v>
      </c>
      <c r="AX393" s="9"/>
      <c r="AY393" s="22">
        <v>1.8286100000000001</v>
      </c>
      <c r="AZ393" s="22">
        <v>255.33799999999999</v>
      </c>
      <c r="BA393" s="25">
        <v>3.2348599999999997E-5</v>
      </c>
      <c r="BB393" s="22">
        <v>383</v>
      </c>
      <c r="BC393" s="22">
        <v>8.0657999999999994E-2</v>
      </c>
      <c r="BD393">
        <f t="shared" si="70"/>
        <v>-3.2348599999999998E-2</v>
      </c>
      <c r="BE393">
        <f t="shared" si="71"/>
        <v>-5.9152973445999998E-2</v>
      </c>
    </row>
    <row r="394" spans="6:57">
      <c r="F394" s="9"/>
      <c r="G394" s="22">
        <v>-9.3536400000000006E-2</v>
      </c>
      <c r="H394" s="22">
        <v>41.066200000000002</v>
      </c>
      <c r="I394" s="22">
        <v>-1.7089799999999999E-2</v>
      </c>
      <c r="J394" s="22">
        <v>384</v>
      </c>
      <c r="K394" s="22">
        <v>-9.42688E-2</v>
      </c>
      <c r="L394">
        <f t="shared" si="60"/>
        <v>17.0898</v>
      </c>
      <c r="M394">
        <f t="shared" si="61"/>
        <v>-1.5985183687200002</v>
      </c>
      <c r="N394" s="9"/>
      <c r="O394" s="22">
        <v>1.83365</v>
      </c>
      <c r="P394" s="22">
        <v>90.504599999999996</v>
      </c>
      <c r="Q394" s="22">
        <v>3.1424000000000001E-2</v>
      </c>
      <c r="R394" s="22">
        <v>384</v>
      </c>
      <c r="S394" s="22">
        <v>1.8319700000000001</v>
      </c>
      <c r="T394">
        <f t="shared" si="62"/>
        <v>-31.423999999999999</v>
      </c>
      <c r="U394">
        <f t="shared" si="63"/>
        <v>-57.620617599999996</v>
      </c>
      <c r="X394" s="9"/>
      <c r="Y394" s="22">
        <v>-9.3536400000000006E-2</v>
      </c>
      <c r="Z394" s="22">
        <v>140.05000000000001</v>
      </c>
      <c r="AA394" s="22">
        <v>-1.7596400000000002E-2</v>
      </c>
      <c r="AB394" s="22">
        <v>384</v>
      </c>
      <c r="AC394" s="22">
        <v>-9.5001199999999994E-2</v>
      </c>
      <c r="AD394">
        <f t="shared" si="64"/>
        <v>17.596400000000003</v>
      </c>
      <c r="AE394">
        <f t="shared" si="65"/>
        <v>-1.6459039089600003</v>
      </c>
      <c r="AF394" s="9"/>
      <c r="AG394" s="22">
        <v>1.83365</v>
      </c>
      <c r="AH394" s="22">
        <v>189.66499999999999</v>
      </c>
      <c r="AI394" s="22">
        <v>4.5117200000000003E-2</v>
      </c>
      <c r="AJ394" s="22">
        <v>384</v>
      </c>
      <c r="AK394" s="22">
        <v>1.8328899999999999</v>
      </c>
      <c r="AL394">
        <f t="shared" si="66"/>
        <v>-45.117200000000004</v>
      </c>
      <c r="AM394">
        <f t="shared" si="67"/>
        <v>-82.729153780000004</v>
      </c>
      <c r="AP394" s="9"/>
      <c r="AQ394" s="22">
        <v>-9.3536400000000006E-2</v>
      </c>
      <c r="AR394" s="22">
        <v>239.28800000000001</v>
      </c>
      <c r="AS394" s="25">
        <v>-7.4371300000000004E-5</v>
      </c>
      <c r="AT394" s="22">
        <v>384</v>
      </c>
      <c r="AU394" s="22">
        <v>-6.2713599999999994E-2</v>
      </c>
      <c r="AV394">
        <f t="shared" si="68"/>
        <v>7.4371300000000001E-2</v>
      </c>
      <c r="AW394">
        <f t="shared" si="69"/>
        <v>-6.9564236653200003E-3</v>
      </c>
      <c r="AX394" s="9"/>
      <c r="AY394" s="22">
        <v>1.83365</v>
      </c>
      <c r="AZ394" s="22">
        <v>255.34800000000001</v>
      </c>
      <c r="BA394" s="25">
        <v>3.1189000000000002E-5</v>
      </c>
      <c r="BB394" s="22">
        <v>384</v>
      </c>
      <c r="BC394" s="22">
        <v>8.0627400000000002E-2</v>
      </c>
      <c r="BD394">
        <f t="shared" si="70"/>
        <v>-3.1189000000000001E-2</v>
      </c>
      <c r="BE394">
        <f t="shared" si="71"/>
        <v>-5.7189709850000006E-2</v>
      </c>
    </row>
    <row r="395" spans="6:57">
      <c r="F395" s="9"/>
      <c r="G395" s="22">
        <v>-9.8571800000000001E-2</v>
      </c>
      <c r="H395" s="22">
        <v>41.076300000000003</v>
      </c>
      <c r="I395" s="22">
        <v>-1.7089799999999999E-2</v>
      </c>
      <c r="J395" s="22">
        <v>385</v>
      </c>
      <c r="K395" s="22">
        <v>-9.9273700000000006E-2</v>
      </c>
      <c r="L395">
        <f t="shared" si="60"/>
        <v>17.0898</v>
      </c>
      <c r="M395">
        <f t="shared" si="61"/>
        <v>-1.6845723476400001</v>
      </c>
      <c r="N395" s="9"/>
      <c r="O395" s="22">
        <v>1.8386800000000001</v>
      </c>
      <c r="P395" s="22">
        <v>90.514700000000005</v>
      </c>
      <c r="Q395" s="22">
        <v>3.7661699999999999E-2</v>
      </c>
      <c r="R395" s="22">
        <v>385</v>
      </c>
      <c r="S395" s="22">
        <v>1.8383799999999999</v>
      </c>
      <c r="T395">
        <f t="shared" si="62"/>
        <v>-37.661699999999996</v>
      </c>
      <c r="U395">
        <f t="shared" si="63"/>
        <v>-69.247814555999994</v>
      </c>
      <c r="X395" s="9"/>
      <c r="Y395" s="22">
        <v>-9.8571800000000001E-2</v>
      </c>
      <c r="Z395" s="22">
        <v>140.06</v>
      </c>
      <c r="AA395" s="22">
        <v>-1.77124E-2</v>
      </c>
      <c r="AB395" s="22">
        <v>385</v>
      </c>
      <c r="AC395" s="22">
        <v>-9.8205600000000004E-2</v>
      </c>
      <c r="AD395">
        <f t="shared" si="64"/>
        <v>17.712399999999999</v>
      </c>
      <c r="AE395">
        <f t="shared" si="65"/>
        <v>-1.7459431503199998</v>
      </c>
      <c r="AF395" s="9"/>
      <c r="AG395" s="22">
        <v>1.8386800000000001</v>
      </c>
      <c r="AH395" s="22">
        <v>189.67500000000001</v>
      </c>
      <c r="AI395" s="22">
        <v>3.4622199999999999E-2</v>
      </c>
      <c r="AJ395" s="22">
        <v>385</v>
      </c>
      <c r="AK395" s="22">
        <v>1.8374600000000001</v>
      </c>
      <c r="AL395">
        <f t="shared" si="66"/>
        <v>-34.622199999999999</v>
      </c>
      <c r="AM395">
        <f t="shared" si="67"/>
        <v>-63.659146696000001</v>
      </c>
      <c r="AP395" s="9"/>
      <c r="AQ395" s="22">
        <v>-9.8571800000000001E-2</v>
      </c>
      <c r="AR395" s="22">
        <v>239.298</v>
      </c>
      <c r="AS395" s="22">
        <v>-2.1972699999999999E-4</v>
      </c>
      <c r="AT395" s="22">
        <v>385</v>
      </c>
      <c r="AU395" s="22">
        <v>-6.2988299999999997E-2</v>
      </c>
      <c r="AV395">
        <f t="shared" si="68"/>
        <v>0.21972700000000001</v>
      </c>
      <c r="AW395">
        <f t="shared" si="69"/>
        <v>-2.1658885898599999E-2</v>
      </c>
      <c r="AX395" s="9"/>
      <c r="AY395" s="22">
        <v>1.8386800000000001</v>
      </c>
      <c r="AZ395" s="22">
        <v>255.358</v>
      </c>
      <c r="BA395" s="25">
        <v>3.0517600000000001E-5</v>
      </c>
      <c r="BB395" s="22">
        <v>385</v>
      </c>
      <c r="BC395" s="22">
        <v>8.0535899999999994E-2</v>
      </c>
      <c r="BD395">
        <f t="shared" si="70"/>
        <v>-3.0517600000000002E-2</v>
      </c>
      <c r="BE395">
        <f t="shared" si="71"/>
        <v>-5.6112100768000009E-2</v>
      </c>
    </row>
    <row r="396" spans="6:57">
      <c r="F396" s="9"/>
      <c r="G396" s="22">
        <v>-0.103607</v>
      </c>
      <c r="H396" s="22">
        <v>41.086300000000001</v>
      </c>
      <c r="I396" s="22">
        <v>-1.7089799999999999E-2</v>
      </c>
      <c r="J396" s="22">
        <v>386</v>
      </c>
      <c r="K396" s="22">
        <v>-0.104279</v>
      </c>
      <c r="L396">
        <f t="shared" ref="L396" si="72">-I396/$F$2*1000</f>
        <v>17.0898</v>
      </c>
      <c r="M396">
        <f t="shared" ref="M396" si="73">L396*G396</f>
        <v>-1.7706229086</v>
      </c>
      <c r="N396" s="9"/>
      <c r="O396" s="22">
        <v>1.84372</v>
      </c>
      <c r="P396" s="22">
        <v>90.524799999999999</v>
      </c>
      <c r="Q396" s="22">
        <v>4.2181400000000001E-2</v>
      </c>
      <c r="R396" s="22">
        <v>386</v>
      </c>
      <c r="S396" s="22">
        <v>1.8426499999999999</v>
      </c>
      <c r="T396">
        <f t="shared" ref="T396" si="74">-Q396/$F$2*1000</f>
        <v>-42.181400000000004</v>
      </c>
      <c r="U396">
        <f t="shared" ref="U396" si="75">T396*O396</f>
        <v>-77.770690808000012</v>
      </c>
      <c r="X396" s="9"/>
      <c r="Y396" s="22">
        <v>-0.103607</v>
      </c>
      <c r="Z396" s="22">
        <v>140.07</v>
      </c>
      <c r="AA396" s="22">
        <v>-1.7706300000000001E-2</v>
      </c>
      <c r="AB396" s="22">
        <v>386</v>
      </c>
      <c r="AC396" s="22">
        <v>-0.104187</v>
      </c>
      <c r="AD396">
        <f t="shared" ref="AD396" si="76">-AA396/$F$2*1000</f>
        <v>17.706300000000002</v>
      </c>
      <c r="AE396">
        <f t="shared" ref="AE396" si="77">AD396*Y396</f>
        <v>-1.8344966241000003</v>
      </c>
      <c r="AF396" s="9"/>
      <c r="AG396" s="22">
        <v>1.84372</v>
      </c>
      <c r="AH396" s="22">
        <v>189.685</v>
      </c>
      <c r="AI396" s="22">
        <v>2.5842299999999999E-2</v>
      </c>
      <c r="AJ396" s="22">
        <v>386</v>
      </c>
      <c r="AK396" s="22">
        <v>1.8386800000000001</v>
      </c>
      <c r="AL396">
        <f t="shared" ref="AL396" si="78">-AI396/$F$2*1000</f>
        <v>-25.842299999999998</v>
      </c>
      <c r="AM396">
        <f t="shared" ref="AM396" si="79">AL396*AG396</f>
        <v>-47.645965355999998</v>
      </c>
      <c r="AP396" s="9"/>
      <c r="AQ396" s="22">
        <v>-0.103607</v>
      </c>
      <c r="AR396" s="22">
        <v>239.30799999999999</v>
      </c>
      <c r="AS396" s="22">
        <v>-3.1005900000000001E-4</v>
      </c>
      <c r="AT396" s="22">
        <v>386</v>
      </c>
      <c r="AU396" s="22">
        <v>-6.3171400000000003E-2</v>
      </c>
      <c r="AV396">
        <f t="shared" ref="AV396" si="80">-AS396/$F$2*1000</f>
        <v>0.31005900000000003</v>
      </c>
      <c r="AW396">
        <f t="shared" ref="AW396" si="81">AV396*AQ396</f>
        <v>-3.2124282813000005E-2</v>
      </c>
      <c r="AX396" s="9"/>
      <c r="AY396" s="22">
        <v>1.84372</v>
      </c>
      <c r="AZ396" s="22">
        <v>255.36799999999999</v>
      </c>
      <c r="BA396" s="25">
        <v>3.3782999999999998E-5</v>
      </c>
      <c r="BB396" s="22">
        <v>386</v>
      </c>
      <c r="BC396" s="22">
        <v>8.0505400000000005E-2</v>
      </c>
      <c r="BD396">
        <f t="shared" ref="BD396" si="82">-BA396/$F$2*1000</f>
        <v>-3.3783000000000001E-2</v>
      </c>
      <c r="BE396">
        <f t="shared" ref="BE396" si="83">BD396*AY396</f>
        <v>-6.2286392760000003E-2</v>
      </c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4"/>
  <sheetViews>
    <sheetView topLeftCell="AN1" workbookViewId="0">
      <selection activeCell="BD11" sqref="BD11:BE35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1282.3535353535472</v>
      </c>
      <c r="H2" s="2"/>
      <c r="I2" s="6" t="s">
        <v>12</v>
      </c>
      <c r="J2" s="2"/>
      <c r="K2" s="7" t="s">
        <v>13</v>
      </c>
      <c r="L2" s="3">
        <f>L4*I6*L9/100*100</f>
        <v>1.2104254557</v>
      </c>
      <c r="M2" s="8" t="s">
        <v>14</v>
      </c>
      <c r="N2" s="9"/>
      <c r="O2" s="2">
        <f>ABS(S7-S6)/ABS(T7-T6)*1000</f>
        <v>230.72230314064817</v>
      </c>
      <c r="P2" s="2"/>
      <c r="Q2" s="6" t="s">
        <v>15</v>
      </c>
      <c r="R2" s="2"/>
      <c r="S2" s="7" t="s">
        <v>13</v>
      </c>
      <c r="T2" s="3">
        <f>T4*Q6*T9/100*100</f>
        <v>0.79896977392000001</v>
      </c>
      <c r="U2" s="8" t="s">
        <v>14</v>
      </c>
      <c r="X2" s="9"/>
      <c r="Y2" s="2">
        <f>ABS(AC7-AC6)/ABS(AD7-AD6)*1000</f>
        <v>2387.2149532707463</v>
      </c>
      <c r="Z2" s="2"/>
      <c r="AA2" s="6" t="s">
        <v>12</v>
      </c>
      <c r="AB2" s="2"/>
      <c r="AC2" s="7" t="s">
        <v>13</v>
      </c>
      <c r="AD2" s="3">
        <f>AD4*AA6*AD9/100*100</f>
        <v>0.93686514870000037</v>
      </c>
      <c r="AE2" s="8" t="s">
        <v>14</v>
      </c>
      <c r="AF2" s="9"/>
      <c r="AG2" s="2">
        <f>ABS(AK7-AK6)/ABS(AL7-AL6)*1000</f>
        <v>213.88272340425459</v>
      </c>
      <c r="AH2" s="2"/>
      <c r="AI2" s="6" t="s">
        <v>15</v>
      </c>
      <c r="AJ2" s="2"/>
      <c r="AK2" s="7" t="s">
        <v>13</v>
      </c>
      <c r="AL2" s="3">
        <f>AL4*AI6*AL9/100*100</f>
        <v>0.64355484206200009</v>
      </c>
      <c r="AM2" s="8" t="s">
        <v>14</v>
      </c>
      <c r="AP2" s="9"/>
      <c r="AQ2" s="2">
        <f>ABS(AU7-AU6)/ABS(AV7-AV6)*1000</f>
        <v>4154.8934426229544</v>
      </c>
      <c r="AR2" s="2"/>
      <c r="AS2" s="6" t="s">
        <v>12</v>
      </c>
      <c r="AT2" s="2"/>
      <c r="AU2" s="7" t="s">
        <v>13</v>
      </c>
      <c r="AV2" s="3">
        <f>AV4*AS6*AV9/100*100</f>
        <v>0.82608945533400013</v>
      </c>
      <c r="AW2" s="8" t="s">
        <v>14</v>
      </c>
      <c r="AX2" s="9"/>
      <c r="AY2" s="2">
        <f>ABS(BC7-BC6)/ABS(BD7-BD6)*1000</f>
        <v>217.51897872340564</v>
      </c>
      <c r="AZ2" s="2"/>
      <c r="BA2" s="6" t="s">
        <v>15</v>
      </c>
      <c r="BB2" s="2"/>
      <c r="BC2" s="7" t="s">
        <v>13</v>
      </c>
      <c r="BD2" s="3">
        <f>BD4*BA6*BD9/100*100</f>
        <v>0.577172054032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1.56342</v>
      </c>
      <c r="J3" s="2"/>
      <c r="K3" s="10">
        <f>INDEX(L11:L1056,MATCH(I3,K11:K1056,0))</f>
        <v>-4.8065200000000002E-2</v>
      </c>
      <c r="L3" s="33" t="s">
        <v>16</v>
      </c>
      <c r="M3" s="11">
        <f>M9</f>
        <v>1.2104254557</v>
      </c>
      <c r="N3" s="9"/>
      <c r="O3" s="2" t="s">
        <v>44</v>
      </c>
      <c r="P3" s="2"/>
      <c r="Q3" s="2">
        <f>INDEX(S11:S1056,MATCH(0,T11:T1056,-1))</f>
        <v>1.5307599999999999</v>
      </c>
      <c r="R3" s="2"/>
      <c r="S3" s="10">
        <f>INDEX(T11:T1056,MATCH(Q3,S11:S1056,0))</f>
        <v>8.8500999999999996E-3</v>
      </c>
      <c r="T3" s="33" t="s">
        <v>16</v>
      </c>
      <c r="U3" s="11">
        <f>U9</f>
        <v>0.79896977392000013</v>
      </c>
      <c r="X3" s="9"/>
      <c r="Y3" s="2" t="s">
        <v>44</v>
      </c>
      <c r="Z3" s="2"/>
      <c r="AA3" s="2">
        <f>INDEX(AC11:AC856,MATCH(0,AD11:AD856,1))</f>
        <v>1.5228299999999999</v>
      </c>
      <c r="AB3" s="2"/>
      <c r="AC3" s="10">
        <f>INDEX(AD11:AD1056,MATCH(AA3,AC11:AC1056,0))</f>
        <v>-2.85645E-2</v>
      </c>
      <c r="AD3" s="33" t="s">
        <v>16</v>
      </c>
      <c r="AE3" s="11">
        <f>AE9</f>
        <v>0.93686514870000015</v>
      </c>
      <c r="AF3" s="9"/>
      <c r="AG3" s="2" t="s">
        <v>44</v>
      </c>
      <c r="AH3" s="2"/>
      <c r="AI3" s="2">
        <f>INDEX(AK11:AK1056,MATCH(0,AL11:AL1056,-1))</f>
        <v>1.49078</v>
      </c>
      <c r="AJ3" s="2"/>
      <c r="AK3" s="10">
        <f>INDEX(AL11:AL1056,MATCH(AI3,AK11:AK1056,0))</f>
        <v>1.11389E-2</v>
      </c>
      <c r="AL3" s="33" t="s">
        <v>16</v>
      </c>
      <c r="AM3" s="11">
        <f>AM9</f>
        <v>0.64355484206200009</v>
      </c>
      <c r="AP3" s="9"/>
      <c r="AQ3" s="2" t="s">
        <v>44</v>
      </c>
      <c r="AR3" s="2"/>
      <c r="AS3" s="2">
        <f>INDEX(AU11:AU856,MATCH(0,AV11:AV856,1))</f>
        <v>1.5081800000000001</v>
      </c>
      <c r="AT3" s="2"/>
      <c r="AU3" s="10">
        <f>INDEX(AV11:AV1056,MATCH(AS3,AU11:AU1056,0))</f>
        <v>-2.2369400000000001E-2</v>
      </c>
      <c r="AV3" s="33" t="s">
        <v>16</v>
      </c>
      <c r="AW3" s="11">
        <f>AW9</f>
        <v>0.82608945533400002</v>
      </c>
      <c r="AX3" s="9"/>
      <c r="AY3" s="2" t="s">
        <v>44</v>
      </c>
      <c r="AZ3" s="2"/>
      <c r="BA3" s="2">
        <f>INDEX(BC11:BC1056,MATCH(0,BD11:BD1056,-1))</f>
        <v>1.4694199999999999</v>
      </c>
      <c r="BB3" s="2"/>
      <c r="BC3" s="10">
        <f>INDEX(BD11:BD1056,MATCH(BA3,BC11:BC1056,0))</f>
        <v>8.3923299999999999E-3</v>
      </c>
      <c r="BD3" s="33" t="s">
        <v>16</v>
      </c>
      <c r="BE3" s="11">
        <f>BE9</f>
        <v>0.57717205403199989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91.930858218742074</v>
      </c>
      <c r="H4" s="2"/>
      <c r="I4" s="2">
        <f>INDEX(K11:K1000,1+MATCH(0,L11:L856,1))</f>
        <v>1.55853</v>
      </c>
      <c r="J4" s="2"/>
      <c r="K4" s="10">
        <f>INDEX(L11:L1056,MATCH(I4,K11:K1056,0))</f>
        <v>5.1269499999999999E-3</v>
      </c>
      <c r="L4" s="32">
        <f>M3/(I6*L9)</f>
        <v>0.42232454500505362</v>
      </c>
      <c r="M4" s="8" t="s">
        <v>17</v>
      </c>
      <c r="N4" s="9"/>
      <c r="O4" s="2">
        <f>ABS(Q3-Q4)/ABS(S3-S4)*1000</f>
        <v>199.00028635742464</v>
      </c>
      <c r="P4" s="2"/>
      <c r="Q4" s="2">
        <f>INDEX(S11:S856,1+MATCH(0,T11:T856,-1))</f>
        <v>1.5362499999999999</v>
      </c>
      <c r="R4" s="2"/>
      <c r="S4" s="10">
        <f>INDEX(T11:T856,MATCH(Q4,S11:S856,0))</f>
        <v>-1.8737799999999999E-2</v>
      </c>
      <c r="T4" s="32">
        <f>U3/(Q6*T9)</f>
        <v>0.27181631467591205</v>
      </c>
      <c r="U4" s="8" t="s">
        <v>17</v>
      </c>
      <c r="X4" s="9"/>
      <c r="Y4" s="2">
        <f>ABS(AA3-AA4)/ABS(AC3-AC4)*1000</f>
        <v>161.36483632523226</v>
      </c>
      <c r="Z4" s="2"/>
      <c r="AA4" s="2">
        <f>INDEX(AC11:AC1000,1+MATCH(0,AD11:AD856,1))</f>
        <v>1.5179400000000001</v>
      </c>
      <c r="AB4" s="2"/>
      <c r="AC4" s="10">
        <f>INDEX(AD11:AD1056,MATCH(AA4,AC11:AC1056,0))</f>
        <v>1.7394999999999999E-3</v>
      </c>
      <c r="AD4" s="32">
        <f>AE3/(AA6*AD9)</f>
        <v>0.3905574017373396</v>
      </c>
      <c r="AE4" s="8" t="s">
        <v>17</v>
      </c>
      <c r="AF4" s="9"/>
      <c r="AG4" s="2">
        <f>ABS(AI3-AI4)/ABS(AK3-AK4)*1000</f>
        <v>246.04771486059565</v>
      </c>
      <c r="AH4" s="2"/>
      <c r="AI4" s="2">
        <f>INDEX(AK11:AK856,1+MATCH(0,AL11:AL856,-1))</f>
        <v>1.4950600000000001</v>
      </c>
      <c r="AJ4" s="2"/>
      <c r="AK4" s="10">
        <f>INDEX(AL11:AL856,MATCH(AI4,AK11:AK856,0))</f>
        <v>-6.2561000000000005E-3</v>
      </c>
      <c r="AL4" s="32">
        <f>AM3/(AI6*AL9)</f>
        <v>0.24339179497918492</v>
      </c>
      <c r="AM4" s="8" t="s">
        <v>17</v>
      </c>
      <c r="AP4" s="9"/>
      <c r="AQ4" s="2">
        <f>ABS(AS3-AS4)/ABS(AU3-AU4)*1000</f>
        <v>187.46511439405532</v>
      </c>
      <c r="AR4" s="2"/>
      <c r="AS4" s="2">
        <f>INDEX(AU11:AU1000,1+MATCH(0,AV11:AV856,1))</f>
        <v>1.5033000000000001</v>
      </c>
      <c r="AT4" s="2"/>
      <c r="AU4" s="10">
        <f>INDEX(AV11:AV1056,MATCH(AS4,AU11:AU1056,0))</f>
        <v>3.6621100000000001E-3</v>
      </c>
      <c r="AV4" s="32">
        <f>AW3/(AS6*AV9)</f>
        <v>0.37539683019709924</v>
      </c>
      <c r="AW4" s="8" t="s">
        <v>17</v>
      </c>
      <c r="AX4" s="9"/>
      <c r="AY4" s="2">
        <f>ABS(BA3-BA4)/ABS(BC3-BC4)*1000</f>
        <v>313.19699910204957</v>
      </c>
      <c r="AZ4" s="2"/>
      <c r="BA4" s="2">
        <f>INDEX(BC11:BC856,1+MATCH(0,BD11:BD856,-1))</f>
        <v>1.47461</v>
      </c>
      <c r="BB4" s="2"/>
      <c r="BC4" s="10">
        <f>INDEX(BD11:BD856,MATCH(BA4,BC11:BC856,0))</f>
        <v>-8.1787100000000005E-3</v>
      </c>
      <c r="BD4" s="32">
        <f>BE3/(BA6*BD9)</f>
        <v>0.22905260829748689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1.08429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0.78491200000000005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0.91339100000000006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0.65490700000000002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0.83831800000000001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0.62927199999999994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1.5590013249135446</v>
      </c>
      <c r="J6" s="32"/>
      <c r="K6" s="13">
        <f>INDEX(K11:K1056,MATCH(L6,L11:L1056,0))</f>
        <v>3.1829800000000002E-3</v>
      </c>
      <c r="L6" s="10">
        <f>INDEX(L11:L1056,MATCH(0,K11:K1056,-1))</f>
        <v>1.8359400000000001</v>
      </c>
      <c r="M6" s="8" t="s">
        <v>22</v>
      </c>
      <c r="N6" s="9"/>
      <c r="O6" s="2"/>
      <c r="P6" s="2"/>
      <c r="Q6" s="34">
        <f>(Q3-Q4)/(S3-S4)*(-S4)+Q4</f>
        <v>1.5325211724342918</v>
      </c>
      <c r="R6" s="34"/>
      <c r="S6" s="13">
        <f>INDEX(S11:S1056,MATCH(T6,T11:T1056,0))</f>
        <v>-4.6539299999999997E-3</v>
      </c>
      <c r="T6" s="10">
        <f>INDEX(T11:T1056,MATCH(0,S11:S1056,1))</f>
        <v>1.9381699999999999</v>
      </c>
      <c r="U6" s="8" t="s">
        <v>22</v>
      </c>
      <c r="X6" s="9"/>
      <c r="Y6" s="2"/>
      <c r="Z6" s="2"/>
      <c r="AA6" s="32">
        <f>(AA3-AA4)/(AC3-AC4)*(-AC4)+AA4</f>
        <v>1.5182206941327878</v>
      </c>
      <c r="AB6" s="32"/>
      <c r="AC6" s="13">
        <f>INDEX(AC11:AC1056,MATCH(AD6,AD11:AD1056,0))</f>
        <v>3.17688E-3</v>
      </c>
      <c r="AD6" s="10">
        <f>INDEX(AD11:AD1056,MATCH(0,AC11:AC1056,-1))</f>
        <v>1.5786699999999998</v>
      </c>
      <c r="AE6" s="8" t="s">
        <v>22</v>
      </c>
      <c r="AF6" s="9"/>
      <c r="AG6" s="2"/>
      <c r="AH6" s="2"/>
      <c r="AI6" s="34">
        <f>(AI3-AI4)/(AK3-AK4)*(-AK4)+AI4</f>
        <v>1.4935207008910607</v>
      </c>
      <c r="AJ6" s="34"/>
      <c r="AK6" s="13">
        <f>INDEX(AK11:AK1056,MATCH(AL6,AL11:AL1056,0))</f>
        <v>-4.6203599999999996E-3</v>
      </c>
      <c r="AL6" s="10">
        <f>INDEX(AL11:AL1056,MATCH(0,AK11:AK1056,1))</f>
        <v>1.79199</v>
      </c>
      <c r="AM6" s="8" t="s">
        <v>22</v>
      </c>
      <c r="AP6" s="9"/>
      <c r="AQ6" s="2"/>
      <c r="AR6" s="2"/>
      <c r="AS6" s="32">
        <f>(AS3-AS4)/(AU3-AU4)*(-AU4)+AS4</f>
        <v>1.5039865178700738</v>
      </c>
      <c r="AT6" s="32"/>
      <c r="AU6" s="13">
        <f>INDEX(AU11:AU1056,MATCH(AV6,AV11:AV1056,0))</f>
        <v>3.1677200000000002E-3</v>
      </c>
      <c r="AV6" s="10">
        <f>INDEX(AV11:AV1056,MATCH(0,AU11:AU1056,-1))</f>
        <v>1.4623999999999999</v>
      </c>
      <c r="AW6" s="8" t="s">
        <v>22</v>
      </c>
      <c r="AX6" s="9"/>
      <c r="AY6" s="2"/>
      <c r="AZ6" s="2"/>
      <c r="BA6" s="34">
        <f>(BA3-BA4)/(BC3-BC4)*(-BC4)+BA4</f>
        <v>1.4720484525714741</v>
      </c>
      <c r="BB6" s="34"/>
      <c r="BC6" s="13">
        <f>INDEX(BC11:BC1056,MATCH(BD6,BD11:BD1056,0))</f>
        <v>-4.7027600000000003E-3</v>
      </c>
      <c r="BD6" s="10">
        <f>INDEX(BD11:BD1056,MATCH(0,BC11:BC1056,1))</f>
        <v>1.7334000000000001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-1.89514E-3</v>
      </c>
      <c r="L7" s="10">
        <f>INDEX(L11:L856,1+MATCH(0,K11:K856,-1))</f>
        <v>1.8399000000000001</v>
      </c>
      <c r="M7" s="12">
        <f>INDEX(K11:K1056,MATCH(M9,M11:M1056,0))</f>
        <v>1.1154200000000001</v>
      </c>
      <c r="N7" s="9"/>
      <c r="O7" s="2"/>
      <c r="P7" s="2"/>
      <c r="Q7" s="2"/>
      <c r="R7" s="2"/>
      <c r="S7" s="13">
        <f>INDEX(S11:S1056,MATCH(T7,T11:T1056,0))</f>
        <v>4.1503900000000002E-4</v>
      </c>
      <c r="T7" s="10">
        <f>INDEX(T11:T1056,1+MATCH(0,S11:S1056,1))</f>
        <v>1.9162000000000001</v>
      </c>
      <c r="U7" s="12">
        <f>INDEX(S11:S1056,MATCH(U9,U11:U1056,0))</f>
        <v>1.01654</v>
      </c>
      <c r="X7" s="9"/>
      <c r="Y7" s="2"/>
      <c r="Z7" s="2"/>
      <c r="AA7" s="2"/>
      <c r="AB7" s="2"/>
      <c r="AC7" s="13">
        <f>INDEX(AC11:AC856,MATCH(AD7,AD11:AD856,1))</f>
        <v>-1.93176E-3</v>
      </c>
      <c r="AD7" s="10">
        <f>INDEX(AD11:AD856,1+MATCH(0,AC11:AC856,-1))</f>
        <v>1.58081</v>
      </c>
      <c r="AE7" s="12">
        <f>INDEX(AC11:AC1056,MATCH(AE9,AE11:AE1056,0))</f>
        <v>1.0244800000000001</v>
      </c>
      <c r="AF7" s="9"/>
      <c r="AG7" s="2"/>
      <c r="AH7" s="2"/>
      <c r="AI7" s="2"/>
      <c r="AJ7" s="2"/>
      <c r="AK7" s="13">
        <f>INDEX(AK11:AK1056,MATCH(AL7,AL11:AL1056,0))</f>
        <v>4.0588400000000002E-4</v>
      </c>
      <c r="AL7" s="10">
        <f>INDEX(AL11:AL1056,1+MATCH(0,AK11:AK1056,1))</f>
        <v>1.7684899999999999</v>
      </c>
      <c r="AM7" s="12">
        <f>INDEX(AK11:AK1056,MATCH(AM9,AM11:AM1056,0))</f>
        <v>0.98144500000000001</v>
      </c>
      <c r="AP7" s="9"/>
      <c r="AQ7" s="2"/>
      <c r="AR7" s="2"/>
      <c r="AS7" s="2"/>
      <c r="AT7" s="2"/>
      <c r="AU7" s="13">
        <f>INDEX(AU11:AU856,MATCH(AV7,AV11:AV856,1))</f>
        <v>-1.9012499999999999E-3</v>
      </c>
      <c r="AV7" s="10">
        <f>INDEX(AV11:AV856,1+MATCH(0,AU11:AU856,-1))</f>
        <v>1.4636199999999999</v>
      </c>
      <c r="AW7" s="12">
        <f>INDEX(AU11:AU1056,MATCH(AW9,AW11:AW1056,0))</f>
        <v>0.98419199999999996</v>
      </c>
      <c r="AX7" s="9"/>
      <c r="AY7" s="2"/>
      <c r="AZ7" s="2"/>
      <c r="BA7" s="2"/>
      <c r="BB7" s="2"/>
      <c r="BC7" s="13">
        <f>INDEX(BC11:BC1056,MATCH(BD7,BD11:BD1056,0))</f>
        <v>4.0893599999999999E-4</v>
      </c>
      <c r="BD7" s="10">
        <f>INDEX(BD11:BD1056,1+MATCH(0,BC11:BC1056,1))</f>
        <v>1.7099000000000002</v>
      </c>
      <c r="BE7" s="12">
        <f>INDEX(BC11:BC1056,MATCH(BE9,BE11:BE1056,0))</f>
        <v>0.91552699999999998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33.99264943102601</v>
      </c>
      <c r="J9" s="2"/>
      <c r="K9" s="2"/>
      <c r="L9" s="3">
        <f>(L6-L7)/(K6-K7)*(-K7)+L7</f>
        <v>1.8384221392168756</v>
      </c>
      <c r="M9" s="16">
        <f>MAX(M11:M1056)</f>
        <v>1.2104254557</v>
      </c>
      <c r="N9" s="9"/>
      <c r="O9" s="2"/>
      <c r="P9" s="2"/>
      <c r="Q9" s="2"/>
      <c r="R9" s="2"/>
      <c r="S9" s="2"/>
      <c r="T9" s="3">
        <f>(T6-T7)/(S6-S7)*(-S7)+T7</f>
        <v>1.917998868138669</v>
      </c>
      <c r="U9" s="16">
        <f>MAX(U11:U1056)</f>
        <v>0.79896977392000013</v>
      </c>
      <c r="X9" s="9"/>
      <c r="Y9" s="2"/>
      <c r="Z9" s="2"/>
      <c r="AA9" s="15">
        <f>(MAX(AD2,AL2)-MIN(AD2,AL2))/MAX(AD2,AL2)%</f>
        <v>31.307633445965987</v>
      </c>
      <c r="AB9" s="2"/>
      <c r="AC9" s="2"/>
      <c r="AD9" s="3">
        <f>(AD6-AD7)/(AC6-AC7)*(-AC7)+AD7</f>
        <v>1.5800007892511509</v>
      </c>
      <c r="AE9" s="16">
        <f>MAX(AE11:AE1056)</f>
        <v>0.93686514870000015</v>
      </c>
      <c r="AF9" s="9"/>
      <c r="AG9" s="2"/>
      <c r="AH9" s="2"/>
      <c r="AI9" s="2"/>
      <c r="AJ9" s="2"/>
      <c r="AK9" s="2"/>
      <c r="AL9" s="3">
        <f>(AL6-AL7)/(AK6-AK7)*(-AK7)+AL7</f>
        <v>1.7703876941827734</v>
      </c>
      <c r="AM9" s="16">
        <f>MAX(AM11:AM1056)</f>
        <v>0.64355484206200009</v>
      </c>
      <c r="AP9" s="9"/>
      <c r="AQ9" s="2"/>
      <c r="AR9" s="2"/>
      <c r="AS9" s="15">
        <f>(MAX(AV2,BD2)-MIN(AV2,BD2))/MAX(AV2,BD2)%</f>
        <v>30.13201532772975</v>
      </c>
      <c r="AT9" s="2"/>
      <c r="AU9" s="2"/>
      <c r="AV9" s="3">
        <f>(AV6-AV7)/(AU6-AU7)*(-AU7)+AV7</f>
        <v>1.463162407037327</v>
      </c>
      <c r="AW9" s="16">
        <f>MAX(AW11:AW1056)</f>
        <v>0.82608945533400002</v>
      </c>
      <c r="AX9" s="9"/>
      <c r="AY9" s="2"/>
      <c r="AZ9" s="2"/>
      <c r="BA9" s="2"/>
      <c r="BB9" s="2"/>
      <c r="BC9" s="2"/>
      <c r="BD9" s="3">
        <f>(BD6-BD7)/(BC6-BC7)*(-BC7)+BD7</f>
        <v>1.7117800014711362</v>
      </c>
      <c r="BE9" s="16">
        <f>MAX(BE11:BE1056)</f>
        <v>0.57717205403199989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1.5590013249135446</v>
      </c>
      <c r="B11" s="19">
        <f>IFERROR(L9,0)</f>
        <v>1.8384221392168756</v>
      </c>
      <c r="C11" s="20">
        <f>IFERROR(L4,0)</f>
        <v>0.42232454500505362</v>
      </c>
      <c r="D11" s="21">
        <f>IFERROR(L2,0)</f>
        <v>1.2104254557</v>
      </c>
      <c r="E11" s="21">
        <f>IFERROR(I9,0)</f>
        <v>33.99264943102601</v>
      </c>
      <c r="F11" s="9"/>
      <c r="G11" s="22">
        <v>1.6249100000000001</v>
      </c>
      <c r="H11" s="22">
        <v>49.322200000000002</v>
      </c>
      <c r="I11" s="22">
        <v>8.9263899999999998E-4</v>
      </c>
      <c r="J11" s="22">
        <v>1</v>
      </c>
      <c r="K11" s="22">
        <v>1.62384</v>
      </c>
      <c r="L11">
        <f>-I11/$F$2*1000</f>
        <v>-0.89263899999999996</v>
      </c>
      <c r="M11">
        <f>L11*G11</f>
        <v>-1.45045803749</v>
      </c>
      <c r="N11" s="9"/>
      <c r="O11" s="22">
        <v>-9.49097E-2</v>
      </c>
      <c r="P11" s="22">
        <v>98.381600000000006</v>
      </c>
      <c r="Q11" s="22">
        <v>-3.70178E-3</v>
      </c>
      <c r="R11" s="22">
        <v>1</v>
      </c>
      <c r="S11" s="22">
        <v>-9.5489500000000005E-2</v>
      </c>
      <c r="T11">
        <f>-Q11/$F$2*1000</f>
        <v>3.7017799999999998</v>
      </c>
      <c r="U11">
        <f>T11*O11</f>
        <v>-0.35133482926599996</v>
      </c>
      <c r="V11" s="23"/>
      <c r="W11" s="24"/>
      <c r="X11" s="9"/>
      <c r="Y11" s="22">
        <v>1.6249100000000001</v>
      </c>
      <c r="Z11" s="22">
        <v>147.46100000000001</v>
      </c>
      <c r="AA11" s="22">
        <v>1.2805200000000001E-3</v>
      </c>
      <c r="AB11" s="22">
        <v>1</v>
      </c>
      <c r="AC11" s="22">
        <v>1.62384</v>
      </c>
      <c r="AD11">
        <f>-AA11/$F$2*1000</f>
        <v>-1.2805200000000001</v>
      </c>
      <c r="AE11">
        <f>AD11*Y11</f>
        <v>-2.0807297532000004</v>
      </c>
      <c r="AF11" s="9"/>
      <c r="AG11" s="22">
        <v>-9.49097E-2</v>
      </c>
      <c r="AH11" s="22">
        <v>196.71</v>
      </c>
      <c r="AI11" s="22">
        <v>-3.4841899999999999E-3</v>
      </c>
      <c r="AJ11" s="22">
        <v>1</v>
      </c>
      <c r="AK11" s="22">
        <v>-9.5428499999999999E-2</v>
      </c>
      <c r="AL11">
        <f>-AI11/$F$2*1000</f>
        <v>3.4841899999999999</v>
      </c>
      <c r="AM11">
        <f>AL11*AG11</f>
        <v>-0.33068342764300002</v>
      </c>
      <c r="AP11" s="9"/>
      <c r="AQ11" s="22">
        <v>1.6249100000000001</v>
      </c>
      <c r="AR11" s="22">
        <v>245.85499999999999</v>
      </c>
      <c r="AS11" s="22">
        <v>1.3128700000000001E-3</v>
      </c>
      <c r="AT11" s="22">
        <v>1</v>
      </c>
      <c r="AU11" s="22">
        <v>1.62354</v>
      </c>
      <c r="AV11">
        <f>-AS11/$F$2*1000</f>
        <v>-1.31287</v>
      </c>
      <c r="AW11">
        <f>AV11*AQ11</f>
        <v>-2.1332955917</v>
      </c>
      <c r="AX11" s="9"/>
      <c r="AY11" s="22">
        <v>-9.49097E-2</v>
      </c>
      <c r="AZ11" s="22">
        <v>295.01400000000001</v>
      </c>
      <c r="BA11" s="22">
        <v>-3.4451299999999998E-3</v>
      </c>
      <c r="BB11" s="22">
        <v>1</v>
      </c>
      <c r="BC11" s="22">
        <v>-9.5428499999999999E-2</v>
      </c>
      <c r="BD11">
        <f>-BA11/$F$2*1000</f>
        <v>3.4451299999999998</v>
      </c>
      <c r="BE11">
        <f>BD11*AY11</f>
        <v>-0.32697625476100001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1.5325211724342918</v>
      </c>
      <c r="B12" s="19">
        <f>IFERROR(T9,0)</f>
        <v>1.917998868138669</v>
      </c>
      <c r="C12" s="20">
        <f>IFERROR(T4,0)</f>
        <v>0.27181631467591205</v>
      </c>
      <c r="D12" s="21">
        <f>IFERROR(T2,0)</f>
        <v>0.79896977392000001</v>
      </c>
      <c r="E12" s="21"/>
      <c r="F12" s="9"/>
      <c r="G12" s="22">
        <v>1.6198699999999999</v>
      </c>
      <c r="H12" s="22">
        <v>49.332299999999996</v>
      </c>
      <c r="I12" s="22">
        <v>7.7972399999999998E-4</v>
      </c>
      <c r="J12" s="22">
        <v>2</v>
      </c>
      <c r="K12" s="22">
        <v>1.61896</v>
      </c>
      <c r="L12">
        <f t="shared" ref="L12:L75" si="0">-I12/$F$2*1000</f>
        <v>-0.77972399999999997</v>
      </c>
      <c r="M12">
        <f t="shared" ref="M12:M75" si="1">L12*G12</f>
        <v>-1.26305151588</v>
      </c>
      <c r="N12" s="9"/>
      <c r="O12" s="22">
        <v>-8.9874300000000004E-2</v>
      </c>
      <c r="P12" s="22">
        <v>98.3917</v>
      </c>
      <c r="Q12" s="22">
        <v>-3.2247899999999999E-3</v>
      </c>
      <c r="R12" s="22">
        <v>2</v>
      </c>
      <c r="S12" s="22">
        <v>-9.0454099999999996E-2</v>
      </c>
      <c r="T12">
        <f t="shared" ref="T12:T75" si="2">-Q12/$F$2*1000</f>
        <v>3.22479</v>
      </c>
      <c r="U12">
        <f t="shared" ref="U12:U75" si="3">T12*O12</f>
        <v>-0.289825743897</v>
      </c>
      <c r="V12" s="23"/>
      <c r="W12" s="24"/>
      <c r="X12" s="9"/>
      <c r="Y12" s="22">
        <v>1.6198699999999999</v>
      </c>
      <c r="Z12" s="22">
        <v>147.471</v>
      </c>
      <c r="AA12" s="22">
        <v>1.16241E-3</v>
      </c>
      <c r="AB12" s="22">
        <v>2</v>
      </c>
      <c r="AC12" s="22">
        <v>1.61896</v>
      </c>
      <c r="AD12">
        <f t="shared" ref="AD12:AD75" si="4">-AA12/$F$2*1000</f>
        <v>-1.1624099999999999</v>
      </c>
      <c r="AE12">
        <f t="shared" ref="AE12:AE75" si="5">AD12*Y12</f>
        <v>-1.8829530866999997</v>
      </c>
      <c r="AF12" s="9"/>
      <c r="AG12" s="22">
        <v>-8.9874300000000004E-2</v>
      </c>
      <c r="AH12" s="22">
        <v>196.721</v>
      </c>
      <c r="AI12" s="22">
        <v>-3.0435200000000001E-3</v>
      </c>
      <c r="AJ12" s="22">
        <v>2</v>
      </c>
      <c r="AK12" s="22">
        <v>-9.0484599999999998E-2</v>
      </c>
      <c r="AL12">
        <f t="shared" ref="AL12:AL75" si="6">-AI12/$F$2*1000</f>
        <v>3.04352</v>
      </c>
      <c r="AM12">
        <f t="shared" ref="AM12:AM75" si="7">AL12*AG12</f>
        <v>-0.27353422953600004</v>
      </c>
      <c r="AP12" s="9"/>
      <c r="AQ12" s="22">
        <v>1.6198699999999999</v>
      </c>
      <c r="AR12" s="22">
        <v>245.86500000000001</v>
      </c>
      <c r="AS12" s="22">
        <v>1.1987300000000001E-3</v>
      </c>
      <c r="AT12" s="22">
        <v>2</v>
      </c>
      <c r="AU12" s="22">
        <v>1.61835</v>
      </c>
      <c r="AV12">
        <f t="shared" ref="AV12:AV75" si="8">-AS12/$F$2*1000</f>
        <v>-1.1987300000000001</v>
      </c>
      <c r="AW12">
        <f t="shared" ref="AW12:AW75" si="9">AV12*AQ12</f>
        <v>-1.9417867651</v>
      </c>
      <c r="AX12" s="9"/>
      <c r="AY12" s="22">
        <v>-8.9874300000000004E-2</v>
      </c>
      <c r="AZ12" s="22">
        <v>295.024</v>
      </c>
      <c r="BA12" s="22">
        <v>-3.0279500000000002E-3</v>
      </c>
      <c r="BB12" s="22">
        <v>2</v>
      </c>
      <c r="BC12" s="22">
        <v>-9.0454099999999996E-2</v>
      </c>
      <c r="BD12">
        <f t="shared" ref="BD12:BD75" si="10">-BA12/$F$2*1000</f>
        <v>3.0279500000000001</v>
      </c>
      <c r="BE12">
        <f t="shared" ref="BE12:BE75" si="11">BD12*AY12</f>
        <v>-0.27213488668500002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1.5182206941327878</v>
      </c>
      <c r="B13" s="19">
        <f>IFERROR(AD9,0)</f>
        <v>1.5800007892511509</v>
      </c>
      <c r="C13" s="20">
        <f>IFERROR(AD4,0)</f>
        <v>0.3905574017373396</v>
      </c>
      <c r="D13" s="21">
        <f>IFERROR(AD2,0)</f>
        <v>0.93686514870000037</v>
      </c>
      <c r="E13" s="21">
        <f>IFERROR(AA9,0)</f>
        <v>31.307633445965987</v>
      </c>
      <c r="F13" s="9"/>
      <c r="G13" s="22">
        <v>1.6148400000000001</v>
      </c>
      <c r="H13" s="22">
        <v>49.342399999999998</v>
      </c>
      <c r="I13" s="22">
        <v>6.8267800000000004E-4</v>
      </c>
      <c r="J13" s="22">
        <v>3</v>
      </c>
      <c r="K13" s="22">
        <v>1.6137699999999999</v>
      </c>
      <c r="L13">
        <f t="shared" si="0"/>
        <v>-0.68267800000000001</v>
      </c>
      <c r="M13">
        <f t="shared" si="1"/>
        <v>-1.10241574152</v>
      </c>
      <c r="N13" s="9"/>
      <c r="O13" s="22">
        <v>-8.4838899999999995E-2</v>
      </c>
      <c r="P13" s="22">
        <v>98.401799999999994</v>
      </c>
      <c r="Q13" s="22">
        <v>-2.94189E-3</v>
      </c>
      <c r="R13" s="22">
        <v>3</v>
      </c>
      <c r="S13" s="22">
        <v>-8.5388199999999997E-2</v>
      </c>
      <c r="T13">
        <f t="shared" si="2"/>
        <v>2.9418899999999999</v>
      </c>
      <c r="U13">
        <f t="shared" si="3"/>
        <v>-0.24958671152099998</v>
      </c>
      <c r="V13" s="23"/>
      <c r="W13" s="24"/>
      <c r="X13" s="9"/>
      <c r="Y13" s="22">
        <v>1.6148400000000001</v>
      </c>
      <c r="Z13" s="22">
        <v>147.48099999999999</v>
      </c>
      <c r="AA13" s="22">
        <v>1.05255E-3</v>
      </c>
      <c r="AB13" s="22">
        <v>3</v>
      </c>
      <c r="AC13" s="22">
        <v>1.6137699999999999</v>
      </c>
      <c r="AD13">
        <f t="shared" si="4"/>
        <v>-1.0525499999999999</v>
      </c>
      <c r="AE13">
        <f t="shared" si="5"/>
        <v>-1.6996998419999998</v>
      </c>
      <c r="AF13" s="9"/>
      <c r="AG13" s="22">
        <v>-8.4838899999999995E-2</v>
      </c>
      <c r="AH13" s="22">
        <v>196.73099999999999</v>
      </c>
      <c r="AI13" s="22">
        <v>-2.7835099999999999E-3</v>
      </c>
      <c r="AJ13" s="22">
        <v>3</v>
      </c>
      <c r="AK13" s="22">
        <v>-8.5327100000000003E-2</v>
      </c>
      <c r="AL13">
        <f t="shared" si="6"/>
        <v>2.7835099999999997</v>
      </c>
      <c r="AM13">
        <f t="shared" si="7"/>
        <v>-0.23614992653899997</v>
      </c>
      <c r="AP13" s="9"/>
      <c r="AQ13" s="22">
        <v>1.6148400000000001</v>
      </c>
      <c r="AR13" s="22">
        <v>245.875</v>
      </c>
      <c r="AS13" s="22">
        <v>1.09344E-3</v>
      </c>
      <c r="AT13" s="22">
        <v>3</v>
      </c>
      <c r="AU13" s="22">
        <v>1.6137699999999999</v>
      </c>
      <c r="AV13">
        <f t="shared" si="8"/>
        <v>-1.09344</v>
      </c>
      <c r="AW13">
        <f t="shared" si="9"/>
        <v>-1.7657306496</v>
      </c>
      <c r="AX13" s="9"/>
      <c r="AY13" s="22">
        <v>-8.4838899999999995E-2</v>
      </c>
      <c r="AZ13" s="22">
        <v>295.03399999999999</v>
      </c>
      <c r="BA13" s="22">
        <v>-2.7526899999999999E-3</v>
      </c>
      <c r="BB13" s="22">
        <v>3</v>
      </c>
      <c r="BC13" s="22">
        <v>-8.5327100000000003E-2</v>
      </c>
      <c r="BD13">
        <f t="shared" si="10"/>
        <v>2.7526899999999999</v>
      </c>
      <c r="BE13">
        <f t="shared" si="11"/>
        <v>-0.23353519164099998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1.4935207008910607</v>
      </c>
      <c r="B14" s="19">
        <f>IFERROR(AL9,0)</f>
        <v>1.7703876941827734</v>
      </c>
      <c r="C14" s="20">
        <f>IFERROR(AL4,0)</f>
        <v>0.24339179497918492</v>
      </c>
      <c r="D14" s="21">
        <f>IFERROR(AL2,0)</f>
        <v>0.64355484206200009</v>
      </c>
      <c r="E14" s="21"/>
      <c r="F14" s="9"/>
      <c r="G14" s="22">
        <v>1.6097999999999999</v>
      </c>
      <c r="H14" s="22">
        <v>49.352400000000003</v>
      </c>
      <c r="I14" s="22">
        <v>5.9173600000000004E-4</v>
      </c>
      <c r="J14" s="22">
        <v>4</v>
      </c>
      <c r="K14" s="22">
        <v>1.6085799999999999</v>
      </c>
      <c r="L14">
        <f t="shared" si="0"/>
        <v>-0.59173600000000004</v>
      </c>
      <c r="M14">
        <f t="shared" si="1"/>
        <v>-0.95257661280000006</v>
      </c>
      <c r="N14" s="9"/>
      <c r="O14" s="22">
        <v>-7.9803499999999999E-2</v>
      </c>
      <c r="P14" s="22">
        <v>98.411799999999999</v>
      </c>
      <c r="Q14" s="22">
        <v>-2.7536000000000001E-3</v>
      </c>
      <c r="R14" s="22">
        <v>4</v>
      </c>
      <c r="S14" s="22">
        <v>-8.0291699999999994E-2</v>
      </c>
      <c r="T14">
        <f t="shared" si="2"/>
        <v>2.7536</v>
      </c>
      <c r="U14">
        <f t="shared" si="3"/>
        <v>-0.21974691760000001</v>
      </c>
      <c r="V14" s="23"/>
      <c r="W14" s="24"/>
      <c r="X14" s="9"/>
      <c r="Y14" s="22">
        <v>1.6097999999999999</v>
      </c>
      <c r="Z14" s="22">
        <v>147.49100000000001</v>
      </c>
      <c r="AA14" s="22">
        <v>9.5153800000000004E-4</v>
      </c>
      <c r="AB14" s="22">
        <v>4</v>
      </c>
      <c r="AC14" s="22">
        <v>1.6088899999999999</v>
      </c>
      <c r="AD14">
        <f t="shared" si="4"/>
        <v>-0.95153799999999999</v>
      </c>
      <c r="AE14">
        <f t="shared" si="5"/>
        <v>-1.5317858724</v>
      </c>
      <c r="AF14" s="9"/>
      <c r="AG14" s="22">
        <v>-7.9803499999999999E-2</v>
      </c>
      <c r="AH14" s="22">
        <v>196.74100000000001</v>
      </c>
      <c r="AI14" s="22">
        <v>-2.6013199999999998E-3</v>
      </c>
      <c r="AJ14" s="22">
        <v>4</v>
      </c>
      <c r="AK14" s="22">
        <v>-8.0352800000000002E-2</v>
      </c>
      <c r="AL14">
        <f t="shared" si="6"/>
        <v>2.6013199999999999</v>
      </c>
      <c r="AM14">
        <f t="shared" si="7"/>
        <v>-0.20759444061999999</v>
      </c>
      <c r="AP14" s="9"/>
      <c r="AQ14" s="22">
        <v>1.6097999999999999</v>
      </c>
      <c r="AR14" s="22">
        <v>245.88499999999999</v>
      </c>
      <c r="AS14" s="22">
        <v>9.9212600000000008E-4</v>
      </c>
      <c r="AT14" s="22">
        <v>4</v>
      </c>
      <c r="AU14" s="22">
        <v>1.6085799999999999</v>
      </c>
      <c r="AV14">
        <f t="shared" si="8"/>
        <v>-0.99212600000000006</v>
      </c>
      <c r="AW14">
        <f t="shared" si="9"/>
        <v>-1.5971244348</v>
      </c>
      <c r="AX14" s="9"/>
      <c r="AY14" s="22">
        <v>-7.9803499999999999E-2</v>
      </c>
      <c r="AZ14" s="22">
        <v>295.04500000000002</v>
      </c>
      <c r="BA14" s="22">
        <v>-2.55981E-3</v>
      </c>
      <c r="BB14" s="22">
        <v>4</v>
      </c>
      <c r="BC14" s="22">
        <v>-8.0291699999999994E-2</v>
      </c>
      <c r="BD14">
        <f t="shared" si="10"/>
        <v>2.5598100000000001</v>
      </c>
      <c r="BE14">
        <f t="shared" si="11"/>
        <v>-0.20428179733500001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1.5039865178700738</v>
      </c>
      <c r="B15" s="19">
        <f>IFERROR(AV9,0)</f>
        <v>1.463162407037327</v>
      </c>
      <c r="C15" s="20">
        <f>IFERROR(AV4,0)</f>
        <v>0.37539683019709924</v>
      </c>
      <c r="D15" s="21">
        <f>IFERROR(AV2,0)</f>
        <v>0.82608945533400013</v>
      </c>
      <c r="E15" s="21">
        <f>IFERROR(AS9,0)</f>
        <v>30.13201532772975</v>
      </c>
      <c r="F15" s="9"/>
      <c r="G15" s="22">
        <v>1.60477</v>
      </c>
      <c r="H15" s="22">
        <v>49.362499999999997</v>
      </c>
      <c r="I15" s="22">
        <v>5.13916E-4</v>
      </c>
      <c r="J15" s="22">
        <v>5</v>
      </c>
      <c r="K15" s="22">
        <v>1.6043099999999999</v>
      </c>
      <c r="L15">
        <f t="shared" si="0"/>
        <v>-0.51391600000000004</v>
      </c>
      <c r="M15">
        <f t="shared" si="1"/>
        <v>-0.8247169793200001</v>
      </c>
      <c r="N15" s="9"/>
      <c r="O15" s="22">
        <v>-7.4768100000000004E-2</v>
      </c>
      <c r="P15" s="22">
        <v>98.421899999999994</v>
      </c>
      <c r="Q15" s="22">
        <v>-2.6086400000000002E-3</v>
      </c>
      <c r="R15" s="22">
        <v>5</v>
      </c>
      <c r="S15" s="22">
        <v>-7.5256299999999998E-2</v>
      </c>
      <c r="T15">
        <f t="shared" si="2"/>
        <v>2.6086400000000003</v>
      </c>
      <c r="U15">
        <f t="shared" si="3"/>
        <v>-0.19504305638400002</v>
      </c>
      <c r="V15" s="23"/>
      <c r="W15" s="24"/>
      <c r="X15" s="9"/>
      <c r="Y15" s="22">
        <v>1.60477</v>
      </c>
      <c r="Z15" s="22">
        <v>147.501</v>
      </c>
      <c r="AA15" s="22">
        <v>8.6059600000000004E-4</v>
      </c>
      <c r="AB15" s="22">
        <v>5</v>
      </c>
      <c r="AC15" s="22">
        <v>1.6033900000000001</v>
      </c>
      <c r="AD15">
        <f t="shared" si="4"/>
        <v>-0.86059600000000003</v>
      </c>
      <c r="AE15">
        <f t="shared" si="5"/>
        <v>-1.38105864292</v>
      </c>
      <c r="AF15" s="9"/>
      <c r="AG15" s="22">
        <v>-7.4768100000000004E-2</v>
      </c>
      <c r="AH15" s="22">
        <v>196.751</v>
      </c>
      <c r="AI15" s="22">
        <v>-2.4688700000000002E-3</v>
      </c>
      <c r="AJ15" s="22">
        <v>5</v>
      </c>
      <c r="AK15" s="22">
        <v>-7.5225799999999995E-2</v>
      </c>
      <c r="AL15">
        <f t="shared" si="6"/>
        <v>2.4688700000000003</v>
      </c>
      <c r="AM15">
        <f t="shared" si="7"/>
        <v>-0.18459271904700003</v>
      </c>
      <c r="AP15" s="9"/>
      <c r="AQ15" s="22">
        <v>1.60477</v>
      </c>
      <c r="AR15" s="22">
        <v>245.89500000000001</v>
      </c>
      <c r="AS15" s="22">
        <v>8.9355499999999998E-4</v>
      </c>
      <c r="AT15" s="22">
        <v>5</v>
      </c>
      <c r="AU15" s="22">
        <v>1.6036999999999999</v>
      </c>
      <c r="AV15">
        <f t="shared" si="8"/>
        <v>-0.89355499999999999</v>
      </c>
      <c r="AW15">
        <f t="shared" si="9"/>
        <v>-1.43395025735</v>
      </c>
      <c r="AX15" s="9"/>
      <c r="AY15" s="22">
        <v>-7.4768100000000004E-2</v>
      </c>
      <c r="AZ15" s="22">
        <v>295.05500000000001</v>
      </c>
      <c r="BA15" s="22">
        <v>-2.4172999999999998E-3</v>
      </c>
      <c r="BB15" s="22">
        <v>5</v>
      </c>
      <c r="BC15" s="22">
        <v>-7.5256299999999998E-2</v>
      </c>
      <c r="BD15">
        <f t="shared" si="10"/>
        <v>2.4173</v>
      </c>
      <c r="BE15">
        <f t="shared" si="11"/>
        <v>-0.18073692813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1.4720484525714741</v>
      </c>
      <c r="B16" s="19">
        <f>IFERROR(BD9,0)</f>
        <v>1.7117800014711362</v>
      </c>
      <c r="C16" s="20">
        <f>IFERROR(BD4,0)</f>
        <v>0.22905260829748689</v>
      </c>
      <c r="D16" s="21">
        <f>IFERROR(BD2,0)</f>
        <v>0.577172054032</v>
      </c>
      <c r="E16" s="21"/>
      <c r="F16" s="9"/>
      <c r="G16" s="22">
        <v>1.5997300000000001</v>
      </c>
      <c r="H16" s="22">
        <v>49.372599999999998</v>
      </c>
      <c r="I16" s="22">
        <v>4.3942299999999998E-4</v>
      </c>
      <c r="J16" s="22">
        <v>6</v>
      </c>
      <c r="K16" s="22">
        <v>1.5991200000000001</v>
      </c>
      <c r="L16">
        <f t="shared" si="0"/>
        <v>-0.43942300000000001</v>
      </c>
      <c r="M16">
        <f t="shared" si="1"/>
        <v>-0.70295815579000009</v>
      </c>
      <c r="N16" s="9"/>
      <c r="O16" s="22">
        <v>-6.9732699999999995E-2</v>
      </c>
      <c r="P16" s="22">
        <v>98.432000000000002</v>
      </c>
      <c r="Q16" s="22">
        <v>-2.5060999999999998E-3</v>
      </c>
      <c r="R16" s="22">
        <v>6</v>
      </c>
      <c r="S16" s="22">
        <v>-7.0220900000000003E-2</v>
      </c>
      <c r="T16">
        <f t="shared" si="2"/>
        <v>2.5061</v>
      </c>
      <c r="U16">
        <f t="shared" si="3"/>
        <v>-0.17475711947</v>
      </c>
      <c r="V16" s="23"/>
      <c r="W16" s="24"/>
      <c r="X16" s="9"/>
      <c r="Y16" s="22">
        <v>1.5997300000000001</v>
      </c>
      <c r="Z16" s="22">
        <v>147.511</v>
      </c>
      <c r="AA16" s="22">
        <v>7.8216600000000005E-4</v>
      </c>
      <c r="AB16" s="22">
        <v>6</v>
      </c>
      <c r="AC16" s="22">
        <v>1.5985100000000001</v>
      </c>
      <c r="AD16">
        <f t="shared" si="4"/>
        <v>-0.78216600000000003</v>
      </c>
      <c r="AE16">
        <f t="shared" si="5"/>
        <v>-1.25125441518</v>
      </c>
      <c r="AF16" s="9"/>
      <c r="AG16" s="22">
        <v>-6.9732699999999995E-2</v>
      </c>
      <c r="AH16" s="22">
        <v>196.761</v>
      </c>
      <c r="AI16" s="22">
        <v>-2.3641999999999999E-3</v>
      </c>
      <c r="AJ16" s="22">
        <v>6</v>
      </c>
      <c r="AK16" s="22">
        <v>-7.01904E-2</v>
      </c>
      <c r="AL16">
        <f t="shared" si="6"/>
        <v>2.3641999999999999</v>
      </c>
      <c r="AM16">
        <f t="shared" si="7"/>
        <v>-0.16486204933999998</v>
      </c>
      <c r="AP16" s="9"/>
      <c r="AQ16" s="22">
        <v>1.5997300000000001</v>
      </c>
      <c r="AR16" s="22">
        <v>245.905</v>
      </c>
      <c r="AS16" s="22">
        <v>8.0993700000000005E-4</v>
      </c>
      <c r="AT16" s="22">
        <v>6</v>
      </c>
      <c r="AU16" s="22">
        <v>1.5991200000000001</v>
      </c>
      <c r="AV16">
        <f t="shared" si="8"/>
        <v>-0.80993700000000002</v>
      </c>
      <c r="AW16">
        <f t="shared" si="9"/>
        <v>-1.2956805170100001</v>
      </c>
      <c r="AX16" s="9"/>
      <c r="AY16" s="22">
        <v>-6.9732699999999995E-2</v>
      </c>
      <c r="AZ16" s="22">
        <v>295.065</v>
      </c>
      <c r="BA16" s="22">
        <v>-2.3132299999999999E-3</v>
      </c>
      <c r="BB16" s="22">
        <v>6</v>
      </c>
      <c r="BC16" s="22">
        <v>-7.0251499999999995E-2</v>
      </c>
      <c r="BD16">
        <f t="shared" si="10"/>
        <v>2.3132299999999999</v>
      </c>
      <c r="BE16">
        <f t="shared" si="11"/>
        <v>-0.16130777362099999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1.5947</v>
      </c>
      <c r="H17" s="22">
        <v>49.382599999999996</v>
      </c>
      <c r="I17" s="22">
        <v>3.65662E-4</v>
      </c>
      <c r="J17" s="22">
        <v>7</v>
      </c>
      <c r="K17" s="22">
        <v>1.5933200000000001</v>
      </c>
      <c r="L17">
        <f t="shared" si="0"/>
        <v>-0.36566199999999999</v>
      </c>
      <c r="M17">
        <f t="shared" si="1"/>
        <v>-0.58312119139999996</v>
      </c>
      <c r="N17" s="9"/>
      <c r="O17" s="22">
        <v>-6.4697299999999999E-2</v>
      </c>
      <c r="P17" s="22">
        <v>98.442099999999996</v>
      </c>
      <c r="Q17" s="22">
        <v>-2.4227900000000002E-3</v>
      </c>
      <c r="R17" s="22">
        <v>7</v>
      </c>
      <c r="S17" s="22">
        <v>-6.5155000000000005E-2</v>
      </c>
      <c r="T17">
        <f t="shared" si="2"/>
        <v>2.42279</v>
      </c>
      <c r="U17">
        <f t="shared" si="3"/>
        <v>-0.15674797146700001</v>
      </c>
      <c r="V17" s="23"/>
      <c r="W17" s="24"/>
      <c r="X17" s="9"/>
      <c r="Y17" s="22">
        <v>1.5947</v>
      </c>
      <c r="Z17" s="22">
        <v>147.52099999999999</v>
      </c>
      <c r="AA17" s="22">
        <v>6.9885300000000004E-4</v>
      </c>
      <c r="AB17" s="22">
        <v>7</v>
      </c>
      <c r="AC17" s="22">
        <v>1.5930200000000001</v>
      </c>
      <c r="AD17">
        <f t="shared" si="4"/>
        <v>-0.69885300000000006</v>
      </c>
      <c r="AE17">
        <f t="shared" si="5"/>
        <v>-1.1144608791000001</v>
      </c>
      <c r="AF17" s="9"/>
      <c r="AG17" s="22">
        <v>-6.4697299999999999E-2</v>
      </c>
      <c r="AH17" s="22">
        <v>196.77099999999999</v>
      </c>
      <c r="AI17" s="22">
        <v>-2.27875E-3</v>
      </c>
      <c r="AJ17" s="22">
        <v>7</v>
      </c>
      <c r="AK17" s="22">
        <v>-6.5155000000000005E-2</v>
      </c>
      <c r="AL17">
        <f t="shared" si="6"/>
        <v>2.2787500000000001</v>
      </c>
      <c r="AM17">
        <f t="shared" si="7"/>
        <v>-0.14742897237499999</v>
      </c>
      <c r="AP17" s="9"/>
      <c r="AQ17" s="22">
        <v>1.5947</v>
      </c>
      <c r="AR17" s="22">
        <v>245.91499999999999</v>
      </c>
      <c r="AS17" s="22">
        <v>7.45544E-4</v>
      </c>
      <c r="AT17" s="22">
        <v>7</v>
      </c>
      <c r="AU17" s="22">
        <v>1.5933200000000001</v>
      </c>
      <c r="AV17">
        <f t="shared" si="8"/>
        <v>-0.74554399999999998</v>
      </c>
      <c r="AW17">
        <f t="shared" si="9"/>
        <v>-1.1889190167999999</v>
      </c>
      <c r="AX17" s="9"/>
      <c r="AY17" s="22">
        <v>-6.4697299999999999E-2</v>
      </c>
      <c r="AZ17" s="22">
        <v>295.07499999999999</v>
      </c>
      <c r="BA17" s="22">
        <v>-2.22748E-3</v>
      </c>
      <c r="BB17" s="22">
        <v>7</v>
      </c>
      <c r="BC17" s="22">
        <v>-6.5155000000000005E-2</v>
      </c>
      <c r="BD17">
        <f t="shared" si="10"/>
        <v>2.2274799999999999</v>
      </c>
      <c r="BE17">
        <f t="shared" si="11"/>
        <v>-0.144111941804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1.5896600000000001</v>
      </c>
      <c r="H18" s="22">
        <v>49.392699999999998</v>
      </c>
      <c r="I18" s="22">
        <v>3.0517599999999999E-4</v>
      </c>
      <c r="J18" s="22">
        <v>8</v>
      </c>
      <c r="K18" s="22">
        <v>1.5884400000000001</v>
      </c>
      <c r="L18">
        <f t="shared" si="0"/>
        <v>-0.305176</v>
      </c>
      <c r="M18">
        <f t="shared" si="1"/>
        <v>-0.48512608016000003</v>
      </c>
      <c r="N18" s="9"/>
      <c r="O18" s="22">
        <v>-5.9661899999999997E-2</v>
      </c>
      <c r="P18" s="22">
        <v>98.452100000000002</v>
      </c>
      <c r="Q18" s="22">
        <v>-2.3507699999999999E-3</v>
      </c>
      <c r="R18" s="22">
        <v>8</v>
      </c>
      <c r="S18" s="22">
        <v>-6.0089099999999999E-2</v>
      </c>
      <c r="T18">
        <f t="shared" si="2"/>
        <v>2.3507699999999998</v>
      </c>
      <c r="U18">
        <f t="shared" si="3"/>
        <v>-0.14025140466299998</v>
      </c>
      <c r="V18" s="23"/>
      <c r="W18" s="24"/>
      <c r="X18" s="9"/>
      <c r="Y18" s="22">
        <v>1.5896600000000001</v>
      </c>
      <c r="Z18" s="22">
        <v>147.53200000000001</v>
      </c>
      <c r="AA18" s="22">
        <v>6.2652599999999997E-4</v>
      </c>
      <c r="AB18" s="22">
        <v>8</v>
      </c>
      <c r="AC18" s="22">
        <v>1.5890500000000001</v>
      </c>
      <c r="AD18">
        <f t="shared" si="4"/>
        <v>-0.62652599999999992</v>
      </c>
      <c r="AE18">
        <f t="shared" si="5"/>
        <v>-0.99596332115999986</v>
      </c>
      <c r="AF18" s="9"/>
      <c r="AG18" s="22">
        <v>-5.9661899999999997E-2</v>
      </c>
      <c r="AH18" s="22">
        <v>196.78100000000001</v>
      </c>
      <c r="AI18" s="22">
        <v>-2.2079500000000002E-3</v>
      </c>
      <c r="AJ18" s="22">
        <v>8</v>
      </c>
      <c r="AK18" s="22">
        <v>-6.0119600000000002E-2</v>
      </c>
      <c r="AL18">
        <f t="shared" si="6"/>
        <v>2.2079500000000003</v>
      </c>
      <c r="AM18">
        <f t="shared" si="7"/>
        <v>-0.13173049210500001</v>
      </c>
      <c r="AP18" s="9"/>
      <c r="AQ18" s="22">
        <v>1.5896600000000001</v>
      </c>
      <c r="AR18" s="22">
        <v>245.92500000000001</v>
      </c>
      <c r="AS18" s="22">
        <v>6.7443799999999997E-4</v>
      </c>
      <c r="AT18" s="22">
        <v>8</v>
      </c>
      <c r="AU18" s="22">
        <v>1.58813</v>
      </c>
      <c r="AV18">
        <f t="shared" si="8"/>
        <v>-0.67443799999999998</v>
      </c>
      <c r="AW18">
        <f t="shared" si="9"/>
        <v>-1.0721271110799999</v>
      </c>
      <c r="AX18" s="9"/>
      <c r="AY18" s="22">
        <v>-5.9661899999999997E-2</v>
      </c>
      <c r="AZ18" s="22">
        <v>295.08499999999998</v>
      </c>
      <c r="BA18" s="22">
        <v>-2.1572900000000001E-3</v>
      </c>
      <c r="BB18" s="22">
        <v>8</v>
      </c>
      <c r="BC18" s="22">
        <v>-6.0150099999999998E-2</v>
      </c>
      <c r="BD18">
        <f t="shared" si="10"/>
        <v>2.1572900000000002</v>
      </c>
      <c r="BE18">
        <f t="shared" si="11"/>
        <v>-0.128708020251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1.58463</v>
      </c>
      <c r="H19" s="22">
        <v>49.402799999999999</v>
      </c>
      <c r="I19" s="22">
        <v>2.4313399999999999E-4</v>
      </c>
      <c r="J19" s="22">
        <v>9</v>
      </c>
      <c r="K19" s="22">
        <v>1.5829500000000001</v>
      </c>
      <c r="L19">
        <f t="shared" si="0"/>
        <v>-0.24313399999999999</v>
      </c>
      <c r="M19">
        <f t="shared" si="1"/>
        <v>-0.38527743041999996</v>
      </c>
      <c r="N19" s="9"/>
      <c r="O19" s="22">
        <v>-5.4626500000000001E-2</v>
      </c>
      <c r="P19" s="22">
        <v>98.462199999999996</v>
      </c>
      <c r="Q19" s="22">
        <v>-2.28912E-3</v>
      </c>
      <c r="R19" s="22">
        <v>9</v>
      </c>
      <c r="S19" s="22">
        <v>-5.5145300000000001E-2</v>
      </c>
      <c r="T19">
        <f t="shared" si="2"/>
        <v>2.28912</v>
      </c>
      <c r="U19">
        <f t="shared" si="3"/>
        <v>-0.12504661368</v>
      </c>
      <c r="V19" s="23"/>
      <c r="W19" s="24"/>
      <c r="X19" s="9"/>
      <c r="Y19" s="22">
        <v>1.58463</v>
      </c>
      <c r="Z19" s="22">
        <v>147.542</v>
      </c>
      <c r="AA19" s="22">
        <v>5.5755599999999996E-4</v>
      </c>
      <c r="AB19" s="22">
        <v>9</v>
      </c>
      <c r="AC19" s="22">
        <v>1.58325</v>
      </c>
      <c r="AD19">
        <f t="shared" si="4"/>
        <v>-0.55755599999999994</v>
      </c>
      <c r="AE19">
        <f t="shared" si="5"/>
        <v>-0.8835199642799999</v>
      </c>
      <c r="AF19" s="9"/>
      <c r="AG19" s="22">
        <v>-5.4626500000000001E-2</v>
      </c>
      <c r="AH19" s="22">
        <v>196.791</v>
      </c>
      <c r="AI19" s="22">
        <v>-2.1459999999999999E-3</v>
      </c>
      <c r="AJ19" s="22">
        <v>9</v>
      </c>
      <c r="AK19" s="22">
        <v>-5.5114700000000003E-2</v>
      </c>
      <c r="AL19">
        <f t="shared" si="6"/>
        <v>2.1459999999999999</v>
      </c>
      <c r="AM19">
        <f t="shared" si="7"/>
        <v>-0.117228469</v>
      </c>
      <c r="AP19" s="9"/>
      <c r="AQ19" s="22">
        <v>1.58463</v>
      </c>
      <c r="AR19" s="22">
        <v>245.935</v>
      </c>
      <c r="AS19" s="22">
        <v>6.1004600000000005E-4</v>
      </c>
      <c r="AT19" s="22">
        <v>9</v>
      </c>
      <c r="AU19" s="22">
        <v>1.58386</v>
      </c>
      <c r="AV19">
        <f t="shared" si="8"/>
        <v>-0.61004600000000009</v>
      </c>
      <c r="AW19">
        <f t="shared" si="9"/>
        <v>-0.96669719298000012</v>
      </c>
      <c r="AX19" s="9"/>
      <c r="AY19" s="22">
        <v>-5.4626500000000001E-2</v>
      </c>
      <c r="AZ19" s="22">
        <v>295.09500000000003</v>
      </c>
      <c r="BA19" s="22">
        <v>-2.0925900000000001E-3</v>
      </c>
      <c r="BB19" s="22">
        <v>9</v>
      </c>
      <c r="BC19" s="22">
        <v>-5.5114700000000003E-2</v>
      </c>
      <c r="BD19">
        <f t="shared" si="10"/>
        <v>2.09259</v>
      </c>
      <c r="BE19">
        <f t="shared" si="11"/>
        <v>-0.11431086763499999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1.57959</v>
      </c>
      <c r="H20" s="22">
        <v>49.4129</v>
      </c>
      <c r="I20" s="22">
        <v>1.90216E-4</v>
      </c>
      <c r="J20" s="22">
        <v>10</v>
      </c>
      <c r="K20" s="22">
        <v>1.57867</v>
      </c>
      <c r="L20">
        <f t="shared" si="0"/>
        <v>-0.190216</v>
      </c>
      <c r="M20">
        <f t="shared" si="1"/>
        <v>-0.30046329144</v>
      </c>
      <c r="N20" s="9"/>
      <c r="O20" s="22">
        <v>-4.9591099999999999E-2</v>
      </c>
      <c r="P20" s="22">
        <v>98.472300000000004</v>
      </c>
      <c r="Q20" s="22">
        <v>-2.2384599999999998E-3</v>
      </c>
      <c r="R20" s="22">
        <v>10</v>
      </c>
      <c r="S20" s="22">
        <v>-5.0170899999999997E-2</v>
      </c>
      <c r="T20">
        <f t="shared" si="2"/>
        <v>2.2384599999999999</v>
      </c>
      <c r="U20">
        <f t="shared" si="3"/>
        <v>-0.111007693706</v>
      </c>
      <c r="V20" s="23"/>
      <c r="W20" s="24"/>
      <c r="X20" s="9"/>
      <c r="Y20" s="22">
        <v>1.57959</v>
      </c>
      <c r="Z20" s="22">
        <v>147.55199999999999</v>
      </c>
      <c r="AA20" s="22">
        <v>4.9835199999999997E-4</v>
      </c>
      <c r="AB20" s="22">
        <v>10</v>
      </c>
      <c r="AC20" s="22">
        <v>1.5783700000000001</v>
      </c>
      <c r="AD20">
        <f t="shared" si="4"/>
        <v>-0.49835199999999996</v>
      </c>
      <c r="AE20">
        <f t="shared" si="5"/>
        <v>-0.78719183567999995</v>
      </c>
      <c r="AF20" s="9"/>
      <c r="AG20" s="22">
        <v>-4.9591099999999999E-2</v>
      </c>
      <c r="AH20" s="22">
        <v>196.80099999999999</v>
      </c>
      <c r="AI20" s="22">
        <v>-2.0922900000000001E-3</v>
      </c>
      <c r="AJ20" s="22">
        <v>10</v>
      </c>
      <c r="AK20" s="22">
        <v>-5.00793E-2</v>
      </c>
      <c r="AL20">
        <f t="shared" si="6"/>
        <v>2.0922900000000002</v>
      </c>
      <c r="AM20">
        <f t="shared" si="7"/>
        <v>-0.10375896261900001</v>
      </c>
      <c r="AP20" s="9"/>
      <c r="AQ20" s="22">
        <v>1.57959</v>
      </c>
      <c r="AR20" s="22">
        <v>245.946</v>
      </c>
      <c r="AS20" s="22">
        <v>5.5450400000000004E-4</v>
      </c>
      <c r="AT20" s="22">
        <v>10</v>
      </c>
      <c r="AU20" s="22">
        <v>1.57867</v>
      </c>
      <c r="AV20">
        <f t="shared" si="8"/>
        <v>-0.554504</v>
      </c>
      <c r="AW20">
        <f t="shared" si="9"/>
        <v>-0.87588897336000004</v>
      </c>
      <c r="AX20" s="9"/>
      <c r="AY20" s="22">
        <v>-4.9591099999999999E-2</v>
      </c>
      <c r="AZ20" s="22">
        <v>295.10500000000002</v>
      </c>
      <c r="BA20" s="22">
        <v>-2.0401E-3</v>
      </c>
      <c r="BB20" s="22">
        <v>10</v>
      </c>
      <c r="BC20" s="22">
        <v>-5.0018300000000002E-2</v>
      </c>
      <c r="BD20">
        <f t="shared" si="10"/>
        <v>2.0400999999999998</v>
      </c>
      <c r="BE20">
        <f t="shared" si="11"/>
        <v>-0.10117080310999998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1.5745499999999999</v>
      </c>
      <c r="H21" s="22">
        <v>49.422899999999998</v>
      </c>
      <c r="I21" s="22">
        <v>1.14868E-4</v>
      </c>
      <c r="J21" s="22">
        <v>11</v>
      </c>
      <c r="K21" s="22">
        <v>1.5734900000000001</v>
      </c>
      <c r="L21">
        <f t="shared" si="0"/>
        <v>-0.114868</v>
      </c>
      <c r="M21">
        <f t="shared" si="1"/>
        <v>-0.18086540939999998</v>
      </c>
      <c r="N21" s="9"/>
      <c r="O21" s="22">
        <v>-4.4555699999999997E-2</v>
      </c>
      <c r="P21" s="22">
        <v>98.482299999999995</v>
      </c>
      <c r="Q21" s="22">
        <v>-2.1936E-3</v>
      </c>
      <c r="R21" s="22">
        <v>11</v>
      </c>
      <c r="S21" s="22">
        <v>-4.50623E-2</v>
      </c>
      <c r="T21">
        <f t="shared" si="2"/>
        <v>2.1936</v>
      </c>
      <c r="U21">
        <f t="shared" si="3"/>
        <v>-9.7737383519999999E-2</v>
      </c>
      <c r="V21" s="23"/>
      <c r="W21" s="24"/>
      <c r="X21" s="9"/>
      <c r="Y21" s="22">
        <v>1.5745499999999999</v>
      </c>
      <c r="Z21" s="22">
        <v>147.56200000000001</v>
      </c>
      <c r="AA21" s="22">
        <v>4.3948400000000002E-4</v>
      </c>
      <c r="AB21" s="22">
        <v>11</v>
      </c>
      <c r="AC21" s="22">
        <v>1.57379</v>
      </c>
      <c r="AD21">
        <f t="shared" si="4"/>
        <v>-0.43948400000000004</v>
      </c>
      <c r="AE21">
        <f t="shared" si="5"/>
        <v>-0.69198953220000003</v>
      </c>
      <c r="AF21" s="9"/>
      <c r="AG21" s="22">
        <v>-4.4555699999999997E-2</v>
      </c>
      <c r="AH21" s="22">
        <v>196.81100000000001</v>
      </c>
      <c r="AI21" s="22">
        <v>-2.0462000000000002E-3</v>
      </c>
      <c r="AJ21" s="22">
        <v>11</v>
      </c>
      <c r="AK21" s="22">
        <v>-4.5053099999999999E-2</v>
      </c>
      <c r="AL21">
        <f t="shared" si="6"/>
        <v>2.0462000000000002</v>
      </c>
      <c r="AM21">
        <f t="shared" si="7"/>
        <v>-9.1169873339999999E-2</v>
      </c>
      <c r="AP21" s="9"/>
      <c r="AQ21" s="22">
        <v>1.5745499999999999</v>
      </c>
      <c r="AR21" s="22">
        <v>245.95599999999999</v>
      </c>
      <c r="AS21" s="22">
        <v>4.9987800000000004E-4</v>
      </c>
      <c r="AT21" s="22">
        <v>11</v>
      </c>
      <c r="AU21" s="22">
        <v>1.5734900000000001</v>
      </c>
      <c r="AV21">
        <f t="shared" si="8"/>
        <v>-0.49987800000000004</v>
      </c>
      <c r="AW21">
        <f t="shared" si="9"/>
        <v>-0.78708290489999999</v>
      </c>
      <c r="AX21" s="9"/>
      <c r="AY21" s="22">
        <v>-4.4555699999999997E-2</v>
      </c>
      <c r="AZ21" s="22">
        <v>295.11500000000001</v>
      </c>
      <c r="BA21" s="22">
        <v>-1.99036E-3</v>
      </c>
      <c r="BB21" s="22">
        <v>11</v>
      </c>
      <c r="BC21" s="22">
        <v>-4.50867E-2</v>
      </c>
      <c r="BD21">
        <f t="shared" si="10"/>
        <v>1.9903600000000001</v>
      </c>
      <c r="BE21">
        <f t="shared" si="11"/>
        <v>-8.8681883052000005E-2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1.56952</v>
      </c>
      <c r="H22" s="22">
        <v>49.433</v>
      </c>
      <c r="I22" s="25">
        <v>9.4696000000000003E-5</v>
      </c>
      <c r="J22" s="22">
        <v>12</v>
      </c>
      <c r="K22" s="22">
        <v>1.5683</v>
      </c>
      <c r="L22">
        <f t="shared" si="0"/>
        <v>-9.4696000000000002E-2</v>
      </c>
      <c r="M22">
        <f t="shared" si="1"/>
        <v>-0.14862726592</v>
      </c>
      <c r="N22" s="9"/>
      <c r="O22" s="22">
        <v>-3.9520300000000001E-2</v>
      </c>
      <c r="P22" s="22">
        <v>98.492400000000004</v>
      </c>
      <c r="Q22" s="22">
        <v>-2.1524000000000001E-3</v>
      </c>
      <c r="R22" s="22">
        <v>12</v>
      </c>
      <c r="S22" s="22">
        <v>-4.0005499999999999E-2</v>
      </c>
      <c r="T22">
        <f t="shared" si="2"/>
        <v>2.1524000000000001</v>
      </c>
      <c r="U22">
        <f t="shared" si="3"/>
        <v>-8.5063493720000008E-2</v>
      </c>
      <c r="V22" s="23"/>
      <c r="W22" s="24"/>
      <c r="X22" s="9"/>
      <c r="Y22" s="22">
        <v>1.56952</v>
      </c>
      <c r="Z22" s="22">
        <v>147.572</v>
      </c>
      <c r="AA22" s="22">
        <v>3.8677999999999998E-4</v>
      </c>
      <c r="AB22" s="22">
        <v>12</v>
      </c>
      <c r="AC22" s="22">
        <v>1.5686</v>
      </c>
      <c r="AD22">
        <f t="shared" si="4"/>
        <v>-0.38677999999999996</v>
      </c>
      <c r="AE22">
        <f t="shared" si="5"/>
        <v>-0.60705894559999996</v>
      </c>
      <c r="AF22" s="9"/>
      <c r="AG22" s="22">
        <v>-3.9520300000000001E-2</v>
      </c>
      <c r="AH22" s="22">
        <v>196.821</v>
      </c>
      <c r="AI22" s="22">
        <v>-2.0031699999999999E-3</v>
      </c>
      <c r="AJ22" s="22">
        <v>12</v>
      </c>
      <c r="AK22" s="22">
        <v>-4.0023799999999998E-2</v>
      </c>
      <c r="AL22">
        <f t="shared" si="6"/>
        <v>2.0031699999999999</v>
      </c>
      <c r="AM22">
        <f t="shared" si="7"/>
        <v>-7.9165879351000001E-2</v>
      </c>
      <c r="AP22" s="9"/>
      <c r="AQ22" s="22">
        <v>1.56952</v>
      </c>
      <c r="AR22" s="22">
        <v>245.96600000000001</v>
      </c>
      <c r="AS22" s="22">
        <v>4.4433599999999998E-4</v>
      </c>
      <c r="AT22" s="22">
        <v>12</v>
      </c>
      <c r="AU22" s="22">
        <v>1.5683</v>
      </c>
      <c r="AV22">
        <f t="shared" si="8"/>
        <v>-0.44433600000000001</v>
      </c>
      <c r="AW22">
        <f t="shared" si="9"/>
        <v>-0.69739423872000006</v>
      </c>
      <c r="AX22" s="9"/>
      <c r="AY22" s="22">
        <v>-3.9520300000000001E-2</v>
      </c>
      <c r="AZ22" s="22">
        <v>295.125</v>
      </c>
      <c r="BA22" s="22">
        <v>-1.95313E-3</v>
      </c>
      <c r="BB22" s="22">
        <v>12</v>
      </c>
      <c r="BC22" s="22">
        <v>-3.9981099999999999E-2</v>
      </c>
      <c r="BD22">
        <f t="shared" si="10"/>
        <v>1.95313</v>
      </c>
      <c r="BE22">
        <f t="shared" si="11"/>
        <v>-7.7188283539000008E-2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1.5644800000000001</v>
      </c>
      <c r="H23" s="22">
        <v>49.443100000000001</v>
      </c>
      <c r="I23" s="25">
        <v>4.8065200000000002E-5</v>
      </c>
      <c r="J23" s="22">
        <v>13</v>
      </c>
      <c r="K23" s="22">
        <v>1.56342</v>
      </c>
      <c r="L23">
        <f t="shared" si="0"/>
        <v>-4.8065200000000002E-2</v>
      </c>
      <c r="M23">
        <f t="shared" si="1"/>
        <v>-7.5197044096000004E-2</v>
      </c>
      <c r="N23" s="9"/>
      <c r="O23" s="22">
        <v>-3.4484899999999999E-2</v>
      </c>
      <c r="P23" s="22">
        <v>98.502499999999998</v>
      </c>
      <c r="Q23" s="22">
        <v>-2.1154799999999999E-3</v>
      </c>
      <c r="R23" s="22">
        <v>13</v>
      </c>
      <c r="S23" s="22">
        <v>-3.4936500000000002E-2</v>
      </c>
      <c r="T23">
        <f t="shared" si="2"/>
        <v>2.1154799999999998</v>
      </c>
      <c r="U23">
        <f t="shared" si="3"/>
        <v>-7.2952116251999988E-2</v>
      </c>
      <c r="V23" s="23"/>
      <c r="W23" s="24"/>
      <c r="X23" s="9"/>
      <c r="Y23" s="22">
        <v>1.5644800000000001</v>
      </c>
      <c r="Z23" s="22">
        <v>147.58199999999999</v>
      </c>
      <c r="AA23" s="22">
        <v>3.32672E-4</v>
      </c>
      <c r="AB23" s="22">
        <v>13</v>
      </c>
      <c r="AC23" s="22">
        <v>1.56342</v>
      </c>
      <c r="AD23">
        <f t="shared" si="4"/>
        <v>-0.33267200000000002</v>
      </c>
      <c r="AE23">
        <f t="shared" si="5"/>
        <v>-0.52045869056000005</v>
      </c>
      <c r="AF23" s="9"/>
      <c r="AG23" s="22">
        <v>-3.4484899999999999E-2</v>
      </c>
      <c r="AH23" s="22">
        <v>196.83099999999999</v>
      </c>
      <c r="AI23" s="22">
        <v>-1.9647200000000001E-3</v>
      </c>
      <c r="AJ23" s="22">
        <v>13</v>
      </c>
      <c r="AK23" s="22">
        <v>-3.49304E-2</v>
      </c>
      <c r="AL23">
        <f t="shared" si="6"/>
        <v>1.96472</v>
      </c>
      <c r="AM23">
        <f t="shared" si="7"/>
        <v>-6.7753172727999994E-2</v>
      </c>
      <c r="AP23" s="9"/>
      <c r="AQ23" s="22">
        <v>1.5644800000000001</v>
      </c>
      <c r="AR23" s="22">
        <v>245.976</v>
      </c>
      <c r="AS23" s="22">
        <v>3.9779700000000003E-4</v>
      </c>
      <c r="AT23" s="22">
        <v>13</v>
      </c>
      <c r="AU23" s="22">
        <v>1.56372</v>
      </c>
      <c r="AV23">
        <f t="shared" si="8"/>
        <v>-0.39779700000000001</v>
      </c>
      <c r="AW23">
        <f t="shared" si="9"/>
        <v>-0.62234545056000001</v>
      </c>
      <c r="AX23" s="9"/>
      <c r="AY23" s="22">
        <v>-3.4484899999999999E-2</v>
      </c>
      <c r="AZ23" s="22">
        <v>295.13499999999999</v>
      </c>
      <c r="BA23" s="22">
        <v>-1.9149799999999999E-3</v>
      </c>
      <c r="BB23" s="22">
        <v>13</v>
      </c>
      <c r="BC23" s="22">
        <v>-3.49304E-2</v>
      </c>
      <c r="BD23">
        <f t="shared" si="10"/>
        <v>1.9149799999999999</v>
      </c>
      <c r="BE23">
        <f t="shared" si="11"/>
        <v>-6.6037893801999994E-2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1.55945</v>
      </c>
      <c r="H24" s="22">
        <v>49.453099999999999</v>
      </c>
      <c r="I24" s="25">
        <v>-5.1269500000000001E-6</v>
      </c>
      <c r="J24" s="22">
        <v>14</v>
      </c>
      <c r="K24" s="22">
        <v>1.55853</v>
      </c>
      <c r="L24">
        <f t="shared" si="0"/>
        <v>5.1269499999999999E-3</v>
      </c>
      <c r="M24">
        <f t="shared" si="1"/>
        <v>7.9952221775000006E-3</v>
      </c>
      <c r="N24" s="9"/>
      <c r="O24" s="22">
        <v>-2.94495E-2</v>
      </c>
      <c r="P24" s="22">
        <v>98.512600000000006</v>
      </c>
      <c r="Q24" s="22">
        <v>-2.0782499999999998E-3</v>
      </c>
      <c r="R24" s="22">
        <v>14</v>
      </c>
      <c r="S24" s="22">
        <v>-2.99408E-2</v>
      </c>
      <c r="T24">
        <f t="shared" si="2"/>
        <v>2.0782499999999997</v>
      </c>
      <c r="U24">
        <f t="shared" si="3"/>
        <v>-6.1203423374999989E-2</v>
      </c>
      <c r="V24" s="23"/>
      <c r="W24" s="24"/>
      <c r="X24" s="9"/>
      <c r="Y24" s="22">
        <v>1.55945</v>
      </c>
      <c r="Z24" s="22">
        <v>147.59200000000001</v>
      </c>
      <c r="AA24" s="22">
        <v>2.8741500000000001E-4</v>
      </c>
      <c r="AB24" s="22">
        <v>14</v>
      </c>
      <c r="AC24" s="22">
        <v>1.55792</v>
      </c>
      <c r="AD24">
        <f t="shared" si="4"/>
        <v>-0.28741500000000003</v>
      </c>
      <c r="AE24">
        <f t="shared" si="5"/>
        <v>-0.44820932175000006</v>
      </c>
      <c r="AF24" s="9"/>
      <c r="AG24" s="22">
        <v>-2.94495E-2</v>
      </c>
      <c r="AH24" s="22">
        <v>196.84100000000001</v>
      </c>
      <c r="AI24" s="22">
        <v>-1.93024E-3</v>
      </c>
      <c r="AJ24" s="22">
        <v>14</v>
      </c>
      <c r="AK24" s="22">
        <v>-2.9931599999999999E-2</v>
      </c>
      <c r="AL24">
        <f t="shared" si="6"/>
        <v>1.93024</v>
      </c>
      <c r="AM24">
        <f t="shared" si="7"/>
        <v>-5.6844602879999998E-2</v>
      </c>
      <c r="AP24" s="9"/>
      <c r="AQ24" s="22">
        <v>1.55945</v>
      </c>
      <c r="AR24" s="22">
        <v>245.98599999999999</v>
      </c>
      <c r="AS24" s="22">
        <v>3.5354599999999999E-4</v>
      </c>
      <c r="AT24" s="22">
        <v>14</v>
      </c>
      <c r="AU24" s="22">
        <v>1.55823</v>
      </c>
      <c r="AV24">
        <f t="shared" si="8"/>
        <v>-0.35354599999999997</v>
      </c>
      <c r="AW24">
        <f t="shared" si="9"/>
        <v>-0.55133730969999994</v>
      </c>
      <c r="AX24" s="9"/>
      <c r="AY24" s="22">
        <v>-2.94495E-2</v>
      </c>
      <c r="AZ24" s="22">
        <v>295.14499999999998</v>
      </c>
      <c r="BA24" s="22">
        <v>-1.8707299999999999E-3</v>
      </c>
      <c r="BB24" s="22">
        <v>14</v>
      </c>
      <c r="BC24" s="22">
        <v>-2.9925500000000001E-2</v>
      </c>
      <c r="BD24">
        <f t="shared" si="10"/>
        <v>1.87073</v>
      </c>
      <c r="BE24">
        <f t="shared" si="11"/>
        <v>-5.5092063135000001E-2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1.5544100000000001</v>
      </c>
      <c r="H25" s="22">
        <v>49.463200000000001</v>
      </c>
      <c r="I25" s="25">
        <v>-4.7424299999999999E-5</v>
      </c>
      <c r="J25" s="22">
        <v>15</v>
      </c>
      <c r="K25" s="22">
        <v>1.55365</v>
      </c>
      <c r="L25">
        <f t="shared" si="0"/>
        <v>4.7424300000000003E-2</v>
      </c>
      <c r="M25">
        <f t="shared" si="1"/>
        <v>7.3716806163000012E-2</v>
      </c>
      <c r="N25" s="9"/>
      <c r="O25" s="22">
        <v>-2.4414100000000001E-2</v>
      </c>
      <c r="P25" s="22">
        <v>98.522599999999997</v>
      </c>
      <c r="Q25" s="22">
        <v>-2.04193E-3</v>
      </c>
      <c r="R25" s="22">
        <v>15</v>
      </c>
      <c r="S25" s="22">
        <v>-2.48688E-2</v>
      </c>
      <c r="T25">
        <f t="shared" si="2"/>
        <v>2.0419299999999998</v>
      </c>
      <c r="U25">
        <f t="shared" si="3"/>
        <v>-4.9851883212999999E-2</v>
      </c>
      <c r="V25" s="23"/>
      <c r="W25" s="24"/>
      <c r="X25" s="9"/>
      <c r="Y25" s="22">
        <v>1.5544100000000001</v>
      </c>
      <c r="Z25" s="22">
        <v>147.602</v>
      </c>
      <c r="AA25" s="22">
        <v>2.4414100000000002E-4</v>
      </c>
      <c r="AB25" s="22">
        <v>15</v>
      </c>
      <c r="AC25" s="22">
        <v>1.5533399999999999</v>
      </c>
      <c r="AD25">
        <f t="shared" si="4"/>
        <v>-0.24414100000000002</v>
      </c>
      <c r="AE25">
        <f t="shared" si="5"/>
        <v>-0.37949521181000007</v>
      </c>
      <c r="AF25" s="9"/>
      <c r="AG25" s="22">
        <v>-2.4414100000000001E-2</v>
      </c>
      <c r="AH25" s="22">
        <v>196.851</v>
      </c>
      <c r="AI25" s="22">
        <v>-1.8991100000000001E-3</v>
      </c>
      <c r="AJ25" s="22">
        <v>15</v>
      </c>
      <c r="AK25" s="22">
        <v>-2.4847399999999999E-2</v>
      </c>
      <c r="AL25">
        <f t="shared" si="6"/>
        <v>1.8991100000000001</v>
      </c>
      <c r="AM25">
        <f t="shared" si="7"/>
        <v>-4.6365061451000007E-2</v>
      </c>
      <c r="AP25" s="9"/>
      <c r="AQ25" s="22">
        <v>1.5544100000000001</v>
      </c>
      <c r="AR25" s="22">
        <v>245.99600000000001</v>
      </c>
      <c r="AS25" s="22">
        <v>3.07831E-4</v>
      </c>
      <c r="AT25" s="22">
        <v>15</v>
      </c>
      <c r="AU25" s="22">
        <v>1.5533399999999999</v>
      </c>
      <c r="AV25">
        <f t="shared" si="8"/>
        <v>-0.30783100000000002</v>
      </c>
      <c r="AW25">
        <f t="shared" si="9"/>
        <v>-0.47849558471000003</v>
      </c>
      <c r="AX25" s="9"/>
      <c r="AY25" s="22">
        <v>-2.4414100000000001E-2</v>
      </c>
      <c r="AZ25" s="22">
        <v>295.15499999999997</v>
      </c>
      <c r="BA25" s="22">
        <v>-1.8396E-3</v>
      </c>
      <c r="BB25" s="22">
        <v>15</v>
      </c>
      <c r="BC25" s="22">
        <v>-2.4890099999999998E-2</v>
      </c>
      <c r="BD25">
        <f t="shared" si="10"/>
        <v>1.8396000000000001</v>
      </c>
      <c r="BE25">
        <f t="shared" si="11"/>
        <v>-4.4912178360000006E-2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1.54938</v>
      </c>
      <c r="H26" s="22">
        <v>49.473300000000002</v>
      </c>
      <c r="I26" s="25">
        <v>-7.1716299999999996E-5</v>
      </c>
      <c r="J26" s="22">
        <v>16</v>
      </c>
      <c r="K26" s="22">
        <v>1.54816</v>
      </c>
      <c r="L26">
        <f t="shared" si="0"/>
        <v>7.1716299999999997E-2</v>
      </c>
      <c r="M26">
        <f t="shared" si="1"/>
        <v>0.111115800894</v>
      </c>
      <c r="N26" s="9"/>
      <c r="O26" s="22">
        <v>-1.9378699999999999E-2</v>
      </c>
      <c r="P26" s="22">
        <v>98.532700000000006</v>
      </c>
      <c r="Q26" s="22">
        <v>-2.0117199999999998E-3</v>
      </c>
      <c r="R26" s="22">
        <v>16</v>
      </c>
      <c r="S26" s="22">
        <v>-1.9805900000000001E-2</v>
      </c>
      <c r="T26">
        <f t="shared" si="2"/>
        <v>2.01172</v>
      </c>
      <c r="U26">
        <f t="shared" si="3"/>
        <v>-3.8984518364E-2</v>
      </c>
      <c r="V26" s="23"/>
      <c r="W26" s="24"/>
      <c r="X26" s="9"/>
      <c r="Y26" s="22">
        <v>1.54938</v>
      </c>
      <c r="Z26" s="22">
        <v>147.61199999999999</v>
      </c>
      <c r="AA26" s="22">
        <v>2.02606E-4</v>
      </c>
      <c r="AB26" s="22">
        <v>16</v>
      </c>
      <c r="AC26" s="22">
        <v>1.5484599999999999</v>
      </c>
      <c r="AD26">
        <f t="shared" si="4"/>
        <v>-0.20260600000000001</v>
      </c>
      <c r="AE26">
        <f t="shared" si="5"/>
        <v>-0.31391368427999999</v>
      </c>
      <c r="AF26" s="9"/>
      <c r="AG26" s="22">
        <v>-1.9378699999999999E-2</v>
      </c>
      <c r="AH26" s="22">
        <v>196.86199999999999</v>
      </c>
      <c r="AI26" s="22">
        <v>-1.8685900000000001E-3</v>
      </c>
      <c r="AJ26" s="22">
        <v>16</v>
      </c>
      <c r="AK26" s="22">
        <v>-1.98242E-2</v>
      </c>
      <c r="AL26">
        <f t="shared" si="6"/>
        <v>1.86859</v>
      </c>
      <c r="AM26">
        <f t="shared" si="7"/>
        <v>-3.6210845032999997E-2</v>
      </c>
      <c r="AP26" s="9"/>
      <c r="AQ26" s="22">
        <v>1.54938</v>
      </c>
      <c r="AR26" s="22">
        <v>246.006</v>
      </c>
      <c r="AS26" s="22">
        <v>2.7713E-4</v>
      </c>
      <c r="AT26" s="22">
        <v>16</v>
      </c>
      <c r="AU26" s="22">
        <v>1.5484599999999999</v>
      </c>
      <c r="AV26">
        <f t="shared" si="8"/>
        <v>-0.27712999999999999</v>
      </c>
      <c r="AW26">
        <f t="shared" si="9"/>
        <v>-0.42937967939999999</v>
      </c>
      <c r="AX26" s="9"/>
      <c r="AY26" s="22">
        <v>-1.9378699999999999E-2</v>
      </c>
      <c r="AZ26" s="22">
        <v>295.16500000000002</v>
      </c>
      <c r="BA26" s="22">
        <v>-1.8060299999999999E-3</v>
      </c>
      <c r="BB26" s="22">
        <v>16</v>
      </c>
      <c r="BC26" s="22">
        <v>-1.9812E-2</v>
      </c>
      <c r="BD26">
        <f t="shared" si="10"/>
        <v>1.80603</v>
      </c>
      <c r="BE26">
        <f t="shared" si="11"/>
        <v>-3.4998513560999998E-2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1.54434</v>
      </c>
      <c r="H27" s="22">
        <v>49.483400000000003</v>
      </c>
      <c r="I27" s="22">
        <v>-1.07605E-4</v>
      </c>
      <c r="J27" s="22">
        <v>17</v>
      </c>
      <c r="K27" s="22">
        <v>1.54358</v>
      </c>
      <c r="L27">
        <f t="shared" si="0"/>
        <v>0.10760499999999999</v>
      </c>
      <c r="M27">
        <f t="shared" si="1"/>
        <v>0.16617870569999998</v>
      </c>
      <c r="N27" s="9"/>
      <c r="O27" s="22">
        <v>-1.43433E-2</v>
      </c>
      <c r="P27" s="22">
        <v>98.5428</v>
      </c>
      <c r="Q27" s="22">
        <v>-1.9845599999999998E-3</v>
      </c>
      <c r="R27" s="22">
        <v>17</v>
      </c>
      <c r="S27" s="22">
        <v>-1.50177E-2</v>
      </c>
      <c r="T27">
        <f t="shared" si="2"/>
        <v>1.9845599999999999</v>
      </c>
      <c r="U27">
        <f t="shared" si="3"/>
        <v>-2.8465139447999999E-2</v>
      </c>
      <c r="X27" s="9"/>
      <c r="Y27" s="22">
        <v>1.54434</v>
      </c>
      <c r="Z27" s="22">
        <v>147.62200000000001</v>
      </c>
      <c r="AA27" s="22">
        <v>1.6406299999999999E-4</v>
      </c>
      <c r="AB27" s="22">
        <v>17</v>
      </c>
      <c r="AC27" s="22">
        <v>1.5432699999999999</v>
      </c>
      <c r="AD27">
        <f t="shared" si="4"/>
        <v>-0.16406299999999999</v>
      </c>
      <c r="AE27">
        <f t="shared" si="5"/>
        <v>-0.25336905341999999</v>
      </c>
      <c r="AF27" s="9"/>
      <c r="AG27" s="22">
        <v>-1.43433E-2</v>
      </c>
      <c r="AH27" s="22">
        <v>196.87200000000001</v>
      </c>
      <c r="AI27" s="22">
        <v>-1.8417399999999999E-3</v>
      </c>
      <c r="AJ27" s="22">
        <v>17</v>
      </c>
      <c r="AK27" s="22">
        <v>-1.4749099999999999E-2</v>
      </c>
      <c r="AL27">
        <f t="shared" si="6"/>
        <v>1.8417399999999999</v>
      </c>
      <c r="AM27">
        <f t="shared" si="7"/>
        <v>-2.6416629341999998E-2</v>
      </c>
      <c r="AP27" s="9"/>
      <c r="AQ27" s="22">
        <v>1.54434</v>
      </c>
      <c r="AR27" s="22">
        <v>246.01599999999999</v>
      </c>
      <c r="AS27" s="22">
        <v>2.3831199999999999E-4</v>
      </c>
      <c r="AT27" s="22">
        <v>17</v>
      </c>
      <c r="AU27" s="22">
        <v>1.5432699999999999</v>
      </c>
      <c r="AV27">
        <f t="shared" si="8"/>
        <v>-0.238312</v>
      </c>
      <c r="AW27">
        <f t="shared" si="9"/>
        <v>-0.36803475408000003</v>
      </c>
      <c r="AX27" s="9"/>
      <c r="AY27" s="22">
        <v>-1.43433E-2</v>
      </c>
      <c r="AZ27" s="22">
        <v>295.17500000000001</v>
      </c>
      <c r="BA27" s="22">
        <v>-1.77612E-3</v>
      </c>
      <c r="BB27" s="22">
        <v>17</v>
      </c>
      <c r="BC27" s="22">
        <v>-1.4776600000000001E-2</v>
      </c>
      <c r="BD27">
        <f t="shared" si="10"/>
        <v>1.7761199999999999</v>
      </c>
      <c r="BE27">
        <f t="shared" si="11"/>
        <v>-2.5475421995999999E-2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1.53931</v>
      </c>
      <c r="H28" s="22">
        <v>49.493400000000001</v>
      </c>
      <c r="I28" s="22">
        <v>-1.8051100000000001E-4</v>
      </c>
      <c r="J28" s="22">
        <v>18</v>
      </c>
      <c r="K28" s="22">
        <v>1.53809</v>
      </c>
      <c r="L28">
        <f t="shared" si="0"/>
        <v>0.180511</v>
      </c>
      <c r="M28">
        <f t="shared" si="1"/>
        <v>0.27786238741000002</v>
      </c>
      <c r="N28" s="9"/>
      <c r="O28" s="22">
        <v>-9.3078599999999994E-3</v>
      </c>
      <c r="P28" s="22">
        <v>98.552800000000005</v>
      </c>
      <c r="Q28" s="22">
        <v>-1.9653299999999999E-3</v>
      </c>
      <c r="R28" s="22">
        <v>18</v>
      </c>
      <c r="S28" s="22">
        <v>-9.7259500000000006E-3</v>
      </c>
      <c r="T28">
        <f t="shared" si="2"/>
        <v>1.96533</v>
      </c>
      <c r="U28">
        <f t="shared" si="3"/>
        <v>-1.82930164938E-2</v>
      </c>
      <c r="X28" s="9"/>
      <c r="Y28" s="22">
        <v>1.53931</v>
      </c>
      <c r="Z28" s="22">
        <v>147.63200000000001</v>
      </c>
      <c r="AA28" s="22">
        <v>1.2686199999999999E-4</v>
      </c>
      <c r="AB28" s="22">
        <v>18</v>
      </c>
      <c r="AC28" s="22">
        <v>1.5383899999999999</v>
      </c>
      <c r="AD28">
        <f t="shared" si="4"/>
        <v>-0.126862</v>
      </c>
      <c r="AE28">
        <f t="shared" si="5"/>
        <v>-0.19527994522</v>
      </c>
      <c r="AF28" s="9"/>
      <c r="AG28" s="22">
        <v>-9.3078599999999994E-3</v>
      </c>
      <c r="AH28" s="22">
        <v>196.88200000000001</v>
      </c>
      <c r="AI28" s="22">
        <v>-1.8154899999999999E-3</v>
      </c>
      <c r="AJ28" s="22">
        <v>18</v>
      </c>
      <c r="AK28" s="22">
        <v>-9.7595200000000007E-3</v>
      </c>
      <c r="AL28">
        <f t="shared" si="6"/>
        <v>1.8154899999999998</v>
      </c>
      <c r="AM28">
        <f t="shared" si="7"/>
        <v>-1.6898326751399996E-2</v>
      </c>
      <c r="AP28" s="9"/>
      <c r="AQ28" s="22">
        <v>1.53931</v>
      </c>
      <c r="AR28" s="22">
        <v>246.02600000000001</v>
      </c>
      <c r="AS28" s="22">
        <v>2.0324699999999999E-4</v>
      </c>
      <c r="AT28" s="22">
        <v>18</v>
      </c>
      <c r="AU28" s="22">
        <v>1.5387</v>
      </c>
      <c r="AV28">
        <f t="shared" si="8"/>
        <v>-0.20324699999999998</v>
      </c>
      <c r="AW28">
        <f t="shared" si="9"/>
        <v>-0.31286013956999997</v>
      </c>
      <c r="AX28" s="9"/>
      <c r="AY28" s="22">
        <v>-9.3078599999999994E-3</v>
      </c>
      <c r="AZ28" s="22">
        <v>295.18599999999998</v>
      </c>
      <c r="BA28" s="22">
        <v>-1.7550700000000001E-3</v>
      </c>
      <c r="BB28" s="22">
        <v>18</v>
      </c>
      <c r="BC28" s="22">
        <v>-9.7106899999999993E-3</v>
      </c>
      <c r="BD28">
        <f t="shared" si="10"/>
        <v>1.7550700000000001</v>
      </c>
      <c r="BE28">
        <f t="shared" si="11"/>
        <v>-1.6335945850200002E-2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1.53427</v>
      </c>
      <c r="H29" s="22">
        <v>49.503500000000003</v>
      </c>
      <c r="I29" s="22">
        <v>-1.7321799999999999E-4</v>
      </c>
      <c r="J29" s="22">
        <v>19</v>
      </c>
      <c r="K29" s="22">
        <v>1.5335099999999999</v>
      </c>
      <c r="L29">
        <f t="shared" si="0"/>
        <v>0.17321799999999998</v>
      </c>
      <c r="M29">
        <f t="shared" si="1"/>
        <v>0.26576318086</v>
      </c>
      <c r="N29" s="9"/>
      <c r="O29" s="22">
        <v>-4.2724599999999996E-3</v>
      </c>
      <c r="P29" s="22">
        <v>98.562899999999999</v>
      </c>
      <c r="Q29" s="22">
        <v>-1.9381699999999999E-3</v>
      </c>
      <c r="R29" s="22">
        <v>19</v>
      </c>
      <c r="S29" s="22">
        <v>-4.6539299999999997E-3</v>
      </c>
      <c r="T29">
        <f t="shared" si="2"/>
        <v>1.9381699999999999</v>
      </c>
      <c r="U29">
        <f t="shared" si="3"/>
        <v>-8.2807537981999992E-3</v>
      </c>
      <c r="X29" s="9"/>
      <c r="Y29" s="22">
        <v>1.53427</v>
      </c>
      <c r="Z29" s="22">
        <v>147.642</v>
      </c>
      <c r="AA29" s="25">
        <v>9.2315699999999994E-5</v>
      </c>
      <c r="AB29" s="22">
        <v>19</v>
      </c>
      <c r="AC29" s="22">
        <v>1.5335099999999999</v>
      </c>
      <c r="AD29">
        <f t="shared" si="4"/>
        <v>-9.2315700000000001E-2</v>
      </c>
      <c r="AE29">
        <f t="shared" si="5"/>
        <v>-0.14163720903900001</v>
      </c>
      <c r="AF29" s="9"/>
      <c r="AG29" s="22">
        <v>-4.2724599999999996E-3</v>
      </c>
      <c r="AH29" s="22">
        <v>196.892</v>
      </c>
      <c r="AI29" s="22">
        <v>-1.79199E-3</v>
      </c>
      <c r="AJ29" s="22">
        <v>19</v>
      </c>
      <c r="AK29" s="22">
        <v>-4.6203599999999996E-3</v>
      </c>
      <c r="AL29">
        <f t="shared" si="6"/>
        <v>1.79199</v>
      </c>
      <c r="AM29">
        <f t="shared" si="7"/>
        <v>-7.6562055953999994E-3</v>
      </c>
      <c r="AP29" s="9"/>
      <c r="AQ29" s="22">
        <v>1.53427</v>
      </c>
      <c r="AR29" s="22">
        <v>246.036</v>
      </c>
      <c r="AS29" s="22">
        <v>1.67999E-4</v>
      </c>
      <c r="AT29" s="22">
        <v>19</v>
      </c>
      <c r="AU29" s="22">
        <v>1.5325899999999999</v>
      </c>
      <c r="AV29">
        <f t="shared" si="8"/>
        <v>-0.16799900000000001</v>
      </c>
      <c r="AW29">
        <f t="shared" si="9"/>
        <v>-0.25775582573</v>
      </c>
      <c r="AX29" s="9"/>
      <c r="AY29" s="22">
        <v>-4.2724599999999996E-3</v>
      </c>
      <c r="AZ29" s="22">
        <v>295.19600000000003</v>
      </c>
      <c r="BA29" s="22">
        <v>-1.7334E-3</v>
      </c>
      <c r="BB29" s="22">
        <v>19</v>
      </c>
      <c r="BC29" s="22">
        <v>-4.7027600000000003E-3</v>
      </c>
      <c r="BD29">
        <f t="shared" si="10"/>
        <v>1.7334000000000001</v>
      </c>
      <c r="BE29">
        <f t="shared" si="11"/>
        <v>-7.4058821639999993E-3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1.5292399999999999</v>
      </c>
      <c r="H30" s="22">
        <v>49.513599999999997</v>
      </c>
      <c r="I30" s="22">
        <v>-2.0672600000000001E-4</v>
      </c>
      <c r="J30" s="22">
        <v>20</v>
      </c>
      <c r="K30" s="22">
        <v>1.5286299999999999</v>
      </c>
      <c r="L30">
        <f t="shared" si="0"/>
        <v>0.20672600000000002</v>
      </c>
      <c r="M30">
        <f t="shared" si="1"/>
        <v>0.31613366824</v>
      </c>
      <c r="N30" s="9"/>
      <c r="O30" s="22">
        <v>7.6293900000000002E-4</v>
      </c>
      <c r="P30" s="22">
        <v>98.572999999999993</v>
      </c>
      <c r="Q30" s="22">
        <v>-1.9162000000000001E-3</v>
      </c>
      <c r="R30" s="22">
        <v>20</v>
      </c>
      <c r="S30" s="22">
        <v>4.1503900000000002E-4</v>
      </c>
      <c r="T30">
        <f t="shared" si="2"/>
        <v>1.9162000000000001</v>
      </c>
      <c r="U30">
        <f t="shared" si="3"/>
        <v>1.4619437118000001E-3</v>
      </c>
      <c r="X30" s="9"/>
      <c r="Y30" s="22">
        <v>1.5292399999999999</v>
      </c>
      <c r="Z30" s="22">
        <v>147.65199999999999</v>
      </c>
      <c r="AA30" s="25">
        <v>5.9051500000000002E-5</v>
      </c>
      <c r="AB30" s="22">
        <v>20</v>
      </c>
      <c r="AC30" s="22">
        <v>1.5280199999999999</v>
      </c>
      <c r="AD30">
        <f t="shared" si="4"/>
        <v>-5.90515E-2</v>
      </c>
      <c r="AE30">
        <f t="shared" si="5"/>
        <v>-9.030391586E-2</v>
      </c>
      <c r="AF30" s="9"/>
      <c r="AG30" s="22">
        <v>7.6293900000000002E-4</v>
      </c>
      <c r="AH30" s="22">
        <v>196.90199999999999</v>
      </c>
      <c r="AI30" s="22">
        <v>-1.7684899999999999E-3</v>
      </c>
      <c r="AJ30" s="22">
        <v>20</v>
      </c>
      <c r="AK30" s="22">
        <v>4.0588400000000002E-4</v>
      </c>
      <c r="AL30">
        <f t="shared" si="6"/>
        <v>1.7684899999999999</v>
      </c>
      <c r="AM30">
        <f t="shared" si="7"/>
        <v>1.3492499921099999E-3</v>
      </c>
      <c r="AP30" s="9"/>
      <c r="AQ30" s="22">
        <v>1.5292399999999999</v>
      </c>
      <c r="AR30" s="22">
        <v>246.04599999999999</v>
      </c>
      <c r="AS30" s="22">
        <v>1.37207E-4</v>
      </c>
      <c r="AT30" s="22">
        <v>20</v>
      </c>
      <c r="AU30" s="22">
        <v>1.5283199999999999</v>
      </c>
      <c r="AV30">
        <f t="shared" si="8"/>
        <v>-0.137207</v>
      </c>
      <c r="AW30">
        <f t="shared" si="9"/>
        <v>-0.20982243267999998</v>
      </c>
      <c r="AX30" s="9"/>
      <c r="AY30" s="22">
        <v>7.6293900000000002E-4</v>
      </c>
      <c r="AZ30" s="22">
        <v>295.20600000000002</v>
      </c>
      <c r="BA30" s="22">
        <v>-1.7099000000000001E-3</v>
      </c>
      <c r="BB30" s="22">
        <v>20</v>
      </c>
      <c r="BC30" s="22">
        <v>4.0893599999999999E-4</v>
      </c>
      <c r="BD30">
        <f t="shared" si="10"/>
        <v>1.7099000000000002</v>
      </c>
      <c r="BE30">
        <f t="shared" si="11"/>
        <v>1.3045493961000001E-3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1.5242</v>
      </c>
      <c r="H31" s="22">
        <v>49.523600000000002</v>
      </c>
      <c r="I31" s="22">
        <v>-2.4310299999999999E-4</v>
      </c>
      <c r="J31" s="22">
        <v>21</v>
      </c>
      <c r="K31" s="22">
        <v>1.5231300000000001</v>
      </c>
      <c r="L31">
        <f t="shared" si="0"/>
        <v>0.24310299999999999</v>
      </c>
      <c r="M31">
        <f t="shared" si="1"/>
        <v>0.37053759259999997</v>
      </c>
      <c r="N31" s="9"/>
      <c r="O31" s="22">
        <v>5.7983399999999999E-3</v>
      </c>
      <c r="P31" s="22">
        <v>98.582999999999998</v>
      </c>
      <c r="Q31" s="22">
        <v>-1.8975800000000001E-3</v>
      </c>
      <c r="R31" s="22">
        <v>21</v>
      </c>
      <c r="S31" s="22">
        <v>5.4717999999999998E-3</v>
      </c>
      <c r="T31">
        <f t="shared" si="2"/>
        <v>1.89758</v>
      </c>
      <c r="U31">
        <f t="shared" si="3"/>
        <v>1.10028140172E-2</v>
      </c>
      <c r="X31" s="9"/>
      <c r="Y31" s="22">
        <v>1.5242</v>
      </c>
      <c r="Z31" s="22">
        <v>147.66200000000001</v>
      </c>
      <c r="AA31" s="25">
        <v>2.8564500000000001E-5</v>
      </c>
      <c r="AB31" s="22">
        <v>21</v>
      </c>
      <c r="AC31" s="22">
        <v>1.5228299999999999</v>
      </c>
      <c r="AD31">
        <f t="shared" si="4"/>
        <v>-2.85645E-2</v>
      </c>
      <c r="AE31">
        <f t="shared" si="5"/>
        <v>-4.35380109E-2</v>
      </c>
      <c r="AF31" s="9"/>
      <c r="AG31" s="22">
        <v>5.7983399999999999E-3</v>
      </c>
      <c r="AH31" s="22">
        <v>196.91200000000001</v>
      </c>
      <c r="AI31" s="22">
        <v>-1.74866E-3</v>
      </c>
      <c r="AJ31" s="22">
        <v>21</v>
      </c>
      <c r="AK31" s="22">
        <v>5.4321300000000003E-3</v>
      </c>
      <c r="AL31">
        <f t="shared" si="6"/>
        <v>1.7486599999999999</v>
      </c>
      <c r="AM31">
        <f t="shared" si="7"/>
        <v>1.01393252244E-2</v>
      </c>
      <c r="AP31" s="9"/>
      <c r="AQ31" s="22">
        <v>1.5242</v>
      </c>
      <c r="AR31" s="22">
        <v>246.05600000000001</v>
      </c>
      <c r="AS31" s="22">
        <v>1.05682E-4</v>
      </c>
      <c r="AT31" s="22">
        <v>21</v>
      </c>
      <c r="AU31" s="22">
        <v>1.5237400000000001</v>
      </c>
      <c r="AV31">
        <f t="shared" si="8"/>
        <v>-0.105682</v>
      </c>
      <c r="AW31">
        <f t="shared" si="9"/>
        <v>-0.16108050439999999</v>
      </c>
      <c r="AX31" s="9"/>
      <c r="AY31" s="22">
        <v>5.7983399999999999E-3</v>
      </c>
      <c r="AZ31" s="22">
        <v>295.21600000000001</v>
      </c>
      <c r="BA31" s="22">
        <v>-1.6870100000000001E-3</v>
      </c>
      <c r="BB31" s="22">
        <v>21</v>
      </c>
      <c r="BC31" s="22">
        <v>5.4717999999999998E-3</v>
      </c>
      <c r="BD31">
        <f t="shared" si="10"/>
        <v>1.6870100000000001</v>
      </c>
      <c r="BE31">
        <f t="shared" si="11"/>
        <v>9.7818575634E-3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1.5191699999999999</v>
      </c>
      <c r="H32" s="22">
        <v>49.533700000000003</v>
      </c>
      <c r="I32" s="22">
        <v>-2.9244999999999998E-4</v>
      </c>
      <c r="J32" s="22">
        <v>22</v>
      </c>
      <c r="K32" s="22">
        <v>1.5185500000000001</v>
      </c>
      <c r="L32">
        <f t="shared" si="0"/>
        <v>0.29244999999999999</v>
      </c>
      <c r="M32">
        <f t="shared" si="1"/>
        <v>0.44428126649999994</v>
      </c>
      <c r="N32" s="9"/>
      <c r="O32" s="22">
        <v>1.08337E-2</v>
      </c>
      <c r="P32" s="22">
        <v>98.593100000000007</v>
      </c>
      <c r="Q32" s="22">
        <v>-1.87897E-3</v>
      </c>
      <c r="R32" s="22">
        <v>22</v>
      </c>
      <c r="S32" s="22">
        <v>1.04828E-2</v>
      </c>
      <c r="T32">
        <f t="shared" si="2"/>
        <v>1.87897</v>
      </c>
      <c r="U32">
        <f t="shared" si="3"/>
        <v>2.0356197289E-2</v>
      </c>
      <c r="X32" s="9"/>
      <c r="Y32" s="22">
        <v>1.5191699999999999</v>
      </c>
      <c r="Z32" s="22">
        <v>147.673</v>
      </c>
      <c r="AA32" s="25">
        <v>-1.7395E-6</v>
      </c>
      <c r="AB32" s="22">
        <v>22</v>
      </c>
      <c r="AC32" s="22">
        <v>1.5179400000000001</v>
      </c>
      <c r="AD32">
        <f t="shared" si="4"/>
        <v>1.7394999999999999E-3</v>
      </c>
      <c r="AE32">
        <f t="shared" si="5"/>
        <v>2.6425962149999997E-3</v>
      </c>
      <c r="AF32" s="9"/>
      <c r="AG32" s="22">
        <v>1.08337E-2</v>
      </c>
      <c r="AH32" s="22">
        <v>196.922</v>
      </c>
      <c r="AI32" s="22">
        <v>-1.72821E-3</v>
      </c>
      <c r="AJ32" s="22">
        <v>22</v>
      </c>
      <c r="AK32" s="22">
        <v>1.0501099999999999E-2</v>
      </c>
      <c r="AL32">
        <f t="shared" si="6"/>
        <v>1.72821</v>
      </c>
      <c r="AM32">
        <f t="shared" si="7"/>
        <v>1.8722908677000001E-2</v>
      </c>
      <c r="AP32" s="9"/>
      <c r="AQ32" s="22">
        <v>1.5191699999999999</v>
      </c>
      <c r="AR32" s="22">
        <v>246.066</v>
      </c>
      <c r="AS32" s="25">
        <v>7.7728300000000006E-5</v>
      </c>
      <c r="AT32" s="22">
        <v>22</v>
      </c>
      <c r="AU32" s="22">
        <v>1.5182500000000001</v>
      </c>
      <c r="AV32">
        <f t="shared" si="8"/>
        <v>-7.77283E-2</v>
      </c>
      <c r="AW32">
        <f t="shared" si="9"/>
        <v>-0.118082501511</v>
      </c>
      <c r="AX32" s="9"/>
      <c r="AY32" s="22">
        <v>1.08337E-2</v>
      </c>
      <c r="AZ32" s="22">
        <v>295.226</v>
      </c>
      <c r="BA32" s="22">
        <v>-1.6662599999999999E-3</v>
      </c>
      <c r="BB32" s="22">
        <v>22</v>
      </c>
      <c r="BC32" s="22">
        <v>1.04645E-2</v>
      </c>
      <c r="BD32">
        <f t="shared" si="10"/>
        <v>1.6662599999999999</v>
      </c>
      <c r="BE32">
        <f t="shared" si="11"/>
        <v>1.8051760961999997E-2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1.51413</v>
      </c>
      <c r="H33" s="22">
        <v>49.543799999999997</v>
      </c>
      <c r="I33" s="22">
        <v>-2.82074E-4</v>
      </c>
      <c r="J33" s="22">
        <v>23</v>
      </c>
      <c r="K33" s="22">
        <v>1.5133700000000001</v>
      </c>
      <c r="L33">
        <f t="shared" si="0"/>
        <v>0.28207399999999999</v>
      </c>
      <c r="M33">
        <f t="shared" si="1"/>
        <v>0.42709670561999996</v>
      </c>
      <c r="N33" s="9"/>
      <c r="O33" s="22">
        <v>1.5869100000000001E-2</v>
      </c>
      <c r="P33" s="22">
        <v>98.603200000000001</v>
      </c>
      <c r="Q33" s="22">
        <v>-1.85944E-3</v>
      </c>
      <c r="R33" s="22">
        <v>23</v>
      </c>
      <c r="S33" s="22">
        <v>1.5539600000000001E-2</v>
      </c>
      <c r="T33">
        <f t="shared" si="2"/>
        <v>1.85944</v>
      </c>
      <c r="U33">
        <f t="shared" si="3"/>
        <v>2.9507639304000001E-2</v>
      </c>
      <c r="X33" s="9"/>
      <c r="Y33" s="22">
        <v>1.51413</v>
      </c>
      <c r="Z33" s="22">
        <v>147.68299999999999</v>
      </c>
      <c r="AA33" s="25">
        <v>-2.8991699999999999E-5</v>
      </c>
      <c r="AB33" s="22">
        <v>23</v>
      </c>
      <c r="AC33" s="22">
        <v>1.5136700000000001</v>
      </c>
      <c r="AD33">
        <f t="shared" si="4"/>
        <v>2.8991699999999999E-2</v>
      </c>
      <c r="AE33">
        <f t="shared" si="5"/>
        <v>4.3897202720999999E-2</v>
      </c>
      <c r="AF33" s="9"/>
      <c r="AG33" s="22">
        <v>1.5869100000000001E-2</v>
      </c>
      <c r="AH33" s="22">
        <v>196.93199999999999</v>
      </c>
      <c r="AI33" s="22">
        <v>-1.71021E-3</v>
      </c>
      <c r="AJ33" s="22">
        <v>23</v>
      </c>
      <c r="AK33" s="22">
        <v>1.55029E-2</v>
      </c>
      <c r="AL33">
        <f t="shared" si="6"/>
        <v>1.71021</v>
      </c>
      <c r="AM33">
        <f t="shared" si="7"/>
        <v>2.7139493511E-2</v>
      </c>
      <c r="AP33" s="9"/>
      <c r="AQ33" s="22">
        <v>1.51413</v>
      </c>
      <c r="AR33" s="22">
        <v>246.07599999999999</v>
      </c>
      <c r="AS33" s="25">
        <v>4.9438499999999998E-5</v>
      </c>
      <c r="AT33" s="22">
        <v>23</v>
      </c>
      <c r="AU33" s="22">
        <v>1.5130600000000001</v>
      </c>
      <c r="AV33">
        <f t="shared" si="8"/>
        <v>-4.9438499999999996E-2</v>
      </c>
      <c r="AW33">
        <f t="shared" si="9"/>
        <v>-7.4856316004999993E-2</v>
      </c>
      <c r="AX33" s="9"/>
      <c r="AY33" s="22">
        <v>1.5869100000000001E-2</v>
      </c>
      <c r="AZ33" s="22">
        <v>295.23599999999999</v>
      </c>
      <c r="BA33" s="22">
        <v>-1.64795E-3</v>
      </c>
      <c r="BB33" s="22">
        <v>23</v>
      </c>
      <c r="BC33" s="22">
        <v>1.5527300000000001E-2</v>
      </c>
      <c r="BD33">
        <f t="shared" si="10"/>
        <v>1.64795</v>
      </c>
      <c r="BE33">
        <f t="shared" si="11"/>
        <v>2.6151483345E-2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1.50909</v>
      </c>
      <c r="H34" s="22">
        <v>49.553800000000003</v>
      </c>
      <c r="I34" s="22">
        <v>-3.0847200000000001E-4</v>
      </c>
      <c r="J34" s="22">
        <v>24</v>
      </c>
      <c r="K34" s="22">
        <v>1.50848</v>
      </c>
      <c r="L34">
        <f t="shared" si="0"/>
        <v>0.30847200000000002</v>
      </c>
      <c r="M34">
        <f t="shared" si="1"/>
        <v>0.46551201048000007</v>
      </c>
      <c r="N34" s="9"/>
      <c r="O34" s="22">
        <v>2.0904499999999999E-2</v>
      </c>
      <c r="P34" s="22">
        <v>98.613299999999995</v>
      </c>
      <c r="Q34" s="22">
        <v>-1.8392899999999999E-3</v>
      </c>
      <c r="R34" s="22">
        <v>24</v>
      </c>
      <c r="S34" s="22">
        <v>2.0544400000000001E-2</v>
      </c>
      <c r="T34">
        <f t="shared" si="2"/>
        <v>1.8392899999999999</v>
      </c>
      <c r="U34">
        <f t="shared" si="3"/>
        <v>3.8449437804999993E-2</v>
      </c>
      <c r="X34" s="9"/>
      <c r="Y34" s="22">
        <v>1.50909</v>
      </c>
      <c r="Z34" s="22">
        <v>147.69300000000001</v>
      </c>
      <c r="AA34" s="25">
        <v>-5.7342500000000002E-5</v>
      </c>
      <c r="AB34" s="22">
        <v>24</v>
      </c>
      <c r="AC34" s="22">
        <v>1.50848</v>
      </c>
      <c r="AD34">
        <f t="shared" si="4"/>
        <v>5.7342500000000005E-2</v>
      </c>
      <c r="AE34">
        <f t="shared" si="5"/>
        <v>8.6534993325000004E-2</v>
      </c>
      <c r="AF34" s="9"/>
      <c r="AG34" s="22">
        <v>2.0904499999999999E-2</v>
      </c>
      <c r="AH34" s="22">
        <v>196.94200000000001</v>
      </c>
      <c r="AI34" s="22">
        <v>-1.6909799999999999E-3</v>
      </c>
      <c r="AJ34" s="22">
        <v>24</v>
      </c>
      <c r="AK34" s="22">
        <v>2.0611600000000001E-2</v>
      </c>
      <c r="AL34">
        <f t="shared" si="6"/>
        <v>1.6909799999999999</v>
      </c>
      <c r="AM34">
        <f t="shared" si="7"/>
        <v>3.5349091409999998E-2</v>
      </c>
      <c r="AP34" s="9"/>
      <c r="AQ34" s="22">
        <v>1.50909</v>
      </c>
      <c r="AR34" s="22">
        <v>246.08699999999999</v>
      </c>
      <c r="AS34" s="25">
        <v>2.23694E-5</v>
      </c>
      <c r="AT34" s="22">
        <v>24</v>
      </c>
      <c r="AU34" s="22">
        <v>1.5081800000000001</v>
      </c>
      <c r="AV34">
        <f t="shared" si="8"/>
        <v>-2.2369400000000001E-2</v>
      </c>
      <c r="AW34">
        <f t="shared" si="9"/>
        <v>-3.3757437846E-2</v>
      </c>
      <c r="AX34" s="9"/>
      <c r="AY34" s="22">
        <v>2.0904499999999999E-2</v>
      </c>
      <c r="AZ34" s="22">
        <v>295.24599999999998</v>
      </c>
      <c r="BA34" s="22">
        <v>-1.6281100000000001E-3</v>
      </c>
      <c r="BB34" s="22">
        <v>24</v>
      </c>
      <c r="BC34" s="22">
        <v>2.05475E-2</v>
      </c>
      <c r="BD34">
        <f t="shared" si="10"/>
        <v>1.6281100000000002</v>
      </c>
      <c r="BE34">
        <f t="shared" si="11"/>
        <v>3.4034825495000004E-2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1.50406</v>
      </c>
      <c r="H35" s="22">
        <v>49.563899999999997</v>
      </c>
      <c r="I35" s="22">
        <v>-3.367E-4</v>
      </c>
      <c r="J35" s="22">
        <v>25</v>
      </c>
      <c r="K35" s="22">
        <v>1.5033000000000001</v>
      </c>
      <c r="L35">
        <f t="shared" si="0"/>
        <v>0.3367</v>
      </c>
      <c r="M35">
        <f t="shared" si="1"/>
        <v>0.50641700199999995</v>
      </c>
      <c r="N35" s="9"/>
      <c r="O35" s="22">
        <v>2.5939899999999998E-2</v>
      </c>
      <c r="P35" s="22">
        <v>98.6233</v>
      </c>
      <c r="Q35" s="22">
        <v>-1.8215900000000001E-3</v>
      </c>
      <c r="R35" s="22">
        <v>25</v>
      </c>
      <c r="S35" s="22">
        <v>2.56073E-2</v>
      </c>
      <c r="T35">
        <f t="shared" si="2"/>
        <v>1.82159</v>
      </c>
      <c r="U35">
        <f t="shared" si="3"/>
        <v>4.7251862440999999E-2</v>
      </c>
      <c r="X35" s="9"/>
      <c r="Y35" s="22">
        <v>1.50406</v>
      </c>
      <c r="Z35" s="22">
        <v>147.703</v>
      </c>
      <c r="AA35" s="25">
        <v>-8.1329300000000001E-5</v>
      </c>
      <c r="AB35" s="22">
        <v>25</v>
      </c>
      <c r="AC35" s="22">
        <v>1.50299</v>
      </c>
      <c r="AD35">
        <f t="shared" si="4"/>
        <v>8.1329300000000007E-2</v>
      </c>
      <c r="AE35">
        <f t="shared" si="5"/>
        <v>0.12232414695800001</v>
      </c>
      <c r="AF35" s="9"/>
      <c r="AG35" s="22">
        <v>2.5939899999999998E-2</v>
      </c>
      <c r="AH35" s="22">
        <v>196.952</v>
      </c>
      <c r="AI35" s="22">
        <v>-1.6757199999999999E-3</v>
      </c>
      <c r="AJ35" s="22">
        <v>25</v>
      </c>
      <c r="AK35" s="22">
        <v>2.5622599999999999E-2</v>
      </c>
      <c r="AL35">
        <f t="shared" si="6"/>
        <v>1.6757199999999999</v>
      </c>
      <c r="AM35">
        <f t="shared" si="7"/>
        <v>4.3468009227999996E-2</v>
      </c>
      <c r="AP35" s="9"/>
      <c r="AQ35" s="22">
        <v>1.50406</v>
      </c>
      <c r="AR35" s="22">
        <v>246.09700000000001</v>
      </c>
      <c r="AS35" s="25">
        <v>-3.6621099999999999E-6</v>
      </c>
      <c r="AT35" s="22">
        <v>25</v>
      </c>
      <c r="AU35" s="22">
        <v>1.5033000000000001</v>
      </c>
      <c r="AV35">
        <f t="shared" si="8"/>
        <v>3.6621100000000001E-3</v>
      </c>
      <c r="AW35">
        <f t="shared" si="9"/>
        <v>5.5080331666000001E-3</v>
      </c>
      <c r="AX35" s="9"/>
      <c r="AY35" s="22">
        <v>2.5939899999999998E-2</v>
      </c>
      <c r="AZ35" s="22">
        <v>295.25599999999997</v>
      </c>
      <c r="BA35" s="22">
        <v>-1.61163E-3</v>
      </c>
      <c r="BB35" s="22">
        <v>25</v>
      </c>
      <c r="BC35" s="22">
        <v>2.56195E-2</v>
      </c>
      <c r="BD35">
        <f t="shared" si="10"/>
        <v>1.6116299999999999</v>
      </c>
      <c r="BE35">
        <f t="shared" si="11"/>
        <v>4.1805521036999992E-2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1.49902</v>
      </c>
      <c r="H36" s="22">
        <v>49.573999999999998</v>
      </c>
      <c r="I36" s="22">
        <v>-3.7091099999999997E-4</v>
      </c>
      <c r="J36" s="22">
        <v>26</v>
      </c>
      <c r="K36" s="22">
        <v>1.4981100000000001</v>
      </c>
      <c r="L36">
        <f t="shared" si="0"/>
        <v>0.37091099999999999</v>
      </c>
      <c r="M36">
        <f t="shared" si="1"/>
        <v>0.55600300721999996</v>
      </c>
      <c r="N36" s="9"/>
      <c r="O36" s="22">
        <v>3.0975300000000001E-2</v>
      </c>
      <c r="P36" s="22">
        <v>98.633399999999995</v>
      </c>
      <c r="Q36" s="22">
        <v>-1.8054200000000001E-3</v>
      </c>
      <c r="R36" s="22">
        <v>26</v>
      </c>
      <c r="S36" s="22">
        <v>3.06366E-2</v>
      </c>
      <c r="T36">
        <f t="shared" si="2"/>
        <v>1.80542</v>
      </c>
      <c r="U36">
        <f t="shared" si="3"/>
        <v>5.5923426126E-2</v>
      </c>
      <c r="X36" s="9"/>
      <c r="Y36" s="22">
        <v>1.49902</v>
      </c>
      <c r="Z36" s="22">
        <v>147.71299999999999</v>
      </c>
      <c r="AA36" s="22">
        <v>-1.0556E-4</v>
      </c>
      <c r="AB36" s="22">
        <v>26</v>
      </c>
      <c r="AC36" s="22">
        <v>1.4978</v>
      </c>
      <c r="AD36">
        <f t="shared" si="4"/>
        <v>0.10556</v>
      </c>
      <c r="AE36">
        <f t="shared" si="5"/>
        <v>0.15823655119999999</v>
      </c>
      <c r="AF36" s="9"/>
      <c r="AG36" s="22">
        <v>3.0975300000000001E-2</v>
      </c>
      <c r="AH36" s="22">
        <v>196.96199999999999</v>
      </c>
      <c r="AI36" s="22">
        <v>-1.65741E-3</v>
      </c>
      <c r="AJ36" s="22">
        <v>26</v>
      </c>
      <c r="AK36" s="22">
        <v>3.0685400000000002E-2</v>
      </c>
      <c r="AL36">
        <f t="shared" si="6"/>
        <v>1.65741</v>
      </c>
      <c r="AM36">
        <f t="shared" si="7"/>
        <v>5.1338771973000005E-2</v>
      </c>
      <c r="AP36" s="9"/>
      <c r="AQ36" s="22">
        <v>1.49902</v>
      </c>
      <c r="AR36" s="22">
        <v>246.107</v>
      </c>
      <c r="AS36" s="25">
        <v>-2.9144300000000001E-5</v>
      </c>
      <c r="AT36" s="22">
        <v>26</v>
      </c>
      <c r="AU36" s="22">
        <v>1.4975000000000001</v>
      </c>
      <c r="AV36">
        <f t="shared" si="8"/>
        <v>2.9144300000000001E-2</v>
      </c>
      <c r="AW36">
        <f t="shared" si="9"/>
        <v>4.3687888586E-2</v>
      </c>
      <c r="AX36" s="9"/>
      <c r="AY36" s="22">
        <v>3.0975300000000001E-2</v>
      </c>
      <c r="AZ36" s="22">
        <v>295.26600000000002</v>
      </c>
      <c r="BA36" s="22">
        <v>-1.5933200000000001E-3</v>
      </c>
      <c r="BB36" s="22">
        <v>26</v>
      </c>
      <c r="BC36" s="22">
        <v>3.0658000000000001E-2</v>
      </c>
      <c r="BD36">
        <f t="shared" si="10"/>
        <v>1.5933200000000001</v>
      </c>
      <c r="BE36">
        <f t="shared" si="11"/>
        <v>4.9353564996E-2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1.4939899999999999</v>
      </c>
      <c r="H37" s="22">
        <v>49.584099999999999</v>
      </c>
      <c r="I37" s="22">
        <v>-3.9846800000000002E-4</v>
      </c>
      <c r="J37" s="22">
        <v>27</v>
      </c>
      <c r="K37" s="22">
        <v>1.49292</v>
      </c>
      <c r="L37">
        <f t="shared" si="0"/>
        <v>0.39846800000000004</v>
      </c>
      <c r="M37">
        <f t="shared" si="1"/>
        <v>0.59530720732000009</v>
      </c>
      <c r="N37" s="9"/>
      <c r="O37" s="22">
        <v>3.60107E-2</v>
      </c>
      <c r="P37" s="22">
        <v>98.643500000000003</v>
      </c>
      <c r="Q37" s="22">
        <v>-1.78955E-3</v>
      </c>
      <c r="R37" s="22">
        <v>27</v>
      </c>
      <c r="S37" s="22">
        <v>3.5720799999999997E-2</v>
      </c>
      <c r="T37">
        <f t="shared" si="2"/>
        <v>1.78955</v>
      </c>
      <c r="U37">
        <f t="shared" si="3"/>
        <v>6.4442948185000001E-2</v>
      </c>
      <c r="X37" s="9"/>
      <c r="Y37" s="22">
        <v>1.4939899999999999</v>
      </c>
      <c r="Z37" s="22">
        <v>147.72300000000001</v>
      </c>
      <c r="AA37" s="22">
        <v>-1.2680100000000001E-4</v>
      </c>
      <c r="AB37" s="22">
        <v>27</v>
      </c>
      <c r="AC37" s="22">
        <v>1.49292</v>
      </c>
      <c r="AD37">
        <f t="shared" si="4"/>
        <v>0.126801</v>
      </c>
      <c r="AE37">
        <f t="shared" si="5"/>
        <v>0.18943942598999999</v>
      </c>
      <c r="AF37" s="9"/>
      <c r="AG37" s="22">
        <v>3.60107E-2</v>
      </c>
      <c r="AH37" s="22">
        <v>196.97200000000001</v>
      </c>
      <c r="AI37" s="22">
        <v>-1.6415399999999999E-3</v>
      </c>
      <c r="AJ37" s="22">
        <v>27</v>
      </c>
      <c r="AK37" s="22">
        <v>3.5733000000000001E-2</v>
      </c>
      <c r="AL37">
        <f t="shared" si="6"/>
        <v>1.64154</v>
      </c>
      <c r="AM37">
        <f t="shared" si="7"/>
        <v>5.9113004477999997E-2</v>
      </c>
      <c r="AP37" s="9"/>
      <c r="AQ37" s="22">
        <v>1.4939899999999999</v>
      </c>
      <c r="AR37" s="22">
        <v>246.11699999999999</v>
      </c>
      <c r="AS37" s="25">
        <v>-5.4718E-5</v>
      </c>
      <c r="AT37" s="22">
        <v>27</v>
      </c>
      <c r="AU37" s="22">
        <v>1.49231</v>
      </c>
      <c r="AV37">
        <f t="shared" si="8"/>
        <v>5.4718000000000003E-2</v>
      </c>
      <c r="AW37">
        <f t="shared" si="9"/>
        <v>8.1748144820000007E-2</v>
      </c>
      <c r="AX37" s="9"/>
      <c r="AY37" s="22">
        <v>3.60107E-2</v>
      </c>
      <c r="AZ37" s="22">
        <v>295.27600000000001</v>
      </c>
      <c r="BA37" s="22">
        <v>-1.5768399999999999E-3</v>
      </c>
      <c r="BB37" s="22">
        <v>27</v>
      </c>
      <c r="BC37" s="22">
        <v>3.5711699999999999E-2</v>
      </c>
      <c r="BD37">
        <f t="shared" si="10"/>
        <v>1.57684</v>
      </c>
      <c r="BE37">
        <f t="shared" si="11"/>
        <v>5.6783112188000001E-2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1.48895</v>
      </c>
      <c r="H38" s="22">
        <v>49.594099999999997</v>
      </c>
      <c r="I38" s="22">
        <v>-4.4027699999999999E-4</v>
      </c>
      <c r="J38" s="22">
        <v>28</v>
      </c>
      <c r="K38" s="22">
        <v>1.48743</v>
      </c>
      <c r="L38">
        <f t="shared" si="0"/>
        <v>0.44027699999999997</v>
      </c>
      <c r="M38">
        <f t="shared" si="1"/>
        <v>0.65555043915</v>
      </c>
      <c r="N38" s="9"/>
      <c r="O38" s="22">
        <v>4.1046100000000002E-2</v>
      </c>
      <c r="P38" s="22">
        <v>98.653499999999994</v>
      </c>
      <c r="Q38" s="22">
        <v>-1.7736799999999999E-3</v>
      </c>
      <c r="R38" s="22">
        <v>28</v>
      </c>
      <c r="S38" s="22">
        <v>4.0759299999999998E-2</v>
      </c>
      <c r="T38">
        <f t="shared" si="2"/>
        <v>1.7736799999999999</v>
      </c>
      <c r="U38">
        <f t="shared" si="3"/>
        <v>7.2802646648E-2</v>
      </c>
      <c r="X38" s="9"/>
      <c r="Y38" s="22">
        <v>1.48895</v>
      </c>
      <c r="Z38" s="22">
        <v>147.733</v>
      </c>
      <c r="AA38" s="22">
        <v>-1.51337E-4</v>
      </c>
      <c r="AB38" s="22">
        <v>28</v>
      </c>
      <c r="AC38" s="22">
        <v>1.48773</v>
      </c>
      <c r="AD38">
        <f t="shared" si="4"/>
        <v>0.151337</v>
      </c>
      <c r="AE38">
        <f t="shared" si="5"/>
        <v>0.22533322615000001</v>
      </c>
      <c r="AF38" s="9"/>
      <c r="AG38" s="22">
        <v>4.1046100000000002E-2</v>
      </c>
      <c r="AH38" s="22">
        <v>196.982</v>
      </c>
      <c r="AI38" s="22">
        <v>-1.62659E-3</v>
      </c>
      <c r="AJ38" s="22">
        <v>28</v>
      </c>
      <c r="AK38" s="22">
        <v>4.0774499999999998E-2</v>
      </c>
      <c r="AL38">
        <f t="shared" si="6"/>
        <v>1.62659</v>
      </c>
      <c r="AM38">
        <f t="shared" si="7"/>
        <v>6.6765175799000001E-2</v>
      </c>
      <c r="AP38" s="9"/>
      <c r="AQ38" s="22">
        <v>1.48895</v>
      </c>
      <c r="AR38" s="22">
        <v>246.12700000000001</v>
      </c>
      <c r="AS38" s="25">
        <v>-7.2936999999999996E-5</v>
      </c>
      <c r="AT38" s="22">
        <v>28</v>
      </c>
      <c r="AU38" s="22">
        <v>1.48834</v>
      </c>
      <c r="AV38">
        <f t="shared" si="8"/>
        <v>7.2937000000000002E-2</v>
      </c>
      <c r="AW38">
        <f t="shared" si="9"/>
        <v>0.10859954615</v>
      </c>
      <c r="AX38" s="9"/>
      <c r="AY38" s="22">
        <v>4.1046100000000002E-2</v>
      </c>
      <c r="AZ38" s="22">
        <v>295.286</v>
      </c>
      <c r="BA38" s="22">
        <v>-1.56128E-3</v>
      </c>
      <c r="BB38" s="22">
        <v>28</v>
      </c>
      <c r="BC38" s="22">
        <v>4.0762300000000001E-2</v>
      </c>
      <c r="BD38">
        <f t="shared" si="10"/>
        <v>1.56128</v>
      </c>
      <c r="BE38">
        <f t="shared" si="11"/>
        <v>6.4084455008000002E-2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1.4839199999999999</v>
      </c>
      <c r="H39" s="22">
        <v>49.604199999999999</v>
      </c>
      <c r="I39" s="22">
        <v>-4.2834500000000001E-4</v>
      </c>
      <c r="J39" s="22">
        <v>29</v>
      </c>
      <c r="K39" s="22">
        <v>1.48346</v>
      </c>
      <c r="L39">
        <f t="shared" si="0"/>
        <v>0.42834500000000003</v>
      </c>
      <c r="M39">
        <f t="shared" si="1"/>
        <v>0.63562971239999999</v>
      </c>
      <c r="N39" s="9"/>
      <c r="O39" s="22">
        <v>4.6081499999999997E-2</v>
      </c>
      <c r="P39" s="22">
        <v>98.663600000000002</v>
      </c>
      <c r="Q39" s="22">
        <v>-1.75873E-3</v>
      </c>
      <c r="R39" s="22">
        <v>29</v>
      </c>
      <c r="S39" s="22">
        <v>4.5828199999999999E-2</v>
      </c>
      <c r="T39">
        <f t="shared" si="2"/>
        <v>1.7587299999999999</v>
      </c>
      <c r="U39">
        <f t="shared" si="3"/>
        <v>8.1044916494999994E-2</v>
      </c>
      <c r="X39" s="9"/>
      <c r="Y39" s="22">
        <v>1.4839199999999999</v>
      </c>
      <c r="Z39" s="22">
        <v>147.74299999999999</v>
      </c>
      <c r="AA39" s="22">
        <v>-1.6894499999999999E-4</v>
      </c>
      <c r="AB39" s="22">
        <v>29</v>
      </c>
      <c r="AC39" s="22">
        <v>1.48315</v>
      </c>
      <c r="AD39">
        <f t="shared" si="4"/>
        <v>0.16894499999999998</v>
      </c>
      <c r="AE39">
        <f t="shared" si="5"/>
        <v>0.25070086439999995</v>
      </c>
      <c r="AF39" s="9"/>
      <c r="AG39" s="22">
        <v>4.6081499999999997E-2</v>
      </c>
      <c r="AH39" s="22">
        <v>196.99199999999999</v>
      </c>
      <c r="AI39" s="22">
        <v>-1.6110199999999999E-3</v>
      </c>
      <c r="AJ39" s="22">
        <v>29</v>
      </c>
      <c r="AK39" s="22">
        <v>4.5794700000000001E-2</v>
      </c>
      <c r="AL39">
        <f t="shared" si="6"/>
        <v>1.6110199999999999</v>
      </c>
      <c r="AM39">
        <f t="shared" si="7"/>
        <v>7.4238218129999992E-2</v>
      </c>
      <c r="AP39" s="9"/>
      <c r="AQ39" s="22">
        <v>1.4839199999999999</v>
      </c>
      <c r="AR39" s="22">
        <v>246.137</v>
      </c>
      <c r="AS39" s="25">
        <v>-9.0850800000000001E-5</v>
      </c>
      <c r="AT39" s="22">
        <v>29</v>
      </c>
      <c r="AU39" s="22">
        <v>1.48315</v>
      </c>
      <c r="AV39">
        <f t="shared" si="8"/>
        <v>9.0850799999999995E-2</v>
      </c>
      <c r="AW39">
        <f t="shared" si="9"/>
        <v>0.13481531913599998</v>
      </c>
      <c r="AX39" s="9"/>
      <c r="AY39" s="22">
        <v>4.6081499999999997E-2</v>
      </c>
      <c r="AZ39" s="22">
        <v>295.29599999999999</v>
      </c>
      <c r="BA39" s="22">
        <v>-1.5469399999999999E-3</v>
      </c>
      <c r="BB39" s="22">
        <v>29</v>
      </c>
      <c r="BC39" s="22">
        <v>4.5809900000000001E-2</v>
      </c>
      <c r="BD39">
        <f t="shared" si="10"/>
        <v>1.54694</v>
      </c>
      <c r="BE39">
        <f t="shared" si="11"/>
        <v>7.1285315609999997E-2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1.47888</v>
      </c>
      <c r="H40" s="22">
        <v>49.6143</v>
      </c>
      <c r="I40" s="22">
        <v>-4.6133399999999998E-4</v>
      </c>
      <c r="J40" s="22">
        <v>30</v>
      </c>
      <c r="K40" s="22">
        <v>1.47827</v>
      </c>
      <c r="L40">
        <f t="shared" si="0"/>
        <v>0.46133399999999997</v>
      </c>
      <c r="M40">
        <f t="shared" si="1"/>
        <v>0.68225762591999994</v>
      </c>
      <c r="N40" s="9"/>
      <c r="O40" s="22">
        <v>5.11169E-2</v>
      </c>
      <c r="P40" s="22">
        <v>98.673699999999997</v>
      </c>
      <c r="Q40" s="22">
        <v>-1.745E-3</v>
      </c>
      <c r="R40" s="22">
        <v>30</v>
      </c>
      <c r="S40" s="22">
        <v>5.0628699999999999E-2</v>
      </c>
      <c r="T40">
        <f t="shared" si="2"/>
        <v>1.7450000000000001</v>
      </c>
      <c r="U40">
        <f t="shared" si="3"/>
        <v>8.9198990500000006E-2</v>
      </c>
      <c r="X40" s="9"/>
      <c r="Y40" s="22">
        <v>1.47888</v>
      </c>
      <c r="Z40" s="22">
        <v>147.75299999999999</v>
      </c>
      <c r="AA40" s="22">
        <v>-1.90125E-4</v>
      </c>
      <c r="AB40" s="22">
        <v>30</v>
      </c>
      <c r="AC40" s="22">
        <v>1.47797</v>
      </c>
      <c r="AD40">
        <f t="shared" si="4"/>
        <v>0.19012499999999999</v>
      </c>
      <c r="AE40">
        <f t="shared" si="5"/>
        <v>0.28117206</v>
      </c>
      <c r="AF40" s="9"/>
      <c r="AG40" s="22">
        <v>5.11169E-2</v>
      </c>
      <c r="AH40" s="22">
        <v>197.00299999999999</v>
      </c>
      <c r="AI40" s="22">
        <v>-1.5976E-3</v>
      </c>
      <c r="AJ40" s="22">
        <v>30</v>
      </c>
      <c r="AK40" s="22">
        <v>5.05981E-2</v>
      </c>
      <c r="AL40">
        <f t="shared" si="6"/>
        <v>1.5975999999999999</v>
      </c>
      <c r="AM40">
        <f t="shared" si="7"/>
        <v>8.1664359440000001E-2</v>
      </c>
      <c r="AP40" s="9"/>
      <c r="AQ40" s="22">
        <v>1.47888</v>
      </c>
      <c r="AR40" s="22">
        <v>246.14699999999999</v>
      </c>
      <c r="AS40" s="22">
        <v>-1.08856E-4</v>
      </c>
      <c r="AT40" s="22">
        <v>30</v>
      </c>
      <c r="AU40" s="22">
        <v>1.47736</v>
      </c>
      <c r="AV40">
        <f t="shared" si="8"/>
        <v>0.10885600000000001</v>
      </c>
      <c r="AW40">
        <f t="shared" si="9"/>
        <v>0.16098496128000001</v>
      </c>
      <c r="AX40" s="9"/>
      <c r="AY40" s="22">
        <v>5.11169E-2</v>
      </c>
      <c r="AZ40" s="22">
        <v>295.30599999999998</v>
      </c>
      <c r="BA40" s="22">
        <v>-1.5307599999999999E-3</v>
      </c>
      <c r="BB40" s="22">
        <v>30</v>
      </c>
      <c r="BC40" s="22">
        <v>5.0537100000000001E-2</v>
      </c>
      <c r="BD40">
        <f t="shared" si="10"/>
        <v>1.5307599999999999</v>
      </c>
      <c r="BE40">
        <f t="shared" si="11"/>
        <v>7.8247705843999996E-2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1.4738500000000001</v>
      </c>
      <c r="H41" s="22">
        <v>49.624299999999998</v>
      </c>
      <c r="I41" s="22">
        <v>-4.7009299999999999E-4</v>
      </c>
      <c r="J41" s="22">
        <v>31</v>
      </c>
      <c r="K41" s="22">
        <v>1.4724699999999999</v>
      </c>
      <c r="L41">
        <f t="shared" si="0"/>
        <v>0.47009299999999998</v>
      </c>
      <c r="M41">
        <f t="shared" si="1"/>
        <v>0.69284656805</v>
      </c>
      <c r="N41" s="9"/>
      <c r="O41" s="22">
        <v>5.6152300000000002E-2</v>
      </c>
      <c r="P41" s="22">
        <v>98.683800000000005</v>
      </c>
      <c r="Q41" s="22">
        <v>-1.73157E-3</v>
      </c>
      <c r="R41" s="22">
        <v>31</v>
      </c>
      <c r="S41" s="22">
        <v>5.5664100000000001E-2</v>
      </c>
      <c r="T41">
        <f t="shared" si="2"/>
        <v>1.7315700000000001</v>
      </c>
      <c r="U41">
        <f t="shared" si="3"/>
        <v>9.723163811100001E-2</v>
      </c>
      <c r="X41" s="9"/>
      <c r="Y41" s="22">
        <v>1.4738500000000001</v>
      </c>
      <c r="Z41" s="22">
        <v>147.76300000000001</v>
      </c>
      <c r="AA41" s="22">
        <v>-2.09442E-4</v>
      </c>
      <c r="AB41" s="22">
        <v>31</v>
      </c>
      <c r="AC41" s="22">
        <v>1.4724699999999999</v>
      </c>
      <c r="AD41">
        <f t="shared" si="4"/>
        <v>0.20944200000000002</v>
      </c>
      <c r="AE41">
        <f t="shared" si="5"/>
        <v>0.30868609170000005</v>
      </c>
      <c r="AF41" s="9"/>
      <c r="AG41" s="22">
        <v>5.6152300000000002E-2</v>
      </c>
      <c r="AH41" s="22">
        <v>197.01300000000001</v>
      </c>
      <c r="AI41" s="22">
        <v>-1.5838600000000001E-3</v>
      </c>
      <c r="AJ41" s="22">
        <v>31</v>
      </c>
      <c r="AK41" s="22">
        <v>5.5603E-2</v>
      </c>
      <c r="AL41">
        <f t="shared" si="6"/>
        <v>1.58386</v>
      </c>
      <c r="AM41">
        <f t="shared" si="7"/>
        <v>8.8937381878000002E-2</v>
      </c>
      <c r="AP41" s="9"/>
      <c r="AQ41" s="22">
        <v>1.4738500000000001</v>
      </c>
      <c r="AR41" s="22">
        <v>246.15700000000001</v>
      </c>
      <c r="AS41" s="22">
        <v>-1.28143E-4</v>
      </c>
      <c r="AT41" s="22">
        <v>31</v>
      </c>
      <c r="AU41" s="22">
        <v>1.47278</v>
      </c>
      <c r="AV41">
        <f t="shared" si="8"/>
        <v>0.12814300000000001</v>
      </c>
      <c r="AW41">
        <f t="shared" si="9"/>
        <v>0.18886356055000003</v>
      </c>
      <c r="AX41" s="9"/>
      <c r="AY41" s="22">
        <v>5.6152300000000002E-2</v>
      </c>
      <c r="AZ41" s="22">
        <v>295.31599999999997</v>
      </c>
      <c r="BA41" s="22">
        <v>-1.5164200000000001E-3</v>
      </c>
      <c r="BB41" s="22">
        <v>31</v>
      </c>
      <c r="BC41" s="22">
        <v>5.5633500000000002E-2</v>
      </c>
      <c r="BD41">
        <f t="shared" si="10"/>
        <v>1.5164200000000001</v>
      </c>
      <c r="BE41">
        <f t="shared" si="11"/>
        <v>8.5150470766000005E-2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1.4688099999999999</v>
      </c>
      <c r="H42" s="22">
        <v>49.634399999999999</v>
      </c>
      <c r="I42" s="22">
        <v>-4.9270599999999998E-4</v>
      </c>
      <c r="J42" s="22">
        <v>32</v>
      </c>
      <c r="K42" s="22">
        <v>1.4679</v>
      </c>
      <c r="L42">
        <f t="shared" si="0"/>
        <v>0.49270599999999998</v>
      </c>
      <c r="M42">
        <f t="shared" si="1"/>
        <v>0.72369149985999992</v>
      </c>
      <c r="N42" s="9"/>
      <c r="O42" s="22">
        <v>6.1187699999999998E-2</v>
      </c>
      <c r="P42" s="22">
        <v>98.693799999999996</v>
      </c>
      <c r="Q42" s="22">
        <v>-1.71967E-3</v>
      </c>
      <c r="R42" s="22">
        <v>32</v>
      </c>
      <c r="S42" s="22">
        <v>6.0607899999999999E-2</v>
      </c>
      <c r="T42">
        <f t="shared" si="2"/>
        <v>1.71967</v>
      </c>
      <c r="U42">
        <f t="shared" si="3"/>
        <v>0.105222652059</v>
      </c>
      <c r="X42" s="9"/>
      <c r="Y42" s="22">
        <v>1.4688099999999999</v>
      </c>
      <c r="Z42" s="22">
        <v>147.773</v>
      </c>
      <c r="AA42" s="22">
        <v>-2.29309E-4</v>
      </c>
      <c r="AB42" s="22">
        <v>32</v>
      </c>
      <c r="AC42" s="22">
        <v>1.4679</v>
      </c>
      <c r="AD42">
        <f t="shared" si="4"/>
        <v>0.22930899999999999</v>
      </c>
      <c r="AE42">
        <f t="shared" si="5"/>
        <v>0.33681135228999998</v>
      </c>
      <c r="AF42" s="9"/>
      <c r="AG42" s="22">
        <v>6.1187699999999998E-2</v>
      </c>
      <c r="AH42" s="22">
        <v>197.023</v>
      </c>
      <c r="AI42" s="22">
        <v>-1.5692099999999999E-3</v>
      </c>
      <c r="AJ42" s="22">
        <v>32</v>
      </c>
      <c r="AK42" s="22">
        <v>6.0668899999999998E-2</v>
      </c>
      <c r="AL42">
        <f t="shared" si="6"/>
        <v>1.56921</v>
      </c>
      <c r="AM42">
        <f t="shared" si="7"/>
        <v>9.6016350717000001E-2</v>
      </c>
      <c r="AP42" s="9"/>
      <c r="AQ42" s="22">
        <v>1.4688099999999999</v>
      </c>
      <c r="AR42" s="22">
        <v>246.167</v>
      </c>
      <c r="AS42" s="22">
        <v>-1.4443999999999999E-4</v>
      </c>
      <c r="AT42" s="22">
        <v>32</v>
      </c>
      <c r="AU42" s="22">
        <v>1.46759</v>
      </c>
      <c r="AV42">
        <f t="shared" si="8"/>
        <v>0.14443999999999999</v>
      </c>
      <c r="AW42">
        <f t="shared" si="9"/>
        <v>0.21215491639999998</v>
      </c>
      <c r="AX42" s="9"/>
      <c r="AY42" s="22">
        <v>6.1187699999999998E-2</v>
      </c>
      <c r="AZ42" s="22">
        <v>295.327</v>
      </c>
      <c r="BA42" s="22">
        <v>-1.5026900000000001E-3</v>
      </c>
      <c r="BB42" s="22">
        <v>32</v>
      </c>
      <c r="BC42" s="22">
        <v>6.0638400000000002E-2</v>
      </c>
      <c r="BD42">
        <f t="shared" si="10"/>
        <v>1.5026900000000001</v>
      </c>
      <c r="BE42">
        <f t="shared" si="11"/>
        <v>9.1946144913000002E-2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1.4637800000000001</v>
      </c>
      <c r="H43" s="22">
        <v>49.644500000000001</v>
      </c>
      <c r="I43" s="22">
        <v>-4.9957300000000001E-4</v>
      </c>
      <c r="J43" s="22">
        <v>33</v>
      </c>
      <c r="K43" s="22">
        <v>1.4623999999999999</v>
      </c>
      <c r="L43">
        <f t="shared" si="0"/>
        <v>0.49957299999999999</v>
      </c>
      <c r="M43">
        <f t="shared" si="1"/>
        <v>0.73126496594000001</v>
      </c>
      <c r="N43" s="9"/>
      <c r="O43" s="22">
        <v>6.6223099999999993E-2</v>
      </c>
      <c r="P43" s="22">
        <v>98.703900000000004</v>
      </c>
      <c r="Q43" s="22">
        <v>-1.70593E-3</v>
      </c>
      <c r="R43" s="22">
        <v>33</v>
      </c>
      <c r="S43" s="22">
        <v>6.5704299999999993E-2</v>
      </c>
      <c r="T43">
        <f t="shared" si="2"/>
        <v>1.7059299999999999</v>
      </c>
      <c r="U43">
        <f t="shared" si="3"/>
        <v>0.11297197298299999</v>
      </c>
      <c r="X43" s="9"/>
      <c r="Y43" s="22">
        <v>1.4637800000000001</v>
      </c>
      <c r="Z43" s="22">
        <v>147.78299999999999</v>
      </c>
      <c r="AA43" s="22">
        <v>-2.4539199999999998E-4</v>
      </c>
      <c r="AB43" s="22">
        <v>33</v>
      </c>
      <c r="AC43" s="22">
        <v>1.4623999999999999</v>
      </c>
      <c r="AD43">
        <f t="shared" si="4"/>
        <v>0.24539199999999997</v>
      </c>
      <c r="AE43">
        <f t="shared" si="5"/>
        <v>0.35919990176</v>
      </c>
      <c r="AF43" s="9"/>
      <c r="AG43" s="22">
        <v>6.6223099999999993E-2</v>
      </c>
      <c r="AH43" s="22">
        <v>197.03299999999999</v>
      </c>
      <c r="AI43" s="22">
        <v>-1.5554799999999999E-3</v>
      </c>
      <c r="AJ43" s="22">
        <v>33</v>
      </c>
      <c r="AK43" s="22">
        <v>6.5673800000000004E-2</v>
      </c>
      <c r="AL43">
        <f t="shared" si="6"/>
        <v>1.55548</v>
      </c>
      <c r="AM43">
        <f t="shared" si="7"/>
        <v>0.10300870758799999</v>
      </c>
      <c r="AP43" s="9"/>
      <c r="AQ43" s="22">
        <v>1.4637800000000001</v>
      </c>
      <c r="AR43" s="22">
        <v>246.17699999999999</v>
      </c>
      <c r="AS43" s="22">
        <v>-1.6155999999999999E-4</v>
      </c>
      <c r="AT43" s="22">
        <v>33</v>
      </c>
      <c r="AU43" s="22">
        <v>1.46332</v>
      </c>
      <c r="AV43">
        <f t="shared" si="8"/>
        <v>0.16155999999999998</v>
      </c>
      <c r="AW43">
        <f t="shared" si="9"/>
        <v>0.2364882968</v>
      </c>
      <c r="AX43" s="9"/>
      <c r="AY43" s="22">
        <v>6.6223099999999993E-2</v>
      </c>
      <c r="AZ43" s="22">
        <v>295.33699999999999</v>
      </c>
      <c r="BA43" s="22">
        <v>-1.4898699999999999E-3</v>
      </c>
      <c r="BB43" s="22">
        <v>33</v>
      </c>
      <c r="BC43" s="22">
        <v>6.5704299999999993E-2</v>
      </c>
      <c r="BD43">
        <f t="shared" si="10"/>
        <v>1.4898699999999998</v>
      </c>
      <c r="BE43">
        <f t="shared" si="11"/>
        <v>9.8663809996999974E-2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1.4587399999999999</v>
      </c>
      <c r="H44" s="22">
        <v>49.654600000000002</v>
      </c>
      <c r="I44" s="22">
        <v>-5.3253199999999995E-4</v>
      </c>
      <c r="J44" s="22">
        <v>34</v>
      </c>
      <c r="K44" s="22">
        <v>1.4581299999999999</v>
      </c>
      <c r="L44">
        <f t="shared" si="0"/>
        <v>0.53253199999999989</v>
      </c>
      <c r="M44">
        <f t="shared" si="1"/>
        <v>0.77682572967999985</v>
      </c>
      <c r="N44" s="9"/>
      <c r="O44" s="22">
        <v>7.1258500000000002E-2</v>
      </c>
      <c r="P44" s="22">
        <v>98.713999999999999</v>
      </c>
      <c r="Q44" s="22">
        <v>-1.6943399999999999E-3</v>
      </c>
      <c r="R44" s="22">
        <v>34</v>
      </c>
      <c r="S44" s="22">
        <v>7.07092E-2</v>
      </c>
      <c r="T44">
        <f t="shared" si="2"/>
        <v>1.69434</v>
      </c>
      <c r="U44">
        <f t="shared" si="3"/>
        <v>0.12073612689</v>
      </c>
      <c r="X44" s="9"/>
      <c r="Y44" s="22">
        <v>1.4587399999999999</v>
      </c>
      <c r="Z44" s="22">
        <v>147.79300000000001</v>
      </c>
      <c r="AA44" s="22">
        <v>-2.6385500000000001E-4</v>
      </c>
      <c r="AB44" s="22">
        <v>34</v>
      </c>
      <c r="AC44" s="22">
        <v>1.4581299999999999</v>
      </c>
      <c r="AD44">
        <f t="shared" si="4"/>
        <v>0.26385500000000001</v>
      </c>
      <c r="AE44">
        <f t="shared" si="5"/>
        <v>0.38489584269999999</v>
      </c>
      <c r="AF44" s="9"/>
      <c r="AG44" s="22">
        <v>7.1258500000000002E-2</v>
      </c>
      <c r="AH44" s="22">
        <v>197.04300000000001</v>
      </c>
      <c r="AI44" s="22">
        <v>-1.5429700000000001E-3</v>
      </c>
      <c r="AJ44" s="22">
        <v>34</v>
      </c>
      <c r="AK44" s="22">
        <v>7.0770299999999994E-2</v>
      </c>
      <c r="AL44">
        <f t="shared" si="6"/>
        <v>1.54297</v>
      </c>
      <c r="AM44">
        <f t="shared" si="7"/>
        <v>0.109949727745</v>
      </c>
      <c r="AP44" s="9"/>
      <c r="AQ44" s="22">
        <v>1.4587399999999999</v>
      </c>
      <c r="AR44" s="22">
        <v>246.18700000000001</v>
      </c>
      <c r="AS44" s="22">
        <v>-1.7953500000000001E-4</v>
      </c>
      <c r="AT44" s="22">
        <v>34</v>
      </c>
      <c r="AU44" s="22">
        <v>1.4581299999999999</v>
      </c>
      <c r="AV44">
        <f t="shared" si="8"/>
        <v>0.179535</v>
      </c>
      <c r="AW44">
        <f t="shared" si="9"/>
        <v>0.26189488589999999</v>
      </c>
      <c r="AX44" s="9"/>
      <c r="AY44" s="22">
        <v>7.1258500000000002E-2</v>
      </c>
      <c r="AZ44" s="22">
        <v>295.34699999999998</v>
      </c>
      <c r="BA44" s="22">
        <v>-1.4764400000000001E-3</v>
      </c>
      <c r="BB44" s="22">
        <v>34</v>
      </c>
      <c r="BC44" s="22">
        <v>7.0739700000000003E-2</v>
      </c>
      <c r="BD44">
        <f t="shared" si="10"/>
        <v>1.4764400000000002</v>
      </c>
      <c r="BE44">
        <f t="shared" si="11"/>
        <v>0.10520889974000001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1.4537</v>
      </c>
      <c r="H45" s="22">
        <v>49.6646</v>
      </c>
      <c r="I45" s="22">
        <v>-5.4382300000000003E-4</v>
      </c>
      <c r="J45" s="22">
        <v>35</v>
      </c>
      <c r="K45" s="22">
        <v>1.4529399999999999</v>
      </c>
      <c r="L45">
        <f t="shared" si="0"/>
        <v>0.54382300000000006</v>
      </c>
      <c r="M45">
        <f t="shared" si="1"/>
        <v>0.79055549510000012</v>
      </c>
      <c r="N45" s="9"/>
      <c r="O45" s="22">
        <v>7.6293899999999998E-2</v>
      </c>
      <c r="P45" s="22">
        <v>98.724000000000004</v>
      </c>
      <c r="Q45" s="22">
        <v>-1.6815199999999999E-3</v>
      </c>
      <c r="R45" s="22">
        <v>35</v>
      </c>
      <c r="S45" s="22">
        <v>7.5775099999999998E-2</v>
      </c>
      <c r="T45">
        <f t="shared" si="2"/>
        <v>1.6815199999999999</v>
      </c>
      <c r="U45">
        <f t="shared" si="3"/>
        <v>0.12828971872799999</v>
      </c>
      <c r="X45" s="9"/>
      <c r="Y45" s="22">
        <v>1.4537</v>
      </c>
      <c r="Z45" s="22">
        <v>147.803</v>
      </c>
      <c r="AA45" s="22">
        <v>-2.7944899999999997E-4</v>
      </c>
      <c r="AB45" s="22">
        <v>35</v>
      </c>
      <c r="AC45" s="22">
        <v>1.4526399999999999</v>
      </c>
      <c r="AD45">
        <f t="shared" si="4"/>
        <v>0.27944899999999995</v>
      </c>
      <c r="AE45">
        <f t="shared" si="5"/>
        <v>0.40623501129999995</v>
      </c>
      <c r="AF45" s="9"/>
      <c r="AG45" s="22">
        <v>7.6293899999999998E-2</v>
      </c>
      <c r="AH45" s="22">
        <v>197.053</v>
      </c>
      <c r="AI45" s="22">
        <v>-1.53107E-3</v>
      </c>
      <c r="AJ45" s="22">
        <v>35</v>
      </c>
      <c r="AK45" s="22">
        <v>7.5805700000000004E-2</v>
      </c>
      <c r="AL45">
        <f t="shared" si="6"/>
        <v>1.5310700000000002</v>
      </c>
      <c r="AM45">
        <f t="shared" si="7"/>
        <v>0.11681130147300001</v>
      </c>
      <c r="AP45" s="9"/>
      <c r="AQ45" s="22">
        <v>1.4537</v>
      </c>
      <c r="AR45" s="22">
        <v>246.197</v>
      </c>
      <c r="AS45" s="22">
        <v>-1.9424399999999999E-4</v>
      </c>
      <c r="AT45" s="22">
        <v>35</v>
      </c>
      <c r="AU45" s="22">
        <v>1.4529399999999999</v>
      </c>
      <c r="AV45">
        <f t="shared" si="8"/>
        <v>0.194244</v>
      </c>
      <c r="AW45">
        <f t="shared" si="9"/>
        <v>0.28237250279999998</v>
      </c>
      <c r="AX45" s="9"/>
      <c r="AY45" s="22">
        <v>7.6293899999999998E-2</v>
      </c>
      <c r="AZ45" s="22">
        <v>295.35700000000003</v>
      </c>
      <c r="BA45" s="22">
        <v>-1.4645400000000001E-3</v>
      </c>
      <c r="BB45" s="22">
        <v>35</v>
      </c>
      <c r="BC45" s="22">
        <v>7.5744599999999995E-2</v>
      </c>
      <c r="BD45">
        <f t="shared" si="10"/>
        <v>1.4645400000000002</v>
      </c>
      <c r="BE45">
        <f t="shared" si="11"/>
        <v>0.11173546830600001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1.4486699999999999</v>
      </c>
      <c r="H46" s="22">
        <v>49.674700000000001</v>
      </c>
      <c r="I46" s="22">
        <v>-5.7678199999999997E-4</v>
      </c>
      <c r="J46" s="22">
        <v>36</v>
      </c>
      <c r="K46" s="22">
        <v>1.4477500000000001</v>
      </c>
      <c r="L46">
        <f t="shared" si="0"/>
        <v>0.57678200000000002</v>
      </c>
      <c r="M46">
        <f t="shared" si="1"/>
        <v>0.83556677993999995</v>
      </c>
      <c r="N46" s="9"/>
      <c r="O46" s="22">
        <v>8.1329299999999993E-2</v>
      </c>
      <c r="P46" s="22">
        <v>98.734099999999998</v>
      </c>
      <c r="Q46" s="22">
        <v>-1.6699200000000001E-3</v>
      </c>
      <c r="R46" s="22">
        <v>36</v>
      </c>
      <c r="S46" s="22">
        <v>8.0841099999999999E-2</v>
      </c>
      <c r="T46">
        <f t="shared" si="2"/>
        <v>1.6699200000000001</v>
      </c>
      <c r="U46">
        <f t="shared" si="3"/>
        <v>0.13581342465599999</v>
      </c>
      <c r="X46" s="9"/>
      <c r="Y46" s="22">
        <v>1.4486699999999999</v>
      </c>
      <c r="Z46" s="22">
        <v>147.81399999999999</v>
      </c>
      <c r="AA46" s="22">
        <v>-2.95746E-4</v>
      </c>
      <c r="AB46" s="22">
        <v>36</v>
      </c>
      <c r="AC46" s="22">
        <v>1.4477500000000001</v>
      </c>
      <c r="AD46">
        <f t="shared" si="4"/>
        <v>0.29574600000000001</v>
      </c>
      <c r="AE46">
        <f t="shared" si="5"/>
        <v>0.42843835782</v>
      </c>
      <c r="AF46" s="9"/>
      <c r="AG46" s="22">
        <v>8.1329299999999993E-2</v>
      </c>
      <c r="AH46" s="22">
        <v>197.06299999999999</v>
      </c>
      <c r="AI46" s="22">
        <v>-1.51917E-3</v>
      </c>
      <c r="AJ46" s="22">
        <v>36</v>
      </c>
      <c r="AK46" s="22">
        <v>8.0810499999999993E-2</v>
      </c>
      <c r="AL46">
        <f t="shared" si="6"/>
        <v>1.5191700000000001</v>
      </c>
      <c r="AM46">
        <f t="shared" si="7"/>
        <v>0.123553032681</v>
      </c>
      <c r="AP46" s="9"/>
      <c r="AQ46" s="22">
        <v>1.4486699999999999</v>
      </c>
      <c r="AR46" s="22">
        <v>246.20699999999999</v>
      </c>
      <c r="AS46" s="22">
        <v>-2.0986900000000001E-4</v>
      </c>
      <c r="AT46" s="22">
        <v>36</v>
      </c>
      <c r="AU46" s="22">
        <v>1.4471400000000001</v>
      </c>
      <c r="AV46">
        <f t="shared" si="8"/>
        <v>0.209869</v>
      </c>
      <c r="AW46">
        <f t="shared" si="9"/>
        <v>0.30403092423</v>
      </c>
      <c r="AX46" s="9"/>
      <c r="AY46" s="22">
        <v>8.1329299999999993E-2</v>
      </c>
      <c r="AZ46" s="22">
        <v>295.36700000000002</v>
      </c>
      <c r="BA46" s="22">
        <v>-1.4517200000000001E-3</v>
      </c>
      <c r="BB46" s="22">
        <v>36</v>
      </c>
      <c r="BC46" s="22">
        <v>8.0871600000000002E-2</v>
      </c>
      <c r="BD46">
        <f t="shared" si="10"/>
        <v>1.4517200000000001</v>
      </c>
      <c r="BE46">
        <f t="shared" si="11"/>
        <v>0.118067371396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1.44363</v>
      </c>
      <c r="H47" s="22">
        <v>49.684800000000003</v>
      </c>
      <c r="I47" s="22">
        <v>-5.56946E-4</v>
      </c>
      <c r="J47" s="22">
        <v>37</v>
      </c>
      <c r="K47" s="22">
        <v>1.4431799999999999</v>
      </c>
      <c r="L47">
        <f t="shared" si="0"/>
        <v>0.55694600000000005</v>
      </c>
      <c r="M47">
        <f t="shared" si="1"/>
        <v>0.80402395398000004</v>
      </c>
      <c r="N47" s="9"/>
      <c r="O47" s="22">
        <v>8.6364700000000003E-2</v>
      </c>
      <c r="P47" s="22">
        <v>98.744200000000006</v>
      </c>
      <c r="Q47" s="22">
        <v>-1.6567999999999999E-3</v>
      </c>
      <c r="R47" s="22">
        <v>37</v>
      </c>
      <c r="S47" s="22">
        <v>8.5876499999999995E-2</v>
      </c>
      <c r="T47">
        <f t="shared" si="2"/>
        <v>1.6568000000000001</v>
      </c>
      <c r="U47">
        <f t="shared" si="3"/>
        <v>0.14308903496</v>
      </c>
      <c r="X47" s="9"/>
      <c r="Y47" s="22">
        <v>1.44363</v>
      </c>
      <c r="Z47" s="22">
        <v>147.82400000000001</v>
      </c>
      <c r="AA47" s="22">
        <v>-3.1149299999999998E-4</v>
      </c>
      <c r="AB47" s="22">
        <v>37</v>
      </c>
      <c r="AC47" s="22">
        <v>1.4422600000000001</v>
      </c>
      <c r="AD47">
        <f t="shared" si="4"/>
        <v>0.31149299999999996</v>
      </c>
      <c r="AE47">
        <f t="shared" si="5"/>
        <v>0.44968063958999993</v>
      </c>
      <c r="AF47" s="9"/>
      <c r="AG47" s="22">
        <v>8.6364700000000003E-2</v>
      </c>
      <c r="AH47" s="22">
        <v>197.07300000000001</v>
      </c>
      <c r="AI47" s="22">
        <v>-1.5072600000000001E-3</v>
      </c>
      <c r="AJ47" s="22">
        <v>37</v>
      </c>
      <c r="AK47" s="22">
        <v>8.5784899999999997E-2</v>
      </c>
      <c r="AL47">
        <f t="shared" si="6"/>
        <v>1.50726</v>
      </c>
      <c r="AM47">
        <f t="shared" si="7"/>
        <v>0.130174057722</v>
      </c>
      <c r="AP47" s="9"/>
      <c r="AQ47" s="22">
        <v>1.44363</v>
      </c>
      <c r="AR47" s="22">
        <v>246.21700000000001</v>
      </c>
      <c r="AS47" s="22">
        <v>-2.2463999999999999E-4</v>
      </c>
      <c r="AT47" s="22">
        <v>37</v>
      </c>
      <c r="AU47" s="22">
        <v>1.4428700000000001</v>
      </c>
      <c r="AV47">
        <f t="shared" si="8"/>
        <v>0.22463999999999998</v>
      </c>
      <c r="AW47">
        <f t="shared" si="9"/>
        <v>0.32429704319999997</v>
      </c>
      <c r="AX47" s="9"/>
      <c r="AY47" s="22">
        <v>8.6364700000000003E-2</v>
      </c>
      <c r="AZ47" s="22">
        <v>295.37700000000001</v>
      </c>
      <c r="BA47" s="22">
        <v>-1.4407300000000001E-3</v>
      </c>
      <c r="BB47" s="22">
        <v>37</v>
      </c>
      <c r="BC47" s="22">
        <v>8.5876499999999995E-2</v>
      </c>
      <c r="BD47">
        <f t="shared" si="10"/>
        <v>1.4407300000000001</v>
      </c>
      <c r="BE47">
        <f t="shared" si="11"/>
        <v>0.12442821423100001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1.4386000000000001</v>
      </c>
      <c r="H48" s="22">
        <v>49.694800000000001</v>
      </c>
      <c r="I48" s="22">
        <v>-5.8441199999999997E-4</v>
      </c>
      <c r="J48" s="22">
        <v>38</v>
      </c>
      <c r="K48" s="22">
        <v>1.4376800000000001</v>
      </c>
      <c r="L48">
        <f t="shared" si="0"/>
        <v>0.58441199999999993</v>
      </c>
      <c r="M48">
        <f t="shared" si="1"/>
        <v>0.8407351032</v>
      </c>
      <c r="N48" s="9"/>
      <c r="O48" s="22">
        <v>9.1400099999999998E-2</v>
      </c>
      <c r="P48" s="22">
        <v>98.754300000000001</v>
      </c>
      <c r="Q48" s="22">
        <v>-1.6458099999999999E-3</v>
      </c>
      <c r="R48" s="22">
        <v>38</v>
      </c>
      <c r="S48" s="22">
        <v>9.0972899999999995E-2</v>
      </c>
      <c r="T48">
        <f t="shared" si="2"/>
        <v>1.64581</v>
      </c>
      <c r="U48">
        <f t="shared" si="3"/>
        <v>0.15042719858100001</v>
      </c>
      <c r="X48" s="9"/>
      <c r="Y48" s="22">
        <v>1.4386000000000001</v>
      </c>
      <c r="Z48" s="22">
        <v>147.834</v>
      </c>
      <c r="AA48" s="22">
        <v>-3.27301E-4</v>
      </c>
      <c r="AB48" s="22">
        <v>38</v>
      </c>
      <c r="AC48" s="22">
        <v>1.4373800000000001</v>
      </c>
      <c r="AD48">
        <f t="shared" si="4"/>
        <v>0.32730100000000001</v>
      </c>
      <c r="AE48">
        <f t="shared" si="5"/>
        <v>0.47085521860000007</v>
      </c>
      <c r="AF48" s="9"/>
      <c r="AG48" s="22">
        <v>9.1400099999999998E-2</v>
      </c>
      <c r="AH48" s="22">
        <v>197.083</v>
      </c>
      <c r="AI48" s="22">
        <v>-1.49658E-3</v>
      </c>
      <c r="AJ48" s="22">
        <v>38</v>
      </c>
      <c r="AK48" s="22">
        <v>9.0911900000000004E-2</v>
      </c>
      <c r="AL48">
        <f t="shared" si="6"/>
        <v>1.49658</v>
      </c>
      <c r="AM48">
        <f t="shared" si="7"/>
        <v>0.13678756165799999</v>
      </c>
      <c r="AP48" s="9"/>
      <c r="AQ48" s="22">
        <v>1.4386000000000001</v>
      </c>
      <c r="AR48" s="22">
        <v>246.227</v>
      </c>
      <c r="AS48" s="22">
        <v>-2.40265E-4</v>
      </c>
      <c r="AT48" s="22">
        <v>38</v>
      </c>
      <c r="AU48" s="22">
        <v>1.4373800000000001</v>
      </c>
      <c r="AV48">
        <f t="shared" si="8"/>
        <v>0.24026500000000001</v>
      </c>
      <c r="AW48">
        <f t="shared" si="9"/>
        <v>0.34564522900000005</v>
      </c>
      <c r="AX48" s="9"/>
      <c r="AY48" s="22">
        <v>9.1400099999999998E-2</v>
      </c>
      <c r="AZ48" s="22">
        <v>295.387</v>
      </c>
      <c r="BA48" s="22">
        <v>-1.4288300000000001E-3</v>
      </c>
      <c r="BB48" s="22">
        <v>38</v>
      </c>
      <c r="BC48" s="22">
        <v>9.0881299999999998E-2</v>
      </c>
      <c r="BD48">
        <f t="shared" si="10"/>
        <v>1.42883</v>
      </c>
      <c r="BE48">
        <f t="shared" si="11"/>
        <v>0.130595204883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1.4335599999999999</v>
      </c>
      <c r="H49" s="22">
        <v>49.704900000000002</v>
      </c>
      <c r="I49" s="22">
        <v>-5.9753400000000004E-4</v>
      </c>
      <c r="J49" s="22">
        <v>39</v>
      </c>
      <c r="K49" s="22">
        <v>1.4325000000000001</v>
      </c>
      <c r="L49">
        <f t="shared" si="0"/>
        <v>0.59753400000000001</v>
      </c>
      <c r="M49">
        <f t="shared" si="1"/>
        <v>0.85660084104000001</v>
      </c>
      <c r="N49" s="9"/>
      <c r="O49" s="22">
        <v>9.6435499999999993E-2</v>
      </c>
      <c r="P49" s="22">
        <v>98.764300000000006</v>
      </c>
      <c r="Q49" s="22">
        <v>-1.63513E-3</v>
      </c>
      <c r="R49" s="22">
        <v>39</v>
      </c>
      <c r="S49" s="22">
        <v>9.5947299999999999E-2</v>
      </c>
      <c r="T49">
        <f t="shared" si="2"/>
        <v>1.63513</v>
      </c>
      <c r="U49">
        <f t="shared" si="3"/>
        <v>0.15768457911499997</v>
      </c>
      <c r="X49" s="9"/>
      <c r="Y49" s="22">
        <v>1.4335599999999999</v>
      </c>
      <c r="Z49" s="22">
        <v>147.84399999999999</v>
      </c>
      <c r="AA49" s="22">
        <v>-3.4048500000000002E-4</v>
      </c>
      <c r="AB49" s="22">
        <v>39</v>
      </c>
      <c r="AC49" s="22">
        <v>1.4328000000000001</v>
      </c>
      <c r="AD49">
        <f t="shared" si="4"/>
        <v>0.34048500000000004</v>
      </c>
      <c r="AE49">
        <f t="shared" si="5"/>
        <v>0.48810567660000004</v>
      </c>
      <c r="AF49" s="9"/>
      <c r="AG49" s="22">
        <v>9.6435499999999993E-2</v>
      </c>
      <c r="AH49" s="22">
        <v>197.09299999999999</v>
      </c>
      <c r="AI49" s="22">
        <v>-1.48529E-3</v>
      </c>
      <c r="AJ49" s="22">
        <v>39</v>
      </c>
      <c r="AK49" s="22">
        <v>9.5916699999999994E-2</v>
      </c>
      <c r="AL49">
        <f t="shared" si="6"/>
        <v>1.48529</v>
      </c>
      <c r="AM49">
        <f t="shared" si="7"/>
        <v>0.14323468379499998</v>
      </c>
      <c r="AP49" s="9"/>
      <c r="AQ49" s="22">
        <v>1.4335599999999999</v>
      </c>
      <c r="AR49" s="22">
        <v>246.238</v>
      </c>
      <c r="AS49" s="22">
        <v>-2.5369299999999998E-4</v>
      </c>
      <c r="AT49" s="22">
        <v>39</v>
      </c>
      <c r="AU49" s="22">
        <v>1.4325000000000001</v>
      </c>
      <c r="AV49">
        <f t="shared" si="8"/>
        <v>0.253693</v>
      </c>
      <c r="AW49">
        <f t="shared" si="9"/>
        <v>0.36368413707999997</v>
      </c>
      <c r="AX49" s="9"/>
      <c r="AY49" s="22">
        <v>9.6435499999999993E-2</v>
      </c>
      <c r="AZ49" s="22">
        <v>295.39699999999999</v>
      </c>
      <c r="BA49" s="22">
        <v>-1.4175399999999999E-3</v>
      </c>
      <c r="BB49" s="22">
        <v>39</v>
      </c>
      <c r="BC49" s="22">
        <v>9.5947299999999999E-2</v>
      </c>
      <c r="BD49">
        <f t="shared" si="10"/>
        <v>1.4175399999999998</v>
      </c>
      <c r="BE49">
        <f t="shared" si="11"/>
        <v>0.13670117866999998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1.4285300000000001</v>
      </c>
      <c r="H50" s="22">
        <v>49.715000000000003</v>
      </c>
      <c r="I50" s="22">
        <v>-6.1920200000000001E-4</v>
      </c>
      <c r="J50" s="22">
        <v>40</v>
      </c>
      <c r="K50" s="22">
        <v>1.4273100000000001</v>
      </c>
      <c r="L50">
        <f t="shared" si="0"/>
        <v>0.61920200000000003</v>
      </c>
      <c r="M50">
        <f t="shared" si="1"/>
        <v>0.88454863306000009</v>
      </c>
      <c r="N50" s="9"/>
      <c r="O50" s="22">
        <v>0.10147100000000001</v>
      </c>
      <c r="P50" s="22">
        <v>98.7744</v>
      </c>
      <c r="Q50" s="22">
        <v>-1.62415E-3</v>
      </c>
      <c r="R50" s="22">
        <v>40</v>
      </c>
      <c r="S50" s="22">
        <v>0.100983</v>
      </c>
      <c r="T50">
        <f t="shared" si="2"/>
        <v>1.62415</v>
      </c>
      <c r="U50">
        <f t="shared" si="3"/>
        <v>0.16480412464999999</v>
      </c>
      <c r="X50" s="9"/>
      <c r="Y50" s="22">
        <v>1.4285300000000001</v>
      </c>
      <c r="Z50" s="22">
        <v>147.85400000000001</v>
      </c>
      <c r="AA50" s="22">
        <v>-3.5397299999999999E-4</v>
      </c>
      <c r="AB50" s="22">
        <v>40</v>
      </c>
      <c r="AC50" s="22">
        <v>1.4273100000000001</v>
      </c>
      <c r="AD50">
        <f t="shared" si="4"/>
        <v>0.35397299999999998</v>
      </c>
      <c r="AE50">
        <f t="shared" si="5"/>
        <v>0.50566104969000003</v>
      </c>
      <c r="AF50" s="9"/>
      <c r="AG50" s="22">
        <v>0.10147100000000001</v>
      </c>
      <c r="AH50" s="22">
        <v>197.10300000000001</v>
      </c>
      <c r="AI50" s="22">
        <v>-1.47522E-3</v>
      </c>
      <c r="AJ50" s="22">
        <v>40</v>
      </c>
      <c r="AK50" s="22">
        <v>0.100983</v>
      </c>
      <c r="AL50">
        <f t="shared" si="6"/>
        <v>1.47522</v>
      </c>
      <c r="AM50">
        <f t="shared" si="7"/>
        <v>0.14969204862000002</v>
      </c>
      <c r="AP50" s="9"/>
      <c r="AQ50" s="22">
        <v>1.4285300000000001</v>
      </c>
      <c r="AR50" s="22">
        <v>246.24799999999999</v>
      </c>
      <c r="AS50" s="22">
        <v>-2.6910399999999999E-4</v>
      </c>
      <c r="AT50" s="22">
        <v>40</v>
      </c>
      <c r="AU50" s="22">
        <v>1.4279200000000001</v>
      </c>
      <c r="AV50">
        <f t="shared" si="8"/>
        <v>0.26910400000000001</v>
      </c>
      <c r="AW50">
        <f t="shared" si="9"/>
        <v>0.38442313712000004</v>
      </c>
      <c r="AX50" s="9"/>
      <c r="AY50" s="22">
        <v>0.10147100000000001</v>
      </c>
      <c r="AZ50" s="22">
        <v>295.40699999999998</v>
      </c>
      <c r="BA50" s="22">
        <v>-1.4059400000000001E-3</v>
      </c>
      <c r="BB50" s="22">
        <v>40</v>
      </c>
      <c r="BC50" s="22">
        <v>0.100952</v>
      </c>
      <c r="BD50">
        <f t="shared" si="10"/>
        <v>1.40594</v>
      </c>
      <c r="BE50">
        <f t="shared" si="11"/>
        <v>0.14266213774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1.4234899999999999</v>
      </c>
      <c r="H51" s="22">
        <v>49.725099999999998</v>
      </c>
      <c r="I51" s="22">
        <v>-6.3690199999999995E-4</v>
      </c>
      <c r="J51" s="22">
        <v>41</v>
      </c>
      <c r="K51" s="22">
        <v>1.42242</v>
      </c>
      <c r="L51">
        <f t="shared" si="0"/>
        <v>0.63690199999999997</v>
      </c>
      <c r="M51">
        <f t="shared" si="1"/>
        <v>0.90662362797999996</v>
      </c>
      <c r="N51" s="9"/>
      <c r="O51" s="22">
        <v>0.106506</v>
      </c>
      <c r="P51" s="22">
        <v>98.784499999999994</v>
      </c>
      <c r="Q51" s="22">
        <v>-1.61163E-3</v>
      </c>
      <c r="R51" s="22">
        <v>41</v>
      </c>
      <c r="S51" s="22">
        <v>0.10592699999999999</v>
      </c>
      <c r="T51">
        <f t="shared" si="2"/>
        <v>1.6116299999999999</v>
      </c>
      <c r="U51">
        <f t="shared" si="3"/>
        <v>0.17164826478</v>
      </c>
      <c r="X51" s="9"/>
      <c r="Y51" s="22">
        <v>1.4234899999999999</v>
      </c>
      <c r="Z51" s="22">
        <v>147.864</v>
      </c>
      <c r="AA51" s="22">
        <v>-3.6675999999999999E-4</v>
      </c>
      <c r="AB51" s="22">
        <v>41</v>
      </c>
      <c r="AC51" s="22">
        <v>1.4227300000000001</v>
      </c>
      <c r="AD51">
        <f t="shared" si="4"/>
        <v>0.36675999999999997</v>
      </c>
      <c r="AE51">
        <f t="shared" si="5"/>
        <v>0.52207919239999989</v>
      </c>
      <c r="AF51" s="9"/>
      <c r="AG51" s="22">
        <v>0.106506</v>
      </c>
      <c r="AH51" s="22">
        <v>197.113</v>
      </c>
      <c r="AI51" s="22">
        <v>-1.4645400000000001E-3</v>
      </c>
      <c r="AJ51" s="22">
        <v>41</v>
      </c>
      <c r="AK51" s="22">
        <v>0.106018</v>
      </c>
      <c r="AL51">
        <f t="shared" si="6"/>
        <v>1.4645400000000002</v>
      </c>
      <c r="AM51">
        <f t="shared" si="7"/>
        <v>0.15598229724000001</v>
      </c>
      <c r="AP51" s="9"/>
      <c r="AQ51" s="22">
        <v>1.4234899999999999</v>
      </c>
      <c r="AR51" s="22">
        <v>246.25800000000001</v>
      </c>
      <c r="AS51" s="22">
        <v>-2.8088400000000002E-4</v>
      </c>
      <c r="AT51" s="22">
        <v>41</v>
      </c>
      <c r="AU51" s="22">
        <v>1.42242</v>
      </c>
      <c r="AV51">
        <f t="shared" si="8"/>
        <v>0.28088400000000002</v>
      </c>
      <c r="AW51">
        <f t="shared" si="9"/>
        <v>0.39983556516000002</v>
      </c>
      <c r="AX51" s="9"/>
      <c r="AY51" s="22">
        <v>0.106506</v>
      </c>
      <c r="AZ51" s="22">
        <v>295.41699999999997</v>
      </c>
      <c r="BA51" s="22">
        <v>-1.3955700000000001E-3</v>
      </c>
      <c r="BB51" s="22">
        <v>41</v>
      </c>
      <c r="BC51" s="22">
        <v>0.105957</v>
      </c>
      <c r="BD51">
        <f t="shared" si="10"/>
        <v>1.39557</v>
      </c>
      <c r="BE51">
        <f t="shared" si="11"/>
        <v>0.14863657842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1.4184600000000001</v>
      </c>
      <c r="H52" s="22">
        <v>49.735100000000003</v>
      </c>
      <c r="I52" s="22">
        <v>-6.4422600000000002E-4</v>
      </c>
      <c r="J52" s="22">
        <v>42</v>
      </c>
      <c r="K52" s="22">
        <v>1.41754</v>
      </c>
      <c r="L52">
        <f t="shared" si="0"/>
        <v>0.64422600000000008</v>
      </c>
      <c r="M52">
        <f t="shared" si="1"/>
        <v>0.91380881196000019</v>
      </c>
      <c r="N52" s="9"/>
      <c r="O52" s="22">
        <v>0.111542</v>
      </c>
      <c r="P52" s="22">
        <v>98.794499999999999</v>
      </c>
      <c r="Q52" s="22">
        <v>-1.60217E-3</v>
      </c>
      <c r="R52" s="22">
        <v>42</v>
      </c>
      <c r="S52" s="22">
        <v>0.111023</v>
      </c>
      <c r="T52">
        <f t="shared" si="2"/>
        <v>1.6021700000000001</v>
      </c>
      <c r="U52">
        <f t="shared" si="3"/>
        <v>0.17870924614000003</v>
      </c>
      <c r="X52" s="9"/>
      <c r="Y52" s="22">
        <v>1.4184600000000001</v>
      </c>
      <c r="Z52" s="22">
        <v>147.874</v>
      </c>
      <c r="AA52" s="22">
        <v>-3.8159199999999999E-4</v>
      </c>
      <c r="AB52" s="22">
        <v>42</v>
      </c>
      <c r="AC52" s="22">
        <v>1.41754</v>
      </c>
      <c r="AD52">
        <f t="shared" si="4"/>
        <v>0.38159199999999999</v>
      </c>
      <c r="AE52">
        <f t="shared" si="5"/>
        <v>0.54127298832000004</v>
      </c>
      <c r="AF52" s="9"/>
      <c r="AG52" s="22">
        <v>0.111542</v>
      </c>
      <c r="AH52" s="22">
        <v>197.12299999999999</v>
      </c>
      <c r="AI52" s="22">
        <v>-1.45477E-3</v>
      </c>
      <c r="AJ52" s="22">
        <v>42</v>
      </c>
      <c r="AK52" s="22">
        <v>0.111023</v>
      </c>
      <c r="AL52">
        <f t="shared" si="6"/>
        <v>1.4547699999999999</v>
      </c>
      <c r="AM52">
        <f t="shared" si="7"/>
        <v>0.16226795533999999</v>
      </c>
      <c r="AP52" s="9"/>
      <c r="AQ52" s="22">
        <v>1.4184600000000001</v>
      </c>
      <c r="AR52" s="22">
        <v>246.268</v>
      </c>
      <c r="AS52" s="22">
        <v>-2.93732E-4</v>
      </c>
      <c r="AT52" s="22">
        <v>42</v>
      </c>
      <c r="AU52" s="22">
        <v>1.41754</v>
      </c>
      <c r="AV52">
        <f t="shared" si="8"/>
        <v>0.29373199999999999</v>
      </c>
      <c r="AW52">
        <f t="shared" si="9"/>
        <v>0.41664709272</v>
      </c>
      <c r="AX52" s="9"/>
      <c r="AY52" s="22">
        <v>0.111542</v>
      </c>
      <c r="AZ52" s="22">
        <v>295.42700000000002</v>
      </c>
      <c r="BA52" s="22">
        <v>-1.3833599999999999E-3</v>
      </c>
      <c r="BB52" s="22">
        <v>42</v>
      </c>
      <c r="BC52" s="22">
        <v>0.111053</v>
      </c>
      <c r="BD52">
        <f t="shared" si="10"/>
        <v>1.3833599999999999</v>
      </c>
      <c r="BE52">
        <f t="shared" si="11"/>
        <v>0.15430274112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1.4134199999999999</v>
      </c>
      <c r="H53" s="22">
        <v>49.745199999999997</v>
      </c>
      <c r="I53" s="22">
        <v>-6.6131600000000001E-4</v>
      </c>
      <c r="J53" s="22">
        <v>43</v>
      </c>
      <c r="K53" s="22">
        <v>1.41235</v>
      </c>
      <c r="L53">
        <f t="shared" si="0"/>
        <v>0.66131600000000001</v>
      </c>
      <c r="M53">
        <f t="shared" si="1"/>
        <v>0.93471726071999994</v>
      </c>
      <c r="N53" s="9"/>
      <c r="O53" s="22">
        <v>0.116577</v>
      </c>
      <c r="P53" s="22">
        <v>98.804599999999994</v>
      </c>
      <c r="Q53" s="22">
        <v>-1.59241E-3</v>
      </c>
      <c r="R53" s="22">
        <v>43</v>
      </c>
      <c r="S53" s="22">
        <v>0.115997</v>
      </c>
      <c r="T53">
        <f t="shared" si="2"/>
        <v>1.5924100000000001</v>
      </c>
      <c r="U53">
        <f t="shared" si="3"/>
        <v>0.18563838057000001</v>
      </c>
      <c r="X53" s="9"/>
      <c r="Y53" s="22">
        <v>1.4134199999999999</v>
      </c>
      <c r="Z53" s="22">
        <v>147.88399999999999</v>
      </c>
      <c r="AA53" s="22">
        <v>-3.92731E-4</v>
      </c>
      <c r="AB53" s="22">
        <v>43</v>
      </c>
      <c r="AC53" s="22">
        <v>1.41235</v>
      </c>
      <c r="AD53">
        <f t="shared" si="4"/>
        <v>0.392731</v>
      </c>
      <c r="AE53">
        <f t="shared" si="5"/>
        <v>0.55509385002</v>
      </c>
      <c r="AF53" s="9"/>
      <c r="AG53" s="22">
        <v>0.116577</v>
      </c>
      <c r="AH53" s="22">
        <v>197.13300000000001</v>
      </c>
      <c r="AI53" s="22">
        <v>-1.4440900000000001E-3</v>
      </c>
      <c r="AJ53" s="22">
        <v>43</v>
      </c>
      <c r="AK53" s="22">
        <v>0.11602800000000001</v>
      </c>
      <c r="AL53">
        <f t="shared" si="6"/>
        <v>1.4440900000000001</v>
      </c>
      <c r="AM53">
        <f t="shared" si="7"/>
        <v>0.16834767993000002</v>
      </c>
      <c r="AP53" s="9"/>
      <c r="AQ53" s="22">
        <v>1.4134199999999999</v>
      </c>
      <c r="AR53" s="22">
        <v>246.27799999999999</v>
      </c>
      <c r="AS53" s="22">
        <v>-3.0642700000000001E-4</v>
      </c>
      <c r="AT53" s="22">
        <v>43</v>
      </c>
      <c r="AU53" s="22">
        <v>1.41296</v>
      </c>
      <c r="AV53">
        <f t="shared" si="8"/>
        <v>0.306427</v>
      </c>
      <c r="AW53">
        <f t="shared" si="9"/>
        <v>0.43311005034</v>
      </c>
      <c r="AX53" s="9"/>
      <c r="AY53" s="22">
        <v>0.116577</v>
      </c>
      <c r="AZ53" s="22">
        <v>295.43700000000001</v>
      </c>
      <c r="BA53" s="22">
        <v>-1.3729899999999999E-3</v>
      </c>
      <c r="BB53" s="22">
        <v>43</v>
      </c>
      <c r="BC53" s="22">
        <v>0.116119</v>
      </c>
      <c r="BD53">
        <f t="shared" si="10"/>
        <v>1.3729899999999999</v>
      </c>
      <c r="BE53">
        <f t="shared" si="11"/>
        <v>0.16005905523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1.40839</v>
      </c>
      <c r="H54" s="22">
        <v>49.755299999999998</v>
      </c>
      <c r="I54" s="22">
        <v>-6.6833500000000004E-4</v>
      </c>
      <c r="J54" s="22">
        <v>44</v>
      </c>
      <c r="K54" s="22">
        <v>1.40747</v>
      </c>
      <c r="L54">
        <f t="shared" si="0"/>
        <v>0.66833500000000001</v>
      </c>
      <c r="M54">
        <f t="shared" si="1"/>
        <v>0.94127633065000005</v>
      </c>
      <c r="N54" s="9"/>
      <c r="O54" s="22">
        <v>0.121613</v>
      </c>
      <c r="P54" s="22">
        <v>98.814700000000002</v>
      </c>
      <c r="Q54" s="22">
        <v>-1.58325E-3</v>
      </c>
      <c r="R54" s="22">
        <v>44</v>
      </c>
      <c r="S54" s="22">
        <v>0.121063</v>
      </c>
      <c r="T54">
        <f t="shared" si="2"/>
        <v>1.58325</v>
      </c>
      <c r="U54">
        <f t="shared" si="3"/>
        <v>0.19254378225000002</v>
      </c>
      <c r="X54" s="9"/>
      <c r="Y54" s="22">
        <v>1.40839</v>
      </c>
      <c r="Z54" s="22">
        <v>147.89400000000001</v>
      </c>
      <c r="AA54" s="22">
        <v>-4.0570100000000001E-4</v>
      </c>
      <c r="AB54" s="22">
        <v>44</v>
      </c>
      <c r="AC54" s="22">
        <v>1.40717</v>
      </c>
      <c r="AD54">
        <f t="shared" si="4"/>
        <v>0.40570100000000003</v>
      </c>
      <c r="AE54">
        <f t="shared" si="5"/>
        <v>0.57138523139000008</v>
      </c>
      <c r="AF54" s="9"/>
      <c r="AG54" s="22">
        <v>0.121613</v>
      </c>
      <c r="AH54" s="22">
        <v>197.14400000000001</v>
      </c>
      <c r="AI54" s="22">
        <v>-1.43524E-3</v>
      </c>
      <c r="AJ54" s="22">
        <v>44</v>
      </c>
      <c r="AK54" s="22">
        <v>0.121124</v>
      </c>
      <c r="AL54">
        <f t="shared" si="6"/>
        <v>1.4352399999999998</v>
      </c>
      <c r="AM54">
        <f t="shared" si="7"/>
        <v>0.17454384211999999</v>
      </c>
      <c r="AP54" s="9"/>
      <c r="AQ54" s="22">
        <v>1.40839</v>
      </c>
      <c r="AR54" s="22">
        <v>246.28800000000001</v>
      </c>
      <c r="AS54" s="22">
        <v>-3.1729099999999998E-4</v>
      </c>
      <c r="AT54" s="22">
        <v>44</v>
      </c>
      <c r="AU54" s="22">
        <v>1.40778</v>
      </c>
      <c r="AV54">
        <f t="shared" si="8"/>
        <v>0.31729099999999999</v>
      </c>
      <c r="AW54">
        <f t="shared" si="9"/>
        <v>0.44686947149</v>
      </c>
      <c r="AX54" s="9"/>
      <c r="AY54" s="22">
        <v>0.121613</v>
      </c>
      <c r="AZ54" s="22">
        <v>295.447</v>
      </c>
      <c r="BA54" s="22">
        <v>-1.36169E-3</v>
      </c>
      <c r="BB54" s="22">
        <v>44</v>
      </c>
      <c r="BC54" s="22">
        <v>0.121155</v>
      </c>
      <c r="BD54">
        <f t="shared" si="10"/>
        <v>1.3616900000000001</v>
      </c>
      <c r="BE54">
        <f t="shared" si="11"/>
        <v>0.16559920597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1.4033500000000001</v>
      </c>
      <c r="H55" s="22">
        <v>49.765300000000003</v>
      </c>
      <c r="I55" s="22">
        <v>-6.7779500000000003E-4</v>
      </c>
      <c r="J55" s="22">
        <v>45</v>
      </c>
      <c r="K55" s="22">
        <v>1.40198</v>
      </c>
      <c r="L55">
        <f t="shared" si="0"/>
        <v>0.67779500000000004</v>
      </c>
      <c r="M55">
        <f t="shared" si="1"/>
        <v>0.95118361325000012</v>
      </c>
      <c r="N55" s="9"/>
      <c r="O55" s="22">
        <v>0.12664800000000001</v>
      </c>
      <c r="P55" s="22">
        <v>98.824799999999996</v>
      </c>
      <c r="Q55" s="22">
        <v>-1.5725699999999999E-3</v>
      </c>
      <c r="R55" s="22">
        <v>45</v>
      </c>
      <c r="S55" s="22">
        <v>0.12609899999999999</v>
      </c>
      <c r="T55">
        <f t="shared" si="2"/>
        <v>1.57257</v>
      </c>
      <c r="U55">
        <f t="shared" si="3"/>
        <v>0.19916284536000001</v>
      </c>
      <c r="X55" s="9"/>
      <c r="Y55" s="22">
        <v>1.4033500000000001</v>
      </c>
      <c r="Z55" s="22">
        <v>147.904</v>
      </c>
      <c r="AA55" s="22">
        <v>-4.16504E-4</v>
      </c>
      <c r="AB55" s="22">
        <v>45</v>
      </c>
      <c r="AC55" s="22">
        <v>1.40167</v>
      </c>
      <c r="AD55">
        <f t="shared" si="4"/>
        <v>0.41650399999999999</v>
      </c>
      <c r="AE55">
        <f t="shared" si="5"/>
        <v>0.58450088840000003</v>
      </c>
      <c r="AF55" s="9"/>
      <c r="AG55" s="22">
        <v>0.12664800000000001</v>
      </c>
      <c r="AH55" s="22">
        <v>197.154</v>
      </c>
      <c r="AI55" s="22">
        <v>-1.4242599999999999E-3</v>
      </c>
      <c r="AJ55" s="22">
        <v>45</v>
      </c>
      <c r="AK55" s="22">
        <v>0.12615999999999999</v>
      </c>
      <c r="AL55">
        <f t="shared" si="6"/>
        <v>1.4242599999999999</v>
      </c>
      <c r="AM55">
        <f t="shared" si="7"/>
        <v>0.18037968048</v>
      </c>
      <c r="AP55" s="9"/>
      <c r="AQ55" s="22">
        <v>1.4033500000000001</v>
      </c>
      <c r="AR55" s="22">
        <v>246.298</v>
      </c>
      <c r="AS55" s="22">
        <v>-3.2836900000000001E-4</v>
      </c>
      <c r="AT55" s="22">
        <v>45</v>
      </c>
      <c r="AU55" s="22">
        <v>1.40198</v>
      </c>
      <c r="AV55">
        <f t="shared" si="8"/>
        <v>0.32836900000000002</v>
      </c>
      <c r="AW55">
        <f t="shared" si="9"/>
        <v>0.46081663615000007</v>
      </c>
      <c r="AX55" s="9"/>
      <c r="AY55" s="22">
        <v>0.12664800000000001</v>
      </c>
      <c r="AZ55" s="22">
        <v>295.45699999999999</v>
      </c>
      <c r="BA55" s="22">
        <v>-1.3519300000000001E-3</v>
      </c>
      <c r="BB55" s="22">
        <v>45</v>
      </c>
      <c r="BC55" s="22">
        <v>0.12606800000000001</v>
      </c>
      <c r="BD55">
        <f t="shared" si="10"/>
        <v>1.3519300000000001</v>
      </c>
      <c r="BE55">
        <f t="shared" si="11"/>
        <v>0.17121923064000003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1.39832</v>
      </c>
      <c r="H56" s="22">
        <v>49.775399999999998</v>
      </c>
      <c r="I56" s="22">
        <v>-7.0373500000000004E-4</v>
      </c>
      <c r="J56" s="22">
        <v>46</v>
      </c>
      <c r="K56" s="22">
        <v>1.3970899999999999</v>
      </c>
      <c r="L56">
        <f t="shared" si="0"/>
        <v>0.703735</v>
      </c>
      <c r="M56">
        <f t="shared" si="1"/>
        <v>0.98404672520000003</v>
      </c>
      <c r="N56" s="9"/>
      <c r="O56" s="22">
        <v>0.13168299999999999</v>
      </c>
      <c r="P56" s="22">
        <v>98.834800000000001</v>
      </c>
      <c r="Q56" s="22">
        <v>-1.5631099999999999E-3</v>
      </c>
      <c r="R56" s="22">
        <v>46</v>
      </c>
      <c r="S56" s="22">
        <v>0.13119500000000001</v>
      </c>
      <c r="T56">
        <f t="shared" si="2"/>
        <v>1.56311</v>
      </c>
      <c r="U56">
        <f t="shared" si="3"/>
        <v>0.20583501412999999</v>
      </c>
      <c r="X56" s="9"/>
      <c r="Y56" s="22">
        <v>1.39832</v>
      </c>
      <c r="Z56" s="22">
        <v>147.91399999999999</v>
      </c>
      <c r="AA56" s="22">
        <v>-4.2864999999999998E-4</v>
      </c>
      <c r="AB56" s="22">
        <v>46</v>
      </c>
      <c r="AC56" s="22">
        <v>1.3970899999999999</v>
      </c>
      <c r="AD56">
        <f t="shared" si="4"/>
        <v>0.42864999999999998</v>
      </c>
      <c r="AE56">
        <f t="shared" si="5"/>
        <v>0.59938986799999994</v>
      </c>
      <c r="AF56" s="9"/>
      <c r="AG56" s="22">
        <v>0.13168299999999999</v>
      </c>
      <c r="AH56" s="22">
        <v>197.16399999999999</v>
      </c>
      <c r="AI56" s="22">
        <v>-1.41632E-3</v>
      </c>
      <c r="AJ56" s="22">
        <v>46</v>
      </c>
      <c r="AK56" s="22">
        <v>0.13125600000000001</v>
      </c>
      <c r="AL56">
        <f t="shared" si="6"/>
        <v>1.41632</v>
      </c>
      <c r="AM56">
        <f t="shared" si="7"/>
        <v>0.18650526655999999</v>
      </c>
      <c r="AP56" s="9"/>
      <c r="AQ56" s="22">
        <v>1.39832</v>
      </c>
      <c r="AR56" s="22">
        <v>246.30799999999999</v>
      </c>
      <c r="AS56" s="22">
        <v>-3.39661E-4</v>
      </c>
      <c r="AT56" s="22">
        <v>46</v>
      </c>
      <c r="AU56" s="22">
        <v>1.3970899999999999</v>
      </c>
      <c r="AV56">
        <f t="shared" si="8"/>
        <v>0.33966099999999999</v>
      </c>
      <c r="AW56">
        <f t="shared" si="9"/>
        <v>0.47495476951999999</v>
      </c>
      <c r="AX56" s="9"/>
      <c r="AY56" s="22">
        <v>0.13168299999999999</v>
      </c>
      <c r="AZ56" s="22">
        <v>295.46800000000002</v>
      </c>
      <c r="BA56" s="22">
        <v>-1.3424699999999999E-3</v>
      </c>
      <c r="BB56" s="22">
        <v>46</v>
      </c>
      <c r="BC56" s="22">
        <v>0.13125600000000001</v>
      </c>
      <c r="BD56">
        <f t="shared" si="10"/>
        <v>1.3424699999999998</v>
      </c>
      <c r="BE56">
        <f t="shared" si="11"/>
        <v>0.17678047700999996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1.3932800000000001</v>
      </c>
      <c r="H57" s="22">
        <v>49.785499999999999</v>
      </c>
      <c r="I57" s="22">
        <v>-7.0190400000000005E-4</v>
      </c>
      <c r="J57" s="22">
        <v>47</v>
      </c>
      <c r="K57" s="22">
        <v>1.39252</v>
      </c>
      <c r="L57">
        <f t="shared" si="0"/>
        <v>0.70190400000000008</v>
      </c>
      <c r="M57">
        <f t="shared" si="1"/>
        <v>0.97794880512000015</v>
      </c>
      <c r="N57" s="9"/>
      <c r="O57" s="22">
        <v>0.13671900000000001</v>
      </c>
      <c r="P57" s="22">
        <v>98.844899999999996</v>
      </c>
      <c r="Q57" s="22">
        <v>-1.5539600000000001E-3</v>
      </c>
      <c r="R57" s="22">
        <v>47</v>
      </c>
      <c r="S57" s="22">
        <v>0.13619999999999999</v>
      </c>
      <c r="T57">
        <f t="shared" si="2"/>
        <v>1.55396</v>
      </c>
      <c r="U57">
        <f t="shared" si="3"/>
        <v>0.21245585724000002</v>
      </c>
      <c r="X57" s="9"/>
      <c r="Y57" s="22">
        <v>1.3932800000000001</v>
      </c>
      <c r="Z57" s="22">
        <v>147.92400000000001</v>
      </c>
      <c r="AA57" s="22">
        <v>-4.38019E-4</v>
      </c>
      <c r="AB57" s="22">
        <v>47</v>
      </c>
      <c r="AC57" s="22">
        <v>1.39252</v>
      </c>
      <c r="AD57">
        <f t="shared" si="4"/>
        <v>0.43801899999999999</v>
      </c>
      <c r="AE57">
        <f t="shared" si="5"/>
        <v>0.61028311231999999</v>
      </c>
      <c r="AF57" s="9"/>
      <c r="AG57" s="22">
        <v>0.13671900000000001</v>
      </c>
      <c r="AH57" s="22">
        <v>197.17400000000001</v>
      </c>
      <c r="AI57" s="22">
        <v>-1.4071699999999999E-3</v>
      </c>
      <c r="AJ57" s="22">
        <v>47</v>
      </c>
      <c r="AK57" s="22">
        <v>0.13619999999999999</v>
      </c>
      <c r="AL57">
        <f t="shared" si="6"/>
        <v>1.4071699999999998</v>
      </c>
      <c r="AM57">
        <f t="shared" si="7"/>
        <v>0.19238687522999998</v>
      </c>
      <c r="AP57" s="9"/>
      <c r="AQ57" s="22">
        <v>1.3932800000000001</v>
      </c>
      <c r="AR57" s="22">
        <v>246.31800000000001</v>
      </c>
      <c r="AS57" s="22">
        <v>-3.5009800000000002E-4</v>
      </c>
      <c r="AT57" s="22">
        <v>47</v>
      </c>
      <c r="AU57" s="22">
        <v>1.39252</v>
      </c>
      <c r="AV57">
        <f t="shared" si="8"/>
        <v>0.35009800000000002</v>
      </c>
      <c r="AW57">
        <f t="shared" si="9"/>
        <v>0.48778454144000005</v>
      </c>
      <c r="AX57" s="9"/>
      <c r="AY57" s="22">
        <v>0.13671900000000001</v>
      </c>
      <c r="AZ57" s="22">
        <v>295.47800000000001</v>
      </c>
      <c r="BA57" s="22">
        <v>-1.33453E-3</v>
      </c>
      <c r="BB57" s="22">
        <v>47</v>
      </c>
      <c r="BC57" s="22">
        <v>0.13610800000000001</v>
      </c>
      <c r="BD57">
        <f t="shared" si="10"/>
        <v>1.33453</v>
      </c>
      <c r="BE57">
        <f t="shared" si="11"/>
        <v>0.18245560707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1.3882399999999999</v>
      </c>
      <c r="H58" s="22">
        <v>49.7956</v>
      </c>
      <c r="I58" s="22">
        <v>-7.0739700000000002E-4</v>
      </c>
      <c r="J58" s="22">
        <v>48</v>
      </c>
      <c r="K58" s="22">
        <v>1.3870199999999999</v>
      </c>
      <c r="L58">
        <f t="shared" si="0"/>
        <v>0.70739700000000005</v>
      </c>
      <c r="M58">
        <f t="shared" si="1"/>
        <v>0.98203681127999998</v>
      </c>
      <c r="N58" s="9"/>
      <c r="O58" s="22">
        <v>0.14175399999999999</v>
      </c>
      <c r="P58" s="22">
        <v>98.855000000000004</v>
      </c>
      <c r="Q58" s="22">
        <v>-1.5451E-3</v>
      </c>
      <c r="R58" s="22">
        <v>48</v>
      </c>
      <c r="S58" s="22">
        <v>0.141205</v>
      </c>
      <c r="T58">
        <f t="shared" si="2"/>
        <v>1.5450999999999999</v>
      </c>
      <c r="U58">
        <f t="shared" si="3"/>
        <v>0.21902410539999997</v>
      </c>
      <c r="X58" s="9"/>
      <c r="Y58" s="22">
        <v>1.3882399999999999</v>
      </c>
      <c r="Z58" s="22">
        <v>147.934</v>
      </c>
      <c r="AA58" s="22">
        <v>-4.4958500000000001E-4</v>
      </c>
      <c r="AB58" s="22">
        <v>48</v>
      </c>
      <c r="AC58" s="22">
        <v>1.3870199999999999</v>
      </c>
      <c r="AD58">
        <f t="shared" si="4"/>
        <v>0.44958500000000001</v>
      </c>
      <c r="AE58">
        <f t="shared" si="5"/>
        <v>0.62413188040000001</v>
      </c>
      <c r="AF58" s="9"/>
      <c r="AG58" s="22">
        <v>0.14175399999999999</v>
      </c>
      <c r="AH58" s="22">
        <v>197.184</v>
      </c>
      <c r="AI58" s="22">
        <v>-1.39923E-3</v>
      </c>
      <c r="AJ58" s="22">
        <v>48</v>
      </c>
      <c r="AK58" s="22">
        <v>0.14114399999999999</v>
      </c>
      <c r="AL58">
        <f t="shared" si="6"/>
        <v>1.39923</v>
      </c>
      <c r="AM58">
        <f t="shared" si="7"/>
        <v>0.19834644941999999</v>
      </c>
      <c r="AP58" s="9"/>
      <c r="AQ58" s="22">
        <v>1.3882399999999999</v>
      </c>
      <c r="AR58" s="22">
        <v>246.328</v>
      </c>
      <c r="AS58" s="22">
        <v>-3.6050399999999999E-4</v>
      </c>
      <c r="AT58" s="22">
        <v>48</v>
      </c>
      <c r="AU58" s="22">
        <v>1.3870199999999999</v>
      </c>
      <c r="AV58">
        <f t="shared" si="8"/>
        <v>0.36050399999999999</v>
      </c>
      <c r="AW58">
        <f t="shared" si="9"/>
        <v>0.50046607296000001</v>
      </c>
      <c r="AX58" s="9"/>
      <c r="AY58" s="22">
        <v>0.14175399999999999</v>
      </c>
      <c r="AZ58" s="22">
        <v>295.488</v>
      </c>
      <c r="BA58" s="22">
        <v>-1.3247700000000001E-3</v>
      </c>
      <c r="BB58" s="22">
        <v>48</v>
      </c>
      <c r="BC58" s="22">
        <v>0.141235</v>
      </c>
      <c r="BD58">
        <f t="shared" si="10"/>
        <v>1.32477</v>
      </c>
      <c r="BE58">
        <f t="shared" si="11"/>
        <v>0.18779144657999999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1.3832100000000001</v>
      </c>
      <c r="H59" s="22">
        <v>49.805599999999998</v>
      </c>
      <c r="I59" s="22">
        <v>-7.2631799999999999E-4</v>
      </c>
      <c r="J59" s="22">
        <v>49</v>
      </c>
      <c r="K59" s="22">
        <v>1.3821399999999999</v>
      </c>
      <c r="L59">
        <f t="shared" si="0"/>
        <v>0.72631800000000002</v>
      </c>
      <c r="M59">
        <f t="shared" si="1"/>
        <v>1.0046503207800002</v>
      </c>
      <c r="N59" s="9"/>
      <c r="O59" s="22">
        <v>0.14679</v>
      </c>
      <c r="P59" s="22">
        <v>98.864999999999995</v>
      </c>
      <c r="Q59" s="22">
        <v>-1.53656E-3</v>
      </c>
      <c r="R59" s="22">
        <v>49</v>
      </c>
      <c r="S59" s="22">
        <v>0.14627100000000001</v>
      </c>
      <c r="T59">
        <f t="shared" si="2"/>
        <v>1.5365599999999999</v>
      </c>
      <c r="U59">
        <f t="shared" si="3"/>
        <v>0.2255516424</v>
      </c>
      <c r="X59" s="9"/>
      <c r="Y59" s="22">
        <v>1.3832100000000001</v>
      </c>
      <c r="Z59" s="22">
        <v>147.94399999999999</v>
      </c>
      <c r="AA59" s="22">
        <v>-4.5950299999999999E-4</v>
      </c>
      <c r="AB59" s="22">
        <v>49</v>
      </c>
      <c r="AC59" s="22">
        <v>1.3827499999999999</v>
      </c>
      <c r="AD59">
        <f t="shared" si="4"/>
        <v>0.45950299999999999</v>
      </c>
      <c r="AE59">
        <f t="shared" si="5"/>
        <v>0.63558914463000005</v>
      </c>
      <c r="AF59" s="9"/>
      <c r="AG59" s="22">
        <v>0.14679</v>
      </c>
      <c r="AH59" s="22">
        <v>197.19399999999999</v>
      </c>
      <c r="AI59" s="22">
        <v>-1.38916E-3</v>
      </c>
      <c r="AJ59" s="22">
        <v>49</v>
      </c>
      <c r="AK59" s="22">
        <v>0.14624000000000001</v>
      </c>
      <c r="AL59">
        <f t="shared" si="6"/>
        <v>1.38916</v>
      </c>
      <c r="AM59">
        <f t="shared" si="7"/>
        <v>0.20391479639999999</v>
      </c>
      <c r="AP59" s="9"/>
      <c r="AQ59" s="22">
        <v>1.3832100000000001</v>
      </c>
      <c r="AR59" s="22">
        <v>246.33799999999999</v>
      </c>
      <c r="AS59" s="22">
        <v>-3.70331E-4</v>
      </c>
      <c r="AT59" s="22">
        <v>49</v>
      </c>
      <c r="AU59" s="22">
        <v>1.3827499999999999</v>
      </c>
      <c r="AV59">
        <f t="shared" si="8"/>
        <v>0.37033100000000002</v>
      </c>
      <c r="AW59">
        <f t="shared" si="9"/>
        <v>0.5122455425100001</v>
      </c>
      <c r="AX59" s="9"/>
      <c r="AY59" s="22">
        <v>0.14679</v>
      </c>
      <c r="AZ59" s="22">
        <v>295.49799999999999</v>
      </c>
      <c r="BA59" s="22">
        <v>-1.31653E-3</v>
      </c>
      <c r="BB59" s="22">
        <v>49</v>
      </c>
      <c r="BC59" s="22">
        <v>0.14627100000000001</v>
      </c>
      <c r="BD59">
        <f t="shared" si="10"/>
        <v>1.31653</v>
      </c>
      <c r="BE59">
        <f t="shared" si="11"/>
        <v>0.1932534387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1.3781699999999999</v>
      </c>
      <c r="H60" s="22">
        <v>49.8157</v>
      </c>
      <c r="I60" s="22">
        <v>-7.3089599999999998E-4</v>
      </c>
      <c r="J60" s="22">
        <v>50</v>
      </c>
      <c r="K60" s="22">
        <v>1.3772599999999999</v>
      </c>
      <c r="L60">
        <f t="shared" si="0"/>
        <v>0.73089599999999999</v>
      </c>
      <c r="M60">
        <f t="shared" si="1"/>
        <v>1.0072989403199999</v>
      </c>
      <c r="N60" s="9"/>
      <c r="O60" s="22">
        <v>0.15182499999999999</v>
      </c>
      <c r="P60" s="22">
        <v>98.875100000000003</v>
      </c>
      <c r="Q60" s="22">
        <v>-1.5258800000000001E-3</v>
      </c>
      <c r="R60" s="22">
        <v>50</v>
      </c>
      <c r="S60" s="22">
        <v>0.151398</v>
      </c>
      <c r="T60">
        <f t="shared" si="2"/>
        <v>1.5258800000000001</v>
      </c>
      <c r="U60">
        <f t="shared" si="3"/>
        <v>0.23166673099999999</v>
      </c>
      <c r="X60" s="9"/>
      <c r="Y60" s="22">
        <v>1.3781699999999999</v>
      </c>
      <c r="Z60" s="22">
        <v>147.95500000000001</v>
      </c>
      <c r="AA60" s="22">
        <v>-4.70703E-4</v>
      </c>
      <c r="AB60" s="22">
        <v>50</v>
      </c>
      <c r="AC60" s="22">
        <v>1.3772599999999999</v>
      </c>
      <c r="AD60">
        <f t="shared" si="4"/>
        <v>0.47070299999999998</v>
      </c>
      <c r="AE60">
        <f t="shared" si="5"/>
        <v>0.6487087535099999</v>
      </c>
      <c r="AF60" s="9"/>
      <c r="AG60" s="22">
        <v>0.15182499999999999</v>
      </c>
      <c r="AH60" s="22">
        <v>197.20400000000001</v>
      </c>
      <c r="AI60" s="22">
        <v>-1.3809200000000001E-3</v>
      </c>
      <c r="AJ60" s="22">
        <v>50</v>
      </c>
      <c r="AK60" s="22">
        <v>0.15127599999999999</v>
      </c>
      <c r="AL60">
        <f t="shared" si="6"/>
        <v>1.3809200000000001</v>
      </c>
      <c r="AM60">
        <f t="shared" si="7"/>
        <v>0.209658179</v>
      </c>
      <c r="AP60" s="9"/>
      <c r="AQ60" s="22">
        <v>1.3781699999999999</v>
      </c>
      <c r="AR60" s="22">
        <v>246.34800000000001</v>
      </c>
      <c r="AS60" s="22">
        <v>-3.81042E-4</v>
      </c>
      <c r="AT60" s="22">
        <v>50</v>
      </c>
      <c r="AU60" s="22">
        <v>1.3766499999999999</v>
      </c>
      <c r="AV60">
        <f t="shared" si="8"/>
        <v>0.38104199999999999</v>
      </c>
      <c r="AW60">
        <f t="shared" si="9"/>
        <v>0.52514065313999991</v>
      </c>
      <c r="AX60" s="9"/>
      <c r="AY60" s="22">
        <v>0.15182499999999999</v>
      </c>
      <c r="AZ60" s="22">
        <v>295.50799999999998</v>
      </c>
      <c r="BA60" s="22">
        <v>-1.3067599999999999E-3</v>
      </c>
      <c r="BB60" s="22">
        <v>50</v>
      </c>
      <c r="BC60" s="22">
        <v>0.151306</v>
      </c>
      <c r="BD60">
        <f t="shared" si="10"/>
        <v>1.3067599999999999</v>
      </c>
      <c r="BE60">
        <f t="shared" si="11"/>
        <v>0.19839883699999997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1.37314</v>
      </c>
      <c r="H61" s="22">
        <v>49.825800000000001</v>
      </c>
      <c r="I61" s="22">
        <v>-7.5286899999999998E-4</v>
      </c>
      <c r="J61" s="22">
        <v>51</v>
      </c>
      <c r="K61" s="22">
        <v>1.3720699999999999</v>
      </c>
      <c r="L61">
        <f t="shared" si="0"/>
        <v>0.75286900000000001</v>
      </c>
      <c r="M61">
        <f t="shared" si="1"/>
        <v>1.03379453866</v>
      </c>
      <c r="N61" s="9"/>
      <c r="O61" s="22">
        <v>0.15686</v>
      </c>
      <c r="P61" s="22">
        <v>98.885199999999998</v>
      </c>
      <c r="Q61" s="22">
        <v>-1.51611E-3</v>
      </c>
      <c r="R61" s="22">
        <v>51</v>
      </c>
      <c r="S61" s="22">
        <v>0.15637200000000001</v>
      </c>
      <c r="T61">
        <f t="shared" si="2"/>
        <v>1.5161100000000001</v>
      </c>
      <c r="U61">
        <f t="shared" si="3"/>
        <v>0.23781701460000002</v>
      </c>
      <c r="X61" s="9"/>
      <c r="Y61" s="22">
        <v>1.37314</v>
      </c>
      <c r="Z61" s="22">
        <v>147.965</v>
      </c>
      <c r="AA61" s="22">
        <v>-4.8150599999999998E-4</v>
      </c>
      <c r="AB61" s="22">
        <v>51</v>
      </c>
      <c r="AC61" s="22">
        <v>1.3720699999999999</v>
      </c>
      <c r="AD61">
        <f t="shared" si="4"/>
        <v>0.48150599999999999</v>
      </c>
      <c r="AE61">
        <f t="shared" si="5"/>
        <v>0.66117514883999995</v>
      </c>
      <c r="AF61" s="9"/>
      <c r="AG61" s="22">
        <v>0.15686</v>
      </c>
      <c r="AH61" s="22">
        <v>197.214</v>
      </c>
      <c r="AI61" s="22">
        <v>-1.37207E-3</v>
      </c>
      <c r="AJ61" s="22">
        <v>51</v>
      </c>
      <c r="AK61" s="22">
        <v>0.15637200000000001</v>
      </c>
      <c r="AL61">
        <f t="shared" si="6"/>
        <v>1.3720699999999999</v>
      </c>
      <c r="AM61">
        <f t="shared" si="7"/>
        <v>0.21522290019999998</v>
      </c>
      <c r="AP61" s="9"/>
      <c r="AQ61" s="22">
        <v>1.37314</v>
      </c>
      <c r="AR61" s="22">
        <v>246.358</v>
      </c>
      <c r="AS61" s="22">
        <v>-3.9093E-4</v>
      </c>
      <c r="AT61" s="22">
        <v>51</v>
      </c>
      <c r="AU61" s="22">
        <v>1.3717699999999999</v>
      </c>
      <c r="AV61">
        <f t="shared" si="8"/>
        <v>0.39093</v>
      </c>
      <c r="AW61">
        <f t="shared" si="9"/>
        <v>0.5368016202</v>
      </c>
      <c r="AX61" s="9"/>
      <c r="AY61" s="22">
        <v>0.15686</v>
      </c>
      <c r="AZ61" s="22">
        <v>295.51799999999997</v>
      </c>
      <c r="BA61" s="22">
        <v>-1.2988299999999999E-3</v>
      </c>
      <c r="BB61" s="22">
        <v>51</v>
      </c>
      <c r="BC61" s="22">
        <v>0.15637200000000001</v>
      </c>
      <c r="BD61">
        <f t="shared" si="10"/>
        <v>1.2988299999999999</v>
      </c>
      <c r="BE61">
        <f t="shared" si="11"/>
        <v>0.20373447379999998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1.3681000000000001</v>
      </c>
      <c r="H62" s="22">
        <v>49.835799999999999</v>
      </c>
      <c r="I62" s="22">
        <v>-7.5195299999999997E-4</v>
      </c>
      <c r="J62" s="22">
        <v>52</v>
      </c>
      <c r="K62" s="22">
        <v>1.3665799999999999</v>
      </c>
      <c r="L62">
        <f t="shared" si="0"/>
        <v>0.75195299999999998</v>
      </c>
      <c r="M62">
        <f t="shared" si="1"/>
        <v>1.0287468993</v>
      </c>
      <c r="N62" s="9"/>
      <c r="O62" s="22">
        <v>0.16189600000000001</v>
      </c>
      <c r="P62" s="22">
        <v>98.895200000000003</v>
      </c>
      <c r="Q62" s="22">
        <v>-1.50909E-3</v>
      </c>
      <c r="R62" s="22">
        <v>52</v>
      </c>
      <c r="S62" s="22">
        <v>0.16140699999999999</v>
      </c>
      <c r="T62">
        <f t="shared" si="2"/>
        <v>1.50909</v>
      </c>
      <c r="U62">
        <f t="shared" si="3"/>
        <v>0.24431563464000003</v>
      </c>
      <c r="X62" s="9"/>
      <c r="Y62" s="22">
        <v>1.3681000000000001</v>
      </c>
      <c r="Z62" s="22">
        <v>147.97499999999999</v>
      </c>
      <c r="AA62" s="22">
        <v>-4.9209600000000003E-4</v>
      </c>
      <c r="AB62" s="22">
        <v>52</v>
      </c>
      <c r="AC62" s="22">
        <v>1.3668800000000001</v>
      </c>
      <c r="AD62">
        <f t="shared" si="4"/>
        <v>0.49209600000000003</v>
      </c>
      <c r="AE62">
        <f t="shared" si="5"/>
        <v>0.67323653760000013</v>
      </c>
      <c r="AF62" s="9"/>
      <c r="AG62" s="22">
        <v>0.16189600000000001</v>
      </c>
      <c r="AH62" s="22">
        <v>197.22399999999999</v>
      </c>
      <c r="AI62" s="22">
        <v>-1.36414E-3</v>
      </c>
      <c r="AJ62" s="22">
        <v>52</v>
      </c>
      <c r="AK62" s="22">
        <v>0.16137699999999999</v>
      </c>
      <c r="AL62">
        <f t="shared" si="6"/>
        <v>1.3641399999999999</v>
      </c>
      <c r="AM62">
        <f t="shared" si="7"/>
        <v>0.22084880943999999</v>
      </c>
      <c r="AP62" s="9"/>
      <c r="AQ62" s="22">
        <v>1.3681000000000001</v>
      </c>
      <c r="AR62" s="22">
        <v>246.36799999999999</v>
      </c>
      <c r="AS62" s="22">
        <v>-4.0036E-4</v>
      </c>
      <c r="AT62" s="22">
        <v>52</v>
      </c>
      <c r="AU62" s="22">
        <v>1.3665799999999999</v>
      </c>
      <c r="AV62">
        <f t="shared" si="8"/>
        <v>0.40035999999999999</v>
      </c>
      <c r="AW62">
        <f t="shared" si="9"/>
        <v>0.54773251600000006</v>
      </c>
      <c r="AX62" s="9"/>
      <c r="AY62" s="22">
        <v>0.16189600000000001</v>
      </c>
      <c r="AZ62" s="22">
        <v>295.52800000000002</v>
      </c>
      <c r="BA62" s="22">
        <v>-1.29028E-3</v>
      </c>
      <c r="BB62" s="22">
        <v>52</v>
      </c>
      <c r="BC62" s="22">
        <v>0.16134599999999999</v>
      </c>
      <c r="BD62">
        <f t="shared" si="10"/>
        <v>1.2902800000000001</v>
      </c>
      <c r="BE62">
        <f t="shared" si="11"/>
        <v>0.20889117088000003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1.36307</v>
      </c>
      <c r="H63" s="22">
        <v>49.8459</v>
      </c>
      <c r="I63" s="22">
        <v>-7.5744600000000005E-4</v>
      </c>
      <c r="J63" s="22">
        <v>53</v>
      </c>
      <c r="K63" s="22">
        <v>1.3626100000000001</v>
      </c>
      <c r="L63">
        <f t="shared" si="0"/>
        <v>0.75744600000000006</v>
      </c>
      <c r="M63">
        <f t="shared" si="1"/>
        <v>1.0324519192200001</v>
      </c>
      <c r="N63" s="9"/>
      <c r="O63" s="22">
        <v>0.166931</v>
      </c>
      <c r="P63" s="22">
        <v>98.905299999999997</v>
      </c>
      <c r="Q63" s="22">
        <v>-1.5026900000000001E-3</v>
      </c>
      <c r="R63" s="22">
        <v>53</v>
      </c>
      <c r="S63" s="22">
        <v>0.166382</v>
      </c>
      <c r="T63">
        <f t="shared" si="2"/>
        <v>1.5026900000000001</v>
      </c>
      <c r="U63">
        <f t="shared" si="3"/>
        <v>0.25084554439000001</v>
      </c>
      <c r="X63" s="9"/>
      <c r="Y63" s="22">
        <v>1.36307</v>
      </c>
      <c r="Z63" s="22">
        <v>147.98500000000001</v>
      </c>
      <c r="AA63" s="22">
        <v>-4.9926799999999998E-4</v>
      </c>
      <c r="AB63" s="22">
        <v>53</v>
      </c>
      <c r="AC63" s="22">
        <v>1.3620000000000001</v>
      </c>
      <c r="AD63">
        <f t="shared" si="4"/>
        <v>0.49926799999999999</v>
      </c>
      <c r="AE63">
        <f t="shared" si="5"/>
        <v>0.68053723276</v>
      </c>
      <c r="AF63" s="9"/>
      <c r="AG63" s="22">
        <v>0.166931</v>
      </c>
      <c r="AH63" s="22">
        <v>197.23400000000001</v>
      </c>
      <c r="AI63" s="22">
        <v>-1.3552900000000001E-3</v>
      </c>
      <c r="AJ63" s="22">
        <v>53</v>
      </c>
      <c r="AK63" s="22">
        <v>0.166321</v>
      </c>
      <c r="AL63">
        <f t="shared" si="6"/>
        <v>1.3552900000000001</v>
      </c>
      <c r="AM63">
        <f t="shared" si="7"/>
        <v>0.22623991499000001</v>
      </c>
      <c r="AP63" s="9"/>
      <c r="AQ63" s="22">
        <v>1.36307</v>
      </c>
      <c r="AR63" s="22">
        <v>246.37899999999999</v>
      </c>
      <c r="AS63" s="22">
        <v>-4.0939299999999997E-4</v>
      </c>
      <c r="AT63" s="22">
        <v>53</v>
      </c>
      <c r="AU63" s="22">
        <v>1.3616900000000001</v>
      </c>
      <c r="AV63">
        <f t="shared" si="8"/>
        <v>0.40939299999999995</v>
      </c>
      <c r="AW63">
        <f t="shared" si="9"/>
        <v>0.55803131650999993</v>
      </c>
      <c r="AX63" s="9"/>
      <c r="AY63" s="22">
        <v>0.166931</v>
      </c>
      <c r="AZ63" s="22">
        <v>295.53800000000001</v>
      </c>
      <c r="BA63" s="22">
        <v>-1.2829600000000001E-3</v>
      </c>
      <c r="BB63" s="22">
        <v>53</v>
      </c>
      <c r="BC63" s="22">
        <v>0.166412</v>
      </c>
      <c r="BD63">
        <f t="shared" si="10"/>
        <v>1.2829600000000001</v>
      </c>
      <c r="BE63">
        <f t="shared" si="11"/>
        <v>0.21416579576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1.3580300000000001</v>
      </c>
      <c r="H64" s="22">
        <v>49.856000000000002</v>
      </c>
      <c r="I64" s="22">
        <v>-7.6232899999999996E-4</v>
      </c>
      <c r="J64" s="22">
        <v>54</v>
      </c>
      <c r="K64" s="22">
        <v>1.3568100000000001</v>
      </c>
      <c r="L64">
        <f t="shared" si="0"/>
        <v>0.76232899999999992</v>
      </c>
      <c r="M64">
        <f t="shared" si="1"/>
        <v>1.0352656518699999</v>
      </c>
      <c r="N64" s="9"/>
      <c r="O64" s="22">
        <v>0.17196700000000001</v>
      </c>
      <c r="P64" s="22">
        <v>98.915400000000005</v>
      </c>
      <c r="Q64" s="22">
        <v>-1.4950600000000001E-3</v>
      </c>
      <c r="R64" s="22">
        <v>54</v>
      </c>
      <c r="S64" s="22">
        <v>0.17138700000000001</v>
      </c>
      <c r="T64">
        <f t="shared" si="2"/>
        <v>1.4950600000000001</v>
      </c>
      <c r="U64">
        <f t="shared" si="3"/>
        <v>0.25710098302000001</v>
      </c>
      <c r="X64" s="9"/>
      <c r="Y64" s="22">
        <v>1.3580300000000001</v>
      </c>
      <c r="Z64" s="22">
        <v>147.995</v>
      </c>
      <c r="AA64" s="22">
        <v>-5.0933800000000002E-4</v>
      </c>
      <c r="AB64" s="22">
        <v>54</v>
      </c>
      <c r="AC64" s="22">
        <v>1.3571200000000001</v>
      </c>
      <c r="AD64">
        <f t="shared" si="4"/>
        <v>0.50933800000000007</v>
      </c>
      <c r="AE64">
        <f t="shared" si="5"/>
        <v>0.69169628414000017</v>
      </c>
      <c r="AF64" s="9"/>
      <c r="AG64" s="22">
        <v>0.17196700000000001</v>
      </c>
      <c r="AH64" s="22">
        <v>197.244</v>
      </c>
      <c r="AI64" s="22">
        <v>-1.3476600000000001E-3</v>
      </c>
      <c r="AJ64" s="22">
        <v>54</v>
      </c>
      <c r="AK64" s="22">
        <v>0.17141700000000001</v>
      </c>
      <c r="AL64">
        <f t="shared" si="6"/>
        <v>1.3476600000000001</v>
      </c>
      <c r="AM64">
        <f t="shared" si="7"/>
        <v>0.23175304722000004</v>
      </c>
      <c r="AP64" s="9"/>
      <c r="AQ64" s="22">
        <v>1.3580300000000001</v>
      </c>
      <c r="AR64" s="22">
        <v>246.38900000000001</v>
      </c>
      <c r="AS64" s="22">
        <v>-4.1900599999999998E-4</v>
      </c>
      <c r="AT64" s="22">
        <v>54</v>
      </c>
      <c r="AU64" s="22">
        <v>1.3571200000000001</v>
      </c>
      <c r="AV64">
        <f t="shared" si="8"/>
        <v>0.41900599999999999</v>
      </c>
      <c r="AW64">
        <f t="shared" si="9"/>
        <v>0.56902271818000005</v>
      </c>
      <c r="AX64" s="9"/>
      <c r="AY64" s="22">
        <v>0.17196700000000001</v>
      </c>
      <c r="AZ64" s="22">
        <v>295.548</v>
      </c>
      <c r="BA64" s="22">
        <v>-1.2744099999999999E-3</v>
      </c>
      <c r="BB64" s="22">
        <v>54</v>
      </c>
      <c r="BC64" s="22">
        <v>0.17138700000000001</v>
      </c>
      <c r="BD64">
        <f t="shared" si="10"/>
        <v>1.2744099999999998</v>
      </c>
      <c r="BE64">
        <f t="shared" si="11"/>
        <v>0.21915646446999998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1.353</v>
      </c>
      <c r="H65" s="22">
        <v>49.866</v>
      </c>
      <c r="I65" s="22">
        <v>-7.7453600000000004E-4</v>
      </c>
      <c r="J65" s="22">
        <v>55</v>
      </c>
      <c r="K65" s="22">
        <v>1.35223</v>
      </c>
      <c r="L65">
        <f t="shared" si="0"/>
        <v>0.774536</v>
      </c>
      <c r="M65">
        <f t="shared" si="1"/>
        <v>1.0479472080000001</v>
      </c>
      <c r="N65" s="9"/>
      <c r="O65" s="22">
        <v>0.17700199999999999</v>
      </c>
      <c r="P65" s="22">
        <v>98.9255</v>
      </c>
      <c r="Q65" s="22">
        <v>-1.48621E-3</v>
      </c>
      <c r="R65" s="22">
        <v>55</v>
      </c>
      <c r="S65" s="22">
        <v>0.176483</v>
      </c>
      <c r="T65">
        <f t="shared" si="2"/>
        <v>1.48621</v>
      </c>
      <c r="U65">
        <f t="shared" si="3"/>
        <v>0.26306214241999998</v>
      </c>
      <c r="X65" s="9"/>
      <c r="Y65" s="22">
        <v>1.353</v>
      </c>
      <c r="Z65" s="22">
        <v>148.005</v>
      </c>
      <c r="AA65" s="22">
        <v>-5.1849399999999999E-4</v>
      </c>
      <c r="AB65" s="22">
        <v>55</v>
      </c>
      <c r="AC65" s="22">
        <v>1.35223</v>
      </c>
      <c r="AD65">
        <f t="shared" si="4"/>
        <v>0.51849400000000001</v>
      </c>
      <c r="AE65">
        <f t="shared" si="5"/>
        <v>0.70152238200000006</v>
      </c>
      <c r="AF65" s="9"/>
      <c r="AG65" s="22">
        <v>0.17700199999999999</v>
      </c>
      <c r="AH65" s="22">
        <v>197.25399999999999</v>
      </c>
      <c r="AI65" s="22">
        <v>-1.3391099999999999E-3</v>
      </c>
      <c r="AJ65" s="22">
        <v>55</v>
      </c>
      <c r="AK65" s="22">
        <v>0.176422</v>
      </c>
      <c r="AL65">
        <f t="shared" si="6"/>
        <v>1.3391099999999998</v>
      </c>
      <c r="AM65">
        <f t="shared" si="7"/>
        <v>0.23702514821999995</v>
      </c>
      <c r="AP65" s="9"/>
      <c r="AQ65" s="22">
        <v>1.353</v>
      </c>
      <c r="AR65" s="22">
        <v>246.399</v>
      </c>
      <c r="AS65" s="22">
        <v>-4.2803999999999997E-4</v>
      </c>
      <c r="AT65" s="22">
        <v>55</v>
      </c>
      <c r="AU65" s="22">
        <v>1.35284</v>
      </c>
      <c r="AV65">
        <f t="shared" si="8"/>
        <v>0.42803999999999998</v>
      </c>
      <c r="AW65">
        <f t="shared" si="9"/>
        <v>0.57913811999999998</v>
      </c>
      <c r="AX65" s="9"/>
      <c r="AY65" s="22">
        <v>0.17700199999999999</v>
      </c>
      <c r="AZ65" s="22">
        <v>295.55799999999999</v>
      </c>
      <c r="BA65" s="22">
        <v>-1.2667799999999999E-3</v>
      </c>
      <c r="BB65" s="22">
        <v>55</v>
      </c>
      <c r="BC65" s="22">
        <v>0.176453</v>
      </c>
      <c r="BD65">
        <f t="shared" si="10"/>
        <v>1.2667799999999998</v>
      </c>
      <c r="BE65">
        <f t="shared" si="11"/>
        <v>0.22422259355999996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1.34796</v>
      </c>
      <c r="H66" s="22">
        <v>49.876100000000001</v>
      </c>
      <c r="I66" s="22">
        <v>-7.9071000000000002E-4</v>
      </c>
      <c r="J66" s="22">
        <v>56</v>
      </c>
      <c r="K66" s="22">
        <v>1.34674</v>
      </c>
      <c r="L66">
        <f t="shared" si="0"/>
        <v>0.79071000000000002</v>
      </c>
      <c r="M66">
        <f t="shared" si="1"/>
        <v>1.0658454516</v>
      </c>
      <c r="N66" s="9"/>
      <c r="O66" s="22">
        <v>0.182037</v>
      </c>
      <c r="P66" s="22">
        <v>98.935500000000005</v>
      </c>
      <c r="Q66" s="22">
        <v>-1.47766E-3</v>
      </c>
      <c r="R66" s="22">
        <v>56</v>
      </c>
      <c r="S66" s="22">
        <v>0.18148800000000001</v>
      </c>
      <c r="T66">
        <f t="shared" si="2"/>
        <v>1.47766</v>
      </c>
      <c r="U66">
        <f t="shared" si="3"/>
        <v>0.26898879341999998</v>
      </c>
      <c r="X66" s="9"/>
      <c r="Y66" s="22">
        <v>1.34796</v>
      </c>
      <c r="Z66" s="22">
        <v>148.01499999999999</v>
      </c>
      <c r="AA66" s="22">
        <v>-5.2734400000000001E-4</v>
      </c>
      <c r="AB66" s="22">
        <v>56</v>
      </c>
      <c r="AC66" s="22">
        <v>1.3464400000000001</v>
      </c>
      <c r="AD66">
        <f t="shared" si="4"/>
        <v>0.52734400000000003</v>
      </c>
      <c r="AE66">
        <f t="shared" si="5"/>
        <v>0.71083861824000005</v>
      </c>
      <c r="AF66" s="9"/>
      <c r="AG66" s="22">
        <v>0.182037</v>
      </c>
      <c r="AH66" s="22">
        <v>197.26400000000001</v>
      </c>
      <c r="AI66" s="22">
        <v>-1.3324000000000001E-3</v>
      </c>
      <c r="AJ66" s="22">
        <v>56</v>
      </c>
      <c r="AK66" s="22">
        <v>0.181427</v>
      </c>
      <c r="AL66">
        <f t="shared" si="6"/>
        <v>1.3324</v>
      </c>
      <c r="AM66">
        <f t="shared" si="7"/>
        <v>0.2425460988</v>
      </c>
      <c r="AP66" s="9"/>
      <c r="AQ66" s="22">
        <v>1.34796</v>
      </c>
      <c r="AR66" s="22">
        <v>246.40899999999999</v>
      </c>
      <c r="AS66" s="22">
        <v>-4.3667599999999999E-4</v>
      </c>
      <c r="AT66" s="22">
        <v>56</v>
      </c>
      <c r="AU66" s="22">
        <v>1.34674</v>
      </c>
      <c r="AV66">
        <f t="shared" si="8"/>
        <v>0.43667600000000001</v>
      </c>
      <c r="AW66">
        <f t="shared" si="9"/>
        <v>0.58862178096000006</v>
      </c>
      <c r="AX66" s="9"/>
      <c r="AY66" s="22">
        <v>0.182037</v>
      </c>
      <c r="AZ66" s="22">
        <v>295.56799999999998</v>
      </c>
      <c r="BA66" s="22">
        <v>-1.25854E-3</v>
      </c>
      <c r="BB66" s="22">
        <v>56</v>
      </c>
      <c r="BC66" s="22">
        <v>0.18145800000000001</v>
      </c>
      <c r="BD66">
        <f t="shared" si="10"/>
        <v>1.25854</v>
      </c>
      <c r="BE66">
        <f t="shared" si="11"/>
        <v>0.22910084598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1.34293</v>
      </c>
      <c r="H67" s="22">
        <v>49.886200000000002</v>
      </c>
      <c r="I67" s="22">
        <v>-7.9467800000000005E-4</v>
      </c>
      <c r="J67" s="22">
        <v>57</v>
      </c>
      <c r="K67" s="22">
        <v>1.3418600000000001</v>
      </c>
      <c r="L67">
        <f t="shared" si="0"/>
        <v>0.794678</v>
      </c>
      <c r="M67">
        <f t="shared" si="1"/>
        <v>1.0671969265399999</v>
      </c>
      <c r="N67" s="9"/>
      <c r="O67" s="22">
        <v>0.18707299999999999</v>
      </c>
      <c r="P67" s="22">
        <v>98.945599999999999</v>
      </c>
      <c r="Q67" s="22">
        <v>-1.4694199999999999E-3</v>
      </c>
      <c r="R67" s="22">
        <v>57</v>
      </c>
      <c r="S67" s="22">
        <v>0.186554</v>
      </c>
      <c r="T67">
        <f t="shared" si="2"/>
        <v>1.4694199999999999</v>
      </c>
      <c r="U67">
        <f t="shared" si="3"/>
        <v>0.27488880765999996</v>
      </c>
      <c r="X67" s="9"/>
      <c r="Y67" s="22">
        <v>1.34293</v>
      </c>
      <c r="Z67" s="22">
        <v>148.02500000000001</v>
      </c>
      <c r="AA67" s="22">
        <v>-5.3680399999999999E-4</v>
      </c>
      <c r="AB67" s="22">
        <v>57</v>
      </c>
      <c r="AC67" s="22">
        <v>1.3418600000000001</v>
      </c>
      <c r="AD67">
        <f t="shared" si="4"/>
        <v>0.53680399999999995</v>
      </c>
      <c r="AE67">
        <f t="shared" si="5"/>
        <v>0.7208901957199999</v>
      </c>
      <c r="AF67" s="9"/>
      <c r="AG67" s="22">
        <v>0.18707299999999999</v>
      </c>
      <c r="AH67" s="22">
        <v>197.274</v>
      </c>
      <c r="AI67" s="22">
        <v>-1.3247700000000001E-3</v>
      </c>
      <c r="AJ67" s="22">
        <v>57</v>
      </c>
      <c r="AK67" s="22">
        <v>0.18646199999999999</v>
      </c>
      <c r="AL67">
        <f t="shared" si="6"/>
        <v>1.32477</v>
      </c>
      <c r="AM67">
        <f t="shared" si="7"/>
        <v>0.24782869820999998</v>
      </c>
      <c r="AP67" s="9"/>
      <c r="AQ67" s="22">
        <v>1.34293</v>
      </c>
      <c r="AR67" s="22">
        <v>246.41900000000001</v>
      </c>
      <c r="AS67" s="22">
        <v>-4.4531300000000002E-4</v>
      </c>
      <c r="AT67" s="22">
        <v>57</v>
      </c>
      <c r="AU67" s="22">
        <v>1.34216</v>
      </c>
      <c r="AV67">
        <f t="shared" si="8"/>
        <v>0.44531300000000001</v>
      </c>
      <c r="AW67">
        <f t="shared" si="9"/>
        <v>0.59802418709000005</v>
      </c>
      <c r="AX67" s="9"/>
      <c r="AY67" s="22">
        <v>0.18707299999999999</v>
      </c>
      <c r="AZ67" s="22">
        <v>295.57799999999997</v>
      </c>
      <c r="BA67" s="22">
        <v>-1.25092E-3</v>
      </c>
      <c r="BB67" s="22">
        <v>57</v>
      </c>
      <c r="BC67" s="22">
        <v>0.18652299999999999</v>
      </c>
      <c r="BD67">
        <f t="shared" si="10"/>
        <v>1.25092</v>
      </c>
      <c r="BE67">
        <f t="shared" si="11"/>
        <v>0.23401335715999999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1.33789</v>
      </c>
      <c r="H68" s="22">
        <v>49.896299999999997</v>
      </c>
      <c r="I68" s="22">
        <v>-8.0993700000000005E-4</v>
      </c>
      <c r="J68" s="22">
        <v>58</v>
      </c>
      <c r="K68" s="22">
        <v>1.3369800000000001</v>
      </c>
      <c r="L68">
        <f t="shared" si="0"/>
        <v>0.80993700000000002</v>
      </c>
      <c r="M68">
        <f t="shared" si="1"/>
        <v>1.0836066129299999</v>
      </c>
      <c r="N68" s="9"/>
      <c r="O68" s="22">
        <v>0.192108</v>
      </c>
      <c r="P68" s="22">
        <v>98.955699999999993</v>
      </c>
      <c r="Q68" s="22">
        <v>-1.4621E-3</v>
      </c>
      <c r="R68" s="22">
        <v>58</v>
      </c>
      <c r="S68" s="22">
        <v>0.19158900000000001</v>
      </c>
      <c r="T68">
        <f t="shared" si="2"/>
        <v>1.4621</v>
      </c>
      <c r="U68">
        <f t="shared" si="3"/>
        <v>0.2808811068</v>
      </c>
      <c r="X68" s="9"/>
      <c r="Y68" s="22">
        <v>1.33789</v>
      </c>
      <c r="Z68" s="22">
        <v>148.035</v>
      </c>
      <c r="AA68" s="22">
        <v>-5.4504399999999995E-4</v>
      </c>
      <c r="AB68" s="22">
        <v>58</v>
      </c>
      <c r="AC68" s="22">
        <v>1.33636</v>
      </c>
      <c r="AD68">
        <f t="shared" si="4"/>
        <v>0.54504399999999997</v>
      </c>
      <c r="AE68">
        <f t="shared" si="5"/>
        <v>0.72920891716000003</v>
      </c>
      <c r="AF68" s="9"/>
      <c r="AG68" s="22">
        <v>0.192108</v>
      </c>
      <c r="AH68" s="22">
        <v>197.285</v>
      </c>
      <c r="AI68" s="22">
        <v>-1.3180500000000001E-3</v>
      </c>
      <c r="AJ68" s="22">
        <v>58</v>
      </c>
      <c r="AK68" s="22">
        <v>0.19155900000000001</v>
      </c>
      <c r="AL68">
        <f t="shared" si="6"/>
        <v>1.3180500000000002</v>
      </c>
      <c r="AM68">
        <f t="shared" si="7"/>
        <v>0.25320794940000002</v>
      </c>
      <c r="AP68" s="9"/>
      <c r="AQ68" s="22">
        <v>1.33789</v>
      </c>
      <c r="AR68" s="22">
        <v>246.429</v>
      </c>
      <c r="AS68" s="22">
        <v>-4.5278899999999999E-4</v>
      </c>
      <c r="AT68" s="22">
        <v>58</v>
      </c>
      <c r="AU68" s="22">
        <v>1.3369800000000001</v>
      </c>
      <c r="AV68">
        <f t="shared" si="8"/>
        <v>0.452789</v>
      </c>
      <c r="AW68">
        <f t="shared" si="9"/>
        <v>0.60578187521000004</v>
      </c>
      <c r="AX68" s="9"/>
      <c r="AY68" s="22">
        <v>0.192108</v>
      </c>
      <c r="AZ68" s="22">
        <v>295.58800000000002</v>
      </c>
      <c r="BA68" s="22">
        <v>-1.2429800000000001E-3</v>
      </c>
      <c r="BB68" s="22">
        <v>58</v>
      </c>
      <c r="BC68" s="22">
        <v>0.191528</v>
      </c>
      <c r="BD68">
        <f t="shared" si="10"/>
        <v>1.24298</v>
      </c>
      <c r="BE68">
        <f t="shared" si="11"/>
        <v>0.23878640184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1.3328599999999999</v>
      </c>
      <c r="H69" s="22">
        <v>49.906300000000002</v>
      </c>
      <c r="I69" s="22">
        <v>-8.1115699999999996E-4</v>
      </c>
      <c r="J69" s="22">
        <v>59</v>
      </c>
      <c r="K69" s="22">
        <v>1.33118</v>
      </c>
      <c r="L69">
        <f t="shared" si="0"/>
        <v>0.81115699999999991</v>
      </c>
      <c r="M69">
        <f t="shared" si="1"/>
        <v>1.0811587190199998</v>
      </c>
      <c r="N69" s="9"/>
      <c r="O69" s="22">
        <v>0.19714400000000001</v>
      </c>
      <c r="P69" s="22">
        <v>98.965699999999998</v>
      </c>
      <c r="Q69" s="22">
        <v>-1.45477E-3</v>
      </c>
      <c r="R69" s="22">
        <v>59</v>
      </c>
      <c r="S69" s="22">
        <v>0.19659399999999999</v>
      </c>
      <c r="T69">
        <f t="shared" si="2"/>
        <v>1.4547699999999999</v>
      </c>
      <c r="U69">
        <f t="shared" si="3"/>
        <v>0.28679917688000001</v>
      </c>
      <c r="X69" s="9"/>
      <c r="Y69" s="22">
        <v>1.3328599999999999</v>
      </c>
      <c r="Z69" s="22">
        <v>148.04499999999999</v>
      </c>
      <c r="AA69" s="22">
        <v>-5.5419900000000001E-4</v>
      </c>
      <c r="AB69" s="22">
        <v>59</v>
      </c>
      <c r="AC69" s="22">
        <v>1.33209</v>
      </c>
      <c r="AD69">
        <f t="shared" si="4"/>
        <v>0.554199</v>
      </c>
      <c r="AE69">
        <f t="shared" si="5"/>
        <v>0.73866967913999992</v>
      </c>
      <c r="AF69" s="9"/>
      <c r="AG69" s="22">
        <v>0.19714400000000001</v>
      </c>
      <c r="AH69" s="22">
        <v>197.29499999999999</v>
      </c>
      <c r="AI69" s="22">
        <v>-1.3089E-3</v>
      </c>
      <c r="AJ69" s="22">
        <v>59</v>
      </c>
      <c r="AK69" s="22">
        <v>0.19656399999999999</v>
      </c>
      <c r="AL69">
        <f t="shared" si="6"/>
        <v>1.3089</v>
      </c>
      <c r="AM69">
        <f t="shared" si="7"/>
        <v>0.25804178160000002</v>
      </c>
      <c r="AP69" s="9"/>
      <c r="AQ69" s="22">
        <v>1.3328599999999999</v>
      </c>
      <c r="AR69" s="22">
        <v>246.43899999999999</v>
      </c>
      <c r="AS69" s="22">
        <v>-4.5999099999999998E-4</v>
      </c>
      <c r="AT69" s="22">
        <v>59</v>
      </c>
      <c r="AU69" s="22">
        <v>1.33148</v>
      </c>
      <c r="AV69">
        <f t="shared" si="8"/>
        <v>0.45999099999999998</v>
      </c>
      <c r="AW69">
        <f t="shared" si="9"/>
        <v>0.61310360425999999</v>
      </c>
      <c r="AX69" s="9"/>
      <c r="AY69" s="22">
        <v>0.19714400000000001</v>
      </c>
      <c r="AZ69" s="22">
        <v>295.59800000000001</v>
      </c>
      <c r="BA69" s="22">
        <v>-1.2359599999999999E-3</v>
      </c>
      <c r="BB69" s="22">
        <v>59</v>
      </c>
      <c r="BC69" s="22">
        <v>0.19659399999999999</v>
      </c>
      <c r="BD69">
        <f t="shared" si="10"/>
        <v>1.2359599999999999</v>
      </c>
      <c r="BE69">
        <f t="shared" si="11"/>
        <v>0.24366209824000001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1.32782</v>
      </c>
      <c r="H70" s="22">
        <v>49.916400000000003</v>
      </c>
      <c r="I70" s="22">
        <v>-8.1695599999999998E-4</v>
      </c>
      <c r="J70" s="22">
        <v>60</v>
      </c>
      <c r="K70" s="22">
        <v>1.3266</v>
      </c>
      <c r="L70">
        <f t="shared" si="0"/>
        <v>0.81695600000000002</v>
      </c>
      <c r="M70">
        <f t="shared" si="1"/>
        <v>1.0847705159200001</v>
      </c>
      <c r="N70" s="9"/>
      <c r="O70" s="22">
        <v>0.202179</v>
      </c>
      <c r="P70" s="22">
        <v>98.975800000000007</v>
      </c>
      <c r="Q70" s="22">
        <v>-1.4474500000000001E-3</v>
      </c>
      <c r="R70" s="22">
        <v>60</v>
      </c>
      <c r="S70" s="22">
        <v>0.201599</v>
      </c>
      <c r="T70">
        <f t="shared" si="2"/>
        <v>1.4474500000000001</v>
      </c>
      <c r="U70">
        <f t="shared" si="3"/>
        <v>0.29264399355000004</v>
      </c>
      <c r="X70" s="9"/>
      <c r="Y70" s="22">
        <v>1.32782</v>
      </c>
      <c r="Z70" s="22">
        <v>148.05500000000001</v>
      </c>
      <c r="AA70" s="22">
        <v>-5.6335399999999996E-4</v>
      </c>
      <c r="AB70" s="22">
        <v>60</v>
      </c>
      <c r="AC70" s="22">
        <v>1.32629</v>
      </c>
      <c r="AD70">
        <f t="shared" si="4"/>
        <v>0.56335399999999991</v>
      </c>
      <c r="AE70">
        <f t="shared" si="5"/>
        <v>0.7480327082799999</v>
      </c>
      <c r="AF70" s="9"/>
      <c r="AG70" s="22">
        <v>0.202179</v>
      </c>
      <c r="AH70" s="22">
        <v>197.30500000000001</v>
      </c>
      <c r="AI70" s="22">
        <v>-1.3024899999999999E-3</v>
      </c>
      <c r="AJ70" s="22">
        <v>60</v>
      </c>
      <c r="AK70" s="22">
        <v>0.201599</v>
      </c>
      <c r="AL70">
        <f t="shared" si="6"/>
        <v>1.3024899999999999</v>
      </c>
      <c r="AM70">
        <f t="shared" si="7"/>
        <v>0.26333612570999998</v>
      </c>
      <c r="AP70" s="9"/>
      <c r="AQ70" s="22">
        <v>1.32782</v>
      </c>
      <c r="AR70" s="22">
        <v>246.44900000000001</v>
      </c>
      <c r="AS70" s="22">
        <v>-4.6893299999999999E-4</v>
      </c>
      <c r="AT70" s="22">
        <v>60</v>
      </c>
      <c r="AU70" s="22">
        <v>1.3269</v>
      </c>
      <c r="AV70">
        <f t="shared" si="8"/>
        <v>0.46893299999999999</v>
      </c>
      <c r="AW70">
        <f t="shared" si="9"/>
        <v>0.62265861605999995</v>
      </c>
      <c r="AX70" s="9"/>
      <c r="AY70" s="22">
        <v>0.202179</v>
      </c>
      <c r="AZ70" s="22">
        <v>295.608</v>
      </c>
      <c r="BA70" s="22">
        <v>-1.22864E-3</v>
      </c>
      <c r="BB70" s="22">
        <v>60</v>
      </c>
      <c r="BC70" s="22">
        <v>0.20166000000000001</v>
      </c>
      <c r="BD70">
        <f t="shared" si="10"/>
        <v>1.22864</v>
      </c>
      <c r="BE70">
        <f t="shared" si="11"/>
        <v>0.24840520655999998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1.3227800000000001</v>
      </c>
      <c r="H71" s="22">
        <v>49.926499999999997</v>
      </c>
      <c r="I71" s="22">
        <v>-8.2733199999999996E-4</v>
      </c>
      <c r="J71" s="22">
        <v>61</v>
      </c>
      <c r="K71" s="22">
        <v>1.32202</v>
      </c>
      <c r="L71">
        <f t="shared" si="0"/>
        <v>0.82733199999999996</v>
      </c>
      <c r="M71">
        <f t="shared" si="1"/>
        <v>1.0943782229600001</v>
      </c>
      <c r="N71" s="9"/>
      <c r="O71" s="22">
        <v>0.20721400000000001</v>
      </c>
      <c r="P71" s="22">
        <v>98.985900000000001</v>
      </c>
      <c r="Q71" s="22">
        <v>-1.4419599999999999E-3</v>
      </c>
      <c r="R71" s="22">
        <v>61</v>
      </c>
      <c r="S71" s="22">
        <v>0.20663500000000001</v>
      </c>
      <c r="T71">
        <f t="shared" si="2"/>
        <v>1.4419599999999999</v>
      </c>
      <c r="U71">
        <f t="shared" si="3"/>
        <v>0.29879429944000002</v>
      </c>
      <c r="X71" s="9"/>
      <c r="Y71" s="22">
        <v>1.3227800000000001</v>
      </c>
      <c r="Z71" s="22">
        <v>148.065</v>
      </c>
      <c r="AA71" s="22">
        <v>-5.7342500000000002E-4</v>
      </c>
      <c r="AB71" s="22">
        <v>61</v>
      </c>
      <c r="AC71" s="22">
        <v>1.32233</v>
      </c>
      <c r="AD71">
        <f t="shared" si="4"/>
        <v>0.57342500000000007</v>
      </c>
      <c r="AE71">
        <f t="shared" si="5"/>
        <v>0.75851512150000011</v>
      </c>
      <c r="AF71" s="9"/>
      <c r="AG71" s="22">
        <v>0.20721400000000001</v>
      </c>
      <c r="AH71" s="22">
        <v>197.315</v>
      </c>
      <c r="AI71" s="22">
        <v>-1.29425E-3</v>
      </c>
      <c r="AJ71" s="22">
        <v>61</v>
      </c>
      <c r="AK71" s="22">
        <v>0.20669599999999999</v>
      </c>
      <c r="AL71">
        <f t="shared" si="6"/>
        <v>1.2942500000000001</v>
      </c>
      <c r="AM71">
        <f t="shared" si="7"/>
        <v>0.26818671950000006</v>
      </c>
      <c r="AP71" s="9"/>
      <c r="AQ71" s="22">
        <v>1.3227800000000001</v>
      </c>
      <c r="AR71" s="22">
        <v>246.459</v>
      </c>
      <c r="AS71" s="22">
        <v>-4.7564699999999999E-4</v>
      </c>
      <c r="AT71" s="22">
        <v>61</v>
      </c>
      <c r="AU71" s="22">
        <v>1.32202</v>
      </c>
      <c r="AV71">
        <f t="shared" si="8"/>
        <v>0.47564699999999999</v>
      </c>
      <c r="AW71">
        <f t="shared" si="9"/>
        <v>0.62917633866</v>
      </c>
      <c r="AX71" s="9"/>
      <c r="AY71" s="22">
        <v>0.20721400000000001</v>
      </c>
      <c r="AZ71" s="22">
        <v>295.61900000000003</v>
      </c>
      <c r="BA71" s="22">
        <v>-1.2216200000000001E-3</v>
      </c>
      <c r="BB71" s="22">
        <v>61</v>
      </c>
      <c r="BC71" s="22">
        <v>0.20669599999999999</v>
      </c>
      <c r="BD71">
        <f t="shared" si="10"/>
        <v>1.2216200000000002</v>
      </c>
      <c r="BE71">
        <f t="shared" si="11"/>
        <v>0.25313676668000007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1.31775</v>
      </c>
      <c r="H72" s="22">
        <v>49.936500000000002</v>
      </c>
      <c r="I72" s="22">
        <v>-8.3496099999999995E-4</v>
      </c>
      <c r="J72" s="22">
        <v>62</v>
      </c>
      <c r="K72" s="22">
        <v>1.3168299999999999</v>
      </c>
      <c r="L72">
        <f t="shared" si="0"/>
        <v>0.83496099999999995</v>
      </c>
      <c r="M72">
        <f t="shared" si="1"/>
        <v>1.1002698577499999</v>
      </c>
      <c r="N72" s="9"/>
      <c r="O72" s="22">
        <v>0.21224999999999999</v>
      </c>
      <c r="P72" s="22">
        <v>98.995999999999995</v>
      </c>
      <c r="Q72" s="22">
        <v>-1.4361599999999999E-3</v>
      </c>
      <c r="R72" s="22">
        <v>62</v>
      </c>
      <c r="S72" s="22">
        <v>0.2117</v>
      </c>
      <c r="T72">
        <f t="shared" si="2"/>
        <v>1.4361599999999999</v>
      </c>
      <c r="U72">
        <f t="shared" si="3"/>
        <v>0.30482495999999998</v>
      </c>
      <c r="X72" s="9"/>
      <c r="Y72" s="22">
        <v>1.31775</v>
      </c>
      <c r="Z72" s="22">
        <v>148.07499999999999</v>
      </c>
      <c r="AA72" s="22">
        <v>-5.8013900000000002E-4</v>
      </c>
      <c r="AB72" s="22">
        <v>62</v>
      </c>
      <c r="AC72" s="22">
        <v>1.31653</v>
      </c>
      <c r="AD72">
        <f t="shared" si="4"/>
        <v>0.58013900000000007</v>
      </c>
      <c r="AE72">
        <f t="shared" si="5"/>
        <v>0.76447816725000006</v>
      </c>
      <c r="AF72" s="9"/>
      <c r="AG72" s="22">
        <v>0.21224999999999999</v>
      </c>
      <c r="AH72" s="22">
        <v>197.32499999999999</v>
      </c>
      <c r="AI72" s="22">
        <v>-1.2872300000000001E-3</v>
      </c>
      <c r="AJ72" s="22">
        <v>62</v>
      </c>
      <c r="AK72" s="22">
        <v>0.21167</v>
      </c>
      <c r="AL72">
        <f t="shared" si="6"/>
        <v>1.2872300000000001</v>
      </c>
      <c r="AM72">
        <f t="shared" si="7"/>
        <v>0.27321456750000001</v>
      </c>
      <c r="AP72" s="9"/>
      <c r="AQ72" s="22">
        <v>1.31775</v>
      </c>
      <c r="AR72" s="22">
        <v>246.46899999999999</v>
      </c>
      <c r="AS72" s="22">
        <v>-4.8303199999999999E-4</v>
      </c>
      <c r="AT72" s="22">
        <v>62</v>
      </c>
      <c r="AU72" s="22">
        <v>1.3168299999999999</v>
      </c>
      <c r="AV72">
        <f t="shared" si="8"/>
        <v>0.48303200000000002</v>
      </c>
      <c r="AW72">
        <f t="shared" si="9"/>
        <v>0.636515418</v>
      </c>
      <c r="AX72" s="9"/>
      <c r="AY72" s="22">
        <v>0.21224999999999999</v>
      </c>
      <c r="AZ72" s="22">
        <v>295.62900000000002</v>
      </c>
      <c r="BA72" s="22">
        <v>-1.21368E-3</v>
      </c>
      <c r="BB72" s="22">
        <v>62</v>
      </c>
      <c r="BC72" s="22">
        <v>0.211731</v>
      </c>
      <c r="BD72">
        <f t="shared" si="10"/>
        <v>1.2136799999999999</v>
      </c>
      <c r="BE72">
        <f t="shared" si="11"/>
        <v>0.25760357999999994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1.31271</v>
      </c>
      <c r="H73" s="22">
        <v>49.946599999999997</v>
      </c>
      <c r="I73" s="22">
        <v>-8.4411600000000001E-4</v>
      </c>
      <c r="J73" s="22">
        <v>63</v>
      </c>
      <c r="K73" s="22">
        <v>1.31165</v>
      </c>
      <c r="L73">
        <f t="shared" si="0"/>
        <v>0.84411599999999998</v>
      </c>
      <c r="M73">
        <f t="shared" si="1"/>
        <v>1.10807951436</v>
      </c>
      <c r="N73" s="9"/>
      <c r="O73" s="22">
        <v>0.21728500000000001</v>
      </c>
      <c r="P73" s="22">
        <v>99.006</v>
      </c>
      <c r="Q73" s="22">
        <v>-1.42975E-3</v>
      </c>
      <c r="R73" s="22">
        <v>63</v>
      </c>
      <c r="S73" s="22">
        <v>0.21670500000000001</v>
      </c>
      <c r="T73">
        <f t="shared" si="2"/>
        <v>1.4297500000000001</v>
      </c>
      <c r="U73">
        <f t="shared" si="3"/>
        <v>0.31066322875000002</v>
      </c>
      <c r="X73" s="9"/>
      <c r="Y73" s="22">
        <v>1.31271</v>
      </c>
      <c r="Z73" s="22">
        <v>148.08500000000001</v>
      </c>
      <c r="AA73" s="22">
        <v>-5.8685300000000003E-4</v>
      </c>
      <c r="AB73" s="22">
        <v>63</v>
      </c>
      <c r="AC73" s="22">
        <v>1.3119499999999999</v>
      </c>
      <c r="AD73">
        <f t="shared" si="4"/>
        <v>0.58685300000000007</v>
      </c>
      <c r="AE73">
        <f t="shared" si="5"/>
        <v>0.77036780163000007</v>
      </c>
      <c r="AF73" s="9"/>
      <c r="AG73" s="22">
        <v>0.21728500000000001</v>
      </c>
      <c r="AH73" s="22">
        <v>197.33500000000001</v>
      </c>
      <c r="AI73" s="22">
        <v>-1.2796000000000001E-3</v>
      </c>
      <c r="AJ73" s="22">
        <v>63</v>
      </c>
      <c r="AK73" s="22">
        <v>0.21682699999999999</v>
      </c>
      <c r="AL73">
        <f t="shared" si="6"/>
        <v>1.2796000000000001</v>
      </c>
      <c r="AM73">
        <f t="shared" si="7"/>
        <v>0.27803788600000001</v>
      </c>
      <c r="AP73" s="9"/>
      <c r="AQ73" s="22">
        <v>1.31271</v>
      </c>
      <c r="AR73" s="22">
        <v>246.47900000000001</v>
      </c>
      <c r="AS73" s="22">
        <v>-4.9075300000000002E-4</v>
      </c>
      <c r="AT73" s="22">
        <v>63</v>
      </c>
      <c r="AU73" s="22">
        <v>1.31165</v>
      </c>
      <c r="AV73">
        <f t="shared" si="8"/>
        <v>0.49075299999999999</v>
      </c>
      <c r="AW73">
        <f t="shared" si="9"/>
        <v>0.64421637063000003</v>
      </c>
      <c r="AX73" s="9"/>
      <c r="AY73" s="22">
        <v>0.21728500000000001</v>
      </c>
      <c r="AZ73" s="22">
        <v>295.63900000000001</v>
      </c>
      <c r="BA73" s="22">
        <v>-1.20667E-3</v>
      </c>
      <c r="BB73" s="22">
        <v>63</v>
      </c>
      <c r="BC73" s="22">
        <v>0.21673600000000001</v>
      </c>
      <c r="BD73">
        <f t="shared" si="10"/>
        <v>1.2066699999999999</v>
      </c>
      <c r="BE73">
        <f t="shared" si="11"/>
        <v>0.26219129094999999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1.30768</v>
      </c>
      <c r="H74" s="22">
        <v>49.956699999999998</v>
      </c>
      <c r="I74" s="22">
        <v>-8.5235599999999997E-4</v>
      </c>
      <c r="J74" s="22">
        <v>64</v>
      </c>
      <c r="K74" s="22">
        <v>1.3061499999999999</v>
      </c>
      <c r="L74">
        <f t="shared" si="0"/>
        <v>0.852356</v>
      </c>
      <c r="M74">
        <f t="shared" si="1"/>
        <v>1.1146088940799999</v>
      </c>
      <c r="N74" s="9"/>
      <c r="O74" s="22">
        <v>0.22232099999999999</v>
      </c>
      <c r="P74" s="22">
        <v>99.016099999999994</v>
      </c>
      <c r="Q74" s="22">
        <v>-1.42151E-3</v>
      </c>
      <c r="R74" s="22">
        <v>64</v>
      </c>
      <c r="S74" s="22">
        <v>0.221802</v>
      </c>
      <c r="T74">
        <f t="shared" si="2"/>
        <v>1.4215100000000001</v>
      </c>
      <c r="U74">
        <f t="shared" si="3"/>
        <v>0.31603152471000001</v>
      </c>
      <c r="X74" s="9"/>
      <c r="Y74" s="22">
        <v>1.30768</v>
      </c>
      <c r="Z74" s="22">
        <v>148.096</v>
      </c>
      <c r="AA74" s="22">
        <v>-5.9478799999999996E-4</v>
      </c>
      <c r="AB74" s="22">
        <v>64</v>
      </c>
      <c r="AC74" s="22">
        <v>1.30707</v>
      </c>
      <c r="AD74">
        <f t="shared" si="4"/>
        <v>0.59478799999999998</v>
      </c>
      <c r="AE74">
        <f t="shared" si="5"/>
        <v>0.77779237183999994</v>
      </c>
      <c r="AF74" s="9"/>
      <c r="AG74" s="22">
        <v>0.22232099999999999</v>
      </c>
      <c r="AH74" s="22">
        <v>197.345</v>
      </c>
      <c r="AI74" s="22">
        <v>-1.2734999999999999E-3</v>
      </c>
      <c r="AJ74" s="22">
        <v>64</v>
      </c>
      <c r="AK74" s="22">
        <v>0.22174099999999999</v>
      </c>
      <c r="AL74">
        <f t="shared" si="6"/>
        <v>1.2734999999999999</v>
      </c>
      <c r="AM74">
        <f t="shared" si="7"/>
        <v>0.28312579349999994</v>
      </c>
      <c r="AP74" s="9"/>
      <c r="AQ74" s="22">
        <v>1.30768</v>
      </c>
      <c r="AR74" s="22">
        <v>246.489</v>
      </c>
      <c r="AS74" s="22">
        <v>-4.9804700000000005E-4</v>
      </c>
      <c r="AT74" s="22">
        <v>64</v>
      </c>
      <c r="AU74" s="22">
        <v>1.3061499999999999</v>
      </c>
      <c r="AV74">
        <f t="shared" si="8"/>
        <v>0.49804700000000007</v>
      </c>
      <c r="AW74">
        <f t="shared" si="9"/>
        <v>0.65128610096000006</v>
      </c>
      <c r="AX74" s="9"/>
      <c r="AY74" s="22">
        <v>0.22232099999999999</v>
      </c>
      <c r="AZ74" s="22">
        <v>295.649</v>
      </c>
      <c r="BA74" s="22">
        <v>-1.1993399999999999E-3</v>
      </c>
      <c r="BB74" s="22">
        <v>64</v>
      </c>
      <c r="BC74" s="22">
        <v>0.221771</v>
      </c>
      <c r="BD74">
        <f t="shared" si="10"/>
        <v>1.1993399999999999</v>
      </c>
      <c r="BE74">
        <f t="shared" si="11"/>
        <v>0.26663846813999997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1.30264</v>
      </c>
      <c r="H75" s="22">
        <v>49.966799999999999</v>
      </c>
      <c r="I75" s="22">
        <v>-8.6090099999999996E-4</v>
      </c>
      <c r="J75" s="22">
        <v>65</v>
      </c>
      <c r="K75" s="22">
        <v>1.3018799999999999</v>
      </c>
      <c r="L75">
        <f t="shared" si="0"/>
        <v>0.86090099999999992</v>
      </c>
      <c r="M75">
        <f t="shared" si="1"/>
        <v>1.12144407864</v>
      </c>
      <c r="N75" s="9"/>
      <c r="O75" s="22">
        <v>0.227356</v>
      </c>
      <c r="P75" s="22">
        <v>99.026200000000003</v>
      </c>
      <c r="Q75" s="22">
        <v>-1.4135700000000001E-3</v>
      </c>
      <c r="R75" s="22">
        <v>65</v>
      </c>
      <c r="S75" s="22">
        <v>0.226746</v>
      </c>
      <c r="T75">
        <f t="shared" si="2"/>
        <v>1.41357</v>
      </c>
      <c r="U75">
        <f t="shared" si="3"/>
        <v>0.32138362092</v>
      </c>
      <c r="X75" s="9"/>
      <c r="Y75" s="22">
        <v>1.30264</v>
      </c>
      <c r="Z75" s="22">
        <v>148.10599999999999</v>
      </c>
      <c r="AA75" s="22">
        <v>-6.0150100000000005E-4</v>
      </c>
      <c r="AB75" s="22">
        <v>65</v>
      </c>
      <c r="AC75" s="22">
        <v>1.3018799999999999</v>
      </c>
      <c r="AD75">
        <f t="shared" si="4"/>
        <v>0.60150100000000006</v>
      </c>
      <c r="AE75">
        <f t="shared" si="5"/>
        <v>0.78353926264000007</v>
      </c>
      <c r="AF75" s="9"/>
      <c r="AG75" s="22">
        <v>0.227356</v>
      </c>
      <c r="AH75" s="22">
        <v>197.35499999999999</v>
      </c>
      <c r="AI75" s="22">
        <v>-1.2667799999999999E-3</v>
      </c>
      <c r="AJ75" s="22">
        <v>65</v>
      </c>
      <c r="AK75" s="22">
        <v>0.22677600000000001</v>
      </c>
      <c r="AL75">
        <f t="shared" si="6"/>
        <v>1.2667799999999998</v>
      </c>
      <c r="AM75">
        <f t="shared" si="7"/>
        <v>0.28801003367999994</v>
      </c>
      <c r="AP75" s="9"/>
      <c r="AQ75" s="22">
        <v>1.30264</v>
      </c>
      <c r="AR75" s="22">
        <v>246.499</v>
      </c>
      <c r="AS75" s="22">
        <v>-5.0476099999999995E-4</v>
      </c>
      <c r="AT75" s="22">
        <v>65</v>
      </c>
      <c r="AU75" s="22">
        <v>1.3015699999999999</v>
      </c>
      <c r="AV75">
        <f t="shared" si="8"/>
        <v>0.5047609999999999</v>
      </c>
      <c r="AW75">
        <f t="shared" si="9"/>
        <v>0.65752186903999987</v>
      </c>
      <c r="AX75" s="9"/>
      <c r="AY75" s="22">
        <v>0.227356</v>
      </c>
      <c r="AZ75" s="22">
        <v>295.65899999999999</v>
      </c>
      <c r="BA75" s="22">
        <v>-1.1926300000000001E-3</v>
      </c>
      <c r="BB75" s="22">
        <v>65</v>
      </c>
      <c r="BC75" s="22">
        <v>0.22680700000000001</v>
      </c>
      <c r="BD75">
        <f t="shared" si="10"/>
        <v>1.1926300000000001</v>
      </c>
      <c r="BE75">
        <f t="shared" si="11"/>
        <v>0.27115158628000002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1.2976099999999999</v>
      </c>
      <c r="H76" s="22">
        <v>49.976799999999997</v>
      </c>
      <c r="I76" s="22">
        <v>-8.6852999999999995E-4</v>
      </c>
      <c r="J76" s="22">
        <v>66</v>
      </c>
      <c r="K76" s="22">
        <v>1.2969999999999999</v>
      </c>
      <c r="L76">
        <f t="shared" ref="L76:L139" si="12">-I76/$F$2*1000</f>
        <v>0.86852999999999991</v>
      </c>
      <c r="M76">
        <f t="shared" ref="M76:M139" si="13">L76*G76</f>
        <v>1.1270132132999999</v>
      </c>
      <c r="N76" s="9"/>
      <c r="O76" s="22">
        <v>0.23239099999999999</v>
      </c>
      <c r="P76" s="22">
        <v>99.036199999999994</v>
      </c>
      <c r="Q76" s="22">
        <v>-1.4062499999999999E-3</v>
      </c>
      <c r="R76" s="22">
        <v>66</v>
      </c>
      <c r="S76" s="22">
        <v>0.23181199999999999</v>
      </c>
      <c r="T76">
        <f t="shared" ref="T76:T139" si="14">-Q76/$F$2*1000</f>
        <v>1.40625</v>
      </c>
      <c r="U76">
        <f t="shared" ref="U76:U139" si="15">T76*O76</f>
        <v>0.32679984374999999</v>
      </c>
      <c r="X76" s="9"/>
      <c r="Y76" s="22">
        <v>1.2976099999999999</v>
      </c>
      <c r="Z76" s="22">
        <v>148.11600000000001</v>
      </c>
      <c r="AA76" s="22">
        <v>-6.0821499999999995E-4</v>
      </c>
      <c r="AB76" s="22">
        <v>66</v>
      </c>
      <c r="AC76" s="22">
        <v>1.2963899999999999</v>
      </c>
      <c r="AD76">
        <f t="shared" ref="AD76:AD139" si="16">-AA76/$F$2*1000</f>
        <v>0.60821499999999995</v>
      </c>
      <c r="AE76">
        <f t="shared" ref="AE76:AE139" si="17">AD76*Y76</f>
        <v>0.7892258661499999</v>
      </c>
      <c r="AF76" s="9"/>
      <c r="AG76" s="22">
        <v>0.23239099999999999</v>
      </c>
      <c r="AH76" s="22">
        <v>197.36500000000001</v>
      </c>
      <c r="AI76" s="22">
        <v>-1.26038E-3</v>
      </c>
      <c r="AJ76" s="22">
        <v>66</v>
      </c>
      <c r="AK76" s="22">
        <v>0.231934</v>
      </c>
      <c r="AL76">
        <f t="shared" ref="AL76:AL139" si="18">-AI76/$F$2*1000</f>
        <v>1.2603800000000001</v>
      </c>
      <c r="AM76">
        <f t="shared" ref="AM76:AM139" si="19">AL76*AG76</f>
        <v>0.29290096857999998</v>
      </c>
      <c r="AP76" s="9"/>
      <c r="AQ76" s="22">
        <v>1.2976099999999999</v>
      </c>
      <c r="AR76" s="22">
        <v>246.50899999999999</v>
      </c>
      <c r="AS76" s="22">
        <v>-5.1239000000000005E-4</v>
      </c>
      <c r="AT76" s="22">
        <v>66</v>
      </c>
      <c r="AU76" s="22">
        <v>1.2960799999999999</v>
      </c>
      <c r="AV76">
        <f t="shared" ref="AV76:AV139" si="20">-AS76/$F$2*1000</f>
        <v>0.51239000000000001</v>
      </c>
      <c r="AW76">
        <f t="shared" ref="AW76:AW139" si="21">AV76*AQ76</f>
        <v>0.66488238789999998</v>
      </c>
      <c r="AX76" s="9"/>
      <c r="AY76" s="22">
        <v>0.23239099999999999</v>
      </c>
      <c r="AZ76" s="22">
        <v>295.66899999999998</v>
      </c>
      <c r="BA76" s="22">
        <v>-1.1859100000000001E-3</v>
      </c>
      <c r="BB76" s="22">
        <v>66</v>
      </c>
      <c r="BC76" s="22">
        <v>0.231873</v>
      </c>
      <c r="BD76">
        <f t="shared" ref="BD76:BD139" si="22">-BA76/$F$2*1000</f>
        <v>1.18591</v>
      </c>
      <c r="BE76">
        <f t="shared" ref="BE76:BE139" si="23">BD76*AY76</f>
        <v>0.27559481080999998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1.29257</v>
      </c>
      <c r="H77" s="22">
        <v>49.986899999999999</v>
      </c>
      <c r="I77" s="22">
        <v>-8.7646499999999999E-4</v>
      </c>
      <c r="J77" s="22">
        <v>67</v>
      </c>
      <c r="K77" s="22">
        <v>1.2915000000000001</v>
      </c>
      <c r="L77">
        <f t="shared" si="12"/>
        <v>0.87646499999999994</v>
      </c>
      <c r="M77">
        <f t="shared" si="13"/>
        <v>1.13289236505</v>
      </c>
      <c r="N77" s="9"/>
      <c r="O77" s="22">
        <v>0.237427</v>
      </c>
      <c r="P77" s="22">
        <v>99.046300000000002</v>
      </c>
      <c r="Q77" s="22">
        <v>-1.40015E-3</v>
      </c>
      <c r="R77" s="22">
        <v>67</v>
      </c>
      <c r="S77" s="22">
        <v>0.23690800000000001</v>
      </c>
      <c r="T77">
        <f t="shared" si="14"/>
        <v>1.40015</v>
      </c>
      <c r="U77">
        <f t="shared" si="15"/>
        <v>0.33243341404999999</v>
      </c>
      <c r="X77" s="9"/>
      <c r="Y77" s="22">
        <v>1.29257</v>
      </c>
      <c r="Z77" s="22">
        <v>148.126</v>
      </c>
      <c r="AA77" s="22">
        <v>-6.1492899999999995E-4</v>
      </c>
      <c r="AB77" s="22">
        <v>67</v>
      </c>
      <c r="AC77" s="22">
        <v>1.2911999999999999</v>
      </c>
      <c r="AD77">
        <f t="shared" si="16"/>
        <v>0.61492899999999995</v>
      </c>
      <c r="AE77">
        <f t="shared" si="17"/>
        <v>0.79483877752999998</v>
      </c>
      <c r="AF77" s="9"/>
      <c r="AG77" s="22">
        <v>0.237427</v>
      </c>
      <c r="AH77" s="22">
        <v>197.375</v>
      </c>
      <c r="AI77" s="22">
        <v>-1.25366E-3</v>
      </c>
      <c r="AJ77" s="22">
        <v>67</v>
      </c>
      <c r="AK77" s="22">
        <v>0.236877</v>
      </c>
      <c r="AL77">
        <f t="shared" si="18"/>
        <v>1.25366</v>
      </c>
      <c r="AM77">
        <f t="shared" si="19"/>
        <v>0.29765273281999999</v>
      </c>
      <c r="AP77" s="9"/>
      <c r="AQ77" s="22">
        <v>1.29257</v>
      </c>
      <c r="AR77" s="22">
        <v>246.52</v>
      </c>
      <c r="AS77" s="22">
        <v>-5.2002000000000005E-4</v>
      </c>
      <c r="AT77" s="22">
        <v>67</v>
      </c>
      <c r="AU77" s="22">
        <v>1.2918099999999999</v>
      </c>
      <c r="AV77">
        <f t="shared" si="20"/>
        <v>0.52002000000000004</v>
      </c>
      <c r="AW77">
        <f t="shared" si="21"/>
        <v>0.67216225140000008</v>
      </c>
      <c r="AX77" s="9"/>
      <c r="AY77" s="22">
        <v>0.237427</v>
      </c>
      <c r="AZ77" s="22">
        <v>295.67899999999997</v>
      </c>
      <c r="BA77" s="22">
        <v>-1.1792E-3</v>
      </c>
      <c r="BB77" s="22">
        <v>67</v>
      </c>
      <c r="BC77" s="22">
        <v>0.236877</v>
      </c>
      <c r="BD77">
        <f t="shared" si="22"/>
        <v>1.1792</v>
      </c>
      <c r="BE77">
        <f t="shared" si="23"/>
        <v>0.27997391840000002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1.2875399999999999</v>
      </c>
      <c r="H78" s="22">
        <v>49.997</v>
      </c>
      <c r="I78" s="22">
        <v>-8.8470499999999995E-4</v>
      </c>
      <c r="J78" s="22">
        <v>68</v>
      </c>
      <c r="K78" s="22">
        <v>1.2866200000000001</v>
      </c>
      <c r="L78">
        <f t="shared" si="12"/>
        <v>0.88470499999999996</v>
      </c>
      <c r="M78">
        <f t="shared" si="13"/>
        <v>1.1390930757</v>
      </c>
      <c r="N78" s="9"/>
      <c r="O78" s="22">
        <v>0.24246200000000001</v>
      </c>
      <c r="P78" s="22">
        <v>99.056399999999996</v>
      </c>
      <c r="Q78" s="22">
        <v>-1.3928199999999999E-3</v>
      </c>
      <c r="R78" s="22">
        <v>68</v>
      </c>
      <c r="S78" s="22">
        <v>0.24191299999999999</v>
      </c>
      <c r="T78">
        <f t="shared" si="14"/>
        <v>1.3928199999999999</v>
      </c>
      <c r="U78">
        <f t="shared" si="15"/>
        <v>0.33770592284000001</v>
      </c>
      <c r="X78" s="9"/>
      <c r="Y78" s="22">
        <v>1.2875399999999999</v>
      </c>
      <c r="Z78" s="22">
        <v>148.136</v>
      </c>
      <c r="AA78" s="22">
        <v>-6.2286399999999999E-4</v>
      </c>
      <c r="AB78" s="22">
        <v>68</v>
      </c>
      <c r="AC78" s="22">
        <v>1.2866200000000001</v>
      </c>
      <c r="AD78">
        <f t="shared" si="16"/>
        <v>0.62286399999999997</v>
      </c>
      <c r="AE78">
        <f t="shared" si="17"/>
        <v>0.80196231455999989</v>
      </c>
      <c r="AF78" s="9"/>
      <c r="AG78" s="22">
        <v>0.24246200000000001</v>
      </c>
      <c r="AH78" s="22">
        <v>197.38499999999999</v>
      </c>
      <c r="AI78" s="22">
        <v>-1.2469499999999999E-3</v>
      </c>
      <c r="AJ78" s="22">
        <v>68</v>
      </c>
      <c r="AK78" s="22">
        <v>0.24185200000000001</v>
      </c>
      <c r="AL78">
        <f t="shared" si="18"/>
        <v>1.24695</v>
      </c>
      <c r="AM78">
        <f t="shared" si="19"/>
        <v>0.30233799090000002</v>
      </c>
      <c r="AP78" s="9"/>
      <c r="AQ78" s="22">
        <v>1.2875399999999999</v>
      </c>
      <c r="AR78" s="22">
        <v>246.53</v>
      </c>
      <c r="AS78" s="22">
        <v>-5.2642800000000001E-4</v>
      </c>
      <c r="AT78" s="22">
        <v>68</v>
      </c>
      <c r="AU78" s="22">
        <v>1.2869299999999999</v>
      </c>
      <c r="AV78">
        <f t="shared" si="20"/>
        <v>0.52642800000000001</v>
      </c>
      <c r="AW78">
        <f t="shared" si="21"/>
        <v>0.67779710711999996</v>
      </c>
      <c r="AX78" s="9"/>
      <c r="AY78" s="22">
        <v>0.24246200000000001</v>
      </c>
      <c r="AZ78" s="22">
        <v>295.68900000000002</v>
      </c>
      <c r="BA78" s="22">
        <v>-1.1718799999999999E-3</v>
      </c>
      <c r="BB78" s="22">
        <v>68</v>
      </c>
      <c r="BC78" s="22">
        <v>0.24185200000000001</v>
      </c>
      <c r="BD78">
        <f t="shared" si="22"/>
        <v>1.17188</v>
      </c>
      <c r="BE78">
        <f t="shared" si="23"/>
        <v>0.28413636856000002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1.2825</v>
      </c>
      <c r="H79" s="22">
        <v>50.006999999999998</v>
      </c>
      <c r="I79" s="22">
        <v>-8.8562000000000005E-4</v>
      </c>
      <c r="J79" s="22">
        <v>69</v>
      </c>
      <c r="K79" s="22">
        <v>1.2814300000000001</v>
      </c>
      <c r="L79">
        <f t="shared" si="12"/>
        <v>0.88562000000000007</v>
      </c>
      <c r="M79">
        <f t="shared" si="13"/>
        <v>1.1358076500000001</v>
      </c>
      <c r="N79" s="9"/>
      <c r="O79" s="22">
        <v>0.247498</v>
      </c>
      <c r="P79" s="22">
        <v>99.066500000000005</v>
      </c>
      <c r="Q79" s="22">
        <v>-1.3876299999999999E-3</v>
      </c>
      <c r="R79" s="22">
        <v>69</v>
      </c>
      <c r="S79" s="22">
        <v>0.246979</v>
      </c>
      <c r="T79">
        <f t="shared" si="14"/>
        <v>1.3876299999999999</v>
      </c>
      <c r="U79">
        <f t="shared" si="15"/>
        <v>0.34343564973999996</v>
      </c>
      <c r="X79" s="9"/>
      <c r="Y79" s="22">
        <v>1.2825</v>
      </c>
      <c r="Z79" s="22">
        <v>148.14599999999999</v>
      </c>
      <c r="AA79" s="22">
        <v>-6.2988300000000003E-4</v>
      </c>
      <c r="AB79" s="22">
        <v>69</v>
      </c>
      <c r="AC79" s="22">
        <v>1.2814300000000001</v>
      </c>
      <c r="AD79">
        <f t="shared" si="16"/>
        <v>0.62988300000000008</v>
      </c>
      <c r="AE79">
        <f t="shared" si="17"/>
        <v>0.80782494750000011</v>
      </c>
      <c r="AF79" s="9"/>
      <c r="AG79" s="22">
        <v>0.247498</v>
      </c>
      <c r="AH79" s="22">
        <v>197.39500000000001</v>
      </c>
      <c r="AI79" s="22">
        <v>-1.23993E-3</v>
      </c>
      <c r="AJ79" s="22">
        <v>69</v>
      </c>
      <c r="AK79" s="22">
        <v>0.246887</v>
      </c>
      <c r="AL79">
        <f t="shared" si="18"/>
        <v>1.23993</v>
      </c>
      <c r="AM79">
        <f t="shared" si="19"/>
        <v>0.30688019513999998</v>
      </c>
      <c r="AP79" s="9"/>
      <c r="AQ79" s="22">
        <v>1.2825</v>
      </c>
      <c r="AR79" s="22">
        <v>246.54</v>
      </c>
      <c r="AS79" s="22">
        <v>-5.3344700000000004E-4</v>
      </c>
      <c r="AT79" s="22">
        <v>69</v>
      </c>
      <c r="AU79" s="22">
        <v>1.2814300000000001</v>
      </c>
      <c r="AV79">
        <f t="shared" si="20"/>
        <v>0.533447</v>
      </c>
      <c r="AW79">
        <f t="shared" si="21"/>
        <v>0.68414577749999994</v>
      </c>
      <c r="AX79" s="9"/>
      <c r="AY79" s="22">
        <v>0.247498</v>
      </c>
      <c r="AZ79" s="22">
        <v>295.69900000000001</v>
      </c>
      <c r="BA79" s="22">
        <v>-1.16486E-3</v>
      </c>
      <c r="BB79" s="22">
        <v>69</v>
      </c>
      <c r="BC79" s="22">
        <v>0.24700900000000001</v>
      </c>
      <c r="BD79">
        <f t="shared" si="22"/>
        <v>1.16486</v>
      </c>
      <c r="BE79">
        <f t="shared" si="23"/>
        <v>0.28830052027999997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1.2774700000000001</v>
      </c>
      <c r="H80" s="22">
        <v>50.017099999999999</v>
      </c>
      <c r="I80" s="22">
        <v>-8.9599600000000003E-4</v>
      </c>
      <c r="J80" s="22">
        <v>70</v>
      </c>
      <c r="K80" s="22">
        <v>1.2762500000000001</v>
      </c>
      <c r="L80">
        <f t="shared" si="12"/>
        <v>0.89599600000000001</v>
      </c>
      <c r="M80">
        <f t="shared" si="13"/>
        <v>1.14460801012</v>
      </c>
      <c r="N80" s="9"/>
      <c r="O80" s="22">
        <v>0.25253300000000001</v>
      </c>
      <c r="P80" s="22">
        <v>99.076499999999996</v>
      </c>
      <c r="Q80" s="22">
        <v>-1.3824499999999999E-3</v>
      </c>
      <c r="R80" s="22">
        <v>70</v>
      </c>
      <c r="S80" s="22">
        <v>0.25198399999999999</v>
      </c>
      <c r="T80">
        <f t="shared" si="14"/>
        <v>1.38245</v>
      </c>
      <c r="U80">
        <f t="shared" si="15"/>
        <v>0.34911424585</v>
      </c>
      <c r="X80" s="9"/>
      <c r="Y80" s="22">
        <v>1.2774700000000001</v>
      </c>
      <c r="Z80" s="22">
        <v>148.15600000000001</v>
      </c>
      <c r="AA80" s="22">
        <v>-6.3812299999999999E-4</v>
      </c>
      <c r="AB80" s="22">
        <v>70</v>
      </c>
      <c r="AC80" s="22">
        <v>1.2765500000000001</v>
      </c>
      <c r="AD80">
        <f t="shared" si="16"/>
        <v>0.638123</v>
      </c>
      <c r="AE80">
        <f t="shared" si="17"/>
        <v>0.81518298881000006</v>
      </c>
      <c r="AF80" s="9"/>
      <c r="AG80" s="22">
        <v>0.25253300000000001</v>
      </c>
      <c r="AH80" s="22">
        <v>197.405</v>
      </c>
      <c r="AI80" s="22">
        <v>-1.2335200000000001E-3</v>
      </c>
      <c r="AJ80" s="22">
        <v>70</v>
      </c>
      <c r="AK80" s="22">
        <v>0.25192300000000001</v>
      </c>
      <c r="AL80">
        <f t="shared" si="18"/>
        <v>1.2335200000000002</v>
      </c>
      <c r="AM80">
        <f t="shared" si="19"/>
        <v>0.31150450616000003</v>
      </c>
      <c r="AP80" s="9"/>
      <c r="AQ80" s="22">
        <v>1.2774700000000001</v>
      </c>
      <c r="AR80" s="22">
        <v>246.55</v>
      </c>
      <c r="AS80" s="22">
        <v>-5.3985600000000002E-4</v>
      </c>
      <c r="AT80" s="22">
        <v>70</v>
      </c>
      <c r="AU80" s="22">
        <v>1.2765500000000001</v>
      </c>
      <c r="AV80">
        <f t="shared" si="20"/>
        <v>0.539856</v>
      </c>
      <c r="AW80">
        <f t="shared" si="21"/>
        <v>0.68964984432000009</v>
      </c>
      <c r="AX80" s="9"/>
      <c r="AY80" s="22">
        <v>0.25253300000000001</v>
      </c>
      <c r="AZ80" s="22">
        <v>295.709</v>
      </c>
      <c r="BA80" s="22">
        <v>-1.1584500000000001E-3</v>
      </c>
      <c r="BB80" s="22">
        <v>70</v>
      </c>
      <c r="BC80" s="22">
        <v>0.25195299999999998</v>
      </c>
      <c r="BD80">
        <f t="shared" si="22"/>
        <v>1.1584500000000002</v>
      </c>
      <c r="BE80">
        <f t="shared" si="23"/>
        <v>0.29254685385000007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1.2724299999999999</v>
      </c>
      <c r="H81" s="22">
        <v>50.027200000000001</v>
      </c>
      <c r="I81" s="22">
        <v>-9.01489E-4</v>
      </c>
      <c r="J81" s="22">
        <v>71</v>
      </c>
      <c r="K81" s="22">
        <v>1.27136</v>
      </c>
      <c r="L81">
        <f t="shared" si="12"/>
        <v>0.90148899999999998</v>
      </c>
      <c r="M81">
        <f t="shared" si="13"/>
        <v>1.1470816482699999</v>
      </c>
      <c r="N81" s="9"/>
      <c r="O81" s="22">
        <v>0.25756800000000002</v>
      </c>
      <c r="P81" s="22">
        <v>99.086600000000004</v>
      </c>
      <c r="Q81" s="22">
        <v>-1.3766500000000001E-3</v>
      </c>
      <c r="R81" s="22">
        <v>71</v>
      </c>
      <c r="S81" s="22">
        <v>0.25695800000000002</v>
      </c>
      <c r="T81">
        <f t="shared" si="14"/>
        <v>1.3766500000000002</v>
      </c>
      <c r="U81">
        <f t="shared" si="15"/>
        <v>0.35458098720000009</v>
      </c>
      <c r="X81" s="9"/>
      <c r="Y81" s="22">
        <v>1.2724299999999999</v>
      </c>
      <c r="Z81" s="22">
        <v>148.166</v>
      </c>
      <c r="AA81" s="22">
        <v>-6.4514200000000002E-4</v>
      </c>
      <c r="AB81" s="22">
        <v>71</v>
      </c>
      <c r="AC81" s="22">
        <v>1.2716700000000001</v>
      </c>
      <c r="AD81">
        <f t="shared" si="16"/>
        <v>0.64514199999999999</v>
      </c>
      <c r="AE81">
        <f t="shared" si="17"/>
        <v>0.82089803505999992</v>
      </c>
      <c r="AF81" s="9"/>
      <c r="AG81" s="22">
        <v>0.25756800000000002</v>
      </c>
      <c r="AH81" s="22">
        <v>197.41499999999999</v>
      </c>
      <c r="AI81" s="22">
        <v>-1.22711E-3</v>
      </c>
      <c r="AJ81" s="22">
        <v>71</v>
      </c>
      <c r="AK81" s="22">
        <v>0.25698900000000002</v>
      </c>
      <c r="AL81">
        <f t="shared" si="18"/>
        <v>1.2271099999999999</v>
      </c>
      <c r="AM81">
        <f t="shared" si="19"/>
        <v>0.31606426848000002</v>
      </c>
      <c r="AP81" s="9"/>
      <c r="AQ81" s="22">
        <v>1.2724299999999999</v>
      </c>
      <c r="AR81" s="22">
        <v>246.56</v>
      </c>
      <c r="AS81" s="22">
        <v>-5.4657000000000002E-4</v>
      </c>
      <c r="AT81" s="22">
        <v>71</v>
      </c>
      <c r="AU81" s="22">
        <v>1.27136</v>
      </c>
      <c r="AV81">
        <f t="shared" si="20"/>
        <v>0.54657</v>
      </c>
      <c r="AW81">
        <f t="shared" si="21"/>
        <v>0.69547206509999993</v>
      </c>
      <c r="AX81" s="9"/>
      <c r="AY81" s="22">
        <v>0.25756800000000002</v>
      </c>
      <c r="AZ81" s="22">
        <v>295.71899999999999</v>
      </c>
      <c r="BA81" s="22">
        <v>-1.15204E-3</v>
      </c>
      <c r="BB81" s="22">
        <v>71</v>
      </c>
      <c r="BC81" s="22">
        <v>0.257019</v>
      </c>
      <c r="BD81">
        <f t="shared" si="22"/>
        <v>1.15204</v>
      </c>
      <c r="BE81">
        <f t="shared" si="23"/>
        <v>0.29672863871999999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1.2674000000000001</v>
      </c>
      <c r="H82" s="22">
        <v>50.037300000000002</v>
      </c>
      <c r="I82" s="22">
        <v>-9.1003399999999999E-4</v>
      </c>
      <c r="J82" s="22">
        <v>72</v>
      </c>
      <c r="K82" s="22">
        <v>1.26678</v>
      </c>
      <c r="L82">
        <f t="shared" si="12"/>
        <v>0.91003400000000001</v>
      </c>
      <c r="M82">
        <f t="shared" si="13"/>
        <v>1.1533770916000001</v>
      </c>
      <c r="N82" s="9"/>
      <c r="O82" s="22">
        <v>0.262604</v>
      </c>
      <c r="P82" s="22">
        <v>99.096699999999998</v>
      </c>
      <c r="Q82" s="22">
        <v>-1.3696299999999999E-3</v>
      </c>
      <c r="R82" s="22">
        <v>72</v>
      </c>
      <c r="S82" s="22">
        <v>0.26202399999999998</v>
      </c>
      <c r="T82">
        <f t="shared" si="14"/>
        <v>1.3696299999999999</v>
      </c>
      <c r="U82">
        <f t="shared" si="15"/>
        <v>0.35967031651999998</v>
      </c>
      <c r="X82" s="9"/>
      <c r="Y82" s="22">
        <v>1.2674000000000001</v>
      </c>
      <c r="Z82" s="22">
        <v>148.17599999999999</v>
      </c>
      <c r="AA82" s="22">
        <v>-6.5246599999999998E-4</v>
      </c>
      <c r="AB82" s="22">
        <v>72</v>
      </c>
      <c r="AC82" s="22">
        <v>1.26617</v>
      </c>
      <c r="AD82">
        <f t="shared" si="16"/>
        <v>0.65246599999999999</v>
      </c>
      <c r="AE82">
        <f t="shared" si="17"/>
        <v>0.82693540840000002</v>
      </c>
      <c r="AF82" s="9"/>
      <c r="AG82" s="22">
        <v>0.262604</v>
      </c>
      <c r="AH82" s="22">
        <v>197.42599999999999</v>
      </c>
      <c r="AI82" s="22">
        <v>-1.2206999999999999E-3</v>
      </c>
      <c r="AJ82" s="22">
        <v>72</v>
      </c>
      <c r="AK82" s="22">
        <v>0.26202399999999998</v>
      </c>
      <c r="AL82">
        <f t="shared" si="18"/>
        <v>1.2206999999999999</v>
      </c>
      <c r="AM82">
        <f t="shared" si="19"/>
        <v>0.32056070279999999</v>
      </c>
      <c r="AP82" s="9"/>
      <c r="AQ82" s="22">
        <v>1.2674000000000001</v>
      </c>
      <c r="AR82" s="22">
        <v>246.57</v>
      </c>
      <c r="AS82" s="22">
        <v>-5.5328400000000002E-4</v>
      </c>
      <c r="AT82" s="22">
        <v>72</v>
      </c>
      <c r="AU82" s="22">
        <v>1.2664800000000001</v>
      </c>
      <c r="AV82">
        <f t="shared" si="20"/>
        <v>0.553284</v>
      </c>
      <c r="AW82">
        <f t="shared" si="21"/>
        <v>0.70123214160000003</v>
      </c>
      <c r="AX82" s="9"/>
      <c r="AY82" s="22">
        <v>0.262604</v>
      </c>
      <c r="AZ82" s="22">
        <v>295.72899999999998</v>
      </c>
      <c r="BA82" s="22">
        <v>-1.14532E-3</v>
      </c>
      <c r="BB82" s="22">
        <v>72</v>
      </c>
      <c r="BC82" s="22">
        <v>0.261963</v>
      </c>
      <c r="BD82">
        <f t="shared" si="22"/>
        <v>1.1453200000000001</v>
      </c>
      <c r="BE82">
        <f t="shared" si="23"/>
        <v>0.30076561328000001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1.2623599999999999</v>
      </c>
      <c r="H83" s="22">
        <v>50.0473</v>
      </c>
      <c r="I83" s="22">
        <v>-9.1217000000000002E-4</v>
      </c>
      <c r="J83" s="22">
        <v>73</v>
      </c>
      <c r="K83" s="22">
        <v>1.2616000000000001</v>
      </c>
      <c r="L83">
        <f t="shared" si="12"/>
        <v>0.91217000000000004</v>
      </c>
      <c r="M83">
        <f t="shared" si="13"/>
        <v>1.1514869212000001</v>
      </c>
      <c r="N83" s="9"/>
      <c r="O83" s="22">
        <v>0.26763900000000002</v>
      </c>
      <c r="P83" s="22">
        <v>99.106700000000004</v>
      </c>
      <c r="Q83" s="22">
        <v>-1.3653599999999999E-3</v>
      </c>
      <c r="R83" s="22">
        <v>73</v>
      </c>
      <c r="S83" s="22">
        <v>0.26702900000000002</v>
      </c>
      <c r="T83">
        <f t="shared" si="14"/>
        <v>1.3653599999999999</v>
      </c>
      <c r="U83">
        <f t="shared" si="15"/>
        <v>0.36542358504</v>
      </c>
      <c r="X83" s="9"/>
      <c r="Y83" s="22">
        <v>1.2623599999999999</v>
      </c>
      <c r="Z83" s="22">
        <v>148.18600000000001</v>
      </c>
      <c r="AA83" s="22">
        <v>-6.5917999999999999E-4</v>
      </c>
      <c r="AB83" s="22">
        <v>73</v>
      </c>
      <c r="AC83" s="22">
        <v>1.26068</v>
      </c>
      <c r="AD83">
        <f t="shared" si="16"/>
        <v>0.65917999999999999</v>
      </c>
      <c r="AE83">
        <f t="shared" si="17"/>
        <v>0.83212246479999996</v>
      </c>
      <c r="AF83" s="9"/>
      <c r="AG83" s="22">
        <v>0.26763900000000002</v>
      </c>
      <c r="AH83" s="22">
        <v>197.43600000000001</v>
      </c>
      <c r="AI83" s="22">
        <v>-1.21429E-3</v>
      </c>
      <c r="AJ83" s="22">
        <v>73</v>
      </c>
      <c r="AK83" s="22">
        <v>0.26705899999999999</v>
      </c>
      <c r="AL83">
        <f t="shared" si="18"/>
        <v>1.2142900000000001</v>
      </c>
      <c r="AM83">
        <f t="shared" si="19"/>
        <v>0.32499136131000006</v>
      </c>
      <c r="AP83" s="9"/>
      <c r="AQ83" s="22">
        <v>1.2623599999999999</v>
      </c>
      <c r="AR83" s="22">
        <v>246.58</v>
      </c>
      <c r="AS83" s="22">
        <v>-5.5877699999999999E-4</v>
      </c>
      <c r="AT83" s="22">
        <v>73</v>
      </c>
      <c r="AU83" s="22">
        <v>1.26129</v>
      </c>
      <c r="AV83">
        <f t="shared" si="20"/>
        <v>0.55877699999999997</v>
      </c>
      <c r="AW83">
        <f t="shared" si="21"/>
        <v>0.7053777337199999</v>
      </c>
      <c r="AX83" s="9"/>
      <c r="AY83" s="22">
        <v>0.26763900000000002</v>
      </c>
      <c r="AZ83" s="22">
        <v>295.73899999999998</v>
      </c>
      <c r="BA83" s="22">
        <v>-1.13922E-3</v>
      </c>
      <c r="BB83" s="22">
        <v>73</v>
      </c>
      <c r="BC83" s="22">
        <v>0.26699800000000001</v>
      </c>
      <c r="BD83">
        <f t="shared" si="22"/>
        <v>1.1392200000000001</v>
      </c>
      <c r="BE83">
        <f t="shared" si="23"/>
        <v>0.30489970158000007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1.25732</v>
      </c>
      <c r="H84" s="22">
        <v>50.057400000000001</v>
      </c>
      <c r="I84" s="22">
        <v>-9.2651400000000003E-4</v>
      </c>
      <c r="J84" s="22">
        <v>74</v>
      </c>
      <c r="K84" s="22">
        <v>1.2558</v>
      </c>
      <c r="L84">
        <f t="shared" si="12"/>
        <v>0.92651400000000006</v>
      </c>
      <c r="M84">
        <f t="shared" si="13"/>
        <v>1.1649245824800001</v>
      </c>
      <c r="N84" s="9"/>
      <c r="O84" s="22">
        <v>0.272675</v>
      </c>
      <c r="P84" s="22">
        <v>99.116799999999998</v>
      </c>
      <c r="Q84" s="22">
        <v>-1.35925E-3</v>
      </c>
      <c r="R84" s="22">
        <v>74</v>
      </c>
      <c r="S84" s="22">
        <v>0.27212500000000001</v>
      </c>
      <c r="T84">
        <f t="shared" si="14"/>
        <v>1.3592500000000001</v>
      </c>
      <c r="U84">
        <f t="shared" si="15"/>
        <v>0.37063349375000004</v>
      </c>
      <c r="X84" s="9"/>
      <c r="Y84" s="22">
        <v>1.25732</v>
      </c>
      <c r="Z84" s="22">
        <v>148.196</v>
      </c>
      <c r="AA84" s="22">
        <v>-6.6528300000000002E-4</v>
      </c>
      <c r="AB84" s="22">
        <v>74</v>
      </c>
      <c r="AC84" s="22">
        <v>1.25641</v>
      </c>
      <c r="AD84">
        <f t="shared" si="16"/>
        <v>0.66528300000000007</v>
      </c>
      <c r="AE84">
        <f t="shared" si="17"/>
        <v>0.83647362156000005</v>
      </c>
      <c r="AF84" s="9"/>
      <c r="AG84" s="22">
        <v>0.272675</v>
      </c>
      <c r="AH84" s="22">
        <v>197.446</v>
      </c>
      <c r="AI84" s="22">
        <v>-1.2084999999999999E-3</v>
      </c>
      <c r="AJ84" s="22">
        <v>74</v>
      </c>
      <c r="AK84" s="22">
        <v>0.27206399999999997</v>
      </c>
      <c r="AL84">
        <f t="shared" si="18"/>
        <v>1.2084999999999999</v>
      </c>
      <c r="AM84">
        <f t="shared" si="19"/>
        <v>0.32952773749999997</v>
      </c>
      <c r="AP84" s="9"/>
      <c r="AQ84" s="22">
        <v>1.25732</v>
      </c>
      <c r="AR84" s="22">
        <v>246.59</v>
      </c>
      <c r="AS84" s="22">
        <v>-5.65491E-4</v>
      </c>
      <c r="AT84" s="22">
        <v>74</v>
      </c>
      <c r="AU84" s="22">
        <v>1.25671</v>
      </c>
      <c r="AV84">
        <f t="shared" si="20"/>
        <v>0.56549099999999997</v>
      </c>
      <c r="AW84">
        <f t="shared" si="21"/>
        <v>0.71100314411999999</v>
      </c>
      <c r="AX84" s="9"/>
      <c r="AY84" s="22">
        <v>0.272675</v>
      </c>
      <c r="AZ84" s="22">
        <v>295.74900000000002</v>
      </c>
      <c r="BA84" s="22">
        <v>-1.1328099999999999E-3</v>
      </c>
      <c r="BB84" s="22">
        <v>74</v>
      </c>
      <c r="BC84" s="22">
        <v>0.272034</v>
      </c>
      <c r="BD84">
        <f t="shared" si="22"/>
        <v>1.1328099999999999</v>
      </c>
      <c r="BE84">
        <f t="shared" si="23"/>
        <v>0.30888896674999999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1.2522899999999999</v>
      </c>
      <c r="H85" s="22">
        <v>50.067500000000003</v>
      </c>
      <c r="I85" s="22">
        <v>-9.2895499999999997E-4</v>
      </c>
      <c r="J85" s="22">
        <v>75</v>
      </c>
      <c r="K85" s="22">
        <v>1.25122</v>
      </c>
      <c r="L85">
        <f t="shared" si="12"/>
        <v>0.92895499999999998</v>
      </c>
      <c r="M85">
        <f t="shared" si="13"/>
        <v>1.1633210569499999</v>
      </c>
      <c r="N85" s="9"/>
      <c r="O85" s="22">
        <v>0.27771000000000001</v>
      </c>
      <c r="P85" s="22">
        <v>99.126900000000006</v>
      </c>
      <c r="Q85" s="22">
        <v>-1.35468E-3</v>
      </c>
      <c r="R85" s="22">
        <v>75</v>
      </c>
      <c r="S85" s="22">
        <v>0.27719100000000002</v>
      </c>
      <c r="T85">
        <f t="shared" si="14"/>
        <v>1.3546800000000001</v>
      </c>
      <c r="U85">
        <f t="shared" si="15"/>
        <v>0.37620818280000007</v>
      </c>
      <c r="X85" s="9"/>
      <c r="Y85" s="22">
        <v>1.2522899999999999</v>
      </c>
      <c r="Z85" s="22">
        <v>148.20599999999999</v>
      </c>
      <c r="AA85" s="22">
        <v>-6.7108200000000004E-4</v>
      </c>
      <c r="AB85" s="22">
        <v>75</v>
      </c>
      <c r="AC85" s="22">
        <v>1.25122</v>
      </c>
      <c r="AD85">
        <f t="shared" si="16"/>
        <v>0.67108200000000007</v>
      </c>
      <c r="AE85">
        <f t="shared" si="17"/>
        <v>0.84038927778000005</v>
      </c>
      <c r="AF85" s="9"/>
      <c r="AG85" s="22">
        <v>0.27771000000000001</v>
      </c>
      <c r="AH85" s="22">
        <v>197.45599999999999</v>
      </c>
      <c r="AI85" s="22">
        <v>-1.2017799999999999E-3</v>
      </c>
      <c r="AJ85" s="22">
        <v>75</v>
      </c>
      <c r="AK85" s="22">
        <v>0.27719100000000002</v>
      </c>
      <c r="AL85">
        <f t="shared" si="18"/>
        <v>1.2017799999999998</v>
      </c>
      <c r="AM85">
        <f t="shared" si="19"/>
        <v>0.33374632379999997</v>
      </c>
      <c r="AP85" s="9"/>
      <c r="AQ85" s="22">
        <v>1.2522899999999999</v>
      </c>
      <c r="AR85" s="22">
        <v>246.6</v>
      </c>
      <c r="AS85" s="22">
        <v>-5.72205E-4</v>
      </c>
      <c r="AT85" s="22">
        <v>75</v>
      </c>
      <c r="AU85" s="22">
        <v>1.25122</v>
      </c>
      <c r="AV85">
        <f t="shared" si="20"/>
        <v>0.57220499999999996</v>
      </c>
      <c r="AW85">
        <f t="shared" si="21"/>
        <v>0.7165665994499999</v>
      </c>
      <c r="AX85" s="9"/>
      <c r="AY85" s="22">
        <v>0.27771000000000001</v>
      </c>
      <c r="AZ85" s="22">
        <v>295.76</v>
      </c>
      <c r="BA85" s="22">
        <v>-1.12671E-3</v>
      </c>
      <c r="BB85" s="22">
        <v>75</v>
      </c>
      <c r="BC85" s="22">
        <v>0.27712999999999999</v>
      </c>
      <c r="BD85">
        <f t="shared" si="22"/>
        <v>1.1267099999999999</v>
      </c>
      <c r="BE85">
        <f t="shared" si="23"/>
        <v>0.31289863409999996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1.24725</v>
      </c>
      <c r="H86" s="22">
        <v>50.077500000000001</v>
      </c>
      <c r="I86" s="22">
        <v>-9.4238299999999998E-4</v>
      </c>
      <c r="J86" s="22">
        <v>76</v>
      </c>
      <c r="K86" s="22">
        <v>1.24634</v>
      </c>
      <c r="L86">
        <f t="shared" si="12"/>
        <v>0.94238299999999997</v>
      </c>
      <c r="M86">
        <f t="shared" si="13"/>
        <v>1.17538719675</v>
      </c>
      <c r="N86" s="9"/>
      <c r="O86" s="22">
        <v>0.28274500000000002</v>
      </c>
      <c r="P86" s="22">
        <v>99.137</v>
      </c>
      <c r="Q86" s="22">
        <v>-1.34918E-3</v>
      </c>
      <c r="R86" s="22">
        <v>76</v>
      </c>
      <c r="S86" s="22">
        <v>0.28222700000000001</v>
      </c>
      <c r="T86">
        <f t="shared" si="14"/>
        <v>1.34918</v>
      </c>
      <c r="U86">
        <f t="shared" si="15"/>
        <v>0.38147389910000007</v>
      </c>
      <c r="X86" s="9"/>
      <c r="Y86" s="22">
        <v>1.24725</v>
      </c>
      <c r="Z86" s="22">
        <v>148.21600000000001</v>
      </c>
      <c r="AA86" s="22">
        <v>-6.7718499999999996E-4</v>
      </c>
      <c r="AB86" s="22">
        <v>76</v>
      </c>
      <c r="AC86" s="22">
        <v>1.24573</v>
      </c>
      <c r="AD86">
        <f t="shared" si="16"/>
        <v>0.67718499999999993</v>
      </c>
      <c r="AE86">
        <f t="shared" si="17"/>
        <v>0.84461899124999984</v>
      </c>
      <c r="AF86" s="9"/>
      <c r="AG86" s="22">
        <v>0.28274500000000002</v>
      </c>
      <c r="AH86" s="22">
        <v>197.46600000000001</v>
      </c>
      <c r="AI86" s="22">
        <v>-1.1953700000000001E-3</v>
      </c>
      <c r="AJ86" s="22">
        <v>76</v>
      </c>
      <c r="AK86" s="22">
        <v>0.28213500000000002</v>
      </c>
      <c r="AL86">
        <f t="shared" si="18"/>
        <v>1.19537</v>
      </c>
      <c r="AM86">
        <f t="shared" si="19"/>
        <v>0.33798489065000004</v>
      </c>
      <c r="AP86" s="9"/>
      <c r="AQ86" s="22">
        <v>1.24725</v>
      </c>
      <c r="AR86" s="22">
        <v>246.61</v>
      </c>
      <c r="AS86" s="22">
        <v>-5.7861299999999996E-4</v>
      </c>
      <c r="AT86" s="22">
        <v>76</v>
      </c>
      <c r="AU86" s="22">
        <v>1.24603</v>
      </c>
      <c r="AV86">
        <f t="shared" si="20"/>
        <v>0.57861299999999993</v>
      </c>
      <c r="AW86">
        <f t="shared" si="21"/>
        <v>0.72167506424999994</v>
      </c>
      <c r="AX86" s="9"/>
      <c r="AY86" s="22">
        <v>0.28274500000000002</v>
      </c>
      <c r="AZ86" s="22">
        <v>295.77</v>
      </c>
      <c r="BA86" s="22">
        <v>-1.12122E-3</v>
      </c>
      <c r="BB86" s="22">
        <v>76</v>
      </c>
      <c r="BC86" s="22">
        <v>0.28222700000000001</v>
      </c>
      <c r="BD86">
        <f t="shared" si="22"/>
        <v>1.1212200000000001</v>
      </c>
      <c r="BE86">
        <f t="shared" si="23"/>
        <v>0.31701934890000005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1.2422200000000001</v>
      </c>
      <c r="H87" s="22">
        <v>50.087600000000002</v>
      </c>
      <c r="I87" s="22">
        <v>-9.4818099999999998E-4</v>
      </c>
      <c r="J87" s="22">
        <v>77</v>
      </c>
      <c r="K87" s="22">
        <v>1.2402299999999999</v>
      </c>
      <c r="L87">
        <f t="shared" si="12"/>
        <v>0.94818099999999994</v>
      </c>
      <c r="M87">
        <f t="shared" si="13"/>
        <v>1.1778494018200001</v>
      </c>
      <c r="N87" s="9"/>
      <c r="O87" s="22">
        <v>0.28778100000000001</v>
      </c>
      <c r="P87" s="22">
        <v>99.147000000000006</v>
      </c>
      <c r="Q87" s="22">
        <v>-1.34399E-3</v>
      </c>
      <c r="R87" s="22">
        <v>77</v>
      </c>
      <c r="S87" s="22">
        <v>0.28726200000000002</v>
      </c>
      <c r="T87">
        <f t="shared" si="14"/>
        <v>1.34399</v>
      </c>
      <c r="U87">
        <f t="shared" si="15"/>
        <v>0.38677478619</v>
      </c>
      <c r="X87" s="9"/>
      <c r="Y87" s="22">
        <v>1.2422200000000001</v>
      </c>
      <c r="Z87" s="22">
        <v>148.226</v>
      </c>
      <c r="AA87" s="22">
        <v>-6.8359400000000004E-4</v>
      </c>
      <c r="AB87" s="22">
        <v>77</v>
      </c>
      <c r="AC87" s="22">
        <v>1.24115</v>
      </c>
      <c r="AD87">
        <f t="shared" si="16"/>
        <v>0.68359400000000003</v>
      </c>
      <c r="AE87">
        <f t="shared" si="17"/>
        <v>0.84917413868000013</v>
      </c>
      <c r="AF87" s="9"/>
      <c r="AG87" s="22">
        <v>0.28778100000000001</v>
      </c>
      <c r="AH87" s="22">
        <v>197.476</v>
      </c>
      <c r="AI87" s="22">
        <v>-1.1892700000000001E-3</v>
      </c>
      <c r="AJ87" s="22">
        <v>77</v>
      </c>
      <c r="AK87" s="22">
        <v>0.28729199999999999</v>
      </c>
      <c r="AL87">
        <f t="shared" si="18"/>
        <v>1.18927</v>
      </c>
      <c r="AM87">
        <f t="shared" si="19"/>
        <v>0.34224930987000002</v>
      </c>
      <c r="AP87" s="9"/>
      <c r="AQ87" s="22">
        <v>1.2422200000000001</v>
      </c>
      <c r="AR87" s="22">
        <v>246.62</v>
      </c>
      <c r="AS87" s="22">
        <v>-5.8502200000000004E-4</v>
      </c>
      <c r="AT87" s="22">
        <v>77</v>
      </c>
      <c r="AU87" s="22">
        <v>1.24115</v>
      </c>
      <c r="AV87">
        <f t="shared" si="20"/>
        <v>0.58502200000000004</v>
      </c>
      <c r="AW87">
        <f t="shared" si="21"/>
        <v>0.72672602884000015</v>
      </c>
      <c r="AX87" s="9"/>
      <c r="AY87" s="22">
        <v>0.28778100000000001</v>
      </c>
      <c r="AZ87" s="22">
        <v>295.77999999999997</v>
      </c>
      <c r="BA87" s="22">
        <v>-1.1148099999999999E-3</v>
      </c>
      <c r="BB87" s="22">
        <v>77</v>
      </c>
      <c r="BC87" s="22">
        <v>0.28720099999999998</v>
      </c>
      <c r="BD87">
        <f t="shared" si="22"/>
        <v>1.1148099999999999</v>
      </c>
      <c r="BE87">
        <f t="shared" si="23"/>
        <v>0.32082113660999995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1.2371799999999999</v>
      </c>
      <c r="H88" s="22">
        <v>50.097700000000003</v>
      </c>
      <c r="I88" s="22">
        <v>-9.5367399999999995E-4</v>
      </c>
      <c r="J88" s="22">
        <v>78</v>
      </c>
      <c r="K88" s="22">
        <v>1.2359599999999999</v>
      </c>
      <c r="L88">
        <f t="shared" si="12"/>
        <v>0.95367399999999991</v>
      </c>
      <c r="M88">
        <f t="shared" si="13"/>
        <v>1.1798663993199998</v>
      </c>
      <c r="N88" s="9"/>
      <c r="O88" s="22">
        <v>0.29281600000000002</v>
      </c>
      <c r="P88" s="22">
        <v>99.1571</v>
      </c>
      <c r="Q88" s="22">
        <v>-1.33759E-3</v>
      </c>
      <c r="R88" s="22">
        <v>78</v>
      </c>
      <c r="S88" s="22">
        <v>0.292236</v>
      </c>
      <c r="T88">
        <f t="shared" si="14"/>
        <v>1.3375900000000001</v>
      </c>
      <c r="U88">
        <f t="shared" si="15"/>
        <v>0.39166775344000004</v>
      </c>
      <c r="X88" s="9"/>
      <c r="Y88" s="22">
        <v>1.2371799999999999</v>
      </c>
      <c r="Z88" s="22">
        <v>148.23699999999999</v>
      </c>
      <c r="AA88" s="22">
        <v>-6.9122300000000003E-4</v>
      </c>
      <c r="AB88" s="22">
        <v>78</v>
      </c>
      <c r="AC88" s="22">
        <v>1.2359599999999999</v>
      </c>
      <c r="AD88">
        <f t="shared" si="16"/>
        <v>0.69122300000000003</v>
      </c>
      <c r="AE88">
        <f t="shared" si="17"/>
        <v>0.85516727114000002</v>
      </c>
      <c r="AF88" s="9"/>
      <c r="AG88" s="22">
        <v>0.29281600000000002</v>
      </c>
      <c r="AH88" s="22">
        <v>197.48599999999999</v>
      </c>
      <c r="AI88" s="22">
        <v>-1.1831700000000001E-3</v>
      </c>
      <c r="AJ88" s="22">
        <v>78</v>
      </c>
      <c r="AK88" s="22">
        <v>0.292236</v>
      </c>
      <c r="AL88">
        <f t="shared" si="18"/>
        <v>1.1831700000000001</v>
      </c>
      <c r="AM88">
        <f t="shared" si="19"/>
        <v>0.34645110672000007</v>
      </c>
      <c r="AP88" s="9"/>
      <c r="AQ88" s="22">
        <v>1.2371799999999999</v>
      </c>
      <c r="AR88" s="22">
        <v>246.63</v>
      </c>
      <c r="AS88" s="22">
        <v>-5.9112499999999996E-4</v>
      </c>
      <c r="AT88" s="22">
        <v>78</v>
      </c>
      <c r="AU88" s="22">
        <v>1.2353499999999999</v>
      </c>
      <c r="AV88">
        <f t="shared" si="20"/>
        <v>0.59112500000000001</v>
      </c>
      <c r="AW88">
        <f t="shared" si="21"/>
        <v>0.73132802750000003</v>
      </c>
      <c r="AX88" s="9"/>
      <c r="AY88" s="22">
        <v>0.29281600000000002</v>
      </c>
      <c r="AZ88" s="22">
        <v>295.79000000000002</v>
      </c>
      <c r="BA88" s="22">
        <v>-1.1090099999999999E-3</v>
      </c>
      <c r="BB88" s="22">
        <v>78</v>
      </c>
      <c r="BC88" s="22">
        <v>0.29217500000000002</v>
      </c>
      <c r="BD88">
        <f t="shared" si="22"/>
        <v>1.1090099999999998</v>
      </c>
      <c r="BE88">
        <f t="shared" si="23"/>
        <v>0.32473587215999999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1.2321500000000001</v>
      </c>
      <c r="H89" s="22">
        <v>50.107799999999997</v>
      </c>
      <c r="I89" s="22">
        <v>-9.5947299999999997E-4</v>
      </c>
      <c r="J89" s="22">
        <v>79</v>
      </c>
      <c r="K89" s="22">
        <v>1.23108</v>
      </c>
      <c r="L89">
        <f t="shared" si="12"/>
        <v>0.95947300000000002</v>
      </c>
      <c r="M89">
        <f t="shared" si="13"/>
        <v>1.1822146569500001</v>
      </c>
      <c r="N89" s="9"/>
      <c r="O89" s="22">
        <v>0.29785200000000001</v>
      </c>
      <c r="P89" s="22">
        <v>99.167199999999994</v>
      </c>
      <c r="Q89" s="22">
        <v>-1.33179E-3</v>
      </c>
      <c r="R89" s="22">
        <v>79</v>
      </c>
      <c r="S89" s="22">
        <v>0.29730200000000001</v>
      </c>
      <c r="T89">
        <f t="shared" si="14"/>
        <v>1.33179</v>
      </c>
      <c r="U89">
        <f t="shared" si="15"/>
        <v>0.39667631508000001</v>
      </c>
      <c r="X89" s="9"/>
      <c r="Y89" s="22">
        <v>1.2321500000000001</v>
      </c>
      <c r="Z89" s="22">
        <v>148.24700000000001</v>
      </c>
      <c r="AA89" s="22">
        <v>-6.9702100000000003E-4</v>
      </c>
      <c r="AB89" s="22">
        <v>79</v>
      </c>
      <c r="AC89" s="22">
        <v>1.2313799999999999</v>
      </c>
      <c r="AD89">
        <f t="shared" si="16"/>
        <v>0.697021</v>
      </c>
      <c r="AE89">
        <f t="shared" si="17"/>
        <v>0.85883442515000008</v>
      </c>
      <c r="AF89" s="9"/>
      <c r="AG89" s="22">
        <v>0.29785200000000001</v>
      </c>
      <c r="AH89" s="22">
        <v>197.49600000000001</v>
      </c>
      <c r="AI89" s="22">
        <v>-1.1773700000000001E-3</v>
      </c>
      <c r="AJ89" s="22">
        <v>79</v>
      </c>
      <c r="AK89" s="22">
        <v>0.29727199999999998</v>
      </c>
      <c r="AL89">
        <f t="shared" si="18"/>
        <v>1.17737</v>
      </c>
      <c r="AM89">
        <f t="shared" si="19"/>
        <v>0.35068200924000004</v>
      </c>
      <c r="AP89" s="9"/>
      <c r="AQ89" s="22">
        <v>1.2321500000000001</v>
      </c>
      <c r="AR89" s="22">
        <v>246.64</v>
      </c>
      <c r="AS89" s="22">
        <v>-5.9600799999999998E-4</v>
      </c>
      <c r="AT89" s="22">
        <v>79</v>
      </c>
      <c r="AU89" s="22">
        <v>1.23108</v>
      </c>
      <c r="AV89">
        <f t="shared" si="20"/>
        <v>0.59600799999999998</v>
      </c>
      <c r="AW89">
        <f t="shared" si="21"/>
        <v>0.73437125720000007</v>
      </c>
      <c r="AX89" s="9"/>
      <c r="AY89" s="22">
        <v>0.29785200000000001</v>
      </c>
      <c r="AZ89" s="22">
        <v>295.8</v>
      </c>
      <c r="BA89" s="22">
        <v>-1.1029099999999999E-3</v>
      </c>
      <c r="BB89" s="22">
        <v>79</v>
      </c>
      <c r="BC89" s="22">
        <v>0.29730200000000001</v>
      </c>
      <c r="BD89">
        <f t="shared" si="22"/>
        <v>1.1029099999999998</v>
      </c>
      <c r="BE89">
        <f t="shared" si="23"/>
        <v>0.32850394931999993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1.2271099999999999</v>
      </c>
      <c r="H90" s="22">
        <v>50.117800000000003</v>
      </c>
      <c r="I90" s="22">
        <v>-9.6527099999999997E-4</v>
      </c>
      <c r="J90" s="22">
        <v>80</v>
      </c>
      <c r="K90" s="22">
        <v>1.2262</v>
      </c>
      <c r="L90">
        <f t="shared" si="12"/>
        <v>0.96527099999999999</v>
      </c>
      <c r="M90">
        <f t="shared" si="13"/>
        <v>1.1844936968099999</v>
      </c>
      <c r="N90" s="9"/>
      <c r="O90" s="22">
        <v>0.30288700000000002</v>
      </c>
      <c r="P90" s="22">
        <v>99.177199999999999</v>
      </c>
      <c r="Q90" s="22">
        <v>-1.3256800000000001E-3</v>
      </c>
      <c r="R90" s="22">
        <v>80</v>
      </c>
      <c r="S90" s="22">
        <v>0.30230699999999999</v>
      </c>
      <c r="T90">
        <f t="shared" si="14"/>
        <v>1.3256800000000002</v>
      </c>
      <c r="U90">
        <f t="shared" si="15"/>
        <v>0.40153123816000008</v>
      </c>
      <c r="X90" s="9"/>
      <c r="Y90" s="22">
        <v>1.2271099999999999</v>
      </c>
      <c r="Z90" s="22">
        <v>148.25700000000001</v>
      </c>
      <c r="AA90" s="22">
        <v>-7.0312499999999997E-4</v>
      </c>
      <c r="AB90" s="22">
        <v>80</v>
      </c>
      <c r="AC90" s="22">
        <v>1.2258899999999999</v>
      </c>
      <c r="AD90">
        <f t="shared" si="16"/>
        <v>0.703125</v>
      </c>
      <c r="AE90">
        <f t="shared" si="17"/>
        <v>0.86281171874999996</v>
      </c>
      <c r="AF90" s="9"/>
      <c r="AG90" s="22">
        <v>0.30288700000000002</v>
      </c>
      <c r="AH90" s="22">
        <v>197.506</v>
      </c>
      <c r="AI90" s="22">
        <v>-1.17157E-3</v>
      </c>
      <c r="AJ90" s="22">
        <v>80</v>
      </c>
      <c r="AK90" s="22">
        <v>0.30227700000000002</v>
      </c>
      <c r="AL90">
        <f t="shared" si="18"/>
        <v>1.17157</v>
      </c>
      <c r="AM90">
        <f t="shared" si="19"/>
        <v>0.35485332259000002</v>
      </c>
      <c r="AP90" s="9"/>
      <c r="AQ90" s="22">
        <v>1.2271099999999999</v>
      </c>
      <c r="AR90" s="22">
        <v>246.65</v>
      </c>
      <c r="AS90" s="22">
        <v>-6.0150100000000005E-4</v>
      </c>
      <c r="AT90" s="22">
        <v>80</v>
      </c>
      <c r="AU90" s="22">
        <v>1.2258899999999999</v>
      </c>
      <c r="AV90">
        <f t="shared" si="20"/>
        <v>0.60150100000000006</v>
      </c>
      <c r="AW90">
        <f t="shared" si="21"/>
        <v>0.73810789211000005</v>
      </c>
      <c r="AX90" s="9"/>
      <c r="AY90" s="22">
        <v>0.30288700000000002</v>
      </c>
      <c r="AZ90" s="22">
        <v>295.81</v>
      </c>
      <c r="BA90" s="22">
        <v>-1.0974100000000001E-3</v>
      </c>
      <c r="BB90" s="22">
        <v>80</v>
      </c>
      <c r="BC90" s="22">
        <v>0.30227700000000002</v>
      </c>
      <c r="BD90">
        <f t="shared" si="22"/>
        <v>1.09741</v>
      </c>
      <c r="BE90">
        <f t="shared" si="23"/>
        <v>0.33239122267000004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1.2220800000000001</v>
      </c>
      <c r="H91" s="22">
        <v>50.127899999999997</v>
      </c>
      <c r="I91" s="22">
        <v>-9.7076400000000005E-4</v>
      </c>
      <c r="J91" s="22">
        <v>81</v>
      </c>
      <c r="K91" s="22">
        <v>1.2203999999999999</v>
      </c>
      <c r="L91">
        <f t="shared" si="12"/>
        <v>0.97076400000000007</v>
      </c>
      <c r="M91">
        <f t="shared" si="13"/>
        <v>1.1863512691200002</v>
      </c>
      <c r="N91" s="9"/>
      <c r="O91" s="22">
        <v>0.30792199999999997</v>
      </c>
      <c r="P91" s="22">
        <v>99.187299999999993</v>
      </c>
      <c r="Q91" s="22">
        <v>-1.31989E-3</v>
      </c>
      <c r="R91" s="22">
        <v>81</v>
      </c>
      <c r="S91" s="22">
        <v>0.30731199999999997</v>
      </c>
      <c r="T91">
        <f t="shared" si="14"/>
        <v>1.31989</v>
      </c>
      <c r="U91">
        <f t="shared" si="15"/>
        <v>0.40642316857999999</v>
      </c>
      <c r="X91" s="9"/>
      <c r="Y91" s="22">
        <v>1.2220800000000001</v>
      </c>
      <c r="Z91" s="22">
        <v>148.267</v>
      </c>
      <c r="AA91" s="22">
        <v>-7.0861800000000005E-4</v>
      </c>
      <c r="AB91" s="22">
        <v>81</v>
      </c>
      <c r="AC91" s="22">
        <v>1.2206999999999999</v>
      </c>
      <c r="AD91">
        <f t="shared" si="16"/>
        <v>0.70861800000000008</v>
      </c>
      <c r="AE91">
        <f t="shared" si="17"/>
        <v>0.86598788544000016</v>
      </c>
      <c r="AF91" s="9"/>
      <c r="AG91" s="22">
        <v>0.30792199999999997</v>
      </c>
      <c r="AH91" s="22">
        <v>197.51599999999999</v>
      </c>
      <c r="AI91" s="22">
        <v>-1.16577E-3</v>
      </c>
      <c r="AJ91" s="22">
        <v>81</v>
      </c>
      <c r="AK91" s="22">
        <v>0.30734299999999998</v>
      </c>
      <c r="AL91">
        <f t="shared" si="18"/>
        <v>1.16577</v>
      </c>
      <c r="AM91">
        <f t="shared" si="19"/>
        <v>0.35896622993999994</v>
      </c>
      <c r="AP91" s="9"/>
      <c r="AQ91" s="22">
        <v>1.2220800000000001</v>
      </c>
      <c r="AR91" s="22">
        <v>246.661</v>
      </c>
      <c r="AS91" s="22">
        <v>-6.0729999999999996E-4</v>
      </c>
      <c r="AT91" s="22">
        <v>81</v>
      </c>
      <c r="AU91" s="22">
        <v>1.2219199999999999</v>
      </c>
      <c r="AV91">
        <f t="shared" si="20"/>
        <v>0.60729999999999995</v>
      </c>
      <c r="AW91">
        <f t="shared" si="21"/>
        <v>0.74216918399999998</v>
      </c>
      <c r="AX91" s="9"/>
      <c r="AY91" s="22">
        <v>0.30792199999999997</v>
      </c>
      <c r="AZ91" s="22">
        <v>295.82</v>
      </c>
      <c r="BA91" s="22">
        <v>-1.09161E-3</v>
      </c>
      <c r="BB91" s="22">
        <v>81</v>
      </c>
      <c r="BC91" s="22">
        <v>0.30740400000000001</v>
      </c>
      <c r="BD91">
        <f t="shared" si="22"/>
        <v>1.09161</v>
      </c>
      <c r="BE91">
        <f t="shared" si="23"/>
        <v>0.33613073441999997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1.2170399999999999</v>
      </c>
      <c r="H92" s="22">
        <v>50.137999999999998</v>
      </c>
      <c r="I92" s="22">
        <v>-9.7656299999999995E-4</v>
      </c>
      <c r="J92" s="22">
        <v>82</v>
      </c>
      <c r="K92" s="22">
        <v>1.2155199999999999</v>
      </c>
      <c r="L92">
        <f t="shared" si="12"/>
        <v>0.97656299999999996</v>
      </c>
      <c r="M92">
        <f t="shared" si="13"/>
        <v>1.1885162335199999</v>
      </c>
      <c r="N92" s="9"/>
      <c r="O92" s="22">
        <v>0.31295800000000001</v>
      </c>
      <c r="P92" s="22">
        <v>99.197400000000002</v>
      </c>
      <c r="Q92" s="22">
        <v>-1.3137800000000001E-3</v>
      </c>
      <c r="R92" s="22">
        <v>82</v>
      </c>
      <c r="S92" s="22">
        <v>0.31237799999999999</v>
      </c>
      <c r="T92">
        <f t="shared" si="14"/>
        <v>1.3137800000000002</v>
      </c>
      <c r="U92">
        <f t="shared" si="15"/>
        <v>0.41115796124000009</v>
      </c>
      <c r="X92" s="9"/>
      <c r="Y92" s="22">
        <v>1.2170399999999999</v>
      </c>
      <c r="Z92" s="22">
        <v>148.27699999999999</v>
      </c>
      <c r="AA92" s="22">
        <v>-7.1472199999999999E-4</v>
      </c>
      <c r="AB92" s="22">
        <v>82</v>
      </c>
      <c r="AC92" s="22">
        <v>1.2161299999999999</v>
      </c>
      <c r="AD92">
        <f t="shared" si="16"/>
        <v>0.71472199999999997</v>
      </c>
      <c r="AE92">
        <f t="shared" si="17"/>
        <v>0.86984526287999986</v>
      </c>
      <c r="AF92" s="9"/>
      <c r="AG92" s="22">
        <v>0.31295800000000001</v>
      </c>
      <c r="AH92" s="22">
        <v>197.52600000000001</v>
      </c>
      <c r="AI92" s="22">
        <v>-1.1602800000000001E-3</v>
      </c>
      <c r="AJ92" s="22">
        <v>82</v>
      </c>
      <c r="AK92" s="22">
        <v>0.31240800000000002</v>
      </c>
      <c r="AL92">
        <f t="shared" si="18"/>
        <v>1.16028</v>
      </c>
      <c r="AM92">
        <f t="shared" si="19"/>
        <v>0.36311890823999998</v>
      </c>
      <c r="AP92" s="9"/>
      <c r="AQ92" s="22">
        <v>1.2170399999999999</v>
      </c>
      <c r="AR92" s="22">
        <v>246.67099999999999</v>
      </c>
      <c r="AS92" s="22">
        <v>-6.1248800000000001E-4</v>
      </c>
      <c r="AT92" s="22">
        <v>82</v>
      </c>
      <c r="AU92" s="22">
        <v>1.2155199999999999</v>
      </c>
      <c r="AV92">
        <f t="shared" si="20"/>
        <v>0.61248800000000003</v>
      </c>
      <c r="AW92">
        <f t="shared" si="21"/>
        <v>0.74542239552</v>
      </c>
      <c r="AX92" s="9"/>
      <c r="AY92" s="22">
        <v>0.31295800000000001</v>
      </c>
      <c r="AZ92" s="22">
        <v>295.83</v>
      </c>
      <c r="BA92" s="22">
        <v>-1.0861200000000001E-3</v>
      </c>
      <c r="BB92" s="22">
        <v>82</v>
      </c>
      <c r="BC92" s="22">
        <v>0.31231700000000001</v>
      </c>
      <c r="BD92">
        <f t="shared" si="22"/>
        <v>1.0861200000000002</v>
      </c>
      <c r="BE92">
        <f t="shared" si="23"/>
        <v>0.3399099429600001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1.21201</v>
      </c>
      <c r="H93" s="22">
        <v>50.148000000000003</v>
      </c>
      <c r="I93" s="22">
        <v>-9.8205600000000003E-4</v>
      </c>
      <c r="J93" s="22">
        <v>83</v>
      </c>
      <c r="K93" s="22">
        <v>1.2106300000000001</v>
      </c>
      <c r="L93">
        <f t="shared" si="12"/>
        <v>0.98205600000000004</v>
      </c>
      <c r="M93">
        <f t="shared" si="13"/>
        <v>1.19026169256</v>
      </c>
      <c r="N93" s="9"/>
      <c r="O93" s="22">
        <v>0.31799300000000003</v>
      </c>
      <c r="P93" s="22">
        <v>99.207499999999996</v>
      </c>
      <c r="Q93" s="22">
        <v>-1.3101199999999999E-3</v>
      </c>
      <c r="R93" s="22">
        <v>83</v>
      </c>
      <c r="S93" s="22">
        <v>0.31735200000000002</v>
      </c>
      <c r="T93">
        <f t="shared" si="14"/>
        <v>1.31012</v>
      </c>
      <c r="U93">
        <f t="shared" si="15"/>
        <v>0.41660898916</v>
      </c>
      <c r="X93" s="9"/>
      <c r="Y93" s="22">
        <v>1.21201</v>
      </c>
      <c r="Z93" s="22">
        <v>148.28700000000001</v>
      </c>
      <c r="AA93" s="22">
        <v>-7.2051999999999999E-4</v>
      </c>
      <c r="AB93" s="22">
        <v>83</v>
      </c>
      <c r="AC93" s="22">
        <v>1.2112400000000001</v>
      </c>
      <c r="AD93">
        <f t="shared" si="16"/>
        <v>0.72051999999999994</v>
      </c>
      <c r="AE93">
        <f t="shared" si="17"/>
        <v>0.87327744519999995</v>
      </c>
      <c r="AF93" s="9"/>
      <c r="AG93" s="22">
        <v>0.31799300000000003</v>
      </c>
      <c r="AH93" s="22">
        <v>197.536</v>
      </c>
      <c r="AI93" s="22">
        <v>-1.1547899999999999E-3</v>
      </c>
      <c r="AJ93" s="22">
        <v>83</v>
      </c>
      <c r="AK93" s="22">
        <v>0.31738300000000003</v>
      </c>
      <c r="AL93">
        <f t="shared" si="18"/>
        <v>1.15479</v>
      </c>
      <c r="AM93">
        <f t="shared" si="19"/>
        <v>0.36721513647000004</v>
      </c>
      <c r="AP93" s="9"/>
      <c r="AQ93" s="22">
        <v>1.21201</v>
      </c>
      <c r="AR93" s="22">
        <v>246.68100000000001</v>
      </c>
      <c r="AS93" s="22">
        <v>-6.1828600000000001E-4</v>
      </c>
      <c r="AT93" s="22">
        <v>83</v>
      </c>
      <c r="AU93" s="22">
        <v>1.2109399999999999</v>
      </c>
      <c r="AV93">
        <f t="shared" si="20"/>
        <v>0.618286</v>
      </c>
      <c r="AW93">
        <f t="shared" si="21"/>
        <v>0.74936881486000007</v>
      </c>
      <c r="AX93" s="9"/>
      <c r="AY93" s="22">
        <v>0.31799300000000003</v>
      </c>
      <c r="AZ93" s="22">
        <v>295.83999999999997</v>
      </c>
      <c r="BA93" s="22">
        <v>-1.0809299999999999E-3</v>
      </c>
      <c r="BB93" s="22">
        <v>83</v>
      </c>
      <c r="BC93" s="22">
        <v>0.31738300000000003</v>
      </c>
      <c r="BD93">
        <f t="shared" si="22"/>
        <v>1.0809299999999999</v>
      </c>
      <c r="BE93">
        <f t="shared" si="23"/>
        <v>0.34372817349000001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1.2069700000000001</v>
      </c>
      <c r="H94" s="22">
        <v>50.158099999999997</v>
      </c>
      <c r="I94" s="22">
        <v>-9.8632800000000007E-4</v>
      </c>
      <c r="J94" s="22">
        <v>84</v>
      </c>
      <c r="K94" s="22">
        <v>1.2060500000000001</v>
      </c>
      <c r="L94">
        <f t="shared" si="12"/>
        <v>0.98632800000000009</v>
      </c>
      <c r="M94">
        <f t="shared" si="13"/>
        <v>1.1904683061600001</v>
      </c>
      <c r="N94" s="9"/>
      <c r="O94" s="22">
        <v>0.32302900000000001</v>
      </c>
      <c r="P94" s="22">
        <v>99.217500000000001</v>
      </c>
      <c r="Q94" s="22">
        <v>-1.30035E-3</v>
      </c>
      <c r="R94" s="22">
        <v>84</v>
      </c>
      <c r="S94" s="22">
        <v>0.322357</v>
      </c>
      <c r="T94">
        <f t="shared" si="14"/>
        <v>1.3003500000000001</v>
      </c>
      <c r="U94">
        <f t="shared" si="15"/>
        <v>0.42005076015000004</v>
      </c>
      <c r="X94" s="9"/>
      <c r="Y94" s="22">
        <v>1.2069700000000001</v>
      </c>
      <c r="Z94" s="22">
        <v>148.297</v>
      </c>
      <c r="AA94" s="22">
        <v>-7.2601299999999996E-4</v>
      </c>
      <c r="AB94" s="22">
        <v>84</v>
      </c>
      <c r="AC94" s="22">
        <v>1.2060500000000001</v>
      </c>
      <c r="AD94">
        <f t="shared" si="16"/>
        <v>0.72601299999999991</v>
      </c>
      <c r="AE94">
        <f t="shared" si="17"/>
        <v>0.87627591060999999</v>
      </c>
      <c r="AF94" s="9"/>
      <c r="AG94" s="22">
        <v>0.32302900000000001</v>
      </c>
      <c r="AH94" s="22">
        <v>197.54599999999999</v>
      </c>
      <c r="AI94" s="22">
        <v>-1.14868E-3</v>
      </c>
      <c r="AJ94" s="22">
        <v>84</v>
      </c>
      <c r="AK94" s="22">
        <v>0.32241799999999998</v>
      </c>
      <c r="AL94">
        <f t="shared" si="18"/>
        <v>1.1486799999999999</v>
      </c>
      <c r="AM94">
        <f t="shared" si="19"/>
        <v>0.37105695171999997</v>
      </c>
      <c r="AP94" s="9"/>
      <c r="AQ94" s="22">
        <v>1.2069700000000001</v>
      </c>
      <c r="AR94" s="22">
        <v>246.691</v>
      </c>
      <c r="AS94" s="22">
        <v>-6.2408400000000001E-4</v>
      </c>
      <c r="AT94" s="22">
        <v>84</v>
      </c>
      <c r="AU94" s="22">
        <v>1.2060500000000001</v>
      </c>
      <c r="AV94">
        <f t="shared" si="20"/>
        <v>0.62408399999999997</v>
      </c>
      <c r="AW94">
        <f t="shared" si="21"/>
        <v>0.75325066548000008</v>
      </c>
      <c r="AX94" s="9"/>
      <c r="AY94" s="22">
        <v>0.32302900000000001</v>
      </c>
      <c r="AZ94" s="22">
        <v>295.85000000000002</v>
      </c>
      <c r="BA94" s="22">
        <v>-1.07544E-3</v>
      </c>
      <c r="BB94" s="22">
        <v>84</v>
      </c>
      <c r="BC94" s="22">
        <v>0.32241799999999998</v>
      </c>
      <c r="BD94">
        <f t="shared" si="22"/>
        <v>1.07544</v>
      </c>
      <c r="BE94">
        <f t="shared" si="23"/>
        <v>0.34739830775999997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1.2019299999999999</v>
      </c>
      <c r="H95" s="22">
        <v>50.168199999999999</v>
      </c>
      <c r="I95" s="22">
        <v>-9.9212600000000008E-4</v>
      </c>
      <c r="J95" s="22">
        <v>85</v>
      </c>
      <c r="K95" s="22">
        <v>1.2008700000000001</v>
      </c>
      <c r="L95">
        <f t="shared" si="12"/>
        <v>0.99212600000000006</v>
      </c>
      <c r="M95">
        <f t="shared" si="13"/>
        <v>1.1924660031800001</v>
      </c>
      <c r="N95" s="9"/>
      <c r="O95" s="22">
        <v>0.32806400000000002</v>
      </c>
      <c r="P95" s="22">
        <v>99.227599999999995</v>
      </c>
      <c r="Q95" s="22">
        <v>-1.28937E-3</v>
      </c>
      <c r="R95" s="22">
        <v>85</v>
      </c>
      <c r="S95" s="22">
        <v>0.327515</v>
      </c>
      <c r="T95">
        <f t="shared" si="14"/>
        <v>1.2893699999999999</v>
      </c>
      <c r="U95">
        <f t="shared" si="15"/>
        <v>0.42299587968000002</v>
      </c>
      <c r="X95" s="9"/>
      <c r="Y95" s="22">
        <v>1.2019299999999999</v>
      </c>
      <c r="Z95" s="22">
        <v>148.30699999999999</v>
      </c>
      <c r="AA95" s="22">
        <v>-7.3211700000000001E-4</v>
      </c>
      <c r="AB95" s="22">
        <v>85</v>
      </c>
      <c r="AC95" s="22">
        <v>1.2011700000000001</v>
      </c>
      <c r="AD95">
        <f t="shared" si="16"/>
        <v>0.73211700000000002</v>
      </c>
      <c r="AE95">
        <f t="shared" si="17"/>
        <v>0.87995338580999993</v>
      </c>
      <c r="AF95" s="9"/>
      <c r="AG95" s="22">
        <v>0.32806400000000002</v>
      </c>
      <c r="AH95" s="22">
        <v>197.55600000000001</v>
      </c>
      <c r="AI95" s="22">
        <v>-1.1431900000000001E-3</v>
      </c>
      <c r="AJ95" s="22">
        <v>85</v>
      </c>
      <c r="AK95" s="22">
        <v>0.32745400000000002</v>
      </c>
      <c r="AL95">
        <f t="shared" si="18"/>
        <v>1.1431900000000002</v>
      </c>
      <c r="AM95">
        <f t="shared" si="19"/>
        <v>0.37503948416000005</v>
      </c>
      <c r="AP95" s="9"/>
      <c r="AQ95" s="22">
        <v>1.2019299999999999</v>
      </c>
      <c r="AR95" s="22">
        <v>246.70099999999999</v>
      </c>
      <c r="AS95" s="22">
        <v>-6.29578E-4</v>
      </c>
      <c r="AT95" s="22">
        <v>85</v>
      </c>
      <c r="AU95" s="22">
        <v>1.2008700000000001</v>
      </c>
      <c r="AV95">
        <f t="shared" si="20"/>
        <v>0.62957799999999997</v>
      </c>
      <c r="AW95">
        <f t="shared" si="21"/>
        <v>0.75670868553999993</v>
      </c>
      <c r="AX95" s="9"/>
      <c r="AY95" s="22">
        <v>0.32806400000000002</v>
      </c>
      <c r="AZ95" s="22">
        <v>295.86</v>
      </c>
      <c r="BA95" s="22">
        <v>-1.07025E-3</v>
      </c>
      <c r="BB95" s="22">
        <v>85</v>
      </c>
      <c r="BC95" s="22">
        <v>0.32745400000000002</v>
      </c>
      <c r="BD95">
        <f t="shared" si="22"/>
        <v>1.0702499999999999</v>
      </c>
      <c r="BE95">
        <f t="shared" si="23"/>
        <v>0.35111049599999999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1.1969000000000001</v>
      </c>
      <c r="H96" s="22">
        <v>50.1783</v>
      </c>
      <c r="I96" s="22">
        <v>-9.9670399999999995E-4</v>
      </c>
      <c r="J96" s="22">
        <v>86</v>
      </c>
      <c r="K96" s="22">
        <v>1.1956800000000001</v>
      </c>
      <c r="L96">
        <f t="shared" si="12"/>
        <v>0.99670399999999992</v>
      </c>
      <c r="M96">
        <f t="shared" si="13"/>
        <v>1.1929550175999999</v>
      </c>
      <c r="N96" s="9"/>
      <c r="O96" s="22">
        <v>0.33309899999999998</v>
      </c>
      <c r="P96" s="22">
        <v>99.237700000000004</v>
      </c>
      <c r="Q96" s="22">
        <v>-1.28418E-3</v>
      </c>
      <c r="R96" s="22">
        <v>86</v>
      </c>
      <c r="S96" s="22">
        <v>0.33255000000000001</v>
      </c>
      <c r="T96">
        <f t="shared" si="14"/>
        <v>1.2841800000000001</v>
      </c>
      <c r="U96">
        <f t="shared" si="15"/>
        <v>0.42775907382</v>
      </c>
      <c r="X96" s="9"/>
      <c r="Y96" s="22">
        <v>1.1969000000000001</v>
      </c>
      <c r="Z96" s="22">
        <v>148.31700000000001</v>
      </c>
      <c r="AA96" s="22">
        <v>-7.3791500000000001E-4</v>
      </c>
      <c r="AB96" s="22">
        <v>86</v>
      </c>
      <c r="AC96" s="22">
        <v>1.1956800000000001</v>
      </c>
      <c r="AD96">
        <f t="shared" si="16"/>
        <v>0.73791499999999999</v>
      </c>
      <c r="AE96">
        <f t="shared" si="17"/>
        <v>0.88321046349999999</v>
      </c>
      <c r="AF96" s="9"/>
      <c r="AG96" s="22">
        <v>0.33309899999999998</v>
      </c>
      <c r="AH96" s="22">
        <v>197.566</v>
      </c>
      <c r="AI96" s="22">
        <v>-1.1379999999999999E-3</v>
      </c>
      <c r="AJ96" s="22">
        <v>86</v>
      </c>
      <c r="AK96" s="22">
        <v>0.33245799999999998</v>
      </c>
      <c r="AL96">
        <f t="shared" si="18"/>
        <v>1.1379999999999999</v>
      </c>
      <c r="AM96">
        <f t="shared" si="19"/>
        <v>0.37906666199999994</v>
      </c>
      <c r="AP96" s="9"/>
      <c r="AQ96" s="22">
        <v>1.1969000000000001</v>
      </c>
      <c r="AR96" s="22">
        <v>246.71100000000001</v>
      </c>
      <c r="AS96" s="22">
        <v>-6.3476600000000004E-4</v>
      </c>
      <c r="AT96" s="22">
        <v>86</v>
      </c>
      <c r="AU96" s="22">
        <v>1.1956800000000001</v>
      </c>
      <c r="AV96">
        <f t="shared" si="20"/>
        <v>0.63476600000000005</v>
      </c>
      <c r="AW96">
        <f t="shared" si="21"/>
        <v>0.75975142540000007</v>
      </c>
      <c r="AX96" s="9"/>
      <c r="AY96" s="22">
        <v>0.33309899999999998</v>
      </c>
      <c r="AZ96" s="22">
        <v>295.87</v>
      </c>
      <c r="BA96" s="22">
        <v>-1.0650600000000001E-3</v>
      </c>
      <c r="BB96" s="22">
        <v>86</v>
      </c>
      <c r="BC96" s="22">
        <v>0.332428</v>
      </c>
      <c r="BD96">
        <f t="shared" si="22"/>
        <v>1.0650600000000001</v>
      </c>
      <c r="BE96">
        <f t="shared" si="23"/>
        <v>0.35477042094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1.1918599999999999</v>
      </c>
      <c r="H97" s="22">
        <v>50.188299999999998</v>
      </c>
      <c r="I97" s="22">
        <v>-1.0024999999999999E-3</v>
      </c>
      <c r="J97" s="22">
        <v>87</v>
      </c>
      <c r="K97" s="22">
        <v>1.1911</v>
      </c>
      <c r="L97">
        <f t="shared" si="12"/>
        <v>1.0024999999999999</v>
      </c>
      <c r="M97">
        <f t="shared" si="13"/>
        <v>1.1948396499999998</v>
      </c>
      <c r="N97" s="9"/>
      <c r="O97" s="22">
        <v>0.33813500000000002</v>
      </c>
      <c r="P97" s="22">
        <v>99.247699999999995</v>
      </c>
      <c r="Q97" s="22">
        <v>-1.2814300000000001E-3</v>
      </c>
      <c r="R97" s="22">
        <v>87</v>
      </c>
      <c r="S97" s="22">
        <v>0.33746300000000001</v>
      </c>
      <c r="T97">
        <f t="shared" si="14"/>
        <v>1.2814300000000001</v>
      </c>
      <c r="U97">
        <f t="shared" si="15"/>
        <v>0.43329633305000004</v>
      </c>
      <c r="X97" s="9"/>
      <c r="Y97" s="22">
        <v>1.1918599999999999</v>
      </c>
      <c r="Z97" s="22">
        <v>148.327</v>
      </c>
      <c r="AA97" s="22">
        <v>-7.4401899999999995E-4</v>
      </c>
      <c r="AB97" s="22">
        <v>87</v>
      </c>
      <c r="AC97" s="22">
        <v>1.1908000000000001</v>
      </c>
      <c r="AD97">
        <f t="shared" si="16"/>
        <v>0.74401899999999999</v>
      </c>
      <c r="AE97">
        <f t="shared" si="17"/>
        <v>0.88676648533999991</v>
      </c>
      <c r="AF97" s="9"/>
      <c r="AG97" s="22">
        <v>0.33813500000000002</v>
      </c>
      <c r="AH97" s="22">
        <v>197.577</v>
      </c>
      <c r="AI97" s="22">
        <v>-1.13251E-3</v>
      </c>
      <c r="AJ97" s="22">
        <v>87</v>
      </c>
      <c r="AK97" s="22">
        <v>0.33758500000000002</v>
      </c>
      <c r="AL97">
        <f t="shared" si="18"/>
        <v>1.1325099999999999</v>
      </c>
      <c r="AM97">
        <f t="shared" si="19"/>
        <v>0.38294126885000002</v>
      </c>
      <c r="AP97" s="9"/>
      <c r="AQ97" s="22">
        <v>1.1918599999999999</v>
      </c>
      <c r="AR97" s="22">
        <v>246.721</v>
      </c>
      <c r="AS97" s="22">
        <v>-6.4056400000000004E-4</v>
      </c>
      <c r="AT97" s="22">
        <v>87</v>
      </c>
      <c r="AU97" s="22">
        <v>1.1901900000000001</v>
      </c>
      <c r="AV97">
        <f t="shared" si="20"/>
        <v>0.64056400000000002</v>
      </c>
      <c r="AW97">
        <f t="shared" si="21"/>
        <v>0.76346260903999996</v>
      </c>
      <c r="AX97" s="9"/>
      <c r="AY97" s="22">
        <v>0.33813500000000002</v>
      </c>
      <c r="AZ97" s="22">
        <v>295.88</v>
      </c>
      <c r="BA97" s="22">
        <v>-1.0595699999999999E-3</v>
      </c>
      <c r="BB97" s="22">
        <v>87</v>
      </c>
      <c r="BC97" s="22">
        <v>0.33758500000000002</v>
      </c>
      <c r="BD97">
        <f t="shared" si="22"/>
        <v>1.0595699999999999</v>
      </c>
      <c r="BE97">
        <f t="shared" si="23"/>
        <v>0.35827770194999997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1.1868300000000001</v>
      </c>
      <c r="H98" s="22">
        <v>50.198399999999999</v>
      </c>
      <c r="I98" s="22">
        <v>-1.0067699999999999E-3</v>
      </c>
      <c r="J98" s="22">
        <v>88</v>
      </c>
      <c r="K98" s="22">
        <v>1.18591</v>
      </c>
      <c r="L98">
        <f t="shared" si="12"/>
        <v>1.0067699999999999</v>
      </c>
      <c r="M98">
        <f t="shared" si="13"/>
        <v>1.1948648391000001</v>
      </c>
      <c r="N98" s="9"/>
      <c r="O98" s="22">
        <v>0.34316999999999998</v>
      </c>
      <c r="P98" s="22">
        <v>99.257800000000003</v>
      </c>
      <c r="Q98" s="22">
        <v>-1.2725799999999999E-3</v>
      </c>
      <c r="R98" s="22">
        <v>88</v>
      </c>
      <c r="S98" s="22">
        <v>0.34252899999999997</v>
      </c>
      <c r="T98">
        <f t="shared" si="14"/>
        <v>1.27258</v>
      </c>
      <c r="U98">
        <f t="shared" si="15"/>
        <v>0.43671127859999997</v>
      </c>
      <c r="X98" s="9"/>
      <c r="Y98" s="22">
        <v>1.1868300000000001</v>
      </c>
      <c r="Z98" s="22">
        <v>148.33699999999999</v>
      </c>
      <c r="AA98" s="22">
        <v>-7.4951200000000003E-4</v>
      </c>
      <c r="AB98" s="22">
        <v>88</v>
      </c>
      <c r="AC98" s="22">
        <v>1.1856100000000001</v>
      </c>
      <c r="AD98">
        <f t="shared" si="16"/>
        <v>0.74951200000000007</v>
      </c>
      <c r="AE98">
        <f t="shared" si="17"/>
        <v>0.88954332696000016</v>
      </c>
      <c r="AF98" s="9"/>
      <c r="AG98" s="22">
        <v>0.34316999999999998</v>
      </c>
      <c r="AH98" s="22">
        <v>197.58699999999999</v>
      </c>
      <c r="AI98" s="22">
        <v>-1.1270099999999999E-3</v>
      </c>
      <c r="AJ98" s="22">
        <v>88</v>
      </c>
      <c r="AK98" s="22">
        <v>0.34252899999999997</v>
      </c>
      <c r="AL98">
        <f t="shared" si="18"/>
        <v>1.1270099999999998</v>
      </c>
      <c r="AM98">
        <f t="shared" si="19"/>
        <v>0.3867560216999999</v>
      </c>
      <c r="AP98" s="9"/>
      <c r="AQ98" s="22">
        <v>1.1868300000000001</v>
      </c>
      <c r="AR98" s="22">
        <v>246.73099999999999</v>
      </c>
      <c r="AS98" s="22">
        <v>-6.4575199999999998E-4</v>
      </c>
      <c r="AT98" s="22">
        <v>88</v>
      </c>
      <c r="AU98" s="22">
        <v>1.1856100000000001</v>
      </c>
      <c r="AV98">
        <f t="shared" si="20"/>
        <v>0.64575199999999999</v>
      </c>
      <c r="AW98">
        <f t="shared" si="21"/>
        <v>0.76639784616000006</v>
      </c>
      <c r="AX98" s="9"/>
      <c r="AY98" s="22">
        <v>0.34316999999999998</v>
      </c>
      <c r="AZ98" s="22">
        <v>295.89</v>
      </c>
      <c r="BA98" s="22">
        <v>-1.0546900000000001E-3</v>
      </c>
      <c r="BB98" s="22">
        <v>88</v>
      </c>
      <c r="BC98" s="22">
        <v>0.34259000000000001</v>
      </c>
      <c r="BD98">
        <f t="shared" si="22"/>
        <v>1.0546900000000001</v>
      </c>
      <c r="BE98">
        <f t="shared" si="23"/>
        <v>0.3619379673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1.1817899999999999</v>
      </c>
      <c r="H99" s="22">
        <v>50.208500000000001</v>
      </c>
      <c r="I99" s="22">
        <v>-1.0141E-3</v>
      </c>
      <c r="J99" s="22">
        <v>89</v>
      </c>
      <c r="K99" s="22">
        <v>1.1807300000000001</v>
      </c>
      <c r="L99">
        <f t="shared" si="12"/>
        <v>1.0141</v>
      </c>
      <c r="M99">
        <f t="shared" si="13"/>
        <v>1.198453239</v>
      </c>
      <c r="N99" s="9"/>
      <c r="O99" s="22">
        <v>0.34820600000000002</v>
      </c>
      <c r="P99" s="22">
        <v>99.267899999999997</v>
      </c>
      <c r="Q99" s="22">
        <v>-1.27045E-3</v>
      </c>
      <c r="R99" s="22">
        <v>89</v>
      </c>
      <c r="S99" s="22">
        <v>0.34759499999999999</v>
      </c>
      <c r="T99">
        <f t="shared" si="14"/>
        <v>1.2704500000000001</v>
      </c>
      <c r="U99">
        <f t="shared" si="15"/>
        <v>0.44237831270000005</v>
      </c>
      <c r="X99" s="9"/>
      <c r="Y99" s="22">
        <v>1.1817899999999999</v>
      </c>
      <c r="Z99" s="22">
        <v>148.34700000000001</v>
      </c>
      <c r="AA99" s="22">
        <v>-7.5531000000000003E-4</v>
      </c>
      <c r="AB99" s="22">
        <v>89</v>
      </c>
      <c r="AC99" s="22">
        <v>1.18042</v>
      </c>
      <c r="AD99">
        <f t="shared" si="16"/>
        <v>0.75531000000000004</v>
      </c>
      <c r="AE99">
        <f t="shared" si="17"/>
        <v>0.89261780489999998</v>
      </c>
      <c r="AF99" s="9"/>
      <c r="AG99" s="22">
        <v>0.34820600000000002</v>
      </c>
      <c r="AH99" s="22">
        <v>197.59700000000001</v>
      </c>
      <c r="AI99" s="22">
        <v>-1.1227399999999999E-3</v>
      </c>
      <c r="AJ99" s="22">
        <v>89</v>
      </c>
      <c r="AK99" s="22">
        <v>0.34756500000000001</v>
      </c>
      <c r="AL99">
        <f t="shared" si="18"/>
        <v>1.1227399999999998</v>
      </c>
      <c r="AM99">
        <f t="shared" si="19"/>
        <v>0.39094480443999996</v>
      </c>
      <c r="AP99" s="9"/>
      <c r="AQ99" s="22">
        <v>1.1817899999999999</v>
      </c>
      <c r="AR99" s="22">
        <v>246.74100000000001</v>
      </c>
      <c r="AS99" s="22">
        <v>-6.5124499999999995E-4</v>
      </c>
      <c r="AT99" s="22">
        <v>89</v>
      </c>
      <c r="AU99" s="22">
        <v>1.1807300000000001</v>
      </c>
      <c r="AV99">
        <f t="shared" si="20"/>
        <v>0.65124499999999996</v>
      </c>
      <c r="AW99">
        <f t="shared" si="21"/>
        <v>0.76963482854999987</v>
      </c>
      <c r="AX99" s="9"/>
      <c r="AY99" s="22">
        <v>0.34820600000000002</v>
      </c>
      <c r="AZ99" s="22">
        <v>295.90100000000001</v>
      </c>
      <c r="BA99" s="22">
        <v>-1.04919E-3</v>
      </c>
      <c r="BB99" s="22">
        <v>89</v>
      </c>
      <c r="BC99" s="22">
        <v>0.34768700000000002</v>
      </c>
      <c r="BD99">
        <f t="shared" si="22"/>
        <v>1.0491900000000001</v>
      </c>
      <c r="BE99">
        <f t="shared" si="23"/>
        <v>0.36533425314000006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1.17676</v>
      </c>
      <c r="H100" s="22">
        <v>50.218499999999999</v>
      </c>
      <c r="I100" s="22">
        <v>-1.0199E-3</v>
      </c>
      <c r="J100" s="22">
        <v>90</v>
      </c>
      <c r="K100" s="22">
        <v>1.17554</v>
      </c>
      <c r="L100">
        <f t="shared" si="12"/>
        <v>1.0199</v>
      </c>
      <c r="M100">
        <f t="shared" si="13"/>
        <v>1.2001775240000001</v>
      </c>
      <c r="N100" s="9"/>
      <c r="O100" s="22">
        <v>0.35324100000000003</v>
      </c>
      <c r="P100" s="22">
        <v>99.277900000000002</v>
      </c>
      <c r="Q100" s="22">
        <v>-1.26465E-3</v>
      </c>
      <c r="R100" s="22">
        <v>90</v>
      </c>
      <c r="S100" s="22">
        <v>0.35263100000000003</v>
      </c>
      <c r="T100">
        <f t="shared" si="14"/>
        <v>1.2646500000000001</v>
      </c>
      <c r="U100">
        <f t="shared" si="15"/>
        <v>0.44672623065000006</v>
      </c>
      <c r="X100" s="9"/>
      <c r="Y100" s="22">
        <v>1.17676</v>
      </c>
      <c r="Z100" s="22">
        <v>148.357</v>
      </c>
      <c r="AA100" s="22">
        <v>-7.6141399999999997E-4</v>
      </c>
      <c r="AB100" s="22">
        <v>90</v>
      </c>
      <c r="AC100" s="22">
        <v>1.17584</v>
      </c>
      <c r="AD100">
        <f t="shared" si="16"/>
        <v>0.76141399999999992</v>
      </c>
      <c r="AE100">
        <f t="shared" si="17"/>
        <v>0.89600153863999998</v>
      </c>
      <c r="AF100" s="9"/>
      <c r="AG100" s="22">
        <v>0.35324100000000003</v>
      </c>
      <c r="AH100" s="22">
        <v>197.607</v>
      </c>
      <c r="AI100" s="22">
        <v>-1.11786E-3</v>
      </c>
      <c r="AJ100" s="22">
        <v>90</v>
      </c>
      <c r="AK100" s="22">
        <v>0.35263100000000003</v>
      </c>
      <c r="AL100">
        <f t="shared" si="18"/>
        <v>1.1178600000000001</v>
      </c>
      <c r="AM100">
        <f t="shared" si="19"/>
        <v>0.39487398426000003</v>
      </c>
      <c r="AP100" s="9"/>
      <c r="AQ100" s="22">
        <v>1.17676</v>
      </c>
      <c r="AR100" s="22">
        <v>246.751</v>
      </c>
      <c r="AS100" s="22">
        <v>-6.5643299999999999E-4</v>
      </c>
      <c r="AT100" s="22">
        <v>90</v>
      </c>
      <c r="AU100" s="22">
        <v>1.17584</v>
      </c>
      <c r="AV100">
        <f t="shared" si="20"/>
        <v>0.65643300000000004</v>
      </c>
      <c r="AW100">
        <f t="shared" si="21"/>
        <v>0.77246409708000008</v>
      </c>
      <c r="AX100" s="9"/>
      <c r="AY100" s="22">
        <v>0.35324100000000003</v>
      </c>
      <c r="AZ100" s="22">
        <v>295.911</v>
      </c>
      <c r="BA100" s="22">
        <v>-1.0443099999999999E-3</v>
      </c>
      <c r="BB100" s="22">
        <v>90</v>
      </c>
      <c r="BC100" s="22">
        <v>0.352661</v>
      </c>
      <c r="BD100">
        <f t="shared" si="22"/>
        <v>1.0443099999999998</v>
      </c>
      <c r="BE100">
        <f t="shared" si="23"/>
        <v>0.36889310870999997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1.1717200000000001</v>
      </c>
      <c r="H101" s="22">
        <v>50.2286</v>
      </c>
      <c r="I101" s="22">
        <v>-1.0266100000000001E-3</v>
      </c>
      <c r="J101" s="22">
        <v>91</v>
      </c>
      <c r="K101" s="22">
        <v>1.17065</v>
      </c>
      <c r="L101">
        <f t="shared" si="12"/>
        <v>1.02661</v>
      </c>
      <c r="M101">
        <f t="shared" si="13"/>
        <v>1.2028994692000001</v>
      </c>
      <c r="N101" s="9"/>
      <c r="O101" s="22">
        <v>0.35827599999999998</v>
      </c>
      <c r="P101" s="22">
        <v>99.287999999999997</v>
      </c>
      <c r="Q101" s="22">
        <v>-1.2597699999999999E-3</v>
      </c>
      <c r="R101" s="22">
        <v>91</v>
      </c>
      <c r="S101" s="22">
        <v>0.35766599999999998</v>
      </c>
      <c r="T101">
        <f t="shared" si="14"/>
        <v>1.2597699999999998</v>
      </c>
      <c r="U101">
        <f t="shared" si="15"/>
        <v>0.45134535651999991</v>
      </c>
      <c r="X101" s="9"/>
      <c r="Y101" s="22">
        <v>1.1717200000000001</v>
      </c>
      <c r="Z101" s="22">
        <v>148.36699999999999</v>
      </c>
      <c r="AA101" s="22">
        <v>-7.6660200000000002E-4</v>
      </c>
      <c r="AB101" s="22">
        <v>91</v>
      </c>
      <c r="AC101" s="22">
        <v>1.17035</v>
      </c>
      <c r="AD101">
        <f t="shared" si="16"/>
        <v>0.76660200000000001</v>
      </c>
      <c r="AE101">
        <f t="shared" si="17"/>
        <v>0.89824289544000013</v>
      </c>
      <c r="AF101" s="9"/>
      <c r="AG101" s="22">
        <v>0.35827599999999998</v>
      </c>
      <c r="AH101" s="22">
        <v>197.61699999999999</v>
      </c>
      <c r="AI101" s="22">
        <v>-1.1132799999999999E-3</v>
      </c>
      <c r="AJ101" s="22">
        <v>91</v>
      </c>
      <c r="AK101" s="22">
        <v>0.35769699999999999</v>
      </c>
      <c r="AL101">
        <f t="shared" si="18"/>
        <v>1.1132799999999998</v>
      </c>
      <c r="AM101">
        <f t="shared" si="19"/>
        <v>0.39886150527999992</v>
      </c>
      <c r="AP101" s="9"/>
      <c r="AQ101" s="22">
        <v>1.1717200000000001</v>
      </c>
      <c r="AR101" s="22">
        <v>246.761</v>
      </c>
      <c r="AS101" s="22">
        <v>-6.6162100000000004E-4</v>
      </c>
      <c r="AT101" s="22">
        <v>91</v>
      </c>
      <c r="AU101" s="22">
        <v>1.17065</v>
      </c>
      <c r="AV101">
        <f t="shared" si="20"/>
        <v>0.66162100000000001</v>
      </c>
      <c r="AW101">
        <f t="shared" si="21"/>
        <v>0.77523455812000008</v>
      </c>
      <c r="AX101" s="9"/>
      <c r="AY101" s="22">
        <v>0.35827599999999998</v>
      </c>
      <c r="AZ101" s="22">
        <v>295.92099999999999</v>
      </c>
      <c r="BA101" s="22">
        <v>-1.0391199999999999E-3</v>
      </c>
      <c r="BB101" s="22">
        <v>91</v>
      </c>
      <c r="BC101" s="22">
        <v>0.35763499999999998</v>
      </c>
      <c r="BD101">
        <f t="shared" si="22"/>
        <v>1.0391199999999998</v>
      </c>
      <c r="BE101">
        <f t="shared" si="23"/>
        <v>0.3722917571199999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1.16669</v>
      </c>
      <c r="H102" s="22">
        <v>50.238700000000001</v>
      </c>
      <c r="I102" s="22">
        <v>-1.0318E-3</v>
      </c>
      <c r="J102" s="22">
        <v>92</v>
      </c>
      <c r="K102" s="22">
        <v>1.16577</v>
      </c>
      <c r="L102">
        <f t="shared" si="12"/>
        <v>1.0318000000000001</v>
      </c>
      <c r="M102">
        <f t="shared" si="13"/>
        <v>1.203790742</v>
      </c>
      <c r="N102" s="9"/>
      <c r="O102" s="22">
        <v>0.36331200000000002</v>
      </c>
      <c r="P102" s="22">
        <v>99.298100000000005</v>
      </c>
      <c r="Q102" s="22">
        <v>-1.25427E-3</v>
      </c>
      <c r="R102" s="22">
        <v>92</v>
      </c>
      <c r="S102" s="22">
        <v>0.36267100000000002</v>
      </c>
      <c r="T102">
        <f t="shared" si="14"/>
        <v>1.25427</v>
      </c>
      <c r="U102">
        <f t="shared" si="15"/>
        <v>0.45569134224000002</v>
      </c>
      <c r="X102" s="9"/>
      <c r="Y102" s="22">
        <v>1.16669</v>
      </c>
      <c r="Z102" s="22">
        <v>148.37700000000001</v>
      </c>
      <c r="AA102" s="22">
        <v>-7.73315E-4</v>
      </c>
      <c r="AB102" s="22">
        <v>92</v>
      </c>
      <c r="AC102" s="22">
        <v>1.16608</v>
      </c>
      <c r="AD102">
        <f t="shared" si="16"/>
        <v>0.77331499999999997</v>
      </c>
      <c r="AE102">
        <f t="shared" si="17"/>
        <v>0.90221887734999995</v>
      </c>
      <c r="AF102" s="9"/>
      <c r="AG102" s="22">
        <v>0.36331200000000002</v>
      </c>
      <c r="AH102" s="22">
        <v>197.62700000000001</v>
      </c>
      <c r="AI102" s="22">
        <v>-1.1084000000000001E-3</v>
      </c>
      <c r="AJ102" s="22">
        <v>92</v>
      </c>
      <c r="AK102" s="22">
        <v>0.36276199999999997</v>
      </c>
      <c r="AL102">
        <f t="shared" si="18"/>
        <v>1.1084000000000001</v>
      </c>
      <c r="AM102">
        <f t="shared" si="19"/>
        <v>0.40269502080000003</v>
      </c>
      <c r="AP102" s="9"/>
      <c r="AQ102" s="22">
        <v>1.16669</v>
      </c>
      <c r="AR102" s="22">
        <v>246.77099999999999</v>
      </c>
      <c r="AS102" s="22">
        <v>-6.6741900000000004E-4</v>
      </c>
      <c r="AT102" s="22">
        <v>92</v>
      </c>
      <c r="AU102" s="22">
        <v>1.16577</v>
      </c>
      <c r="AV102">
        <f t="shared" si="20"/>
        <v>0.6674190000000001</v>
      </c>
      <c r="AW102">
        <f t="shared" si="21"/>
        <v>0.77867107311000017</v>
      </c>
      <c r="AX102" s="9"/>
      <c r="AY102" s="22">
        <v>0.36331200000000002</v>
      </c>
      <c r="AZ102" s="22">
        <v>295.93099999999998</v>
      </c>
      <c r="BA102" s="22">
        <v>-1.0339399999999999E-3</v>
      </c>
      <c r="BB102" s="22">
        <v>92</v>
      </c>
      <c r="BC102" s="22">
        <v>0.362701</v>
      </c>
      <c r="BD102">
        <f t="shared" si="22"/>
        <v>1.0339399999999999</v>
      </c>
      <c r="BE102">
        <f t="shared" si="23"/>
        <v>0.37564280927999999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1.1616500000000001</v>
      </c>
      <c r="H103" s="22">
        <v>50.248699999999999</v>
      </c>
      <c r="I103" s="22">
        <v>-1.0363799999999999E-3</v>
      </c>
      <c r="J103" s="22">
        <v>93</v>
      </c>
      <c r="K103" s="22">
        <v>1.16089</v>
      </c>
      <c r="L103">
        <f t="shared" si="12"/>
        <v>1.0363799999999999</v>
      </c>
      <c r="M103">
        <f t="shared" si="13"/>
        <v>1.2039108269999999</v>
      </c>
      <c r="N103" s="9"/>
      <c r="O103" s="22">
        <v>0.36834699999999998</v>
      </c>
      <c r="P103" s="22">
        <v>99.308199999999999</v>
      </c>
      <c r="Q103" s="22">
        <v>-1.2487799999999999E-3</v>
      </c>
      <c r="R103" s="22">
        <v>93</v>
      </c>
      <c r="S103" s="22">
        <v>0.36773699999999998</v>
      </c>
      <c r="T103">
        <f t="shared" si="14"/>
        <v>1.24878</v>
      </c>
      <c r="U103">
        <f t="shared" si="15"/>
        <v>0.45998436665999998</v>
      </c>
      <c r="X103" s="9"/>
      <c r="Y103" s="22">
        <v>1.1616500000000001</v>
      </c>
      <c r="Z103" s="22">
        <v>148.38800000000001</v>
      </c>
      <c r="AA103" s="22">
        <v>-7.8002900000000001E-4</v>
      </c>
      <c r="AB103" s="22">
        <v>93</v>
      </c>
      <c r="AC103" s="22">
        <v>1.1605799999999999</v>
      </c>
      <c r="AD103">
        <f t="shared" si="16"/>
        <v>0.78002899999999997</v>
      </c>
      <c r="AE103">
        <f t="shared" si="17"/>
        <v>0.90612068785</v>
      </c>
      <c r="AF103" s="9"/>
      <c r="AG103" s="22">
        <v>0.36834699999999998</v>
      </c>
      <c r="AH103" s="22">
        <v>197.637</v>
      </c>
      <c r="AI103" s="22">
        <v>-1.10352E-3</v>
      </c>
      <c r="AJ103" s="22">
        <v>93</v>
      </c>
      <c r="AK103" s="22">
        <v>0.36779800000000001</v>
      </c>
      <c r="AL103">
        <f t="shared" si="18"/>
        <v>1.1035200000000001</v>
      </c>
      <c r="AM103">
        <f t="shared" si="19"/>
        <v>0.40647828143999998</v>
      </c>
      <c r="AP103" s="9"/>
      <c r="AQ103" s="22">
        <v>1.1616500000000001</v>
      </c>
      <c r="AR103" s="22">
        <v>246.78100000000001</v>
      </c>
      <c r="AS103" s="22">
        <v>-6.7382800000000001E-4</v>
      </c>
      <c r="AT103" s="22">
        <v>93</v>
      </c>
      <c r="AU103" s="22">
        <v>1.16089</v>
      </c>
      <c r="AV103">
        <f t="shared" si="20"/>
        <v>0.67382799999999998</v>
      </c>
      <c r="AW103">
        <f t="shared" si="21"/>
        <v>0.78275229619999998</v>
      </c>
      <c r="AX103" s="9"/>
      <c r="AY103" s="22">
        <v>0.36834699999999998</v>
      </c>
      <c r="AZ103" s="22">
        <v>295.94099999999997</v>
      </c>
      <c r="BA103" s="22">
        <v>-1.0287499999999999E-3</v>
      </c>
      <c r="BB103" s="22">
        <v>93</v>
      </c>
      <c r="BC103" s="22">
        <v>0.36782799999999999</v>
      </c>
      <c r="BD103">
        <f t="shared" si="22"/>
        <v>1.0287499999999998</v>
      </c>
      <c r="BE103">
        <f t="shared" si="23"/>
        <v>0.37893697624999989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1.15662</v>
      </c>
      <c r="H104" s="22">
        <v>50.258800000000001</v>
      </c>
      <c r="I104" s="22">
        <v>-1.0409499999999999E-3</v>
      </c>
      <c r="J104" s="22">
        <v>94</v>
      </c>
      <c r="K104" s="22">
        <v>1.1554</v>
      </c>
      <c r="L104">
        <f t="shared" si="12"/>
        <v>1.0409499999999998</v>
      </c>
      <c r="M104">
        <f t="shared" si="13"/>
        <v>1.2039835889999997</v>
      </c>
      <c r="N104" s="9"/>
      <c r="O104" s="22">
        <v>0.37338300000000002</v>
      </c>
      <c r="P104" s="22">
        <v>99.318200000000004</v>
      </c>
      <c r="Q104" s="22">
        <v>-1.2439E-3</v>
      </c>
      <c r="R104" s="22">
        <v>94</v>
      </c>
      <c r="S104" s="22">
        <v>0.37277199999999999</v>
      </c>
      <c r="T104">
        <f t="shared" si="14"/>
        <v>1.2439</v>
      </c>
      <c r="U104">
        <f t="shared" si="15"/>
        <v>0.46445111370000003</v>
      </c>
      <c r="X104" s="9"/>
      <c r="Y104" s="22">
        <v>1.15662</v>
      </c>
      <c r="Z104" s="22">
        <v>148.398</v>
      </c>
      <c r="AA104" s="22">
        <v>-7.8521699999999995E-4</v>
      </c>
      <c r="AB104" s="22">
        <v>94</v>
      </c>
      <c r="AC104" s="22">
        <v>1.1556999999999999</v>
      </c>
      <c r="AD104">
        <f t="shared" si="16"/>
        <v>0.78521699999999994</v>
      </c>
      <c r="AE104">
        <f t="shared" si="17"/>
        <v>0.90819768653999988</v>
      </c>
      <c r="AF104" s="9"/>
      <c r="AG104" s="22">
        <v>0.37338300000000002</v>
      </c>
      <c r="AH104" s="22">
        <v>197.64699999999999</v>
      </c>
      <c r="AI104" s="22">
        <v>-1.09833E-3</v>
      </c>
      <c r="AJ104" s="22">
        <v>94</v>
      </c>
      <c r="AK104" s="22">
        <v>0.372803</v>
      </c>
      <c r="AL104">
        <f t="shared" si="18"/>
        <v>1.09833</v>
      </c>
      <c r="AM104">
        <f t="shared" si="19"/>
        <v>0.41009775039000002</v>
      </c>
      <c r="AP104" s="9"/>
      <c r="AQ104" s="22">
        <v>1.15662</v>
      </c>
      <c r="AR104" s="22">
        <v>246.791</v>
      </c>
      <c r="AS104" s="22">
        <v>-6.7901599999999995E-4</v>
      </c>
      <c r="AT104" s="22">
        <v>94</v>
      </c>
      <c r="AU104" s="22">
        <v>1.1556999999999999</v>
      </c>
      <c r="AV104">
        <f t="shared" si="20"/>
        <v>0.67901599999999995</v>
      </c>
      <c r="AW104">
        <f t="shared" si="21"/>
        <v>0.78536348591999994</v>
      </c>
      <c r="AX104" s="9"/>
      <c r="AY104" s="22">
        <v>0.37338300000000002</v>
      </c>
      <c r="AZ104" s="22">
        <v>295.95100000000002</v>
      </c>
      <c r="BA104" s="22">
        <v>-1.02356E-3</v>
      </c>
      <c r="BB104" s="22">
        <v>94</v>
      </c>
      <c r="BC104" s="22">
        <v>0.37277199999999999</v>
      </c>
      <c r="BD104">
        <f t="shared" si="22"/>
        <v>1.02356</v>
      </c>
      <c r="BE104">
        <f t="shared" si="23"/>
        <v>0.38217990348000003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1.15158</v>
      </c>
      <c r="H105" s="22">
        <v>50.268900000000002</v>
      </c>
      <c r="I105" s="22">
        <v>-1.04645E-3</v>
      </c>
      <c r="J105" s="22">
        <v>95</v>
      </c>
      <c r="K105" s="22">
        <v>1.1505099999999999</v>
      </c>
      <c r="L105">
        <f t="shared" si="12"/>
        <v>1.0464499999999999</v>
      </c>
      <c r="M105">
        <f t="shared" si="13"/>
        <v>1.2050708909999999</v>
      </c>
      <c r="N105" s="9"/>
      <c r="O105" s="22">
        <v>0.37841799999999998</v>
      </c>
      <c r="P105" s="22">
        <v>99.328299999999999</v>
      </c>
      <c r="Q105" s="22">
        <v>-1.24054E-3</v>
      </c>
      <c r="R105" s="22">
        <v>95</v>
      </c>
      <c r="S105" s="22">
        <v>0.37780799999999998</v>
      </c>
      <c r="T105">
        <f t="shared" si="14"/>
        <v>1.24054</v>
      </c>
      <c r="U105">
        <f t="shared" si="15"/>
        <v>0.46944266571999999</v>
      </c>
      <c r="X105" s="9"/>
      <c r="Y105" s="22">
        <v>1.15158</v>
      </c>
      <c r="Z105" s="22">
        <v>148.40799999999999</v>
      </c>
      <c r="AA105" s="22">
        <v>-7.9101599999999996E-4</v>
      </c>
      <c r="AB105" s="22">
        <v>95</v>
      </c>
      <c r="AC105" s="22">
        <v>1.15082</v>
      </c>
      <c r="AD105">
        <f t="shared" si="16"/>
        <v>0.79101599999999994</v>
      </c>
      <c r="AE105">
        <f t="shared" si="17"/>
        <v>0.91091820528</v>
      </c>
      <c r="AF105" s="9"/>
      <c r="AG105" s="22">
        <v>0.37841799999999998</v>
      </c>
      <c r="AH105" s="22">
        <v>197.65700000000001</v>
      </c>
      <c r="AI105" s="22">
        <v>-1.09344E-3</v>
      </c>
      <c r="AJ105" s="22">
        <v>95</v>
      </c>
      <c r="AK105" s="22">
        <v>0.37786900000000001</v>
      </c>
      <c r="AL105">
        <f t="shared" si="18"/>
        <v>1.09344</v>
      </c>
      <c r="AM105">
        <f t="shared" si="19"/>
        <v>0.41377737791999997</v>
      </c>
      <c r="AP105" s="9"/>
      <c r="AQ105" s="22">
        <v>1.15158</v>
      </c>
      <c r="AR105" s="22">
        <v>246.80199999999999</v>
      </c>
      <c r="AS105" s="22">
        <v>-6.8450900000000003E-4</v>
      </c>
      <c r="AT105" s="22">
        <v>95</v>
      </c>
      <c r="AU105" s="22">
        <v>1.15082</v>
      </c>
      <c r="AV105">
        <f t="shared" si="20"/>
        <v>0.68450900000000003</v>
      </c>
      <c r="AW105">
        <f t="shared" si="21"/>
        <v>0.78826687422000008</v>
      </c>
      <c r="AX105" s="9"/>
      <c r="AY105" s="22">
        <v>0.37841799999999998</v>
      </c>
      <c r="AZ105" s="22">
        <v>295.96100000000001</v>
      </c>
      <c r="BA105" s="22">
        <v>-1.01837E-3</v>
      </c>
      <c r="BB105" s="22">
        <v>95</v>
      </c>
      <c r="BC105" s="22">
        <v>0.37780799999999998</v>
      </c>
      <c r="BD105">
        <f t="shared" si="22"/>
        <v>1.01837</v>
      </c>
      <c r="BE105">
        <f t="shared" si="23"/>
        <v>0.38536953865999996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1.14655</v>
      </c>
      <c r="H106" s="22">
        <v>50.279000000000003</v>
      </c>
      <c r="I106" s="22">
        <v>-1.0513300000000001E-3</v>
      </c>
      <c r="J106" s="22">
        <v>96</v>
      </c>
      <c r="K106" s="22">
        <v>1.1456299999999999</v>
      </c>
      <c r="L106">
        <f t="shared" si="12"/>
        <v>1.0513300000000001</v>
      </c>
      <c r="M106">
        <f t="shared" si="13"/>
        <v>1.2054024115000002</v>
      </c>
      <c r="N106" s="9"/>
      <c r="O106" s="22">
        <v>0.38345299999999999</v>
      </c>
      <c r="P106" s="22">
        <v>99.338399999999993</v>
      </c>
      <c r="Q106" s="22">
        <v>-1.23901E-3</v>
      </c>
      <c r="R106" s="22">
        <v>96</v>
      </c>
      <c r="S106" s="22">
        <v>0.38287399999999999</v>
      </c>
      <c r="T106">
        <f t="shared" si="14"/>
        <v>1.2390099999999999</v>
      </c>
      <c r="U106">
        <f t="shared" si="15"/>
        <v>0.47510210152999999</v>
      </c>
      <c r="X106" s="9"/>
      <c r="Y106" s="22">
        <v>1.14655</v>
      </c>
      <c r="Z106" s="22">
        <v>148.41800000000001</v>
      </c>
      <c r="AA106" s="22">
        <v>-7.9589799999999996E-4</v>
      </c>
      <c r="AB106" s="22">
        <v>96</v>
      </c>
      <c r="AC106" s="22">
        <v>1.1456299999999999</v>
      </c>
      <c r="AD106">
        <f t="shared" si="16"/>
        <v>0.79589799999999999</v>
      </c>
      <c r="AE106">
        <f t="shared" si="17"/>
        <v>0.9125368519</v>
      </c>
      <c r="AF106" s="9"/>
      <c r="AG106" s="22">
        <v>0.38345299999999999</v>
      </c>
      <c r="AH106" s="22">
        <v>197.667</v>
      </c>
      <c r="AI106" s="22">
        <v>-1.0870400000000001E-3</v>
      </c>
      <c r="AJ106" s="22">
        <v>96</v>
      </c>
      <c r="AK106" s="22">
        <v>0.38281300000000001</v>
      </c>
      <c r="AL106">
        <f t="shared" si="18"/>
        <v>1.08704</v>
      </c>
      <c r="AM106">
        <f t="shared" si="19"/>
        <v>0.41682874912000001</v>
      </c>
      <c r="AP106" s="9"/>
      <c r="AQ106" s="22">
        <v>1.14655</v>
      </c>
      <c r="AR106" s="22">
        <v>246.81200000000001</v>
      </c>
      <c r="AS106" s="22">
        <v>-6.8908700000000001E-4</v>
      </c>
      <c r="AT106" s="22">
        <v>96</v>
      </c>
      <c r="AU106" s="22">
        <v>1.1456299999999999</v>
      </c>
      <c r="AV106">
        <f t="shared" si="20"/>
        <v>0.68908700000000001</v>
      </c>
      <c r="AW106">
        <f t="shared" si="21"/>
        <v>0.79007269984999995</v>
      </c>
      <c r="AX106" s="9"/>
      <c r="AY106" s="22">
        <v>0.38345299999999999</v>
      </c>
      <c r="AZ106" s="22">
        <v>295.971</v>
      </c>
      <c r="BA106" s="22">
        <v>-1.0137900000000001E-3</v>
      </c>
      <c r="BB106" s="22">
        <v>96</v>
      </c>
      <c r="BC106" s="22">
        <v>0.38281300000000001</v>
      </c>
      <c r="BD106">
        <f t="shared" si="22"/>
        <v>1.0137900000000002</v>
      </c>
      <c r="BE106">
        <f t="shared" si="23"/>
        <v>0.38874081687000006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1.14151</v>
      </c>
      <c r="H107" s="22">
        <v>50.289000000000001</v>
      </c>
      <c r="I107" s="22">
        <v>-1.0577399999999999E-3</v>
      </c>
      <c r="J107" s="22">
        <v>97</v>
      </c>
      <c r="K107" s="22">
        <v>1.1401399999999999</v>
      </c>
      <c r="L107">
        <f t="shared" si="12"/>
        <v>1.0577399999999999</v>
      </c>
      <c r="M107">
        <f t="shared" si="13"/>
        <v>1.2074207873999998</v>
      </c>
      <c r="N107" s="9"/>
      <c r="O107" s="22">
        <v>0.38848899999999997</v>
      </c>
      <c r="P107" s="22">
        <v>99.348399999999998</v>
      </c>
      <c r="Q107" s="22">
        <v>-1.23474E-3</v>
      </c>
      <c r="R107" s="22">
        <v>97</v>
      </c>
      <c r="S107" s="22">
        <v>0.387909</v>
      </c>
      <c r="T107">
        <f t="shared" si="14"/>
        <v>1.2347399999999999</v>
      </c>
      <c r="U107">
        <f t="shared" si="15"/>
        <v>0.47968290785999995</v>
      </c>
      <c r="X107" s="9"/>
      <c r="Y107" s="22">
        <v>1.14151</v>
      </c>
      <c r="Z107" s="22">
        <v>148.428</v>
      </c>
      <c r="AA107" s="22">
        <v>-8.0108600000000001E-4</v>
      </c>
      <c r="AB107" s="22">
        <v>97</v>
      </c>
      <c r="AC107" s="22">
        <v>1.1404399999999999</v>
      </c>
      <c r="AD107">
        <f t="shared" si="16"/>
        <v>0.80108599999999996</v>
      </c>
      <c r="AE107">
        <f t="shared" si="17"/>
        <v>0.91444767985999997</v>
      </c>
      <c r="AF107" s="9"/>
      <c r="AG107" s="22">
        <v>0.38848899999999997</v>
      </c>
      <c r="AH107" s="22">
        <v>197.67699999999999</v>
      </c>
      <c r="AI107" s="22">
        <v>-1.0824599999999999E-3</v>
      </c>
      <c r="AJ107" s="22">
        <v>97</v>
      </c>
      <c r="AK107" s="22">
        <v>0.387909</v>
      </c>
      <c r="AL107">
        <f t="shared" si="18"/>
        <v>1.08246</v>
      </c>
      <c r="AM107">
        <f t="shared" si="19"/>
        <v>0.42052380293999997</v>
      </c>
      <c r="AP107" s="9"/>
      <c r="AQ107" s="22">
        <v>1.14151</v>
      </c>
      <c r="AR107" s="22">
        <v>246.822</v>
      </c>
      <c r="AS107" s="22">
        <v>-6.9488500000000001E-4</v>
      </c>
      <c r="AT107" s="22">
        <v>97</v>
      </c>
      <c r="AU107" s="22">
        <v>1.1407499999999999</v>
      </c>
      <c r="AV107">
        <f t="shared" si="20"/>
        <v>0.69488499999999997</v>
      </c>
      <c r="AW107">
        <f t="shared" si="21"/>
        <v>0.79321817635000003</v>
      </c>
      <c r="AX107" s="9"/>
      <c r="AY107" s="22">
        <v>0.38848899999999997</v>
      </c>
      <c r="AZ107" s="22">
        <v>295.98099999999999</v>
      </c>
      <c r="BA107" s="22">
        <v>-1.00891E-3</v>
      </c>
      <c r="BB107" s="22">
        <v>97</v>
      </c>
      <c r="BC107" s="22">
        <v>0.387909</v>
      </c>
      <c r="BD107">
        <f t="shared" si="22"/>
        <v>1.00891</v>
      </c>
      <c r="BE107">
        <f t="shared" si="23"/>
        <v>0.39195043698999998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1.1364700000000001</v>
      </c>
      <c r="H108" s="22">
        <v>50.299100000000003</v>
      </c>
      <c r="I108" s="22">
        <v>-1.06171E-3</v>
      </c>
      <c r="J108" s="22">
        <v>98</v>
      </c>
      <c r="K108" s="22">
        <v>1.1355599999999999</v>
      </c>
      <c r="L108">
        <f t="shared" si="12"/>
        <v>1.0617099999999999</v>
      </c>
      <c r="M108">
        <f t="shared" si="13"/>
        <v>1.2066015637</v>
      </c>
      <c r="N108" s="9"/>
      <c r="O108" s="22">
        <v>0.39352399999999998</v>
      </c>
      <c r="P108" s="22">
        <v>99.358500000000006</v>
      </c>
      <c r="Q108" s="22">
        <v>-1.2298599999999999E-3</v>
      </c>
      <c r="R108" s="22">
        <v>98</v>
      </c>
      <c r="S108" s="22">
        <v>0.39291399999999999</v>
      </c>
      <c r="T108">
        <f t="shared" si="14"/>
        <v>1.22986</v>
      </c>
      <c r="U108">
        <f t="shared" si="15"/>
        <v>0.48397942663999999</v>
      </c>
      <c r="X108" s="9"/>
      <c r="Y108" s="22">
        <v>1.1364700000000001</v>
      </c>
      <c r="Z108" s="22">
        <v>148.43799999999999</v>
      </c>
      <c r="AA108" s="22">
        <v>-8.0535899999999996E-4</v>
      </c>
      <c r="AB108" s="22">
        <v>98</v>
      </c>
      <c r="AC108" s="22">
        <v>1.1349499999999999</v>
      </c>
      <c r="AD108">
        <f t="shared" si="16"/>
        <v>0.80535899999999994</v>
      </c>
      <c r="AE108">
        <f t="shared" si="17"/>
        <v>0.91526634272999996</v>
      </c>
      <c r="AF108" s="9"/>
      <c r="AG108" s="22">
        <v>0.39352399999999998</v>
      </c>
      <c r="AH108" s="22">
        <v>197.68700000000001</v>
      </c>
      <c r="AI108" s="22">
        <v>-1.0775800000000001E-3</v>
      </c>
      <c r="AJ108" s="22">
        <v>98</v>
      </c>
      <c r="AK108" s="22">
        <v>0.39297500000000002</v>
      </c>
      <c r="AL108">
        <f t="shared" si="18"/>
        <v>1.07758</v>
      </c>
      <c r="AM108">
        <f t="shared" si="19"/>
        <v>0.42405359191999997</v>
      </c>
      <c r="AP108" s="9"/>
      <c r="AQ108" s="22">
        <v>1.1364700000000001</v>
      </c>
      <c r="AR108" s="22">
        <v>246.83199999999999</v>
      </c>
      <c r="AS108" s="22">
        <v>-6.9946299999999999E-4</v>
      </c>
      <c r="AT108" s="22">
        <v>98</v>
      </c>
      <c r="AU108" s="22">
        <v>1.1355599999999999</v>
      </c>
      <c r="AV108">
        <f t="shared" si="20"/>
        <v>0.69946299999999995</v>
      </c>
      <c r="AW108">
        <f t="shared" si="21"/>
        <v>0.79491871561000005</v>
      </c>
      <c r="AX108" s="9"/>
      <c r="AY108" s="22">
        <v>0.39352399999999998</v>
      </c>
      <c r="AZ108" s="22">
        <v>295.99099999999999</v>
      </c>
      <c r="BA108" s="22">
        <v>-1.0040299999999999E-3</v>
      </c>
      <c r="BB108" s="22">
        <v>98</v>
      </c>
      <c r="BC108" s="22">
        <v>0.39297500000000002</v>
      </c>
      <c r="BD108">
        <f t="shared" si="22"/>
        <v>1.00403</v>
      </c>
      <c r="BE108">
        <f t="shared" si="23"/>
        <v>0.39510990171999999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1.13144</v>
      </c>
      <c r="H109" s="22">
        <v>50.309199999999997</v>
      </c>
      <c r="I109" s="22">
        <v>-1.06781E-3</v>
      </c>
      <c r="J109" s="22">
        <v>99</v>
      </c>
      <c r="K109" s="22">
        <v>1.1300699999999999</v>
      </c>
      <c r="L109">
        <f t="shared" si="12"/>
        <v>1.0678099999999999</v>
      </c>
      <c r="M109">
        <f t="shared" si="13"/>
        <v>1.2081629463999999</v>
      </c>
      <c r="N109" s="9"/>
      <c r="O109" s="22">
        <v>0.39856000000000003</v>
      </c>
      <c r="P109" s="22">
        <v>99.368600000000001</v>
      </c>
      <c r="Q109" s="22">
        <v>-1.22711E-3</v>
      </c>
      <c r="R109" s="22">
        <v>99</v>
      </c>
      <c r="S109" s="22">
        <v>0.39798</v>
      </c>
      <c r="T109">
        <f t="shared" si="14"/>
        <v>1.2271099999999999</v>
      </c>
      <c r="U109">
        <f t="shared" si="15"/>
        <v>0.48907696160000003</v>
      </c>
      <c r="X109" s="9"/>
      <c r="Y109" s="22">
        <v>1.13144</v>
      </c>
      <c r="Z109" s="22">
        <v>148.44800000000001</v>
      </c>
      <c r="AA109" s="22">
        <v>-8.1024199999999997E-4</v>
      </c>
      <c r="AB109" s="22">
        <v>99</v>
      </c>
      <c r="AC109" s="22">
        <v>1.1300699999999999</v>
      </c>
      <c r="AD109">
        <f t="shared" si="16"/>
        <v>0.81024200000000002</v>
      </c>
      <c r="AE109">
        <f t="shared" si="17"/>
        <v>0.91674020848000004</v>
      </c>
      <c r="AF109" s="9"/>
      <c r="AG109" s="22">
        <v>0.39856000000000003</v>
      </c>
      <c r="AH109" s="22">
        <v>197.697</v>
      </c>
      <c r="AI109" s="22">
        <v>-1.073E-3</v>
      </c>
      <c r="AJ109" s="22">
        <v>99</v>
      </c>
      <c r="AK109" s="22">
        <v>0.39804099999999998</v>
      </c>
      <c r="AL109">
        <f t="shared" si="18"/>
        <v>1.073</v>
      </c>
      <c r="AM109">
        <f t="shared" si="19"/>
        <v>0.42765488000000002</v>
      </c>
      <c r="AP109" s="9"/>
      <c r="AQ109" s="22">
        <v>1.13144</v>
      </c>
      <c r="AR109" s="22">
        <v>246.84200000000001</v>
      </c>
      <c r="AS109" s="22">
        <v>-7.0465100000000004E-4</v>
      </c>
      <c r="AT109" s="22">
        <v>99</v>
      </c>
      <c r="AU109" s="22">
        <v>1.1300699999999999</v>
      </c>
      <c r="AV109">
        <f t="shared" si="20"/>
        <v>0.70465100000000003</v>
      </c>
      <c r="AW109">
        <f t="shared" si="21"/>
        <v>0.79727032744000004</v>
      </c>
      <c r="AX109" s="9"/>
      <c r="AY109" s="22">
        <v>0.39856000000000003</v>
      </c>
      <c r="AZ109" s="22">
        <v>296.00099999999998</v>
      </c>
      <c r="BA109" s="22">
        <v>-9.9914600000000002E-4</v>
      </c>
      <c r="BB109" s="22">
        <v>99</v>
      </c>
      <c r="BC109" s="22">
        <v>0.39788800000000002</v>
      </c>
      <c r="BD109">
        <f t="shared" si="22"/>
        <v>0.99914599999999998</v>
      </c>
      <c r="BE109">
        <f t="shared" si="23"/>
        <v>0.39821962976000003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1.1264000000000001</v>
      </c>
      <c r="H110" s="22">
        <v>50.319200000000002</v>
      </c>
      <c r="I110" s="22">
        <v>-1.07361E-3</v>
      </c>
      <c r="J110" s="22">
        <v>100</v>
      </c>
      <c r="K110" s="22">
        <v>1.1254900000000001</v>
      </c>
      <c r="L110">
        <f t="shared" si="12"/>
        <v>1.07361</v>
      </c>
      <c r="M110">
        <f t="shared" si="13"/>
        <v>1.2093143040000001</v>
      </c>
      <c r="N110" s="9"/>
      <c r="O110" s="22">
        <v>0.40359499999999998</v>
      </c>
      <c r="P110" s="22">
        <v>99.378699999999995</v>
      </c>
      <c r="Q110" s="22">
        <v>-1.2222299999999999E-3</v>
      </c>
      <c r="R110" s="22">
        <v>100</v>
      </c>
      <c r="S110" s="22">
        <v>0.40304600000000002</v>
      </c>
      <c r="T110">
        <f t="shared" si="14"/>
        <v>1.2222299999999999</v>
      </c>
      <c r="U110">
        <f t="shared" si="15"/>
        <v>0.49328591684999995</v>
      </c>
      <c r="X110" s="9"/>
      <c r="Y110" s="22">
        <v>1.1264000000000001</v>
      </c>
      <c r="Z110" s="22">
        <v>148.458</v>
      </c>
      <c r="AA110" s="22">
        <v>-8.1481900000000005E-4</v>
      </c>
      <c r="AB110" s="22">
        <v>100</v>
      </c>
      <c r="AC110" s="22">
        <v>1.1251800000000001</v>
      </c>
      <c r="AD110">
        <f t="shared" si="16"/>
        <v>0.81481900000000007</v>
      </c>
      <c r="AE110">
        <f t="shared" si="17"/>
        <v>0.91781212160000014</v>
      </c>
      <c r="AF110" s="9"/>
      <c r="AG110" s="22">
        <v>0.40359499999999998</v>
      </c>
      <c r="AH110" s="22">
        <v>197.70699999999999</v>
      </c>
      <c r="AI110" s="22">
        <v>-1.0681200000000001E-3</v>
      </c>
      <c r="AJ110" s="22">
        <v>100</v>
      </c>
      <c r="AK110" s="22">
        <v>0.40301500000000001</v>
      </c>
      <c r="AL110">
        <f t="shared" si="18"/>
        <v>1.0681200000000002</v>
      </c>
      <c r="AM110">
        <f t="shared" si="19"/>
        <v>0.43108789140000003</v>
      </c>
      <c r="AP110" s="9"/>
      <c r="AQ110" s="22">
        <v>1.1264000000000001</v>
      </c>
      <c r="AR110" s="22">
        <v>246.852</v>
      </c>
      <c r="AS110" s="22">
        <v>-7.0922900000000002E-4</v>
      </c>
      <c r="AT110" s="22">
        <v>100</v>
      </c>
      <c r="AU110" s="22">
        <v>1.1245700000000001</v>
      </c>
      <c r="AV110">
        <f t="shared" si="20"/>
        <v>0.709229</v>
      </c>
      <c r="AW110">
        <f t="shared" si="21"/>
        <v>0.79887554560000007</v>
      </c>
      <c r="AX110" s="9"/>
      <c r="AY110" s="22">
        <v>0.40359499999999998</v>
      </c>
      <c r="AZ110" s="22">
        <v>296.01100000000002</v>
      </c>
      <c r="BA110" s="22">
        <v>-9.9456799999999993E-4</v>
      </c>
      <c r="BB110" s="22">
        <v>100</v>
      </c>
      <c r="BC110" s="22">
        <v>0.40307599999999999</v>
      </c>
      <c r="BD110">
        <f t="shared" si="22"/>
        <v>0.9945679999999999</v>
      </c>
      <c r="BE110">
        <f t="shared" si="23"/>
        <v>0.40140267195999996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1.12137</v>
      </c>
      <c r="H111" s="22">
        <v>50.329300000000003</v>
      </c>
      <c r="I111" s="22">
        <v>-1.0784900000000001E-3</v>
      </c>
      <c r="J111" s="22">
        <v>101</v>
      </c>
      <c r="K111" s="22">
        <v>1.1206100000000001</v>
      </c>
      <c r="L111">
        <f t="shared" si="12"/>
        <v>1.0784900000000002</v>
      </c>
      <c r="M111">
        <f t="shared" si="13"/>
        <v>1.2093863313000002</v>
      </c>
      <c r="N111" s="9"/>
      <c r="O111" s="22">
        <v>0.40862999999999999</v>
      </c>
      <c r="P111" s="22">
        <v>99.3887</v>
      </c>
      <c r="Q111" s="22">
        <v>-1.21857E-3</v>
      </c>
      <c r="R111" s="22">
        <v>101</v>
      </c>
      <c r="S111" s="22">
        <v>0.408051</v>
      </c>
      <c r="T111">
        <f t="shared" si="14"/>
        <v>1.2185699999999999</v>
      </c>
      <c r="U111">
        <f t="shared" si="15"/>
        <v>0.49794425909999995</v>
      </c>
      <c r="X111" s="9"/>
      <c r="Y111" s="22">
        <v>1.12137</v>
      </c>
      <c r="Z111" s="22">
        <v>148.46799999999999</v>
      </c>
      <c r="AA111" s="22">
        <v>-8.2000699999999998E-4</v>
      </c>
      <c r="AB111" s="22">
        <v>101</v>
      </c>
      <c r="AC111" s="22">
        <v>1.1203000000000001</v>
      </c>
      <c r="AD111">
        <f t="shared" si="16"/>
        <v>0.82000699999999993</v>
      </c>
      <c r="AE111">
        <f t="shared" si="17"/>
        <v>0.91953124958999988</v>
      </c>
      <c r="AF111" s="9"/>
      <c r="AG111" s="22">
        <v>0.40862999999999999</v>
      </c>
      <c r="AH111" s="22">
        <v>197.71799999999999</v>
      </c>
      <c r="AI111" s="22">
        <v>-1.06354E-3</v>
      </c>
      <c r="AJ111" s="22">
        <v>101</v>
      </c>
      <c r="AK111" s="22">
        <v>0.40799000000000002</v>
      </c>
      <c r="AL111">
        <f t="shared" si="18"/>
        <v>1.0635399999999999</v>
      </c>
      <c r="AM111">
        <f t="shared" si="19"/>
        <v>0.43459435019999998</v>
      </c>
      <c r="AP111" s="9"/>
      <c r="AQ111" s="22">
        <v>1.12137</v>
      </c>
      <c r="AR111" s="22">
        <v>246.86199999999999</v>
      </c>
      <c r="AS111" s="22">
        <v>-7.1319600000000003E-4</v>
      </c>
      <c r="AT111" s="22">
        <v>101</v>
      </c>
      <c r="AU111" s="22">
        <v>1.1203000000000001</v>
      </c>
      <c r="AV111">
        <f t="shared" si="20"/>
        <v>0.71319600000000005</v>
      </c>
      <c r="AW111">
        <f t="shared" si="21"/>
        <v>0.79975659852000003</v>
      </c>
      <c r="AX111" s="9"/>
      <c r="AY111" s="22">
        <v>0.40862999999999999</v>
      </c>
      <c r="AZ111" s="22">
        <v>296.02100000000002</v>
      </c>
      <c r="BA111" s="22">
        <v>-9.8999000000000005E-4</v>
      </c>
      <c r="BB111" s="22">
        <v>101</v>
      </c>
      <c r="BC111" s="22">
        <v>0.40808100000000003</v>
      </c>
      <c r="BD111">
        <f t="shared" si="22"/>
        <v>0.98999000000000004</v>
      </c>
      <c r="BE111">
        <f t="shared" si="23"/>
        <v>0.40453961370000002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1.11633</v>
      </c>
      <c r="H112" s="22">
        <v>50.339399999999998</v>
      </c>
      <c r="I112" s="22">
        <v>-1.0842899999999999E-3</v>
      </c>
      <c r="J112" s="22">
        <v>102</v>
      </c>
      <c r="K112" s="22">
        <v>1.1154200000000001</v>
      </c>
      <c r="L112">
        <f t="shared" si="12"/>
        <v>1.08429</v>
      </c>
      <c r="M112">
        <f t="shared" si="13"/>
        <v>1.2104254557</v>
      </c>
      <c r="N112" s="9"/>
      <c r="O112" s="22">
        <v>0.41366599999999998</v>
      </c>
      <c r="P112" s="22">
        <v>99.398799999999994</v>
      </c>
      <c r="Q112" s="22">
        <v>-1.2149000000000001E-3</v>
      </c>
      <c r="R112" s="22">
        <v>102</v>
      </c>
      <c r="S112" s="22">
        <v>0.41302499999999998</v>
      </c>
      <c r="T112">
        <f t="shared" si="14"/>
        <v>1.2149000000000001</v>
      </c>
      <c r="U112">
        <f t="shared" si="15"/>
        <v>0.50256282340000002</v>
      </c>
      <c r="X112" s="9"/>
      <c r="Y112" s="22">
        <v>1.11633</v>
      </c>
      <c r="Z112" s="22">
        <v>148.47800000000001</v>
      </c>
      <c r="AA112" s="22">
        <v>-8.2641599999999996E-4</v>
      </c>
      <c r="AB112" s="22">
        <v>102</v>
      </c>
      <c r="AC112" s="22">
        <v>1.11572</v>
      </c>
      <c r="AD112">
        <f t="shared" si="16"/>
        <v>0.82641599999999993</v>
      </c>
      <c r="AE112">
        <f t="shared" si="17"/>
        <v>0.92255297327999997</v>
      </c>
      <c r="AF112" s="9"/>
      <c r="AG112" s="22">
        <v>0.41366599999999998</v>
      </c>
      <c r="AH112" s="22">
        <v>197.72800000000001</v>
      </c>
      <c r="AI112" s="22">
        <v>-1.0589600000000001E-3</v>
      </c>
      <c r="AJ112" s="22">
        <v>102</v>
      </c>
      <c r="AK112" s="22">
        <v>0.41305500000000001</v>
      </c>
      <c r="AL112">
        <f t="shared" si="18"/>
        <v>1.0589600000000001</v>
      </c>
      <c r="AM112">
        <f t="shared" si="19"/>
        <v>0.43805574736000003</v>
      </c>
      <c r="AP112" s="9"/>
      <c r="AQ112" s="22">
        <v>1.11633</v>
      </c>
      <c r="AR112" s="22">
        <v>246.87200000000001</v>
      </c>
      <c r="AS112" s="22">
        <v>-7.17773E-4</v>
      </c>
      <c r="AT112" s="22">
        <v>102</v>
      </c>
      <c r="AU112" s="22">
        <v>1.1148100000000001</v>
      </c>
      <c r="AV112">
        <f t="shared" si="20"/>
        <v>0.71777299999999999</v>
      </c>
      <c r="AW112">
        <f t="shared" si="21"/>
        <v>0.80127153308999999</v>
      </c>
      <c r="AX112" s="9"/>
      <c r="AY112" s="22">
        <v>0.41366599999999998</v>
      </c>
      <c r="AZ112" s="22">
        <v>296.03100000000001</v>
      </c>
      <c r="BA112" s="22">
        <v>-9.8571800000000001E-4</v>
      </c>
      <c r="BB112" s="22">
        <v>102</v>
      </c>
      <c r="BC112" s="22">
        <v>0.41311599999999998</v>
      </c>
      <c r="BD112">
        <f t="shared" si="22"/>
        <v>0.98571799999999998</v>
      </c>
      <c r="BE112">
        <f t="shared" si="23"/>
        <v>0.40775802218799995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1.1113</v>
      </c>
      <c r="H113" s="22">
        <v>50.349499999999999</v>
      </c>
      <c r="I113" s="22">
        <v>-1.0885599999999999E-3</v>
      </c>
      <c r="J113" s="22">
        <v>103</v>
      </c>
      <c r="K113" s="22">
        <v>1.10992</v>
      </c>
      <c r="L113">
        <f t="shared" si="12"/>
        <v>1.08856</v>
      </c>
      <c r="M113">
        <f t="shared" si="13"/>
        <v>1.2097167279999999</v>
      </c>
      <c r="N113" s="9"/>
      <c r="O113" s="22">
        <v>0.41870099999999999</v>
      </c>
      <c r="P113" s="22">
        <v>99.408900000000003</v>
      </c>
      <c r="Q113" s="22">
        <v>-1.21094E-3</v>
      </c>
      <c r="R113" s="22">
        <v>103</v>
      </c>
      <c r="S113" s="22">
        <v>0.41805999999999999</v>
      </c>
      <c r="T113">
        <f t="shared" si="14"/>
        <v>1.2109399999999999</v>
      </c>
      <c r="U113">
        <f t="shared" si="15"/>
        <v>0.50702178893999994</v>
      </c>
      <c r="X113" s="9"/>
      <c r="Y113" s="22">
        <v>1.1113</v>
      </c>
      <c r="Z113" s="22">
        <v>148.488</v>
      </c>
      <c r="AA113" s="22">
        <v>-8.3099400000000005E-4</v>
      </c>
      <c r="AB113" s="22">
        <v>103</v>
      </c>
      <c r="AC113" s="22">
        <v>1.11053</v>
      </c>
      <c r="AD113">
        <f t="shared" si="16"/>
        <v>0.83099400000000001</v>
      </c>
      <c r="AE113">
        <f t="shared" si="17"/>
        <v>0.92348363219999996</v>
      </c>
      <c r="AF113" s="9"/>
      <c r="AG113" s="22">
        <v>0.41870099999999999</v>
      </c>
      <c r="AH113" s="22">
        <v>197.738</v>
      </c>
      <c r="AI113" s="22">
        <v>-1.05408E-3</v>
      </c>
      <c r="AJ113" s="22">
        <v>103</v>
      </c>
      <c r="AK113" s="22">
        <v>0.41809099999999999</v>
      </c>
      <c r="AL113">
        <f t="shared" si="18"/>
        <v>1.0540799999999999</v>
      </c>
      <c r="AM113">
        <f t="shared" si="19"/>
        <v>0.44134435007999995</v>
      </c>
      <c r="AP113" s="9"/>
      <c r="AQ113" s="22">
        <v>1.1113</v>
      </c>
      <c r="AR113" s="22">
        <v>246.88200000000001</v>
      </c>
      <c r="AS113" s="22">
        <v>-7.2296100000000005E-4</v>
      </c>
      <c r="AT113" s="22">
        <v>103</v>
      </c>
      <c r="AU113" s="22">
        <v>1.10992</v>
      </c>
      <c r="AV113">
        <f t="shared" si="20"/>
        <v>0.72296100000000008</v>
      </c>
      <c r="AW113">
        <f t="shared" si="21"/>
        <v>0.80342655930000006</v>
      </c>
      <c r="AX113" s="9"/>
      <c r="AY113" s="22">
        <v>0.41870099999999999</v>
      </c>
      <c r="AZ113" s="22">
        <v>296.04199999999997</v>
      </c>
      <c r="BA113" s="22">
        <v>-9.8113999999999992E-4</v>
      </c>
      <c r="BB113" s="22">
        <v>103</v>
      </c>
      <c r="BC113" s="22">
        <v>0.41805999999999999</v>
      </c>
      <c r="BD113">
        <f t="shared" si="22"/>
        <v>0.9811399999999999</v>
      </c>
      <c r="BE113">
        <f t="shared" si="23"/>
        <v>0.41080429913999994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1.10626</v>
      </c>
      <c r="H114" s="22">
        <v>50.359499999999997</v>
      </c>
      <c r="I114" s="22">
        <v>-1.09344E-3</v>
      </c>
      <c r="J114" s="22">
        <v>104</v>
      </c>
      <c r="K114" s="22">
        <v>1.1053500000000001</v>
      </c>
      <c r="L114">
        <f t="shared" si="12"/>
        <v>1.09344</v>
      </c>
      <c r="M114">
        <f t="shared" si="13"/>
        <v>1.2096289344</v>
      </c>
      <c r="N114" s="9"/>
      <c r="O114" s="22">
        <v>0.42373699999999997</v>
      </c>
      <c r="P114" s="22">
        <v>99.418899999999994</v>
      </c>
      <c r="Q114" s="22">
        <v>-1.2069699999999999E-3</v>
      </c>
      <c r="R114" s="22">
        <v>104</v>
      </c>
      <c r="S114" s="22">
        <v>0.42318699999999998</v>
      </c>
      <c r="T114">
        <f t="shared" si="14"/>
        <v>1.2069699999999999</v>
      </c>
      <c r="U114">
        <f t="shared" si="15"/>
        <v>0.51143784688999994</v>
      </c>
      <c r="X114" s="9"/>
      <c r="Y114" s="22">
        <v>1.10626</v>
      </c>
      <c r="Z114" s="22">
        <v>148.49799999999999</v>
      </c>
      <c r="AA114" s="22">
        <v>-8.3587600000000005E-4</v>
      </c>
      <c r="AB114" s="22">
        <v>104</v>
      </c>
      <c r="AC114" s="22">
        <v>1.1053500000000001</v>
      </c>
      <c r="AD114">
        <f t="shared" si="16"/>
        <v>0.83587600000000006</v>
      </c>
      <c r="AE114">
        <f t="shared" si="17"/>
        <v>0.92469618376000007</v>
      </c>
      <c r="AF114" s="9"/>
      <c r="AG114" s="22">
        <v>0.42373699999999997</v>
      </c>
      <c r="AH114" s="22">
        <v>197.74799999999999</v>
      </c>
      <c r="AI114" s="22">
        <v>-1.04919E-3</v>
      </c>
      <c r="AJ114" s="22">
        <v>104</v>
      </c>
      <c r="AK114" s="22">
        <v>0.423126</v>
      </c>
      <c r="AL114">
        <f t="shared" si="18"/>
        <v>1.0491900000000001</v>
      </c>
      <c r="AM114">
        <f t="shared" si="19"/>
        <v>0.44458062303000001</v>
      </c>
      <c r="AP114" s="9"/>
      <c r="AQ114" s="22">
        <v>1.10626</v>
      </c>
      <c r="AR114" s="22">
        <v>246.892</v>
      </c>
      <c r="AS114" s="22">
        <v>-7.27234E-4</v>
      </c>
      <c r="AT114" s="22">
        <v>104</v>
      </c>
      <c r="AU114" s="22">
        <v>1.1047400000000001</v>
      </c>
      <c r="AV114">
        <f t="shared" si="20"/>
        <v>0.72723400000000005</v>
      </c>
      <c r="AW114">
        <f t="shared" si="21"/>
        <v>0.80450988484000008</v>
      </c>
      <c r="AX114" s="9"/>
      <c r="AY114" s="22">
        <v>0.42373699999999997</v>
      </c>
      <c r="AZ114" s="22">
        <v>296.05200000000002</v>
      </c>
      <c r="BA114" s="22">
        <v>-9.7656299999999995E-4</v>
      </c>
      <c r="BB114" s="22">
        <v>104</v>
      </c>
      <c r="BC114" s="22">
        <v>0.423126</v>
      </c>
      <c r="BD114">
        <f t="shared" si="22"/>
        <v>0.97656299999999996</v>
      </c>
      <c r="BE114">
        <f t="shared" si="23"/>
        <v>0.41380587593099993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1.1012299999999999</v>
      </c>
      <c r="H115" s="22">
        <v>50.369599999999998</v>
      </c>
      <c r="I115" s="22">
        <v>-1.0974100000000001E-3</v>
      </c>
      <c r="J115" s="22">
        <v>105</v>
      </c>
      <c r="K115" s="22">
        <v>1.09985</v>
      </c>
      <c r="L115">
        <f t="shared" si="12"/>
        <v>1.09741</v>
      </c>
      <c r="M115">
        <f t="shared" si="13"/>
        <v>1.2085008143</v>
      </c>
      <c r="N115" s="9"/>
      <c r="O115" s="22">
        <v>0.42877199999999999</v>
      </c>
      <c r="P115" s="22">
        <v>99.429000000000002</v>
      </c>
      <c r="Q115" s="22">
        <v>-1.20239E-3</v>
      </c>
      <c r="R115" s="22">
        <v>105</v>
      </c>
      <c r="S115" s="22">
        <v>0.42822300000000002</v>
      </c>
      <c r="T115">
        <f t="shared" si="14"/>
        <v>1.2023900000000001</v>
      </c>
      <c r="U115">
        <f t="shared" si="15"/>
        <v>0.51555116507999998</v>
      </c>
      <c r="X115" s="9"/>
      <c r="Y115" s="22">
        <v>1.1012299999999999</v>
      </c>
      <c r="Z115" s="22">
        <v>148.50800000000001</v>
      </c>
      <c r="AA115" s="22">
        <v>-8.4045400000000003E-4</v>
      </c>
      <c r="AB115" s="22">
        <v>105</v>
      </c>
      <c r="AC115" s="22">
        <v>1.10016</v>
      </c>
      <c r="AD115">
        <f t="shared" si="16"/>
        <v>0.84045400000000003</v>
      </c>
      <c r="AE115">
        <f t="shared" si="17"/>
        <v>0.92553315841999995</v>
      </c>
      <c r="AF115" s="9"/>
      <c r="AG115" s="22">
        <v>0.42877199999999999</v>
      </c>
      <c r="AH115" s="22">
        <v>197.75800000000001</v>
      </c>
      <c r="AI115" s="22">
        <v>-1.04462E-3</v>
      </c>
      <c r="AJ115" s="22">
        <v>105</v>
      </c>
      <c r="AK115" s="22">
        <v>0.42819200000000002</v>
      </c>
      <c r="AL115">
        <f t="shared" si="18"/>
        <v>1.0446200000000001</v>
      </c>
      <c r="AM115">
        <f t="shared" si="19"/>
        <v>0.44790380664000001</v>
      </c>
      <c r="AP115" s="9"/>
      <c r="AQ115" s="22">
        <v>1.1012299999999999</v>
      </c>
      <c r="AR115" s="22">
        <v>246.90199999999999</v>
      </c>
      <c r="AS115" s="22">
        <v>-7.33032E-4</v>
      </c>
      <c r="AT115" s="22">
        <v>105</v>
      </c>
      <c r="AU115" s="22">
        <v>1.09985</v>
      </c>
      <c r="AV115">
        <f t="shared" si="20"/>
        <v>0.73303200000000002</v>
      </c>
      <c r="AW115">
        <f t="shared" si="21"/>
        <v>0.80723682935999996</v>
      </c>
      <c r="AX115" s="9"/>
      <c r="AY115" s="22">
        <v>0.42877199999999999</v>
      </c>
      <c r="AZ115" s="22">
        <v>296.06200000000001</v>
      </c>
      <c r="BA115" s="22">
        <v>-9.7229E-4</v>
      </c>
      <c r="BB115" s="22">
        <v>105</v>
      </c>
      <c r="BC115" s="22">
        <v>0.42822300000000002</v>
      </c>
      <c r="BD115">
        <f t="shared" si="22"/>
        <v>0.97228999999999999</v>
      </c>
      <c r="BE115">
        <f t="shared" si="23"/>
        <v>0.41689072787999998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1.09619</v>
      </c>
      <c r="H116" s="22">
        <v>50.3797</v>
      </c>
      <c r="I116" s="22">
        <v>-1.1022899999999999E-3</v>
      </c>
      <c r="J116" s="22">
        <v>106</v>
      </c>
      <c r="K116" s="22">
        <v>1.09558</v>
      </c>
      <c r="L116">
        <f t="shared" si="12"/>
        <v>1.10229</v>
      </c>
      <c r="M116">
        <f t="shared" si="13"/>
        <v>1.2083192751</v>
      </c>
      <c r="N116" s="9"/>
      <c r="O116" s="22">
        <v>0.433807</v>
      </c>
      <c r="P116" s="22">
        <v>99.439099999999996</v>
      </c>
      <c r="Q116" s="22">
        <v>-1.19812E-3</v>
      </c>
      <c r="R116" s="22">
        <v>106</v>
      </c>
      <c r="S116" s="22">
        <v>0.43331900000000001</v>
      </c>
      <c r="T116">
        <f t="shared" si="14"/>
        <v>1.1981200000000001</v>
      </c>
      <c r="U116">
        <f t="shared" si="15"/>
        <v>0.51975284284000001</v>
      </c>
      <c r="X116" s="9"/>
      <c r="Y116" s="22">
        <v>1.09619</v>
      </c>
      <c r="Z116" s="22">
        <v>148.518</v>
      </c>
      <c r="AA116" s="22">
        <v>-8.4472699999999998E-4</v>
      </c>
      <c r="AB116" s="22">
        <v>106</v>
      </c>
      <c r="AC116" s="22">
        <v>1.09558</v>
      </c>
      <c r="AD116">
        <f t="shared" si="16"/>
        <v>0.84472700000000001</v>
      </c>
      <c r="AE116">
        <f t="shared" si="17"/>
        <v>0.92598129012999997</v>
      </c>
      <c r="AF116" s="9"/>
      <c r="AG116" s="22">
        <v>0.433807</v>
      </c>
      <c r="AH116" s="22">
        <v>197.768</v>
      </c>
      <c r="AI116" s="22">
        <v>-1.03973E-3</v>
      </c>
      <c r="AJ116" s="22">
        <v>106</v>
      </c>
      <c r="AK116" s="22">
        <v>0.43328899999999998</v>
      </c>
      <c r="AL116">
        <f t="shared" si="18"/>
        <v>1.03973</v>
      </c>
      <c r="AM116">
        <f t="shared" si="19"/>
        <v>0.45104215211000004</v>
      </c>
      <c r="AP116" s="9"/>
      <c r="AQ116" s="22">
        <v>1.09619</v>
      </c>
      <c r="AR116" s="22">
        <v>246.91200000000001</v>
      </c>
      <c r="AS116" s="22">
        <v>-7.3760999999999998E-4</v>
      </c>
      <c r="AT116" s="22">
        <v>106</v>
      </c>
      <c r="AU116" s="22">
        <v>1.09467</v>
      </c>
      <c r="AV116">
        <f t="shared" si="20"/>
        <v>0.73760999999999999</v>
      </c>
      <c r="AW116">
        <f t="shared" si="21"/>
        <v>0.80856070589999995</v>
      </c>
      <c r="AX116" s="9"/>
      <c r="AY116" s="22">
        <v>0.433807</v>
      </c>
      <c r="AZ116" s="22">
        <v>296.072</v>
      </c>
      <c r="BA116" s="22">
        <v>-9.6801799999999996E-4</v>
      </c>
      <c r="BB116" s="22">
        <v>106</v>
      </c>
      <c r="BC116" s="22">
        <v>0.433228</v>
      </c>
      <c r="BD116">
        <f t="shared" si="22"/>
        <v>0.96801799999999993</v>
      </c>
      <c r="BE116">
        <f t="shared" si="23"/>
        <v>0.41993298452599997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1.0911599999999999</v>
      </c>
      <c r="H117" s="22">
        <v>50.389699999999998</v>
      </c>
      <c r="I117" s="22">
        <v>-1.1056499999999999E-3</v>
      </c>
      <c r="J117" s="22">
        <v>107</v>
      </c>
      <c r="K117" s="22">
        <v>1.09009</v>
      </c>
      <c r="L117">
        <f t="shared" si="12"/>
        <v>1.1056499999999998</v>
      </c>
      <c r="M117">
        <f t="shared" si="13"/>
        <v>1.2064410539999997</v>
      </c>
      <c r="N117" s="9"/>
      <c r="O117" s="22">
        <v>0.43884299999999998</v>
      </c>
      <c r="P117" s="22">
        <v>99.449200000000005</v>
      </c>
      <c r="Q117" s="22">
        <v>-1.1932399999999999E-3</v>
      </c>
      <c r="R117" s="22">
        <v>107</v>
      </c>
      <c r="S117" s="22">
        <v>0.43826300000000001</v>
      </c>
      <c r="T117">
        <f t="shared" si="14"/>
        <v>1.1932399999999999</v>
      </c>
      <c r="U117">
        <f t="shared" si="15"/>
        <v>0.5236450213199999</v>
      </c>
      <c r="X117" s="9"/>
      <c r="Y117" s="22">
        <v>1.0911599999999999</v>
      </c>
      <c r="Z117" s="22">
        <v>148.529</v>
      </c>
      <c r="AA117" s="22">
        <v>-8.4930400000000005E-4</v>
      </c>
      <c r="AB117" s="22">
        <v>107</v>
      </c>
      <c r="AC117" s="22">
        <v>1.08948</v>
      </c>
      <c r="AD117">
        <f t="shared" si="16"/>
        <v>0.84930400000000006</v>
      </c>
      <c r="AE117">
        <f t="shared" si="17"/>
        <v>0.92672655264000003</v>
      </c>
      <c r="AF117" s="9"/>
      <c r="AG117" s="22">
        <v>0.43884299999999998</v>
      </c>
      <c r="AH117" s="22">
        <v>197.77799999999999</v>
      </c>
      <c r="AI117" s="22">
        <v>-1.03546E-3</v>
      </c>
      <c r="AJ117" s="22">
        <v>107</v>
      </c>
      <c r="AK117" s="22">
        <v>0.43823200000000001</v>
      </c>
      <c r="AL117">
        <f t="shared" si="18"/>
        <v>1.03546</v>
      </c>
      <c r="AM117">
        <f t="shared" si="19"/>
        <v>0.45440437278000001</v>
      </c>
      <c r="AP117" s="9"/>
      <c r="AQ117" s="22">
        <v>1.0911599999999999</v>
      </c>
      <c r="AR117" s="22">
        <v>246.922</v>
      </c>
      <c r="AS117" s="22">
        <v>-7.4249299999999999E-4</v>
      </c>
      <c r="AT117" s="22">
        <v>107</v>
      </c>
      <c r="AU117" s="22">
        <v>1.09009</v>
      </c>
      <c r="AV117">
        <f t="shared" si="20"/>
        <v>0.74249299999999996</v>
      </c>
      <c r="AW117">
        <f t="shared" si="21"/>
        <v>0.81017866187999987</v>
      </c>
      <c r="AX117" s="9"/>
      <c r="AY117" s="22">
        <v>0.43884299999999998</v>
      </c>
      <c r="AZ117" s="22">
        <v>296.08199999999999</v>
      </c>
      <c r="BA117" s="22">
        <v>-9.6374500000000001E-4</v>
      </c>
      <c r="BB117" s="22">
        <v>107</v>
      </c>
      <c r="BC117" s="22">
        <v>0.43820199999999998</v>
      </c>
      <c r="BD117">
        <f t="shared" si="22"/>
        <v>0.96374499999999996</v>
      </c>
      <c r="BE117">
        <f t="shared" si="23"/>
        <v>0.42293274703499995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1.08612</v>
      </c>
      <c r="H118" s="22">
        <v>50.399799999999999</v>
      </c>
      <c r="I118" s="22">
        <v>-1.11053E-3</v>
      </c>
      <c r="J118" s="22">
        <v>108</v>
      </c>
      <c r="K118" s="22">
        <v>1.0849</v>
      </c>
      <c r="L118">
        <f t="shared" si="12"/>
        <v>1.11053</v>
      </c>
      <c r="M118">
        <f t="shared" si="13"/>
        <v>1.2061688436</v>
      </c>
      <c r="N118" s="9"/>
      <c r="O118" s="22">
        <v>0.44387799999999999</v>
      </c>
      <c r="P118" s="22">
        <v>99.459199999999996</v>
      </c>
      <c r="Q118" s="22">
        <v>-1.18866E-3</v>
      </c>
      <c r="R118" s="22">
        <v>108</v>
      </c>
      <c r="S118" s="22">
        <v>0.44323699999999999</v>
      </c>
      <c r="T118">
        <f t="shared" si="14"/>
        <v>1.18866</v>
      </c>
      <c r="U118">
        <f t="shared" si="15"/>
        <v>0.52762002348000003</v>
      </c>
      <c r="X118" s="9"/>
      <c r="Y118" s="22">
        <v>1.08612</v>
      </c>
      <c r="Z118" s="22">
        <v>148.53899999999999</v>
      </c>
      <c r="AA118" s="22">
        <v>-8.5418699999999996E-4</v>
      </c>
      <c r="AB118" s="22">
        <v>108</v>
      </c>
      <c r="AC118" s="22">
        <v>1.0849</v>
      </c>
      <c r="AD118">
        <f t="shared" si="16"/>
        <v>0.85418699999999992</v>
      </c>
      <c r="AE118">
        <f t="shared" si="17"/>
        <v>0.92774958443999989</v>
      </c>
      <c r="AF118" s="9"/>
      <c r="AG118" s="22">
        <v>0.44387799999999999</v>
      </c>
      <c r="AH118" s="22">
        <v>197.78800000000001</v>
      </c>
      <c r="AI118" s="22">
        <v>-1.03119E-3</v>
      </c>
      <c r="AJ118" s="22">
        <v>108</v>
      </c>
      <c r="AK118" s="22">
        <v>0.44332899999999997</v>
      </c>
      <c r="AL118">
        <f t="shared" si="18"/>
        <v>1.0311900000000001</v>
      </c>
      <c r="AM118">
        <f t="shared" si="19"/>
        <v>0.45772255482000002</v>
      </c>
      <c r="AP118" s="9"/>
      <c r="AQ118" s="22">
        <v>1.08612</v>
      </c>
      <c r="AR118" s="22">
        <v>246.93199999999999</v>
      </c>
      <c r="AS118" s="22">
        <v>-7.4676500000000004E-4</v>
      </c>
      <c r="AT118" s="22">
        <v>108</v>
      </c>
      <c r="AU118" s="22">
        <v>1.0849</v>
      </c>
      <c r="AV118">
        <f t="shared" si="20"/>
        <v>0.74676500000000001</v>
      </c>
      <c r="AW118">
        <f t="shared" si="21"/>
        <v>0.81107640179999996</v>
      </c>
      <c r="AX118" s="9"/>
      <c r="AY118" s="22">
        <v>0.44387799999999999</v>
      </c>
      <c r="AZ118" s="22">
        <v>296.09199999999998</v>
      </c>
      <c r="BA118" s="22">
        <v>-9.5947299999999997E-4</v>
      </c>
      <c r="BB118" s="22">
        <v>108</v>
      </c>
      <c r="BC118" s="22">
        <v>0.44332899999999997</v>
      </c>
      <c r="BD118">
        <f t="shared" si="22"/>
        <v>0.95947300000000002</v>
      </c>
      <c r="BE118">
        <f t="shared" si="23"/>
        <v>0.42588895629400003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1.0810900000000001</v>
      </c>
      <c r="H119" s="22">
        <v>50.4099</v>
      </c>
      <c r="I119" s="22">
        <v>-1.1151100000000001E-3</v>
      </c>
      <c r="J119" s="22">
        <v>109</v>
      </c>
      <c r="K119" s="22">
        <v>1.08002</v>
      </c>
      <c r="L119">
        <f t="shared" si="12"/>
        <v>1.11511</v>
      </c>
      <c r="M119">
        <f t="shared" si="13"/>
        <v>1.2055342699000002</v>
      </c>
      <c r="N119" s="9"/>
      <c r="O119" s="22">
        <v>0.44891399999999998</v>
      </c>
      <c r="P119" s="22">
        <v>99.469300000000004</v>
      </c>
      <c r="Q119" s="22">
        <v>-1.18439E-3</v>
      </c>
      <c r="R119" s="22">
        <v>109</v>
      </c>
      <c r="S119" s="22">
        <v>0.44830300000000001</v>
      </c>
      <c r="T119">
        <f t="shared" si="14"/>
        <v>1.1843900000000001</v>
      </c>
      <c r="U119">
        <f t="shared" si="15"/>
        <v>0.53168925245999998</v>
      </c>
      <c r="X119" s="9"/>
      <c r="Y119" s="22">
        <v>1.0810900000000001</v>
      </c>
      <c r="Z119" s="22">
        <v>148.54900000000001</v>
      </c>
      <c r="AA119" s="22">
        <v>-8.5968000000000004E-4</v>
      </c>
      <c r="AB119" s="22">
        <v>109</v>
      </c>
      <c r="AC119" s="22">
        <v>1.0803199999999999</v>
      </c>
      <c r="AD119">
        <f t="shared" si="16"/>
        <v>0.85968</v>
      </c>
      <c r="AE119">
        <f t="shared" si="17"/>
        <v>0.92939145120000011</v>
      </c>
      <c r="AF119" s="9"/>
      <c r="AG119" s="22">
        <v>0.44891399999999998</v>
      </c>
      <c r="AH119" s="22">
        <v>197.798</v>
      </c>
      <c r="AI119" s="22">
        <v>-1.0272199999999999E-3</v>
      </c>
      <c r="AJ119" s="22">
        <v>109</v>
      </c>
      <c r="AK119" s="22">
        <v>0.44833400000000001</v>
      </c>
      <c r="AL119">
        <f t="shared" si="18"/>
        <v>1.02722</v>
      </c>
      <c r="AM119">
        <f t="shared" si="19"/>
        <v>0.46113343907999998</v>
      </c>
      <c r="AP119" s="9"/>
      <c r="AQ119" s="22">
        <v>1.0810900000000001</v>
      </c>
      <c r="AR119" s="22">
        <v>246.94300000000001</v>
      </c>
      <c r="AS119" s="22">
        <v>-7.5164800000000005E-4</v>
      </c>
      <c r="AT119" s="22">
        <v>109</v>
      </c>
      <c r="AU119" s="22">
        <v>1.08002</v>
      </c>
      <c r="AV119">
        <f t="shared" si="20"/>
        <v>0.75164800000000009</v>
      </c>
      <c r="AW119">
        <f t="shared" si="21"/>
        <v>0.81259913632000014</v>
      </c>
      <c r="AX119" s="9"/>
      <c r="AY119" s="22">
        <v>0.44891399999999998</v>
      </c>
      <c r="AZ119" s="22">
        <v>296.10199999999998</v>
      </c>
      <c r="BA119" s="22">
        <v>-9.5520000000000002E-4</v>
      </c>
      <c r="BB119" s="22">
        <v>109</v>
      </c>
      <c r="BC119" s="22">
        <v>0.44836399999999998</v>
      </c>
      <c r="BD119">
        <f t="shared" si="22"/>
        <v>0.95520000000000005</v>
      </c>
      <c r="BE119">
        <f t="shared" si="23"/>
        <v>0.42880265280000002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1.07605</v>
      </c>
      <c r="H120" s="22">
        <v>50.42</v>
      </c>
      <c r="I120" s="22">
        <v>-1.1209099999999999E-3</v>
      </c>
      <c r="J120" s="22">
        <v>110</v>
      </c>
      <c r="K120" s="22">
        <v>1.07483</v>
      </c>
      <c r="L120">
        <f t="shared" si="12"/>
        <v>1.1209099999999999</v>
      </c>
      <c r="M120">
        <f t="shared" si="13"/>
        <v>1.2061552054999998</v>
      </c>
      <c r="N120" s="9"/>
      <c r="O120" s="22">
        <v>0.45394899999999999</v>
      </c>
      <c r="P120" s="22">
        <v>99.479399999999998</v>
      </c>
      <c r="Q120" s="22">
        <v>-1.1801100000000001E-3</v>
      </c>
      <c r="R120" s="22">
        <v>110</v>
      </c>
      <c r="S120" s="22">
        <v>0.45343</v>
      </c>
      <c r="T120">
        <f t="shared" si="14"/>
        <v>1.18011</v>
      </c>
      <c r="U120">
        <f t="shared" si="15"/>
        <v>0.53570975439000001</v>
      </c>
      <c r="X120" s="9"/>
      <c r="Y120" s="22">
        <v>1.07605</v>
      </c>
      <c r="Z120" s="22">
        <v>148.559</v>
      </c>
      <c r="AA120" s="22">
        <v>-8.6517300000000001E-4</v>
      </c>
      <c r="AB120" s="22">
        <v>110</v>
      </c>
      <c r="AC120" s="22">
        <v>1.0751299999999999</v>
      </c>
      <c r="AD120">
        <f t="shared" si="16"/>
        <v>0.86517299999999997</v>
      </c>
      <c r="AE120">
        <f t="shared" si="17"/>
        <v>0.93096940664999994</v>
      </c>
      <c r="AF120" s="9"/>
      <c r="AG120" s="22">
        <v>0.45394899999999999</v>
      </c>
      <c r="AH120" s="22">
        <v>197.80799999999999</v>
      </c>
      <c r="AI120" s="22">
        <v>-1.0229499999999999E-3</v>
      </c>
      <c r="AJ120" s="22">
        <v>110</v>
      </c>
      <c r="AK120" s="22">
        <v>0.45333899999999999</v>
      </c>
      <c r="AL120">
        <f t="shared" si="18"/>
        <v>1.0229499999999998</v>
      </c>
      <c r="AM120">
        <f t="shared" si="19"/>
        <v>0.46436712954999992</v>
      </c>
      <c r="AP120" s="9"/>
      <c r="AQ120" s="22">
        <v>1.07605</v>
      </c>
      <c r="AR120" s="22">
        <v>246.953</v>
      </c>
      <c r="AS120" s="22">
        <v>-7.5622600000000003E-4</v>
      </c>
      <c r="AT120" s="22">
        <v>110</v>
      </c>
      <c r="AU120" s="22">
        <v>1.07483</v>
      </c>
      <c r="AV120">
        <f t="shared" si="20"/>
        <v>0.75622600000000006</v>
      </c>
      <c r="AW120">
        <f t="shared" si="21"/>
        <v>0.81373698729999999</v>
      </c>
      <c r="AX120" s="9"/>
      <c r="AY120" s="22">
        <v>0.45394899999999999</v>
      </c>
      <c r="AZ120" s="22">
        <v>296.11200000000002</v>
      </c>
      <c r="BA120" s="22">
        <v>-9.5062300000000005E-4</v>
      </c>
      <c r="BB120" s="22">
        <v>110</v>
      </c>
      <c r="BC120" s="22">
        <v>0.45333899999999999</v>
      </c>
      <c r="BD120">
        <f t="shared" si="22"/>
        <v>0.950623</v>
      </c>
      <c r="BE120">
        <f t="shared" si="23"/>
        <v>0.43153436022699998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1.07101</v>
      </c>
      <c r="H121" s="22">
        <v>50.43</v>
      </c>
      <c r="I121" s="22">
        <v>-1.12579E-3</v>
      </c>
      <c r="J121" s="22">
        <v>111</v>
      </c>
      <c r="K121" s="22">
        <v>1.0702499999999999</v>
      </c>
      <c r="L121">
        <f t="shared" si="12"/>
        <v>1.1257900000000001</v>
      </c>
      <c r="M121">
        <f t="shared" si="13"/>
        <v>1.2057323479000002</v>
      </c>
      <c r="N121" s="9"/>
      <c r="O121" s="22">
        <v>0.458984</v>
      </c>
      <c r="P121" s="22">
        <v>99.489400000000003</v>
      </c>
      <c r="Q121" s="22">
        <v>-1.17584E-3</v>
      </c>
      <c r="R121" s="22">
        <v>111</v>
      </c>
      <c r="S121" s="22">
        <v>0.458374</v>
      </c>
      <c r="T121">
        <f t="shared" si="14"/>
        <v>1.17584</v>
      </c>
      <c r="U121">
        <f t="shared" si="15"/>
        <v>0.53969174655999996</v>
      </c>
      <c r="X121" s="9"/>
      <c r="Y121" s="22">
        <v>1.07101</v>
      </c>
      <c r="Z121" s="22">
        <v>148.56899999999999</v>
      </c>
      <c r="AA121" s="22">
        <v>-8.6975099999999999E-4</v>
      </c>
      <c r="AB121" s="22">
        <v>111</v>
      </c>
      <c r="AC121" s="22">
        <v>1.06934</v>
      </c>
      <c r="AD121">
        <f t="shared" si="16"/>
        <v>0.86975099999999994</v>
      </c>
      <c r="AE121">
        <f t="shared" si="17"/>
        <v>0.93151201850999998</v>
      </c>
      <c r="AF121" s="9"/>
      <c r="AG121" s="22">
        <v>0.458984</v>
      </c>
      <c r="AH121" s="22">
        <v>197.81800000000001</v>
      </c>
      <c r="AI121" s="22">
        <v>-1.0186800000000001E-3</v>
      </c>
      <c r="AJ121" s="22">
        <v>111</v>
      </c>
      <c r="AK121" s="22">
        <v>0.458374</v>
      </c>
      <c r="AL121">
        <f t="shared" si="18"/>
        <v>1.01868</v>
      </c>
      <c r="AM121">
        <f t="shared" si="19"/>
        <v>0.46755782111999999</v>
      </c>
      <c r="AP121" s="9"/>
      <c r="AQ121" s="22">
        <v>1.07101</v>
      </c>
      <c r="AR121" s="22">
        <v>246.96299999999999</v>
      </c>
      <c r="AS121" s="22">
        <v>-7.6110800000000003E-4</v>
      </c>
      <c r="AT121" s="22">
        <v>111</v>
      </c>
      <c r="AU121" s="22">
        <v>1.0696399999999999</v>
      </c>
      <c r="AV121">
        <f t="shared" si="20"/>
        <v>0.76110800000000001</v>
      </c>
      <c r="AW121">
        <f t="shared" si="21"/>
        <v>0.81515427908000004</v>
      </c>
      <c r="AX121" s="9"/>
      <c r="AY121" s="22">
        <v>0.458984</v>
      </c>
      <c r="AZ121" s="22">
        <v>296.12200000000001</v>
      </c>
      <c r="BA121" s="22">
        <v>-9.4665500000000002E-4</v>
      </c>
      <c r="BB121" s="22">
        <v>111</v>
      </c>
      <c r="BC121" s="22">
        <v>0.458374</v>
      </c>
      <c r="BD121">
        <f t="shared" si="22"/>
        <v>0.94665500000000002</v>
      </c>
      <c r="BE121">
        <f t="shared" si="23"/>
        <v>0.43449949852000003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1.0659799999999999</v>
      </c>
      <c r="H122" s="22">
        <v>50.440100000000001</v>
      </c>
      <c r="I122" s="22">
        <v>-1.13159E-3</v>
      </c>
      <c r="J122" s="22">
        <v>112</v>
      </c>
      <c r="K122" s="22">
        <v>1.0644499999999999</v>
      </c>
      <c r="L122">
        <f t="shared" si="12"/>
        <v>1.1315900000000001</v>
      </c>
      <c r="M122">
        <f t="shared" si="13"/>
        <v>1.2062523082000001</v>
      </c>
      <c r="N122" s="9"/>
      <c r="O122" s="22">
        <v>0.46401999999999999</v>
      </c>
      <c r="P122" s="22">
        <v>99.499499999999998</v>
      </c>
      <c r="Q122" s="22">
        <v>-1.1712599999999999E-3</v>
      </c>
      <c r="R122" s="22">
        <v>112</v>
      </c>
      <c r="S122" s="22">
        <v>0.46346999999999999</v>
      </c>
      <c r="T122">
        <f t="shared" si="14"/>
        <v>1.17126</v>
      </c>
      <c r="U122">
        <f t="shared" si="15"/>
        <v>0.54348806519999993</v>
      </c>
      <c r="X122" s="9"/>
      <c r="Y122" s="22">
        <v>1.0659799999999999</v>
      </c>
      <c r="Z122" s="22">
        <v>148.57900000000001</v>
      </c>
      <c r="AA122" s="22">
        <v>-8.7493900000000003E-4</v>
      </c>
      <c r="AB122" s="22">
        <v>112</v>
      </c>
      <c r="AC122" s="22">
        <v>1.0644499999999999</v>
      </c>
      <c r="AD122">
        <f t="shared" si="16"/>
        <v>0.87493900000000002</v>
      </c>
      <c r="AE122">
        <f t="shared" si="17"/>
        <v>0.93266747521999993</v>
      </c>
      <c r="AF122" s="9"/>
      <c r="AG122" s="22">
        <v>0.46401999999999999</v>
      </c>
      <c r="AH122" s="22">
        <v>197.828</v>
      </c>
      <c r="AI122" s="22">
        <v>-1.0141E-3</v>
      </c>
      <c r="AJ122" s="22">
        <v>112</v>
      </c>
      <c r="AK122" s="22">
        <v>0.46340900000000002</v>
      </c>
      <c r="AL122">
        <f t="shared" si="18"/>
        <v>1.0141</v>
      </c>
      <c r="AM122">
        <f t="shared" si="19"/>
        <v>0.47056268200000001</v>
      </c>
      <c r="AP122" s="9"/>
      <c r="AQ122" s="22">
        <v>1.0659799999999999</v>
      </c>
      <c r="AR122" s="22">
        <v>246.97300000000001</v>
      </c>
      <c r="AS122" s="22">
        <v>-7.6538099999999998E-4</v>
      </c>
      <c r="AT122" s="22">
        <v>112</v>
      </c>
      <c r="AU122" s="22">
        <v>1.0650599999999999</v>
      </c>
      <c r="AV122">
        <f t="shared" si="20"/>
        <v>0.76538099999999998</v>
      </c>
      <c r="AW122">
        <f t="shared" si="21"/>
        <v>0.81588083837999992</v>
      </c>
      <c r="AX122" s="9"/>
      <c r="AY122" s="22">
        <v>0.46401999999999999</v>
      </c>
      <c r="AZ122" s="22">
        <v>296.13200000000001</v>
      </c>
      <c r="BA122" s="22">
        <v>-9.4268800000000001E-4</v>
      </c>
      <c r="BB122" s="22">
        <v>112</v>
      </c>
      <c r="BC122" s="22">
        <v>0.46340900000000002</v>
      </c>
      <c r="BD122">
        <f t="shared" si="22"/>
        <v>0.94268799999999997</v>
      </c>
      <c r="BE122">
        <f t="shared" si="23"/>
        <v>0.43742608575999997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1.06094</v>
      </c>
      <c r="H123" s="22">
        <v>50.450200000000002</v>
      </c>
      <c r="I123" s="22">
        <v>-1.1355600000000001E-3</v>
      </c>
      <c r="J123" s="22">
        <v>113</v>
      </c>
      <c r="K123" s="22">
        <v>1.0598799999999999</v>
      </c>
      <c r="L123">
        <f t="shared" si="12"/>
        <v>1.1355600000000001</v>
      </c>
      <c r="M123">
        <f t="shared" si="13"/>
        <v>1.2047610264000002</v>
      </c>
      <c r="N123" s="9"/>
      <c r="O123" s="22">
        <v>0.469055</v>
      </c>
      <c r="P123" s="22">
        <v>99.509600000000006</v>
      </c>
      <c r="Q123" s="22">
        <v>-1.16547E-3</v>
      </c>
      <c r="R123" s="22">
        <v>113</v>
      </c>
      <c r="S123" s="22">
        <v>0.46847499999999997</v>
      </c>
      <c r="T123">
        <f t="shared" si="14"/>
        <v>1.16547</v>
      </c>
      <c r="U123">
        <f t="shared" si="15"/>
        <v>0.54666953085000003</v>
      </c>
      <c r="X123" s="9"/>
      <c r="Y123" s="22">
        <v>1.06094</v>
      </c>
      <c r="Z123" s="22">
        <v>148.589</v>
      </c>
      <c r="AA123" s="22">
        <v>-8.8012699999999997E-4</v>
      </c>
      <c r="AB123" s="22">
        <v>113</v>
      </c>
      <c r="AC123" s="22">
        <v>1.0595699999999999</v>
      </c>
      <c r="AD123">
        <f t="shared" si="16"/>
        <v>0.88012699999999999</v>
      </c>
      <c r="AE123">
        <f t="shared" si="17"/>
        <v>0.93376193937999996</v>
      </c>
      <c r="AF123" s="9"/>
      <c r="AG123" s="22">
        <v>0.469055</v>
      </c>
      <c r="AH123" s="22">
        <v>197.83799999999999</v>
      </c>
      <c r="AI123" s="22">
        <v>-1.0095200000000001E-3</v>
      </c>
      <c r="AJ123" s="22">
        <v>113</v>
      </c>
      <c r="AK123" s="22">
        <v>0.468445</v>
      </c>
      <c r="AL123">
        <f t="shared" si="18"/>
        <v>1.00952</v>
      </c>
      <c r="AM123">
        <f t="shared" si="19"/>
        <v>0.47352040359999997</v>
      </c>
      <c r="AP123" s="9"/>
      <c r="AQ123" s="22">
        <v>1.06094</v>
      </c>
      <c r="AR123" s="22">
        <v>246.983</v>
      </c>
      <c r="AS123" s="22">
        <v>-7.7056900000000003E-4</v>
      </c>
      <c r="AT123" s="22">
        <v>113</v>
      </c>
      <c r="AU123" s="22">
        <v>1.0598799999999999</v>
      </c>
      <c r="AV123">
        <f t="shared" si="20"/>
        <v>0.77056900000000006</v>
      </c>
      <c r="AW123">
        <f t="shared" si="21"/>
        <v>0.8175274748600001</v>
      </c>
      <c r="AX123" s="9"/>
      <c r="AY123" s="22">
        <v>0.469055</v>
      </c>
      <c r="AZ123" s="22">
        <v>296.142</v>
      </c>
      <c r="BA123" s="22">
        <v>-9.3811000000000003E-4</v>
      </c>
      <c r="BB123" s="22">
        <v>113</v>
      </c>
      <c r="BC123" s="22">
        <v>0.46847499999999997</v>
      </c>
      <c r="BD123">
        <f t="shared" si="22"/>
        <v>0.93811</v>
      </c>
      <c r="BE123">
        <f t="shared" si="23"/>
        <v>0.44002518605000002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1.0559099999999999</v>
      </c>
      <c r="H124" s="22">
        <v>50.4602</v>
      </c>
      <c r="I124" s="22">
        <v>-1.1404399999999999E-3</v>
      </c>
      <c r="J124" s="22">
        <v>114</v>
      </c>
      <c r="K124" s="22">
        <v>1.0546899999999999</v>
      </c>
      <c r="L124">
        <f t="shared" si="12"/>
        <v>1.1404399999999999</v>
      </c>
      <c r="M124">
        <f t="shared" si="13"/>
        <v>1.2042020003999998</v>
      </c>
      <c r="N124" s="9"/>
      <c r="O124" s="22">
        <v>0.47409099999999998</v>
      </c>
      <c r="P124" s="22">
        <v>99.5197</v>
      </c>
      <c r="Q124" s="22">
        <v>-1.1602800000000001E-3</v>
      </c>
      <c r="R124" s="22">
        <v>114</v>
      </c>
      <c r="S124" s="22">
        <v>0.47348000000000001</v>
      </c>
      <c r="T124">
        <f t="shared" si="14"/>
        <v>1.16028</v>
      </c>
      <c r="U124">
        <f t="shared" si="15"/>
        <v>0.55007830547999992</v>
      </c>
      <c r="X124" s="9"/>
      <c r="Y124" s="22">
        <v>1.0559099999999999</v>
      </c>
      <c r="Z124" s="22">
        <v>148.59899999999999</v>
      </c>
      <c r="AA124" s="22">
        <v>-8.8348400000000003E-4</v>
      </c>
      <c r="AB124" s="22">
        <v>114</v>
      </c>
      <c r="AC124" s="22">
        <v>1.0540799999999999</v>
      </c>
      <c r="AD124">
        <f t="shared" si="16"/>
        <v>0.88348400000000005</v>
      </c>
      <c r="AE124">
        <f t="shared" si="17"/>
        <v>0.93287959044000002</v>
      </c>
      <c r="AF124" s="9"/>
      <c r="AG124" s="22">
        <v>0.47409099999999998</v>
      </c>
      <c r="AH124" s="22">
        <v>197.84800000000001</v>
      </c>
      <c r="AI124" s="22">
        <v>-1.00555E-3</v>
      </c>
      <c r="AJ124" s="22">
        <v>114</v>
      </c>
      <c r="AK124" s="22">
        <v>0.473389</v>
      </c>
      <c r="AL124">
        <f t="shared" si="18"/>
        <v>1.0055499999999999</v>
      </c>
      <c r="AM124">
        <f t="shared" si="19"/>
        <v>0.47672220504999996</v>
      </c>
      <c r="AP124" s="9"/>
      <c r="AQ124" s="22">
        <v>1.0559099999999999</v>
      </c>
      <c r="AR124" s="22">
        <v>246.99299999999999</v>
      </c>
      <c r="AS124" s="22">
        <v>-7.7484099999999996E-4</v>
      </c>
      <c r="AT124" s="22">
        <v>114</v>
      </c>
      <c r="AU124" s="22">
        <v>1.0546899999999999</v>
      </c>
      <c r="AV124">
        <f t="shared" si="20"/>
        <v>0.774841</v>
      </c>
      <c r="AW124">
        <f t="shared" si="21"/>
        <v>0.81816236030999989</v>
      </c>
      <c r="AX124" s="9"/>
      <c r="AY124" s="22">
        <v>0.47409099999999998</v>
      </c>
      <c r="AZ124" s="22">
        <v>296.15199999999999</v>
      </c>
      <c r="BA124" s="22">
        <v>-9.3383799999999999E-4</v>
      </c>
      <c r="BB124" s="22">
        <v>114</v>
      </c>
      <c r="BC124" s="22">
        <v>0.47351100000000002</v>
      </c>
      <c r="BD124">
        <f t="shared" si="22"/>
        <v>0.93383799999999995</v>
      </c>
      <c r="BE124">
        <f t="shared" si="23"/>
        <v>0.44272419125799994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1.05087</v>
      </c>
      <c r="H125" s="22">
        <v>50.470300000000002</v>
      </c>
      <c r="I125" s="22">
        <v>-1.14471E-3</v>
      </c>
      <c r="J125" s="22">
        <v>115</v>
      </c>
      <c r="K125" s="22">
        <v>1.0495000000000001</v>
      </c>
      <c r="L125">
        <f t="shared" si="12"/>
        <v>1.1447099999999999</v>
      </c>
      <c r="M125">
        <f t="shared" si="13"/>
        <v>1.2029413976999999</v>
      </c>
      <c r="N125" s="9"/>
      <c r="O125" s="22">
        <v>0.479126</v>
      </c>
      <c r="P125" s="22">
        <v>99.529700000000005</v>
      </c>
      <c r="Q125" s="22">
        <v>-1.1557E-3</v>
      </c>
      <c r="R125" s="22">
        <v>115</v>
      </c>
      <c r="S125" s="22">
        <v>0.47854600000000003</v>
      </c>
      <c r="T125">
        <f t="shared" si="14"/>
        <v>1.1556999999999999</v>
      </c>
      <c r="U125">
        <f t="shared" si="15"/>
        <v>0.55372591819999994</v>
      </c>
      <c r="X125" s="9"/>
      <c r="Y125" s="22">
        <v>1.05087</v>
      </c>
      <c r="Z125" s="22">
        <v>148.60900000000001</v>
      </c>
      <c r="AA125" s="22">
        <v>-8.8775599999999996E-4</v>
      </c>
      <c r="AB125" s="22">
        <v>115</v>
      </c>
      <c r="AC125" s="22">
        <v>1.0495000000000001</v>
      </c>
      <c r="AD125">
        <f t="shared" si="16"/>
        <v>0.88775599999999999</v>
      </c>
      <c r="AE125">
        <f t="shared" si="17"/>
        <v>0.93291614771999998</v>
      </c>
      <c r="AF125" s="9"/>
      <c r="AG125" s="22">
        <v>0.479126</v>
      </c>
      <c r="AH125" s="22">
        <v>197.85900000000001</v>
      </c>
      <c r="AI125" s="22">
        <v>-1.00128E-3</v>
      </c>
      <c r="AJ125" s="22">
        <v>115</v>
      </c>
      <c r="AK125" s="22">
        <v>0.47848499999999999</v>
      </c>
      <c r="AL125">
        <f t="shared" si="18"/>
        <v>1.0012799999999999</v>
      </c>
      <c r="AM125">
        <f t="shared" si="19"/>
        <v>0.47973928127999999</v>
      </c>
      <c r="AP125" s="9"/>
      <c r="AQ125" s="22">
        <v>1.05087</v>
      </c>
      <c r="AR125" s="22">
        <v>247.00299999999999</v>
      </c>
      <c r="AS125" s="22">
        <v>-7.7972399999999998E-4</v>
      </c>
      <c r="AT125" s="22">
        <v>115</v>
      </c>
      <c r="AU125" s="22">
        <v>1.0495000000000001</v>
      </c>
      <c r="AV125">
        <f t="shared" si="20"/>
        <v>0.77972399999999997</v>
      </c>
      <c r="AW125">
        <f t="shared" si="21"/>
        <v>0.81938855987999992</v>
      </c>
      <c r="AX125" s="9"/>
      <c r="AY125" s="22">
        <v>0.479126</v>
      </c>
      <c r="AZ125" s="22">
        <v>296.16199999999998</v>
      </c>
      <c r="BA125" s="22">
        <v>-9.2956500000000004E-4</v>
      </c>
      <c r="BB125" s="22">
        <v>115</v>
      </c>
      <c r="BC125" s="22">
        <v>0.478516</v>
      </c>
      <c r="BD125">
        <f t="shared" si="22"/>
        <v>0.92956500000000009</v>
      </c>
      <c r="BE125">
        <f t="shared" si="23"/>
        <v>0.44537876019000006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1.0458400000000001</v>
      </c>
      <c r="H126" s="22">
        <v>50.480400000000003</v>
      </c>
      <c r="I126" s="22">
        <v>-1.15051E-3</v>
      </c>
      <c r="J126" s="22">
        <v>116</v>
      </c>
      <c r="K126" s="22">
        <v>1.0452300000000001</v>
      </c>
      <c r="L126">
        <f t="shared" si="12"/>
        <v>1.1505099999999999</v>
      </c>
      <c r="M126">
        <f t="shared" si="13"/>
        <v>1.2032493784</v>
      </c>
      <c r="N126" s="9"/>
      <c r="O126" s="22">
        <v>0.48416100000000001</v>
      </c>
      <c r="P126" s="22">
        <v>99.5398</v>
      </c>
      <c r="Q126" s="22">
        <v>-1.1532599999999999E-3</v>
      </c>
      <c r="R126" s="22">
        <v>116</v>
      </c>
      <c r="S126" s="22">
        <v>0.48361199999999999</v>
      </c>
      <c r="T126">
        <f t="shared" si="14"/>
        <v>1.15326</v>
      </c>
      <c r="U126">
        <f t="shared" si="15"/>
        <v>0.55836351486000002</v>
      </c>
      <c r="X126" s="9"/>
      <c r="Y126" s="22">
        <v>1.0458400000000001</v>
      </c>
      <c r="Z126" s="22">
        <v>148.619</v>
      </c>
      <c r="AA126" s="22">
        <v>-8.9294400000000001E-4</v>
      </c>
      <c r="AB126" s="22">
        <v>116</v>
      </c>
      <c r="AC126" s="22">
        <v>1.0446200000000001</v>
      </c>
      <c r="AD126">
        <f t="shared" si="16"/>
        <v>0.89294399999999996</v>
      </c>
      <c r="AE126">
        <f t="shared" si="17"/>
        <v>0.93387655296000005</v>
      </c>
      <c r="AF126" s="9"/>
      <c r="AG126" s="22">
        <v>0.48416100000000001</v>
      </c>
      <c r="AH126" s="22">
        <v>197.869</v>
      </c>
      <c r="AI126" s="22">
        <v>-9.9670399999999995E-4</v>
      </c>
      <c r="AJ126" s="22">
        <v>116</v>
      </c>
      <c r="AK126" s="22">
        <v>0.48352099999999998</v>
      </c>
      <c r="AL126">
        <f t="shared" si="18"/>
        <v>0.99670399999999992</v>
      </c>
      <c r="AM126">
        <f t="shared" si="19"/>
        <v>0.48256520534399999</v>
      </c>
      <c r="AP126" s="9"/>
      <c r="AQ126" s="22">
        <v>1.0458400000000001</v>
      </c>
      <c r="AR126" s="22">
        <v>247.01300000000001</v>
      </c>
      <c r="AS126" s="22">
        <v>-7.8430199999999996E-4</v>
      </c>
      <c r="AT126" s="22">
        <v>116</v>
      </c>
      <c r="AU126" s="22">
        <v>1.0443100000000001</v>
      </c>
      <c r="AV126">
        <f t="shared" si="20"/>
        <v>0.78430199999999994</v>
      </c>
      <c r="AW126">
        <f t="shared" si="21"/>
        <v>0.82025440368000002</v>
      </c>
      <c r="AX126" s="9"/>
      <c r="AY126" s="22">
        <v>0.48416100000000001</v>
      </c>
      <c r="AZ126" s="22">
        <v>296.17200000000003</v>
      </c>
      <c r="BA126" s="22">
        <v>-9.2529299999999999E-4</v>
      </c>
      <c r="BB126" s="22">
        <v>116</v>
      </c>
      <c r="BC126" s="22">
        <v>0.48358200000000001</v>
      </c>
      <c r="BD126">
        <f t="shared" si="22"/>
        <v>0.92529300000000003</v>
      </c>
      <c r="BE126">
        <f t="shared" si="23"/>
        <v>0.44799078417300003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1.0407999999999999</v>
      </c>
      <c r="H127" s="22">
        <v>50.490499999999997</v>
      </c>
      <c r="I127" s="22">
        <v>-1.15448E-3</v>
      </c>
      <c r="J127" s="22">
        <v>117</v>
      </c>
      <c r="K127" s="22">
        <v>1.03973</v>
      </c>
      <c r="L127">
        <f t="shared" si="12"/>
        <v>1.15448</v>
      </c>
      <c r="M127">
        <f t="shared" si="13"/>
        <v>1.201582784</v>
      </c>
      <c r="N127" s="9"/>
      <c r="O127" s="22">
        <v>0.48919699999999999</v>
      </c>
      <c r="P127" s="22">
        <v>99.549899999999994</v>
      </c>
      <c r="Q127" s="22">
        <v>-1.1498999999999999E-3</v>
      </c>
      <c r="R127" s="22">
        <v>117</v>
      </c>
      <c r="S127" s="22">
        <v>0.48858600000000002</v>
      </c>
      <c r="T127">
        <f t="shared" si="14"/>
        <v>1.1498999999999999</v>
      </c>
      <c r="U127">
        <f t="shared" si="15"/>
        <v>0.56252763029999997</v>
      </c>
      <c r="X127" s="9"/>
      <c r="Y127" s="22">
        <v>1.0407999999999999</v>
      </c>
      <c r="Z127" s="22">
        <v>148.62899999999999</v>
      </c>
      <c r="AA127" s="22">
        <v>-8.9782700000000002E-4</v>
      </c>
      <c r="AB127" s="22">
        <v>117</v>
      </c>
      <c r="AC127" s="22">
        <v>1.0394300000000001</v>
      </c>
      <c r="AD127">
        <f t="shared" si="16"/>
        <v>0.89782700000000004</v>
      </c>
      <c r="AE127">
        <f t="shared" si="17"/>
        <v>0.93445834159999996</v>
      </c>
      <c r="AF127" s="9"/>
      <c r="AG127" s="22">
        <v>0.48919699999999999</v>
      </c>
      <c r="AH127" s="22">
        <v>197.87899999999999</v>
      </c>
      <c r="AI127" s="22">
        <v>-9.9304199999999997E-4</v>
      </c>
      <c r="AJ127" s="22">
        <v>117</v>
      </c>
      <c r="AK127" s="22">
        <v>0.48852499999999999</v>
      </c>
      <c r="AL127">
        <f t="shared" si="18"/>
        <v>0.99304199999999998</v>
      </c>
      <c r="AM127">
        <f t="shared" si="19"/>
        <v>0.48579316727399996</v>
      </c>
      <c r="AP127" s="9"/>
      <c r="AQ127" s="22">
        <v>1.0407999999999999</v>
      </c>
      <c r="AR127" s="22">
        <v>247.023</v>
      </c>
      <c r="AS127" s="22">
        <v>-7.8887900000000003E-4</v>
      </c>
      <c r="AT127" s="22">
        <v>117</v>
      </c>
      <c r="AU127" s="22">
        <v>1.0394300000000001</v>
      </c>
      <c r="AV127">
        <f t="shared" si="20"/>
        <v>0.788879</v>
      </c>
      <c r="AW127">
        <f t="shared" si="21"/>
        <v>0.82106526319999995</v>
      </c>
      <c r="AX127" s="9"/>
      <c r="AY127" s="22">
        <v>0.48919699999999999</v>
      </c>
      <c r="AZ127" s="22">
        <v>296.18299999999999</v>
      </c>
      <c r="BA127" s="22">
        <v>-9.2102099999999995E-4</v>
      </c>
      <c r="BB127" s="22">
        <v>117</v>
      </c>
      <c r="BC127" s="22">
        <v>0.48861700000000002</v>
      </c>
      <c r="BD127">
        <f t="shared" si="22"/>
        <v>0.92102099999999998</v>
      </c>
      <c r="BE127">
        <f t="shared" si="23"/>
        <v>0.450560710137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1.0357700000000001</v>
      </c>
      <c r="H128" s="22">
        <v>50.500500000000002</v>
      </c>
      <c r="I128" s="22">
        <v>-1.16058E-3</v>
      </c>
      <c r="J128" s="22">
        <v>118</v>
      </c>
      <c r="K128" s="22">
        <v>1.03424</v>
      </c>
      <c r="L128">
        <f t="shared" si="12"/>
        <v>1.1605799999999999</v>
      </c>
      <c r="M128">
        <f t="shared" si="13"/>
        <v>1.2020939466</v>
      </c>
      <c r="N128" s="9"/>
      <c r="O128" s="22">
        <v>0.494232</v>
      </c>
      <c r="P128" s="22">
        <v>99.559899999999999</v>
      </c>
      <c r="Q128" s="22">
        <v>-1.14624E-3</v>
      </c>
      <c r="R128" s="22">
        <v>118</v>
      </c>
      <c r="S128" s="22">
        <v>0.49362200000000001</v>
      </c>
      <c r="T128">
        <f t="shared" si="14"/>
        <v>1.1462399999999999</v>
      </c>
      <c r="U128">
        <f t="shared" si="15"/>
        <v>0.56650848767999995</v>
      </c>
      <c r="X128" s="9"/>
      <c r="Y128" s="22">
        <v>1.0357700000000001</v>
      </c>
      <c r="Z128" s="22">
        <v>148.63900000000001</v>
      </c>
      <c r="AA128" s="22">
        <v>-9.0301499999999996E-4</v>
      </c>
      <c r="AB128" s="22">
        <v>118</v>
      </c>
      <c r="AC128" s="22">
        <v>1.0345500000000001</v>
      </c>
      <c r="AD128">
        <f t="shared" si="16"/>
        <v>0.90301500000000001</v>
      </c>
      <c r="AE128">
        <f t="shared" si="17"/>
        <v>0.93531584655000011</v>
      </c>
      <c r="AF128" s="9"/>
      <c r="AG128" s="22">
        <v>0.494232</v>
      </c>
      <c r="AH128" s="22">
        <v>197.88900000000001</v>
      </c>
      <c r="AI128" s="22">
        <v>-9.8876999999999993E-4</v>
      </c>
      <c r="AJ128" s="22">
        <v>118</v>
      </c>
      <c r="AK128" s="22">
        <v>0.493591</v>
      </c>
      <c r="AL128">
        <f t="shared" si="18"/>
        <v>0.98876999999999993</v>
      </c>
      <c r="AM128">
        <f t="shared" si="19"/>
        <v>0.48868177463999996</v>
      </c>
      <c r="AP128" s="9"/>
      <c r="AQ128" s="22">
        <v>1.0357700000000001</v>
      </c>
      <c r="AR128" s="22">
        <v>247.03299999999999</v>
      </c>
      <c r="AS128" s="22">
        <v>-7.9345700000000002E-4</v>
      </c>
      <c r="AT128" s="22">
        <v>118</v>
      </c>
      <c r="AU128" s="22">
        <v>1.03485</v>
      </c>
      <c r="AV128">
        <f t="shared" si="20"/>
        <v>0.79345699999999997</v>
      </c>
      <c r="AW128">
        <f t="shared" si="21"/>
        <v>0.82183895689000008</v>
      </c>
      <c r="AX128" s="9"/>
      <c r="AY128" s="22">
        <v>0.494232</v>
      </c>
      <c r="AZ128" s="22">
        <v>296.19299999999998</v>
      </c>
      <c r="BA128" s="22">
        <v>-9.1735799999999995E-4</v>
      </c>
      <c r="BB128" s="22">
        <v>118</v>
      </c>
      <c r="BC128" s="22">
        <v>0.49365199999999998</v>
      </c>
      <c r="BD128">
        <f t="shared" si="22"/>
        <v>0.91735800000000001</v>
      </c>
      <c r="BE128">
        <f t="shared" si="23"/>
        <v>0.45338767905600003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1.0307299999999999</v>
      </c>
      <c r="H129" s="22">
        <v>50.510599999999997</v>
      </c>
      <c r="I129" s="22">
        <v>-1.16486E-3</v>
      </c>
      <c r="J129" s="22">
        <v>119</v>
      </c>
      <c r="K129" s="22">
        <v>1.02966</v>
      </c>
      <c r="L129">
        <f t="shared" si="12"/>
        <v>1.16486</v>
      </c>
      <c r="M129">
        <f t="shared" si="13"/>
        <v>1.2006561478</v>
      </c>
      <c r="N129" s="9"/>
      <c r="O129" s="22">
        <v>0.49926799999999999</v>
      </c>
      <c r="P129" s="22">
        <v>99.57</v>
      </c>
      <c r="Q129" s="22">
        <v>-1.1413599999999999E-3</v>
      </c>
      <c r="R129" s="22">
        <v>119</v>
      </c>
      <c r="S129" s="22">
        <v>0.49862699999999999</v>
      </c>
      <c r="T129">
        <f t="shared" si="14"/>
        <v>1.1413599999999999</v>
      </c>
      <c r="U129">
        <f t="shared" si="15"/>
        <v>0.56984452448</v>
      </c>
      <c r="X129" s="9"/>
      <c r="Y129" s="22">
        <v>1.0307299999999999</v>
      </c>
      <c r="Z129" s="22">
        <v>148.649</v>
      </c>
      <c r="AA129" s="22">
        <v>-9.0789799999999997E-4</v>
      </c>
      <c r="AB129" s="22">
        <v>119</v>
      </c>
      <c r="AC129" s="22">
        <v>1.0293600000000001</v>
      </c>
      <c r="AD129">
        <f t="shared" si="16"/>
        <v>0.90789799999999998</v>
      </c>
      <c r="AE129">
        <f t="shared" si="17"/>
        <v>0.93579770553999997</v>
      </c>
      <c r="AF129" s="9"/>
      <c r="AG129" s="22">
        <v>0.49926799999999999</v>
      </c>
      <c r="AH129" s="22">
        <v>197.899</v>
      </c>
      <c r="AI129" s="22">
        <v>-9.848019999999999E-4</v>
      </c>
      <c r="AJ129" s="22">
        <v>119</v>
      </c>
      <c r="AK129" s="22">
        <v>0.49865700000000002</v>
      </c>
      <c r="AL129">
        <f t="shared" si="18"/>
        <v>0.98480199999999996</v>
      </c>
      <c r="AM129">
        <f t="shared" si="19"/>
        <v>0.49168012493599994</v>
      </c>
      <c r="AP129" s="9"/>
      <c r="AQ129" s="22">
        <v>1.0307299999999999</v>
      </c>
      <c r="AR129" s="22">
        <v>247.04300000000001</v>
      </c>
      <c r="AS129" s="22">
        <v>-7.9772899999999995E-4</v>
      </c>
      <c r="AT129" s="22">
        <v>119</v>
      </c>
      <c r="AU129" s="22">
        <v>1.02966</v>
      </c>
      <c r="AV129">
        <f t="shared" si="20"/>
        <v>0.79772899999999991</v>
      </c>
      <c r="AW129">
        <f t="shared" si="21"/>
        <v>0.82224321216999985</v>
      </c>
      <c r="AX129" s="9"/>
      <c r="AY129" s="22">
        <v>0.49926799999999999</v>
      </c>
      <c r="AZ129" s="22">
        <v>296.20299999999997</v>
      </c>
      <c r="BA129" s="22">
        <v>-9.1308600000000002E-4</v>
      </c>
      <c r="BB129" s="22">
        <v>119</v>
      </c>
      <c r="BC129" s="22">
        <v>0.49871799999999999</v>
      </c>
      <c r="BD129">
        <f t="shared" si="22"/>
        <v>0.91308600000000006</v>
      </c>
      <c r="BE129">
        <f t="shared" si="23"/>
        <v>0.45587462104800003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1.0257000000000001</v>
      </c>
      <c r="H130" s="22">
        <v>50.520699999999998</v>
      </c>
      <c r="I130" s="22">
        <v>-1.17004E-3</v>
      </c>
      <c r="J130" s="22">
        <v>120</v>
      </c>
      <c r="K130" s="22">
        <v>1.02478</v>
      </c>
      <c r="L130">
        <f t="shared" si="12"/>
        <v>1.17004</v>
      </c>
      <c r="M130">
        <f t="shared" si="13"/>
        <v>1.2001100280000001</v>
      </c>
      <c r="N130" s="9"/>
      <c r="O130" s="22">
        <v>0.50430299999999995</v>
      </c>
      <c r="P130" s="22">
        <v>99.580100000000002</v>
      </c>
      <c r="Q130" s="22">
        <v>-1.1379999999999999E-3</v>
      </c>
      <c r="R130" s="22">
        <v>120</v>
      </c>
      <c r="S130" s="22">
        <v>0.50369299999999995</v>
      </c>
      <c r="T130">
        <f t="shared" si="14"/>
        <v>1.1379999999999999</v>
      </c>
      <c r="U130">
        <f t="shared" si="15"/>
        <v>0.57389681399999992</v>
      </c>
      <c r="X130" s="9"/>
      <c r="Y130" s="22">
        <v>1.0257000000000001</v>
      </c>
      <c r="Z130" s="22">
        <v>148.65899999999999</v>
      </c>
      <c r="AA130" s="22">
        <v>-9.1339100000000005E-4</v>
      </c>
      <c r="AB130" s="22">
        <v>120</v>
      </c>
      <c r="AC130" s="22">
        <v>1.0244800000000001</v>
      </c>
      <c r="AD130">
        <f t="shared" si="16"/>
        <v>0.91339100000000006</v>
      </c>
      <c r="AE130">
        <f t="shared" si="17"/>
        <v>0.93686514870000015</v>
      </c>
      <c r="AF130" s="9"/>
      <c r="AG130" s="22">
        <v>0.50430299999999995</v>
      </c>
      <c r="AH130" s="22">
        <v>197.90899999999999</v>
      </c>
      <c r="AI130" s="22">
        <v>-9.80835E-4</v>
      </c>
      <c r="AJ130" s="22">
        <v>120</v>
      </c>
      <c r="AK130" s="22">
        <v>0.50366200000000005</v>
      </c>
      <c r="AL130">
        <f t="shared" si="18"/>
        <v>0.98083500000000001</v>
      </c>
      <c r="AM130">
        <f t="shared" si="19"/>
        <v>0.49463803300499998</v>
      </c>
      <c r="AP130" s="9"/>
      <c r="AQ130" s="22">
        <v>1.0257000000000001</v>
      </c>
      <c r="AR130" s="22">
        <v>247.053</v>
      </c>
      <c r="AS130" s="22">
        <v>-8.0230700000000004E-4</v>
      </c>
      <c r="AT130" s="22">
        <v>120</v>
      </c>
      <c r="AU130" s="22">
        <v>1.02417</v>
      </c>
      <c r="AV130">
        <f t="shared" si="20"/>
        <v>0.80230699999999999</v>
      </c>
      <c r="AW130">
        <f t="shared" si="21"/>
        <v>0.82292628990000005</v>
      </c>
      <c r="AX130" s="9"/>
      <c r="AY130" s="22">
        <v>0.50430299999999995</v>
      </c>
      <c r="AZ130" s="22">
        <v>296.21300000000002</v>
      </c>
      <c r="BA130" s="22">
        <v>-9.0911900000000001E-4</v>
      </c>
      <c r="BB130" s="22">
        <v>120</v>
      </c>
      <c r="BC130" s="22">
        <v>0.50372300000000003</v>
      </c>
      <c r="BD130">
        <f t="shared" si="22"/>
        <v>0.90911900000000001</v>
      </c>
      <c r="BE130">
        <f t="shared" si="23"/>
        <v>0.45847143905699994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1.0206599999999999</v>
      </c>
      <c r="H131" s="22">
        <v>50.530700000000003</v>
      </c>
      <c r="I131" s="22">
        <v>-1.1740100000000001E-3</v>
      </c>
      <c r="J131" s="22">
        <v>121</v>
      </c>
      <c r="K131" s="22">
        <v>1.0199</v>
      </c>
      <c r="L131">
        <f t="shared" si="12"/>
        <v>1.17401</v>
      </c>
      <c r="M131">
        <f t="shared" si="13"/>
        <v>1.1982650465999998</v>
      </c>
      <c r="N131" s="9"/>
      <c r="O131" s="22">
        <v>0.50933799999999996</v>
      </c>
      <c r="P131" s="22">
        <v>99.590100000000007</v>
      </c>
      <c r="Q131" s="22">
        <v>-1.1346399999999999E-3</v>
      </c>
      <c r="R131" s="22">
        <v>121</v>
      </c>
      <c r="S131" s="22">
        <v>0.50866699999999998</v>
      </c>
      <c r="T131">
        <f t="shared" si="14"/>
        <v>1.1346399999999999</v>
      </c>
      <c r="U131">
        <f t="shared" si="15"/>
        <v>0.57791526831999984</v>
      </c>
      <c r="X131" s="9"/>
      <c r="Y131" s="22">
        <v>1.0206599999999999</v>
      </c>
      <c r="Z131" s="22">
        <v>148.66999999999999</v>
      </c>
      <c r="AA131" s="22">
        <v>-9.17664E-4</v>
      </c>
      <c r="AB131" s="22">
        <v>121</v>
      </c>
      <c r="AC131" s="22">
        <v>1.0199</v>
      </c>
      <c r="AD131">
        <f t="shared" si="16"/>
        <v>0.91766400000000004</v>
      </c>
      <c r="AE131">
        <f t="shared" si="17"/>
        <v>0.93662293823999998</v>
      </c>
      <c r="AF131" s="9"/>
      <c r="AG131" s="22">
        <v>0.50933799999999996</v>
      </c>
      <c r="AH131" s="22">
        <v>197.91900000000001</v>
      </c>
      <c r="AI131" s="22">
        <v>-9.7686800000000009E-4</v>
      </c>
      <c r="AJ131" s="22">
        <v>121</v>
      </c>
      <c r="AK131" s="22">
        <v>0.50866699999999998</v>
      </c>
      <c r="AL131">
        <f t="shared" si="18"/>
        <v>0.97686800000000007</v>
      </c>
      <c r="AM131">
        <f t="shared" si="19"/>
        <v>0.49755599338399997</v>
      </c>
      <c r="AP131" s="9"/>
      <c r="AQ131" s="22">
        <v>1.0206599999999999</v>
      </c>
      <c r="AR131" s="22">
        <v>247.06299999999999</v>
      </c>
      <c r="AS131" s="22">
        <v>-8.0718999999999995E-4</v>
      </c>
      <c r="AT131" s="22">
        <v>121</v>
      </c>
      <c r="AU131" s="22">
        <v>1.01959</v>
      </c>
      <c r="AV131">
        <f t="shared" si="20"/>
        <v>0.80718999999999996</v>
      </c>
      <c r="AW131">
        <f t="shared" si="21"/>
        <v>0.82386654539999993</v>
      </c>
      <c r="AX131" s="9"/>
      <c r="AY131" s="22">
        <v>0.50933799999999996</v>
      </c>
      <c r="AZ131" s="22">
        <v>296.22300000000001</v>
      </c>
      <c r="BA131" s="22">
        <v>-9.0515099999999998E-4</v>
      </c>
      <c r="BB131" s="22">
        <v>121</v>
      </c>
      <c r="BC131" s="22">
        <v>0.50875899999999996</v>
      </c>
      <c r="BD131">
        <f t="shared" si="22"/>
        <v>0.90515099999999993</v>
      </c>
      <c r="BE131">
        <f t="shared" si="23"/>
        <v>0.46102780003799992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1.01563</v>
      </c>
      <c r="H132" s="22">
        <v>50.540799999999997</v>
      </c>
      <c r="I132" s="22">
        <v>-1.1798100000000001E-3</v>
      </c>
      <c r="J132" s="22">
        <v>122</v>
      </c>
      <c r="K132" s="22">
        <v>1.0144</v>
      </c>
      <c r="L132">
        <f t="shared" si="12"/>
        <v>1.17981</v>
      </c>
      <c r="M132">
        <f t="shared" si="13"/>
        <v>1.1982504303000001</v>
      </c>
      <c r="N132" s="9"/>
      <c r="O132" s="22">
        <v>0.514374</v>
      </c>
      <c r="P132" s="22">
        <v>99.600200000000001</v>
      </c>
      <c r="Q132" s="22">
        <v>-1.1312900000000001E-3</v>
      </c>
      <c r="R132" s="22">
        <v>122</v>
      </c>
      <c r="S132" s="22">
        <v>0.51370199999999999</v>
      </c>
      <c r="T132">
        <f t="shared" si="14"/>
        <v>1.1312900000000001</v>
      </c>
      <c r="U132">
        <f t="shared" si="15"/>
        <v>0.58190616246000004</v>
      </c>
      <c r="X132" s="9"/>
      <c r="Y132" s="22">
        <v>1.01563</v>
      </c>
      <c r="Z132" s="22">
        <v>148.68</v>
      </c>
      <c r="AA132" s="22">
        <v>-9.2193600000000004E-4</v>
      </c>
      <c r="AB132" s="22">
        <v>122</v>
      </c>
      <c r="AC132" s="22">
        <v>1.0141</v>
      </c>
      <c r="AD132">
        <f t="shared" si="16"/>
        <v>0.92193600000000009</v>
      </c>
      <c r="AE132">
        <f t="shared" si="17"/>
        <v>0.93634585968000017</v>
      </c>
      <c r="AF132" s="9"/>
      <c r="AG132" s="22">
        <v>0.514374</v>
      </c>
      <c r="AH132" s="22">
        <v>197.929</v>
      </c>
      <c r="AI132" s="22">
        <v>-9.7259500000000004E-4</v>
      </c>
      <c r="AJ132" s="22">
        <v>122</v>
      </c>
      <c r="AK132" s="22">
        <v>0.51376299999999997</v>
      </c>
      <c r="AL132">
        <f t="shared" si="18"/>
        <v>0.97259499999999999</v>
      </c>
      <c r="AM132">
        <f t="shared" si="19"/>
        <v>0.50027758053000004</v>
      </c>
      <c r="AP132" s="9"/>
      <c r="AQ132" s="22">
        <v>1.01563</v>
      </c>
      <c r="AR132" s="22">
        <v>247.07300000000001</v>
      </c>
      <c r="AS132" s="22">
        <v>-8.1146199999999999E-4</v>
      </c>
      <c r="AT132" s="22">
        <v>122</v>
      </c>
      <c r="AU132" s="22">
        <v>1.01501</v>
      </c>
      <c r="AV132">
        <f t="shared" si="20"/>
        <v>0.81146200000000002</v>
      </c>
      <c r="AW132">
        <f t="shared" si="21"/>
        <v>0.82414515106000008</v>
      </c>
      <c r="AX132" s="9"/>
      <c r="AY132" s="22">
        <v>0.514374</v>
      </c>
      <c r="AZ132" s="22">
        <v>296.233</v>
      </c>
      <c r="BA132" s="22">
        <v>-9.0118399999999997E-4</v>
      </c>
      <c r="BB132" s="22">
        <v>122</v>
      </c>
      <c r="BC132" s="22">
        <v>0.51376299999999997</v>
      </c>
      <c r="BD132">
        <f t="shared" si="22"/>
        <v>0.90118399999999999</v>
      </c>
      <c r="BE132">
        <f t="shared" si="23"/>
        <v>0.46354561881599998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1.0105900000000001</v>
      </c>
      <c r="H133" s="22">
        <v>50.550899999999999</v>
      </c>
      <c r="I133" s="22">
        <v>-1.1840799999999999E-3</v>
      </c>
      <c r="J133" s="22">
        <v>123</v>
      </c>
      <c r="K133" s="22">
        <v>1.00952</v>
      </c>
      <c r="L133">
        <f t="shared" si="12"/>
        <v>1.1840799999999998</v>
      </c>
      <c r="M133">
        <f t="shared" si="13"/>
        <v>1.1966194071999998</v>
      </c>
      <c r="N133" s="9"/>
      <c r="O133" s="22">
        <v>0.51940900000000001</v>
      </c>
      <c r="P133" s="22">
        <v>99.610299999999995</v>
      </c>
      <c r="Q133" s="22">
        <v>-1.12762E-3</v>
      </c>
      <c r="R133" s="22">
        <v>123</v>
      </c>
      <c r="S133" s="22">
        <v>0.51873800000000003</v>
      </c>
      <c r="T133">
        <f t="shared" si="14"/>
        <v>1.1276200000000001</v>
      </c>
      <c r="U133">
        <f t="shared" si="15"/>
        <v>0.58569597658000006</v>
      </c>
      <c r="X133" s="9"/>
      <c r="Y133" s="22">
        <v>1.0105900000000001</v>
      </c>
      <c r="Z133" s="22">
        <v>148.69</v>
      </c>
      <c r="AA133" s="22">
        <v>-9.2620799999999998E-4</v>
      </c>
      <c r="AB133" s="22">
        <v>123</v>
      </c>
      <c r="AC133" s="22">
        <v>1.00983</v>
      </c>
      <c r="AD133">
        <f t="shared" si="16"/>
        <v>0.92620800000000003</v>
      </c>
      <c r="AE133">
        <f t="shared" si="17"/>
        <v>0.93601654272000012</v>
      </c>
      <c r="AF133" s="9"/>
      <c r="AG133" s="22">
        <v>0.51940900000000001</v>
      </c>
      <c r="AH133" s="22">
        <v>197.93899999999999</v>
      </c>
      <c r="AI133" s="22">
        <v>-9.6862800000000002E-4</v>
      </c>
      <c r="AJ133" s="22">
        <v>123</v>
      </c>
      <c r="AK133" s="22">
        <v>0.51879900000000001</v>
      </c>
      <c r="AL133">
        <f t="shared" si="18"/>
        <v>0.96862800000000004</v>
      </c>
      <c r="AM133">
        <f t="shared" si="19"/>
        <v>0.50311410085200003</v>
      </c>
      <c r="AP133" s="9"/>
      <c r="AQ133" s="22">
        <v>1.0105900000000001</v>
      </c>
      <c r="AR133" s="22">
        <v>247.084</v>
      </c>
      <c r="AS133" s="22">
        <v>-8.16345E-4</v>
      </c>
      <c r="AT133" s="22">
        <v>123</v>
      </c>
      <c r="AU133" s="22">
        <v>1.00952</v>
      </c>
      <c r="AV133">
        <f t="shared" si="20"/>
        <v>0.81634499999999999</v>
      </c>
      <c r="AW133">
        <f t="shared" si="21"/>
        <v>0.82499009355000008</v>
      </c>
      <c r="AX133" s="9"/>
      <c r="AY133" s="22">
        <v>0.51940900000000001</v>
      </c>
      <c r="AZ133" s="22">
        <v>296.24299999999999</v>
      </c>
      <c r="BA133" s="22">
        <v>-8.9721699999999996E-4</v>
      </c>
      <c r="BB133" s="22">
        <v>123</v>
      </c>
      <c r="BC133" s="22">
        <v>0.51882899999999998</v>
      </c>
      <c r="BD133">
        <f t="shared" si="22"/>
        <v>0.89721699999999993</v>
      </c>
      <c r="BE133">
        <f t="shared" si="23"/>
        <v>0.46602258475299996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1.0055499999999999</v>
      </c>
      <c r="H134" s="22">
        <v>50.560899999999997</v>
      </c>
      <c r="I134" s="22">
        <v>-1.18866E-3</v>
      </c>
      <c r="J134" s="22">
        <v>124</v>
      </c>
      <c r="K134" s="22">
        <v>1.0043299999999999</v>
      </c>
      <c r="L134">
        <f t="shared" si="12"/>
        <v>1.18866</v>
      </c>
      <c r="M134">
        <f t="shared" si="13"/>
        <v>1.1952570629999999</v>
      </c>
      <c r="N134" s="9"/>
      <c r="O134" s="22">
        <v>0.52444500000000005</v>
      </c>
      <c r="P134" s="22">
        <v>99.620400000000004</v>
      </c>
      <c r="Q134" s="22">
        <v>-1.12335E-3</v>
      </c>
      <c r="R134" s="22">
        <v>124</v>
      </c>
      <c r="S134" s="22">
        <v>0.52380400000000005</v>
      </c>
      <c r="T134">
        <f t="shared" si="14"/>
        <v>1.1233499999999998</v>
      </c>
      <c r="U134">
        <f t="shared" si="15"/>
        <v>0.58913529074999993</v>
      </c>
      <c r="X134" s="9"/>
      <c r="Y134" s="22">
        <v>1.0055499999999999</v>
      </c>
      <c r="Z134" s="22">
        <v>148.69999999999999</v>
      </c>
      <c r="AA134" s="22">
        <v>-9.3048100000000004E-4</v>
      </c>
      <c r="AB134" s="22">
        <v>124</v>
      </c>
      <c r="AC134" s="22">
        <v>1.00464</v>
      </c>
      <c r="AD134">
        <f t="shared" si="16"/>
        <v>0.930481</v>
      </c>
      <c r="AE134">
        <f t="shared" si="17"/>
        <v>0.93564516954999999</v>
      </c>
      <c r="AF134" s="9"/>
      <c r="AG134" s="22">
        <v>0.52444500000000005</v>
      </c>
      <c r="AH134" s="22">
        <v>197.94900000000001</v>
      </c>
      <c r="AI134" s="22">
        <v>-9.6466100000000001E-4</v>
      </c>
      <c r="AJ134" s="22">
        <v>124</v>
      </c>
      <c r="AK134" s="22">
        <v>0.52383400000000002</v>
      </c>
      <c r="AL134">
        <f t="shared" si="18"/>
        <v>0.96466099999999999</v>
      </c>
      <c r="AM134">
        <f t="shared" si="19"/>
        <v>0.50591163814500006</v>
      </c>
      <c r="AP134" s="9"/>
      <c r="AQ134" s="22">
        <v>1.0055499999999999</v>
      </c>
      <c r="AR134" s="22">
        <v>247.09399999999999</v>
      </c>
      <c r="AS134" s="22">
        <v>-8.2092299999999999E-4</v>
      </c>
      <c r="AT134" s="22">
        <v>124</v>
      </c>
      <c r="AU134" s="22">
        <v>1.00403</v>
      </c>
      <c r="AV134">
        <f t="shared" si="20"/>
        <v>0.82092299999999996</v>
      </c>
      <c r="AW134">
        <f t="shared" si="21"/>
        <v>0.8254791226499999</v>
      </c>
      <c r="AX134" s="9"/>
      <c r="AY134" s="22">
        <v>0.52444500000000005</v>
      </c>
      <c r="AZ134" s="22">
        <v>296.25299999999999</v>
      </c>
      <c r="BA134" s="22">
        <v>-8.9324999999999995E-4</v>
      </c>
      <c r="BB134" s="22">
        <v>124</v>
      </c>
      <c r="BC134" s="22">
        <v>0.52377300000000004</v>
      </c>
      <c r="BD134">
        <f t="shared" si="22"/>
        <v>0.89324999999999999</v>
      </c>
      <c r="BE134">
        <f t="shared" si="23"/>
        <v>0.46846049625000002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1.0005200000000001</v>
      </c>
      <c r="H135" s="22">
        <v>50.570999999999998</v>
      </c>
      <c r="I135" s="22">
        <v>-1.19293E-3</v>
      </c>
      <c r="J135" s="22">
        <v>125</v>
      </c>
      <c r="K135" s="22">
        <v>0.99853499999999995</v>
      </c>
      <c r="L135">
        <f t="shared" si="12"/>
        <v>1.19293</v>
      </c>
      <c r="M135">
        <f t="shared" si="13"/>
        <v>1.1935503236000002</v>
      </c>
      <c r="N135" s="9"/>
      <c r="O135" s="22">
        <v>0.52947999999999995</v>
      </c>
      <c r="P135" s="22">
        <v>99.630399999999995</v>
      </c>
      <c r="Q135" s="22">
        <v>-1.11816E-3</v>
      </c>
      <c r="R135" s="22">
        <v>125</v>
      </c>
      <c r="S135" s="22">
        <v>0.52883899999999995</v>
      </c>
      <c r="T135">
        <f t="shared" si="14"/>
        <v>1.11816</v>
      </c>
      <c r="U135">
        <f t="shared" si="15"/>
        <v>0.59204335679999998</v>
      </c>
      <c r="X135" s="9"/>
      <c r="Y135" s="22">
        <v>1.0005200000000001</v>
      </c>
      <c r="Z135" s="22">
        <v>148.71</v>
      </c>
      <c r="AA135" s="22">
        <v>-9.3536400000000005E-4</v>
      </c>
      <c r="AB135" s="22">
        <v>125</v>
      </c>
      <c r="AC135" s="22">
        <v>1.0000599999999999</v>
      </c>
      <c r="AD135">
        <f t="shared" si="16"/>
        <v>0.93536400000000008</v>
      </c>
      <c r="AE135">
        <f t="shared" si="17"/>
        <v>0.93585038928000019</v>
      </c>
      <c r="AF135" s="9"/>
      <c r="AG135" s="22">
        <v>0.52947999999999995</v>
      </c>
      <c r="AH135" s="22">
        <v>197.959</v>
      </c>
      <c r="AI135" s="22">
        <v>-9.6038799999999995E-4</v>
      </c>
      <c r="AJ135" s="22">
        <v>125</v>
      </c>
      <c r="AK135" s="22">
        <v>0.52890000000000004</v>
      </c>
      <c r="AL135">
        <f t="shared" si="18"/>
        <v>0.96038799999999991</v>
      </c>
      <c r="AM135">
        <f t="shared" si="19"/>
        <v>0.50850623823999985</v>
      </c>
      <c r="AP135" s="9"/>
      <c r="AQ135" s="22">
        <v>1.0005200000000001</v>
      </c>
      <c r="AR135" s="22">
        <v>247.10400000000001</v>
      </c>
      <c r="AS135" s="22">
        <v>-8.2549999999999995E-4</v>
      </c>
      <c r="AT135" s="22">
        <v>125</v>
      </c>
      <c r="AU135" s="22">
        <v>0.99914599999999998</v>
      </c>
      <c r="AV135">
        <f t="shared" si="20"/>
        <v>0.8254999999999999</v>
      </c>
      <c r="AW135">
        <f t="shared" si="21"/>
        <v>0.82592926</v>
      </c>
      <c r="AX135" s="9"/>
      <c r="AY135" s="22">
        <v>0.52947999999999995</v>
      </c>
      <c r="AZ135" s="22">
        <v>296.26299999999998</v>
      </c>
      <c r="BA135" s="22">
        <v>-8.8928200000000003E-4</v>
      </c>
      <c r="BB135" s="22">
        <v>125</v>
      </c>
      <c r="BC135" s="22">
        <v>0.52883899999999995</v>
      </c>
      <c r="BD135">
        <f t="shared" si="22"/>
        <v>0.88928200000000002</v>
      </c>
      <c r="BE135">
        <f t="shared" si="23"/>
        <v>0.47085703335999995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0.99548300000000001</v>
      </c>
      <c r="H136" s="22">
        <v>50.581099999999999</v>
      </c>
      <c r="I136" s="22">
        <v>-1.19812E-3</v>
      </c>
      <c r="J136" s="22">
        <v>126</v>
      </c>
      <c r="K136" s="22">
        <v>0.99426300000000001</v>
      </c>
      <c r="L136">
        <f t="shared" si="12"/>
        <v>1.1981200000000001</v>
      </c>
      <c r="M136">
        <f t="shared" si="13"/>
        <v>1.1927080919600002</v>
      </c>
      <c r="N136" s="9"/>
      <c r="O136" s="22">
        <v>0.53451499999999996</v>
      </c>
      <c r="P136" s="22">
        <v>99.640500000000003</v>
      </c>
      <c r="Q136" s="22">
        <v>-1.1145E-3</v>
      </c>
      <c r="R136" s="22">
        <v>126</v>
      </c>
      <c r="S136" s="22">
        <v>0.53393599999999997</v>
      </c>
      <c r="T136">
        <f t="shared" si="14"/>
        <v>1.1145</v>
      </c>
      <c r="U136">
        <f t="shared" si="15"/>
        <v>0.59571696750000003</v>
      </c>
      <c r="X136" s="9"/>
      <c r="Y136" s="22">
        <v>0.99548300000000001</v>
      </c>
      <c r="Z136" s="22">
        <v>148.72</v>
      </c>
      <c r="AA136" s="22">
        <v>-9.3994100000000002E-4</v>
      </c>
      <c r="AB136" s="22">
        <v>126</v>
      </c>
      <c r="AC136" s="22">
        <v>0.99456800000000001</v>
      </c>
      <c r="AD136">
        <f t="shared" si="16"/>
        <v>0.93994100000000003</v>
      </c>
      <c r="AE136">
        <f t="shared" si="17"/>
        <v>0.93569528650300005</v>
      </c>
      <c r="AF136" s="9"/>
      <c r="AG136" s="22">
        <v>0.53451499999999996</v>
      </c>
      <c r="AH136" s="22">
        <v>197.96899999999999</v>
      </c>
      <c r="AI136" s="22">
        <v>-9.5642100000000005E-4</v>
      </c>
      <c r="AJ136" s="22">
        <v>126</v>
      </c>
      <c r="AK136" s="22">
        <v>0.53393599999999997</v>
      </c>
      <c r="AL136">
        <f t="shared" si="18"/>
        <v>0.95642100000000008</v>
      </c>
      <c r="AM136">
        <f t="shared" si="19"/>
        <v>0.51122137081499996</v>
      </c>
      <c r="AP136" s="9"/>
      <c r="AQ136" s="22">
        <v>0.99548300000000001</v>
      </c>
      <c r="AR136" s="22">
        <v>247.114</v>
      </c>
      <c r="AS136" s="22">
        <v>-8.2977300000000001E-4</v>
      </c>
      <c r="AT136" s="22">
        <v>126</v>
      </c>
      <c r="AU136" s="22">
        <v>0.99487300000000001</v>
      </c>
      <c r="AV136">
        <f t="shared" si="20"/>
        <v>0.82977299999999998</v>
      </c>
      <c r="AW136">
        <f t="shared" si="21"/>
        <v>0.82602491535900002</v>
      </c>
      <c r="AX136" s="9"/>
      <c r="AY136" s="22">
        <v>0.53451499999999996</v>
      </c>
      <c r="AZ136" s="22">
        <v>296.27300000000002</v>
      </c>
      <c r="BA136" s="22">
        <v>-8.8562000000000005E-4</v>
      </c>
      <c r="BB136" s="22">
        <v>126</v>
      </c>
      <c r="BC136" s="22">
        <v>0.53384399999999999</v>
      </c>
      <c r="BD136">
        <f t="shared" si="22"/>
        <v>0.88562000000000007</v>
      </c>
      <c r="BE136">
        <f t="shared" si="23"/>
        <v>0.47337717429999998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0.990448</v>
      </c>
      <c r="H137" s="22">
        <v>50.591200000000001</v>
      </c>
      <c r="I137" s="22">
        <v>-1.2026999999999999E-3</v>
      </c>
      <c r="J137" s="22">
        <v>127</v>
      </c>
      <c r="K137" s="22">
        <v>0.98968500000000004</v>
      </c>
      <c r="L137">
        <f t="shared" si="12"/>
        <v>1.2026999999999999</v>
      </c>
      <c r="M137">
        <f t="shared" si="13"/>
        <v>1.1912118095999999</v>
      </c>
      <c r="N137" s="9"/>
      <c r="O137" s="22">
        <v>0.539551</v>
      </c>
      <c r="P137" s="22">
        <v>99.650599999999997</v>
      </c>
      <c r="Q137" s="22">
        <v>-1.1108400000000001E-3</v>
      </c>
      <c r="R137" s="22">
        <v>127</v>
      </c>
      <c r="S137" s="22">
        <v>0.53891</v>
      </c>
      <c r="T137">
        <f t="shared" si="14"/>
        <v>1.11084</v>
      </c>
      <c r="U137">
        <f t="shared" si="15"/>
        <v>0.59935483284000002</v>
      </c>
      <c r="X137" s="9"/>
      <c r="Y137" s="22">
        <v>0.990448</v>
      </c>
      <c r="Z137" s="22">
        <v>148.72999999999999</v>
      </c>
      <c r="AA137" s="22">
        <v>-9.4390900000000005E-4</v>
      </c>
      <c r="AB137" s="22">
        <v>127</v>
      </c>
      <c r="AC137" s="22">
        <v>0.98938000000000004</v>
      </c>
      <c r="AD137">
        <f t="shared" si="16"/>
        <v>0.943909</v>
      </c>
      <c r="AE137">
        <f t="shared" si="17"/>
        <v>0.93489278123200004</v>
      </c>
      <c r="AF137" s="9"/>
      <c r="AG137" s="22">
        <v>0.539551</v>
      </c>
      <c r="AH137" s="22">
        <v>197.97900000000001</v>
      </c>
      <c r="AI137" s="22">
        <v>-9.5245400000000004E-4</v>
      </c>
      <c r="AJ137" s="22">
        <v>127</v>
      </c>
      <c r="AK137" s="22">
        <v>0.53900099999999995</v>
      </c>
      <c r="AL137">
        <f t="shared" si="18"/>
        <v>0.95245400000000002</v>
      </c>
      <c r="AM137">
        <f t="shared" si="19"/>
        <v>0.51389750815400004</v>
      </c>
      <c r="AP137" s="9"/>
      <c r="AQ137" s="22">
        <v>0.990448</v>
      </c>
      <c r="AR137" s="22">
        <v>247.124</v>
      </c>
      <c r="AS137" s="22">
        <v>-8.3374000000000002E-4</v>
      </c>
      <c r="AT137" s="22">
        <v>127</v>
      </c>
      <c r="AU137" s="22">
        <v>0.98877000000000004</v>
      </c>
      <c r="AV137">
        <f t="shared" si="20"/>
        <v>0.83374000000000004</v>
      </c>
      <c r="AW137">
        <f t="shared" si="21"/>
        <v>0.82577611552000008</v>
      </c>
      <c r="AX137" s="9"/>
      <c r="AY137" s="22">
        <v>0.539551</v>
      </c>
      <c r="AZ137" s="22">
        <v>296.28300000000002</v>
      </c>
      <c r="BA137" s="22">
        <v>-8.8195799999999996E-4</v>
      </c>
      <c r="BB137" s="22">
        <v>127</v>
      </c>
      <c r="BC137" s="22">
        <v>0.53891</v>
      </c>
      <c r="BD137">
        <f t="shared" si="22"/>
        <v>0.88195799999999991</v>
      </c>
      <c r="BE137">
        <f t="shared" si="23"/>
        <v>0.47586132085799998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0.98541299999999998</v>
      </c>
      <c r="H138" s="22">
        <v>50.601199999999999</v>
      </c>
      <c r="I138" s="22">
        <v>-1.20758E-3</v>
      </c>
      <c r="J138" s="22">
        <v>128</v>
      </c>
      <c r="K138" s="22">
        <v>0.98419199999999996</v>
      </c>
      <c r="L138">
        <f t="shared" si="12"/>
        <v>1.2075799999999999</v>
      </c>
      <c r="M138">
        <f t="shared" si="13"/>
        <v>1.1899650305399998</v>
      </c>
      <c r="N138" s="9"/>
      <c r="O138" s="22">
        <v>0.54458600000000001</v>
      </c>
      <c r="P138" s="22">
        <v>99.660600000000002</v>
      </c>
      <c r="Q138" s="22">
        <v>-1.1065700000000001E-3</v>
      </c>
      <c r="R138" s="22">
        <v>128</v>
      </c>
      <c r="S138" s="22">
        <v>0.54391500000000004</v>
      </c>
      <c r="T138">
        <f t="shared" si="14"/>
        <v>1.1065700000000001</v>
      </c>
      <c r="U138">
        <f t="shared" si="15"/>
        <v>0.60262253001999999</v>
      </c>
      <c r="X138" s="9"/>
      <c r="Y138" s="22">
        <v>0.98541299999999998</v>
      </c>
      <c r="Z138" s="22">
        <v>148.74</v>
      </c>
      <c r="AA138" s="22">
        <v>-9.4848600000000001E-4</v>
      </c>
      <c r="AB138" s="22">
        <v>128</v>
      </c>
      <c r="AC138" s="22">
        <v>0.98449699999999996</v>
      </c>
      <c r="AD138">
        <f t="shared" si="16"/>
        <v>0.94848600000000005</v>
      </c>
      <c r="AE138">
        <f t="shared" si="17"/>
        <v>0.93465043471800002</v>
      </c>
      <c r="AF138" s="9"/>
      <c r="AG138" s="22">
        <v>0.54458600000000001</v>
      </c>
      <c r="AH138" s="22">
        <v>197.989</v>
      </c>
      <c r="AI138" s="22">
        <v>-9.4879199999999995E-4</v>
      </c>
      <c r="AJ138" s="22">
        <v>128</v>
      </c>
      <c r="AK138" s="22">
        <v>0.54391500000000004</v>
      </c>
      <c r="AL138">
        <f t="shared" si="18"/>
        <v>0.94879199999999997</v>
      </c>
      <c r="AM138">
        <f t="shared" si="19"/>
        <v>0.51669884011199996</v>
      </c>
      <c r="AP138" s="9"/>
      <c r="AQ138" s="22">
        <v>0.98541299999999998</v>
      </c>
      <c r="AR138" s="22">
        <v>247.13399999999999</v>
      </c>
      <c r="AS138" s="22">
        <v>-8.3831800000000001E-4</v>
      </c>
      <c r="AT138" s="22">
        <v>128</v>
      </c>
      <c r="AU138" s="22">
        <v>0.98419199999999996</v>
      </c>
      <c r="AV138">
        <f t="shared" si="20"/>
        <v>0.83831800000000001</v>
      </c>
      <c r="AW138">
        <f t="shared" si="21"/>
        <v>0.82608945533400002</v>
      </c>
      <c r="AX138" s="9"/>
      <c r="AY138" s="22">
        <v>0.54458600000000001</v>
      </c>
      <c r="AZ138" s="22">
        <v>296.29300000000001</v>
      </c>
      <c r="BA138" s="22">
        <v>-8.7799099999999995E-4</v>
      </c>
      <c r="BB138" s="22">
        <v>128</v>
      </c>
      <c r="BC138" s="22">
        <v>0.54397600000000002</v>
      </c>
      <c r="BD138">
        <f t="shared" si="22"/>
        <v>0.87799099999999997</v>
      </c>
      <c r="BE138">
        <f t="shared" si="23"/>
        <v>0.47814160672599998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0.98037700000000005</v>
      </c>
      <c r="H139" s="22">
        <v>50.6113</v>
      </c>
      <c r="I139" s="22">
        <v>-1.2112399999999999E-3</v>
      </c>
      <c r="J139" s="22">
        <v>129</v>
      </c>
      <c r="K139" s="22">
        <v>0.97991899999999998</v>
      </c>
      <c r="L139">
        <f t="shared" si="12"/>
        <v>1.2112399999999999</v>
      </c>
      <c r="M139">
        <f t="shared" si="13"/>
        <v>1.18747183748</v>
      </c>
      <c r="N139" s="9"/>
      <c r="O139" s="22">
        <v>0.54962200000000005</v>
      </c>
      <c r="P139" s="22">
        <v>99.670699999999997</v>
      </c>
      <c r="Q139" s="22">
        <v>-1.1026E-3</v>
      </c>
      <c r="R139" s="22">
        <v>129</v>
      </c>
      <c r="S139" s="22">
        <v>0.54895000000000005</v>
      </c>
      <c r="T139">
        <f t="shared" si="14"/>
        <v>1.1026</v>
      </c>
      <c r="U139">
        <f t="shared" si="15"/>
        <v>0.60601321720000012</v>
      </c>
      <c r="X139" s="9"/>
      <c r="Y139" s="22">
        <v>0.98037700000000005</v>
      </c>
      <c r="Z139" s="22">
        <v>148.75</v>
      </c>
      <c r="AA139" s="22">
        <v>-9.5275899999999996E-4</v>
      </c>
      <c r="AB139" s="22">
        <v>129</v>
      </c>
      <c r="AC139" s="22">
        <v>0.97930899999999999</v>
      </c>
      <c r="AD139">
        <f t="shared" si="16"/>
        <v>0.95275899999999991</v>
      </c>
      <c r="AE139">
        <f t="shared" si="17"/>
        <v>0.93406301014299997</v>
      </c>
      <c r="AF139" s="9"/>
      <c r="AG139" s="22">
        <v>0.54962200000000005</v>
      </c>
      <c r="AH139" s="22">
        <v>198</v>
      </c>
      <c r="AI139" s="22">
        <v>-9.4512899999999996E-4</v>
      </c>
      <c r="AJ139" s="22">
        <v>129</v>
      </c>
      <c r="AK139" s="22">
        <v>0.54898100000000005</v>
      </c>
      <c r="AL139">
        <f t="shared" si="18"/>
        <v>0.945129</v>
      </c>
      <c r="AM139">
        <f t="shared" si="19"/>
        <v>0.51946369123800007</v>
      </c>
      <c r="AP139" s="9"/>
      <c r="AQ139" s="22">
        <v>0.98037700000000005</v>
      </c>
      <c r="AR139" s="22">
        <v>247.14400000000001</v>
      </c>
      <c r="AS139" s="22">
        <v>-8.4259000000000005E-4</v>
      </c>
      <c r="AT139" s="22">
        <v>129</v>
      </c>
      <c r="AU139" s="22">
        <v>0.97900399999999999</v>
      </c>
      <c r="AV139">
        <f t="shared" si="20"/>
        <v>0.84259000000000006</v>
      </c>
      <c r="AW139">
        <f t="shared" si="21"/>
        <v>0.82605585643000012</v>
      </c>
      <c r="AX139" s="9"/>
      <c r="AY139" s="22">
        <v>0.54962200000000005</v>
      </c>
      <c r="AZ139" s="22">
        <v>296.303</v>
      </c>
      <c r="BA139" s="22">
        <v>-8.7402300000000003E-4</v>
      </c>
      <c r="BB139" s="22">
        <v>129</v>
      </c>
      <c r="BC139" s="22">
        <v>0.54898100000000005</v>
      </c>
      <c r="BD139">
        <f t="shared" si="22"/>
        <v>0.87402299999999999</v>
      </c>
      <c r="BE139">
        <f t="shared" si="23"/>
        <v>0.48038226930600003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0.97534200000000004</v>
      </c>
      <c r="H140" s="22">
        <v>50.621400000000001</v>
      </c>
      <c r="I140" s="22">
        <v>-1.2155200000000001E-3</v>
      </c>
      <c r="J140" s="22">
        <v>130</v>
      </c>
      <c r="K140" s="22">
        <v>0.97412100000000001</v>
      </c>
      <c r="L140">
        <f t="shared" ref="L140:L203" si="24">-I140/$F$2*1000</f>
        <v>1.2155200000000002</v>
      </c>
      <c r="M140">
        <f t="shared" ref="M140:M203" si="25">L140*G140</f>
        <v>1.1855477078400003</v>
      </c>
      <c r="N140" s="9"/>
      <c r="O140" s="22">
        <v>0.55465699999999996</v>
      </c>
      <c r="P140" s="22">
        <v>99.680800000000005</v>
      </c>
      <c r="Q140" s="22">
        <v>-1.09833E-3</v>
      </c>
      <c r="R140" s="22">
        <v>130</v>
      </c>
      <c r="S140" s="22">
        <v>0.55401599999999995</v>
      </c>
      <c r="T140">
        <f t="shared" ref="T140:T203" si="26">-Q140/$F$2*1000</f>
        <v>1.09833</v>
      </c>
      <c r="U140">
        <f t="shared" ref="U140:U203" si="27">T140*O140</f>
        <v>0.60919642280999997</v>
      </c>
      <c r="X140" s="9"/>
      <c r="Y140" s="22">
        <v>0.97534200000000004</v>
      </c>
      <c r="Z140" s="22">
        <v>148.76</v>
      </c>
      <c r="AA140" s="22">
        <v>-9.5672599999999997E-4</v>
      </c>
      <c r="AB140" s="22">
        <v>130</v>
      </c>
      <c r="AC140" s="22">
        <v>0.97412100000000001</v>
      </c>
      <c r="AD140">
        <f t="shared" ref="AD140:AD203" si="28">-AA140/$F$2*1000</f>
        <v>0.95672599999999997</v>
      </c>
      <c r="AE140">
        <f t="shared" ref="AE140:AE203" si="29">AD140*Y140</f>
        <v>0.93313505029200006</v>
      </c>
      <c r="AF140" s="9"/>
      <c r="AG140" s="22">
        <v>0.55465699999999996</v>
      </c>
      <c r="AH140" s="22">
        <v>198.01</v>
      </c>
      <c r="AI140" s="22">
        <v>-9.4146699999999998E-4</v>
      </c>
      <c r="AJ140" s="22">
        <v>130</v>
      </c>
      <c r="AK140" s="22">
        <v>0.55404699999999996</v>
      </c>
      <c r="AL140">
        <f t="shared" ref="AL140:AL203" si="30">-AI140/$F$2*1000</f>
        <v>0.94146699999999994</v>
      </c>
      <c r="AM140">
        <f t="shared" ref="AM140:AM203" si="31">AL140*AG140</f>
        <v>0.52219126181899989</v>
      </c>
      <c r="AP140" s="9"/>
      <c r="AQ140" s="22">
        <v>0.97534200000000004</v>
      </c>
      <c r="AR140" s="22">
        <v>247.154</v>
      </c>
      <c r="AS140" s="22">
        <v>-8.46863E-4</v>
      </c>
      <c r="AT140" s="22">
        <v>130</v>
      </c>
      <c r="AU140" s="22">
        <v>0.97442600000000001</v>
      </c>
      <c r="AV140">
        <f t="shared" ref="AV140:AV203" si="32">-AS140/$F$2*1000</f>
        <v>0.84686300000000003</v>
      </c>
      <c r="AW140">
        <f t="shared" ref="AW140:AW203" si="33">AV140*AQ140</f>
        <v>0.82598105214600004</v>
      </c>
      <c r="AX140" s="9"/>
      <c r="AY140" s="22">
        <v>0.55465699999999996</v>
      </c>
      <c r="AZ140" s="22">
        <v>296.31299999999999</v>
      </c>
      <c r="BA140" s="22">
        <v>-8.7036100000000005E-4</v>
      </c>
      <c r="BB140" s="22">
        <v>130</v>
      </c>
      <c r="BC140" s="22">
        <v>0.55401599999999995</v>
      </c>
      <c r="BD140">
        <f t="shared" ref="BD140:BD203" si="34">-BA140/$F$2*1000</f>
        <v>0.87036100000000005</v>
      </c>
      <c r="BE140">
        <f t="shared" ref="BE140:BE203" si="35">BD140*AY140</f>
        <v>0.482751821177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0.970306</v>
      </c>
      <c r="H141" s="22">
        <v>50.631399999999999</v>
      </c>
      <c r="I141" s="22">
        <v>-1.2173500000000001E-3</v>
      </c>
      <c r="J141" s="22">
        <v>131</v>
      </c>
      <c r="K141" s="22">
        <v>0.96923800000000004</v>
      </c>
      <c r="L141">
        <f t="shared" si="24"/>
        <v>1.2173500000000002</v>
      </c>
      <c r="M141">
        <f t="shared" si="25"/>
        <v>1.1812020091000002</v>
      </c>
      <c r="N141" s="9"/>
      <c r="O141" s="22">
        <v>0.55969199999999997</v>
      </c>
      <c r="P141" s="22">
        <v>99.690899999999999</v>
      </c>
      <c r="Q141" s="22">
        <v>-1.09436E-3</v>
      </c>
      <c r="R141" s="22">
        <v>131</v>
      </c>
      <c r="S141" s="22">
        <v>0.55908199999999997</v>
      </c>
      <c r="T141">
        <f t="shared" si="26"/>
        <v>1.09436</v>
      </c>
      <c r="U141">
        <f t="shared" si="27"/>
        <v>0.61250453711999997</v>
      </c>
      <c r="X141" s="9"/>
      <c r="Y141" s="22">
        <v>0.970306</v>
      </c>
      <c r="Z141" s="22">
        <v>148.77000000000001</v>
      </c>
      <c r="AA141" s="22">
        <v>-9.6008300000000003E-4</v>
      </c>
      <c r="AB141" s="22">
        <v>131</v>
      </c>
      <c r="AC141" s="22">
        <v>0.96862800000000004</v>
      </c>
      <c r="AD141">
        <f t="shared" si="28"/>
        <v>0.96008300000000002</v>
      </c>
      <c r="AE141">
        <f t="shared" si="29"/>
        <v>0.93157429539800007</v>
      </c>
      <c r="AF141" s="9"/>
      <c r="AG141" s="22">
        <v>0.55969199999999997</v>
      </c>
      <c r="AH141" s="22">
        <v>198.02</v>
      </c>
      <c r="AI141" s="22">
        <v>-9.3749999999999997E-4</v>
      </c>
      <c r="AJ141" s="22">
        <v>131</v>
      </c>
      <c r="AK141" s="22">
        <v>0.55911299999999997</v>
      </c>
      <c r="AL141">
        <f t="shared" si="30"/>
        <v>0.9375</v>
      </c>
      <c r="AM141">
        <f t="shared" si="31"/>
        <v>0.52471124999999996</v>
      </c>
      <c r="AP141" s="9"/>
      <c r="AQ141" s="22">
        <v>0.970306</v>
      </c>
      <c r="AR141" s="22">
        <v>247.16399999999999</v>
      </c>
      <c r="AS141" s="22">
        <v>-8.5083000000000001E-4</v>
      </c>
      <c r="AT141" s="22">
        <v>131</v>
      </c>
      <c r="AU141" s="22">
        <v>0.96954300000000004</v>
      </c>
      <c r="AV141">
        <f t="shared" si="32"/>
        <v>0.85082999999999998</v>
      </c>
      <c r="AW141">
        <f t="shared" si="33"/>
        <v>0.82556545398000003</v>
      </c>
      <c r="AX141" s="9"/>
      <c r="AY141" s="22">
        <v>0.55969199999999997</v>
      </c>
      <c r="AZ141" s="22">
        <v>296.32400000000001</v>
      </c>
      <c r="BA141" s="22">
        <v>-8.6669899999999996E-4</v>
      </c>
      <c r="BB141" s="22">
        <v>131</v>
      </c>
      <c r="BC141" s="22">
        <v>0.55908199999999997</v>
      </c>
      <c r="BD141">
        <f t="shared" si="34"/>
        <v>0.866699</v>
      </c>
      <c r="BE141">
        <f t="shared" si="35"/>
        <v>0.48508449670799997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0.96527099999999999</v>
      </c>
      <c r="H142" s="22">
        <v>50.641500000000001</v>
      </c>
      <c r="I142" s="22">
        <v>-1.2206999999999999E-3</v>
      </c>
      <c r="J142" s="22">
        <v>132</v>
      </c>
      <c r="K142" s="22">
        <v>0.96374499999999996</v>
      </c>
      <c r="L142">
        <f t="shared" si="24"/>
        <v>1.2206999999999999</v>
      </c>
      <c r="M142">
        <f t="shared" si="25"/>
        <v>1.1783063096999999</v>
      </c>
      <c r="N142" s="9"/>
      <c r="O142" s="22">
        <v>0.56472800000000001</v>
      </c>
      <c r="P142" s="22">
        <v>99.700900000000004</v>
      </c>
      <c r="Q142" s="22">
        <v>-1.0903899999999999E-3</v>
      </c>
      <c r="R142" s="22">
        <v>132</v>
      </c>
      <c r="S142" s="22">
        <v>0.56411699999999998</v>
      </c>
      <c r="T142">
        <f t="shared" si="26"/>
        <v>1.09039</v>
      </c>
      <c r="U142">
        <f t="shared" si="27"/>
        <v>0.61577376391999994</v>
      </c>
      <c r="X142" s="9"/>
      <c r="Y142" s="22">
        <v>0.96527099999999999</v>
      </c>
      <c r="Z142" s="22">
        <v>148.78</v>
      </c>
      <c r="AA142" s="22">
        <v>-9.6588100000000003E-4</v>
      </c>
      <c r="AB142" s="22">
        <v>132</v>
      </c>
      <c r="AC142" s="22">
        <v>0.96404999999999996</v>
      </c>
      <c r="AD142">
        <f t="shared" si="28"/>
        <v>0.96588099999999999</v>
      </c>
      <c r="AE142">
        <f t="shared" si="29"/>
        <v>0.932336918751</v>
      </c>
      <c r="AF142" s="9"/>
      <c r="AG142" s="22">
        <v>0.56472800000000001</v>
      </c>
      <c r="AH142" s="22">
        <v>198.03</v>
      </c>
      <c r="AI142" s="22">
        <v>-9.3353299999999995E-4</v>
      </c>
      <c r="AJ142" s="22">
        <v>132</v>
      </c>
      <c r="AK142" s="22">
        <v>0.56408700000000001</v>
      </c>
      <c r="AL142">
        <f t="shared" si="30"/>
        <v>0.93353299999999995</v>
      </c>
      <c r="AM142">
        <f t="shared" si="31"/>
        <v>0.52719222402400001</v>
      </c>
      <c r="AP142" s="9"/>
      <c r="AQ142" s="22">
        <v>0.96527099999999999</v>
      </c>
      <c r="AR142" s="22">
        <v>247.17400000000001</v>
      </c>
      <c r="AS142" s="22">
        <v>-8.5510299999999996E-4</v>
      </c>
      <c r="AT142" s="22">
        <v>132</v>
      </c>
      <c r="AU142" s="22">
        <v>0.96435499999999996</v>
      </c>
      <c r="AV142">
        <f t="shared" si="32"/>
        <v>0.85510299999999995</v>
      </c>
      <c r="AW142">
        <f t="shared" si="33"/>
        <v>0.82540612791299994</v>
      </c>
      <c r="AX142" s="9"/>
      <c r="AY142" s="22">
        <v>0.56472800000000001</v>
      </c>
      <c r="AZ142" s="22">
        <v>296.334</v>
      </c>
      <c r="BA142" s="22">
        <v>-8.6303699999999998E-4</v>
      </c>
      <c r="BB142" s="22">
        <v>132</v>
      </c>
      <c r="BC142" s="22">
        <v>0.56402600000000003</v>
      </c>
      <c r="BD142">
        <f t="shared" si="34"/>
        <v>0.86303699999999994</v>
      </c>
      <c r="BE142">
        <f t="shared" si="35"/>
        <v>0.48738115893599998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0.96023599999999998</v>
      </c>
      <c r="H143" s="22">
        <v>50.651600000000002</v>
      </c>
      <c r="I143" s="22">
        <v>-1.22375E-3</v>
      </c>
      <c r="J143" s="22">
        <v>133</v>
      </c>
      <c r="K143" s="22">
        <v>0.95886199999999999</v>
      </c>
      <c r="L143">
        <f t="shared" si="24"/>
        <v>1.2237500000000001</v>
      </c>
      <c r="M143">
        <f t="shared" si="25"/>
        <v>1.1750888050000001</v>
      </c>
      <c r="N143" s="9"/>
      <c r="O143" s="22">
        <v>0.56976300000000002</v>
      </c>
      <c r="P143" s="22">
        <v>99.710999999999999</v>
      </c>
      <c r="Q143" s="22">
        <v>-1.0861200000000001E-3</v>
      </c>
      <c r="R143" s="22">
        <v>133</v>
      </c>
      <c r="S143" s="22">
        <v>0.56915300000000002</v>
      </c>
      <c r="T143">
        <f t="shared" si="26"/>
        <v>1.0861200000000002</v>
      </c>
      <c r="U143">
        <f t="shared" si="27"/>
        <v>0.61883098956000016</v>
      </c>
      <c r="X143" s="9"/>
      <c r="Y143" s="22">
        <v>0.96023599999999998</v>
      </c>
      <c r="Z143" s="22">
        <v>148.79</v>
      </c>
      <c r="AA143" s="22">
        <v>-9.7045900000000001E-4</v>
      </c>
      <c r="AB143" s="22">
        <v>133</v>
      </c>
      <c r="AC143" s="22">
        <v>0.95916699999999999</v>
      </c>
      <c r="AD143">
        <f t="shared" si="28"/>
        <v>0.97045899999999996</v>
      </c>
      <c r="AE143">
        <f t="shared" si="29"/>
        <v>0.93186966832399998</v>
      </c>
      <c r="AF143" s="9"/>
      <c r="AG143" s="22">
        <v>0.56976300000000002</v>
      </c>
      <c r="AH143" s="22">
        <v>198.04</v>
      </c>
      <c r="AI143" s="22">
        <v>-9.2956500000000004E-4</v>
      </c>
      <c r="AJ143" s="22">
        <v>133</v>
      </c>
      <c r="AK143" s="22">
        <v>0.56915300000000002</v>
      </c>
      <c r="AL143">
        <f t="shared" si="30"/>
        <v>0.92956500000000009</v>
      </c>
      <c r="AM143">
        <f t="shared" si="31"/>
        <v>0.52963174309500005</v>
      </c>
      <c r="AP143" s="9"/>
      <c r="AQ143" s="22">
        <v>0.96023599999999998</v>
      </c>
      <c r="AR143" s="22">
        <v>247.184</v>
      </c>
      <c r="AS143" s="22">
        <v>-8.5906999999999997E-4</v>
      </c>
      <c r="AT143" s="22">
        <v>133</v>
      </c>
      <c r="AU143" s="22">
        <v>0.95886199999999999</v>
      </c>
      <c r="AV143">
        <f t="shared" si="32"/>
        <v>0.85907</v>
      </c>
      <c r="AW143">
        <f t="shared" si="33"/>
        <v>0.82490994052</v>
      </c>
      <c r="AX143" s="9"/>
      <c r="AY143" s="22">
        <v>0.56976300000000002</v>
      </c>
      <c r="AZ143" s="22">
        <v>296.34399999999999</v>
      </c>
      <c r="BA143" s="22">
        <v>-8.5968000000000004E-4</v>
      </c>
      <c r="BB143" s="22">
        <v>133</v>
      </c>
      <c r="BC143" s="22">
        <v>0.56903099999999995</v>
      </c>
      <c r="BD143">
        <f t="shared" si="34"/>
        <v>0.85968</v>
      </c>
      <c r="BE143">
        <f t="shared" si="35"/>
        <v>0.48981385584000003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0.95520000000000005</v>
      </c>
      <c r="H144" s="22">
        <v>50.661700000000003</v>
      </c>
      <c r="I144" s="22">
        <v>-1.22803E-3</v>
      </c>
      <c r="J144" s="22">
        <v>134</v>
      </c>
      <c r="K144" s="22">
        <v>0.95397900000000002</v>
      </c>
      <c r="L144">
        <f t="shared" si="24"/>
        <v>1.22803</v>
      </c>
      <c r="M144">
        <f t="shared" si="25"/>
        <v>1.1730142560000001</v>
      </c>
      <c r="N144" s="9"/>
      <c r="O144" s="22">
        <v>0.57479899999999995</v>
      </c>
      <c r="P144" s="22">
        <v>99.721100000000007</v>
      </c>
      <c r="Q144" s="22">
        <v>-1.0827600000000001E-3</v>
      </c>
      <c r="R144" s="22">
        <v>134</v>
      </c>
      <c r="S144" s="22">
        <v>0.57415799999999995</v>
      </c>
      <c r="T144">
        <f t="shared" si="26"/>
        <v>1.0827600000000002</v>
      </c>
      <c r="U144">
        <f t="shared" si="27"/>
        <v>0.62236936524000008</v>
      </c>
      <c r="X144" s="9"/>
      <c r="Y144" s="22">
        <v>0.95520000000000005</v>
      </c>
      <c r="Z144" s="22">
        <v>148.80000000000001</v>
      </c>
      <c r="AA144" s="22">
        <v>-9.7473099999999995E-4</v>
      </c>
      <c r="AB144" s="22">
        <v>134</v>
      </c>
      <c r="AC144" s="22">
        <v>0.95397900000000002</v>
      </c>
      <c r="AD144">
        <f t="shared" si="28"/>
        <v>0.9747309999999999</v>
      </c>
      <c r="AE144">
        <f t="shared" si="29"/>
        <v>0.93106305119999999</v>
      </c>
      <c r="AF144" s="9"/>
      <c r="AG144" s="22">
        <v>0.57479899999999995</v>
      </c>
      <c r="AH144" s="22">
        <v>198.05</v>
      </c>
      <c r="AI144" s="22">
        <v>-9.2651400000000003E-4</v>
      </c>
      <c r="AJ144" s="22">
        <v>134</v>
      </c>
      <c r="AK144" s="22">
        <v>0.57412700000000005</v>
      </c>
      <c r="AL144">
        <f t="shared" si="30"/>
        <v>0.92651400000000006</v>
      </c>
      <c r="AM144">
        <f t="shared" si="31"/>
        <v>0.53255932068599998</v>
      </c>
      <c r="AP144" s="9"/>
      <c r="AQ144" s="22">
        <v>0.95520000000000005</v>
      </c>
      <c r="AR144" s="22">
        <v>247.19399999999999</v>
      </c>
      <c r="AS144" s="22">
        <v>-8.6303699999999998E-4</v>
      </c>
      <c r="AT144" s="22">
        <v>134</v>
      </c>
      <c r="AU144" s="22">
        <v>0.95459000000000005</v>
      </c>
      <c r="AV144">
        <f t="shared" si="32"/>
        <v>0.86303699999999994</v>
      </c>
      <c r="AW144">
        <f t="shared" si="33"/>
        <v>0.82437294240000003</v>
      </c>
      <c r="AX144" s="9"/>
      <c r="AY144" s="22">
        <v>0.57479899999999995</v>
      </c>
      <c r="AZ144" s="22">
        <v>296.35399999999998</v>
      </c>
      <c r="BA144" s="22">
        <v>-8.5632299999999998E-4</v>
      </c>
      <c r="BB144" s="22">
        <v>134</v>
      </c>
      <c r="BC144" s="22">
        <v>0.57412700000000005</v>
      </c>
      <c r="BD144">
        <f t="shared" si="34"/>
        <v>0.85632299999999995</v>
      </c>
      <c r="BE144">
        <f t="shared" si="35"/>
        <v>0.49221360407699993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0.95016500000000004</v>
      </c>
      <c r="H145" s="22">
        <v>50.671700000000001</v>
      </c>
      <c r="I145" s="22">
        <v>-1.2310800000000001E-3</v>
      </c>
      <c r="J145" s="22">
        <v>135</v>
      </c>
      <c r="K145" s="22">
        <v>0.94909699999999997</v>
      </c>
      <c r="L145">
        <f t="shared" si="24"/>
        <v>1.2310800000000002</v>
      </c>
      <c r="M145">
        <f t="shared" si="25"/>
        <v>1.1697291282000002</v>
      </c>
      <c r="N145" s="9"/>
      <c r="O145" s="22">
        <v>0.57983399999999996</v>
      </c>
      <c r="P145" s="22">
        <v>99.731099999999998</v>
      </c>
      <c r="Q145" s="22">
        <v>-1.07941E-3</v>
      </c>
      <c r="R145" s="22">
        <v>135</v>
      </c>
      <c r="S145" s="22">
        <v>0.57922399999999996</v>
      </c>
      <c r="T145">
        <f t="shared" si="26"/>
        <v>1.07941</v>
      </c>
      <c r="U145">
        <f t="shared" si="27"/>
        <v>0.62587861793999999</v>
      </c>
      <c r="X145" s="9"/>
      <c r="Y145" s="22">
        <v>0.95016500000000004</v>
      </c>
      <c r="Z145" s="22">
        <v>148.81100000000001</v>
      </c>
      <c r="AA145" s="22">
        <v>-9.7869899999999998E-4</v>
      </c>
      <c r="AB145" s="22">
        <v>135</v>
      </c>
      <c r="AC145" s="22">
        <v>0.94879199999999997</v>
      </c>
      <c r="AD145">
        <f t="shared" si="28"/>
        <v>0.97869899999999999</v>
      </c>
      <c r="AE145">
        <f t="shared" si="29"/>
        <v>0.929925535335</v>
      </c>
      <c r="AF145" s="9"/>
      <c r="AG145" s="22">
        <v>0.57983399999999996</v>
      </c>
      <c r="AH145" s="22">
        <v>198.06</v>
      </c>
      <c r="AI145" s="22">
        <v>-9.2285200000000005E-4</v>
      </c>
      <c r="AJ145" s="22">
        <v>135</v>
      </c>
      <c r="AK145" s="22">
        <v>0.57925400000000005</v>
      </c>
      <c r="AL145">
        <f t="shared" si="30"/>
        <v>0.92285200000000001</v>
      </c>
      <c r="AM145">
        <f t="shared" si="31"/>
        <v>0.53510096656799999</v>
      </c>
      <c r="AP145" s="9"/>
      <c r="AQ145" s="22">
        <v>0.95016500000000004</v>
      </c>
      <c r="AR145" s="22">
        <v>247.20400000000001</v>
      </c>
      <c r="AS145" s="22">
        <v>-8.6639400000000004E-4</v>
      </c>
      <c r="AT145" s="22">
        <v>135</v>
      </c>
      <c r="AU145" s="22">
        <v>0.94879199999999997</v>
      </c>
      <c r="AV145">
        <f t="shared" si="32"/>
        <v>0.866394</v>
      </c>
      <c r="AW145">
        <f t="shared" si="33"/>
        <v>0.82321725500999998</v>
      </c>
      <c r="AX145" s="9"/>
      <c r="AY145" s="22">
        <v>0.57983399999999996</v>
      </c>
      <c r="AZ145" s="22">
        <v>296.36399999999998</v>
      </c>
      <c r="BA145" s="22">
        <v>-8.52661E-4</v>
      </c>
      <c r="BB145" s="22">
        <v>135</v>
      </c>
      <c r="BC145" s="22">
        <v>0.57919299999999996</v>
      </c>
      <c r="BD145">
        <f t="shared" si="34"/>
        <v>0.852661</v>
      </c>
      <c r="BE145">
        <f t="shared" si="35"/>
        <v>0.49440183827399997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0.945129</v>
      </c>
      <c r="H146" s="22">
        <v>50.681800000000003</v>
      </c>
      <c r="I146" s="22">
        <v>-1.23566E-3</v>
      </c>
      <c r="J146" s="22">
        <v>136</v>
      </c>
      <c r="K146" s="22">
        <v>0.943909</v>
      </c>
      <c r="L146">
        <f t="shared" si="24"/>
        <v>1.23566</v>
      </c>
      <c r="M146">
        <f t="shared" si="25"/>
        <v>1.1678581001399999</v>
      </c>
      <c r="N146" s="9"/>
      <c r="O146" s="22">
        <v>0.58486899999999997</v>
      </c>
      <c r="P146" s="22">
        <v>99.741200000000006</v>
      </c>
      <c r="Q146" s="22">
        <v>-1.0757399999999999E-3</v>
      </c>
      <c r="R146" s="22">
        <v>136</v>
      </c>
      <c r="S146" s="22">
        <v>0.584198</v>
      </c>
      <c r="T146">
        <f t="shared" si="26"/>
        <v>1.0757399999999999</v>
      </c>
      <c r="U146">
        <f t="shared" si="27"/>
        <v>0.62916697805999988</v>
      </c>
      <c r="X146" s="9"/>
      <c r="Y146" s="22">
        <v>0.945129</v>
      </c>
      <c r="Z146" s="22">
        <v>148.821</v>
      </c>
      <c r="AA146" s="22">
        <v>-9.8327599999999994E-4</v>
      </c>
      <c r="AB146" s="22">
        <v>136</v>
      </c>
      <c r="AC146" s="22">
        <v>0.943909</v>
      </c>
      <c r="AD146">
        <f t="shared" si="28"/>
        <v>0.98327599999999993</v>
      </c>
      <c r="AE146">
        <f t="shared" si="29"/>
        <v>0.92932266260399998</v>
      </c>
      <c r="AF146" s="9"/>
      <c r="AG146" s="22">
        <v>0.58486899999999997</v>
      </c>
      <c r="AH146" s="22">
        <v>198.07</v>
      </c>
      <c r="AI146" s="22">
        <v>-9.1949499999999999E-4</v>
      </c>
      <c r="AJ146" s="22">
        <v>136</v>
      </c>
      <c r="AK146" s="22">
        <v>0.58425899999999997</v>
      </c>
      <c r="AL146">
        <f t="shared" si="30"/>
        <v>0.91949499999999995</v>
      </c>
      <c r="AM146">
        <f t="shared" si="31"/>
        <v>0.53778412115499996</v>
      </c>
      <c r="AP146" s="9"/>
      <c r="AQ146" s="22">
        <v>0.945129</v>
      </c>
      <c r="AR146" s="22">
        <v>247.214</v>
      </c>
      <c r="AS146" s="22">
        <v>-8.7127700000000005E-4</v>
      </c>
      <c r="AT146" s="22">
        <v>136</v>
      </c>
      <c r="AU146" s="22">
        <v>0.943909</v>
      </c>
      <c r="AV146">
        <f t="shared" si="32"/>
        <v>0.87127700000000008</v>
      </c>
      <c r="AW146">
        <f t="shared" si="33"/>
        <v>0.82346915973300006</v>
      </c>
      <c r="AX146" s="9"/>
      <c r="AY146" s="22">
        <v>0.58486899999999997</v>
      </c>
      <c r="AZ146" s="22">
        <v>296.37400000000002</v>
      </c>
      <c r="BA146" s="22">
        <v>-8.4930400000000005E-4</v>
      </c>
      <c r="BB146" s="22">
        <v>136</v>
      </c>
      <c r="BC146" s="22">
        <v>0.58425899999999997</v>
      </c>
      <c r="BD146">
        <f t="shared" si="34"/>
        <v>0.84930400000000006</v>
      </c>
      <c r="BE146">
        <f t="shared" si="35"/>
        <v>0.49673158117600003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0.94009399999999999</v>
      </c>
      <c r="H147" s="22">
        <v>50.691899999999997</v>
      </c>
      <c r="I147" s="22">
        <v>-1.2393199999999999E-3</v>
      </c>
      <c r="J147" s="22">
        <v>137</v>
      </c>
      <c r="K147" s="22">
        <v>0.93872100000000003</v>
      </c>
      <c r="L147">
        <f t="shared" si="24"/>
        <v>1.23932</v>
      </c>
      <c r="M147">
        <f t="shared" si="25"/>
        <v>1.16507729608</v>
      </c>
      <c r="N147" s="9"/>
      <c r="O147" s="22">
        <v>0.58990500000000001</v>
      </c>
      <c r="P147" s="22">
        <v>99.751300000000001</v>
      </c>
      <c r="Q147" s="22">
        <v>-1.07178E-3</v>
      </c>
      <c r="R147" s="22">
        <v>137</v>
      </c>
      <c r="S147" s="22">
        <v>0.58923300000000001</v>
      </c>
      <c r="T147">
        <f t="shared" si="26"/>
        <v>1.07178</v>
      </c>
      <c r="U147">
        <f t="shared" si="27"/>
        <v>0.63224838090000002</v>
      </c>
      <c r="X147" s="9"/>
      <c r="Y147" s="22">
        <v>0.94009399999999999</v>
      </c>
      <c r="Z147" s="22">
        <v>148.83099999999999</v>
      </c>
      <c r="AA147" s="22">
        <v>-9.8693799999999992E-4</v>
      </c>
      <c r="AB147" s="22">
        <v>137</v>
      </c>
      <c r="AC147" s="22">
        <v>0.93872100000000003</v>
      </c>
      <c r="AD147">
        <f t="shared" si="28"/>
        <v>0.98693799999999987</v>
      </c>
      <c r="AE147">
        <f t="shared" si="29"/>
        <v>0.92781449217199985</v>
      </c>
      <c r="AF147" s="9"/>
      <c r="AG147" s="22">
        <v>0.58990500000000001</v>
      </c>
      <c r="AH147" s="22">
        <v>198.08</v>
      </c>
      <c r="AI147" s="22">
        <v>-9.1552699999999996E-4</v>
      </c>
      <c r="AJ147" s="22">
        <v>137</v>
      </c>
      <c r="AK147" s="22">
        <v>0.58935499999999996</v>
      </c>
      <c r="AL147">
        <f t="shared" si="30"/>
        <v>0.91552699999999998</v>
      </c>
      <c r="AM147">
        <f t="shared" si="31"/>
        <v>0.54007395493499999</v>
      </c>
      <c r="AP147" s="9"/>
      <c r="AQ147" s="22">
        <v>0.94009399999999999</v>
      </c>
      <c r="AR147" s="22">
        <v>247.22499999999999</v>
      </c>
      <c r="AS147" s="22">
        <v>-8.7432899999999997E-4</v>
      </c>
      <c r="AT147" s="22">
        <v>137</v>
      </c>
      <c r="AU147" s="22">
        <v>0.93902600000000003</v>
      </c>
      <c r="AV147">
        <f t="shared" si="32"/>
        <v>0.87432900000000002</v>
      </c>
      <c r="AW147">
        <f t="shared" si="33"/>
        <v>0.82195144692599997</v>
      </c>
      <c r="AX147" s="9"/>
      <c r="AY147" s="22">
        <v>0.58990500000000001</v>
      </c>
      <c r="AZ147" s="22">
        <v>296.38400000000001</v>
      </c>
      <c r="BA147" s="22">
        <v>-8.4564199999999996E-4</v>
      </c>
      <c r="BB147" s="22">
        <v>137</v>
      </c>
      <c r="BC147" s="22">
        <v>0.58929399999999998</v>
      </c>
      <c r="BD147">
        <f t="shared" si="34"/>
        <v>0.845642</v>
      </c>
      <c r="BE147">
        <f t="shared" si="35"/>
        <v>0.49884844401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0.93505899999999997</v>
      </c>
      <c r="H148" s="22">
        <v>50.701900000000002</v>
      </c>
      <c r="I148" s="22">
        <v>-1.2442E-3</v>
      </c>
      <c r="J148" s="22">
        <v>138</v>
      </c>
      <c r="K148" s="22">
        <v>0.93353299999999995</v>
      </c>
      <c r="L148">
        <f t="shared" si="24"/>
        <v>1.2442</v>
      </c>
      <c r="M148">
        <f t="shared" si="25"/>
        <v>1.1634004078</v>
      </c>
      <c r="N148" s="9"/>
      <c r="O148" s="22">
        <v>0.59494000000000002</v>
      </c>
      <c r="P148" s="22">
        <v>99.761399999999995</v>
      </c>
      <c r="Q148" s="22">
        <v>-1.0671999999999999E-3</v>
      </c>
      <c r="R148" s="22">
        <v>138</v>
      </c>
      <c r="S148" s="22">
        <v>0.59423800000000004</v>
      </c>
      <c r="T148">
        <f t="shared" si="26"/>
        <v>1.0671999999999999</v>
      </c>
      <c r="U148">
        <f t="shared" si="27"/>
        <v>0.63491996799999995</v>
      </c>
      <c r="X148" s="9"/>
      <c r="Y148" s="22">
        <v>0.93505899999999997</v>
      </c>
      <c r="Z148" s="22">
        <v>148.84100000000001</v>
      </c>
      <c r="AA148" s="22">
        <v>-9.9090599999999995E-4</v>
      </c>
      <c r="AB148" s="22">
        <v>138</v>
      </c>
      <c r="AC148" s="22">
        <v>0.93414299999999995</v>
      </c>
      <c r="AD148">
        <f t="shared" si="28"/>
        <v>0.99090599999999995</v>
      </c>
      <c r="AE148">
        <f t="shared" si="29"/>
        <v>0.92655557345399997</v>
      </c>
      <c r="AF148" s="9"/>
      <c r="AG148" s="22">
        <v>0.59494000000000002</v>
      </c>
      <c r="AH148" s="22">
        <v>198.09</v>
      </c>
      <c r="AI148" s="22">
        <v>-9.1217000000000002E-4</v>
      </c>
      <c r="AJ148" s="22">
        <v>138</v>
      </c>
      <c r="AK148" s="22">
        <v>0.59429900000000002</v>
      </c>
      <c r="AL148">
        <f t="shared" si="30"/>
        <v>0.91217000000000004</v>
      </c>
      <c r="AM148">
        <f t="shared" si="31"/>
        <v>0.5426864198000001</v>
      </c>
      <c r="AP148" s="9"/>
      <c r="AQ148" s="22">
        <v>0.93505899999999997</v>
      </c>
      <c r="AR148" s="22">
        <v>247.23500000000001</v>
      </c>
      <c r="AS148" s="22">
        <v>-8.7921099999999997E-4</v>
      </c>
      <c r="AT148" s="22">
        <v>138</v>
      </c>
      <c r="AU148" s="22">
        <v>0.93414299999999995</v>
      </c>
      <c r="AV148">
        <f t="shared" si="32"/>
        <v>0.87921099999999996</v>
      </c>
      <c r="AW148">
        <f t="shared" si="33"/>
        <v>0.82211415844899993</v>
      </c>
      <c r="AX148" s="9"/>
      <c r="AY148" s="22">
        <v>0.59494000000000002</v>
      </c>
      <c r="AZ148" s="22">
        <v>296.39400000000001</v>
      </c>
      <c r="BA148" s="22">
        <v>-8.4228500000000002E-4</v>
      </c>
      <c r="BB148" s="22">
        <v>138</v>
      </c>
      <c r="BC148" s="22">
        <v>0.59429900000000002</v>
      </c>
      <c r="BD148">
        <f t="shared" si="34"/>
        <v>0.84228500000000006</v>
      </c>
      <c r="BE148">
        <f t="shared" si="35"/>
        <v>0.50110903790000005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0.93002300000000004</v>
      </c>
      <c r="H149" s="22">
        <v>50.712000000000003</v>
      </c>
      <c r="I149" s="22">
        <v>-1.24847E-3</v>
      </c>
      <c r="J149" s="22">
        <v>139</v>
      </c>
      <c r="K149" s="22">
        <v>0.92895499999999998</v>
      </c>
      <c r="L149">
        <f t="shared" si="24"/>
        <v>1.24847</v>
      </c>
      <c r="M149">
        <f t="shared" si="25"/>
        <v>1.16110581481</v>
      </c>
      <c r="N149" s="9"/>
      <c r="O149" s="22">
        <v>0.59997599999999995</v>
      </c>
      <c r="P149" s="22">
        <v>99.7714</v>
      </c>
      <c r="Q149" s="22">
        <v>-1.0632300000000001E-3</v>
      </c>
      <c r="R149" s="22">
        <v>139</v>
      </c>
      <c r="S149" s="22">
        <v>0.59936500000000004</v>
      </c>
      <c r="T149">
        <f t="shared" si="26"/>
        <v>1.0632300000000001</v>
      </c>
      <c r="U149">
        <f t="shared" si="27"/>
        <v>0.63791248247999999</v>
      </c>
      <c r="X149" s="9"/>
      <c r="Y149" s="22">
        <v>0.93002300000000004</v>
      </c>
      <c r="Z149" s="22">
        <v>148.851</v>
      </c>
      <c r="AA149" s="22">
        <v>-9.9334699999999989E-4</v>
      </c>
      <c r="AB149" s="22">
        <v>139</v>
      </c>
      <c r="AC149" s="22">
        <v>0.92864999999999998</v>
      </c>
      <c r="AD149">
        <f t="shared" si="28"/>
        <v>0.99334699999999987</v>
      </c>
      <c r="AE149">
        <f t="shared" si="29"/>
        <v>0.92383555698099995</v>
      </c>
      <c r="AF149" s="9"/>
      <c r="AG149" s="22">
        <v>0.59997599999999995</v>
      </c>
      <c r="AH149" s="22">
        <v>198.1</v>
      </c>
      <c r="AI149" s="22">
        <v>-9.0850800000000004E-4</v>
      </c>
      <c r="AJ149" s="22">
        <v>139</v>
      </c>
      <c r="AK149" s="22">
        <v>0.59939600000000004</v>
      </c>
      <c r="AL149">
        <f t="shared" si="30"/>
        <v>0.90850799999999998</v>
      </c>
      <c r="AM149">
        <f t="shared" si="31"/>
        <v>0.5450829958079999</v>
      </c>
      <c r="AP149" s="9"/>
      <c r="AQ149" s="22">
        <v>0.93002300000000004</v>
      </c>
      <c r="AR149" s="22">
        <v>247.245</v>
      </c>
      <c r="AS149" s="22">
        <v>-8.8256800000000002E-4</v>
      </c>
      <c r="AT149" s="22">
        <v>139</v>
      </c>
      <c r="AU149" s="22">
        <v>0.92925999999999997</v>
      </c>
      <c r="AV149">
        <f t="shared" si="32"/>
        <v>0.88256800000000002</v>
      </c>
      <c r="AW149">
        <f t="shared" si="33"/>
        <v>0.82080853906400009</v>
      </c>
      <c r="AX149" s="9"/>
      <c r="AY149" s="22">
        <v>0.59997599999999995</v>
      </c>
      <c r="AZ149" s="22">
        <v>296.404</v>
      </c>
      <c r="BA149" s="22">
        <v>-8.3892799999999996E-4</v>
      </c>
      <c r="BB149" s="22">
        <v>139</v>
      </c>
      <c r="BC149" s="22">
        <v>0.59933499999999995</v>
      </c>
      <c r="BD149">
        <f t="shared" si="34"/>
        <v>0.83892800000000001</v>
      </c>
      <c r="BE149">
        <f t="shared" si="35"/>
        <v>0.50333666572799995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0.92498800000000003</v>
      </c>
      <c r="H150" s="22">
        <v>50.722099999999998</v>
      </c>
      <c r="I150" s="22">
        <v>-1.25427E-3</v>
      </c>
      <c r="J150" s="22">
        <v>140</v>
      </c>
      <c r="K150" s="22">
        <v>0.923767</v>
      </c>
      <c r="L150">
        <f t="shared" si="24"/>
        <v>1.25427</v>
      </c>
      <c r="M150">
        <f t="shared" si="25"/>
        <v>1.16018469876</v>
      </c>
      <c r="N150" s="9"/>
      <c r="O150" s="22">
        <v>0.60501099999999997</v>
      </c>
      <c r="P150" s="22">
        <v>99.781499999999994</v>
      </c>
      <c r="Q150" s="22">
        <v>-1.0610999999999999E-3</v>
      </c>
      <c r="R150" s="22">
        <v>140</v>
      </c>
      <c r="S150" s="22">
        <v>0.60433999999999999</v>
      </c>
      <c r="T150">
        <f t="shared" si="26"/>
        <v>1.0610999999999999</v>
      </c>
      <c r="U150">
        <f t="shared" si="27"/>
        <v>0.64197717209999994</v>
      </c>
      <c r="X150" s="9"/>
      <c r="Y150" s="22">
        <v>0.92498800000000003</v>
      </c>
      <c r="Z150" s="22">
        <v>148.86099999999999</v>
      </c>
      <c r="AA150" s="22">
        <v>-9.9731400000000001E-4</v>
      </c>
      <c r="AB150" s="22">
        <v>140</v>
      </c>
      <c r="AC150" s="22">
        <v>0.923767</v>
      </c>
      <c r="AD150">
        <f t="shared" si="28"/>
        <v>0.99731400000000003</v>
      </c>
      <c r="AE150">
        <f t="shared" si="29"/>
        <v>0.92250348223200007</v>
      </c>
      <c r="AF150" s="9"/>
      <c r="AG150" s="22">
        <v>0.60501099999999997</v>
      </c>
      <c r="AH150" s="22">
        <v>198.11</v>
      </c>
      <c r="AI150" s="22">
        <v>-9.0515099999999998E-4</v>
      </c>
      <c r="AJ150" s="22">
        <v>140</v>
      </c>
      <c r="AK150" s="22">
        <v>0.60436999999999996</v>
      </c>
      <c r="AL150">
        <f t="shared" si="30"/>
        <v>0.90515099999999993</v>
      </c>
      <c r="AM150">
        <f t="shared" si="31"/>
        <v>0.54762631166099995</v>
      </c>
      <c r="AP150" s="9"/>
      <c r="AQ150" s="22">
        <v>0.92498800000000003</v>
      </c>
      <c r="AR150" s="22">
        <v>247.255</v>
      </c>
      <c r="AS150" s="22">
        <v>-8.8745100000000004E-4</v>
      </c>
      <c r="AT150" s="22">
        <v>140</v>
      </c>
      <c r="AU150" s="22">
        <v>0.924072</v>
      </c>
      <c r="AV150">
        <f t="shared" si="32"/>
        <v>0.88745099999999999</v>
      </c>
      <c r="AW150">
        <f t="shared" si="33"/>
        <v>0.82088152558799998</v>
      </c>
      <c r="AX150" s="9"/>
      <c r="AY150" s="22">
        <v>0.60501099999999997</v>
      </c>
      <c r="AZ150" s="22">
        <v>296.41399999999999</v>
      </c>
      <c r="BA150" s="22">
        <v>-8.3557100000000001E-4</v>
      </c>
      <c r="BB150" s="22">
        <v>140</v>
      </c>
      <c r="BC150" s="22">
        <v>0.60436999999999996</v>
      </c>
      <c r="BD150">
        <f t="shared" si="34"/>
        <v>0.83557100000000006</v>
      </c>
      <c r="BE150">
        <f t="shared" si="35"/>
        <v>0.50552964628100006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0.91995199999999999</v>
      </c>
      <c r="H151" s="22">
        <v>50.732199999999999</v>
      </c>
      <c r="I151" s="22">
        <v>-1.25763E-3</v>
      </c>
      <c r="J151" s="22">
        <v>141</v>
      </c>
      <c r="K151" s="22">
        <v>0.91857900000000003</v>
      </c>
      <c r="L151">
        <f t="shared" si="24"/>
        <v>1.25763</v>
      </c>
      <c r="M151">
        <f t="shared" si="25"/>
        <v>1.1569592337600001</v>
      </c>
      <c r="N151" s="9"/>
      <c r="O151" s="22">
        <v>0.61004599999999998</v>
      </c>
      <c r="P151" s="22">
        <v>99.791600000000003</v>
      </c>
      <c r="Q151" s="22">
        <v>-1.05835E-3</v>
      </c>
      <c r="R151" s="22">
        <v>141</v>
      </c>
      <c r="S151" s="22">
        <v>0.60946699999999998</v>
      </c>
      <c r="T151">
        <f t="shared" si="26"/>
        <v>1.0583499999999999</v>
      </c>
      <c r="U151">
        <f t="shared" si="27"/>
        <v>0.64564218409999996</v>
      </c>
      <c r="X151" s="9"/>
      <c r="Y151" s="22">
        <v>0.91995199999999999</v>
      </c>
      <c r="Z151" s="22">
        <v>148.87100000000001</v>
      </c>
      <c r="AA151" s="22">
        <v>-1.0006699999999999E-3</v>
      </c>
      <c r="AB151" s="22">
        <v>141</v>
      </c>
      <c r="AC151" s="22">
        <v>0.91949499999999995</v>
      </c>
      <c r="AD151">
        <f t="shared" si="28"/>
        <v>1.0006699999999999</v>
      </c>
      <c r="AE151">
        <f t="shared" si="29"/>
        <v>0.92056836783999996</v>
      </c>
      <c r="AF151" s="9"/>
      <c r="AG151" s="22">
        <v>0.61004599999999998</v>
      </c>
      <c r="AH151" s="22">
        <v>198.12</v>
      </c>
      <c r="AI151" s="22">
        <v>-9.01489E-4</v>
      </c>
      <c r="AJ151" s="22">
        <v>141</v>
      </c>
      <c r="AK151" s="22">
        <v>0.609406</v>
      </c>
      <c r="AL151">
        <f t="shared" si="30"/>
        <v>0.90148899999999998</v>
      </c>
      <c r="AM151">
        <f t="shared" si="31"/>
        <v>0.54994975849399996</v>
      </c>
      <c r="AP151" s="9"/>
      <c r="AQ151" s="22">
        <v>0.91995199999999999</v>
      </c>
      <c r="AR151" s="22">
        <v>247.26499999999999</v>
      </c>
      <c r="AS151" s="22">
        <v>-8.9080799999999999E-4</v>
      </c>
      <c r="AT151" s="22">
        <v>141</v>
      </c>
      <c r="AU151" s="22">
        <v>0.91857900000000003</v>
      </c>
      <c r="AV151">
        <f t="shared" si="32"/>
        <v>0.89080799999999993</v>
      </c>
      <c r="AW151">
        <f t="shared" si="33"/>
        <v>0.81950060121599988</v>
      </c>
      <c r="AX151" s="9"/>
      <c r="AY151" s="22">
        <v>0.61004599999999998</v>
      </c>
      <c r="AZ151" s="22">
        <v>296.42399999999998</v>
      </c>
      <c r="BA151" s="22">
        <v>-8.3221399999999996E-4</v>
      </c>
      <c r="BB151" s="22">
        <v>141</v>
      </c>
      <c r="BC151" s="22">
        <v>0.609406</v>
      </c>
      <c r="BD151">
        <f t="shared" si="34"/>
        <v>0.83221400000000001</v>
      </c>
      <c r="BE151">
        <f t="shared" si="35"/>
        <v>0.50768882184399999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0.91491699999999998</v>
      </c>
      <c r="H152" s="22">
        <v>50.742199999999997</v>
      </c>
      <c r="I152" s="22">
        <v>-1.2625100000000001E-3</v>
      </c>
      <c r="J152" s="22">
        <v>142</v>
      </c>
      <c r="K152" s="22">
        <v>0.91369599999999995</v>
      </c>
      <c r="L152">
        <f t="shared" si="24"/>
        <v>1.26251</v>
      </c>
      <c r="M152">
        <f t="shared" si="25"/>
        <v>1.1550918616699999</v>
      </c>
      <c r="N152" s="9"/>
      <c r="O152" s="22">
        <v>0.61508200000000002</v>
      </c>
      <c r="P152" s="22">
        <v>99.801599999999993</v>
      </c>
      <c r="Q152" s="22">
        <v>-1.05499E-3</v>
      </c>
      <c r="R152" s="22">
        <v>142</v>
      </c>
      <c r="S152" s="22">
        <v>0.61447099999999999</v>
      </c>
      <c r="T152">
        <f t="shared" si="26"/>
        <v>1.0549900000000001</v>
      </c>
      <c r="U152">
        <f t="shared" si="27"/>
        <v>0.64890535918000003</v>
      </c>
      <c r="X152" s="9"/>
      <c r="Y152" s="22">
        <v>0.91491699999999998</v>
      </c>
      <c r="Z152" s="22">
        <v>148.881</v>
      </c>
      <c r="AA152" s="22">
        <v>-1.00464E-3</v>
      </c>
      <c r="AB152" s="22">
        <v>142</v>
      </c>
      <c r="AC152" s="22">
        <v>0.91339099999999995</v>
      </c>
      <c r="AD152">
        <f t="shared" si="28"/>
        <v>1.00464</v>
      </c>
      <c r="AE152">
        <f t="shared" si="29"/>
        <v>0.91916221487999994</v>
      </c>
      <c r="AF152" s="9"/>
      <c r="AG152" s="22">
        <v>0.61508200000000002</v>
      </c>
      <c r="AH152" s="22">
        <v>198.13</v>
      </c>
      <c r="AI152" s="22">
        <v>-8.9813200000000005E-4</v>
      </c>
      <c r="AJ152" s="22">
        <v>142</v>
      </c>
      <c r="AK152" s="22">
        <v>0.61444100000000001</v>
      </c>
      <c r="AL152">
        <f t="shared" si="30"/>
        <v>0.89813200000000004</v>
      </c>
      <c r="AM152">
        <f t="shared" si="31"/>
        <v>0.55242482682400007</v>
      </c>
      <c r="AP152" s="9"/>
      <c r="AQ152" s="22">
        <v>0.91491699999999998</v>
      </c>
      <c r="AR152" s="22">
        <v>247.27500000000001</v>
      </c>
      <c r="AS152" s="22">
        <v>-8.9599600000000003E-4</v>
      </c>
      <c r="AT152" s="22">
        <v>142</v>
      </c>
      <c r="AU152" s="22">
        <v>0.91400099999999995</v>
      </c>
      <c r="AV152">
        <f t="shared" si="32"/>
        <v>0.89599600000000001</v>
      </c>
      <c r="AW152">
        <f t="shared" si="33"/>
        <v>0.81976197233199999</v>
      </c>
      <c r="AX152" s="9"/>
      <c r="AY152" s="22">
        <v>0.61508200000000002</v>
      </c>
      <c r="AZ152" s="22">
        <v>296.43400000000003</v>
      </c>
      <c r="BA152" s="22">
        <v>-8.2885700000000001E-4</v>
      </c>
      <c r="BB152" s="22">
        <v>142</v>
      </c>
      <c r="BC152" s="22">
        <v>0.61450199999999999</v>
      </c>
      <c r="BD152">
        <f t="shared" si="34"/>
        <v>0.82885699999999995</v>
      </c>
      <c r="BE152">
        <f t="shared" si="35"/>
        <v>0.50981502127400002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0.90988199999999997</v>
      </c>
      <c r="H153" s="22">
        <v>50.752299999999998</v>
      </c>
      <c r="I153" s="22">
        <v>-1.2658700000000001E-3</v>
      </c>
      <c r="J153" s="22">
        <v>143</v>
      </c>
      <c r="K153" s="22">
        <v>0.90911900000000001</v>
      </c>
      <c r="L153">
        <f t="shared" si="24"/>
        <v>1.2658700000000001</v>
      </c>
      <c r="M153">
        <f t="shared" si="25"/>
        <v>1.1517923273399999</v>
      </c>
      <c r="N153" s="9"/>
      <c r="O153" s="22">
        <v>0.62011700000000003</v>
      </c>
      <c r="P153" s="22">
        <v>99.811700000000002</v>
      </c>
      <c r="Q153" s="22">
        <v>-1.05164E-3</v>
      </c>
      <c r="R153" s="22">
        <v>143</v>
      </c>
      <c r="S153" s="22">
        <v>0.61947600000000003</v>
      </c>
      <c r="T153">
        <f t="shared" si="26"/>
        <v>1.0516399999999999</v>
      </c>
      <c r="U153">
        <f t="shared" si="27"/>
        <v>0.65213984187999996</v>
      </c>
      <c r="X153" s="9"/>
      <c r="Y153" s="22">
        <v>0.90988199999999997</v>
      </c>
      <c r="Z153" s="22">
        <v>148.89099999999999</v>
      </c>
      <c r="AA153" s="22">
        <v>-1.00891E-3</v>
      </c>
      <c r="AB153" s="22">
        <v>143</v>
      </c>
      <c r="AC153" s="22">
        <v>0.90850799999999998</v>
      </c>
      <c r="AD153">
        <f t="shared" si="28"/>
        <v>1.00891</v>
      </c>
      <c r="AE153">
        <f t="shared" si="29"/>
        <v>0.91798904861999997</v>
      </c>
      <c r="AF153" s="9"/>
      <c r="AG153" s="22">
        <v>0.62011700000000003</v>
      </c>
      <c r="AH153" s="22">
        <v>198.14099999999999</v>
      </c>
      <c r="AI153" s="22">
        <v>-8.9446999999999997E-4</v>
      </c>
      <c r="AJ153" s="22">
        <v>143</v>
      </c>
      <c r="AK153" s="22">
        <v>0.619537</v>
      </c>
      <c r="AL153">
        <f t="shared" si="30"/>
        <v>0.89446999999999999</v>
      </c>
      <c r="AM153">
        <f t="shared" si="31"/>
        <v>0.55467605299</v>
      </c>
      <c r="AP153" s="9"/>
      <c r="AQ153" s="22">
        <v>0.90988199999999997</v>
      </c>
      <c r="AR153" s="22">
        <v>247.285</v>
      </c>
      <c r="AS153" s="22">
        <v>-8.9935299999999998E-4</v>
      </c>
      <c r="AT153" s="22">
        <v>143</v>
      </c>
      <c r="AU153" s="22">
        <v>0.90850799999999998</v>
      </c>
      <c r="AV153">
        <f t="shared" si="32"/>
        <v>0.89935299999999996</v>
      </c>
      <c r="AW153">
        <f t="shared" si="33"/>
        <v>0.81830510634599996</v>
      </c>
      <c r="AX153" s="9"/>
      <c r="AY153" s="22">
        <v>0.62011700000000003</v>
      </c>
      <c r="AZ153" s="22">
        <v>296.44400000000002</v>
      </c>
      <c r="BA153" s="22">
        <v>-8.2549999999999995E-4</v>
      </c>
      <c r="BB153" s="22">
        <v>143</v>
      </c>
      <c r="BC153" s="22">
        <v>0.61947600000000003</v>
      </c>
      <c r="BD153">
        <f t="shared" si="34"/>
        <v>0.8254999999999999</v>
      </c>
      <c r="BE153">
        <f t="shared" si="35"/>
        <v>0.51190658349999996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0.90484600000000004</v>
      </c>
      <c r="H154" s="22">
        <v>50.7624</v>
      </c>
      <c r="I154" s="22">
        <v>-1.2698399999999999E-3</v>
      </c>
      <c r="J154" s="22">
        <v>144</v>
      </c>
      <c r="K154" s="22">
        <v>0.90393100000000004</v>
      </c>
      <c r="L154">
        <f t="shared" si="24"/>
        <v>1.2698399999999999</v>
      </c>
      <c r="M154">
        <f t="shared" si="25"/>
        <v>1.14900964464</v>
      </c>
      <c r="N154" s="9"/>
      <c r="O154" s="22">
        <v>0.62515299999999996</v>
      </c>
      <c r="P154" s="22">
        <v>99.821799999999996</v>
      </c>
      <c r="Q154" s="22">
        <v>-1.0476699999999999E-3</v>
      </c>
      <c r="R154" s="22">
        <v>144</v>
      </c>
      <c r="S154" s="22">
        <v>0.62451199999999996</v>
      </c>
      <c r="T154">
        <f t="shared" si="26"/>
        <v>1.0476699999999999</v>
      </c>
      <c r="U154">
        <f t="shared" si="27"/>
        <v>0.65495404350999986</v>
      </c>
      <c r="X154" s="9"/>
      <c r="Y154" s="22">
        <v>0.90484600000000004</v>
      </c>
      <c r="Z154" s="22">
        <v>148.90100000000001</v>
      </c>
      <c r="AA154" s="22">
        <v>-1.0137900000000001E-3</v>
      </c>
      <c r="AB154" s="22">
        <v>144</v>
      </c>
      <c r="AC154" s="22">
        <v>0.90332000000000001</v>
      </c>
      <c r="AD154">
        <f t="shared" si="28"/>
        <v>1.0137900000000002</v>
      </c>
      <c r="AE154">
        <f t="shared" si="29"/>
        <v>0.9173238263400002</v>
      </c>
      <c r="AF154" s="9"/>
      <c r="AG154" s="22">
        <v>0.62515299999999996</v>
      </c>
      <c r="AH154" s="22">
        <v>198.15100000000001</v>
      </c>
      <c r="AI154" s="22">
        <v>-8.9080799999999999E-4</v>
      </c>
      <c r="AJ154" s="22">
        <v>144</v>
      </c>
      <c r="AK154" s="22">
        <v>0.62451199999999996</v>
      </c>
      <c r="AL154">
        <f t="shared" si="30"/>
        <v>0.89080799999999993</v>
      </c>
      <c r="AM154">
        <f t="shared" si="31"/>
        <v>0.55689129362399992</v>
      </c>
      <c r="AP154" s="9"/>
      <c r="AQ154" s="22">
        <v>0.90484600000000004</v>
      </c>
      <c r="AR154" s="22">
        <v>247.29499999999999</v>
      </c>
      <c r="AS154" s="22">
        <v>-9.0423599999999999E-4</v>
      </c>
      <c r="AT154" s="22">
        <v>144</v>
      </c>
      <c r="AU154" s="22">
        <v>0.90362500000000001</v>
      </c>
      <c r="AV154">
        <f t="shared" si="32"/>
        <v>0.90423600000000004</v>
      </c>
      <c r="AW154">
        <f t="shared" si="33"/>
        <v>0.81819432765600009</v>
      </c>
      <c r="AX154" s="9"/>
      <c r="AY154" s="22">
        <v>0.62515299999999996</v>
      </c>
      <c r="AZ154" s="22">
        <v>296.45400000000001</v>
      </c>
      <c r="BA154" s="22">
        <v>-8.2183799999999997E-4</v>
      </c>
      <c r="BB154" s="22">
        <v>144</v>
      </c>
      <c r="BC154" s="22">
        <v>0.62451199999999996</v>
      </c>
      <c r="BD154">
        <f t="shared" si="34"/>
        <v>0.82183799999999996</v>
      </c>
      <c r="BE154">
        <f t="shared" si="35"/>
        <v>0.51377449121399998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0.89981100000000003</v>
      </c>
      <c r="H155" s="22">
        <v>50.772399999999998</v>
      </c>
      <c r="I155" s="22">
        <v>-1.27411E-3</v>
      </c>
      <c r="J155" s="22">
        <v>145</v>
      </c>
      <c r="K155" s="22">
        <v>0.89904799999999996</v>
      </c>
      <c r="L155">
        <f t="shared" si="24"/>
        <v>1.2741099999999999</v>
      </c>
      <c r="M155">
        <f t="shared" si="25"/>
        <v>1.14645819321</v>
      </c>
      <c r="N155" s="9"/>
      <c r="O155" s="22">
        <v>0.63018799999999997</v>
      </c>
      <c r="P155" s="22">
        <v>99.831900000000005</v>
      </c>
      <c r="Q155" s="22">
        <v>-1.04492E-3</v>
      </c>
      <c r="R155" s="22">
        <v>145</v>
      </c>
      <c r="S155" s="22">
        <v>0.62951699999999999</v>
      </c>
      <c r="T155">
        <f t="shared" si="26"/>
        <v>1.0449200000000001</v>
      </c>
      <c r="U155">
        <f t="shared" si="27"/>
        <v>0.65849604496000003</v>
      </c>
      <c r="X155" s="9"/>
      <c r="Y155" s="22">
        <v>0.89981100000000003</v>
      </c>
      <c r="Z155" s="22">
        <v>148.911</v>
      </c>
      <c r="AA155" s="22">
        <v>-1.0168499999999999E-3</v>
      </c>
      <c r="AB155" s="22">
        <v>145</v>
      </c>
      <c r="AC155" s="22">
        <v>0.89843799999999996</v>
      </c>
      <c r="AD155">
        <f t="shared" si="28"/>
        <v>1.0168499999999998</v>
      </c>
      <c r="AE155">
        <f t="shared" si="29"/>
        <v>0.91497281534999986</v>
      </c>
      <c r="AF155" s="9"/>
      <c r="AG155" s="22">
        <v>0.63018799999999997</v>
      </c>
      <c r="AH155" s="22">
        <v>198.161</v>
      </c>
      <c r="AI155" s="22">
        <v>-8.8684099999999997E-4</v>
      </c>
      <c r="AJ155" s="22">
        <v>145</v>
      </c>
      <c r="AK155" s="22">
        <v>0.62951699999999999</v>
      </c>
      <c r="AL155">
        <f t="shared" si="30"/>
        <v>0.88684099999999999</v>
      </c>
      <c r="AM155">
        <f t="shared" si="31"/>
        <v>0.55887655610800002</v>
      </c>
      <c r="AP155" s="9"/>
      <c r="AQ155" s="22">
        <v>0.89981100000000003</v>
      </c>
      <c r="AR155" s="22">
        <v>247.30500000000001</v>
      </c>
      <c r="AS155" s="22">
        <v>-9.0789799999999997E-4</v>
      </c>
      <c r="AT155" s="22">
        <v>145</v>
      </c>
      <c r="AU155" s="22">
        <v>0.89874299999999996</v>
      </c>
      <c r="AV155">
        <f t="shared" si="32"/>
        <v>0.90789799999999998</v>
      </c>
      <c r="AW155">
        <f t="shared" si="33"/>
        <v>0.81693660727799999</v>
      </c>
      <c r="AX155" s="9"/>
      <c r="AY155" s="22">
        <v>0.63018799999999997</v>
      </c>
      <c r="AZ155" s="22">
        <v>296.46499999999997</v>
      </c>
      <c r="BA155" s="22">
        <v>-8.1878699999999997E-4</v>
      </c>
      <c r="BB155" s="22">
        <v>145</v>
      </c>
      <c r="BC155" s="22">
        <v>0.62957799999999997</v>
      </c>
      <c r="BD155">
        <f t="shared" si="34"/>
        <v>0.81878699999999993</v>
      </c>
      <c r="BE155">
        <f t="shared" si="35"/>
        <v>0.51598974195599989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0.89477499999999999</v>
      </c>
      <c r="H156" s="22">
        <v>50.782499999999999</v>
      </c>
      <c r="I156" s="22">
        <v>-1.27838E-3</v>
      </c>
      <c r="J156" s="22">
        <v>146</v>
      </c>
      <c r="K156" s="22">
        <v>0.89355499999999999</v>
      </c>
      <c r="L156">
        <f t="shared" si="24"/>
        <v>1.2783800000000001</v>
      </c>
      <c r="M156">
        <f t="shared" si="25"/>
        <v>1.1438624645</v>
      </c>
      <c r="N156" s="9"/>
      <c r="O156" s="22">
        <v>0.63522299999999998</v>
      </c>
      <c r="P156" s="22">
        <v>99.841899999999995</v>
      </c>
      <c r="Q156" s="22">
        <v>-1.0418700000000001E-3</v>
      </c>
      <c r="R156" s="22">
        <v>146</v>
      </c>
      <c r="S156" s="22">
        <v>0.634552</v>
      </c>
      <c r="T156">
        <f t="shared" si="26"/>
        <v>1.0418700000000001</v>
      </c>
      <c r="U156">
        <f t="shared" si="27"/>
        <v>0.66181978700999999</v>
      </c>
      <c r="X156" s="9"/>
      <c r="Y156" s="22">
        <v>0.89477499999999999</v>
      </c>
      <c r="Z156" s="22">
        <v>148.92099999999999</v>
      </c>
      <c r="AA156" s="22">
        <v>-1.0205100000000001E-3</v>
      </c>
      <c r="AB156" s="22">
        <v>146</v>
      </c>
      <c r="AC156" s="22">
        <v>0.89355499999999999</v>
      </c>
      <c r="AD156">
        <f t="shared" si="28"/>
        <v>1.02051</v>
      </c>
      <c r="AE156">
        <f t="shared" si="29"/>
        <v>0.91312683525000005</v>
      </c>
      <c r="AF156" s="9"/>
      <c r="AG156" s="22">
        <v>0.63522299999999998</v>
      </c>
      <c r="AH156" s="22">
        <v>198.17099999999999</v>
      </c>
      <c r="AI156" s="22">
        <v>-8.8348400000000003E-4</v>
      </c>
      <c r="AJ156" s="22">
        <v>146</v>
      </c>
      <c r="AK156" s="22">
        <v>0.63461299999999998</v>
      </c>
      <c r="AL156">
        <f t="shared" si="30"/>
        <v>0.88348400000000005</v>
      </c>
      <c r="AM156">
        <f t="shared" si="31"/>
        <v>0.56120935693200003</v>
      </c>
      <c r="AP156" s="9"/>
      <c r="AQ156" s="22">
        <v>0.89477499999999999</v>
      </c>
      <c r="AR156" s="22">
        <v>247.315</v>
      </c>
      <c r="AS156" s="22">
        <v>-9.1217000000000002E-4</v>
      </c>
      <c r="AT156" s="22">
        <v>146</v>
      </c>
      <c r="AU156" s="22">
        <v>0.89385999999999999</v>
      </c>
      <c r="AV156">
        <f t="shared" si="32"/>
        <v>0.91217000000000004</v>
      </c>
      <c r="AW156">
        <f t="shared" si="33"/>
        <v>0.81618691175000002</v>
      </c>
      <c r="AX156" s="9"/>
      <c r="AY156" s="22">
        <v>0.63522299999999998</v>
      </c>
      <c r="AZ156" s="22">
        <v>296.47500000000002</v>
      </c>
      <c r="BA156" s="22">
        <v>-8.1512499999999999E-4</v>
      </c>
      <c r="BB156" s="22">
        <v>146</v>
      </c>
      <c r="BC156" s="22">
        <v>0.63461299999999998</v>
      </c>
      <c r="BD156">
        <f t="shared" si="34"/>
        <v>0.81512499999999999</v>
      </c>
      <c r="BE156">
        <f t="shared" si="35"/>
        <v>0.51778614787499999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0.88973999999999998</v>
      </c>
      <c r="H157" s="22">
        <v>50.7926</v>
      </c>
      <c r="I157" s="22">
        <v>-1.2829600000000001E-3</v>
      </c>
      <c r="J157" s="22">
        <v>147</v>
      </c>
      <c r="K157" s="22">
        <v>0.88806200000000002</v>
      </c>
      <c r="L157">
        <f t="shared" si="24"/>
        <v>1.2829600000000001</v>
      </c>
      <c r="M157">
        <f t="shared" si="25"/>
        <v>1.1415008304000001</v>
      </c>
      <c r="N157" s="9"/>
      <c r="O157" s="22">
        <v>0.64025900000000002</v>
      </c>
      <c r="P157" s="22">
        <v>99.852000000000004</v>
      </c>
      <c r="Q157" s="22">
        <v>-1.03882E-3</v>
      </c>
      <c r="R157" s="22">
        <v>147</v>
      </c>
      <c r="S157" s="22">
        <v>0.63958700000000002</v>
      </c>
      <c r="T157">
        <f t="shared" si="26"/>
        <v>1.0388200000000001</v>
      </c>
      <c r="U157">
        <f t="shared" si="27"/>
        <v>0.66511385438000004</v>
      </c>
      <c r="X157" s="9"/>
      <c r="Y157" s="22">
        <v>0.88973999999999998</v>
      </c>
      <c r="Z157" s="22">
        <v>148.93100000000001</v>
      </c>
      <c r="AA157" s="22">
        <v>-1.02356E-3</v>
      </c>
      <c r="AB157" s="22">
        <v>147</v>
      </c>
      <c r="AC157" s="22">
        <v>0.88867200000000002</v>
      </c>
      <c r="AD157">
        <f t="shared" si="28"/>
        <v>1.02356</v>
      </c>
      <c r="AE157">
        <f t="shared" si="29"/>
        <v>0.91070227439999996</v>
      </c>
      <c r="AF157" s="9"/>
      <c r="AG157" s="22">
        <v>0.64025900000000002</v>
      </c>
      <c r="AH157" s="22">
        <v>198.18100000000001</v>
      </c>
      <c r="AI157" s="22">
        <v>-8.7951700000000002E-4</v>
      </c>
      <c r="AJ157" s="22">
        <v>147</v>
      </c>
      <c r="AK157" s="22">
        <v>0.639679</v>
      </c>
      <c r="AL157">
        <f t="shared" si="30"/>
        <v>0.87951699999999999</v>
      </c>
      <c r="AM157">
        <f t="shared" si="31"/>
        <v>0.56311867490300005</v>
      </c>
      <c r="AP157" s="9"/>
      <c r="AQ157" s="22">
        <v>0.88973999999999998</v>
      </c>
      <c r="AR157" s="22">
        <v>247.32499999999999</v>
      </c>
      <c r="AS157" s="22">
        <v>-9.1552699999999996E-4</v>
      </c>
      <c r="AT157" s="22">
        <v>147</v>
      </c>
      <c r="AU157" s="22">
        <v>0.88836700000000002</v>
      </c>
      <c r="AV157">
        <f t="shared" si="32"/>
        <v>0.91552699999999998</v>
      </c>
      <c r="AW157">
        <f t="shared" si="33"/>
        <v>0.81458099297999997</v>
      </c>
      <c r="AX157" s="9"/>
      <c r="AY157" s="22">
        <v>0.64025900000000002</v>
      </c>
      <c r="AZ157" s="22">
        <v>296.48500000000001</v>
      </c>
      <c r="BA157" s="22">
        <v>-8.1207299999999996E-4</v>
      </c>
      <c r="BB157" s="22">
        <v>147</v>
      </c>
      <c r="BC157" s="22">
        <v>0.63958700000000002</v>
      </c>
      <c r="BD157">
        <f t="shared" si="34"/>
        <v>0.81207299999999993</v>
      </c>
      <c r="BE157">
        <f t="shared" si="35"/>
        <v>0.51993704690699993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0.88470499999999996</v>
      </c>
      <c r="H158" s="22">
        <v>50.802700000000002</v>
      </c>
      <c r="I158" s="22">
        <v>-1.28662E-3</v>
      </c>
      <c r="J158" s="22">
        <v>148</v>
      </c>
      <c r="K158" s="22">
        <v>0.88317900000000005</v>
      </c>
      <c r="L158">
        <f t="shared" si="24"/>
        <v>1.2866200000000001</v>
      </c>
      <c r="M158">
        <f t="shared" si="25"/>
        <v>1.1382791471</v>
      </c>
      <c r="N158" s="9"/>
      <c r="O158" s="22">
        <v>0.64529400000000003</v>
      </c>
      <c r="P158" s="22">
        <v>99.862099999999998</v>
      </c>
      <c r="Q158" s="22">
        <v>-1.03607E-3</v>
      </c>
      <c r="R158" s="22">
        <v>148</v>
      </c>
      <c r="S158" s="22">
        <v>0.64462299999999995</v>
      </c>
      <c r="T158">
        <f t="shared" si="26"/>
        <v>1.03607</v>
      </c>
      <c r="U158">
        <f t="shared" si="27"/>
        <v>0.66856975458000012</v>
      </c>
      <c r="X158" s="9"/>
      <c r="Y158" s="22">
        <v>0.88470499999999996</v>
      </c>
      <c r="Z158" s="22">
        <v>148.941</v>
      </c>
      <c r="AA158" s="22">
        <v>-1.02692E-3</v>
      </c>
      <c r="AB158" s="22">
        <v>148</v>
      </c>
      <c r="AC158" s="22">
        <v>0.88348400000000005</v>
      </c>
      <c r="AD158">
        <f t="shared" si="28"/>
        <v>1.0269200000000001</v>
      </c>
      <c r="AE158">
        <f t="shared" si="29"/>
        <v>0.90852125859999999</v>
      </c>
      <c r="AF158" s="9"/>
      <c r="AG158" s="22">
        <v>0.64529400000000003</v>
      </c>
      <c r="AH158" s="22">
        <v>198.191</v>
      </c>
      <c r="AI158" s="22">
        <v>-8.7646499999999999E-4</v>
      </c>
      <c r="AJ158" s="22">
        <v>148</v>
      </c>
      <c r="AK158" s="22">
        <v>0.64468400000000003</v>
      </c>
      <c r="AL158">
        <f t="shared" si="30"/>
        <v>0.87646499999999994</v>
      </c>
      <c r="AM158">
        <f t="shared" si="31"/>
        <v>0.56557760571000004</v>
      </c>
      <c r="AP158" s="9"/>
      <c r="AQ158" s="22">
        <v>0.88470499999999996</v>
      </c>
      <c r="AR158" s="22">
        <v>247.33500000000001</v>
      </c>
      <c r="AS158" s="22">
        <v>-9.2040999999999998E-4</v>
      </c>
      <c r="AT158" s="22">
        <v>148</v>
      </c>
      <c r="AU158" s="22">
        <v>0.88348400000000005</v>
      </c>
      <c r="AV158">
        <f t="shared" si="32"/>
        <v>0.92040999999999995</v>
      </c>
      <c r="AW158">
        <f t="shared" si="33"/>
        <v>0.8142913290499999</v>
      </c>
      <c r="AX158" s="9"/>
      <c r="AY158" s="22">
        <v>0.64529400000000003</v>
      </c>
      <c r="AZ158" s="22">
        <v>296.495</v>
      </c>
      <c r="BA158" s="22">
        <v>-8.0871600000000001E-4</v>
      </c>
      <c r="BB158" s="22">
        <v>148</v>
      </c>
      <c r="BC158" s="22">
        <v>0.64468400000000003</v>
      </c>
      <c r="BD158">
        <f t="shared" si="34"/>
        <v>0.80871599999999999</v>
      </c>
      <c r="BE158">
        <f t="shared" si="35"/>
        <v>0.521859582504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0.87966900000000003</v>
      </c>
      <c r="H159" s="22">
        <v>50.8127</v>
      </c>
      <c r="I159" s="22">
        <v>-1.28998E-3</v>
      </c>
      <c r="J159" s="22">
        <v>149</v>
      </c>
      <c r="K159" s="22">
        <v>0.87860099999999997</v>
      </c>
      <c r="L159">
        <f t="shared" si="24"/>
        <v>1.2899800000000001</v>
      </c>
      <c r="M159">
        <f t="shared" si="25"/>
        <v>1.1347554166200002</v>
      </c>
      <c r="N159" s="9"/>
      <c r="O159" s="22">
        <v>0.65032999999999996</v>
      </c>
      <c r="P159" s="22">
        <v>99.872100000000003</v>
      </c>
      <c r="Q159" s="22">
        <v>-1.0321E-3</v>
      </c>
      <c r="R159" s="22">
        <v>149</v>
      </c>
      <c r="S159" s="22">
        <v>0.64968899999999996</v>
      </c>
      <c r="T159">
        <f t="shared" si="26"/>
        <v>1.0321</v>
      </c>
      <c r="U159">
        <f t="shared" si="27"/>
        <v>0.67120559299999993</v>
      </c>
      <c r="X159" s="9"/>
      <c r="Y159" s="22">
        <v>0.87966900000000003</v>
      </c>
      <c r="Z159" s="22">
        <v>148.952</v>
      </c>
      <c r="AA159" s="22">
        <v>-1.03027E-3</v>
      </c>
      <c r="AB159" s="22">
        <v>149</v>
      </c>
      <c r="AC159" s="22">
        <v>0.87890599999999997</v>
      </c>
      <c r="AD159">
        <f t="shared" si="28"/>
        <v>1.03027</v>
      </c>
      <c r="AE159">
        <f t="shared" si="29"/>
        <v>0.90629658063000007</v>
      </c>
      <c r="AF159" s="9"/>
      <c r="AG159" s="22">
        <v>0.65032999999999996</v>
      </c>
      <c r="AH159" s="22">
        <v>198.20099999999999</v>
      </c>
      <c r="AI159" s="22">
        <v>-8.7310800000000004E-4</v>
      </c>
      <c r="AJ159" s="22">
        <v>149</v>
      </c>
      <c r="AK159" s="22">
        <v>0.64968899999999996</v>
      </c>
      <c r="AL159">
        <f t="shared" si="30"/>
        <v>0.873108</v>
      </c>
      <c r="AM159">
        <f t="shared" si="31"/>
        <v>0.56780832563999994</v>
      </c>
      <c r="AP159" s="9"/>
      <c r="AQ159" s="22">
        <v>0.87966900000000003</v>
      </c>
      <c r="AR159" s="22">
        <v>247.345</v>
      </c>
      <c r="AS159" s="22">
        <v>-9.2407199999999996E-4</v>
      </c>
      <c r="AT159" s="22">
        <v>149</v>
      </c>
      <c r="AU159" s="22">
        <v>0.87829599999999997</v>
      </c>
      <c r="AV159">
        <f t="shared" si="32"/>
        <v>0.924072</v>
      </c>
      <c r="AW159">
        <f t="shared" si="33"/>
        <v>0.81287749216799998</v>
      </c>
      <c r="AX159" s="9"/>
      <c r="AY159" s="22">
        <v>0.65032999999999996</v>
      </c>
      <c r="AZ159" s="22">
        <v>296.505</v>
      </c>
      <c r="BA159" s="22">
        <v>-8.0566399999999999E-4</v>
      </c>
      <c r="BB159" s="22">
        <v>149</v>
      </c>
      <c r="BC159" s="22">
        <v>0.64968899999999996</v>
      </c>
      <c r="BD159">
        <f t="shared" si="34"/>
        <v>0.80566399999999994</v>
      </c>
      <c r="BE159">
        <f t="shared" si="35"/>
        <v>0.5239474691199999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0.87463400000000002</v>
      </c>
      <c r="H160" s="22">
        <v>50.822800000000001</v>
      </c>
      <c r="I160" s="22">
        <v>-1.2939500000000001E-3</v>
      </c>
      <c r="J160" s="22">
        <v>150</v>
      </c>
      <c r="K160" s="22">
        <v>0.873108</v>
      </c>
      <c r="L160">
        <f t="shared" si="24"/>
        <v>1.2939500000000002</v>
      </c>
      <c r="M160">
        <f t="shared" si="25"/>
        <v>1.1317326643000001</v>
      </c>
      <c r="N160" s="9"/>
      <c r="O160" s="22">
        <v>0.65536499999999998</v>
      </c>
      <c r="P160" s="22">
        <v>99.882199999999997</v>
      </c>
      <c r="Q160" s="22">
        <v>-1.0290500000000001E-3</v>
      </c>
      <c r="R160" s="22">
        <v>150</v>
      </c>
      <c r="S160" s="22">
        <v>0.65475499999999998</v>
      </c>
      <c r="T160">
        <f t="shared" si="26"/>
        <v>1.02905</v>
      </c>
      <c r="U160">
        <f t="shared" si="27"/>
        <v>0.67440335325</v>
      </c>
      <c r="X160" s="9"/>
      <c r="Y160" s="22">
        <v>0.87463400000000002</v>
      </c>
      <c r="Z160" s="22">
        <v>148.96199999999999</v>
      </c>
      <c r="AA160" s="22">
        <v>-1.0348499999999999E-3</v>
      </c>
      <c r="AB160" s="22">
        <v>150</v>
      </c>
      <c r="AC160" s="22">
        <v>0.873108</v>
      </c>
      <c r="AD160">
        <f t="shared" si="28"/>
        <v>1.0348499999999998</v>
      </c>
      <c r="AE160">
        <f t="shared" si="29"/>
        <v>0.90511499489999991</v>
      </c>
      <c r="AF160" s="9"/>
      <c r="AG160" s="22">
        <v>0.65536499999999998</v>
      </c>
      <c r="AH160" s="22">
        <v>198.21100000000001</v>
      </c>
      <c r="AI160" s="22">
        <v>-8.7005600000000002E-4</v>
      </c>
      <c r="AJ160" s="22">
        <v>150</v>
      </c>
      <c r="AK160" s="22">
        <v>0.65475499999999998</v>
      </c>
      <c r="AL160">
        <f t="shared" si="30"/>
        <v>0.87005600000000005</v>
      </c>
      <c r="AM160">
        <f t="shared" si="31"/>
        <v>0.57020425044</v>
      </c>
      <c r="AP160" s="9"/>
      <c r="AQ160" s="22">
        <v>0.87463400000000002</v>
      </c>
      <c r="AR160" s="22">
        <v>247.35499999999999</v>
      </c>
      <c r="AS160" s="22">
        <v>-9.2834500000000002E-4</v>
      </c>
      <c r="AT160" s="22">
        <v>150</v>
      </c>
      <c r="AU160" s="22">
        <v>0.87402299999999999</v>
      </c>
      <c r="AV160">
        <f t="shared" si="32"/>
        <v>0.92834499999999998</v>
      </c>
      <c r="AW160">
        <f t="shared" si="33"/>
        <v>0.81196210072999997</v>
      </c>
      <c r="AX160" s="9"/>
      <c r="AY160" s="22">
        <v>0.65536499999999998</v>
      </c>
      <c r="AZ160" s="22">
        <v>296.51499999999999</v>
      </c>
      <c r="BA160" s="22">
        <v>-8.0169699999999998E-4</v>
      </c>
      <c r="BB160" s="22">
        <v>150</v>
      </c>
      <c r="BC160" s="22">
        <v>0.65475499999999998</v>
      </c>
      <c r="BD160">
        <f t="shared" si="34"/>
        <v>0.80169699999999999</v>
      </c>
      <c r="BE160">
        <f t="shared" si="35"/>
        <v>0.52540415440499999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0.86959799999999998</v>
      </c>
      <c r="H161" s="22">
        <v>50.832900000000002</v>
      </c>
      <c r="I161" s="22">
        <v>-1.2988299999999999E-3</v>
      </c>
      <c r="J161" s="22">
        <v>151</v>
      </c>
      <c r="K161" s="22">
        <v>0.86853000000000002</v>
      </c>
      <c r="L161">
        <f t="shared" si="24"/>
        <v>1.2988299999999999</v>
      </c>
      <c r="M161">
        <f t="shared" si="25"/>
        <v>1.1294599703399999</v>
      </c>
      <c r="N161" s="9"/>
      <c r="O161" s="22">
        <v>0.66039999999999999</v>
      </c>
      <c r="P161" s="22">
        <v>99.892300000000006</v>
      </c>
      <c r="Q161" s="22">
        <v>-1.0257E-3</v>
      </c>
      <c r="R161" s="22">
        <v>151</v>
      </c>
      <c r="S161" s="22">
        <v>0.65985099999999997</v>
      </c>
      <c r="T161">
        <f t="shared" si="26"/>
        <v>1.0257000000000001</v>
      </c>
      <c r="U161">
        <f t="shared" si="27"/>
        <v>0.67737228000000005</v>
      </c>
      <c r="X161" s="9"/>
      <c r="Y161" s="22">
        <v>0.86959799999999998</v>
      </c>
      <c r="Z161" s="22">
        <v>148.97200000000001</v>
      </c>
      <c r="AA161" s="22">
        <v>-1.0385100000000001E-3</v>
      </c>
      <c r="AB161" s="22">
        <v>151</v>
      </c>
      <c r="AC161" s="22">
        <v>0.86883500000000002</v>
      </c>
      <c r="AD161">
        <f t="shared" si="28"/>
        <v>1.03851</v>
      </c>
      <c r="AE161">
        <f t="shared" si="29"/>
        <v>0.90308621897999997</v>
      </c>
      <c r="AF161" s="9"/>
      <c r="AG161" s="22">
        <v>0.66039999999999999</v>
      </c>
      <c r="AH161" s="22">
        <v>198.221</v>
      </c>
      <c r="AI161" s="22">
        <v>-8.6639400000000004E-4</v>
      </c>
      <c r="AJ161" s="22">
        <v>151</v>
      </c>
      <c r="AK161" s="22">
        <v>0.65978999999999999</v>
      </c>
      <c r="AL161">
        <f t="shared" si="30"/>
        <v>0.866394</v>
      </c>
      <c r="AM161">
        <f t="shared" si="31"/>
        <v>0.57216659759999999</v>
      </c>
      <c r="AP161" s="9"/>
      <c r="AQ161" s="22">
        <v>0.86959799999999998</v>
      </c>
      <c r="AR161" s="22">
        <v>247.36600000000001</v>
      </c>
      <c r="AS161" s="22">
        <v>-9.3139600000000003E-4</v>
      </c>
      <c r="AT161" s="22">
        <v>151</v>
      </c>
      <c r="AU161" s="22">
        <v>0.86883500000000002</v>
      </c>
      <c r="AV161">
        <f t="shared" si="32"/>
        <v>0.931396</v>
      </c>
      <c r="AW161">
        <f t="shared" si="33"/>
        <v>0.809940098808</v>
      </c>
      <c r="AX161" s="9"/>
      <c r="AY161" s="22">
        <v>0.66039999999999999</v>
      </c>
      <c r="AZ161" s="22">
        <v>296.52499999999998</v>
      </c>
      <c r="BA161" s="22">
        <v>-7.9834000000000003E-4</v>
      </c>
      <c r="BB161" s="22">
        <v>151</v>
      </c>
      <c r="BC161" s="22">
        <v>0.65982099999999999</v>
      </c>
      <c r="BD161">
        <f t="shared" si="34"/>
        <v>0.79834000000000005</v>
      </c>
      <c r="BE161">
        <f t="shared" si="35"/>
        <v>0.52722373600000005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0.86456299999999997</v>
      </c>
      <c r="H162" s="22">
        <v>50.8429</v>
      </c>
      <c r="I162" s="22">
        <v>-1.3040199999999999E-3</v>
      </c>
      <c r="J162" s="22">
        <v>152</v>
      </c>
      <c r="K162" s="22">
        <v>0.86334200000000005</v>
      </c>
      <c r="L162">
        <f t="shared" si="24"/>
        <v>1.30402</v>
      </c>
      <c r="M162">
        <f t="shared" si="25"/>
        <v>1.1274074432599999</v>
      </c>
      <c r="N162" s="9"/>
      <c r="O162" s="22">
        <v>0.66543600000000003</v>
      </c>
      <c r="P162" s="22">
        <v>99.902299999999997</v>
      </c>
      <c r="Q162" s="22">
        <v>-1.0223400000000001E-3</v>
      </c>
      <c r="R162" s="22">
        <v>152</v>
      </c>
      <c r="S162" s="22">
        <v>0.664825</v>
      </c>
      <c r="T162">
        <f t="shared" si="26"/>
        <v>1.02234</v>
      </c>
      <c r="U162">
        <f t="shared" si="27"/>
        <v>0.68030184024000007</v>
      </c>
      <c r="X162" s="9"/>
      <c r="Y162" s="22">
        <v>0.86456299999999997</v>
      </c>
      <c r="Z162" s="22">
        <v>148.982</v>
      </c>
      <c r="AA162" s="22">
        <v>-1.04309E-3</v>
      </c>
      <c r="AB162" s="22">
        <v>152</v>
      </c>
      <c r="AC162" s="22">
        <v>0.86395299999999997</v>
      </c>
      <c r="AD162">
        <f t="shared" si="28"/>
        <v>1.0430900000000001</v>
      </c>
      <c r="AE162">
        <f t="shared" si="29"/>
        <v>0.90181701967000005</v>
      </c>
      <c r="AF162" s="9"/>
      <c r="AG162" s="22">
        <v>0.66543600000000003</v>
      </c>
      <c r="AH162" s="22">
        <v>198.23099999999999</v>
      </c>
      <c r="AI162" s="22">
        <v>-8.6303699999999998E-4</v>
      </c>
      <c r="AJ162" s="22">
        <v>152</v>
      </c>
      <c r="AK162" s="22">
        <v>0.664856</v>
      </c>
      <c r="AL162">
        <f t="shared" si="30"/>
        <v>0.86303699999999994</v>
      </c>
      <c r="AM162">
        <f t="shared" si="31"/>
        <v>0.57429588913200003</v>
      </c>
      <c r="AP162" s="9"/>
      <c r="AQ162" s="22">
        <v>0.86456299999999997</v>
      </c>
      <c r="AR162" s="22">
        <v>247.376</v>
      </c>
      <c r="AS162" s="22">
        <v>-9.3566899999999998E-4</v>
      </c>
      <c r="AT162" s="22">
        <v>152</v>
      </c>
      <c r="AU162" s="22">
        <v>0.86364700000000005</v>
      </c>
      <c r="AV162">
        <f t="shared" si="32"/>
        <v>0.93566899999999997</v>
      </c>
      <c r="AW162">
        <f t="shared" si="33"/>
        <v>0.808944797647</v>
      </c>
      <c r="AX162" s="9"/>
      <c r="AY162" s="22">
        <v>0.66543600000000003</v>
      </c>
      <c r="AZ162" s="22">
        <v>296.53500000000003</v>
      </c>
      <c r="BA162" s="22">
        <v>-7.9437300000000002E-4</v>
      </c>
      <c r="BB162" s="22">
        <v>152</v>
      </c>
      <c r="BC162" s="22">
        <v>0.66479500000000002</v>
      </c>
      <c r="BD162">
        <f t="shared" si="34"/>
        <v>0.794373</v>
      </c>
      <c r="BE162">
        <f t="shared" si="35"/>
        <v>0.52860439162799999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0.85952799999999996</v>
      </c>
      <c r="H163" s="22">
        <v>50.853000000000002</v>
      </c>
      <c r="I163" s="22">
        <v>-1.3089E-3</v>
      </c>
      <c r="J163" s="22">
        <v>153</v>
      </c>
      <c r="K163" s="22">
        <v>0.858765</v>
      </c>
      <c r="L163">
        <f t="shared" si="24"/>
        <v>1.3089</v>
      </c>
      <c r="M163">
        <f t="shared" si="25"/>
        <v>1.1250361992</v>
      </c>
      <c r="N163" s="9"/>
      <c r="O163" s="22">
        <v>0.67047100000000004</v>
      </c>
      <c r="P163" s="22">
        <v>99.912400000000005</v>
      </c>
      <c r="Q163" s="22">
        <v>-1.01837E-3</v>
      </c>
      <c r="R163" s="22">
        <v>153</v>
      </c>
      <c r="S163" s="22">
        <v>0.66976899999999995</v>
      </c>
      <c r="T163">
        <f t="shared" si="26"/>
        <v>1.01837</v>
      </c>
      <c r="U163">
        <f t="shared" si="27"/>
        <v>0.68278755226999999</v>
      </c>
      <c r="X163" s="9"/>
      <c r="Y163" s="22">
        <v>0.85952799999999996</v>
      </c>
      <c r="Z163" s="22">
        <v>148.99199999999999</v>
      </c>
      <c r="AA163" s="22">
        <v>-1.04736E-3</v>
      </c>
      <c r="AB163" s="22">
        <v>153</v>
      </c>
      <c r="AC163" s="22">
        <v>0.859375</v>
      </c>
      <c r="AD163">
        <f t="shared" si="28"/>
        <v>1.0473600000000001</v>
      </c>
      <c r="AE163">
        <f t="shared" si="29"/>
        <v>0.90023524608000005</v>
      </c>
      <c r="AF163" s="9"/>
      <c r="AG163" s="22">
        <v>0.67047100000000004</v>
      </c>
      <c r="AH163" s="22">
        <v>198.24100000000001</v>
      </c>
      <c r="AI163" s="22">
        <v>-8.5906999999999997E-4</v>
      </c>
      <c r="AJ163" s="22">
        <v>153</v>
      </c>
      <c r="AK163" s="22">
        <v>0.66986100000000004</v>
      </c>
      <c r="AL163">
        <f t="shared" si="30"/>
        <v>0.85907</v>
      </c>
      <c r="AM163">
        <f t="shared" si="31"/>
        <v>0.57598152197000008</v>
      </c>
      <c r="AP163" s="9"/>
      <c r="AQ163" s="22">
        <v>0.85952799999999996</v>
      </c>
      <c r="AR163" s="22">
        <v>247.386</v>
      </c>
      <c r="AS163" s="22">
        <v>-9.38721E-4</v>
      </c>
      <c r="AT163" s="22">
        <v>153</v>
      </c>
      <c r="AU163" s="22">
        <v>0.85845899999999997</v>
      </c>
      <c r="AV163">
        <f t="shared" si="32"/>
        <v>0.93872100000000003</v>
      </c>
      <c r="AW163">
        <f t="shared" si="33"/>
        <v>0.80685698368799996</v>
      </c>
      <c r="AX163" s="9"/>
      <c r="AY163" s="22">
        <v>0.67047100000000004</v>
      </c>
      <c r="AZ163" s="22">
        <v>296.54500000000002</v>
      </c>
      <c r="BA163" s="22">
        <v>-7.9132099999999999E-4</v>
      </c>
      <c r="BB163" s="22">
        <v>153</v>
      </c>
      <c r="BC163" s="22">
        <v>0.66979999999999995</v>
      </c>
      <c r="BD163">
        <f t="shared" si="34"/>
        <v>0.79132099999999994</v>
      </c>
      <c r="BE163">
        <f t="shared" si="35"/>
        <v>0.53055778219100003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0.85449200000000003</v>
      </c>
      <c r="H164" s="22">
        <v>50.863100000000003</v>
      </c>
      <c r="I164" s="22">
        <v>-1.3125599999999999E-3</v>
      </c>
      <c r="J164" s="22">
        <v>154</v>
      </c>
      <c r="K164" s="22">
        <v>0.853271</v>
      </c>
      <c r="L164">
        <f t="shared" si="24"/>
        <v>1.3125599999999999</v>
      </c>
      <c r="M164">
        <f t="shared" si="25"/>
        <v>1.1215720195200001</v>
      </c>
      <c r="N164" s="9"/>
      <c r="O164" s="22">
        <v>0.67550699999999997</v>
      </c>
      <c r="P164" s="22">
        <v>99.922499999999999</v>
      </c>
      <c r="Q164" s="22">
        <v>-1.01501E-3</v>
      </c>
      <c r="R164" s="22">
        <v>154</v>
      </c>
      <c r="S164" s="22">
        <v>0.67483499999999996</v>
      </c>
      <c r="T164">
        <f t="shared" si="26"/>
        <v>1.01501</v>
      </c>
      <c r="U164">
        <f t="shared" si="27"/>
        <v>0.68564636006999991</v>
      </c>
      <c r="X164" s="9"/>
      <c r="Y164" s="22">
        <v>0.85449200000000003</v>
      </c>
      <c r="Z164" s="22">
        <v>149.00200000000001</v>
      </c>
      <c r="AA164" s="22">
        <v>-1.0519399999999999E-3</v>
      </c>
      <c r="AB164" s="22">
        <v>154</v>
      </c>
      <c r="AC164" s="22">
        <v>0.852966</v>
      </c>
      <c r="AD164">
        <f t="shared" si="28"/>
        <v>1.0519399999999999</v>
      </c>
      <c r="AE164">
        <f t="shared" si="29"/>
        <v>0.89887431447999988</v>
      </c>
      <c r="AF164" s="9"/>
      <c r="AG164" s="22">
        <v>0.67550699999999997</v>
      </c>
      <c r="AH164" s="22">
        <v>198.251</v>
      </c>
      <c r="AI164" s="22">
        <v>-8.5601799999999995E-4</v>
      </c>
      <c r="AJ164" s="22">
        <v>154</v>
      </c>
      <c r="AK164" s="22">
        <v>0.67489600000000005</v>
      </c>
      <c r="AL164">
        <f t="shared" si="30"/>
        <v>0.85601799999999995</v>
      </c>
      <c r="AM164">
        <f t="shared" si="31"/>
        <v>0.57824615112599997</v>
      </c>
      <c r="AP164" s="9"/>
      <c r="AQ164" s="22">
        <v>0.85449200000000003</v>
      </c>
      <c r="AR164" s="22">
        <v>247.39599999999999</v>
      </c>
      <c r="AS164" s="22">
        <v>-9.4299300000000004E-4</v>
      </c>
      <c r="AT164" s="22">
        <v>154</v>
      </c>
      <c r="AU164" s="22">
        <v>0.85357700000000003</v>
      </c>
      <c r="AV164">
        <f t="shared" si="32"/>
        <v>0.94299300000000008</v>
      </c>
      <c r="AW164">
        <f t="shared" si="33"/>
        <v>0.80577997455600014</v>
      </c>
      <c r="AX164" s="9"/>
      <c r="AY164" s="22">
        <v>0.67550699999999997</v>
      </c>
      <c r="AZ164" s="22">
        <v>296.55500000000001</v>
      </c>
      <c r="BA164" s="22">
        <v>-7.8765900000000002E-4</v>
      </c>
      <c r="BB164" s="22">
        <v>154</v>
      </c>
      <c r="BC164" s="22">
        <v>0.67483499999999996</v>
      </c>
      <c r="BD164">
        <f t="shared" si="34"/>
        <v>0.787659</v>
      </c>
      <c r="BE164">
        <f t="shared" si="35"/>
        <v>0.53206916811299998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0.84945700000000002</v>
      </c>
      <c r="H165" s="22">
        <v>50.873100000000001</v>
      </c>
      <c r="I165" s="22">
        <v>-1.3159199999999999E-3</v>
      </c>
      <c r="J165" s="22">
        <v>155</v>
      </c>
      <c r="K165" s="22">
        <v>0.84838899999999995</v>
      </c>
      <c r="L165">
        <f t="shared" si="24"/>
        <v>1.31592</v>
      </c>
      <c r="M165">
        <f t="shared" si="25"/>
        <v>1.11781745544</v>
      </c>
      <c r="N165" s="9"/>
      <c r="O165" s="22">
        <v>0.68054199999999998</v>
      </c>
      <c r="P165" s="22">
        <v>99.932599999999994</v>
      </c>
      <c r="Q165" s="22">
        <v>-1.0113500000000001E-3</v>
      </c>
      <c r="R165" s="22">
        <v>155</v>
      </c>
      <c r="S165" s="22">
        <v>0.679871</v>
      </c>
      <c r="T165">
        <f t="shared" si="26"/>
        <v>1.01135</v>
      </c>
      <c r="U165">
        <f t="shared" si="27"/>
        <v>0.68826615169999994</v>
      </c>
      <c r="X165" s="9"/>
      <c r="Y165" s="22">
        <v>0.84945700000000002</v>
      </c>
      <c r="Z165" s="22">
        <v>149.012</v>
      </c>
      <c r="AA165" s="22">
        <v>-1.05591E-3</v>
      </c>
      <c r="AB165" s="22">
        <v>155</v>
      </c>
      <c r="AC165" s="22">
        <v>0.84808300000000003</v>
      </c>
      <c r="AD165">
        <f t="shared" si="28"/>
        <v>1.0559099999999999</v>
      </c>
      <c r="AE165">
        <f t="shared" si="29"/>
        <v>0.89695014086999991</v>
      </c>
      <c r="AF165" s="9"/>
      <c r="AG165" s="22">
        <v>0.68054199999999998</v>
      </c>
      <c r="AH165" s="22">
        <v>198.261</v>
      </c>
      <c r="AI165" s="22">
        <v>-8.5235599999999997E-4</v>
      </c>
      <c r="AJ165" s="22">
        <v>155</v>
      </c>
      <c r="AK165" s="22">
        <v>0.67990099999999998</v>
      </c>
      <c r="AL165">
        <f t="shared" si="30"/>
        <v>0.852356</v>
      </c>
      <c r="AM165">
        <f t="shared" si="31"/>
        <v>0.58006405695200003</v>
      </c>
      <c r="AP165" s="9"/>
      <c r="AQ165" s="22">
        <v>0.84945700000000002</v>
      </c>
      <c r="AR165" s="22">
        <v>247.40600000000001</v>
      </c>
      <c r="AS165" s="22">
        <v>-9.4665500000000002E-4</v>
      </c>
      <c r="AT165" s="22">
        <v>155</v>
      </c>
      <c r="AU165" s="22">
        <v>0.84808300000000003</v>
      </c>
      <c r="AV165">
        <f t="shared" si="32"/>
        <v>0.94665500000000002</v>
      </c>
      <c r="AW165">
        <f t="shared" si="33"/>
        <v>0.80414271633500001</v>
      </c>
      <c r="AX165" s="9"/>
      <c r="AY165" s="22">
        <v>0.68054199999999998</v>
      </c>
      <c r="AZ165" s="22">
        <v>296.565</v>
      </c>
      <c r="BA165" s="22">
        <v>-7.8460699999999999E-4</v>
      </c>
      <c r="BB165" s="22">
        <v>155</v>
      </c>
      <c r="BC165" s="22">
        <v>0.67984</v>
      </c>
      <c r="BD165">
        <f t="shared" si="34"/>
        <v>0.78460699999999994</v>
      </c>
      <c r="BE165">
        <f t="shared" si="35"/>
        <v>0.53395801699399992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0.84442099999999998</v>
      </c>
      <c r="H166" s="22">
        <v>50.883200000000002</v>
      </c>
      <c r="I166" s="22">
        <v>-1.3195800000000001E-3</v>
      </c>
      <c r="J166" s="22">
        <v>156</v>
      </c>
      <c r="K166" s="22">
        <v>0.84350599999999998</v>
      </c>
      <c r="L166">
        <f t="shared" si="24"/>
        <v>1.3195800000000002</v>
      </c>
      <c r="M166">
        <f t="shared" si="25"/>
        <v>1.1142810631800002</v>
      </c>
      <c r="N166" s="9"/>
      <c r="O166" s="22">
        <v>0.68557699999999999</v>
      </c>
      <c r="P166" s="22">
        <v>99.942599999999999</v>
      </c>
      <c r="Q166" s="22">
        <v>-1.0083E-3</v>
      </c>
      <c r="R166" s="22">
        <v>156</v>
      </c>
      <c r="S166" s="22">
        <v>0.68490600000000001</v>
      </c>
      <c r="T166">
        <f t="shared" si="26"/>
        <v>1.0083</v>
      </c>
      <c r="U166">
        <f t="shared" si="27"/>
        <v>0.69126728910000002</v>
      </c>
      <c r="X166" s="9"/>
      <c r="Y166" s="22">
        <v>0.84442099999999998</v>
      </c>
      <c r="Z166" s="22">
        <v>149.02199999999999</v>
      </c>
      <c r="AA166" s="22">
        <v>-1.0595699999999999E-3</v>
      </c>
      <c r="AB166" s="22">
        <v>156</v>
      </c>
      <c r="AC166" s="22">
        <v>0.84289599999999998</v>
      </c>
      <c r="AD166">
        <f t="shared" si="28"/>
        <v>1.0595699999999999</v>
      </c>
      <c r="AE166">
        <f t="shared" si="29"/>
        <v>0.89472315896999988</v>
      </c>
      <c r="AF166" s="9"/>
      <c r="AG166" s="22">
        <v>0.68557699999999999</v>
      </c>
      <c r="AH166" s="22">
        <v>198.27099999999999</v>
      </c>
      <c r="AI166" s="22">
        <v>-8.4960899999999998E-4</v>
      </c>
      <c r="AJ166" s="22">
        <v>156</v>
      </c>
      <c r="AK166" s="22">
        <v>0.68493700000000002</v>
      </c>
      <c r="AL166">
        <f t="shared" si="30"/>
        <v>0.84960899999999995</v>
      </c>
      <c r="AM166">
        <f t="shared" si="31"/>
        <v>0.58247238939299995</v>
      </c>
      <c r="AP166" s="9"/>
      <c r="AQ166" s="22">
        <v>0.84442099999999998</v>
      </c>
      <c r="AR166" s="22">
        <v>247.416</v>
      </c>
      <c r="AS166" s="22">
        <v>-9.5092799999999997E-4</v>
      </c>
      <c r="AT166" s="22">
        <v>156</v>
      </c>
      <c r="AU166" s="22">
        <v>0.84381099999999998</v>
      </c>
      <c r="AV166">
        <f t="shared" si="32"/>
        <v>0.950928</v>
      </c>
      <c r="AW166">
        <f t="shared" si="33"/>
        <v>0.80298357268800002</v>
      </c>
      <c r="AX166" s="9"/>
      <c r="AY166" s="22">
        <v>0.68557699999999999</v>
      </c>
      <c r="AZ166" s="22">
        <v>296.57499999999999</v>
      </c>
      <c r="BA166" s="22">
        <v>-7.8125000000000004E-4</v>
      </c>
      <c r="BB166" s="22">
        <v>156</v>
      </c>
      <c r="BC166" s="22">
        <v>0.68496699999999999</v>
      </c>
      <c r="BD166">
        <f t="shared" si="34"/>
        <v>0.78125</v>
      </c>
      <c r="BE166">
        <f t="shared" si="35"/>
        <v>0.53560703124999998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0.83938599999999997</v>
      </c>
      <c r="H167" s="22">
        <v>50.893300000000004</v>
      </c>
      <c r="I167" s="22">
        <v>-1.32416E-3</v>
      </c>
      <c r="J167" s="22">
        <v>157</v>
      </c>
      <c r="K167" s="22">
        <v>0.83831800000000001</v>
      </c>
      <c r="L167">
        <f t="shared" si="24"/>
        <v>1.32416</v>
      </c>
      <c r="M167">
        <f t="shared" si="25"/>
        <v>1.11148136576</v>
      </c>
      <c r="N167" s="9"/>
      <c r="O167" s="22">
        <v>0.69061300000000003</v>
      </c>
      <c r="P167" s="22">
        <v>99.952699999999993</v>
      </c>
      <c r="Q167" s="22">
        <v>-1.00494E-3</v>
      </c>
      <c r="R167" s="22">
        <v>157</v>
      </c>
      <c r="S167" s="22">
        <v>0.690002</v>
      </c>
      <c r="T167">
        <f t="shared" si="26"/>
        <v>1.0049399999999999</v>
      </c>
      <c r="U167">
        <f t="shared" si="27"/>
        <v>0.69402462821999999</v>
      </c>
      <c r="X167" s="9"/>
      <c r="Y167" s="22">
        <v>0.83938599999999997</v>
      </c>
      <c r="Z167" s="22">
        <v>149.03200000000001</v>
      </c>
      <c r="AA167" s="22">
        <v>-1.0647600000000001E-3</v>
      </c>
      <c r="AB167" s="22">
        <v>157</v>
      </c>
      <c r="AC167" s="22">
        <v>0.83801300000000001</v>
      </c>
      <c r="AD167">
        <f t="shared" si="28"/>
        <v>1.0647600000000002</v>
      </c>
      <c r="AE167">
        <f t="shared" si="29"/>
        <v>0.89374463736000009</v>
      </c>
      <c r="AF167" s="9"/>
      <c r="AG167" s="22">
        <v>0.69061300000000003</v>
      </c>
      <c r="AH167" s="22">
        <v>198.28200000000001</v>
      </c>
      <c r="AI167" s="22">
        <v>-8.45947E-4</v>
      </c>
      <c r="AJ167" s="22">
        <v>157</v>
      </c>
      <c r="AK167" s="22">
        <v>0.690002</v>
      </c>
      <c r="AL167">
        <f t="shared" si="30"/>
        <v>0.845947</v>
      </c>
      <c r="AM167">
        <f t="shared" si="31"/>
        <v>0.58422199551100007</v>
      </c>
      <c r="AP167" s="9"/>
      <c r="AQ167" s="22">
        <v>0.83938599999999997</v>
      </c>
      <c r="AR167" s="22">
        <v>247.42599999999999</v>
      </c>
      <c r="AS167" s="22">
        <v>-9.5428500000000003E-4</v>
      </c>
      <c r="AT167" s="22">
        <v>157</v>
      </c>
      <c r="AU167" s="22">
        <v>0.83831800000000001</v>
      </c>
      <c r="AV167">
        <f t="shared" si="32"/>
        <v>0.95428500000000005</v>
      </c>
      <c r="AW167">
        <f t="shared" si="33"/>
        <v>0.80101346901000003</v>
      </c>
      <c r="AX167" s="9"/>
      <c r="AY167" s="22">
        <v>0.69061300000000003</v>
      </c>
      <c r="AZ167" s="22">
        <v>296.58499999999998</v>
      </c>
      <c r="BA167" s="22">
        <v>-7.7819800000000002E-4</v>
      </c>
      <c r="BB167" s="22">
        <v>157</v>
      </c>
      <c r="BC167" s="22">
        <v>0.69003300000000001</v>
      </c>
      <c r="BD167">
        <f t="shared" si="34"/>
        <v>0.77819800000000006</v>
      </c>
      <c r="BE167">
        <f t="shared" si="35"/>
        <v>0.53743365537400012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0.83435099999999995</v>
      </c>
      <c r="H168" s="22">
        <v>50.903399999999998</v>
      </c>
      <c r="I168" s="22">
        <v>-1.3287399999999999E-3</v>
      </c>
      <c r="J168" s="22">
        <v>158</v>
      </c>
      <c r="K168" s="22">
        <v>0.83282500000000004</v>
      </c>
      <c r="L168">
        <f t="shared" si="24"/>
        <v>1.3287399999999998</v>
      </c>
      <c r="M168">
        <f t="shared" si="25"/>
        <v>1.1086355477399998</v>
      </c>
      <c r="N168" s="9"/>
      <c r="O168" s="22">
        <v>0.69564800000000004</v>
      </c>
      <c r="P168" s="22">
        <v>99.962800000000001</v>
      </c>
      <c r="Q168" s="22">
        <v>-1.00128E-3</v>
      </c>
      <c r="R168" s="22">
        <v>158</v>
      </c>
      <c r="S168" s="22">
        <v>0.69500700000000004</v>
      </c>
      <c r="T168">
        <f t="shared" si="26"/>
        <v>1.0012799999999999</v>
      </c>
      <c r="U168">
        <f t="shared" si="27"/>
        <v>0.69653842944</v>
      </c>
      <c r="X168" s="9"/>
      <c r="Y168" s="22">
        <v>0.83435099999999995</v>
      </c>
      <c r="Z168" s="22">
        <v>149.042</v>
      </c>
      <c r="AA168" s="22">
        <v>-1.06842E-3</v>
      </c>
      <c r="AB168" s="22">
        <v>158</v>
      </c>
      <c r="AC168" s="22">
        <v>0.83282500000000004</v>
      </c>
      <c r="AD168">
        <f t="shared" si="28"/>
        <v>1.0684200000000001</v>
      </c>
      <c r="AE168">
        <f t="shared" si="29"/>
        <v>0.89143729542000005</v>
      </c>
      <c r="AF168" s="9"/>
      <c r="AG168" s="22">
        <v>0.69564800000000004</v>
      </c>
      <c r="AH168" s="22">
        <v>198.292</v>
      </c>
      <c r="AI168" s="22">
        <v>-8.4289599999999999E-4</v>
      </c>
      <c r="AJ168" s="22">
        <v>158</v>
      </c>
      <c r="AK168" s="22">
        <v>0.69500700000000004</v>
      </c>
      <c r="AL168">
        <f t="shared" si="30"/>
        <v>0.84289599999999998</v>
      </c>
      <c r="AM168">
        <f t="shared" si="31"/>
        <v>0.58635891660799999</v>
      </c>
      <c r="AP168" s="9"/>
      <c r="AQ168" s="22">
        <v>0.83435099999999995</v>
      </c>
      <c r="AR168" s="22">
        <v>247.43600000000001</v>
      </c>
      <c r="AS168" s="22">
        <v>-9.5855699999999996E-4</v>
      </c>
      <c r="AT168" s="22">
        <v>158</v>
      </c>
      <c r="AU168" s="22">
        <v>0.83313000000000004</v>
      </c>
      <c r="AV168">
        <f t="shared" si="32"/>
        <v>0.95855699999999999</v>
      </c>
      <c r="AW168">
        <f t="shared" si="33"/>
        <v>0.79977299150699999</v>
      </c>
      <c r="AX168" s="9"/>
      <c r="AY168" s="22">
        <v>0.69564800000000004</v>
      </c>
      <c r="AZ168" s="22">
        <v>296.59500000000003</v>
      </c>
      <c r="BA168" s="22">
        <v>-7.7453600000000004E-4</v>
      </c>
      <c r="BB168" s="22">
        <v>158</v>
      </c>
      <c r="BC168" s="22">
        <v>0.69497699999999996</v>
      </c>
      <c r="BD168">
        <f t="shared" si="34"/>
        <v>0.774536</v>
      </c>
      <c r="BE168">
        <f t="shared" si="35"/>
        <v>0.53880441932800005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0.82931500000000002</v>
      </c>
      <c r="H169" s="22">
        <v>50.913400000000003</v>
      </c>
      <c r="I169" s="22">
        <v>-1.3324000000000001E-3</v>
      </c>
      <c r="J169" s="22">
        <v>159</v>
      </c>
      <c r="K169" s="22">
        <v>0.82824699999999996</v>
      </c>
      <c r="L169">
        <f t="shared" si="24"/>
        <v>1.3324</v>
      </c>
      <c r="M169">
        <f t="shared" si="25"/>
        <v>1.1049793060000002</v>
      </c>
      <c r="N169" s="9"/>
      <c r="O169" s="22">
        <v>0.70068399999999997</v>
      </c>
      <c r="P169" s="22">
        <v>99.972800000000007</v>
      </c>
      <c r="Q169" s="22">
        <v>-9.9883999999999997E-4</v>
      </c>
      <c r="R169" s="22">
        <v>159</v>
      </c>
      <c r="S169" s="22">
        <v>0.70001199999999997</v>
      </c>
      <c r="T169">
        <f t="shared" si="26"/>
        <v>0.99883999999999995</v>
      </c>
      <c r="U169">
        <f t="shared" si="27"/>
        <v>0.6998712065599999</v>
      </c>
      <c r="X169" s="9"/>
      <c r="Y169" s="22">
        <v>0.82931500000000002</v>
      </c>
      <c r="Z169" s="22">
        <v>149.05199999999999</v>
      </c>
      <c r="AA169" s="22">
        <v>-1.07117E-3</v>
      </c>
      <c r="AB169" s="22">
        <v>159</v>
      </c>
      <c r="AC169" s="22">
        <v>0.82855199999999996</v>
      </c>
      <c r="AD169">
        <f t="shared" si="28"/>
        <v>1.07117</v>
      </c>
      <c r="AE169">
        <f t="shared" si="29"/>
        <v>0.88833734855000002</v>
      </c>
      <c r="AF169" s="9"/>
      <c r="AG169" s="22">
        <v>0.70068399999999997</v>
      </c>
      <c r="AH169" s="22">
        <v>198.30199999999999</v>
      </c>
      <c r="AI169" s="22">
        <v>-8.3923299999999999E-4</v>
      </c>
      <c r="AJ169" s="22">
        <v>159</v>
      </c>
      <c r="AK169" s="22">
        <v>0.69998199999999999</v>
      </c>
      <c r="AL169">
        <f t="shared" si="30"/>
        <v>0.83923300000000001</v>
      </c>
      <c r="AM169">
        <f t="shared" si="31"/>
        <v>0.58803713537199997</v>
      </c>
      <c r="AP169" s="9"/>
      <c r="AQ169" s="22">
        <v>0.82931500000000002</v>
      </c>
      <c r="AR169" s="22">
        <v>247.446</v>
      </c>
      <c r="AS169" s="22">
        <v>-9.6160899999999999E-4</v>
      </c>
      <c r="AT169" s="22">
        <v>159</v>
      </c>
      <c r="AU169" s="22">
        <v>0.82824699999999996</v>
      </c>
      <c r="AV169">
        <f t="shared" si="32"/>
        <v>0.96160899999999994</v>
      </c>
      <c r="AW169">
        <f t="shared" si="33"/>
        <v>0.79747676783499999</v>
      </c>
      <c r="AX169" s="9"/>
      <c r="AY169" s="22">
        <v>0.70068399999999997</v>
      </c>
      <c r="AZ169" s="22">
        <v>296.60599999999999</v>
      </c>
      <c r="BA169" s="22">
        <v>-7.7148400000000002E-4</v>
      </c>
      <c r="BB169" s="22">
        <v>159</v>
      </c>
      <c r="BC169" s="22">
        <v>0.70004299999999997</v>
      </c>
      <c r="BD169">
        <f t="shared" si="34"/>
        <v>0.77148400000000006</v>
      </c>
      <c r="BE169">
        <f t="shared" si="35"/>
        <v>0.54056649505600007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0.82428000000000001</v>
      </c>
      <c r="H170" s="22">
        <v>50.923499999999997</v>
      </c>
      <c r="I170" s="22">
        <v>-1.33453E-3</v>
      </c>
      <c r="J170" s="22">
        <v>160</v>
      </c>
      <c r="K170" s="22">
        <v>0.82305899999999999</v>
      </c>
      <c r="L170">
        <f t="shared" si="24"/>
        <v>1.33453</v>
      </c>
      <c r="M170">
        <f t="shared" si="25"/>
        <v>1.1000263884000001</v>
      </c>
      <c r="N170" s="9"/>
      <c r="O170" s="22">
        <v>0.70571899999999999</v>
      </c>
      <c r="P170" s="22">
        <v>99.982900000000001</v>
      </c>
      <c r="Q170" s="22">
        <v>-9.9517799999999999E-4</v>
      </c>
      <c r="R170" s="22">
        <v>160</v>
      </c>
      <c r="S170" s="22">
        <v>0.70520000000000005</v>
      </c>
      <c r="T170">
        <f t="shared" si="26"/>
        <v>0.99517800000000001</v>
      </c>
      <c r="U170">
        <f t="shared" si="27"/>
        <v>0.70231602298200002</v>
      </c>
      <c r="X170" s="9"/>
      <c r="Y170" s="22">
        <v>0.82428000000000001</v>
      </c>
      <c r="Z170" s="22">
        <v>149.06200000000001</v>
      </c>
      <c r="AA170" s="22">
        <v>-1.07361E-3</v>
      </c>
      <c r="AB170" s="22">
        <v>160</v>
      </c>
      <c r="AC170" s="22">
        <v>0.82366899999999998</v>
      </c>
      <c r="AD170">
        <f t="shared" si="28"/>
        <v>1.07361</v>
      </c>
      <c r="AE170">
        <f t="shared" si="29"/>
        <v>0.88495525079999993</v>
      </c>
      <c r="AF170" s="9"/>
      <c r="AG170" s="22">
        <v>0.70571899999999999</v>
      </c>
      <c r="AH170" s="22">
        <v>198.31200000000001</v>
      </c>
      <c r="AI170" s="22">
        <v>-8.3618199999999998E-4</v>
      </c>
      <c r="AJ170" s="22">
        <v>160</v>
      </c>
      <c r="AK170" s="22">
        <v>0.70507799999999998</v>
      </c>
      <c r="AL170">
        <f t="shared" si="30"/>
        <v>0.83618199999999998</v>
      </c>
      <c r="AM170">
        <f t="shared" si="31"/>
        <v>0.59010952485799995</v>
      </c>
      <c r="AP170" s="9"/>
      <c r="AQ170" s="22">
        <v>0.82428000000000001</v>
      </c>
      <c r="AR170" s="22">
        <v>247.45599999999999</v>
      </c>
      <c r="AS170" s="22">
        <v>-9.65576E-4</v>
      </c>
      <c r="AT170" s="22">
        <v>160</v>
      </c>
      <c r="AU170" s="22">
        <v>0.82336399999999998</v>
      </c>
      <c r="AV170">
        <f t="shared" si="32"/>
        <v>0.96557599999999999</v>
      </c>
      <c r="AW170">
        <f t="shared" si="33"/>
        <v>0.79590498527999998</v>
      </c>
      <c r="AX170" s="9"/>
      <c r="AY170" s="22">
        <v>0.70571899999999999</v>
      </c>
      <c r="AZ170" s="22">
        <v>296.61599999999999</v>
      </c>
      <c r="BA170" s="22">
        <v>-7.6782200000000004E-4</v>
      </c>
      <c r="BB170" s="22">
        <v>160</v>
      </c>
      <c r="BC170" s="22">
        <v>0.70510899999999999</v>
      </c>
      <c r="BD170">
        <f t="shared" si="34"/>
        <v>0.767822</v>
      </c>
      <c r="BE170">
        <f t="shared" si="35"/>
        <v>0.54186657401799998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0.81924399999999997</v>
      </c>
      <c r="H171" s="22">
        <v>50.933599999999998</v>
      </c>
      <c r="I171" s="22">
        <v>-1.3372799999999999E-3</v>
      </c>
      <c r="J171" s="22">
        <v>161</v>
      </c>
      <c r="K171" s="22">
        <v>0.81787100000000001</v>
      </c>
      <c r="L171">
        <f t="shared" si="24"/>
        <v>1.33728</v>
      </c>
      <c r="M171">
        <f t="shared" si="25"/>
        <v>1.09555861632</v>
      </c>
      <c r="N171" s="9"/>
      <c r="O171" s="22">
        <v>0.710754</v>
      </c>
      <c r="P171" s="22">
        <v>99.992999999999995</v>
      </c>
      <c r="Q171" s="22">
        <v>-9.9304199999999997E-4</v>
      </c>
      <c r="R171" s="22">
        <v>161</v>
      </c>
      <c r="S171" s="22">
        <v>0.71005200000000002</v>
      </c>
      <c r="T171">
        <f t="shared" si="26"/>
        <v>0.99304199999999998</v>
      </c>
      <c r="U171">
        <f t="shared" si="27"/>
        <v>0.70580857366799998</v>
      </c>
      <c r="X171" s="9"/>
      <c r="Y171" s="22">
        <v>0.81924399999999997</v>
      </c>
      <c r="Z171" s="22">
        <v>149.072</v>
      </c>
      <c r="AA171" s="22">
        <v>-1.0775800000000001E-3</v>
      </c>
      <c r="AB171" s="22">
        <v>161</v>
      </c>
      <c r="AC171" s="22">
        <v>0.81848100000000001</v>
      </c>
      <c r="AD171">
        <f t="shared" si="28"/>
        <v>1.07758</v>
      </c>
      <c r="AE171">
        <f t="shared" si="29"/>
        <v>0.88280094951999999</v>
      </c>
      <c r="AF171" s="9"/>
      <c r="AG171" s="22">
        <v>0.710754</v>
      </c>
      <c r="AH171" s="22">
        <v>198.322</v>
      </c>
      <c r="AI171" s="22">
        <v>-8.3282500000000004E-4</v>
      </c>
      <c r="AJ171" s="22">
        <v>161</v>
      </c>
      <c r="AK171" s="22">
        <v>0.71005200000000002</v>
      </c>
      <c r="AL171">
        <f t="shared" si="30"/>
        <v>0.83282500000000004</v>
      </c>
      <c r="AM171">
        <f t="shared" si="31"/>
        <v>0.59193370005000001</v>
      </c>
      <c r="AP171" s="9"/>
      <c r="AQ171" s="22">
        <v>0.81924399999999997</v>
      </c>
      <c r="AR171" s="22">
        <v>247.46600000000001</v>
      </c>
      <c r="AS171" s="22">
        <v>-9.6923799999999998E-4</v>
      </c>
      <c r="AT171" s="22">
        <v>161</v>
      </c>
      <c r="AU171" s="22">
        <v>0.81848100000000001</v>
      </c>
      <c r="AV171">
        <f t="shared" si="32"/>
        <v>0.96923799999999993</v>
      </c>
      <c r="AW171">
        <f t="shared" si="33"/>
        <v>0.79404241607199988</v>
      </c>
      <c r="AX171" s="9"/>
      <c r="AY171" s="22">
        <v>0.710754</v>
      </c>
      <c r="AZ171" s="22">
        <v>296.62599999999998</v>
      </c>
      <c r="BA171" s="22">
        <v>-7.6477100000000003E-4</v>
      </c>
      <c r="BB171" s="22">
        <v>161</v>
      </c>
      <c r="BC171" s="22">
        <v>0.71008300000000002</v>
      </c>
      <c r="BD171">
        <f t="shared" si="34"/>
        <v>0.76477099999999998</v>
      </c>
      <c r="BE171">
        <f t="shared" si="35"/>
        <v>0.54356404733399999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0.81420899999999996</v>
      </c>
      <c r="H172" s="22">
        <v>50.943600000000004</v>
      </c>
      <c r="I172" s="22">
        <v>-1.3406399999999999E-3</v>
      </c>
      <c r="J172" s="22">
        <v>162</v>
      </c>
      <c r="K172" s="22">
        <v>0.81390399999999996</v>
      </c>
      <c r="L172">
        <f t="shared" si="24"/>
        <v>1.3406399999999998</v>
      </c>
      <c r="M172">
        <f t="shared" si="25"/>
        <v>1.0915611537599998</v>
      </c>
      <c r="N172" s="9"/>
      <c r="O172" s="22">
        <v>0.71579000000000004</v>
      </c>
      <c r="P172" s="22">
        <v>100.003</v>
      </c>
      <c r="Q172" s="22">
        <v>-9.8907500000000007E-4</v>
      </c>
      <c r="R172" s="22">
        <v>162</v>
      </c>
      <c r="S172" s="22">
        <v>0.71517900000000001</v>
      </c>
      <c r="T172">
        <f t="shared" si="26"/>
        <v>0.98907500000000004</v>
      </c>
      <c r="U172">
        <f t="shared" si="27"/>
        <v>0.70796999425000007</v>
      </c>
      <c r="X172" s="9"/>
      <c r="Y172" s="22">
        <v>0.81420899999999996</v>
      </c>
      <c r="Z172" s="22">
        <v>149.08199999999999</v>
      </c>
      <c r="AA172" s="22">
        <v>-1.0803200000000001E-3</v>
      </c>
      <c r="AB172" s="22">
        <v>162</v>
      </c>
      <c r="AC172" s="22">
        <v>0.81329300000000004</v>
      </c>
      <c r="AD172">
        <f t="shared" si="28"/>
        <v>1.0803200000000002</v>
      </c>
      <c r="AE172">
        <f t="shared" si="29"/>
        <v>0.8796062668800001</v>
      </c>
      <c r="AF172" s="9"/>
      <c r="AG172" s="22">
        <v>0.71579000000000004</v>
      </c>
      <c r="AH172" s="22">
        <v>198.33199999999999</v>
      </c>
      <c r="AI172" s="22">
        <v>-8.2946799999999998E-4</v>
      </c>
      <c r="AJ172" s="22">
        <v>162</v>
      </c>
      <c r="AK172" s="22">
        <v>0.71517900000000001</v>
      </c>
      <c r="AL172">
        <f t="shared" si="30"/>
        <v>0.82946799999999998</v>
      </c>
      <c r="AM172">
        <f t="shared" si="31"/>
        <v>0.59372489971999998</v>
      </c>
      <c r="AP172" s="9"/>
      <c r="AQ172" s="22">
        <v>0.81420899999999996</v>
      </c>
      <c r="AR172" s="22">
        <v>247.476</v>
      </c>
      <c r="AS172" s="22">
        <v>-9.7259500000000004E-4</v>
      </c>
      <c r="AT172" s="22">
        <v>162</v>
      </c>
      <c r="AU172" s="22">
        <v>0.81390399999999996</v>
      </c>
      <c r="AV172">
        <f t="shared" si="32"/>
        <v>0.97259499999999999</v>
      </c>
      <c r="AW172">
        <f t="shared" si="33"/>
        <v>0.79189560235500001</v>
      </c>
      <c r="AX172" s="9"/>
      <c r="AY172" s="22">
        <v>0.71579000000000004</v>
      </c>
      <c r="AZ172" s="22">
        <v>296.63600000000002</v>
      </c>
      <c r="BA172" s="22">
        <v>-7.60803E-4</v>
      </c>
      <c r="BB172" s="22">
        <v>162</v>
      </c>
      <c r="BC172" s="22">
        <v>0.71517900000000001</v>
      </c>
      <c r="BD172">
        <f t="shared" si="34"/>
        <v>0.76080300000000001</v>
      </c>
      <c r="BE172">
        <f t="shared" si="35"/>
        <v>0.54457517937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0.80917399999999995</v>
      </c>
      <c r="H173" s="22">
        <v>50.953699999999998</v>
      </c>
      <c r="I173" s="22">
        <v>-1.3433799999999999E-3</v>
      </c>
      <c r="J173" s="22">
        <v>163</v>
      </c>
      <c r="K173" s="22">
        <v>0.80810499999999996</v>
      </c>
      <c r="L173">
        <f t="shared" si="24"/>
        <v>1.34338</v>
      </c>
      <c r="M173">
        <f t="shared" si="25"/>
        <v>1.08702816812</v>
      </c>
      <c r="N173" s="9"/>
      <c r="O173" s="22">
        <v>0.72082500000000005</v>
      </c>
      <c r="P173" s="22">
        <v>100.01300000000001</v>
      </c>
      <c r="Q173" s="22">
        <v>-9.8510700000000004E-4</v>
      </c>
      <c r="R173" s="22">
        <v>163</v>
      </c>
      <c r="S173" s="22">
        <v>0.72018400000000005</v>
      </c>
      <c r="T173">
        <f t="shared" si="26"/>
        <v>0.98510700000000007</v>
      </c>
      <c r="U173">
        <f t="shared" si="27"/>
        <v>0.71008975327500012</v>
      </c>
      <c r="X173" s="9"/>
      <c r="Y173" s="22">
        <v>0.80917399999999995</v>
      </c>
      <c r="Z173" s="22">
        <v>149.09299999999999</v>
      </c>
      <c r="AA173" s="22">
        <v>-1.0845900000000001E-3</v>
      </c>
      <c r="AB173" s="22">
        <v>163</v>
      </c>
      <c r="AC173" s="22">
        <v>0.80779999999999996</v>
      </c>
      <c r="AD173">
        <f t="shared" si="28"/>
        <v>1.0845900000000002</v>
      </c>
      <c r="AE173">
        <f t="shared" si="29"/>
        <v>0.87762202866000005</v>
      </c>
      <c r="AF173" s="9"/>
      <c r="AG173" s="22">
        <v>0.72082500000000005</v>
      </c>
      <c r="AH173" s="22">
        <v>198.34200000000001</v>
      </c>
      <c r="AI173" s="22">
        <v>-8.25806E-4</v>
      </c>
      <c r="AJ173" s="22">
        <v>163</v>
      </c>
      <c r="AK173" s="22">
        <v>0.72015399999999996</v>
      </c>
      <c r="AL173">
        <f t="shared" si="30"/>
        <v>0.82580600000000004</v>
      </c>
      <c r="AM173">
        <f t="shared" si="31"/>
        <v>0.5952616099500001</v>
      </c>
      <c r="AP173" s="9"/>
      <c r="AQ173" s="22">
        <v>0.80917399999999995</v>
      </c>
      <c r="AR173" s="22">
        <v>247.48599999999999</v>
      </c>
      <c r="AS173" s="22">
        <v>-9.7564699999999995E-4</v>
      </c>
      <c r="AT173" s="22">
        <v>163</v>
      </c>
      <c r="AU173" s="22">
        <v>0.80841099999999999</v>
      </c>
      <c r="AV173">
        <f t="shared" si="32"/>
        <v>0.97564699999999993</v>
      </c>
      <c r="AW173">
        <f t="shared" si="33"/>
        <v>0.78946818557799991</v>
      </c>
      <c r="AX173" s="9"/>
      <c r="AY173" s="22">
        <v>0.72082500000000005</v>
      </c>
      <c r="AZ173" s="22">
        <v>296.64600000000002</v>
      </c>
      <c r="BA173" s="22">
        <v>-7.5775099999999998E-4</v>
      </c>
      <c r="BB173" s="22">
        <v>163</v>
      </c>
      <c r="BC173" s="22">
        <v>0.72018400000000005</v>
      </c>
      <c r="BD173">
        <f t="shared" si="34"/>
        <v>0.75775099999999995</v>
      </c>
      <c r="BE173">
        <f t="shared" si="35"/>
        <v>0.54620586457499998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0.80413800000000002</v>
      </c>
      <c r="H174" s="22">
        <v>50.963799999999999</v>
      </c>
      <c r="I174" s="22">
        <v>-1.34705E-3</v>
      </c>
      <c r="J174" s="22">
        <v>164</v>
      </c>
      <c r="K174" s="22">
        <v>0.80291699999999999</v>
      </c>
      <c r="L174">
        <f t="shared" si="24"/>
        <v>1.3470500000000001</v>
      </c>
      <c r="M174">
        <f t="shared" si="25"/>
        <v>1.0832140929</v>
      </c>
      <c r="N174" s="9"/>
      <c r="O174" s="22">
        <v>0.72586099999999998</v>
      </c>
      <c r="P174" s="22">
        <v>100.023</v>
      </c>
      <c r="Q174" s="22">
        <v>-9.8113999999999992E-4</v>
      </c>
      <c r="R174" s="22">
        <v>164</v>
      </c>
      <c r="S174" s="22">
        <v>0.72528099999999995</v>
      </c>
      <c r="T174">
        <f t="shared" si="26"/>
        <v>0.9811399999999999</v>
      </c>
      <c r="U174">
        <f t="shared" si="27"/>
        <v>0.71217126153999988</v>
      </c>
      <c r="X174" s="9"/>
      <c r="Y174" s="22">
        <v>0.80413800000000002</v>
      </c>
      <c r="Z174" s="22">
        <v>149.10300000000001</v>
      </c>
      <c r="AA174" s="22">
        <v>-1.0876499999999999E-3</v>
      </c>
      <c r="AB174" s="22">
        <v>164</v>
      </c>
      <c r="AC174" s="22">
        <v>0.80352800000000002</v>
      </c>
      <c r="AD174">
        <f t="shared" si="28"/>
        <v>1.08765</v>
      </c>
      <c r="AE174">
        <f t="shared" si="29"/>
        <v>0.87462069570000001</v>
      </c>
      <c r="AF174" s="9"/>
      <c r="AG174" s="22">
        <v>0.72586099999999998</v>
      </c>
      <c r="AH174" s="22">
        <v>198.352</v>
      </c>
      <c r="AI174" s="22">
        <v>-8.2244900000000005E-4</v>
      </c>
      <c r="AJ174" s="22">
        <v>164</v>
      </c>
      <c r="AK174" s="22">
        <v>0.725159</v>
      </c>
      <c r="AL174">
        <f t="shared" si="30"/>
        <v>0.8224490000000001</v>
      </c>
      <c r="AM174">
        <f t="shared" si="31"/>
        <v>0.59698365358900007</v>
      </c>
      <c r="AP174" s="9"/>
      <c r="AQ174" s="22">
        <v>0.80413800000000002</v>
      </c>
      <c r="AR174" s="22">
        <v>247.49600000000001</v>
      </c>
      <c r="AS174" s="22">
        <v>-9.7930900000000004E-4</v>
      </c>
      <c r="AT174" s="22">
        <v>164</v>
      </c>
      <c r="AU174" s="22">
        <v>0.80352800000000002</v>
      </c>
      <c r="AV174">
        <f t="shared" si="32"/>
        <v>0.97930899999999999</v>
      </c>
      <c r="AW174">
        <f t="shared" si="33"/>
        <v>0.78749958064199999</v>
      </c>
      <c r="AX174" s="9"/>
      <c r="AY174" s="22">
        <v>0.72586099999999998</v>
      </c>
      <c r="AZ174" s="22">
        <v>296.65600000000001</v>
      </c>
      <c r="BA174" s="22">
        <v>-7.5439500000000004E-4</v>
      </c>
      <c r="BB174" s="22">
        <v>164</v>
      </c>
      <c r="BC174" s="22">
        <v>0.72528099999999995</v>
      </c>
      <c r="BD174">
        <f t="shared" si="34"/>
        <v>0.75439500000000004</v>
      </c>
      <c r="BE174">
        <f t="shared" si="35"/>
        <v>0.54758590909500005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0.79910300000000001</v>
      </c>
      <c r="H175" s="22">
        <v>50.9739</v>
      </c>
      <c r="I175" s="22">
        <v>-1.34979E-3</v>
      </c>
      <c r="J175" s="22">
        <v>165</v>
      </c>
      <c r="K175" s="22">
        <v>0.79803500000000005</v>
      </c>
      <c r="L175">
        <f t="shared" si="24"/>
        <v>1.34979</v>
      </c>
      <c r="M175">
        <f t="shared" si="25"/>
        <v>1.07862123837</v>
      </c>
      <c r="N175" s="9"/>
      <c r="O175" s="22">
        <v>0.73089599999999999</v>
      </c>
      <c r="P175" s="22">
        <v>100.033</v>
      </c>
      <c r="Q175" s="22">
        <v>-9.7747799999999994E-4</v>
      </c>
      <c r="R175" s="22">
        <v>165</v>
      </c>
      <c r="S175" s="22">
        <v>0.73022500000000001</v>
      </c>
      <c r="T175">
        <f t="shared" si="26"/>
        <v>0.97747799999999996</v>
      </c>
      <c r="U175">
        <f t="shared" si="27"/>
        <v>0.71443476028800001</v>
      </c>
      <c r="X175" s="9"/>
      <c r="Y175" s="22">
        <v>0.79910300000000001</v>
      </c>
      <c r="Z175" s="22">
        <v>149.113</v>
      </c>
      <c r="AA175" s="22">
        <v>-1.0919199999999999E-3</v>
      </c>
      <c r="AB175" s="22">
        <v>165</v>
      </c>
      <c r="AC175" s="22">
        <v>0.79772900000000002</v>
      </c>
      <c r="AD175">
        <f t="shared" si="28"/>
        <v>1.09192</v>
      </c>
      <c r="AE175">
        <f t="shared" si="29"/>
        <v>0.87255654776000002</v>
      </c>
      <c r="AF175" s="9"/>
      <c r="AG175" s="22">
        <v>0.73089599999999999</v>
      </c>
      <c r="AH175" s="22">
        <v>198.36199999999999</v>
      </c>
      <c r="AI175" s="22">
        <v>-8.19092E-4</v>
      </c>
      <c r="AJ175" s="22">
        <v>165</v>
      </c>
      <c r="AK175" s="22">
        <v>0.73031599999999997</v>
      </c>
      <c r="AL175">
        <f t="shared" si="30"/>
        <v>0.81909200000000004</v>
      </c>
      <c r="AM175">
        <f t="shared" si="31"/>
        <v>0.59867106643200008</v>
      </c>
      <c r="AP175" s="9"/>
      <c r="AQ175" s="22">
        <v>0.79910300000000001</v>
      </c>
      <c r="AR175" s="22">
        <v>247.50700000000001</v>
      </c>
      <c r="AS175" s="22">
        <v>-9.8266600000000009E-4</v>
      </c>
      <c r="AT175" s="22">
        <v>165</v>
      </c>
      <c r="AU175" s="22">
        <v>0.79772900000000002</v>
      </c>
      <c r="AV175">
        <f t="shared" si="32"/>
        <v>0.98266600000000004</v>
      </c>
      <c r="AW175">
        <f t="shared" si="33"/>
        <v>0.78525134859800005</v>
      </c>
      <c r="AX175" s="9"/>
      <c r="AY175" s="22">
        <v>0.73089599999999999</v>
      </c>
      <c r="AZ175" s="22">
        <v>296.666</v>
      </c>
      <c r="BA175" s="22">
        <v>-7.5164800000000005E-4</v>
      </c>
      <c r="BB175" s="22">
        <v>165</v>
      </c>
      <c r="BC175" s="22">
        <v>0.73022500000000001</v>
      </c>
      <c r="BD175">
        <f t="shared" si="34"/>
        <v>0.75164800000000009</v>
      </c>
      <c r="BE175">
        <f t="shared" si="35"/>
        <v>0.54937651660800002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0.79406699999999997</v>
      </c>
      <c r="H176" s="22">
        <v>50.983899999999998</v>
      </c>
      <c r="I176" s="22">
        <v>-1.3522300000000001E-3</v>
      </c>
      <c r="J176" s="22">
        <v>166</v>
      </c>
      <c r="K176" s="22">
        <v>0.79254199999999997</v>
      </c>
      <c r="L176">
        <f t="shared" si="24"/>
        <v>1.35223</v>
      </c>
      <c r="M176">
        <f t="shared" si="25"/>
        <v>1.0737612194099999</v>
      </c>
      <c r="N176" s="9"/>
      <c r="O176" s="22">
        <v>0.735931</v>
      </c>
      <c r="P176" s="22">
        <v>100.04300000000001</v>
      </c>
      <c r="Q176" s="22">
        <v>-9.7320600000000001E-4</v>
      </c>
      <c r="R176" s="22">
        <v>166</v>
      </c>
      <c r="S176" s="22">
        <v>0.73522900000000002</v>
      </c>
      <c r="T176">
        <f t="shared" si="26"/>
        <v>0.97320600000000002</v>
      </c>
      <c r="U176">
        <f t="shared" si="27"/>
        <v>0.71621246478599998</v>
      </c>
      <c r="X176" s="9"/>
      <c r="Y176" s="22">
        <v>0.79406699999999997</v>
      </c>
      <c r="Z176" s="22">
        <v>149.12299999999999</v>
      </c>
      <c r="AA176" s="22">
        <v>-1.0952799999999999E-3</v>
      </c>
      <c r="AB176" s="22">
        <v>166</v>
      </c>
      <c r="AC176" s="22">
        <v>0.79315199999999997</v>
      </c>
      <c r="AD176">
        <f t="shared" si="28"/>
        <v>1.0952799999999998</v>
      </c>
      <c r="AE176">
        <f t="shared" si="29"/>
        <v>0.8697257037599998</v>
      </c>
      <c r="AF176" s="9"/>
      <c r="AG176" s="22">
        <v>0.735931</v>
      </c>
      <c r="AH176" s="22">
        <v>198.37200000000001</v>
      </c>
      <c r="AI176" s="22">
        <v>-8.1573500000000005E-4</v>
      </c>
      <c r="AJ176" s="22">
        <v>166</v>
      </c>
      <c r="AK176" s="22">
        <v>0.73522900000000002</v>
      </c>
      <c r="AL176">
        <f t="shared" si="30"/>
        <v>0.8157350000000001</v>
      </c>
      <c r="AM176">
        <f t="shared" si="31"/>
        <v>0.60032467428500003</v>
      </c>
      <c r="AP176" s="9"/>
      <c r="AQ176" s="22">
        <v>0.79406699999999997</v>
      </c>
      <c r="AR176" s="22">
        <v>247.517</v>
      </c>
      <c r="AS176" s="22">
        <v>-9.8602299999999993E-4</v>
      </c>
      <c r="AT176" s="22">
        <v>166</v>
      </c>
      <c r="AU176" s="22">
        <v>0.79284699999999997</v>
      </c>
      <c r="AV176">
        <f t="shared" si="32"/>
        <v>0.98602299999999998</v>
      </c>
      <c r="AW176">
        <f t="shared" si="33"/>
        <v>0.78296832554099993</v>
      </c>
      <c r="AX176" s="9"/>
      <c r="AY176" s="22">
        <v>0.735931</v>
      </c>
      <c r="AZ176" s="22">
        <v>296.67599999999999</v>
      </c>
      <c r="BA176" s="22">
        <v>-7.48291E-4</v>
      </c>
      <c r="BB176" s="22">
        <v>166</v>
      </c>
      <c r="BC176" s="22">
        <v>0.735321</v>
      </c>
      <c r="BD176">
        <f t="shared" si="34"/>
        <v>0.74829100000000004</v>
      </c>
      <c r="BE176">
        <f t="shared" si="35"/>
        <v>0.55069054392100003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0.78903199999999996</v>
      </c>
      <c r="H177" s="22">
        <v>50.994</v>
      </c>
      <c r="I177" s="22">
        <v>-1.3561999999999999E-3</v>
      </c>
      <c r="J177" s="22">
        <v>167</v>
      </c>
      <c r="K177" s="22">
        <v>0.787659</v>
      </c>
      <c r="L177">
        <f t="shared" si="24"/>
        <v>1.3561999999999999</v>
      </c>
      <c r="M177">
        <f t="shared" si="25"/>
        <v>1.0700851983999997</v>
      </c>
      <c r="N177" s="9"/>
      <c r="O177" s="22">
        <v>0.74096700000000004</v>
      </c>
      <c r="P177" s="22">
        <v>100.053</v>
      </c>
      <c r="Q177" s="22">
        <v>-9.6954300000000001E-4</v>
      </c>
      <c r="R177" s="22">
        <v>167</v>
      </c>
      <c r="S177" s="22">
        <v>0.74029500000000004</v>
      </c>
      <c r="T177">
        <f t="shared" si="26"/>
        <v>0.96954300000000004</v>
      </c>
      <c r="U177">
        <f t="shared" si="27"/>
        <v>0.71839936808100002</v>
      </c>
      <c r="X177" s="9"/>
      <c r="Y177" s="22">
        <v>0.78903199999999996</v>
      </c>
      <c r="Z177" s="22">
        <v>149.13300000000001</v>
      </c>
      <c r="AA177" s="22">
        <v>-1.1004599999999999E-3</v>
      </c>
      <c r="AB177" s="22">
        <v>167</v>
      </c>
      <c r="AC177" s="22">
        <v>0.788574</v>
      </c>
      <c r="AD177">
        <f t="shared" si="28"/>
        <v>1.10046</v>
      </c>
      <c r="AE177">
        <f t="shared" si="29"/>
        <v>0.86829815471999994</v>
      </c>
      <c r="AF177" s="9"/>
      <c r="AG177" s="22">
        <v>0.74096700000000004</v>
      </c>
      <c r="AH177" s="22">
        <v>198.38200000000001</v>
      </c>
      <c r="AI177" s="22">
        <v>-8.1207299999999996E-4</v>
      </c>
      <c r="AJ177" s="22">
        <v>167</v>
      </c>
      <c r="AK177" s="22">
        <v>0.74038700000000002</v>
      </c>
      <c r="AL177">
        <f t="shared" si="30"/>
        <v>0.81207299999999993</v>
      </c>
      <c r="AM177">
        <f t="shared" si="31"/>
        <v>0.60171929459099993</v>
      </c>
      <c r="AP177" s="9"/>
      <c r="AQ177" s="22">
        <v>0.78903199999999996</v>
      </c>
      <c r="AR177" s="22">
        <v>247.52699999999999</v>
      </c>
      <c r="AS177" s="22">
        <v>-9.8907500000000007E-4</v>
      </c>
      <c r="AT177" s="22">
        <v>167</v>
      </c>
      <c r="AU177" s="22">
        <v>0.788269</v>
      </c>
      <c r="AV177">
        <f t="shared" si="32"/>
        <v>0.98907500000000004</v>
      </c>
      <c r="AW177">
        <f t="shared" si="33"/>
        <v>0.78041182539999998</v>
      </c>
      <c r="AX177" s="9"/>
      <c r="AY177" s="22">
        <v>0.74096700000000004</v>
      </c>
      <c r="AZ177" s="22">
        <v>296.68599999999998</v>
      </c>
      <c r="BA177" s="22">
        <v>-7.4493400000000005E-4</v>
      </c>
      <c r="BB177" s="22">
        <v>167</v>
      </c>
      <c r="BC177" s="22">
        <v>0.74035600000000001</v>
      </c>
      <c r="BD177">
        <f t="shared" si="34"/>
        <v>0.7449340000000001</v>
      </c>
      <c r="BE177">
        <f t="shared" si="35"/>
        <v>0.55197151117800014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0.78399700000000005</v>
      </c>
      <c r="H178" s="22">
        <v>51.004100000000001</v>
      </c>
      <c r="I178" s="22">
        <v>-1.3595599999999999E-3</v>
      </c>
      <c r="J178" s="22">
        <v>168</v>
      </c>
      <c r="K178" s="22">
        <v>0.78338600000000003</v>
      </c>
      <c r="L178">
        <f t="shared" si="24"/>
        <v>1.3595599999999999</v>
      </c>
      <c r="M178">
        <f t="shared" si="25"/>
        <v>1.0658909613200001</v>
      </c>
      <c r="N178" s="9"/>
      <c r="O178" s="22">
        <v>0.74600200000000005</v>
      </c>
      <c r="P178" s="22">
        <v>100.063</v>
      </c>
      <c r="Q178" s="22">
        <v>-9.65576E-4</v>
      </c>
      <c r="R178" s="22">
        <v>168</v>
      </c>
      <c r="S178" s="22">
        <v>0.74542200000000003</v>
      </c>
      <c r="T178">
        <f t="shared" si="26"/>
        <v>0.96557599999999999</v>
      </c>
      <c r="U178">
        <f t="shared" si="27"/>
        <v>0.7203216271520001</v>
      </c>
      <c r="X178" s="9"/>
      <c r="Y178" s="22">
        <v>0.78399700000000005</v>
      </c>
      <c r="Z178" s="22">
        <v>149.143</v>
      </c>
      <c r="AA178" s="22">
        <v>-1.10413E-3</v>
      </c>
      <c r="AB178" s="22">
        <v>168</v>
      </c>
      <c r="AC178" s="22">
        <v>0.78338600000000003</v>
      </c>
      <c r="AD178">
        <f t="shared" si="28"/>
        <v>1.1041300000000001</v>
      </c>
      <c r="AE178">
        <f t="shared" si="29"/>
        <v>0.86563460761000011</v>
      </c>
      <c r="AF178" s="9"/>
      <c r="AG178" s="22">
        <v>0.74600200000000005</v>
      </c>
      <c r="AH178" s="22">
        <v>198.392</v>
      </c>
      <c r="AI178" s="22">
        <v>-8.0902100000000005E-4</v>
      </c>
      <c r="AJ178" s="22">
        <v>168</v>
      </c>
      <c r="AK178" s="22">
        <v>0.74533099999999997</v>
      </c>
      <c r="AL178">
        <f t="shared" si="30"/>
        <v>0.80902099999999999</v>
      </c>
      <c r="AM178">
        <f t="shared" si="31"/>
        <v>0.60353128404200007</v>
      </c>
      <c r="AP178" s="9"/>
      <c r="AQ178" s="22">
        <v>0.78399700000000005</v>
      </c>
      <c r="AR178" s="22">
        <v>247.53700000000001</v>
      </c>
      <c r="AS178" s="22">
        <v>-9.9243199999999991E-4</v>
      </c>
      <c r="AT178" s="22">
        <v>168</v>
      </c>
      <c r="AU178" s="22">
        <v>0.78277600000000003</v>
      </c>
      <c r="AV178">
        <f t="shared" si="32"/>
        <v>0.99243199999999987</v>
      </c>
      <c r="AW178">
        <f t="shared" si="33"/>
        <v>0.77806371070399993</v>
      </c>
      <c r="AX178" s="9"/>
      <c r="AY178" s="22">
        <v>0.74600200000000005</v>
      </c>
      <c r="AZ178" s="22">
        <v>296.69600000000003</v>
      </c>
      <c r="BA178" s="22">
        <v>-7.4157699999999999E-4</v>
      </c>
      <c r="BB178" s="22">
        <v>168</v>
      </c>
      <c r="BC178" s="22">
        <v>0.74542200000000003</v>
      </c>
      <c r="BD178">
        <f t="shared" si="34"/>
        <v>0.74157700000000004</v>
      </c>
      <c r="BE178">
        <f t="shared" si="35"/>
        <v>0.55321792515400003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0.77896100000000001</v>
      </c>
      <c r="H179" s="22">
        <v>51.014099999999999</v>
      </c>
      <c r="I179" s="22">
        <v>-1.3638299999999999E-3</v>
      </c>
      <c r="J179" s="22">
        <v>169</v>
      </c>
      <c r="K179" s="22">
        <v>0.77819799999999995</v>
      </c>
      <c r="L179">
        <f t="shared" si="24"/>
        <v>1.3638299999999999</v>
      </c>
      <c r="M179">
        <f t="shared" si="25"/>
        <v>1.06237038063</v>
      </c>
      <c r="N179" s="9"/>
      <c r="O179" s="22">
        <v>0.75103799999999998</v>
      </c>
      <c r="P179" s="22">
        <v>100.074</v>
      </c>
      <c r="Q179" s="22">
        <v>-9.6283000000000002E-4</v>
      </c>
      <c r="R179" s="22">
        <v>169</v>
      </c>
      <c r="S179" s="22">
        <v>0.75027500000000003</v>
      </c>
      <c r="T179">
        <f t="shared" si="26"/>
        <v>0.96283000000000007</v>
      </c>
      <c r="U179">
        <f t="shared" si="27"/>
        <v>0.72312191753999999</v>
      </c>
      <c r="X179" s="9"/>
      <c r="Y179" s="22">
        <v>0.77896100000000001</v>
      </c>
      <c r="Z179" s="22">
        <v>149.15299999999999</v>
      </c>
      <c r="AA179" s="22">
        <v>-1.1080899999999999E-3</v>
      </c>
      <c r="AB179" s="22">
        <v>169</v>
      </c>
      <c r="AC179" s="22">
        <v>0.77789299999999995</v>
      </c>
      <c r="AD179">
        <f t="shared" si="28"/>
        <v>1.10809</v>
      </c>
      <c r="AE179">
        <f t="shared" si="29"/>
        <v>0.86315889449000005</v>
      </c>
      <c r="AF179" s="9"/>
      <c r="AG179" s="22">
        <v>0.75103799999999998</v>
      </c>
      <c r="AH179" s="22">
        <v>198.40199999999999</v>
      </c>
      <c r="AI179" s="22">
        <v>-8.0596900000000002E-4</v>
      </c>
      <c r="AJ179" s="22">
        <v>169</v>
      </c>
      <c r="AK179" s="22">
        <v>0.75045799999999996</v>
      </c>
      <c r="AL179">
        <f t="shared" si="30"/>
        <v>0.80596900000000005</v>
      </c>
      <c r="AM179">
        <f t="shared" si="31"/>
        <v>0.60531334582200003</v>
      </c>
      <c r="AP179" s="9"/>
      <c r="AQ179" s="22">
        <v>0.77896100000000001</v>
      </c>
      <c r="AR179" s="22">
        <v>247.547</v>
      </c>
      <c r="AS179" s="22">
        <v>-9.960940000000001E-4</v>
      </c>
      <c r="AT179" s="22">
        <v>169</v>
      </c>
      <c r="AU179" s="22">
        <v>0.77758799999999995</v>
      </c>
      <c r="AV179">
        <f t="shared" si="32"/>
        <v>0.99609400000000015</v>
      </c>
      <c r="AW179">
        <f t="shared" si="33"/>
        <v>0.77591837833400013</v>
      </c>
      <c r="AX179" s="9"/>
      <c r="AY179" s="22">
        <v>0.75103799999999998</v>
      </c>
      <c r="AZ179" s="22">
        <v>296.70600000000002</v>
      </c>
      <c r="BA179" s="22">
        <v>-7.3852499999999997E-4</v>
      </c>
      <c r="BB179" s="22">
        <v>169</v>
      </c>
      <c r="BC179" s="22">
        <v>0.75042699999999996</v>
      </c>
      <c r="BD179">
        <f t="shared" si="34"/>
        <v>0.73852499999999999</v>
      </c>
      <c r="BE179">
        <f t="shared" si="35"/>
        <v>0.55466033895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0.773926</v>
      </c>
      <c r="H180" s="22">
        <v>51.0242</v>
      </c>
      <c r="I180" s="22">
        <v>-1.3678E-3</v>
      </c>
      <c r="J180" s="22">
        <v>170</v>
      </c>
      <c r="K180" s="22">
        <v>0.77300999999999997</v>
      </c>
      <c r="L180">
        <f t="shared" si="24"/>
        <v>1.3677999999999999</v>
      </c>
      <c r="M180">
        <f t="shared" si="25"/>
        <v>1.0585759827999999</v>
      </c>
      <c r="N180" s="9"/>
      <c r="O180" s="22">
        <v>0.756073</v>
      </c>
      <c r="P180" s="22">
        <v>100.084</v>
      </c>
      <c r="Q180" s="22">
        <v>-9.6008300000000003E-4</v>
      </c>
      <c r="R180" s="22">
        <v>170</v>
      </c>
      <c r="S180" s="22">
        <v>0.75531000000000004</v>
      </c>
      <c r="T180">
        <f t="shared" si="26"/>
        <v>0.96008300000000002</v>
      </c>
      <c r="U180">
        <f t="shared" si="27"/>
        <v>0.72589283405899996</v>
      </c>
      <c r="X180" s="9"/>
      <c r="Y180" s="22">
        <v>0.773926</v>
      </c>
      <c r="Z180" s="22">
        <v>149.16300000000001</v>
      </c>
      <c r="AA180" s="22">
        <v>-1.11176E-3</v>
      </c>
      <c r="AB180" s="22">
        <v>170</v>
      </c>
      <c r="AC180" s="22">
        <v>0.77239999999999998</v>
      </c>
      <c r="AD180">
        <f t="shared" si="28"/>
        <v>1.1117600000000001</v>
      </c>
      <c r="AE180">
        <f t="shared" si="29"/>
        <v>0.86041996976000001</v>
      </c>
      <c r="AF180" s="9"/>
      <c r="AG180" s="22">
        <v>0.756073</v>
      </c>
      <c r="AH180" s="22">
        <v>198.41200000000001</v>
      </c>
      <c r="AI180" s="22">
        <v>-8.0230700000000004E-4</v>
      </c>
      <c r="AJ180" s="22">
        <v>170</v>
      </c>
      <c r="AK180" s="22">
        <v>0.75470000000000004</v>
      </c>
      <c r="AL180">
        <f t="shared" si="30"/>
        <v>0.80230699999999999</v>
      </c>
      <c r="AM180">
        <f t="shared" si="31"/>
        <v>0.60660266041099997</v>
      </c>
      <c r="AP180" s="9"/>
      <c r="AQ180" s="22">
        <v>0.773926</v>
      </c>
      <c r="AR180" s="22">
        <v>247.55699999999999</v>
      </c>
      <c r="AS180" s="22">
        <v>-1.0000600000000001E-3</v>
      </c>
      <c r="AT180" s="22">
        <v>170</v>
      </c>
      <c r="AU180" s="22">
        <v>0.77239999999999998</v>
      </c>
      <c r="AV180">
        <f t="shared" si="32"/>
        <v>1.0000600000000002</v>
      </c>
      <c r="AW180">
        <f t="shared" si="33"/>
        <v>0.77397243556000017</v>
      </c>
      <c r="AX180" s="9"/>
      <c r="AY180" s="22">
        <v>0.756073</v>
      </c>
      <c r="AZ180" s="22">
        <v>296.71600000000001</v>
      </c>
      <c r="BA180" s="22">
        <v>-7.3486299999999999E-4</v>
      </c>
      <c r="BB180" s="22">
        <v>170</v>
      </c>
      <c r="BC180" s="22">
        <v>0.75500500000000004</v>
      </c>
      <c r="BD180">
        <f t="shared" si="34"/>
        <v>0.73486299999999993</v>
      </c>
      <c r="BE180">
        <f t="shared" si="35"/>
        <v>0.55561007299899989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0.76888999999999996</v>
      </c>
      <c r="H181" s="22">
        <v>51.034300000000002</v>
      </c>
      <c r="I181" s="22">
        <v>-1.3714599999999999E-3</v>
      </c>
      <c r="J181" s="22">
        <v>171</v>
      </c>
      <c r="K181" s="22">
        <v>0.767517</v>
      </c>
      <c r="L181">
        <f t="shared" si="24"/>
        <v>1.3714599999999999</v>
      </c>
      <c r="M181">
        <f t="shared" si="25"/>
        <v>1.0545018793999998</v>
      </c>
      <c r="N181" s="9"/>
      <c r="O181" s="22">
        <v>0.76110800000000001</v>
      </c>
      <c r="P181" s="22">
        <v>100.09399999999999</v>
      </c>
      <c r="Q181" s="22">
        <v>-9.5703100000000001E-4</v>
      </c>
      <c r="R181" s="22">
        <v>171</v>
      </c>
      <c r="S181" s="22">
        <v>0.75958300000000001</v>
      </c>
      <c r="T181">
        <f t="shared" si="26"/>
        <v>0.95703099999999997</v>
      </c>
      <c r="U181">
        <f t="shared" si="27"/>
        <v>0.72840395034799998</v>
      </c>
      <c r="X181" s="9"/>
      <c r="Y181" s="22">
        <v>0.76888999999999996</v>
      </c>
      <c r="Z181" s="22">
        <v>149.173</v>
      </c>
      <c r="AA181" s="22">
        <v>-1.1166399999999999E-3</v>
      </c>
      <c r="AB181" s="22">
        <v>171</v>
      </c>
      <c r="AC181" s="22">
        <v>0.767517</v>
      </c>
      <c r="AD181">
        <f t="shared" si="28"/>
        <v>1.1166399999999999</v>
      </c>
      <c r="AE181">
        <f t="shared" si="29"/>
        <v>0.85857332959999988</v>
      </c>
      <c r="AF181" s="9"/>
      <c r="AG181" s="22">
        <v>0.76110800000000001</v>
      </c>
      <c r="AH181" s="22">
        <v>198.423</v>
      </c>
      <c r="AI181" s="22">
        <v>-7.9925500000000002E-4</v>
      </c>
      <c r="AJ181" s="22">
        <v>171</v>
      </c>
      <c r="AK181" s="22">
        <v>0.75988800000000001</v>
      </c>
      <c r="AL181">
        <f t="shared" si="30"/>
        <v>0.79925500000000005</v>
      </c>
      <c r="AM181">
        <f t="shared" si="31"/>
        <v>0.60831937454000007</v>
      </c>
      <c r="AP181" s="9"/>
      <c r="AQ181" s="22">
        <v>0.76888999999999996</v>
      </c>
      <c r="AR181" s="22">
        <v>247.56700000000001</v>
      </c>
      <c r="AS181" s="22">
        <v>-1.0034200000000001E-3</v>
      </c>
      <c r="AT181" s="22">
        <v>171</v>
      </c>
      <c r="AU181" s="22">
        <v>0.767822</v>
      </c>
      <c r="AV181">
        <f t="shared" si="32"/>
        <v>1.0034200000000002</v>
      </c>
      <c r="AW181">
        <f t="shared" si="33"/>
        <v>0.77151960380000006</v>
      </c>
      <c r="AX181" s="9"/>
      <c r="AY181" s="22">
        <v>0.76110800000000001</v>
      </c>
      <c r="AZ181" s="22">
        <v>296.726</v>
      </c>
      <c r="BA181" s="22">
        <v>-7.3181199999999998E-4</v>
      </c>
      <c r="BB181" s="22">
        <v>171</v>
      </c>
      <c r="BC181" s="22">
        <v>0.76019300000000001</v>
      </c>
      <c r="BD181">
        <f t="shared" si="34"/>
        <v>0.73181200000000002</v>
      </c>
      <c r="BE181">
        <f t="shared" si="35"/>
        <v>0.55698796769600001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0.76385499999999995</v>
      </c>
      <c r="H182" s="22">
        <v>51.044400000000003</v>
      </c>
      <c r="I182" s="22">
        <v>-1.37451E-3</v>
      </c>
      <c r="J182" s="22">
        <v>172</v>
      </c>
      <c r="K182" s="22">
        <v>0.76263400000000003</v>
      </c>
      <c r="L182">
        <f t="shared" si="24"/>
        <v>1.3745100000000001</v>
      </c>
      <c r="M182">
        <f t="shared" si="25"/>
        <v>1.04992633605</v>
      </c>
      <c r="N182" s="9"/>
      <c r="O182" s="22">
        <v>0.76614400000000005</v>
      </c>
      <c r="P182" s="22">
        <v>100.104</v>
      </c>
      <c r="Q182" s="22">
        <v>-9.5428500000000003E-4</v>
      </c>
      <c r="R182" s="22">
        <v>172</v>
      </c>
      <c r="S182" s="22">
        <v>0.76507599999999998</v>
      </c>
      <c r="T182">
        <f t="shared" si="26"/>
        <v>0.95428500000000005</v>
      </c>
      <c r="U182">
        <f t="shared" si="27"/>
        <v>0.73111972704000006</v>
      </c>
      <c r="X182" s="9"/>
      <c r="Y182" s="22">
        <v>0.76385499999999995</v>
      </c>
      <c r="Z182" s="22">
        <v>149.18299999999999</v>
      </c>
      <c r="AA182" s="22">
        <v>-1.1199999999999999E-3</v>
      </c>
      <c r="AB182" s="22">
        <v>172</v>
      </c>
      <c r="AC182" s="22">
        <v>0.76293900000000003</v>
      </c>
      <c r="AD182">
        <f t="shared" si="28"/>
        <v>1.1199999999999999</v>
      </c>
      <c r="AE182">
        <f t="shared" si="29"/>
        <v>0.85551759999999988</v>
      </c>
      <c r="AF182" s="9"/>
      <c r="AG182" s="22">
        <v>0.76614400000000005</v>
      </c>
      <c r="AH182" s="22">
        <v>198.43299999999999</v>
      </c>
      <c r="AI182" s="22">
        <v>-7.9559300000000004E-4</v>
      </c>
      <c r="AJ182" s="22">
        <v>172</v>
      </c>
      <c r="AK182" s="22">
        <v>0.76507599999999998</v>
      </c>
      <c r="AL182">
        <f t="shared" si="30"/>
        <v>0.79559299999999999</v>
      </c>
      <c r="AM182">
        <f t="shared" si="31"/>
        <v>0.60953880339200006</v>
      </c>
      <c r="AP182" s="9"/>
      <c r="AQ182" s="22">
        <v>0.76385499999999995</v>
      </c>
      <c r="AR182" s="22">
        <v>247.577</v>
      </c>
      <c r="AS182" s="22">
        <v>-1.00708E-3</v>
      </c>
      <c r="AT182" s="22">
        <v>172</v>
      </c>
      <c r="AU182" s="22">
        <v>0.76293900000000003</v>
      </c>
      <c r="AV182">
        <f t="shared" si="32"/>
        <v>1.00708</v>
      </c>
      <c r="AW182">
        <f t="shared" si="33"/>
        <v>0.76926309339999999</v>
      </c>
      <c r="AX182" s="9"/>
      <c r="AY182" s="22">
        <v>0.76614400000000005</v>
      </c>
      <c r="AZ182" s="22">
        <v>296.73599999999999</v>
      </c>
      <c r="BA182" s="22">
        <v>-7.2845500000000003E-4</v>
      </c>
      <c r="BB182" s="22">
        <v>172</v>
      </c>
      <c r="BC182" s="22">
        <v>0.76477099999999998</v>
      </c>
      <c r="BD182">
        <f t="shared" si="34"/>
        <v>0.72845500000000007</v>
      </c>
      <c r="BE182">
        <f t="shared" si="35"/>
        <v>0.55810142752000014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0.75882000000000005</v>
      </c>
      <c r="H183" s="22">
        <v>51.054400000000001</v>
      </c>
      <c r="I183" s="22">
        <v>-1.37787E-3</v>
      </c>
      <c r="J183" s="22">
        <v>173</v>
      </c>
      <c r="K183" s="22">
        <v>0.75744599999999995</v>
      </c>
      <c r="L183">
        <f t="shared" si="24"/>
        <v>1.3778699999999999</v>
      </c>
      <c r="M183">
        <f t="shared" si="25"/>
        <v>1.0455553134</v>
      </c>
      <c r="N183" s="9"/>
      <c r="O183" s="22">
        <v>0.77117899999999995</v>
      </c>
      <c r="P183" s="22">
        <v>100.114</v>
      </c>
      <c r="Q183" s="22">
        <v>-9.5092799999999997E-4</v>
      </c>
      <c r="R183" s="22">
        <v>173</v>
      </c>
      <c r="S183" s="22">
        <v>0.77026399999999995</v>
      </c>
      <c r="T183">
        <f t="shared" si="26"/>
        <v>0.950928</v>
      </c>
      <c r="U183">
        <f t="shared" si="27"/>
        <v>0.733335704112</v>
      </c>
      <c r="X183" s="9"/>
      <c r="Y183" s="22">
        <v>0.75882000000000005</v>
      </c>
      <c r="Z183" s="22">
        <v>149.19300000000001</v>
      </c>
      <c r="AA183" s="22">
        <v>-1.1245700000000001E-3</v>
      </c>
      <c r="AB183" s="22">
        <v>173</v>
      </c>
      <c r="AC183" s="22">
        <v>0.75775099999999995</v>
      </c>
      <c r="AD183">
        <f t="shared" si="28"/>
        <v>1.1245700000000001</v>
      </c>
      <c r="AE183">
        <f t="shared" si="29"/>
        <v>0.85334620740000011</v>
      </c>
      <c r="AF183" s="9"/>
      <c r="AG183" s="22">
        <v>0.77117899999999995</v>
      </c>
      <c r="AH183" s="22">
        <v>198.44300000000001</v>
      </c>
      <c r="AI183" s="22">
        <v>-7.9223599999999998E-4</v>
      </c>
      <c r="AJ183" s="22">
        <v>173</v>
      </c>
      <c r="AK183" s="22">
        <v>0.76965300000000003</v>
      </c>
      <c r="AL183">
        <f t="shared" si="30"/>
        <v>0.79223599999999994</v>
      </c>
      <c r="AM183">
        <f t="shared" si="31"/>
        <v>0.61095576624399994</v>
      </c>
      <c r="AP183" s="9"/>
      <c r="AQ183" s="22">
        <v>0.75882000000000005</v>
      </c>
      <c r="AR183" s="22">
        <v>247.58699999999999</v>
      </c>
      <c r="AS183" s="22">
        <v>-1.01044E-3</v>
      </c>
      <c r="AT183" s="22">
        <v>173</v>
      </c>
      <c r="AU183" s="22">
        <v>0.75714099999999995</v>
      </c>
      <c r="AV183">
        <f t="shared" si="32"/>
        <v>1.01044</v>
      </c>
      <c r="AW183">
        <f t="shared" si="33"/>
        <v>0.76674208080000006</v>
      </c>
      <c r="AX183" s="9"/>
      <c r="AY183" s="22">
        <v>0.77117899999999995</v>
      </c>
      <c r="AZ183" s="22">
        <v>296.74700000000001</v>
      </c>
      <c r="BA183" s="22">
        <v>-7.2540300000000001E-4</v>
      </c>
      <c r="BB183" s="22">
        <v>173</v>
      </c>
      <c r="BC183" s="22">
        <v>0.76965300000000003</v>
      </c>
      <c r="BD183">
        <f t="shared" si="34"/>
        <v>0.72540300000000002</v>
      </c>
      <c r="BE183">
        <f t="shared" si="35"/>
        <v>0.559415560137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0.75378400000000001</v>
      </c>
      <c r="H184" s="22">
        <v>51.064500000000002</v>
      </c>
      <c r="I184" s="22">
        <v>-1.3809200000000001E-3</v>
      </c>
      <c r="J184" s="22">
        <v>174</v>
      </c>
      <c r="K184" s="22">
        <v>0.75317400000000001</v>
      </c>
      <c r="L184">
        <f t="shared" si="24"/>
        <v>1.3809200000000001</v>
      </c>
      <c r="M184">
        <f t="shared" si="25"/>
        <v>1.0409154012800002</v>
      </c>
      <c r="N184" s="9"/>
      <c r="O184" s="22">
        <v>0.77621499999999999</v>
      </c>
      <c r="P184" s="22">
        <v>100.124</v>
      </c>
      <c r="Q184" s="22">
        <v>-9.4757100000000003E-4</v>
      </c>
      <c r="R184" s="22">
        <v>174</v>
      </c>
      <c r="S184" s="22">
        <v>0.775146</v>
      </c>
      <c r="T184">
        <f t="shared" si="26"/>
        <v>0.94757100000000005</v>
      </c>
      <c r="U184">
        <f t="shared" si="27"/>
        <v>0.735518823765</v>
      </c>
      <c r="X184" s="9"/>
      <c r="Y184" s="22">
        <v>0.75378400000000001</v>
      </c>
      <c r="Z184" s="22">
        <v>149.203</v>
      </c>
      <c r="AA184" s="22">
        <v>-1.1279300000000001E-3</v>
      </c>
      <c r="AB184" s="22">
        <v>174</v>
      </c>
      <c r="AC184" s="22">
        <v>0.75286900000000001</v>
      </c>
      <c r="AD184">
        <f t="shared" si="28"/>
        <v>1.1279300000000001</v>
      </c>
      <c r="AE184">
        <f t="shared" si="29"/>
        <v>0.85021558712000012</v>
      </c>
      <c r="AF184" s="9"/>
      <c r="AG184" s="22">
        <v>0.77621499999999999</v>
      </c>
      <c r="AH184" s="22">
        <v>198.453</v>
      </c>
      <c r="AI184" s="22">
        <v>-7.88574E-4</v>
      </c>
      <c r="AJ184" s="22">
        <v>174</v>
      </c>
      <c r="AK184" s="22">
        <v>0.77545200000000003</v>
      </c>
      <c r="AL184">
        <f t="shared" si="30"/>
        <v>0.788574</v>
      </c>
      <c r="AM184">
        <f t="shared" si="31"/>
        <v>0.61210296741000003</v>
      </c>
      <c r="AP184" s="9"/>
      <c r="AQ184" s="22">
        <v>0.75378400000000001</v>
      </c>
      <c r="AR184" s="22">
        <v>247.59700000000001</v>
      </c>
      <c r="AS184" s="22">
        <v>-1.0141E-3</v>
      </c>
      <c r="AT184" s="22">
        <v>174</v>
      </c>
      <c r="AU184" s="22">
        <v>0.75286900000000001</v>
      </c>
      <c r="AV184">
        <f t="shared" si="32"/>
        <v>1.0141</v>
      </c>
      <c r="AW184">
        <f t="shared" si="33"/>
        <v>0.76441235439999999</v>
      </c>
      <c r="AX184" s="9"/>
      <c r="AY184" s="22">
        <v>0.77621499999999999</v>
      </c>
      <c r="AZ184" s="22">
        <v>296.75700000000001</v>
      </c>
      <c r="BA184" s="22">
        <v>-7.2204599999999995E-4</v>
      </c>
      <c r="BB184" s="22">
        <v>174</v>
      </c>
      <c r="BC184" s="22">
        <v>0.775146</v>
      </c>
      <c r="BD184">
        <f t="shared" si="34"/>
        <v>0.72204599999999997</v>
      </c>
      <c r="BE184">
        <f t="shared" si="35"/>
        <v>0.56046293588999996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0.748749</v>
      </c>
      <c r="H185" s="22">
        <v>51.074599999999997</v>
      </c>
      <c r="I185" s="22">
        <v>-1.3845800000000001E-3</v>
      </c>
      <c r="J185" s="22">
        <v>175</v>
      </c>
      <c r="K185" s="22">
        <v>0.74807699999999999</v>
      </c>
      <c r="L185">
        <f t="shared" si="24"/>
        <v>1.3845800000000001</v>
      </c>
      <c r="M185">
        <f t="shared" si="25"/>
        <v>1.0367028904200002</v>
      </c>
      <c r="N185" s="9"/>
      <c r="O185" s="22">
        <v>0.78125</v>
      </c>
      <c r="P185" s="22">
        <v>100.134</v>
      </c>
      <c r="Q185" s="22">
        <v>-9.4482400000000003E-4</v>
      </c>
      <c r="R185" s="22">
        <v>175</v>
      </c>
      <c r="S185" s="22">
        <v>0.78064</v>
      </c>
      <c r="T185">
        <f t="shared" si="26"/>
        <v>0.944824</v>
      </c>
      <c r="U185">
        <f t="shared" si="27"/>
        <v>0.73814374999999999</v>
      </c>
      <c r="X185" s="9"/>
      <c r="Y185" s="22">
        <v>0.748749</v>
      </c>
      <c r="Z185" s="22">
        <v>149.21299999999999</v>
      </c>
      <c r="AA185" s="22">
        <v>-1.1328099999999999E-3</v>
      </c>
      <c r="AB185" s="22">
        <v>175</v>
      </c>
      <c r="AC185" s="22">
        <v>0.74807699999999999</v>
      </c>
      <c r="AD185">
        <f t="shared" si="28"/>
        <v>1.1328099999999999</v>
      </c>
      <c r="AE185">
        <f t="shared" si="29"/>
        <v>0.84819035468999993</v>
      </c>
      <c r="AF185" s="9"/>
      <c r="AG185" s="22">
        <v>0.78125</v>
      </c>
      <c r="AH185" s="22">
        <v>198.46299999999999</v>
      </c>
      <c r="AI185" s="22">
        <v>-7.8552199999999998E-4</v>
      </c>
      <c r="AJ185" s="22">
        <v>175</v>
      </c>
      <c r="AK185" s="22">
        <v>0.78033399999999997</v>
      </c>
      <c r="AL185">
        <f t="shared" si="30"/>
        <v>0.78552199999999994</v>
      </c>
      <c r="AM185">
        <f t="shared" si="31"/>
        <v>0.61368906249999999</v>
      </c>
      <c r="AP185" s="9"/>
      <c r="AQ185" s="22">
        <v>0.748749</v>
      </c>
      <c r="AR185" s="22">
        <v>247.607</v>
      </c>
      <c r="AS185" s="22">
        <v>-1.01807E-3</v>
      </c>
      <c r="AT185" s="22">
        <v>175</v>
      </c>
      <c r="AU185" s="22">
        <v>0.74798600000000004</v>
      </c>
      <c r="AV185">
        <f t="shared" si="32"/>
        <v>1.01807</v>
      </c>
      <c r="AW185">
        <f t="shared" si="33"/>
        <v>0.76227889443000008</v>
      </c>
      <c r="AX185" s="9"/>
      <c r="AY185" s="22">
        <v>0.78125</v>
      </c>
      <c r="AZ185" s="22">
        <v>296.767</v>
      </c>
      <c r="BA185" s="22">
        <v>-7.18689E-4</v>
      </c>
      <c r="BB185" s="22">
        <v>175</v>
      </c>
      <c r="BC185" s="22">
        <v>0.78002899999999997</v>
      </c>
      <c r="BD185">
        <f t="shared" si="34"/>
        <v>0.71868900000000002</v>
      </c>
      <c r="BE185">
        <f t="shared" si="35"/>
        <v>0.56147578124999997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0.74371299999999996</v>
      </c>
      <c r="H186" s="22">
        <v>51.084600000000002</v>
      </c>
      <c r="I186" s="22">
        <v>-1.3888500000000001E-3</v>
      </c>
      <c r="J186" s="22">
        <v>176</v>
      </c>
      <c r="K186" s="22">
        <v>0.742981</v>
      </c>
      <c r="L186">
        <f t="shared" si="24"/>
        <v>1.3888500000000001</v>
      </c>
      <c r="M186">
        <f t="shared" si="25"/>
        <v>1.03290580005</v>
      </c>
      <c r="N186" s="9"/>
      <c r="O186" s="22">
        <v>0.78628500000000001</v>
      </c>
      <c r="P186" s="22">
        <v>100.14400000000001</v>
      </c>
      <c r="Q186" s="22">
        <v>-9.4177200000000001E-4</v>
      </c>
      <c r="R186" s="22">
        <v>176</v>
      </c>
      <c r="S186" s="22">
        <v>0.78491200000000005</v>
      </c>
      <c r="T186">
        <f t="shared" si="26"/>
        <v>0.94177200000000005</v>
      </c>
      <c r="U186">
        <f t="shared" si="27"/>
        <v>0.74050119702000006</v>
      </c>
      <c r="X186" s="9"/>
      <c r="Y186" s="22">
        <v>0.74371299999999996</v>
      </c>
      <c r="Z186" s="22">
        <v>149.22300000000001</v>
      </c>
      <c r="AA186" s="22">
        <v>-1.1355600000000001E-3</v>
      </c>
      <c r="AB186" s="22">
        <v>176</v>
      </c>
      <c r="AC186" s="22">
        <v>0.74304199999999998</v>
      </c>
      <c r="AD186">
        <f t="shared" si="28"/>
        <v>1.1355600000000001</v>
      </c>
      <c r="AE186">
        <f t="shared" si="29"/>
        <v>0.84453073428000003</v>
      </c>
      <c r="AF186" s="9"/>
      <c r="AG186" s="22">
        <v>0.78628500000000001</v>
      </c>
      <c r="AH186" s="22">
        <v>198.47300000000001</v>
      </c>
      <c r="AI186" s="22">
        <v>-7.8247099999999997E-4</v>
      </c>
      <c r="AJ186" s="22">
        <v>176</v>
      </c>
      <c r="AK186" s="22">
        <v>0.78491200000000005</v>
      </c>
      <c r="AL186">
        <f t="shared" si="30"/>
        <v>0.78247099999999992</v>
      </c>
      <c r="AM186">
        <f t="shared" si="31"/>
        <v>0.6152452102349999</v>
      </c>
      <c r="AP186" s="9"/>
      <c r="AQ186" s="22">
        <v>0.74371299999999996</v>
      </c>
      <c r="AR186" s="22">
        <v>247.61699999999999</v>
      </c>
      <c r="AS186" s="22">
        <v>-1.0214200000000001E-3</v>
      </c>
      <c r="AT186" s="22">
        <v>176</v>
      </c>
      <c r="AU186" s="22">
        <v>0.74301099999999998</v>
      </c>
      <c r="AV186">
        <f t="shared" si="32"/>
        <v>1.02142</v>
      </c>
      <c r="AW186">
        <f t="shared" si="33"/>
        <v>0.75964333245999993</v>
      </c>
      <c r="AX186" s="9"/>
      <c r="AY186" s="22">
        <v>0.78628500000000001</v>
      </c>
      <c r="AZ186" s="22">
        <v>296.77699999999999</v>
      </c>
      <c r="BA186" s="22">
        <v>-7.1594200000000001E-4</v>
      </c>
      <c r="BB186" s="22">
        <v>176</v>
      </c>
      <c r="BC186" s="22">
        <v>0.78491200000000005</v>
      </c>
      <c r="BD186">
        <f t="shared" si="34"/>
        <v>0.71594199999999997</v>
      </c>
      <c r="BE186">
        <f t="shared" si="35"/>
        <v>0.56293445546999998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0.73867799999999995</v>
      </c>
      <c r="H187" s="22">
        <v>51.094700000000003</v>
      </c>
      <c r="I187" s="22">
        <v>-1.3916E-3</v>
      </c>
      <c r="J187" s="22">
        <v>177</v>
      </c>
      <c r="K187" s="22">
        <v>0.73794599999999999</v>
      </c>
      <c r="L187">
        <f t="shared" si="24"/>
        <v>1.3915999999999999</v>
      </c>
      <c r="M187">
        <f t="shared" si="25"/>
        <v>1.0279443047999999</v>
      </c>
      <c r="N187" s="9"/>
      <c r="O187" s="22">
        <v>0.79132100000000005</v>
      </c>
      <c r="P187" s="22">
        <v>100.154</v>
      </c>
      <c r="Q187" s="22">
        <v>-9.3994100000000002E-4</v>
      </c>
      <c r="R187" s="22">
        <v>177</v>
      </c>
      <c r="S187" s="22">
        <v>0.79010000000000002</v>
      </c>
      <c r="T187">
        <f t="shared" si="26"/>
        <v>0.93994100000000003</v>
      </c>
      <c r="U187">
        <f t="shared" si="27"/>
        <v>0.74379505206100005</v>
      </c>
      <c r="X187" s="9"/>
      <c r="Y187" s="22">
        <v>0.73867799999999995</v>
      </c>
      <c r="Z187" s="22">
        <v>149.23400000000001</v>
      </c>
      <c r="AA187" s="22">
        <v>-1.13922E-3</v>
      </c>
      <c r="AB187" s="22">
        <v>177</v>
      </c>
      <c r="AC187" s="22">
        <v>0.73800699999999997</v>
      </c>
      <c r="AD187">
        <f t="shared" si="28"/>
        <v>1.1392200000000001</v>
      </c>
      <c r="AE187">
        <f t="shared" si="29"/>
        <v>0.84151675116000002</v>
      </c>
      <c r="AF187" s="9"/>
      <c r="AG187" s="22">
        <v>0.79132100000000005</v>
      </c>
      <c r="AH187" s="22">
        <v>198.483</v>
      </c>
      <c r="AI187" s="22">
        <v>-7.7941900000000005E-4</v>
      </c>
      <c r="AJ187" s="22">
        <v>177</v>
      </c>
      <c r="AK187" s="22">
        <v>0.78979500000000002</v>
      </c>
      <c r="AL187">
        <f t="shared" si="30"/>
        <v>0.77941900000000008</v>
      </c>
      <c r="AM187">
        <f t="shared" si="31"/>
        <v>0.61677062249900005</v>
      </c>
      <c r="AP187" s="9"/>
      <c r="AQ187" s="22">
        <v>0.73867799999999995</v>
      </c>
      <c r="AR187" s="22">
        <v>247.62700000000001</v>
      </c>
      <c r="AS187" s="22">
        <v>-1.02509E-3</v>
      </c>
      <c r="AT187" s="22">
        <v>177</v>
      </c>
      <c r="AU187" s="22">
        <v>0.73803700000000005</v>
      </c>
      <c r="AV187">
        <f t="shared" si="32"/>
        <v>1.0250900000000001</v>
      </c>
      <c r="AW187">
        <f t="shared" si="33"/>
        <v>0.75721143101999999</v>
      </c>
      <c r="AX187" s="9"/>
      <c r="AY187" s="22">
        <v>0.79132100000000005</v>
      </c>
      <c r="AZ187" s="22">
        <v>296.78699999999998</v>
      </c>
      <c r="BA187" s="22">
        <v>-7.1258499999999995E-4</v>
      </c>
      <c r="BB187" s="22">
        <v>177</v>
      </c>
      <c r="BC187" s="22">
        <v>0.79040500000000002</v>
      </c>
      <c r="BD187">
        <f t="shared" si="34"/>
        <v>0.71258499999999991</v>
      </c>
      <c r="BE187">
        <f t="shared" si="35"/>
        <v>0.56388347478500001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0.73364300000000005</v>
      </c>
      <c r="H188" s="22">
        <v>51.104799999999997</v>
      </c>
      <c r="I188" s="22">
        <v>-1.39496E-3</v>
      </c>
      <c r="J188" s="22">
        <v>178</v>
      </c>
      <c r="K188" s="22">
        <v>0.73297100000000004</v>
      </c>
      <c r="L188">
        <f t="shared" si="24"/>
        <v>1.39496</v>
      </c>
      <c r="M188">
        <f t="shared" si="25"/>
        <v>1.02340263928</v>
      </c>
      <c r="N188" s="9"/>
      <c r="O188" s="22">
        <v>0.79635599999999995</v>
      </c>
      <c r="P188" s="22">
        <v>100.164</v>
      </c>
      <c r="Q188" s="22">
        <v>-9.3689000000000001E-4</v>
      </c>
      <c r="R188" s="22">
        <v>178</v>
      </c>
      <c r="S188" s="22">
        <v>0.794983</v>
      </c>
      <c r="T188">
        <f t="shared" si="26"/>
        <v>0.93689</v>
      </c>
      <c r="U188">
        <f t="shared" si="27"/>
        <v>0.7460979728399999</v>
      </c>
      <c r="X188" s="9"/>
      <c r="Y188" s="22">
        <v>0.73364300000000005</v>
      </c>
      <c r="Z188" s="22">
        <v>149.244</v>
      </c>
      <c r="AA188" s="22">
        <v>-1.1413599999999999E-3</v>
      </c>
      <c r="AB188" s="22">
        <v>178</v>
      </c>
      <c r="AC188" s="22">
        <v>0.73303200000000002</v>
      </c>
      <c r="AD188">
        <f t="shared" si="28"/>
        <v>1.1413599999999999</v>
      </c>
      <c r="AE188">
        <f t="shared" si="29"/>
        <v>0.83735077447999995</v>
      </c>
      <c r="AF188" s="9"/>
      <c r="AG188" s="22">
        <v>0.79635599999999995</v>
      </c>
      <c r="AH188" s="22">
        <v>198.49299999999999</v>
      </c>
      <c r="AI188" s="22">
        <v>-7.76062E-4</v>
      </c>
      <c r="AJ188" s="22">
        <v>178</v>
      </c>
      <c r="AK188" s="22">
        <v>0.79528799999999999</v>
      </c>
      <c r="AL188">
        <f t="shared" si="30"/>
        <v>0.77606200000000003</v>
      </c>
      <c r="AM188">
        <f t="shared" si="31"/>
        <v>0.61802163007199995</v>
      </c>
      <c r="AP188" s="9"/>
      <c r="AQ188" s="22">
        <v>0.73364300000000005</v>
      </c>
      <c r="AR188" s="22">
        <v>247.637</v>
      </c>
      <c r="AS188" s="22">
        <v>-1.0287499999999999E-3</v>
      </c>
      <c r="AT188" s="22">
        <v>178</v>
      </c>
      <c r="AU188" s="22">
        <v>0.73287999999999998</v>
      </c>
      <c r="AV188">
        <f t="shared" si="32"/>
        <v>1.0287499999999998</v>
      </c>
      <c r="AW188">
        <f t="shared" si="33"/>
        <v>0.75473523624999994</v>
      </c>
      <c r="AX188" s="9"/>
      <c r="AY188" s="22">
        <v>0.79635599999999995</v>
      </c>
      <c r="AZ188" s="22">
        <v>296.79700000000003</v>
      </c>
      <c r="BA188" s="22">
        <v>-7.0953399999999995E-4</v>
      </c>
      <c r="BB188" s="22">
        <v>178</v>
      </c>
      <c r="BC188" s="22">
        <v>0.79528799999999999</v>
      </c>
      <c r="BD188">
        <f t="shared" si="34"/>
        <v>0.709534</v>
      </c>
      <c r="BE188">
        <f t="shared" si="35"/>
        <v>0.56504165810399998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0.728607</v>
      </c>
      <c r="H189" s="22">
        <v>51.114899999999999</v>
      </c>
      <c r="I189" s="22">
        <v>-1.3986199999999999E-3</v>
      </c>
      <c r="J189" s="22">
        <v>179</v>
      </c>
      <c r="K189" s="22">
        <v>0.72793600000000003</v>
      </c>
      <c r="L189">
        <f t="shared" si="24"/>
        <v>1.39862</v>
      </c>
      <c r="M189">
        <f t="shared" si="25"/>
        <v>1.0190443223400001</v>
      </c>
      <c r="N189" s="9"/>
      <c r="O189" s="22">
        <v>0.80139199999999999</v>
      </c>
      <c r="P189" s="22">
        <v>100.17400000000001</v>
      </c>
      <c r="Q189" s="22">
        <v>-9.3566899999999998E-4</v>
      </c>
      <c r="R189" s="22">
        <v>179</v>
      </c>
      <c r="S189" s="22">
        <v>0.79986599999999997</v>
      </c>
      <c r="T189">
        <f t="shared" si="26"/>
        <v>0.93566899999999997</v>
      </c>
      <c r="U189">
        <f t="shared" si="27"/>
        <v>0.74983765124799995</v>
      </c>
      <c r="X189" s="9"/>
      <c r="Y189" s="22">
        <v>0.728607</v>
      </c>
      <c r="Z189" s="22">
        <v>149.25399999999999</v>
      </c>
      <c r="AA189" s="22">
        <v>-1.14471E-3</v>
      </c>
      <c r="AB189" s="22">
        <v>179</v>
      </c>
      <c r="AC189" s="22">
        <v>0.727966</v>
      </c>
      <c r="AD189">
        <f t="shared" si="28"/>
        <v>1.1447099999999999</v>
      </c>
      <c r="AE189">
        <f t="shared" si="29"/>
        <v>0.83404371896999996</v>
      </c>
      <c r="AF189" s="9"/>
      <c r="AG189" s="22">
        <v>0.80139199999999999</v>
      </c>
      <c r="AH189" s="22">
        <v>198.50299999999999</v>
      </c>
      <c r="AI189" s="22">
        <v>-7.73315E-4</v>
      </c>
      <c r="AJ189" s="22">
        <v>179</v>
      </c>
      <c r="AK189" s="22">
        <v>0.80017099999999997</v>
      </c>
      <c r="AL189">
        <f t="shared" si="30"/>
        <v>0.77331499999999997</v>
      </c>
      <c r="AM189">
        <f t="shared" si="31"/>
        <v>0.61972845448000002</v>
      </c>
      <c r="AP189" s="9"/>
      <c r="AQ189" s="22">
        <v>0.728607</v>
      </c>
      <c r="AR189" s="22">
        <v>247.648</v>
      </c>
      <c r="AS189" s="22">
        <v>-1.0321E-3</v>
      </c>
      <c r="AT189" s="22">
        <v>179</v>
      </c>
      <c r="AU189" s="22">
        <v>0.727966</v>
      </c>
      <c r="AV189">
        <f t="shared" si="32"/>
        <v>1.0321</v>
      </c>
      <c r="AW189">
        <f t="shared" si="33"/>
        <v>0.75199528469999999</v>
      </c>
      <c r="AX189" s="9"/>
      <c r="AY189" s="22">
        <v>0.80139199999999999</v>
      </c>
      <c r="AZ189" s="22">
        <v>296.80700000000002</v>
      </c>
      <c r="BA189" s="22">
        <v>-7.0587199999999997E-4</v>
      </c>
      <c r="BB189" s="22">
        <v>179</v>
      </c>
      <c r="BC189" s="22">
        <v>0.80047599999999997</v>
      </c>
      <c r="BD189">
        <f t="shared" si="34"/>
        <v>0.70587199999999994</v>
      </c>
      <c r="BE189">
        <f t="shared" si="35"/>
        <v>0.56568017382399993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0.72357199999999999</v>
      </c>
      <c r="H190" s="22">
        <v>51.124899999999997</v>
      </c>
      <c r="I190" s="22">
        <v>-1.4019799999999999E-3</v>
      </c>
      <c r="J190" s="22">
        <v>180</v>
      </c>
      <c r="K190" s="22">
        <v>0.72289999999999999</v>
      </c>
      <c r="L190">
        <f t="shared" si="24"/>
        <v>1.40198</v>
      </c>
      <c r="M190">
        <f t="shared" si="25"/>
        <v>1.0144334725599999</v>
      </c>
      <c r="N190" s="9"/>
      <c r="O190" s="22">
        <v>0.806427</v>
      </c>
      <c r="P190" s="22">
        <v>100.184</v>
      </c>
      <c r="Q190" s="22">
        <v>-9.32007E-4</v>
      </c>
      <c r="R190" s="22">
        <v>180</v>
      </c>
      <c r="S190" s="22">
        <v>0.80566400000000005</v>
      </c>
      <c r="T190">
        <f t="shared" si="26"/>
        <v>0.93200700000000003</v>
      </c>
      <c r="U190">
        <f t="shared" si="27"/>
        <v>0.75159560898900002</v>
      </c>
      <c r="X190" s="9"/>
      <c r="Y190" s="22">
        <v>0.72357199999999999</v>
      </c>
      <c r="Z190" s="22">
        <v>149.26400000000001</v>
      </c>
      <c r="AA190" s="22">
        <v>-1.1465500000000001E-3</v>
      </c>
      <c r="AB190" s="22">
        <v>180</v>
      </c>
      <c r="AC190" s="22">
        <v>0.72293099999999999</v>
      </c>
      <c r="AD190">
        <f t="shared" si="28"/>
        <v>1.1465500000000002</v>
      </c>
      <c r="AE190">
        <f t="shared" si="29"/>
        <v>0.82961147660000012</v>
      </c>
      <c r="AF190" s="9"/>
      <c r="AG190" s="22">
        <v>0.806427</v>
      </c>
      <c r="AH190" s="22">
        <v>198.51300000000001</v>
      </c>
      <c r="AI190" s="22">
        <v>-7.6965300000000003E-4</v>
      </c>
      <c r="AJ190" s="22">
        <v>180</v>
      </c>
      <c r="AK190" s="22">
        <v>0.80535900000000005</v>
      </c>
      <c r="AL190">
        <f t="shared" si="30"/>
        <v>0.76965300000000003</v>
      </c>
      <c r="AM190">
        <f t="shared" si="31"/>
        <v>0.62066895983100001</v>
      </c>
      <c r="AP190" s="9"/>
      <c r="AQ190" s="22">
        <v>0.72357199999999999</v>
      </c>
      <c r="AR190" s="22">
        <v>247.65799999999999</v>
      </c>
      <c r="AS190" s="22">
        <v>-1.03516E-3</v>
      </c>
      <c r="AT190" s="22">
        <v>180</v>
      </c>
      <c r="AU190" s="22">
        <v>0.72289999999999999</v>
      </c>
      <c r="AV190">
        <f t="shared" si="32"/>
        <v>1.0351600000000001</v>
      </c>
      <c r="AW190">
        <f t="shared" si="33"/>
        <v>0.74901279152</v>
      </c>
      <c r="AX190" s="9"/>
      <c r="AY190" s="22">
        <v>0.806427</v>
      </c>
      <c r="AZ190" s="22">
        <v>296.81700000000001</v>
      </c>
      <c r="BA190" s="22">
        <v>-7.0282000000000005E-4</v>
      </c>
      <c r="BB190" s="22">
        <v>180</v>
      </c>
      <c r="BC190" s="22">
        <v>0.80566400000000005</v>
      </c>
      <c r="BD190">
        <f t="shared" si="34"/>
        <v>0.70282</v>
      </c>
      <c r="BE190">
        <f t="shared" si="35"/>
        <v>0.56677302413999997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0.71853599999999995</v>
      </c>
      <c r="H191" s="22">
        <v>51.134999999999998</v>
      </c>
      <c r="I191" s="22">
        <v>-1.40533E-3</v>
      </c>
      <c r="J191" s="22">
        <v>181</v>
      </c>
      <c r="K191" s="22">
        <v>0.71789599999999998</v>
      </c>
      <c r="L191">
        <f t="shared" si="24"/>
        <v>1.40533</v>
      </c>
      <c r="M191">
        <f t="shared" si="25"/>
        <v>1.00978019688</v>
      </c>
      <c r="N191" s="9"/>
      <c r="O191" s="22">
        <v>0.81146200000000002</v>
      </c>
      <c r="P191" s="22">
        <v>100.194</v>
      </c>
      <c r="Q191" s="22">
        <v>-9.2926E-4</v>
      </c>
      <c r="R191" s="22">
        <v>181</v>
      </c>
      <c r="S191" s="22">
        <v>0.81085200000000002</v>
      </c>
      <c r="T191">
        <f t="shared" si="26"/>
        <v>0.92925999999999997</v>
      </c>
      <c r="U191">
        <f t="shared" si="27"/>
        <v>0.75405917812000001</v>
      </c>
      <c r="X191" s="9"/>
      <c r="Y191" s="22">
        <v>0.71853599999999995</v>
      </c>
      <c r="Z191" s="22">
        <v>149.274</v>
      </c>
      <c r="AA191" s="22">
        <v>-1.14868E-3</v>
      </c>
      <c r="AB191" s="22">
        <v>181</v>
      </c>
      <c r="AC191" s="22">
        <v>0.71789599999999998</v>
      </c>
      <c r="AD191">
        <f t="shared" si="28"/>
        <v>1.1486799999999999</v>
      </c>
      <c r="AE191">
        <f t="shared" si="29"/>
        <v>0.82536793247999984</v>
      </c>
      <c r="AF191" s="9"/>
      <c r="AG191" s="22">
        <v>0.81146200000000002</v>
      </c>
      <c r="AH191" s="22">
        <v>198.523</v>
      </c>
      <c r="AI191" s="22">
        <v>-7.6660200000000002E-4</v>
      </c>
      <c r="AJ191" s="22">
        <v>181</v>
      </c>
      <c r="AK191" s="22">
        <v>0.81054700000000002</v>
      </c>
      <c r="AL191">
        <f t="shared" si="30"/>
        <v>0.76660200000000001</v>
      </c>
      <c r="AM191">
        <f t="shared" si="31"/>
        <v>0.622068392124</v>
      </c>
      <c r="AP191" s="9"/>
      <c r="AQ191" s="22">
        <v>0.71853599999999995</v>
      </c>
      <c r="AR191" s="22">
        <v>247.66800000000001</v>
      </c>
      <c r="AS191" s="22">
        <v>-1.0385100000000001E-3</v>
      </c>
      <c r="AT191" s="22">
        <v>181</v>
      </c>
      <c r="AU191" s="22">
        <v>0.71789599999999998</v>
      </c>
      <c r="AV191">
        <f t="shared" si="32"/>
        <v>1.03851</v>
      </c>
      <c r="AW191">
        <f t="shared" si="33"/>
        <v>0.74620682135999994</v>
      </c>
      <c r="AX191" s="9"/>
      <c r="AY191" s="22">
        <v>0.81146200000000002</v>
      </c>
      <c r="AZ191" s="22">
        <v>296.827</v>
      </c>
      <c r="BA191" s="22">
        <v>-6.9915799999999996E-4</v>
      </c>
      <c r="BB191" s="22">
        <v>181</v>
      </c>
      <c r="BC191" s="22">
        <v>0.81024200000000002</v>
      </c>
      <c r="BD191">
        <f t="shared" si="34"/>
        <v>0.69915799999999995</v>
      </c>
      <c r="BE191">
        <f t="shared" si="35"/>
        <v>0.56734014899599994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0.71350100000000005</v>
      </c>
      <c r="H192" s="22">
        <v>51.145099999999999</v>
      </c>
      <c r="I192" s="22">
        <v>-1.40839E-3</v>
      </c>
      <c r="J192" s="22">
        <v>182</v>
      </c>
      <c r="K192" s="22">
        <v>0.71282999999999996</v>
      </c>
      <c r="L192">
        <f t="shared" si="24"/>
        <v>1.40839</v>
      </c>
      <c r="M192">
        <f t="shared" si="25"/>
        <v>1.0048876733900001</v>
      </c>
      <c r="N192" s="9"/>
      <c r="O192" s="22">
        <v>0.81649799999999995</v>
      </c>
      <c r="P192" s="22">
        <v>100.20399999999999</v>
      </c>
      <c r="Q192" s="22">
        <v>-9.2529299999999999E-4</v>
      </c>
      <c r="R192" s="22">
        <v>182</v>
      </c>
      <c r="S192" s="22">
        <v>0.81542999999999999</v>
      </c>
      <c r="T192">
        <f t="shared" si="26"/>
        <v>0.92529300000000003</v>
      </c>
      <c r="U192">
        <f t="shared" si="27"/>
        <v>0.75549988391400003</v>
      </c>
      <c r="X192" s="9"/>
      <c r="Y192" s="22">
        <v>0.71350100000000005</v>
      </c>
      <c r="Z192" s="22">
        <v>149.28399999999999</v>
      </c>
      <c r="AA192" s="22">
        <v>-1.15021E-3</v>
      </c>
      <c r="AB192" s="22">
        <v>182</v>
      </c>
      <c r="AC192" s="22">
        <v>0.71282999999999996</v>
      </c>
      <c r="AD192">
        <f t="shared" si="28"/>
        <v>1.15021</v>
      </c>
      <c r="AE192">
        <f t="shared" si="29"/>
        <v>0.82067598521000007</v>
      </c>
      <c r="AF192" s="9"/>
      <c r="AG192" s="22">
        <v>0.81649799999999995</v>
      </c>
      <c r="AH192" s="22">
        <v>198.53299999999999</v>
      </c>
      <c r="AI192" s="22">
        <v>-7.6263399999999999E-4</v>
      </c>
      <c r="AJ192" s="22">
        <v>182</v>
      </c>
      <c r="AK192" s="22">
        <v>0.81542999999999999</v>
      </c>
      <c r="AL192">
        <f t="shared" si="30"/>
        <v>0.76263400000000003</v>
      </c>
      <c r="AM192">
        <f t="shared" si="31"/>
        <v>0.62268913573200002</v>
      </c>
      <c r="AP192" s="9"/>
      <c r="AQ192" s="22">
        <v>0.71350100000000005</v>
      </c>
      <c r="AR192" s="22">
        <v>247.678</v>
      </c>
      <c r="AS192" s="22">
        <v>-1.04218E-3</v>
      </c>
      <c r="AT192" s="22">
        <v>182</v>
      </c>
      <c r="AU192" s="22">
        <v>0.71279899999999996</v>
      </c>
      <c r="AV192">
        <f t="shared" si="32"/>
        <v>1.0421799999999999</v>
      </c>
      <c r="AW192">
        <f t="shared" si="33"/>
        <v>0.74359647218000002</v>
      </c>
      <c r="AX192" s="9"/>
      <c r="AY192" s="22">
        <v>0.81649799999999995</v>
      </c>
      <c r="AZ192" s="22">
        <v>296.83699999999999</v>
      </c>
      <c r="BA192" s="22">
        <v>-6.9549599999999998E-4</v>
      </c>
      <c r="BB192" s="22">
        <v>182</v>
      </c>
      <c r="BC192" s="22">
        <v>0.81573499999999999</v>
      </c>
      <c r="BD192">
        <f t="shared" si="34"/>
        <v>0.695496</v>
      </c>
      <c r="BE192">
        <f t="shared" si="35"/>
        <v>0.56787109300799998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0.70846600000000004</v>
      </c>
      <c r="H193" s="22">
        <v>51.155099999999997</v>
      </c>
      <c r="I193" s="22">
        <v>-1.4117400000000001E-3</v>
      </c>
      <c r="J193" s="22">
        <v>183</v>
      </c>
      <c r="K193" s="22">
        <v>0.70779400000000003</v>
      </c>
      <c r="L193">
        <f t="shared" si="24"/>
        <v>1.41174</v>
      </c>
      <c r="M193">
        <f t="shared" si="25"/>
        <v>1.00016979084</v>
      </c>
      <c r="N193" s="9"/>
      <c r="O193" s="22">
        <v>0.82153299999999996</v>
      </c>
      <c r="P193" s="22">
        <v>100.215</v>
      </c>
      <c r="Q193" s="22">
        <v>-9.2285200000000005E-4</v>
      </c>
      <c r="R193" s="22">
        <v>183</v>
      </c>
      <c r="S193" s="22">
        <v>0.82061799999999996</v>
      </c>
      <c r="T193">
        <f t="shared" si="26"/>
        <v>0.92285200000000001</v>
      </c>
      <c r="U193">
        <f t="shared" si="27"/>
        <v>0.75815337211599998</v>
      </c>
      <c r="X193" s="9"/>
      <c r="Y193" s="22">
        <v>0.70846600000000004</v>
      </c>
      <c r="Z193" s="22">
        <v>149.29400000000001</v>
      </c>
      <c r="AA193" s="22">
        <v>-1.1532599999999999E-3</v>
      </c>
      <c r="AB193" s="22">
        <v>183</v>
      </c>
      <c r="AC193" s="22">
        <v>0.70779400000000003</v>
      </c>
      <c r="AD193">
        <f t="shared" si="28"/>
        <v>1.15326</v>
      </c>
      <c r="AE193">
        <f t="shared" si="29"/>
        <v>0.81704549916000002</v>
      </c>
      <c r="AF193" s="9"/>
      <c r="AG193" s="22">
        <v>0.82153299999999996</v>
      </c>
      <c r="AH193" s="22">
        <v>198.54300000000001</v>
      </c>
      <c r="AI193" s="22">
        <v>-7.5958299999999998E-4</v>
      </c>
      <c r="AJ193" s="22">
        <v>183</v>
      </c>
      <c r="AK193" s="22">
        <v>0.82061799999999996</v>
      </c>
      <c r="AL193">
        <f t="shared" si="30"/>
        <v>0.75958300000000001</v>
      </c>
      <c r="AM193">
        <f t="shared" si="31"/>
        <v>0.62402250073900001</v>
      </c>
      <c r="AP193" s="9"/>
      <c r="AQ193" s="22">
        <v>0.70846600000000004</v>
      </c>
      <c r="AR193" s="22">
        <v>247.68799999999999</v>
      </c>
      <c r="AS193" s="22">
        <v>-1.0452300000000001E-3</v>
      </c>
      <c r="AT193" s="22">
        <v>183</v>
      </c>
      <c r="AU193" s="22">
        <v>0.70791599999999999</v>
      </c>
      <c r="AV193">
        <f t="shared" si="32"/>
        <v>1.0452300000000001</v>
      </c>
      <c r="AW193">
        <f t="shared" si="33"/>
        <v>0.74050991718000014</v>
      </c>
      <c r="AX193" s="9"/>
      <c r="AY193" s="22">
        <v>0.82153299999999996</v>
      </c>
      <c r="AZ193" s="22">
        <v>296.84699999999998</v>
      </c>
      <c r="BA193" s="22">
        <v>-6.9183299999999999E-4</v>
      </c>
      <c r="BB193" s="22">
        <v>183</v>
      </c>
      <c r="BC193" s="22">
        <v>0.82092299999999996</v>
      </c>
      <c r="BD193">
        <f t="shared" si="34"/>
        <v>0.69183300000000003</v>
      </c>
      <c r="BE193">
        <f t="shared" si="35"/>
        <v>0.56836363998899997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0.70343</v>
      </c>
      <c r="H194" s="22">
        <v>51.165199999999999</v>
      </c>
      <c r="I194" s="22">
        <v>-1.41479E-3</v>
      </c>
      <c r="J194" s="22">
        <v>184</v>
      </c>
      <c r="K194" s="22">
        <v>0.70275900000000002</v>
      </c>
      <c r="L194">
        <f t="shared" si="24"/>
        <v>1.41479</v>
      </c>
      <c r="M194">
        <f t="shared" si="25"/>
        <v>0.99520572969999999</v>
      </c>
      <c r="N194" s="9"/>
      <c r="O194" s="22">
        <v>0.826569</v>
      </c>
      <c r="P194" s="22">
        <v>100.22499999999999</v>
      </c>
      <c r="Q194" s="22">
        <v>-9.1980000000000002E-4</v>
      </c>
      <c r="R194" s="22">
        <v>184</v>
      </c>
      <c r="S194" s="22">
        <v>0.82550000000000001</v>
      </c>
      <c r="T194">
        <f t="shared" si="26"/>
        <v>0.91980000000000006</v>
      </c>
      <c r="U194">
        <f t="shared" si="27"/>
        <v>0.76027816619999999</v>
      </c>
      <c r="X194" s="9"/>
      <c r="Y194" s="22">
        <v>0.70343</v>
      </c>
      <c r="Z194" s="22">
        <v>149.304</v>
      </c>
      <c r="AA194" s="22">
        <v>-1.1554E-3</v>
      </c>
      <c r="AB194" s="22">
        <v>184</v>
      </c>
      <c r="AC194" s="22">
        <v>0.70284999999999997</v>
      </c>
      <c r="AD194">
        <f t="shared" si="28"/>
        <v>1.1554</v>
      </c>
      <c r="AE194">
        <f t="shared" si="29"/>
        <v>0.81274302200000004</v>
      </c>
      <c r="AF194" s="9"/>
      <c r="AG194" s="22">
        <v>0.826569</v>
      </c>
      <c r="AH194" s="22">
        <v>198.553</v>
      </c>
      <c r="AI194" s="22">
        <v>-7.5561499999999995E-4</v>
      </c>
      <c r="AJ194" s="22">
        <v>184</v>
      </c>
      <c r="AK194" s="22">
        <v>0.82580600000000004</v>
      </c>
      <c r="AL194">
        <f t="shared" si="30"/>
        <v>0.75561499999999993</v>
      </c>
      <c r="AM194">
        <f t="shared" si="31"/>
        <v>0.62456793493499996</v>
      </c>
      <c r="AP194" s="9"/>
      <c r="AQ194" s="22">
        <v>0.70343</v>
      </c>
      <c r="AR194" s="22">
        <v>247.69800000000001</v>
      </c>
      <c r="AS194" s="22">
        <v>-1.0479700000000001E-3</v>
      </c>
      <c r="AT194" s="22">
        <v>184</v>
      </c>
      <c r="AU194" s="22">
        <v>0.702789</v>
      </c>
      <c r="AV194">
        <f t="shared" si="32"/>
        <v>1.0479700000000001</v>
      </c>
      <c r="AW194">
        <f t="shared" si="33"/>
        <v>0.7371735371</v>
      </c>
      <c r="AX194" s="9"/>
      <c r="AY194" s="22">
        <v>0.826569</v>
      </c>
      <c r="AZ194" s="22">
        <v>296.85700000000003</v>
      </c>
      <c r="BA194" s="22">
        <v>-6.8908700000000001E-4</v>
      </c>
      <c r="BB194" s="22">
        <v>184</v>
      </c>
      <c r="BC194" s="22">
        <v>0.82550000000000001</v>
      </c>
      <c r="BD194">
        <f t="shared" si="34"/>
        <v>0.68908700000000001</v>
      </c>
      <c r="BE194">
        <f t="shared" si="35"/>
        <v>0.56957795250300003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0.69839499999999999</v>
      </c>
      <c r="H195" s="22">
        <v>51.1753</v>
      </c>
      <c r="I195" s="22">
        <v>-1.41968E-3</v>
      </c>
      <c r="J195" s="22">
        <v>185</v>
      </c>
      <c r="K195" s="22">
        <v>0.69778399999999996</v>
      </c>
      <c r="L195">
        <f t="shared" si="24"/>
        <v>1.4196800000000001</v>
      </c>
      <c r="M195">
        <f t="shared" si="25"/>
        <v>0.99149741359999999</v>
      </c>
      <c r="N195" s="9"/>
      <c r="O195" s="22">
        <v>0.83160400000000001</v>
      </c>
      <c r="P195" s="22">
        <v>100.235</v>
      </c>
      <c r="Q195" s="22">
        <v>-9.1644299999999997E-4</v>
      </c>
      <c r="R195" s="22">
        <v>185</v>
      </c>
      <c r="S195" s="22">
        <v>0.83038299999999998</v>
      </c>
      <c r="T195">
        <f t="shared" si="26"/>
        <v>0.91644300000000001</v>
      </c>
      <c r="U195">
        <f t="shared" si="27"/>
        <v>0.76211766457200003</v>
      </c>
      <c r="X195" s="9"/>
      <c r="Y195" s="22">
        <v>0.69839499999999999</v>
      </c>
      <c r="Z195" s="22">
        <v>149.31399999999999</v>
      </c>
      <c r="AA195" s="22">
        <v>-1.1593599999999999E-3</v>
      </c>
      <c r="AB195" s="22">
        <v>185</v>
      </c>
      <c r="AC195" s="22">
        <v>0.69778399999999996</v>
      </c>
      <c r="AD195">
        <f t="shared" si="28"/>
        <v>1.1593599999999999</v>
      </c>
      <c r="AE195">
        <f t="shared" si="29"/>
        <v>0.80969122719999997</v>
      </c>
      <c r="AF195" s="9"/>
      <c r="AG195" s="22">
        <v>0.83160400000000001</v>
      </c>
      <c r="AH195" s="22">
        <v>198.56399999999999</v>
      </c>
      <c r="AI195" s="22">
        <v>-7.5256300000000004E-4</v>
      </c>
      <c r="AJ195" s="22">
        <v>185</v>
      </c>
      <c r="AK195" s="22">
        <v>0.83068799999999998</v>
      </c>
      <c r="AL195">
        <f t="shared" si="30"/>
        <v>0.75256300000000009</v>
      </c>
      <c r="AM195">
        <f t="shared" si="31"/>
        <v>0.62583440105200006</v>
      </c>
      <c r="AP195" s="9"/>
      <c r="AQ195" s="22">
        <v>0.69839499999999999</v>
      </c>
      <c r="AR195" s="22">
        <v>247.708</v>
      </c>
      <c r="AS195" s="22">
        <v>-1.05164E-3</v>
      </c>
      <c r="AT195" s="22">
        <v>185</v>
      </c>
      <c r="AU195" s="22">
        <v>0.69769300000000001</v>
      </c>
      <c r="AV195">
        <f t="shared" si="32"/>
        <v>1.0516399999999999</v>
      </c>
      <c r="AW195">
        <f t="shared" si="33"/>
        <v>0.73446011779999998</v>
      </c>
      <c r="AX195" s="9"/>
      <c r="AY195" s="22">
        <v>0.83160400000000001</v>
      </c>
      <c r="AZ195" s="22">
        <v>296.86700000000002</v>
      </c>
      <c r="BA195" s="22">
        <v>-6.8542500000000003E-4</v>
      </c>
      <c r="BB195" s="22">
        <v>185</v>
      </c>
      <c r="BC195" s="22">
        <v>0.83038299999999998</v>
      </c>
      <c r="BD195">
        <f t="shared" si="34"/>
        <v>0.68542500000000006</v>
      </c>
      <c r="BE195">
        <f t="shared" si="35"/>
        <v>0.5700021717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0.69335899999999995</v>
      </c>
      <c r="H196" s="22">
        <v>51.185400000000001</v>
      </c>
      <c r="I196" s="22">
        <v>-1.4233399999999999E-3</v>
      </c>
      <c r="J196" s="22">
        <v>186</v>
      </c>
      <c r="K196" s="22">
        <v>0.69268799999999997</v>
      </c>
      <c r="L196">
        <f t="shared" si="24"/>
        <v>1.4233399999999998</v>
      </c>
      <c r="M196">
        <f t="shared" si="25"/>
        <v>0.98688559905999984</v>
      </c>
      <c r="N196" s="9"/>
      <c r="O196" s="22">
        <v>0.83663900000000002</v>
      </c>
      <c r="P196" s="22">
        <v>100.245</v>
      </c>
      <c r="Q196" s="22">
        <v>-9.1278099999999999E-4</v>
      </c>
      <c r="R196" s="22">
        <v>186</v>
      </c>
      <c r="S196" s="22">
        <v>0.83557099999999995</v>
      </c>
      <c r="T196">
        <f t="shared" si="26"/>
        <v>0.91278099999999995</v>
      </c>
      <c r="U196">
        <f t="shared" si="27"/>
        <v>0.76366818305899997</v>
      </c>
      <c r="X196" s="9"/>
      <c r="Y196" s="22">
        <v>0.69335899999999995</v>
      </c>
      <c r="Z196" s="22">
        <v>149.32400000000001</v>
      </c>
      <c r="AA196" s="22">
        <v>-1.1621100000000001E-3</v>
      </c>
      <c r="AB196" s="22">
        <v>186</v>
      </c>
      <c r="AC196" s="22">
        <v>0.69268799999999997</v>
      </c>
      <c r="AD196">
        <f t="shared" si="28"/>
        <v>1.16211</v>
      </c>
      <c r="AE196">
        <f t="shared" si="29"/>
        <v>0.80575942748999996</v>
      </c>
      <c r="AF196" s="9"/>
      <c r="AG196" s="22">
        <v>0.83663900000000002</v>
      </c>
      <c r="AH196" s="22">
        <v>198.57400000000001</v>
      </c>
      <c r="AI196" s="22">
        <v>-7.4890099999999995E-4</v>
      </c>
      <c r="AJ196" s="22">
        <v>186</v>
      </c>
      <c r="AK196" s="22">
        <v>0.83557099999999995</v>
      </c>
      <c r="AL196">
        <f t="shared" si="30"/>
        <v>0.74890099999999993</v>
      </c>
      <c r="AM196">
        <f t="shared" si="31"/>
        <v>0.62655978373900001</v>
      </c>
      <c r="AP196" s="9"/>
      <c r="AQ196" s="22">
        <v>0.69335899999999995</v>
      </c>
      <c r="AR196" s="22">
        <v>247.71799999999999</v>
      </c>
      <c r="AS196" s="22">
        <v>-1.05499E-3</v>
      </c>
      <c r="AT196" s="22">
        <v>186</v>
      </c>
      <c r="AU196" s="22">
        <v>0.69268799999999997</v>
      </c>
      <c r="AV196">
        <f t="shared" si="32"/>
        <v>1.0549900000000001</v>
      </c>
      <c r="AW196">
        <f t="shared" si="33"/>
        <v>0.73148681141000005</v>
      </c>
      <c r="AX196" s="9"/>
      <c r="AY196" s="22">
        <v>0.83663900000000002</v>
      </c>
      <c r="AZ196" s="22">
        <v>296.87700000000001</v>
      </c>
      <c r="BA196" s="22">
        <v>-6.8267800000000004E-4</v>
      </c>
      <c r="BB196" s="22">
        <v>186</v>
      </c>
      <c r="BC196" s="22">
        <v>0.83557099999999995</v>
      </c>
      <c r="BD196">
        <f t="shared" si="34"/>
        <v>0.68267800000000001</v>
      </c>
      <c r="BE196">
        <f t="shared" si="35"/>
        <v>0.57115503924200006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0.68832400000000005</v>
      </c>
      <c r="H197" s="22">
        <v>51.195399999999999</v>
      </c>
      <c r="I197" s="22">
        <v>-1.42639E-3</v>
      </c>
      <c r="J197" s="22">
        <v>187</v>
      </c>
      <c r="K197" s="22">
        <v>0.68768300000000004</v>
      </c>
      <c r="L197">
        <f t="shared" si="24"/>
        <v>1.42639</v>
      </c>
      <c r="M197">
        <f t="shared" si="25"/>
        <v>0.98181847036000014</v>
      </c>
      <c r="N197" s="9"/>
      <c r="O197" s="22">
        <v>0.84167499999999995</v>
      </c>
      <c r="P197" s="22">
        <v>100.255</v>
      </c>
      <c r="Q197" s="22">
        <v>-9.1003399999999999E-4</v>
      </c>
      <c r="R197" s="22">
        <v>187</v>
      </c>
      <c r="S197" s="22">
        <v>0.84075900000000003</v>
      </c>
      <c r="T197">
        <f t="shared" si="26"/>
        <v>0.91003400000000001</v>
      </c>
      <c r="U197">
        <f t="shared" si="27"/>
        <v>0.76595286694999998</v>
      </c>
      <c r="X197" s="9"/>
      <c r="Y197" s="22">
        <v>0.68832400000000005</v>
      </c>
      <c r="Z197" s="22">
        <v>149.334</v>
      </c>
      <c r="AA197" s="22">
        <v>-1.16577E-3</v>
      </c>
      <c r="AB197" s="22">
        <v>187</v>
      </c>
      <c r="AC197" s="22">
        <v>0.68762199999999996</v>
      </c>
      <c r="AD197">
        <f t="shared" si="28"/>
        <v>1.16577</v>
      </c>
      <c r="AE197">
        <f t="shared" si="29"/>
        <v>0.80242746947999999</v>
      </c>
      <c r="AF197" s="9"/>
      <c r="AG197" s="22">
        <v>0.84167499999999995</v>
      </c>
      <c r="AH197" s="22">
        <v>198.584</v>
      </c>
      <c r="AI197" s="22">
        <v>-7.4585000000000005E-4</v>
      </c>
      <c r="AJ197" s="22">
        <v>187</v>
      </c>
      <c r="AK197" s="22">
        <v>0.84045400000000003</v>
      </c>
      <c r="AL197">
        <f t="shared" si="30"/>
        <v>0.74585000000000001</v>
      </c>
      <c r="AM197">
        <f t="shared" si="31"/>
        <v>0.62776329874999992</v>
      </c>
      <c r="AP197" s="9"/>
      <c r="AQ197" s="22">
        <v>0.68832400000000005</v>
      </c>
      <c r="AR197" s="22">
        <v>247.72800000000001</v>
      </c>
      <c r="AS197" s="22">
        <v>-1.05835E-3</v>
      </c>
      <c r="AT197" s="22">
        <v>187</v>
      </c>
      <c r="AU197" s="22">
        <v>0.68771400000000005</v>
      </c>
      <c r="AV197">
        <f t="shared" si="32"/>
        <v>1.0583499999999999</v>
      </c>
      <c r="AW197">
        <f t="shared" si="33"/>
        <v>0.72848770539999996</v>
      </c>
      <c r="AX197" s="9"/>
      <c r="AY197" s="22">
        <v>0.84167499999999995</v>
      </c>
      <c r="AZ197" s="22">
        <v>296.88799999999998</v>
      </c>
      <c r="BA197" s="22">
        <v>-6.7871100000000003E-4</v>
      </c>
      <c r="BB197" s="22">
        <v>187</v>
      </c>
      <c r="BC197" s="22">
        <v>0.84075900000000003</v>
      </c>
      <c r="BD197">
        <f t="shared" si="34"/>
        <v>0.67871100000000006</v>
      </c>
      <c r="BE197">
        <f t="shared" si="35"/>
        <v>0.57125408092500007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0.68328900000000004</v>
      </c>
      <c r="H198" s="22">
        <v>51.205500000000001</v>
      </c>
      <c r="I198" s="22">
        <v>-1.43005E-3</v>
      </c>
      <c r="J198" s="22">
        <v>188</v>
      </c>
      <c r="K198" s="22">
        <v>0.68261700000000003</v>
      </c>
      <c r="L198">
        <f t="shared" si="24"/>
        <v>1.43005</v>
      </c>
      <c r="M198">
        <f t="shared" si="25"/>
        <v>0.97713743445000012</v>
      </c>
      <c r="N198" s="9"/>
      <c r="O198" s="22">
        <v>0.84670999999999996</v>
      </c>
      <c r="P198" s="22">
        <v>100.265</v>
      </c>
      <c r="Q198" s="22">
        <v>-9.0759300000000005E-4</v>
      </c>
      <c r="R198" s="22">
        <v>188</v>
      </c>
      <c r="S198" s="22">
        <v>0.845642</v>
      </c>
      <c r="T198">
        <f t="shared" si="26"/>
        <v>0.90759300000000009</v>
      </c>
      <c r="U198">
        <f t="shared" si="27"/>
        <v>0.76846806903000009</v>
      </c>
      <c r="X198" s="9"/>
      <c r="Y198" s="22">
        <v>0.68328900000000004</v>
      </c>
      <c r="Z198" s="22">
        <v>149.34399999999999</v>
      </c>
      <c r="AA198" s="22">
        <v>-1.1694299999999999E-3</v>
      </c>
      <c r="AB198" s="22">
        <v>188</v>
      </c>
      <c r="AC198" s="22">
        <v>0.68255600000000005</v>
      </c>
      <c r="AD198">
        <f t="shared" si="28"/>
        <v>1.16943</v>
      </c>
      <c r="AE198">
        <f t="shared" si="29"/>
        <v>0.79905865526999997</v>
      </c>
      <c r="AF198" s="9"/>
      <c r="AG198" s="22">
        <v>0.84670999999999996</v>
      </c>
      <c r="AH198" s="22">
        <v>198.59399999999999</v>
      </c>
      <c r="AI198" s="22">
        <v>-7.4188200000000002E-4</v>
      </c>
      <c r="AJ198" s="22">
        <v>188</v>
      </c>
      <c r="AK198" s="22">
        <v>0.84533700000000001</v>
      </c>
      <c r="AL198">
        <f t="shared" si="30"/>
        <v>0.74188200000000004</v>
      </c>
      <c r="AM198">
        <f t="shared" si="31"/>
        <v>0.62815890821999998</v>
      </c>
      <c r="AP198" s="9"/>
      <c r="AQ198" s="22">
        <v>0.68328900000000004</v>
      </c>
      <c r="AR198" s="22">
        <v>247.738</v>
      </c>
      <c r="AS198" s="22">
        <v>-1.06171E-3</v>
      </c>
      <c r="AT198" s="22">
        <v>188</v>
      </c>
      <c r="AU198" s="22">
        <v>0.68261700000000003</v>
      </c>
      <c r="AV198">
        <f t="shared" si="32"/>
        <v>1.0617099999999999</v>
      </c>
      <c r="AW198">
        <f t="shared" si="33"/>
        <v>0.72545476418999999</v>
      </c>
      <c r="AX198" s="9"/>
      <c r="AY198" s="22">
        <v>0.84670999999999996</v>
      </c>
      <c r="AZ198" s="22">
        <v>296.89800000000002</v>
      </c>
      <c r="BA198" s="22">
        <v>-6.7626999999999997E-4</v>
      </c>
      <c r="BB198" s="22">
        <v>188</v>
      </c>
      <c r="BC198" s="22">
        <v>0.845642</v>
      </c>
      <c r="BD198">
        <f t="shared" si="34"/>
        <v>0.67626999999999993</v>
      </c>
      <c r="BE198">
        <f t="shared" si="35"/>
        <v>0.5726045716999999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0.67825299999999999</v>
      </c>
      <c r="H199" s="22">
        <v>51.215600000000002</v>
      </c>
      <c r="I199" s="22">
        <v>-1.43311E-3</v>
      </c>
      <c r="J199" s="22">
        <v>189</v>
      </c>
      <c r="K199" s="22">
        <v>0.67755100000000001</v>
      </c>
      <c r="L199">
        <f t="shared" si="24"/>
        <v>1.4331100000000001</v>
      </c>
      <c r="M199">
        <f t="shared" si="25"/>
        <v>0.97201115683000006</v>
      </c>
      <c r="N199" s="9"/>
      <c r="O199" s="22">
        <v>0.851746</v>
      </c>
      <c r="P199" s="22">
        <v>100.27500000000001</v>
      </c>
      <c r="Q199" s="22">
        <v>-9.0454100000000003E-4</v>
      </c>
      <c r="R199" s="22">
        <v>189</v>
      </c>
      <c r="S199" s="22">
        <v>0.85021999999999998</v>
      </c>
      <c r="T199">
        <f t="shared" si="26"/>
        <v>0.90454100000000004</v>
      </c>
      <c r="U199">
        <f t="shared" si="27"/>
        <v>0.77043917858600008</v>
      </c>
      <c r="X199" s="9"/>
      <c r="Y199" s="22">
        <v>0.67825299999999999</v>
      </c>
      <c r="Z199" s="22">
        <v>149.35400000000001</v>
      </c>
      <c r="AA199" s="22">
        <v>-1.1734E-3</v>
      </c>
      <c r="AB199" s="22">
        <v>189</v>
      </c>
      <c r="AC199" s="22">
        <v>0.67761199999999999</v>
      </c>
      <c r="AD199">
        <f t="shared" si="28"/>
        <v>1.1734</v>
      </c>
      <c r="AE199">
        <f t="shared" si="29"/>
        <v>0.79586207019999999</v>
      </c>
      <c r="AF199" s="9"/>
      <c r="AG199" s="22">
        <v>0.851746</v>
      </c>
      <c r="AH199" s="22">
        <v>198.60400000000001</v>
      </c>
      <c r="AI199" s="22">
        <v>-7.3883100000000001E-4</v>
      </c>
      <c r="AJ199" s="22">
        <v>189</v>
      </c>
      <c r="AK199" s="22">
        <v>0.85113499999999997</v>
      </c>
      <c r="AL199">
        <f t="shared" si="30"/>
        <v>0.73883100000000002</v>
      </c>
      <c r="AM199">
        <f t="shared" si="31"/>
        <v>0.62929634892600006</v>
      </c>
      <c r="AP199" s="9"/>
      <c r="AQ199" s="22">
        <v>0.67825299999999999</v>
      </c>
      <c r="AR199" s="22">
        <v>247.74799999999999</v>
      </c>
      <c r="AS199" s="22">
        <v>-1.0650600000000001E-3</v>
      </c>
      <c r="AT199" s="22">
        <v>189</v>
      </c>
      <c r="AU199" s="22">
        <v>0.677643</v>
      </c>
      <c r="AV199">
        <f t="shared" si="32"/>
        <v>1.0650600000000001</v>
      </c>
      <c r="AW199">
        <f t="shared" si="33"/>
        <v>0.72238014018000007</v>
      </c>
      <c r="AX199" s="9"/>
      <c r="AY199" s="22">
        <v>0.851746</v>
      </c>
      <c r="AZ199" s="22">
        <v>296.90800000000002</v>
      </c>
      <c r="BA199" s="22">
        <v>-6.7260699999999998E-4</v>
      </c>
      <c r="BB199" s="22">
        <v>189</v>
      </c>
      <c r="BC199" s="22">
        <v>0.85021999999999998</v>
      </c>
      <c r="BD199">
        <f t="shared" si="34"/>
        <v>0.67260699999999995</v>
      </c>
      <c r="BE199">
        <f t="shared" si="35"/>
        <v>0.57289032182199995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0.67321799999999998</v>
      </c>
      <c r="H200" s="22">
        <v>51.2256</v>
      </c>
      <c r="I200" s="22">
        <v>-1.43585E-3</v>
      </c>
      <c r="J200" s="22">
        <v>190</v>
      </c>
      <c r="K200" s="22">
        <v>0.67257699999999998</v>
      </c>
      <c r="L200">
        <f t="shared" si="24"/>
        <v>1.4358500000000001</v>
      </c>
      <c r="M200">
        <f t="shared" si="25"/>
        <v>0.96664006530000002</v>
      </c>
      <c r="N200" s="9"/>
      <c r="O200" s="22">
        <v>0.85678100000000001</v>
      </c>
      <c r="P200" s="22">
        <v>100.285</v>
      </c>
      <c r="Q200" s="22">
        <v>-9.0118399999999997E-4</v>
      </c>
      <c r="R200" s="22">
        <v>190</v>
      </c>
      <c r="S200" s="22">
        <v>0.85571299999999995</v>
      </c>
      <c r="T200">
        <f t="shared" si="26"/>
        <v>0.90118399999999999</v>
      </c>
      <c r="U200">
        <f t="shared" si="27"/>
        <v>0.77211732870399996</v>
      </c>
      <c r="X200" s="9"/>
      <c r="Y200" s="22">
        <v>0.67321799999999998</v>
      </c>
      <c r="Z200" s="22">
        <v>149.364</v>
      </c>
      <c r="AA200" s="22">
        <v>-1.1764499999999999E-3</v>
      </c>
      <c r="AB200" s="22">
        <v>190</v>
      </c>
      <c r="AC200" s="22">
        <v>0.672516</v>
      </c>
      <c r="AD200">
        <f t="shared" si="28"/>
        <v>1.17645</v>
      </c>
      <c r="AE200">
        <f t="shared" si="29"/>
        <v>0.79200731609999997</v>
      </c>
      <c r="AF200" s="9"/>
      <c r="AG200" s="22">
        <v>0.85678100000000001</v>
      </c>
      <c r="AH200" s="22">
        <v>198.614</v>
      </c>
      <c r="AI200" s="22">
        <v>-7.3516800000000002E-4</v>
      </c>
      <c r="AJ200" s="22">
        <v>190</v>
      </c>
      <c r="AK200" s="22">
        <v>0.85601799999999995</v>
      </c>
      <c r="AL200">
        <f t="shared" si="30"/>
        <v>0.73516800000000004</v>
      </c>
      <c r="AM200">
        <f t="shared" si="31"/>
        <v>0.62987797420800007</v>
      </c>
      <c r="AP200" s="9"/>
      <c r="AQ200" s="22">
        <v>0.67321799999999998</v>
      </c>
      <c r="AR200" s="22">
        <v>247.75800000000001</v>
      </c>
      <c r="AS200" s="22">
        <v>-1.06842E-3</v>
      </c>
      <c r="AT200" s="22">
        <v>190</v>
      </c>
      <c r="AU200" s="22">
        <v>0.67257699999999998</v>
      </c>
      <c r="AV200">
        <f t="shared" si="32"/>
        <v>1.0684200000000001</v>
      </c>
      <c r="AW200">
        <f t="shared" si="33"/>
        <v>0.71927957556000011</v>
      </c>
      <c r="AX200" s="9"/>
      <c r="AY200" s="22">
        <v>0.85678100000000001</v>
      </c>
      <c r="AZ200" s="22">
        <v>296.91800000000001</v>
      </c>
      <c r="BA200" s="22">
        <v>-6.69861E-4</v>
      </c>
      <c r="BB200" s="22">
        <v>190</v>
      </c>
      <c r="BC200" s="22">
        <v>0.85571299999999995</v>
      </c>
      <c r="BD200">
        <f t="shared" si="34"/>
        <v>0.66986100000000004</v>
      </c>
      <c r="BE200">
        <f t="shared" si="35"/>
        <v>0.57392417744099999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0.66818200000000005</v>
      </c>
      <c r="H201" s="22">
        <v>51.235700000000001</v>
      </c>
      <c r="I201" s="22">
        <v>-1.4398200000000001E-3</v>
      </c>
      <c r="J201" s="22">
        <v>191</v>
      </c>
      <c r="K201" s="22">
        <v>0.66754199999999997</v>
      </c>
      <c r="L201">
        <f t="shared" si="24"/>
        <v>1.4398200000000001</v>
      </c>
      <c r="M201">
        <f t="shared" si="25"/>
        <v>0.96206180724000012</v>
      </c>
      <c r="N201" s="9"/>
      <c r="O201" s="22">
        <v>0.86181600000000003</v>
      </c>
      <c r="P201" s="22">
        <v>100.295</v>
      </c>
      <c r="Q201" s="22">
        <v>-8.9782700000000002E-4</v>
      </c>
      <c r="R201" s="22">
        <v>191</v>
      </c>
      <c r="S201" s="22">
        <v>0.86090100000000003</v>
      </c>
      <c r="T201">
        <f t="shared" si="26"/>
        <v>0.89782700000000004</v>
      </c>
      <c r="U201">
        <f t="shared" si="27"/>
        <v>0.77376167383200001</v>
      </c>
      <c r="X201" s="9"/>
      <c r="Y201" s="22">
        <v>0.66818200000000005</v>
      </c>
      <c r="Z201" s="22">
        <v>149.375</v>
      </c>
      <c r="AA201" s="22">
        <v>-1.1807300000000001E-3</v>
      </c>
      <c r="AB201" s="22">
        <v>191</v>
      </c>
      <c r="AC201" s="22">
        <v>0.66754199999999997</v>
      </c>
      <c r="AD201">
        <f t="shared" si="28"/>
        <v>1.1807300000000001</v>
      </c>
      <c r="AE201">
        <f t="shared" si="29"/>
        <v>0.78894253286000016</v>
      </c>
      <c r="AF201" s="9"/>
      <c r="AG201" s="22">
        <v>0.86181600000000003</v>
      </c>
      <c r="AH201" s="22">
        <v>198.624</v>
      </c>
      <c r="AI201" s="22">
        <v>-7.3242200000000004E-4</v>
      </c>
      <c r="AJ201" s="22">
        <v>191</v>
      </c>
      <c r="AK201" s="22">
        <v>0.86059600000000003</v>
      </c>
      <c r="AL201">
        <f t="shared" si="30"/>
        <v>0.73242200000000002</v>
      </c>
      <c r="AM201">
        <f t="shared" si="31"/>
        <v>0.63121299835200007</v>
      </c>
      <c r="AP201" s="9"/>
      <c r="AQ201" s="22">
        <v>0.66818200000000005</v>
      </c>
      <c r="AR201" s="22">
        <v>247.768</v>
      </c>
      <c r="AS201" s="22">
        <v>-1.07178E-3</v>
      </c>
      <c r="AT201" s="22">
        <v>191</v>
      </c>
      <c r="AU201" s="22">
        <v>0.66757200000000005</v>
      </c>
      <c r="AV201">
        <f t="shared" si="32"/>
        <v>1.07178</v>
      </c>
      <c r="AW201">
        <f t="shared" si="33"/>
        <v>0.71614410396000006</v>
      </c>
      <c r="AX201" s="9"/>
      <c r="AY201" s="22">
        <v>0.86181600000000003</v>
      </c>
      <c r="AZ201" s="22">
        <v>296.928</v>
      </c>
      <c r="BA201" s="22">
        <v>-6.6619900000000002E-4</v>
      </c>
      <c r="BB201" s="22">
        <v>191</v>
      </c>
      <c r="BC201" s="22">
        <v>0.86090100000000003</v>
      </c>
      <c r="BD201">
        <f t="shared" si="34"/>
        <v>0.66619899999999999</v>
      </c>
      <c r="BE201">
        <f t="shared" si="35"/>
        <v>0.57414095738399995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0.66314700000000004</v>
      </c>
      <c r="H202" s="22">
        <v>51.245800000000003</v>
      </c>
      <c r="I202" s="22">
        <v>-1.44257E-3</v>
      </c>
      <c r="J202" s="22">
        <v>192</v>
      </c>
      <c r="K202" s="22">
        <v>0.66250600000000004</v>
      </c>
      <c r="L202">
        <f t="shared" si="24"/>
        <v>1.4425699999999999</v>
      </c>
      <c r="M202">
        <f t="shared" si="25"/>
        <v>0.95663596779000004</v>
      </c>
      <c r="N202" s="9"/>
      <c r="O202" s="22">
        <v>0.86685199999999996</v>
      </c>
      <c r="P202" s="22">
        <v>100.30500000000001</v>
      </c>
      <c r="Q202" s="22">
        <v>-8.94775E-4</v>
      </c>
      <c r="R202" s="22">
        <v>192</v>
      </c>
      <c r="S202" s="22">
        <v>0.865479</v>
      </c>
      <c r="T202">
        <f t="shared" si="26"/>
        <v>0.89477499999999999</v>
      </c>
      <c r="U202">
        <f t="shared" si="27"/>
        <v>0.77563749829999995</v>
      </c>
      <c r="X202" s="9"/>
      <c r="Y202" s="22">
        <v>0.66314700000000004</v>
      </c>
      <c r="Z202" s="22">
        <v>149.38499999999999</v>
      </c>
      <c r="AA202" s="22">
        <v>-1.1834700000000001E-3</v>
      </c>
      <c r="AB202" s="22">
        <v>192</v>
      </c>
      <c r="AC202" s="22">
        <v>0.66247599999999995</v>
      </c>
      <c r="AD202">
        <f t="shared" si="28"/>
        <v>1.18347</v>
      </c>
      <c r="AE202">
        <f t="shared" si="29"/>
        <v>0.78481458009000005</v>
      </c>
      <c r="AF202" s="9"/>
      <c r="AG202" s="22">
        <v>0.86685199999999996</v>
      </c>
      <c r="AH202" s="22">
        <v>198.63399999999999</v>
      </c>
      <c r="AI202" s="22">
        <v>-7.2875999999999995E-4</v>
      </c>
      <c r="AJ202" s="22">
        <v>192</v>
      </c>
      <c r="AK202" s="22">
        <v>0.866089</v>
      </c>
      <c r="AL202">
        <f t="shared" si="30"/>
        <v>0.72875999999999996</v>
      </c>
      <c r="AM202">
        <f t="shared" si="31"/>
        <v>0.63172706351999997</v>
      </c>
      <c r="AP202" s="9"/>
      <c r="AQ202" s="22">
        <v>0.66314700000000004</v>
      </c>
      <c r="AR202" s="22">
        <v>247.77799999999999</v>
      </c>
      <c r="AS202" s="22">
        <v>-1.0751300000000001E-3</v>
      </c>
      <c r="AT202" s="22">
        <v>192</v>
      </c>
      <c r="AU202" s="22">
        <v>0.66241499999999998</v>
      </c>
      <c r="AV202">
        <f t="shared" si="32"/>
        <v>1.0751300000000001</v>
      </c>
      <c r="AW202">
        <f t="shared" si="33"/>
        <v>0.71296923411000013</v>
      </c>
      <c r="AX202" s="9"/>
      <c r="AY202" s="22">
        <v>0.86685199999999996</v>
      </c>
      <c r="AZ202" s="22">
        <v>296.93799999999999</v>
      </c>
      <c r="BA202" s="22">
        <v>-6.6284199999999997E-4</v>
      </c>
      <c r="BB202" s="22">
        <v>192</v>
      </c>
      <c r="BC202" s="22">
        <v>0.865479</v>
      </c>
      <c r="BD202">
        <f t="shared" si="34"/>
        <v>0.66284199999999993</v>
      </c>
      <c r="BE202">
        <f t="shared" si="35"/>
        <v>0.57458591338399989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0.65811200000000003</v>
      </c>
      <c r="H203" s="22">
        <v>51.255800000000001</v>
      </c>
      <c r="I203" s="22">
        <v>-1.4446999999999999E-3</v>
      </c>
      <c r="J203" s="22">
        <v>193</v>
      </c>
      <c r="K203" s="22">
        <v>0.65744000000000002</v>
      </c>
      <c r="L203">
        <f t="shared" si="24"/>
        <v>1.4446999999999999</v>
      </c>
      <c r="M203">
        <f t="shared" si="25"/>
        <v>0.95077440639999999</v>
      </c>
      <c r="N203" s="9"/>
      <c r="O203" s="22">
        <v>0.87188699999999997</v>
      </c>
      <c r="P203" s="22">
        <v>100.315</v>
      </c>
      <c r="Q203" s="22">
        <v>-8.8470499999999995E-4</v>
      </c>
      <c r="R203" s="22">
        <v>193</v>
      </c>
      <c r="S203" s="22">
        <v>0.87066699999999997</v>
      </c>
      <c r="T203">
        <f t="shared" si="26"/>
        <v>0.88470499999999996</v>
      </c>
      <c r="U203">
        <f t="shared" si="27"/>
        <v>0.77136278833499994</v>
      </c>
      <c r="X203" s="9"/>
      <c r="Y203" s="22">
        <v>0.65811200000000003</v>
      </c>
      <c r="Z203" s="22">
        <v>149.39500000000001</v>
      </c>
      <c r="AA203" s="22">
        <v>-1.18622E-3</v>
      </c>
      <c r="AB203" s="22">
        <v>193</v>
      </c>
      <c r="AC203" s="22">
        <v>0.65747100000000003</v>
      </c>
      <c r="AD203">
        <f t="shared" si="28"/>
        <v>1.1862200000000001</v>
      </c>
      <c r="AE203">
        <f t="shared" si="29"/>
        <v>0.78066561664000012</v>
      </c>
      <c r="AF203" s="9"/>
      <c r="AG203" s="22">
        <v>0.87188699999999997</v>
      </c>
      <c r="AH203" s="22">
        <v>198.64400000000001</v>
      </c>
      <c r="AI203" s="22">
        <v>-7.2631799999999999E-4</v>
      </c>
      <c r="AJ203" s="22">
        <v>193</v>
      </c>
      <c r="AK203" s="22">
        <v>0.87066699999999997</v>
      </c>
      <c r="AL203">
        <f t="shared" si="30"/>
        <v>0.72631800000000002</v>
      </c>
      <c r="AM203">
        <f t="shared" si="31"/>
        <v>0.63326722206599995</v>
      </c>
      <c r="AP203" s="9"/>
      <c r="AQ203" s="22">
        <v>0.65811200000000003</v>
      </c>
      <c r="AR203" s="22">
        <v>247.78899999999999</v>
      </c>
      <c r="AS203" s="22">
        <v>-1.0784900000000001E-3</v>
      </c>
      <c r="AT203" s="22">
        <v>193</v>
      </c>
      <c r="AU203" s="22">
        <v>0.65744000000000002</v>
      </c>
      <c r="AV203">
        <f t="shared" si="32"/>
        <v>1.0784900000000002</v>
      </c>
      <c r="AW203">
        <f t="shared" si="33"/>
        <v>0.70976721088000017</v>
      </c>
      <c r="AX203" s="9"/>
      <c r="AY203" s="22">
        <v>0.87188699999999997</v>
      </c>
      <c r="AZ203" s="22">
        <v>296.94799999999998</v>
      </c>
      <c r="BA203" s="22">
        <v>-6.5917999999999999E-4</v>
      </c>
      <c r="BB203" s="22">
        <v>193</v>
      </c>
      <c r="BC203" s="22">
        <v>0.87066699999999997</v>
      </c>
      <c r="BD203">
        <f t="shared" si="34"/>
        <v>0.65917999999999999</v>
      </c>
      <c r="BE203">
        <f t="shared" si="35"/>
        <v>0.57473047265999999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0.65307599999999999</v>
      </c>
      <c r="H204" s="22">
        <v>51.265900000000002</v>
      </c>
      <c r="I204" s="22">
        <v>-1.44775E-3</v>
      </c>
      <c r="J204" s="22">
        <v>194</v>
      </c>
      <c r="K204" s="22">
        <v>0.65234400000000003</v>
      </c>
      <c r="L204">
        <f t="shared" ref="L204:L267" si="36">-I204/$F$2*1000</f>
        <v>1.4477500000000001</v>
      </c>
      <c r="M204">
        <f t="shared" ref="M204:M267" si="37">L204*G204</f>
        <v>0.945490779</v>
      </c>
      <c r="N204" s="9"/>
      <c r="O204" s="22">
        <v>0.87692300000000001</v>
      </c>
      <c r="P204" s="22">
        <v>100.325</v>
      </c>
      <c r="Q204" s="22">
        <v>-8.7921099999999997E-4</v>
      </c>
      <c r="R204" s="22">
        <v>194</v>
      </c>
      <c r="S204" s="22">
        <v>0.87554900000000002</v>
      </c>
      <c r="T204">
        <f t="shared" ref="T204:T267" si="38">-Q204/$F$2*1000</f>
        <v>0.87921099999999996</v>
      </c>
      <c r="U204">
        <f t="shared" ref="U204:U267" si="39">T204*O204</f>
        <v>0.77100034775299997</v>
      </c>
      <c r="X204" s="9"/>
      <c r="Y204" s="22">
        <v>0.65307599999999999</v>
      </c>
      <c r="Z204" s="22">
        <v>149.405</v>
      </c>
      <c r="AA204" s="22">
        <v>-1.1883499999999999E-3</v>
      </c>
      <c r="AB204" s="22">
        <v>194</v>
      </c>
      <c r="AC204" s="22">
        <v>0.65243499999999999</v>
      </c>
      <c r="AD204">
        <f t="shared" ref="AD204:AD267" si="40">-AA204/$F$2*1000</f>
        <v>1.18835</v>
      </c>
      <c r="AE204">
        <f t="shared" ref="AE204:AE267" si="41">AD204*Y204</f>
        <v>0.77608286459999998</v>
      </c>
      <c r="AF204" s="9"/>
      <c r="AG204" s="22">
        <v>0.87692300000000001</v>
      </c>
      <c r="AH204" s="22">
        <v>198.654</v>
      </c>
      <c r="AI204" s="22">
        <v>-7.2235099999999998E-4</v>
      </c>
      <c r="AJ204" s="22">
        <v>194</v>
      </c>
      <c r="AK204" s="22">
        <v>0.87585400000000002</v>
      </c>
      <c r="AL204">
        <f t="shared" ref="AL204:AL267" si="42">-AI204/$F$2*1000</f>
        <v>0.72235099999999997</v>
      </c>
      <c r="AM204">
        <f t="shared" ref="AM204:AM267" si="43">AL204*AG204</f>
        <v>0.63344620597299994</v>
      </c>
      <c r="AP204" s="9"/>
      <c r="AQ204" s="22">
        <v>0.65307599999999999</v>
      </c>
      <c r="AR204" s="22">
        <v>247.79900000000001</v>
      </c>
      <c r="AS204" s="22">
        <v>-1.08124E-3</v>
      </c>
      <c r="AT204" s="22">
        <v>194</v>
      </c>
      <c r="AU204" s="22">
        <v>0.65246599999999999</v>
      </c>
      <c r="AV204">
        <f t="shared" ref="AV204:AV267" si="44">-AS204/$F$2*1000</f>
        <v>1.08124</v>
      </c>
      <c r="AW204">
        <f t="shared" ref="AW204:AW267" si="45">AV204*AQ204</f>
        <v>0.70613189424</v>
      </c>
      <c r="AX204" s="9"/>
      <c r="AY204" s="22">
        <v>0.87692300000000001</v>
      </c>
      <c r="AZ204" s="22">
        <v>296.95800000000003</v>
      </c>
      <c r="BA204" s="22">
        <v>-6.5612799999999996E-4</v>
      </c>
      <c r="BB204" s="22">
        <v>194</v>
      </c>
      <c r="BC204" s="22">
        <v>0.87554900000000002</v>
      </c>
      <c r="BD204">
        <f t="shared" ref="BD204:BD267" si="46">-BA204/$F$2*1000</f>
        <v>0.65612799999999993</v>
      </c>
      <c r="BE204">
        <f t="shared" ref="BE204:BE267" si="47">BD204*AY204</f>
        <v>0.57537373414399995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0.64804099999999998</v>
      </c>
      <c r="H205" s="22">
        <v>51.276000000000003</v>
      </c>
      <c r="I205" s="22">
        <v>-1.45111E-3</v>
      </c>
      <c r="J205" s="22">
        <v>195</v>
      </c>
      <c r="K205" s="22">
        <v>0.64730799999999999</v>
      </c>
      <c r="L205">
        <f t="shared" si="36"/>
        <v>1.4511100000000001</v>
      </c>
      <c r="M205">
        <f t="shared" si="37"/>
        <v>0.94037877551000004</v>
      </c>
      <c r="N205" s="9"/>
      <c r="O205" s="22">
        <v>0.88195800000000002</v>
      </c>
      <c r="P205" s="22">
        <v>100.33499999999999</v>
      </c>
      <c r="Q205" s="22">
        <v>-8.74634E-4</v>
      </c>
      <c r="R205" s="22">
        <v>195</v>
      </c>
      <c r="S205" s="22">
        <v>0.88104199999999999</v>
      </c>
      <c r="T205">
        <f t="shared" si="38"/>
        <v>0.87463400000000002</v>
      </c>
      <c r="U205">
        <f t="shared" si="39"/>
        <v>0.77139045337200007</v>
      </c>
      <c r="X205" s="9"/>
      <c r="Y205" s="22">
        <v>0.64804099999999998</v>
      </c>
      <c r="Z205" s="22">
        <v>149.41499999999999</v>
      </c>
      <c r="AA205" s="22">
        <v>-1.19141E-3</v>
      </c>
      <c r="AB205" s="22">
        <v>195</v>
      </c>
      <c r="AC205" s="22">
        <v>0.64736899999999997</v>
      </c>
      <c r="AD205">
        <f t="shared" si="40"/>
        <v>1.1914099999999999</v>
      </c>
      <c r="AE205">
        <f t="shared" si="41"/>
        <v>0.77208252780999986</v>
      </c>
      <c r="AF205" s="9"/>
      <c r="AG205" s="22">
        <v>0.88195800000000002</v>
      </c>
      <c r="AH205" s="22">
        <v>198.66399999999999</v>
      </c>
      <c r="AI205" s="22">
        <v>-7.1960399999999999E-4</v>
      </c>
      <c r="AJ205" s="22">
        <v>195</v>
      </c>
      <c r="AK205" s="22">
        <v>0.88134800000000002</v>
      </c>
      <c r="AL205">
        <f t="shared" si="42"/>
        <v>0.71960400000000002</v>
      </c>
      <c r="AM205">
        <f t="shared" si="43"/>
        <v>0.63466050463200008</v>
      </c>
      <c r="AP205" s="9"/>
      <c r="AQ205" s="22">
        <v>0.64804099999999998</v>
      </c>
      <c r="AR205" s="22">
        <v>247.809</v>
      </c>
      <c r="AS205" s="22">
        <v>-1.0845900000000001E-3</v>
      </c>
      <c r="AT205" s="22">
        <v>195</v>
      </c>
      <c r="AU205" s="22">
        <v>0.64739999999999998</v>
      </c>
      <c r="AV205">
        <f t="shared" si="44"/>
        <v>1.0845900000000002</v>
      </c>
      <c r="AW205">
        <f t="shared" si="45"/>
        <v>0.70285878819000003</v>
      </c>
      <c r="AX205" s="9"/>
      <c r="AY205" s="22">
        <v>0.88195800000000002</v>
      </c>
      <c r="AZ205" s="22">
        <v>296.96800000000002</v>
      </c>
      <c r="BA205" s="22">
        <v>-6.5216099999999995E-4</v>
      </c>
      <c r="BB205" s="22">
        <v>195</v>
      </c>
      <c r="BC205" s="22">
        <v>0.88073699999999999</v>
      </c>
      <c r="BD205">
        <f t="shared" si="46"/>
        <v>0.65216099999999999</v>
      </c>
      <c r="BE205">
        <f t="shared" si="47"/>
        <v>0.57517861123799996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0.64300500000000005</v>
      </c>
      <c r="H206" s="22">
        <v>51.286099999999998</v>
      </c>
      <c r="I206" s="22">
        <v>-1.4532499999999999E-3</v>
      </c>
      <c r="J206" s="22">
        <v>196</v>
      </c>
      <c r="K206" s="22">
        <v>0.64236499999999996</v>
      </c>
      <c r="L206">
        <f t="shared" si="36"/>
        <v>1.4532499999999999</v>
      </c>
      <c r="M206">
        <f t="shared" si="37"/>
        <v>0.93444701625000004</v>
      </c>
      <c r="N206" s="9"/>
      <c r="O206" s="22">
        <v>0.88699300000000003</v>
      </c>
      <c r="P206" s="22">
        <v>100.345</v>
      </c>
      <c r="Q206" s="22">
        <v>-8.7127700000000005E-4</v>
      </c>
      <c r="R206" s="22">
        <v>196</v>
      </c>
      <c r="S206" s="22">
        <v>0.88592499999999996</v>
      </c>
      <c r="T206">
        <f t="shared" si="38"/>
        <v>0.87127700000000008</v>
      </c>
      <c r="U206">
        <f t="shared" si="39"/>
        <v>0.77281660006100006</v>
      </c>
      <c r="X206" s="9"/>
      <c r="Y206" s="22">
        <v>0.64300500000000005</v>
      </c>
      <c r="Z206" s="22">
        <v>149.42500000000001</v>
      </c>
      <c r="AA206" s="22">
        <v>-1.1941499999999999E-3</v>
      </c>
      <c r="AB206" s="22">
        <v>196</v>
      </c>
      <c r="AC206" s="22">
        <v>0.64233399999999996</v>
      </c>
      <c r="AD206">
        <f t="shared" si="40"/>
        <v>1.19415</v>
      </c>
      <c r="AE206">
        <f t="shared" si="41"/>
        <v>0.76784442075000003</v>
      </c>
      <c r="AF206" s="9"/>
      <c r="AG206" s="22">
        <v>0.88699300000000003</v>
      </c>
      <c r="AH206" s="22">
        <v>198.67400000000001</v>
      </c>
      <c r="AI206" s="22">
        <v>-7.1594200000000001E-4</v>
      </c>
      <c r="AJ206" s="22">
        <v>196</v>
      </c>
      <c r="AK206" s="22">
        <v>0.88592499999999996</v>
      </c>
      <c r="AL206">
        <f t="shared" si="42"/>
        <v>0.71594199999999997</v>
      </c>
      <c r="AM206">
        <f t="shared" si="43"/>
        <v>0.63503554240600002</v>
      </c>
      <c r="AP206" s="9"/>
      <c r="AQ206" s="22">
        <v>0.64300500000000005</v>
      </c>
      <c r="AR206" s="22">
        <v>247.81899999999999</v>
      </c>
      <c r="AS206" s="22">
        <v>-1.0876499999999999E-3</v>
      </c>
      <c r="AT206" s="22">
        <v>196</v>
      </c>
      <c r="AU206" s="22">
        <v>0.64230299999999996</v>
      </c>
      <c r="AV206">
        <f t="shared" si="44"/>
        <v>1.08765</v>
      </c>
      <c r="AW206">
        <f t="shared" si="45"/>
        <v>0.69936438825000002</v>
      </c>
      <c r="AX206" s="9"/>
      <c r="AY206" s="22">
        <v>0.88699300000000003</v>
      </c>
      <c r="AZ206" s="22">
        <v>296.97800000000001</v>
      </c>
      <c r="BA206" s="22">
        <v>-6.4910900000000004E-4</v>
      </c>
      <c r="BB206" s="22">
        <v>196</v>
      </c>
      <c r="BC206" s="22">
        <v>0.88622999999999996</v>
      </c>
      <c r="BD206">
        <f t="shared" si="46"/>
        <v>0.64910900000000005</v>
      </c>
      <c r="BE206">
        <f t="shared" si="47"/>
        <v>0.57575513923700006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0.63797000000000004</v>
      </c>
      <c r="H207" s="22">
        <v>51.296100000000003</v>
      </c>
      <c r="I207" s="22">
        <v>-1.4566E-3</v>
      </c>
      <c r="J207" s="22">
        <v>197</v>
      </c>
      <c r="K207" s="22">
        <v>0.63736000000000004</v>
      </c>
      <c r="L207">
        <f t="shared" si="36"/>
        <v>1.4565999999999999</v>
      </c>
      <c r="M207">
        <f t="shared" si="37"/>
        <v>0.92926710199999996</v>
      </c>
      <c r="N207" s="9"/>
      <c r="O207" s="22">
        <v>0.89202899999999996</v>
      </c>
      <c r="P207" s="22">
        <v>100.35599999999999</v>
      </c>
      <c r="Q207" s="22">
        <v>-8.6761499999999997E-4</v>
      </c>
      <c r="R207" s="22">
        <v>197</v>
      </c>
      <c r="S207" s="22">
        <v>0.89111300000000004</v>
      </c>
      <c r="T207">
        <f t="shared" si="38"/>
        <v>0.86761499999999991</v>
      </c>
      <c r="U207">
        <f t="shared" si="39"/>
        <v>0.77393774083499989</v>
      </c>
      <c r="X207" s="9"/>
      <c r="Y207" s="22">
        <v>0.63797000000000004</v>
      </c>
      <c r="Z207" s="22">
        <v>149.435</v>
      </c>
      <c r="AA207" s="22">
        <v>-1.1975099999999999E-3</v>
      </c>
      <c r="AB207" s="22">
        <v>197</v>
      </c>
      <c r="AC207" s="22">
        <v>0.63729899999999995</v>
      </c>
      <c r="AD207">
        <f t="shared" si="40"/>
        <v>1.1975099999999999</v>
      </c>
      <c r="AE207">
        <f t="shared" si="41"/>
        <v>0.76397545469999995</v>
      </c>
      <c r="AF207" s="9"/>
      <c r="AG207" s="22">
        <v>0.89202899999999996</v>
      </c>
      <c r="AH207" s="22">
        <v>198.684</v>
      </c>
      <c r="AI207" s="22">
        <v>-7.12891E-4</v>
      </c>
      <c r="AJ207" s="22">
        <v>197</v>
      </c>
      <c r="AK207" s="22">
        <v>0.89080800000000004</v>
      </c>
      <c r="AL207">
        <f t="shared" si="42"/>
        <v>0.71289100000000005</v>
      </c>
      <c r="AM207">
        <f t="shared" si="43"/>
        <v>0.63591944583900006</v>
      </c>
      <c r="AP207" s="9"/>
      <c r="AQ207" s="22">
        <v>0.63797000000000004</v>
      </c>
      <c r="AR207" s="22">
        <v>247.82900000000001</v>
      </c>
      <c r="AS207" s="22">
        <v>-1.0903899999999999E-3</v>
      </c>
      <c r="AT207" s="22">
        <v>197</v>
      </c>
      <c r="AU207" s="22">
        <v>0.63736000000000004</v>
      </c>
      <c r="AV207">
        <f t="shared" si="44"/>
        <v>1.09039</v>
      </c>
      <c r="AW207">
        <f t="shared" si="45"/>
        <v>0.6956361083</v>
      </c>
      <c r="AX207" s="9"/>
      <c r="AY207" s="22">
        <v>0.89202899999999996</v>
      </c>
      <c r="AZ207" s="22">
        <v>296.988</v>
      </c>
      <c r="BA207" s="22">
        <v>-6.4544699999999995E-4</v>
      </c>
      <c r="BB207" s="22">
        <v>197</v>
      </c>
      <c r="BC207" s="22">
        <v>0.89080800000000004</v>
      </c>
      <c r="BD207">
        <f t="shared" si="46"/>
        <v>0.64544699999999999</v>
      </c>
      <c r="BE207">
        <f t="shared" si="47"/>
        <v>0.57575744196299994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0.63293500000000003</v>
      </c>
      <c r="H208" s="22">
        <v>51.306199999999997</v>
      </c>
      <c r="I208" s="22">
        <v>-1.4599599999999999E-3</v>
      </c>
      <c r="J208" s="22">
        <v>198</v>
      </c>
      <c r="K208" s="22">
        <v>0.63229400000000002</v>
      </c>
      <c r="L208">
        <f t="shared" si="36"/>
        <v>1.4599599999999999</v>
      </c>
      <c r="M208">
        <f t="shared" si="37"/>
        <v>0.92405978259999999</v>
      </c>
      <c r="N208" s="9"/>
      <c r="O208" s="22">
        <v>0.89706399999999997</v>
      </c>
      <c r="P208" s="22">
        <v>100.366</v>
      </c>
      <c r="Q208" s="22">
        <v>-8.6547900000000005E-4</v>
      </c>
      <c r="R208" s="22">
        <v>198</v>
      </c>
      <c r="S208" s="22">
        <v>0.89599600000000001</v>
      </c>
      <c r="T208">
        <f t="shared" si="38"/>
        <v>0.865479</v>
      </c>
      <c r="U208">
        <f t="shared" si="39"/>
        <v>0.776390053656</v>
      </c>
      <c r="X208" s="9"/>
      <c r="Y208" s="22">
        <v>0.63293500000000003</v>
      </c>
      <c r="Z208" s="22">
        <v>149.44499999999999</v>
      </c>
      <c r="AA208" s="22">
        <v>-1.2008699999999999E-3</v>
      </c>
      <c r="AB208" s="22">
        <v>198</v>
      </c>
      <c r="AC208" s="22">
        <v>0.63226300000000002</v>
      </c>
      <c r="AD208">
        <f t="shared" si="40"/>
        <v>1.2008699999999999</v>
      </c>
      <c r="AE208">
        <f t="shared" si="41"/>
        <v>0.76007265344999997</v>
      </c>
      <c r="AF208" s="9"/>
      <c r="AG208" s="22">
        <v>0.89706399999999997</v>
      </c>
      <c r="AH208" s="22">
        <v>198.69399999999999</v>
      </c>
      <c r="AI208" s="22">
        <v>-7.0861800000000005E-4</v>
      </c>
      <c r="AJ208" s="22">
        <v>198</v>
      </c>
      <c r="AK208" s="22">
        <v>0.89599600000000001</v>
      </c>
      <c r="AL208">
        <f t="shared" si="42"/>
        <v>0.70861800000000008</v>
      </c>
      <c r="AM208">
        <f t="shared" si="43"/>
        <v>0.63567569755200004</v>
      </c>
      <c r="AP208" s="9"/>
      <c r="AQ208" s="22">
        <v>0.63293500000000003</v>
      </c>
      <c r="AR208" s="22">
        <v>247.839</v>
      </c>
      <c r="AS208" s="22">
        <v>-1.0937500000000001E-3</v>
      </c>
      <c r="AT208" s="22">
        <v>198</v>
      </c>
      <c r="AU208" s="22">
        <v>0.63223300000000004</v>
      </c>
      <c r="AV208">
        <f t="shared" si="44"/>
        <v>1.09375</v>
      </c>
      <c r="AW208">
        <f t="shared" si="45"/>
        <v>0.69227265625000001</v>
      </c>
      <c r="AX208" s="9"/>
      <c r="AY208" s="22">
        <v>0.89706399999999997</v>
      </c>
      <c r="AZ208" s="22">
        <v>296.99799999999999</v>
      </c>
      <c r="BA208" s="22">
        <v>-6.4269999999999996E-4</v>
      </c>
      <c r="BB208" s="22">
        <v>198</v>
      </c>
      <c r="BC208" s="22">
        <v>0.89569100000000001</v>
      </c>
      <c r="BD208">
        <f t="shared" si="46"/>
        <v>0.64269999999999994</v>
      </c>
      <c r="BE208">
        <f t="shared" si="47"/>
        <v>0.57654303279999997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0.62789899999999998</v>
      </c>
      <c r="H209" s="22">
        <v>51.316299999999998</v>
      </c>
      <c r="I209" s="22">
        <v>-1.4633199999999999E-3</v>
      </c>
      <c r="J209" s="22">
        <v>199</v>
      </c>
      <c r="K209" s="22">
        <v>0.627197</v>
      </c>
      <c r="L209">
        <f t="shared" si="36"/>
        <v>1.46332</v>
      </c>
      <c r="M209">
        <f t="shared" si="37"/>
        <v>0.91881716467999996</v>
      </c>
      <c r="N209" s="9"/>
      <c r="O209" s="22">
        <v>0.90210000000000001</v>
      </c>
      <c r="P209" s="22">
        <v>100.376</v>
      </c>
      <c r="Q209" s="22">
        <v>-8.6242700000000003E-4</v>
      </c>
      <c r="R209" s="22">
        <v>199</v>
      </c>
      <c r="S209" s="22">
        <v>0.90057399999999999</v>
      </c>
      <c r="T209">
        <f t="shared" si="38"/>
        <v>0.86242700000000005</v>
      </c>
      <c r="U209">
        <f t="shared" si="39"/>
        <v>0.77799539670000006</v>
      </c>
      <c r="X209" s="9"/>
      <c r="Y209" s="22">
        <v>0.62789899999999998</v>
      </c>
      <c r="Z209" s="22">
        <v>149.45500000000001</v>
      </c>
      <c r="AA209" s="22">
        <v>-1.2030000000000001E-3</v>
      </c>
      <c r="AB209" s="22">
        <v>199</v>
      </c>
      <c r="AC209" s="22">
        <v>0.62734999999999996</v>
      </c>
      <c r="AD209">
        <f t="shared" si="40"/>
        <v>1.2030000000000001</v>
      </c>
      <c r="AE209">
        <f t="shared" si="41"/>
        <v>0.75536249700000002</v>
      </c>
      <c r="AF209" s="9"/>
      <c r="AG209" s="22">
        <v>0.90210000000000001</v>
      </c>
      <c r="AH209" s="22">
        <v>198.70500000000001</v>
      </c>
      <c r="AI209" s="22">
        <v>-7.0648200000000003E-4</v>
      </c>
      <c r="AJ209" s="22">
        <v>199</v>
      </c>
      <c r="AK209" s="22">
        <v>0.90087899999999999</v>
      </c>
      <c r="AL209">
        <f t="shared" si="42"/>
        <v>0.70648200000000005</v>
      </c>
      <c r="AM209">
        <f t="shared" si="43"/>
        <v>0.63731741220000004</v>
      </c>
      <c r="AP209" s="9"/>
      <c r="AQ209" s="22">
        <v>0.62789899999999998</v>
      </c>
      <c r="AR209" s="22">
        <v>247.84899999999999</v>
      </c>
      <c r="AS209" s="22">
        <v>-1.0965E-3</v>
      </c>
      <c r="AT209" s="22">
        <v>199</v>
      </c>
      <c r="AU209" s="22">
        <v>0.62722800000000001</v>
      </c>
      <c r="AV209">
        <f t="shared" si="44"/>
        <v>1.0965</v>
      </c>
      <c r="AW209">
        <f t="shared" si="45"/>
        <v>0.68849125349999996</v>
      </c>
      <c r="AX209" s="9"/>
      <c r="AY209" s="22">
        <v>0.90210000000000001</v>
      </c>
      <c r="AZ209" s="22">
        <v>297.00799999999998</v>
      </c>
      <c r="BA209" s="22">
        <v>-6.3873300000000005E-4</v>
      </c>
      <c r="BB209" s="22">
        <v>199</v>
      </c>
      <c r="BC209" s="22">
        <v>0.90118399999999999</v>
      </c>
      <c r="BD209">
        <f t="shared" si="46"/>
        <v>0.63873300000000011</v>
      </c>
      <c r="BE209">
        <f t="shared" si="47"/>
        <v>0.57620103930000011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0.62286399999999997</v>
      </c>
      <c r="H210" s="22">
        <v>51.326300000000003</v>
      </c>
      <c r="I210" s="22">
        <v>-1.4660599999999999E-3</v>
      </c>
      <c r="J210" s="22">
        <v>200</v>
      </c>
      <c r="K210" s="22">
        <v>0.62213099999999999</v>
      </c>
      <c r="L210">
        <f t="shared" si="36"/>
        <v>1.4660599999999999</v>
      </c>
      <c r="M210">
        <f t="shared" si="37"/>
        <v>0.91315599583999996</v>
      </c>
      <c r="N210" s="9"/>
      <c r="O210" s="22">
        <v>0.90713500000000002</v>
      </c>
      <c r="P210" s="22">
        <v>100.386</v>
      </c>
      <c r="Q210" s="22">
        <v>-8.5815399999999997E-4</v>
      </c>
      <c r="R210" s="22">
        <v>200</v>
      </c>
      <c r="S210" s="22">
        <v>0.90637199999999996</v>
      </c>
      <c r="T210">
        <f t="shared" si="38"/>
        <v>0.85815399999999997</v>
      </c>
      <c r="U210">
        <f t="shared" si="39"/>
        <v>0.77846152878999997</v>
      </c>
      <c r="X210" s="9"/>
      <c r="Y210" s="22">
        <v>0.62286399999999997</v>
      </c>
      <c r="Z210" s="22">
        <v>149.465</v>
      </c>
      <c r="AA210" s="22">
        <v>-1.2063600000000001E-3</v>
      </c>
      <c r="AB210" s="22">
        <v>200</v>
      </c>
      <c r="AC210" s="22">
        <v>0.62216199999999999</v>
      </c>
      <c r="AD210">
        <f t="shared" si="40"/>
        <v>1.2063600000000001</v>
      </c>
      <c r="AE210">
        <f t="shared" si="41"/>
        <v>0.75139821504000004</v>
      </c>
      <c r="AF210" s="9"/>
      <c r="AG210" s="22">
        <v>0.90713500000000002</v>
      </c>
      <c r="AH210" s="22">
        <v>198.715</v>
      </c>
      <c r="AI210" s="22">
        <v>-7.0251500000000002E-4</v>
      </c>
      <c r="AJ210" s="22">
        <v>200</v>
      </c>
      <c r="AK210" s="22">
        <v>0.90576199999999996</v>
      </c>
      <c r="AL210">
        <f t="shared" si="42"/>
        <v>0.702515</v>
      </c>
      <c r="AM210">
        <f t="shared" si="43"/>
        <v>0.63727594452500003</v>
      </c>
      <c r="AP210" s="9"/>
      <c r="AQ210" s="22">
        <v>0.62286399999999997</v>
      </c>
      <c r="AR210" s="22">
        <v>247.85900000000001</v>
      </c>
      <c r="AS210" s="22">
        <v>-1.0998500000000001E-3</v>
      </c>
      <c r="AT210" s="22">
        <v>200</v>
      </c>
      <c r="AU210" s="22">
        <v>0.62225299999999995</v>
      </c>
      <c r="AV210">
        <f t="shared" si="44"/>
        <v>1.09985</v>
      </c>
      <c r="AW210">
        <f t="shared" si="45"/>
        <v>0.68505697040000002</v>
      </c>
      <c r="AX210" s="9"/>
      <c r="AY210" s="22">
        <v>0.90713500000000002</v>
      </c>
      <c r="AZ210" s="22">
        <v>297.01799999999997</v>
      </c>
      <c r="BA210" s="22">
        <v>-6.3598599999999995E-4</v>
      </c>
      <c r="BB210" s="22">
        <v>200</v>
      </c>
      <c r="BC210" s="22">
        <v>0.90606699999999996</v>
      </c>
      <c r="BD210">
        <f t="shared" si="46"/>
        <v>0.63598599999999994</v>
      </c>
      <c r="BE210">
        <f t="shared" si="47"/>
        <v>0.57692516010999995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0.61782800000000004</v>
      </c>
      <c r="H211" s="22">
        <v>51.336399999999998</v>
      </c>
      <c r="I211" s="22">
        <v>-1.46759E-3</v>
      </c>
      <c r="J211" s="22">
        <v>201</v>
      </c>
      <c r="K211" s="22">
        <v>0.61718799999999996</v>
      </c>
      <c r="L211">
        <f t="shared" si="36"/>
        <v>1.46759</v>
      </c>
      <c r="M211">
        <f t="shared" si="37"/>
        <v>0.90671819452000002</v>
      </c>
      <c r="N211" s="9"/>
      <c r="O211" s="22">
        <v>0.91217000000000004</v>
      </c>
      <c r="P211" s="22">
        <v>100.396</v>
      </c>
      <c r="Q211" s="22">
        <v>-8.5327099999999996E-4</v>
      </c>
      <c r="R211" s="22">
        <v>201</v>
      </c>
      <c r="S211" s="22">
        <v>0.91064500000000004</v>
      </c>
      <c r="T211">
        <f t="shared" si="38"/>
        <v>0.853271</v>
      </c>
      <c r="U211">
        <f t="shared" si="39"/>
        <v>0.77832820807000003</v>
      </c>
      <c r="X211" s="9"/>
      <c r="Y211" s="22">
        <v>0.61782800000000004</v>
      </c>
      <c r="Z211" s="22">
        <v>149.47499999999999</v>
      </c>
      <c r="AA211" s="22">
        <v>-1.21002E-3</v>
      </c>
      <c r="AB211" s="22">
        <v>201</v>
      </c>
      <c r="AC211" s="22">
        <v>0.61712599999999995</v>
      </c>
      <c r="AD211">
        <f t="shared" si="40"/>
        <v>1.2100200000000001</v>
      </c>
      <c r="AE211">
        <f t="shared" si="41"/>
        <v>0.74758423656000006</v>
      </c>
      <c r="AF211" s="9"/>
      <c r="AG211" s="22">
        <v>0.91217000000000004</v>
      </c>
      <c r="AH211" s="22">
        <v>198.72499999999999</v>
      </c>
      <c r="AI211" s="22">
        <v>-6.9976800000000003E-4</v>
      </c>
      <c r="AJ211" s="22">
        <v>201</v>
      </c>
      <c r="AK211" s="22">
        <v>0.91095000000000004</v>
      </c>
      <c r="AL211">
        <f t="shared" si="42"/>
        <v>0.69976800000000006</v>
      </c>
      <c r="AM211">
        <f t="shared" si="43"/>
        <v>0.63830737656000003</v>
      </c>
      <c r="AP211" s="9"/>
      <c r="AQ211" s="22">
        <v>0.61782800000000004</v>
      </c>
      <c r="AR211" s="22">
        <v>247.869</v>
      </c>
      <c r="AS211" s="22">
        <v>-1.1029099999999999E-3</v>
      </c>
      <c r="AT211" s="22">
        <v>201</v>
      </c>
      <c r="AU211" s="22">
        <v>0.61721800000000004</v>
      </c>
      <c r="AV211">
        <f t="shared" si="44"/>
        <v>1.1029099999999998</v>
      </c>
      <c r="AW211">
        <f t="shared" si="45"/>
        <v>0.68140867947999995</v>
      </c>
      <c r="AX211" s="9"/>
      <c r="AY211" s="22">
        <v>0.91217000000000004</v>
      </c>
      <c r="AZ211" s="22">
        <v>297.029</v>
      </c>
      <c r="BA211" s="22">
        <v>-6.3201900000000005E-4</v>
      </c>
      <c r="BB211" s="22">
        <v>201</v>
      </c>
      <c r="BC211" s="22">
        <v>0.91033900000000001</v>
      </c>
      <c r="BD211">
        <f t="shared" si="46"/>
        <v>0.632019</v>
      </c>
      <c r="BE211">
        <f t="shared" si="47"/>
        <v>0.57650877122999999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0.61279300000000003</v>
      </c>
      <c r="H212" s="22">
        <v>51.346499999999999</v>
      </c>
      <c r="I212" s="22">
        <v>-1.47003E-3</v>
      </c>
      <c r="J212" s="22">
        <v>202</v>
      </c>
      <c r="K212" s="22">
        <v>0.61218300000000003</v>
      </c>
      <c r="L212">
        <f t="shared" si="36"/>
        <v>1.4700299999999999</v>
      </c>
      <c r="M212">
        <f t="shared" si="37"/>
        <v>0.90082409379000006</v>
      </c>
      <c r="N212" s="9"/>
      <c r="O212" s="22">
        <v>0.91720599999999997</v>
      </c>
      <c r="P212" s="22">
        <v>100.40600000000001</v>
      </c>
      <c r="Q212" s="22">
        <v>-8.5052499999999998E-4</v>
      </c>
      <c r="R212" s="22">
        <v>202</v>
      </c>
      <c r="S212" s="22">
        <v>0.91583300000000001</v>
      </c>
      <c r="T212">
        <f t="shared" si="38"/>
        <v>0.85052499999999998</v>
      </c>
      <c r="U212">
        <f t="shared" si="39"/>
        <v>0.78010663314999995</v>
      </c>
      <c r="X212" s="9"/>
      <c r="Y212" s="22">
        <v>0.61279300000000003</v>
      </c>
      <c r="Z212" s="22">
        <v>149.48500000000001</v>
      </c>
      <c r="AA212" s="22">
        <v>-1.2139900000000001E-3</v>
      </c>
      <c r="AB212" s="22">
        <v>202</v>
      </c>
      <c r="AC212" s="22">
        <v>0.61212200000000005</v>
      </c>
      <c r="AD212">
        <f t="shared" si="40"/>
        <v>1.2139900000000001</v>
      </c>
      <c r="AE212">
        <f t="shared" si="41"/>
        <v>0.74392457407000012</v>
      </c>
      <c r="AF212" s="9"/>
      <c r="AG212" s="22">
        <v>0.91720599999999997</v>
      </c>
      <c r="AH212" s="22">
        <v>198.73500000000001</v>
      </c>
      <c r="AI212" s="22">
        <v>-6.9580100000000001E-4</v>
      </c>
      <c r="AJ212" s="22">
        <v>202</v>
      </c>
      <c r="AK212" s="22">
        <v>0.91613800000000001</v>
      </c>
      <c r="AL212">
        <f t="shared" si="42"/>
        <v>0.695801</v>
      </c>
      <c r="AM212">
        <f t="shared" si="43"/>
        <v>0.63819285200599996</v>
      </c>
      <c r="AP212" s="9"/>
      <c r="AQ212" s="22">
        <v>0.61279300000000003</v>
      </c>
      <c r="AR212" s="22">
        <v>247.87899999999999</v>
      </c>
      <c r="AS212" s="22">
        <v>-1.1056499999999999E-3</v>
      </c>
      <c r="AT212" s="22">
        <v>202</v>
      </c>
      <c r="AU212" s="22">
        <v>0.61215200000000003</v>
      </c>
      <c r="AV212">
        <f t="shared" si="44"/>
        <v>1.1056499999999998</v>
      </c>
      <c r="AW212">
        <f t="shared" si="45"/>
        <v>0.67753458044999992</v>
      </c>
      <c r="AX212" s="9"/>
      <c r="AY212" s="22">
        <v>0.91720599999999997</v>
      </c>
      <c r="AZ212" s="22">
        <v>297.03899999999999</v>
      </c>
      <c r="BA212" s="22">
        <v>-6.2927199999999995E-4</v>
      </c>
      <c r="BB212" s="22">
        <v>202</v>
      </c>
      <c r="BC212" s="22">
        <v>0.91552699999999998</v>
      </c>
      <c r="BD212">
        <f t="shared" si="46"/>
        <v>0.62927199999999994</v>
      </c>
      <c r="BE212">
        <f t="shared" si="47"/>
        <v>0.57717205403199989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0.60775800000000002</v>
      </c>
      <c r="H213" s="22">
        <v>51.3566</v>
      </c>
      <c r="I213" s="22">
        <v>-1.4746099999999999E-3</v>
      </c>
      <c r="J213" s="22">
        <v>203</v>
      </c>
      <c r="K213" s="22">
        <v>0.60711700000000002</v>
      </c>
      <c r="L213">
        <f t="shared" si="36"/>
        <v>1.47461</v>
      </c>
      <c r="M213">
        <f t="shared" si="37"/>
        <v>0.89620602437999997</v>
      </c>
      <c r="N213" s="9"/>
      <c r="O213" s="22">
        <v>0.92224099999999998</v>
      </c>
      <c r="P213" s="22">
        <v>100.416</v>
      </c>
      <c r="Q213" s="22">
        <v>-8.4777799999999999E-4</v>
      </c>
      <c r="R213" s="22">
        <v>203</v>
      </c>
      <c r="S213" s="22">
        <v>0.92132599999999998</v>
      </c>
      <c r="T213">
        <f t="shared" si="38"/>
        <v>0.84777800000000003</v>
      </c>
      <c r="U213">
        <f t="shared" si="39"/>
        <v>0.781855630498</v>
      </c>
      <c r="X213" s="9"/>
      <c r="Y213" s="22">
        <v>0.60775800000000002</v>
      </c>
      <c r="Z213" s="22">
        <v>149.495</v>
      </c>
      <c r="AA213" s="22">
        <v>-1.21857E-3</v>
      </c>
      <c r="AB213" s="22">
        <v>203</v>
      </c>
      <c r="AC213" s="22">
        <v>0.60708600000000001</v>
      </c>
      <c r="AD213">
        <f t="shared" si="40"/>
        <v>1.2185699999999999</v>
      </c>
      <c r="AE213">
        <f t="shared" si="41"/>
        <v>0.74059566605999994</v>
      </c>
      <c r="AF213" s="9"/>
      <c r="AG213" s="22">
        <v>0.92224099999999998</v>
      </c>
      <c r="AH213" s="22">
        <v>198.745</v>
      </c>
      <c r="AI213" s="22">
        <v>-6.9274899999999999E-4</v>
      </c>
      <c r="AJ213" s="22">
        <v>203</v>
      </c>
      <c r="AK213" s="22">
        <v>0.92132599999999998</v>
      </c>
      <c r="AL213">
        <f t="shared" si="42"/>
        <v>0.69274899999999995</v>
      </c>
      <c r="AM213">
        <f t="shared" si="43"/>
        <v>0.63888153050899998</v>
      </c>
      <c r="AP213" s="9"/>
      <c r="AQ213" s="22">
        <v>0.60775800000000002</v>
      </c>
      <c r="AR213" s="22">
        <v>247.88900000000001</v>
      </c>
      <c r="AS213" s="22">
        <v>-1.1093100000000001E-3</v>
      </c>
      <c r="AT213" s="22">
        <v>203</v>
      </c>
      <c r="AU213" s="22">
        <v>0.60708600000000001</v>
      </c>
      <c r="AV213">
        <f t="shared" si="44"/>
        <v>1.10931</v>
      </c>
      <c r="AW213">
        <f t="shared" si="45"/>
        <v>0.67419202698000003</v>
      </c>
      <c r="AX213" s="9"/>
      <c r="AY213" s="22">
        <v>0.92224099999999998</v>
      </c>
      <c r="AZ213" s="22">
        <v>297.04899999999998</v>
      </c>
      <c r="BA213" s="22">
        <v>-6.2560999999999997E-4</v>
      </c>
      <c r="BB213" s="22">
        <v>203</v>
      </c>
      <c r="BC213" s="22">
        <v>0.92102099999999998</v>
      </c>
      <c r="BD213">
        <f t="shared" si="46"/>
        <v>0.62561</v>
      </c>
      <c r="BE213">
        <f t="shared" si="47"/>
        <v>0.57696319201000001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0.60272199999999998</v>
      </c>
      <c r="H214" s="22">
        <v>51.366599999999998</v>
      </c>
      <c r="I214" s="22">
        <v>-1.47858E-3</v>
      </c>
      <c r="J214" s="22">
        <v>204</v>
      </c>
      <c r="K214" s="22">
        <v>0.60195900000000002</v>
      </c>
      <c r="L214">
        <f t="shared" si="36"/>
        <v>1.47858</v>
      </c>
      <c r="M214">
        <f t="shared" si="37"/>
        <v>0.89117269475999994</v>
      </c>
      <c r="N214" s="9"/>
      <c r="O214" s="22">
        <v>0.92727700000000002</v>
      </c>
      <c r="P214" s="22">
        <v>100.426</v>
      </c>
      <c r="Q214" s="22">
        <v>-8.4533700000000004E-4</v>
      </c>
      <c r="R214" s="22">
        <v>204</v>
      </c>
      <c r="S214" s="22">
        <v>0.92620800000000003</v>
      </c>
      <c r="T214">
        <f t="shared" si="38"/>
        <v>0.84533700000000001</v>
      </c>
      <c r="U214">
        <f t="shared" si="39"/>
        <v>0.78386155734899998</v>
      </c>
      <c r="X214" s="9"/>
      <c r="Y214" s="22">
        <v>0.60272199999999998</v>
      </c>
      <c r="Z214" s="22">
        <v>149.505</v>
      </c>
      <c r="AA214" s="22">
        <v>-1.2222299999999999E-3</v>
      </c>
      <c r="AB214" s="22">
        <v>204</v>
      </c>
      <c r="AC214" s="22">
        <v>0.602051</v>
      </c>
      <c r="AD214">
        <f t="shared" si="40"/>
        <v>1.2222299999999999</v>
      </c>
      <c r="AE214">
        <f t="shared" si="41"/>
        <v>0.7366649100599999</v>
      </c>
      <c r="AF214" s="9"/>
      <c r="AG214" s="22">
        <v>0.92727700000000002</v>
      </c>
      <c r="AH214" s="22">
        <v>198.755</v>
      </c>
      <c r="AI214" s="22">
        <v>-6.8908700000000001E-4</v>
      </c>
      <c r="AJ214" s="22">
        <v>204</v>
      </c>
      <c r="AK214" s="22">
        <v>0.92620800000000003</v>
      </c>
      <c r="AL214">
        <f t="shared" si="42"/>
        <v>0.68908700000000001</v>
      </c>
      <c r="AM214">
        <f t="shared" si="43"/>
        <v>0.63897452609899996</v>
      </c>
      <c r="AP214" s="9"/>
      <c r="AQ214" s="22">
        <v>0.60272199999999998</v>
      </c>
      <c r="AR214" s="22">
        <v>247.899</v>
      </c>
      <c r="AS214" s="22">
        <v>-1.11206E-3</v>
      </c>
      <c r="AT214" s="22">
        <v>204</v>
      </c>
      <c r="AU214" s="22">
        <v>0.602051</v>
      </c>
      <c r="AV214">
        <f t="shared" si="44"/>
        <v>1.11206</v>
      </c>
      <c r="AW214">
        <f t="shared" si="45"/>
        <v>0.67026302731999998</v>
      </c>
      <c r="AX214" s="9"/>
      <c r="AY214" s="22">
        <v>0.92727700000000002</v>
      </c>
      <c r="AZ214" s="22">
        <v>297.05900000000003</v>
      </c>
      <c r="BA214" s="22">
        <v>-6.2225300000000002E-4</v>
      </c>
      <c r="BB214" s="22">
        <v>204</v>
      </c>
      <c r="BC214" s="22">
        <v>0.92620800000000003</v>
      </c>
      <c r="BD214">
        <f t="shared" si="46"/>
        <v>0.62225300000000006</v>
      </c>
      <c r="BE214">
        <f t="shared" si="47"/>
        <v>0.57700089508100005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0.59768699999999997</v>
      </c>
      <c r="H215" s="22">
        <v>51.3767</v>
      </c>
      <c r="I215" s="22">
        <v>-1.4825400000000001E-3</v>
      </c>
      <c r="J215" s="22">
        <v>205</v>
      </c>
      <c r="K215" s="22">
        <v>0.59698499999999999</v>
      </c>
      <c r="L215">
        <f t="shared" si="36"/>
        <v>1.48254</v>
      </c>
      <c r="M215">
        <f t="shared" si="37"/>
        <v>0.88609488497999989</v>
      </c>
      <c r="N215" s="9"/>
      <c r="O215" s="22">
        <v>0.93231200000000003</v>
      </c>
      <c r="P215" s="22">
        <v>100.43600000000001</v>
      </c>
      <c r="Q215" s="22">
        <v>-8.4137000000000003E-4</v>
      </c>
      <c r="R215" s="22">
        <v>205</v>
      </c>
      <c r="S215" s="22">
        <v>0.931396</v>
      </c>
      <c r="T215">
        <f t="shared" si="38"/>
        <v>0.84137000000000006</v>
      </c>
      <c r="U215">
        <f t="shared" si="39"/>
        <v>0.78441934744000008</v>
      </c>
      <c r="X215" s="9"/>
      <c r="Y215" s="22">
        <v>0.59768699999999997</v>
      </c>
      <c r="Z215" s="22">
        <v>149.51599999999999</v>
      </c>
      <c r="AA215" s="22">
        <v>-1.2255899999999999E-3</v>
      </c>
      <c r="AB215" s="22">
        <v>205</v>
      </c>
      <c r="AC215" s="22">
        <v>0.59701499999999996</v>
      </c>
      <c r="AD215">
        <f t="shared" si="40"/>
        <v>1.22559</v>
      </c>
      <c r="AE215">
        <f t="shared" si="41"/>
        <v>0.73251921032999989</v>
      </c>
      <c r="AF215" s="9"/>
      <c r="AG215" s="22">
        <v>0.93231200000000003</v>
      </c>
      <c r="AH215" s="22">
        <v>198.76499999999999</v>
      </c>
      <c r="AI215" s="22">
        <v>-6.8603499999999999E-4</v>
      </c>
      <c r="AJ215" s="22">
        <v>205</v>
      </c>
      <c r="AK215" s="22">
        <v>0.93170200000000003</v>
      </c>
      <c r="AL215">
        <f t="shared" si="42"/>
        <v>0.68603499999999995</v>
      </c>
      <c r="AM215">
        <f t="shared" si="43"/>
        <v>0.63959866292000001</v>
      </c>
      <c r="AP215" s="9"/>
      <c r="AQ215" s="22">
        <v>0.59768699999999997</v>
      </c>
      <c r="AR215" s="22">
        <v>247.90899999999999</v>
      </c>
      <c r="AS215" s="22">
        <v>-1.11542E-3</v>
      </c>
      <c r="AT215" s="22">
        <v>205</v>
      </c>
      <c r="AU215" s="22">
        <v>0.59710700000000005</v>
      </c>
      <c r="AV215">
        <f t="shared" si="44"/>
        <v>1.1154200000000001</v>
      </c>
      <c r="AW215">
        <f t="shared" si="45"/>
        <v>0.66667203354000004</v>
      </c>
      <c r="AX215" s="9"/>
      <c r="AY215" s="22">
        <v>0.93231200000000003</v>
      </c>
      <c r="AZ215" s="22">
        <v>297.06900000000002</v>
      </c>
      <c r="BA215" s="22">
        <v>-6.1798099999999998E-4</v>
      </c>
      <c r="BB215" s="22">
        <v>205</v>
      </c>
      <c r="BC215" s="22">
        <v>0.931396</v>
      </c>
      <c r="BD215">
        <f t="shared" si="46"/>
        <v>0.617981</v>
      </c>
      <c r="BE215">
        <f t="shared" si="47"/>
        <v>0.57615110207200004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0.59265100000000004</v>
      </c>
      <c r="H216" s="22">
        <v>51.386800000000001</v>
      </c>
      <c r="I216" s="22">
        <v>-1.48529E-3</v>
      </c>
      <c r="J216" s="22">
        <v>206</v>
      </c>
      <c r="K216" s="22">
        <v>0.59194899999999995</v>
      </c>
      <c r="L216">
        <f t="shared" si="36"/>
        <v>1.48529</v>
      </c>
      <c r="M216">
        <f t="shared" si="37"/>
        <v>0.88025860379000009</v>
      </c>
      <c r="N216" s="9"/>
      <c r="O216" s="22">
        <v>0.93734700000000004</v>
      </c>
      <c r="P216" s="22">
        <v>100.446</v>
      </c>
      <c r="Q216" s="22">
        <v>-8.3892799999999996E-4</v>
      </c>
      <c r="R216" s="22">
        <v>206</v>
      </c>
      <c r="S216" s="22">
        <v>0.93658399999999997</v>
      </c>
      <c r="T216">
        <f t="shared" si="38"/>
        <v>0.83892800000000001</v>
      </c>
      <c r="U216">
        <f t="shared" si="39"/>
        <v>0.78636664401600009</v>
      </c>
      <c r="X216" s="9"/>
      <c r="Y216" s="22">
        <v>0.59265100000000004</v>
      </c>
      <c r="Z216" s="22">
        <v>149.52600000000001</v>
      </c>
      <c r="AA216" s="22">
        <v>-1.2283299999999999E-3</v>
      </c>
      <c r="AB216" s="22">
        <v>206</v>
      </c>
      <c r="AC216" s="22">
        <v>0.59201000000000004</v>
      </c>
      <c r="AD216">
        <f t="shared" si="40"/>
        <v>1.2283299999999999</v>
      </c>
      <c r="AE216">
        <f t="shared" si="41"/>
        <v>0.72797100283000005</v>
      </c>
      <c r="AF216" s="9"/>
      <c r="AG216" s="22">
        <v>0.93734700000000004</v>
      </c>
      <c r="AH216" s="22">
        <v>198.77500000000001</v>
      </c>
      <c r="AI216" s="22">
        <v>-6.8267800000000004E-4</v>
      </c>
      <c r="AJ216" s="22">
        <v>206</v>
      </c>
      <c r="AK216" s="22">
        <v>0.93627899999999997</v>
      </c>
      <c r="AL216">
        <f t="shared" si="42"/>
        <v>0.68267800000000001</v>
      </c>
      <c r="AM216">
        <f t="shared" si="43"/>
        <v>0.63990617526600002</v>
      </c>
      <c r="AP216" s="9"/>
      <c r="AQ216" s="22">
        <v>0.59265100000000004</v>
      </c>
      <c r="AR216" s="22">
        <v>247.91900000000001</v>
      </c>
      <c r="AS216" s="22">
        <v>-1.1184700000000001E-3</v>
      </c>
      <c r="AT216" s="22">
        <v>206</v>
      </c>
      <c r="AU216" s="22">
        <v>0.59201000000000004</v>
      </c>
      <c r="AV216">
        <f t="shared" si="44"/>
        <v>1.1184700000000001</v>
      </c>
      <c r="AW216">
        <f t="shared" si="45"/>
        <v>0.66286236397000009</v>
      </c>
      <c r="AX216" s="9"/>
      <c r="AY216" s="22">
        <v>0.93734700000000004</v>
      </c>
      <c r="AZ216" s="22">
        <v>297.07900000000001</v>
      </c>
      <c r="BA216" s="22">
        <v>-6.14319E-4</v>
      </c>
      <c r="BB216" s="22">
        <v>206</v>
      </c>
      <c r="BC216" s="22">
        <v>0.93597399999999997</v>
      </c>
      <c r="BD216">
        <f t="shared" si="46"/>
        <v>0.61431899999999995</v>
      </c>
      <c r="BE216">
        <f t="shared" si="47"/>
        <v>0.57583007169299993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0.58761600000000003</v>
      </c>
      <c r="H217" s="22">
        <v>51.396799999999999</v>
      </c>
      <c r="I217" s="22">
        <v>-1.48865E-3</v>
      </c>
      <c r="J217" s="22">
        <v>207</v>
      </c>
      <c r="K217" s="22">
        <v>0.58700600000000003</v>
      </c>
      <c r="L217">
        <f t="shared" si="36"/>
        <v>1.48865</v>
      </c>
      <c r="M217">
        <f t="shared" si="37"/>
        <v>0.87475455840000005</v>
      </c>
      <c r="N217" s="9"/>
      <c r="O217" s="22">
        <v>0.94238299999999997</v>
      </c>
      <c r="P217" s="22">
        <v>100.456</v>
      </c>
      <c r="Q217" s="22">
        <v>-8.3374000000000002E-4</v>
      </c>
      <c r="R217" s="22">
        <v>207</v>
      </c>
      <c r="S217" s="22">
        <v>0.94116200000000005</v>
      </c>
      <c r="T217">
        <f t="shared" si="38"/>
        <v>0.83374000000000004</v>
      </c>
      <c r="U217">
        <f t="shared" si="39"/>
        <v>0.78570240242</v>
      </c>
      <c r="X217" s="9"/>
      <c r="Y217" s="22">
        <v>0.58761600000000003</v>
      </c>
      <c r="Z217" s="22">
        <v>149.536</v>
      </c>
      <c r="AA217" s="22">
        <v>-1.23138E-3</v>
      </c>
      <c r="AB217" s="22">
        <v>207</v>
      </c>
      <c r="AC217" s="22">
        <v>0.587036</v>
      </c>
      <c r="AD217">
        <f t="shared" si="40"/>
        <v>1.2313799999999999</v>
      </c>
      <c r="AE217">
        <f t="shared" si="41"/>
        <v>0.72357859008000003</v>
      </c>
      <c r="AF217" s="9"/>
      <c r="AG217" s="22">
        <v>0.94238299999999997</v>
      </c>
      <c r="AH217" s="22">
        <v>198.785</v>
      </c>
      <c r="AI217" s="22">
        <v>-6.7962600000000001E-4</v>
      </c>
      <c r="AJ217" s="22">
        <v>207</v>
      </c>
      <c r="AK217" s="22">
        <v>0.94146700000000005</v>
      </c>
      <c r="AL217">
        <f t="shared" si="42"/>
        <v>0.67962600000000006</v>
      </c>
      <c r="AM217">
        <f t="shared" si="43"/>
        <v>0.64046798875800004</v>
      </c>
      <c r="AP217" s="9"/>
      <c r="AQ217" s="22">
        <v>0.58761600000000003</v>
      </c>
      <c r="AR217" s="22">
        <v>247.929</v>
      </c>
      <c r="AS217" s="22">
        <v>-1.1218300000000001E-3</v>
      </c>
      <c r="AT217" s="22">
        <v>207</v>
      </c>
      <c r="AU217" s="22">
        <v>0.58688399999999996</v>
      </c>
      <c r="AV217">
        <f t="shared" si="44"/>
        <v>1.1218300000000001</v>
      </c>
      <c r="AW217">
        <f t="shared" si="45"/>
        <v>0.65920525728000012</v>
      </c>
      <c r="AX217" s="9"/>
      <c r="AY217" s="22">
        <v>0.94238299999999997</v>
      </c>
      <c r="AZ217" s="22">
        <v>297.089</v>
      </c>
      <c r="BA217" s="22">
        <v>-6.1126699999999997E-4</v>
      </c>
      <c r="BB217" s="22">
        <v>207</v>
      </c>
      <c r="BC217" s="22">
        <v>0.94085700000000005</v>
      </c>
      <c r="BD217">
        <f t="shared" si="46"/>
        <v>0.611267</v>
      </c>
      <c r="BE217">
        <f t="shared" si="47"/>
        <v>0.57604762926099995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0.58258100000000002</v>
      </c>
      <c r="H218" s="22">
        <v>51.4069</v>
      </c>
      <c r="I218" s="22">
        <v>-1.4923099999999999E-3</v>
      </c>
      <c r="J218" s="22">
        <v>208</v>
      </c>
      <c r="K218" s="22">
        <v>0.58187900000000004</v>
      </c>
      <c r="L218">
        <f t="shared" si="36"/>
        <v>1.49231</v>
      </c>
      <c r="M218">
        <f t="shared" si="37"/>
        <v>0.86939145211000002</v>
      </c>
      <c r="N218" s="9"/>
      <c r="O218" s="22">
        <v>0.94741799999999998</v>
      </c>
      <c r="P218" s="22">
        <v>100.46599999999999</v>
      </c>
      <c r="Q218" s="22">
        <v>-8.3221399999999996E-4</v>
      </c>
      <c r="R218" s="22">
        <v>208</v>
      </c>
      <c r="S218" s="22">
        <v>0.94604500000000002</v>
      </c>
      <c r="T218">
        <f t="shared" si="38"/>
        <v>0.83221400000000001</v>
      </c>
      <c r="U218">
        <f t="shared" si="39"/>
        <v>0.78845452345199996</v>
      </c>
      <c r="X218" s="9"/>
      <c r="Y218" s="22">
        <v>0.58258100000000002</v>
      </c>
      <c r="Z218" s="22">
        <v>149.54599999999999</v>
      </c>
      <c r="AA218" s="22">
        <v>-1.23566E-3</v>
      </c>
      <c r="AB218" s="22">
        <v>208</v>
      </c>
      <c r="AC218" s="22">
        <v>0.58194000000000001</v>
      </c>
      <c r="AD218">
        <f t="shared" si="40"/>
        <v>1.23566</v>
      </c>
      <c r="AE218">
        <f t="shared" si="41"/>
        <v>0.71987203846000003</v>
      </c>
      <c r="AF218" s="9"/>
      <c r="AG218" s="22">
        <v>0.94741799999999998</v>
      </c>
      <c r="AH218" s="22">
        <v>198.79499999999999</v>
      </c>
      <c r="AI218" s="22">
        <v>-6.7657500000000001E-4</v>
      </c>
      <c r="AJ218" s="22">
        <v>208</v>
      </c>
      <c r="AK218" s="22">
        <v>0.94635000000000002</v>
      </c>
      <c r="AL218">
        <f t="shared" si="42"/>
        <v>0.67657500000000004</v>
      </c>
      <c r="AM218">
        <f t="shared" si="43"/>
        <v>0.64099933335000003</v>
      </c>
      <c r="AP218" s="9"/>
      <c r="AQ218" s="22">
        <v>0.58258100000000002</v>
      </c>
      <c r="AR218" s="22">
        <v>247.94</v>
      </c>
      <c r="AS218" s="22">
        <v>-1.1251799999999999E-3</v>
      </c>
      <c r="AT218" s="22">
        <v>208</v>
      </c>
      <c r="AU218" s="22">
        <v>0.58194000000000001</v>
      </c>
      <c r="AV218">
        <f t="shared" si="44"/>
        <v>1.1251799999999998</v>
      </c>
      <c r="AW218">
        <f t="shared" si="45"/>
        <v>0.65550848957999996</v>
      </c>
      <c r="AX218" s="9"/>
      <c r="AY218" s="22">
        <v>0.94741799999999998</v>
      </c>
      <c r="AZ218" s="22">
        <v>297.09899999999999</v>
      </c>
      <c r="BA218" s="22">
        <v>-6.0791000000000003E-4</v>
      </c>
      <c r="BB218" s="22">
        <v>208</v>
      </c>
      <c r="BC218" s="22">
        <v>0.94604500000000002</v>
      </c>
      <c r="BD218">
        <f t="shared" si="46"/>
        <v>0.60791000000000006</v>
      </c>
      <c r="BE218">
        <f t="shared" si="47"/>
        <v>0.57594487638000003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0.57754499999999998</v>
      </c>
      <c r="H219" s="22">
        <v>51.417000000000002</v>
      </c>
      <c r="I219" s="22">
        <v>-1.4941399999999999E-3</v>
      </c>
      <c r="J219" s="22">
        <v>209</v>
      </c>
      <c r="K219" s="22">
        <v>0.576874</v>
      </c>
      <c r="L219">
        <f t="shared" si="36"/>
        <v>1.49414</v>
      </c>
      <c r="M219">
        <f t="shared" si="37"/>
        <v>0.86293308629999999</v>
      </c>
      <c r="N219" s="9"/>
      <c r="O219" s="22">
        <v>0.95245400000000002</v>
      </c>
      <c r="P219" s="22">
        <v>100.476</v>
      </c>
      <c r="Q219" s="22">
        <v>-8.2855199999999998E-4</v>
      </c>
      <c r="R219" s="22">
        <v>209</v>
      </c>
      <c r="S219" s="22">
        <v>0.950928</v>
      </c>
      <c r="T219">
        <f t="shared" si="38"/>
        <v>0.82855199999999996</v>
      </c>
      <c r="U219">
        <f t="shared" si="39"/>
        <v>0.78915766660800002</v>
      </c>
      <c r="X219" s="9"/>
      <c r="Y219" s="22">
        <v>0.57754499999999998</v>
      </c>
      <c r="Z219" s="22">
        <v>149.55600000000001</v>
      </c>
      <c r="AA219" s="22">
        <v>-1.2387100000000001E-3</v>
      </c>
      <c r="AB219" s="22">
        <v>209</v>
      </c>
      <c r="AC219" s="22">
        <v>0.576874</v>
      </c>
      <c r="AD219">
        <f t="shared" si="40"/>
        <v>1.23871</v>
      </c>
      <c r="AE219">
        <f t="shared" si="41"/>
        <v>0.71541076694999994</v>
      </c>
      <c r="AF219" s="9"/>
      <c r="AG219" s="22">
        <v>0.95245400000000002</v>
      </c>
      <c r="AH219" s="22">
        <v>198.80500000000001</v>
      </c>
      <c r="AI219" s="22">
        <v>-6.7291300000000003E-4</v>
      </c>
      <c r="AJ219" s="22">
        <v>209</v>
      </c>
      <c r="AK219" s="22">
        <v>0.95153799999999999</v>
      </c>
      <c r="AL219">
        <f t="shared" si="42"/>
        <v>0.67291299999999998</v>
      </c>
      <c r="AM219">
        <f t="shared" si="43"/>
        <v>0.64091867850200002</v>
      </c>
      <c r="AP219" s="9"/>
      <c r="AQ219" s="22">
        <v>0.57754499999999998</v>
      </c>
      <c r="AR219" s="22">
        <v>247.95</v>
      </c>
      <c r="AS219" s="22">
        <v>-1.12823E-3</v>
      </c>
      <c r="AT219" s="22">
        <v>209</v>
      </c>
      <c r="AU219" s="22">
        <v>0.57690399999999997</v>
      </c>
      <c r="AV219">
        <f t="shared" si="44"/>
        <v>1.1282300000000001</v>
      </c>
      <c r="AW219">
        <f t="shared" si="45"/>
        <v>0.65160359535000001</v>
      </c>
      <c r="AX219" s="9"/>
      <c r="AY219" s="22">
        <v>0.95245400000000002</v>
      </c>
      <c r="AZ219" s="22">
        <v>297.10899999999998</v>
      </c>
      <c r="BA219" s="22">
        <v>-6.0394300000000001E-4</v>
      </c>
      <c r="BB219" s="22">
        <v>209</v>
      </c>
      <c r="BC219" s="22">
        <v>0.951233</v>
      </c>
      <c r="BD219">
        <f t="shared" si="46"/>
        <v>0.60394300000000001</v>
      </c>
      <c r="BE219">
        <f t="shared" si="47"/>
        <v>0.57522792612200002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0.57250999999999996</v>
      </c>
      <c r="H220" s="22">
        <v>51.427100000000003</v>
      </c>
      <c r="I220" s="22">
        <v>-1.49658E-3</v>
      </c>
      <c r="J220" s="22">
        <v>210</v>
      </c>
      <c r="K220" s="22">
        <v>0.57189900000000005</v>
      </c>
      <c r="L220">
        <f t="shared" si="36"/>
        <v>1.49658</v>
      </c>
      <c r="M220">
        <f t="shared" si="37"/>
        <v>0.85680701579999996</v>
      </c>
      <c r="N220" s="9"/>
      <c r="O220" s="22">
        <v>0.95748900000000003</v>
      </c>
      <c r="P220" s="22">
        <v>100.486</v>
      </c>
      <c r="Q220" s="22">
        <v>-8.2549999999999995E-4</v>
      </c>
      <c r="R220" s="22">
        <v>210</v>
      </c>
      <c r="S220" s="22">
        <v>0.95611599999999997</v>
      </c>
      <c r="T220">
        <f t="shared" si="38"/>
        <v>0.8254999999999999</v>
      </c>
      <c r="U220">
        <f t="shared" si="39"/>
        <v>0.7904071694999999</v>
      </c>
      <c r="X220" s="9"/>
      <c r="Y220" s="22">
        <v>0.57250999999999996</v>
      </c>
      <c r="Z220" s="22">
        <v>149.566</v>
      </c>
      <c r="AA220" s="22">
        <v>-1.24146E-3</v>
      </c>
      <c r="AB220" s="22">
        <v>210</v>
      </c>
      <c r="AC220" s="22">
        <v>0.57183799999999996</v>
      </c>
      <c r="AD220">
        <f t="shared" si="40"/>
        <v>1.24146</v>
      </c>
      <c r="AE220">
        <f t="shared" si="41"/>
        <v>0.71074826459999996</v>
      </c>
      <c r="AF220" s="9"/>
      <c r="AG220" s="22">
        <v>0.95748900000000003</v>
      </c>
      <c r="AH220" s="22">
        <v>198.815</v>
      </c>
      <c r="AI220" s="22">
        <v>-6.7016600000000003E-4</v>
      </c>
      <c r="AJ220" s="22">
        <v>210</v>
      </c>
      <c r="AK220" s="22">
        <v>0.95703099999999997</v>
      </c>
      <c r="AL220">
        <f t="shared" si="42"/>
        <v>0.67016600000000004</v>
      </c>
      <c r="AM220">
        <f t="shared" si="43"/>
        <v>0.64167657317400006</v>
      </c>
      <c r="AP220" s="9"/>
      <c r="AQ220" s="22">
        <v>0.57250999999999996</v>
      </c>
      <c r="AR220" s="22">
        <v>247.96</v>
      </c>
      <c r="AS220" s="22">
        <v>-1.13068E-3</v>
      </c>
      <c r="AT220" s="22">
        <v>210</v>
      </c>
      <c r="AU220" s="22">
        <v>0.57183799999999996</v>
      </c>
      <c r="AV220">
        <f t="shared" si="44"/>
        <v>1.1306799999999999</v>
      </c>
      <c r="AW220">
        <f t="shared" si="45"/>
        <v>0.64732560679999995</v>
      </c>
      <c r="AX220" s="9"/>
      <c r="AY220" s="22">
        <v>0.95748900000000003</v>
      </c>
      <c r="AZ220" s="22">
        <v>297.11900000000003</v>
      </c>
      <c r="BA220" s="22">
        <v>-6.0089099999999999E-4</v>
      </c>
      <c r="BB220" s="22">
        <v>210</v>
      </c>
      <c r="BC220" s="22">
        <v>0.95611599999999997</v>
      </c>
      <c r="BD220">
        <f t="shared" si="46"/>
        <v>0.60089099999999995</v>
      </c>
      <c r="BE220">
        <f t="shared" si="47"/>
        <v>0.575346522699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0.56747400000000003</v>
      </c>
      <c r="H221" s="22">
        <v>51.437100000000001</v>
      </c>
      <c r="I221" s="22">
        <v>-1.4996300000000001E-3</v>
      </c>
      <c r="J221" s="22">
        <v>211</v>
      </c>
      <c r="K221" s="22">
        <v>0.56680299999999995</v>
      </c>
      <c r="L221">
        <f t="shared" si="36"/>
        <v>1.49963</v>
      </c>
      <c r="M221">
        <f t="shared" si="37"/>
        <v>0.8510010346200001</v>
      </c>
      <c r="N221" s="9"/>
      <c r="O221" s="22">
        <v>0.96252400000000005</v>
      </c>
      <c r="P221" s="22">
        <v>100.497</v>
      </c>
      <c r="Q221" s="22">
        <v>-8.2244900000000005E-4</v>
      </c>
      <c r="R221" s="22">
        <v>211</v>
      </c>
      <c r="S221" s="22">
        <v>0.96160900000000005</v>
      </c>
      <c r="T221">
        <f t="shared" si="38"/>
        <v>0.8224490000000001</v>
      </c>
      <c r="U221">
        <f t="shared" si="39"/>
        <v>0.79162690127600011</v>
      </c>
      <c r="X221" s="9"/>
      <c r="Y221" s="22">
        <v>0.56747400000000003</v>
      </c>
      <c r="Z221" s="22">
        <v>149.57599999999999</v>
      </c>
      <c r="AA221" s="22">
        <v>-1.2435899999999999E-3</v>
      </c>
      <c r="AB221" s="22">
        <v>211</v>
      </c>
      <c r="AC221" s="22">
        <v>0.56689500000000004</v>
      </c>
      <c r="AD221">
        <f t="shared" si="40"/>
        <v>1.24359</v>
      </c>
      <c r="AE221">
        <f t="shared" si="41"/>
        <v>0.70570499166</v>
      </c>
      <c r="AF221" s="9"/>
      <c r="AG221" s="22">
        <v>0.96252400000000005</v>
      </c>
      <c r="AH221" s="22">
        <v>198.82499999999999</v>
      </c>
      <c r="AI221" s="22">
        <v>-6.6741900000000004E-4</v>
      </c>
      <c r="AJ221" s="22">
        <v>211</v>
      </c>
      <c r="AK221" s="22">
        <v>0.96099900000000005</v>
      </c>
      <c r="AL221">
        <f t="shared" si="42"/>
        <v>0.6674190000000001</v>
      </c>
      <c r="AM221">
        <f t="shared" si="43"/>
        <v>0.64240680555600016</v>
      </c>
      <c r="AP221" s="9"/>
      <c r="AQ221" s="22">
        <v>0.56747400000000003</v>
      </c>
      <c r="AR221" s="22">
        <v>247.97</v>
      </c>
      <c r="AS221" s="22">
        <v>-1.1337299999999999E-3</v>
      </c>
      <c r="AT221" s="22">
        <v>211</v>
      </c>
      <c r="AU221" s="22">
        <v>0.56677200000000005</v>
      </c>
      <c r="AV221">
        <f t="shared" si="44"/>
        <v>1.1337299999999999</v>
      </c>
      <c r="AW221">
        <f t="shared" si="45"/>
        <v>0.64336229802</v>
      </c>
      <c r="AX221" s="9"/>
      <c r="AY221" s="22">
        <v>0.96252400000000005</v>
      </c>
      <c r="AZ221" s="22">
        <v>297.12900000000002</v>
      </c>
      <c r="BA221" s="22">
        <v>-5.9753400000000004E-4</v>
      </c>
      <c r="BB221" s="22">
        <v>211</v>
      </c>
      <c r="BC221" s="22">
        <v>0.96099900000000005</v>
      </c>
      <c r="BD221">
        <f t="shared" si="46"/>
        <v>0.59753400000000001</v>
      </c>
      <c r="BE221">
        <f t="shared" si="47"/>
        <v>0.57514081581600007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0.56243900000000002</v>
      </c>
      <c r="H222" s="22">
        <v>51.447200000000002</v>
      </c>
      <c r="I222" s="22">
        <v>-1.5032999999999999E-3</v>
      </c>
      <c r="J222" s="22">
        <v>212</v>
      </c>
      <c r="K222" s="22">
        <v>0.56173700000000004</v>
      </c>
      <c r="L222">
        <f t="shared" si="36"/>
        <v>1.5032999999999999</v>
      </c>
      <c r="M222">
        <f t="shared" si="37"/>
        <v>0.84551454869999998</v>
      </c>
      <c r="N222" s="9"/>
      <c r="O222" s="22">
        <v>0.96755999999999998</v>
      </c>
      <c r="P222" s="22">
        <v>100.50700000000001</v>
      </c>
      <c r="Q222" s="22">
        <v>-8.1970199999999995E-4</v>
      </c>
      <c r="R222" s="22">
        <v>212</v>
      </c>
      <c r="S222" s="22">
        <v>0.96679700000000002</v>
      </c>
      <c r="T222">
        <f t="shared" si="38"/>
        <v>0.81970199999999993</v>
      </c>
      <c r="U222">
        <f t="shared" si="39"/>
        <v>0.7931108671199999</v>
      </c>
      <c r="X222" s="9"/>
      <c r="Y222" s="22">
        <v>0.56243900000000002</v>
      </c>
      <c r="Z222" s="22">
        <v>149.58600000000001</v>
      </c>
      <c r="AA222" s="22">
        <v>-1.24603E-3</v>
      </c>
      <c r="AB222" s="22">
        <v>212</v>
      </c>
      <c r="AC222" s="22">
        <v>0.56173700000000004</v>
      </c>
      <c r="AD222">
        <f t="shared" si="40"/>
        <v>1.24603</v>
      </c>
      <c r="AE222">
        <f t="shared" si="41"/>
        <v>0.70081586717</v>
      </c>
      <c r="AF222" s="9"/>
      <c r="AG222" s="22">
        <v>0.96755999999999998</v>
      </c>
      <c r="AH222" s="22">
        <v>198.83500000000001</v>
      </c>
      <c r="AI222" s="22">
        <v>-6.6375699999999995E-4</v>
      </c>
      <c r="AJ222" s="22">
        <v>212</v>
      </c>
      <c r="AK222" s="22">
        <v>0.96649200000000002</v>
      </c>
      <c r="AL222">
        <f t="shared" si="42"/>
        <v>0.66375699999999993</v>
      </c>
      <c r="AM222">
        <f t="shared" si="43"/>
        <v>0.64222472291999988</v>
      </c>
      <c r="AP222" s="9"/>
      <c r="AQ222" s="22">
        <v>0.56243900000000002</v>
      </c>
      <c r="AR222" s="22">
        <v>247.98</v>
      </c>
      <c r="AS222" s="22">
        <v>-1.1364700000000001E-3</v>
      </c>
      <c r="AT222" s="22">
        <v>212</v>
      </c>
      <c r="AU222" s="22">
        <v>0.56176800000000005</v>
      </c>
      <c r="AV222">
        <f t="shared" si="44"/>
        <v>1.1364700000000001</v>
      </c>
      <c r="AW222">
        <f t="shared" si="45"/>
        <v>0.63919505033000013</v>
      </c>
      <c r="AX222" s="9"/>
      <c r="AY222" s="22">
        <v>0.96755999999999998</v>
      </c>
      <c r="AZ222" s="22">
        <v>297.13900000000001</v>
      </c>
      <c r="BA222" s="22">
        <v>-5.9478799999999996E-4</v>
      </c>
      <c r="BB222" s="22">
        <v>212</v>
      </c>
      <c r="BC222" s="22">
        <v>0.96710200000000002</v>
      </c>
      <c r="BD222">
        <f t="shared" si="46"/>
        <v>0.59478799999999998</v>
      </c>
      <c r="BE222">
        <f t="shared" si="47"/>
        <v>0.57549307727999999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0.55740400000000001</v>
      </c>
      <c r="H223" s="22">
        <v>51.457299999999996</v>
      </c>
      <c r="I223" s="22">
        <v>-1.50757E-3</v>
      </c>
      <c r="J223" s="22">
        <v>213</v>
      </c>
      <c r="K223" s="22">
        <v>0.55676300000000001</v>
      </c>
      <c r="L223">
        <f t="shared" si="36"/>
        <v>1.5075699999999999</v>
      </c>
      <c r="M223">
        <f t="shared" si="37"/>
        <v>0.84032554827999995</v>
      </c>
      <c r="N223" s="9"/>
      <c r="O223" s="22">
        <v>0.97259499999999999</v>
      </c>
      <c r="P223" s="22">
        <v>100.517</v>
      </c>
      <c r="Q223" s="22">
        <v>-8.1512499999999999E-4</v>
      </c>
      <c r="R223" s="22">
        <v>213</v>
      </c>
      <c r="S223" s="22">
        <v>0.97167999999999999</v>
      </c>
      <c r="T223">
        <f t="shared" si="38"/>
        <v>0.81512499999999999</v>
      </c>
      <c r="U223">
        <f t="shared" si="39"/>
        <v>0.79278649937500001</v>
      </c>
      <c r="X223" s="9"/>
      <c r="Y223" s="22">
        <v>0.55740400000000001</v>
      </c>
      <c r="Z223" s="22">
        <v>149.596</v>
      </c>
      <c r="AA223" s="22">
        <v>-1.24847E-3</v>
      </c>
      <c r="AB223" s="22">
        <v>213</v>
      </c>
      <c r="AC223" s="22">
        <v>0.556732</v>
      </c>
      <c r="AD223">
        <f t="shared" si="40"/>
        <v>1.24847</v>
      </c>
      <c r="AE223">
        <f t="shared" si="41"/>
        <v>0.69590217188000003</v>
      </c>
      <c r="AF223" s="9"/>
      <c r="AG223" s="22">
        <v>0.97259499999999999</v>
      </c>
      <c r="AH223" s="22">
        <v>198.846</v>
      </c>
      <c r="AI223" s="22">
        <v>-6.6040000000000001E-4</v>
      </c>
      <c r="AJ223" s="22">
        <v>213</v>
      </c>
      <c r="AK223" s="22">
        <v>0.97106899999999996</v>
      </c>
      <c r="AL223">
        <f t="shared" si="42"/>
        <v>0.66039999999999999</v>
      </c>
      <c r="AM223">
        <f t="shared" si="43"/>
        <v>0.64230173800000001</v>
      </c>
      <c r="AP223" s="9"/>
      <c r="AQ223" s="22">
        <v>0.55740400000000001</v>
      </c>
      <c r="AR223" s="22">
        <v>247.99</v>
      </c>
      <c r="AS223" s="22">
        <v>-1.1395299999999999E-3</v>
      </c>
      <c r="AT223" s="22">
        <v>213</v>
      </c>
      <c r="AU223" s="22">
        <v>0.55670200000000003</v>
      </c>
      <c r="AV223">
        <f t="shared" si="44"/>
        <v>1.1395299999999999</v>
      </c>
      <c r="AW223">
        <f t="shared" si="45"/>
        <v>0.63517858011999995</v>
      </c>
      <c r="AX223" s="9"/>
      <c r="AY223" s="22">
        <v>0.97259499999999999</v>
      </c>
      <c r="AZ223" s="22">
        <v>297.149</v>
      </c>
      <c r="BA223" s="22">
        <v>-5.9051500000000001E-4</v>
      </c>
      <c r="BB223" s="22">
        <v>213</v>
      </c>
      <c r="BC223" s="22">
        <v>0.97045899999999996</v>
      </c>
      <c r="BD223">
        <f t="shared" si="46"/>
        <v>0.59051500000000001</v>
      </c>
      <c r="BE223">
        <f t="shared" si="47"/>
        <v>0.57433193642500002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0.55236799999999997</v>
      </c>
      <c r="H224" s="22">
        <v>51.467300000000002</v>
      </c>
      <c r="I224" s="22">
        <v>-1.5112299999999999E-3</v>
      </c>
      <c r="J224" s="22">
        <v>214</v>
      </c>
      <c r="K224" s="22">
        <v>0.55172699999999997</v>
      </c>
      <c r="L224">
        <f t="shared" si="36"/>
        <v>1.5112299999999999</v>
      </c>
      <c r="M224">
        <f t="shared" si="37"/>
        <v>0.83475509263999992</v>
      </c>
      <c r="N224" s="9"/>
      <c r="O224" s="22">
        <v>0.97763100000000003</v>
      </c>
      <c r="P224" s="22">
        <v>100.527</v>
      </c>
      <c r="Q224" s="22">
        <v>-8.0993700000000005E-4</v>
      </c>
      <c r="R224" s="22">
        <v>214</v>
      </c>
      <c r="S224" s="22">
        <v>0.97686799999999996</v>
      </c>
      <c r="T224">
        <f t="shared" si="38"/>
        <v>0.80993700000000002</v>
      </c>
      <c r="U224">
        <f t="shared" si="39"/>
        <v>0.791819519247</v>
      </c>
      <c r="X224" s="9"/>
      <c r="Y224" s="22">
        <v>0.55236799999999997</v>
      </c>
      <c r="Z224" s="22">
        <v>149.60599999999999</v>
      </c>
      <c r="AA224" s="22">
        <v>-1.25183E-3</v>
      </c>
      <c r="AB224" s="22">
        <v>214</v>
      </c>
      <c r="AC224" s="22">
        <v>0.55172699999999997</v>
      </c>
      <c r="AD224">
        <f t="shared" si="40"/>
        <v>1.25183</v>
      </c>
      <c r="AE224">
        <f t="shared" si="41"/>
        <v>0.69147083343999993</v>
      </c>
      <c r="AF224" s="9"/>
      <c r="AG224" s="22">
        <v>0.97763100000000003</v>
      </c>
      <c r="AH224" s="22">
        <v>198.85599999999999</v>
      </c>
      <c r="AI224" s="22">
        <v>-6.5826399999999998E-4</v>
      </c>
      <c r="AJ224" s="22">
        <v>214</v>
      </c>
      <c r="AK224" s="22">
        <v>0.97656299999999996</v>
      </c>
      <c r="AL224">
        <f t="shared" si="42"/>
        <v>0.65826399999999996</v>
      </c>
      <c r="AM224">
        <f t="shared" si="43"/>
        <v>0.643539292584</v>
      </c>
      <c r="AP224" s="9"/>
      <c r="AQ224" s="22">
        <v>0.55236799999999997</v>
      </c>
      <c r="AR224" s="22">
        <v>248</v>
      </c>
      <c r="AS224" s="22">
        <v>-1.14258E-3</v>
      </c>
      <c r="AT224" s="22">
        <v>214</v>
      </c>
      <c r="AU224" s="22">
        <v>0.55169699999999999</v>
      </c>
      <c r="AV224">
        <f t="shared" si="44"/>
        <v>1.1425799999999999</v>
      </c>
      <c r="AW224">
        <f t="shared" si="45"/>
        <v>0.63112462943999992</v>
      </c>
      <c r="AX224" s="9"/>
      <c r="AY224" s="22">
        <v>0.97763100000000003</v>
      </c>
      <c r="AZ224" s="22">
        <v>297.15899999999999</v>
      </c>
      <c r="BA224" s="22">
        <v>-5.8746299999999998E-4</v>
      </c>
      <c r="BB224" s="22">
        <v>214</v>
      </c>
      <c r="BC224" s="22">
        <v>0.97656299999999996</v>
      </c>
      <c r="BD224">
        <f t="shared" si="46"/>
        <v>0.58746299999999996</v>
      </c>
      <c r="BE224">
        <f t="shared" si="47"/>
        <v>0.57432204015299992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0.54733299999999996</v>
      </c>
      <c r="H225" s="22">
        <v>51.477400000000003</v>
      </c>
      <c r="I225" s="22">
        <v>-1.5127599999999999E-3</v>
      </c>
      <c r="J225" s="22">
        <v>215</v>
      </c>
      <c r="K225" s="22">
        <v>0.54663099999999998</v>
      </c>
      <c r="L225">
        <f t="shared" si="36"/>
        <v>1.5127599999999999</v>
      </c>
      <c r="M225">
        <f t="shared" si="37"/>
        <v>0.82798346907999987</v>
      </c>
      <c r="N225" s="9"/>
      <c r="O225" s="22">
        <v>0.98266600000000004</v>
      </c>
      <c r="P225" s="22">
        <v>100.53700000000001</v>
      </c>
      <c r="Q225" s="22">
        <v>-8.0566399999999999E-4</v>
      </c>
      <c r="R225" s="22">
        <v>215</v>
      </c>
      <c r="S225" s="22">
        <v>0.98175000000000001</v>
      </c>
      <c r="T225">
        <f t="shared" si="38"/>
        <v>0.80566399999999994</v>
      </c>
      <c r="U225">
        <f t="shared" si="39"/>
        <v>0.79169862022399995</v>
      </c>
      <c r="X225" s="9"/>
      <c r="Y225" s="22">
        <v>0.54733299999999996</v>
      </c>
      <c r="Z225" s="22">
        <v>149.61600000000001</v>
      </c>
      <c r="AA225" s="22">
        <v>-1.2545799999999999E-3</v>
      </c>
      <c r="AB225" s="22">
        <v>215</v>
      </c>
      <c r="AC225" s="22">
        <v>0.54672200000000004</v>
      </c>
      <c r="AD225">
        <f t="shared" si="40"/>
        <v>1.25458</v>
      </c>
      <c r="AE225">
        <f t="shared" si="41"/>
        <v>0.68667303514</v>
      </c>
      <c r="AF225" s="9"/>
      <c r="AG225" s="22">
        <v>0.98266600000000004</v>
      </c>
      <c r="AH225" s="22">
        <v>198.86600000000001</v>
      </c>
      <c r="AI225" s="22">
        <v>-6.5490700000000004E-4</v>
      </c>
      <c r="AJ225" s="22">
        <v>215</v>
      </c>
      <c r="AK225" s="22">
        <v>0.98144500000000001</v>
      </c>
      <c r="AL225">
        <f t="shared" si="42"/>
        <v>0.65490700000000002</v>
      </c>
      <c r="AM225">
        <f t="shared" si="43"/>
        <v>0.64355484206200009</v>
      </c>
      <c r="AP225" s="9"/>
      <c r="AQ225" s="22">
        <v>0.54733299999999996</v>
      </c>
      <c r="AR225" s="22">
        <v>248.01</v>
      </c>
      <c r="AS225" s="22">
        <v>-1.14594E-3</v>
      </c>
      <c r="AT225" s="22">
        <v>215</v>
      </c>
      <c r="AU225" s="22">
        <v>0.54672200000000004</v>
      </c>
      <c r="AV225">
        <f t="shared" si="44"/>
        <v>1.14594</v>
      </c>
      <c r="AW225">
        <f t="shared" si="45"/>
        <v>0.62721077801999991</v>
      </c>
      <c r="AX225" s="9"/>
      <c r="AY225" s="22">
        <v>0.98266600000000004</v>
      </c>
      <c r="AZ225" s="22">
        <v>297.17</v>
      </c>
      <c r="BA225" s="22">
        <v>-5.8349599999999997E-4</v>
      </c>
      <c r="BB225" s="22">
        <v>215</v>
      </c>
      <c r="BC225" s="22">
        <v>0.98175000000000001</v>
      </c>
      <c r="BD225">
        <f t="shared" si="46"/>
        <v>0.58349600000000001</v>
      </c>
      <c r="BE225">
        <f t="shared" si="47"/>
        <v>0.57338168033600001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0.54229700000000003</v>
      </c>
      <c r="H226" s="22">
        <v>51.487499999999997</v>
      </c>
      <c r="I226" s="22">
        <v>-1.51428E-3</v>
      </c>
      <c r="J226" s="22">
        <v>216</v>
      </c>
      <c r="K226" s="22">
        <v>0.54162600000000005</v>
      </c>
      <c r="L226">
        <f t="shared" si="36"/>
        <v>1.5142800000000001</v>
      </c>
      <c r="M226">
        <f t="shared" si="37"/>
        <v>0.82118950116000011</v>
      </c>
      <c r="N226" s="9"/>
      <c r="O226" s="22">
        <v>0.98770100000000005</v>
      </c>
      <c r="P226" s="22">
        <v>100.547</v>
      </c>
      <c r="Q226" s="22">
        <v>-8.02917E-4</v>
      </c>
      <c r="R226" s="22">
        <v>216</v>
      </c>
      <c r="S226" s="22">
        <v>0.98632799999999998</v>
      </c>
      <c r="T226">
        <f t="shared" si="38"/>
        <v>0.80291699999999999</v>
      </c>
      <c r="U226">
        <f t="shared" si="39"/>
        <v>0.79304192381700001</v>
      </c>
      <c r="X226" s="9"/>
      <c r="Y226" s="22">
        <v>0.54229700000000003</v>
      </c>
      <c r="Z226" s="22">
        <v>149.626</v>
      </c>
      <c r="AA226" s="22">
        <v>-1.2573199999999999E-3</v>
      </c>
      <c r="AB226" s="22">
        <v>216</v>
      </c>
      <c r="AC226" s="22">
        <v>0.54162600000000005</v>
      </c>
      <c r="AD226">
        <f t="shared" si="40"/>
        <v>1.25732</v>
      </c>
      <c r="AE226">
        <f t="shared" si="41"/>
        <v>0.68184086403999999</v>
      </c>
      <c r="AF226" s="9"/>
      <c r="AG226" s="22">
        <v>0.98770100000000005</v>
      </c>
      <c r="AH226" s="22">
        <v>198.876</v>
      </c>
      <c r="AI226" s="22">
        <v>-6.5124499999999995E-4</v>
      </c>
      <c r="AJ226" s="22">
        <v>216</v>
      </c>
      <c r="AK226" s="22">
        <v>0.98632799999999998</v>
      </c>
      <c r="AL226">
        <f t="shared" si="42"/>
        <v>0.65124499999999996</v>
      </c>
      <c r="AM226">
        <f t="shared" si="43"/>
        <v>0.64323533774499997</v>
      </c>
      <c r="AP226" s="9"/>
      <c r="AQ226" s="22">
        <v>0.54229700000000003</v>
      </c>
      <c r="AR226" s="22">
        <v>248.02</v>
      </c>
      <c r="AS226" s="22">
        <v>-1.14868E-3</v>
      </c>
      <c r="AT226" s="22">
        <v>216</v>
      </c>
      <c r="AU226" s="22">
        <v>0.54168700000000003</v>
      </c>
      <c r="AV226">
        <f t="shared" si="44"/>
        <v>1.1486799999999999</v>
      </c>
      <c r="AW226">
        <f t="shared" si="45"/>
        <v>0.62292571795999996</v>
      </c>
      <c r="AX226" s="9"/>
      <c r="AY226" s="22">
        <v>0.98770100000000005</v>
      </c>
      <c r="AZ226" s="22">
        <v>297.18</v>
      </c>
      <c r="BA226" s="22">
        <v>-5.7983399999999999E-4</v>
      </c>
      <c r="BB226" s="22">
        <v>216</v>
      </c>
      <c r="BC226" s="22">
        <v>0.98663299999999998</v>
      </c>
      <c r="BD226">
        <f t="shared" si="46"/>
        <v>0.57983399999999996</v>
      </c>
      <c r="BE226">
        <f t="shared" si="47"/>
        <v>0.57270262163399999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0.53726200000000002</v>
      </c>
      <c r="H227" s="22">
        <v>51.497599999999998</v>
      </c>
      <c r="I227" s="22">
        <v>-1.5164200000000001E-3</v>
      </c>
      <c r="J227" s="22">
        <v>217</v>
      </c>
      <c r="K227" s="22">
        <v>0.53659100000000004</v>
      </c>
      <c r="L227">
        <f t="shared" si="36"/>
        <v>1.5164200000000001</v>
      </c>
      <c r="M227">
        <f t="shared" si="37"/>
        <v>0.81471484204000011</v>
      </c>
      <c r="N227" s="9"/>
      <c r="O227" s="22">
        <v>0.99273699999999998</v>
      </c>
      <c r="P227" s="22">
        <v>100.557</v>
      </c>
      <c r="Q227" s="22">
        <v>-7.9894999999999999E-4</v>
      </c>
      <c r="R227" s="22">
        <v>217</v>
      </c>
      <c r="S227" s="22">
        <v>0.99151599999999995</v>
      </c>
      <c r="T227">
        <f t="shared" si="38"/>
        <v>0.79894999999999994</v>
      </c>
      <c r="U227">
        <f t="shared" si="39"/>
        <v>0.79314722614999988</v>
      </c>
      <c r="X227" s="9"/>
      <c r="Y227" s="22">
        <v>0.53726200000000002</v>
      </c>
      <c r="Z227" s="22">
        <v>149.636</v>
      </c>
      <c r="AA227" s="22">
        <v>-1.2597699999999999E-3</v>
      </c>
      <c r="AB227" s="22">
        <v>217</v>
      </c>
      <c r="AC227" s="22">
        <v>0.53665200000000002</v>
      </c>
      <c r="AD227">
        <f t="shared" si="40"/>
        <v>1.2597699999999998</v>
      </c>
      <c r="AE227">
        <f t="shared" si="41"/>
        <v>0.67682654973999989</v>
      </c>
      <c r="AF227" s="9"/>
      <c r="AG227" s="22">
        <v>0.99273699999999998</v>
      </c>
      <c r="AH227" s="22">
        <v>198.886</v>
      </c>
      <c r="AI227" s="22">
        <v>-6.4758299999999997E-4</v>
      </c>
      <c r="AJ227" s="22">
        <v>217</v>
      </c>
      <c r="AK227" s="22">
        <v>0.99151599999999995</v>
      </c>
      <c r="AL227">
        <f t="shared" si="42"/>
        <v>0.64758300000000002</v>
      </c>
      <c r="AM227">
        <f t="shared" si="43"/>
        <v>0.64287960467100003</v>
      </c>
      <c r="AP227" s="9"/>
      <c r="AQ227" s="22">
        <v>0.53726200000000002</v>
      </c>
      <c r="AR227" s="22">
        <v>248.03</v>
      </c>
      <c r="AS227" s="22">
        <v>-1.1514299999999999E-3</v>
      </c>
      <c r="AT227" s="22">
        <v>217</v>
      </c>
      <c r="AU227" s="22">
        <v>0.53652999999999995</v>
      </c>
      <c r="AV227">
        <f t="shared" si="44"/>
        <v>1.15143</v>
      </c>
      <c r="AW227">
        <f t="shared" si="45"/>
        <v>0.61861958466</v>
      </c>
      <c r="AX227" s="9"/>
      <c r="AY227" s="22">
        <v>0.99273699999999998</v>
      </c>
      <c r="AZ227" s="22">
        <v>297.19</v>
      </c>
      <c r="BA227" s="22">
        <v>-5.7647700000000004E-4</v>
      </c>
      <c r="BB227" s="22">
        <v>217</v>
      </c>
      <c r="BC227" s="22">
        <v>0.99182099999999995</v>
      </c>
      <c r="BD227">
        <f t="shared" si="46"/>
        <v>0.57647700000000002</v>
      </c>
      <c r="BE227">
        <f t="shared" si="47"/>
        <v>0.57229004754900004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0.53222700000000001</v>
      </c>
      <c r="H228" s="22">
        <v>51.507599999999996</v>
      </c>
      <c r="I228" s="22">
        <v>-1.5188599999999999E-3</v>
      </c>
      <c r="J228" s="22">
        <v>218</v>
      </c>
      <c r="K228" s="22">
        <v>0.531555</v>
      </c>
      <c r="L228">
        <f t="shared" si="36"/>
        <v>1.5188599999999999</v>
      </c>
      <c r="M228">
        <f t="shared" si="37"/>
        <v>0.80837830121999998</v>
      </c>
      <c r="N228" s="9"/>
      <c r="O228" s="22">
        <v>0.99777199999999999</v>
      </c>
      <c r="P228" s="22">
        <v>100.56699999999999</v>
      </c>
      <c r="Q228" s="22">
        <v>-7.9772899999999995E-4</v>
      </c>
      <c r="R228" s="22">
        <v>218</v>
      </c>
      <c r="S228" s="22">
        <v>0.99670400000000003</v>
      </c>
      <c r="T228">
        <f t="shared" si="38"/>
        <v>0.79772899999999991</v>
      </c>
      <c r="U228">
        <f t="shared" si="39"/>
        <v>0.79595165978799987</v>
      </c>
      <c r="X228" s="9"/>
      <c r="Y228" s="22">
        <v>0.53222700000000001</v>
      </c>
      <c r="Z228" s="22">
        <v>149.64599999999999</v>
      </c>
      <c r="AA228" s="22">
        <v>-1.2616000000000001E-3</v>
      </c>
      <c r="AB228" s="22">
        <v>218</v>
      </c>
      <c r="AC228" s="22">
        <v>0.531586</v>
      </c>
      <c r="AD228">
        <f t="shared" si="40"/>
        <v>1.2616000000000001</v>
      </c>
      <c r="AE228">
        <f t="shared" si="41"/>
        <v>0.67145758320000004</v>
      </c>
      <c r="AF228" s="9"/>
      <c r="AG228" s="22">
        <v>0.99777199999999999</v>
      </c>
      <c r="AH228" s="22">
        <v>198.89599999999999</v>
      </c>
      <c r="AI228" s="22">
        <v>-6.4453100000000005E-4</v>
      </c>
      <c r="AJ228" s="22">
        <v>218</v>
      </c>
      <c r="AK228" s="22">
        <v>0.99639900000000003</v>
      </c>
      <c r="AL228">
        <f t="shared" si="42"/>
        <v>0.64453100000000008</v>
      </c>
      <c r="AM228">
        <f t="shared" si="43"/>
        <v>0.64309498493200012</v>
      </c>
      <c r="AP228" s="9"/>
      <c r="AQ228" s="22">
        <v>0.53222700000000001</v>
      </c>
      <c r="AR228" s="22">
        <v>248.04</v>
      </c>
      <c r="AS228" s="22">
        <v>-1.15387E-3</v>
      </c>
      <c r="AT228" s="22">
        <v>218</v>
      </c>
      <c r="AU228" s="22">
        <v>0.53152500000000003</v>
      </c>
      <c r="AV228">
        <f t="shared" si="44"/>
        <v>1.15387</v>
      </c>
      <c r="AW228">
        <f t="shared" si="45"/>
        <v>0.61412076848999997</v>
      </c>
      <c r="AX228" s="9"/>
      <c r="AY228" s="22">
        <v>0.99777199999999999</v>
      </c>
      <c r="AZ228" s="22">
        <v>297.2</v>
      </c>
      <c r="BA228" s="22">
        <v>-5.7342500000000002E-4</v>
      </c>
      <c r="BB228" s="22">
        <v>218</v>
      </c>
      <c r="BC228" s="22">
        <v>0.99700900000000003</v>
      </c>
      <c r="BD228">
        <f t="shared" si="46"/>
        <v>0.57342500000000007</v>
      </c>
      <c r="BE228">
        <f t="shared" si="47"/>
        <v>0.57214740910000006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0.52719099999999997</v>
      </c>
      <c r="H229" s="22">
        <v>51.517699999999998</v>
      </c>
      <c r="I229" s="22">
        <v>-1.5197800000000001E-3</v>
      </c>
      <c r="J229" s="22">
        <v>219</v>
      </c>
      <c r="K229" s="22">
        <v>0.52661100000000005</v>
      </c>
      <c r="L229">
        <f t="shared" si="36"/>
        <v>1.5197800000000001</v>
      </c>
      <c r="M229">
        <f t="shared" si="37"/>
        <v>0.80121433797999997</v>
      </c>
      <c r="N229" s="9"/>
      <c r="O229" s="22">
        <v>1.00281</v>
      </c>
      <c r="P229" s="22">
        <v>100.577</v>
      </c>
      <c r="Q229" s="22">
        <v>-7.9254200000000003E-4</v>
      </c>
      <c r="R229" s="22">
        <v>219</v>
      </c>
      <c r="S229" s="22">
        <v>1.00159</v>
      </c>
      <c r="T229">
        <f t="shared" si="38"/>
        <v>0.79254200000000008</v>
      </c>
      <c r="U229">
        <f t="shared" si="39"/>
        <v>0.79476904302000007</v>
      </c>
      <c r="X229" s="9"/>
      <c r="Y229" s="22">
        <v>0.52719099999999997</v>
      </c>
      <c r="Z229" s="22">
        <v>149.65700000000001</v>
      </c>
      <c r="AA229" s="22">
        <v>-1.26465E-3</v>
      </c>
      <c r="AB229" s="22">
        <v>219</v>
      </c>
      <c r="AC229" s="22">
        <v>0.52639800000000003</v>
      </c>
      <c r="AD229">
        <f t="shared" si="40"/>
        <v>1.2646500000000001</v>
      </c>
      <c r="AE229">
        <f t="shared" si="41"/>
        <v>0.66671209814999999</v>
      </c>
      <c r="AF229" s="9"/>
      <c r="AG229" s="22">
        <v>1.00281</v>
      </c>
      <c r="AH229" s="22">
        <v>198.90600000000001</v>
      </c>
      <c r="AI229" s="22">
        <v>-6.4056400000000004E-4</v>
      </c>
      <c r="AJ229" s="22">
        <v>219</v>
      </c>
      <c r="AK229" s="22">
        <v>1.0012799999999999</v>
      </c>
      <c r="AL229">
        <f t="shared" si="42"/>
        <v>0.64056400000000002</v>
      </c>
      <c r="AM229">
        <f t="shared" si="43"/>
        <v>0.64236398484000001</v>
      </c>
      <c r="AP229" s="9"/>
      <c r="AQ229" s="22">
        <v>0.52719099999999997</v>
      </c>
      <c r="AR229" s="22">
        <v>248.05</v>
      </c>
      <c r="AS229" s="22">
        <v>-1.1569200000000001E-3</v>
      </c>
      <c r="AT229" s="22">
        <v>219</v>
      </c>
      <c r="AU229" s="22">
        <v>0.52654999999999996</v>
      </c>
      <c r="AV229">
        <f t="shared" si="44"/>
        <v>1.1569200000000002</v>
      </c>
      <c r="AW229">
        <f t="shared" si="45"/>
        <v>0.60991781172000004</v>
      </c>
      <c r="AX229" s="9"/>
      <c r="AY229" s="22">
        <v>1.00281</v>
      </c>
      <c r="AZ229" s="22">
        <v>297.20999999999998</v>
      </c>
      <c r="BA229" s="22">
        <v>-5.7037400000000001E-4</v>
      </c>
      <c r="BB229" s="22">
        <v>219</v>
      </c>
      <c r="BC229" s="22">
        <v>1.0012799999999999</v>
      </c>
      <c r="BD229">
        <f t="shared" si="46"/>
        <v>0.57037400000000005</v>
      </c>
      <c r="BE229">
        <f t="shared" si="47"/>
        <v>0.57197675094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0.52215599999999995</v>
      </c>
      <c r="H230" s="22">
        <v>51.527799999999999</v>
      </c>
      <c r="I230" s="22">
        <v>-1.5213E-3</v>
      </c>
      <c r="J230" s="22">
        <v>220</v>
      </c>
      <c r="K230" s="22">
        <v>0.52148399999999995</v>
      </c>
      <c r="L230">
        <f t="shared" si="36"/>
        <v>1.5212999999999999</v>
      </c>
      <c r="M230">
        <f t="shared" si="37"/>
        <v>0.79435592279999989</v>
      </c>
      <c r="N230" s="9"/>
      <c r="O230" s="22">
        <v>1.0078400000000001</v>
      </c>
      <c r="P230" s="22">
        <v>100.587</v>
      </c>
      <c r="Q230" s="22">
        <v>-7.9009999999999996E-4</v>
      </c>
      <c r="R230" s="22">
        <v>220</v>
      </c>
      <c r="S230" s="22">
        <v>1.00708</v>
      </c>
      <c r="T230">
        <f t="shared" si="38"/>
        <v>0.79009999999999991</v>
      </c>
      <c r="U230">
        <f t="shared" si="39"/>
        <v>0.79629438399999997</v>
      </c>
      <c r="X230" s="9"/>
      <c r="Y230" s="22">
        <v>0.52215599999999995</v>
      </c>
      <c r="Z230" s="22">
        <v>149.667</v>
      </c>
      <c r="AA230" s="22">
        <v>-1.26801E-3</v>
      </c>
      <c r="AB230" s="22">
        <v>220</v>
      </c>
      <c r="AC230" s="22">
        <v>0.52151499999999995</v>
      </c>
      <c r="AD230">
        <f t="shared" si="40"/>
        <v>1.2680099999999999</v>
      </c>
      <c r="AE230">
        <f t="shared" si="41"/>
        <v>0.66209902955999989</v>
      </c>
      <c r="AF230" s="9"/>
      <c r="AG230" s="22">
        <v>1.0078400000000001</v>
      </c>
      <c r="AH230" s="22">
        <v>198.916</v>
      </c>
      <c r="AI230" s="22">
        <v>-6.3781700000000005E-4</v>
      </c>
      <c r="AJ230" s="22">
        <v>220</v>
      </c>
      <c r="AK230" s="22">
        <v>1.0067699999999999</v>
      </c>
      <c r="AL230">
        <f t="shared" si="42"/>
        <v>0.63781700000000008</v>
      </c>
      <c r="AM230">
        <f t="shared" si="43"/>
        <v>0.64281748528000016</v>
      </c>
      <c r="AP230" s="9"/>
      <c r="AQ230" s="22">
        <v>0.52215599999999995</v>
      </c>
      <c r="AR230" s="22">
        <v>248.06</v>
      </c>
      <c r="AS230" s="22">
        <v>-1.1593599999999999E-3</v>
      </c>
      <c r="AT230" s="22">
        <v>220</v>
      </c>
      <c r="AU230" s="22">
        <v>0.52154500000000004</v>
      </c>
      <c r="AV230">
        <f t="shared" si="44"/>
        <v>1.1593599999999999</v>
      </c>
      <c r="AW230">
        <f t="shared" si="45"/>
        <v>0.6053667801599999</v>
      </c>
      <c r="AX230" s="9"/>
      <c r="AY230" s="22">
        <v>1.0078400000000001</v>
      </c>
      <c r="AZ230" s="22">
        <v>297.22000000000003</v>
      </c>
      <c r="BA230" s="22">
        <v>-5.6701699999999996E-4</v>
      </c>
      <c r="BB230" s="22">
        <v>220</v>
      </c>
      <c r="BC230" s="22">
        <v>1.0067699999999999</v>
      </c>
      <c r="BD230">
        <f t="shared" si="46"/>
        <v>0.56701699999999999</v>
      </c>
      <c r="BE230">
        <f t="shared" si="47"/>
        <v>0.57146241328000003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0.51712000000000002</v>
      </c>
      <c r="H231" s="22">
        <v>51.537799999999997</v>
      </c>
      <c r="I231" s="22">
        <v>-1.52374E-3</v>
      </c>
      <c r="J231" s="22">
        <v>221</v>
      </c>
      <c r="K231" s="22">
        <v>0.51641800000000004</v>
      </c>
      <c r="L231">
        <f t="shared" si="36"/>
        <v>1.5237400000000001</v>
      </c>
      <c r="M231">
        <f t="shared" si="37"/>
        <v>0.78795642880000005</v>
      </c>
      <c r="N231" s="9"/>
      <c r="O231" s="22">
        <v>1.01288</v>
      </c>
      <c r="P231" s="22">
        <v>100.59699999999999</v>
      </c>
      <c r="Q231" s="22">
        <v>-7.8704800000000004E-4</v>
      </c>
      <c r="R231" s="22">
        <v>221</v>
      </c>
      <c r="S231" s="22">
        <v>1.01074</v>
      </c>
      <c r="T231">
        <f t="shared" si="38"/>
        <v>0.78704800000000008</v>
      </c>
      <c r="U231">
        <f t="shared" si="39"/>
        <v>0.79718517824000013</v>
      </c>
      <c r="X231" s="9"/>
      <c r="Y231" s="22">
        <v>0.51712000000000002</v>
      </c>
      <c r="Z231" s="22">
        <v>149.67699999999999</v>
      </c>
      <c r="AA231" s="22">
        <v>-1.2716699999999999E-3</v>
      </c>
      <c r="AB231" s="22">
        <v>221</v>
      </c>
      <c r="AC231" s="22">
        <v>0.51647900000000002</v>
      </c>
      <c r="AD231">
        <f t="shared" si="40"/>
        <v>1.2716699999999999</v>
      </c>
      <c r="AE231">
        <f t="shared" si="41"/>
        <v>0.65760599040000001</v>
      </c>
      <c r="AF231" s="9"/>
      <c r="AG231" s="22">
        <v>1.01288</v>
      </c>
      <c r="AH231" s="22">
        <v>198.92599999999999</v>
      </c>
      <c r="AI231" s="22">
        <v>-6.3385000000000004E-4</v>
      </c>
      <c r="AJ231" s="22">
        <v>221</v>
      </c>
      <c r="AK231" s="22">
        <v>1.01135</v>
      </c>
      <c r="AL231">
        <f t="shared" si="42"/>
        <v>0.63385000000000002</v>
      </c>
      <c r="AM231">
        <f t="shared" si="43"/>
        <v>0.64201398799999998</v>
      </c>
      <c r="AP231" s="9"/>
      <c r="AQ231" s="22">
        <v>0.51712000000000002</v>
      </c>
      <c r="AR231" s="22">
        <v>248.07</v>
      </c>
      <c r="AS231" s="22">
        <v>-1.1621100000000001E-3</v>
      </c>
      <c r="AT231" s="22">
        <v>221</v>
      </c>
      <c r="AU231" s="22">
        <v>0.51654100000000003</v>
      </c>
      <c r="AV231">
        <f t="shared" si="44"/>
        <v>1.16211</v>
      </c>
      <c r="AW231">
        <f t="shared" si="45"/>
        <v>0.60095032319999997</v>
      </c>
      <c r="AX231" s="9"/>
      <c r="AY231" s="22">
        <v>1.01288</v>
      </c>
      <c r="AZ231" s="22">
        <v>297.23</v>
      </c>
      <c r="BA231" s="22">
        <v>-5.6304900000000004E-4</v>
      </c>
      <c r="BB231" s="22">
        <v>221</v>
      </c>
      <c r="BC231" s="22">
        <v>1.01135</v>
      </c>
      <c r="BD231">
        <f t="shared" si="46"/>
        <v>0.56304900000000002</v>
      </c>
      <c r="BE231">
        <f t="shared" si="47"/>
        <v>0.57030107112000006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0.51208500000000001</v>
      </c>
      <c r="H232" s="22">
        <v>51.547899999999998</v>
      </c>
      <c r="I232" s="22">
        <v>-1.5271E-3</v>
      </c>
      <c r="J232" s="22">
        <v>222</v>
      </c>
      <c r="K232" s="22">
        <v>0.51147500000000001</v>
      </c>
      <c r="L232">
        <f t="shared" si="36"/>
        <v>1.5270999999999999</v>
      </c>
      <c r="M232">
        <f t="shared" si="37"/>
        <v>0.78200500350000002</v>
      </c>
      <c r="N232" s="9"/>
      <c r="O232" s="22">
        <v>1.0179100000000001</v>
      </c>
      <c r="P232" s="22">
        <v>100.607</v>
      </c>
      <c r="Q232" s="22">
        <v>-7.8491200000000002E-4</v>
      </c>
      <c r="R232" s="22">
        <v>222</v>
      </c>
      <c r="S232" s="22">
        <v>1.01654</v>
      </c>
      <c r="T232">
        <f t="shared" si="38"/>
        <v>0.78491200000000005</v>
      </c>
      <c r="U232">
        <f t="shared" si="39"/>
        <v>0.79896977392000013</v>
      </c>
      <c r="X232" s="9"/>
      <c r="Y232" s="22">
        <v>0.51208500000000001</v>
      </c>
      <c r="Z232" s="22">
        <v>149.68700000000001</v>
      </c>
      <c r="AA232" s="22">
        <v>-1.2744099999999999E-3</v>
      </c>
      <c r="AB232" s="22">
        <v>222</v>
      </c>
      <c r="AC232" s="22">
        <v>0.51144400000000001</v>
      </c>
      <c r="AD232">
        <f t="shared" si="40"/>
        <v>1.2744099999999998</v>
      </c>
      <c r="AE232">
        <f t="shared" si="41"/>
        <v>0.65260624484999996</v>
      </c>
      <c r="AF232" s="9"/>
      <c r="AG232" s="22">
        <v>1.0179100000000001</v>
      </c>
      <c r="AH232" s="22">
        <v>198.93600000000001</v>
      </c>
      <c r="AI232" s="22">
        <v>-6.2988300000000003E-4</v>
      </c>
      <c r="AJ232" s="22">
        <v>222</v>
      </c>
      <c r="AK232" s="22">
        <v>1.01654</v>
      </c>
      <c r="AL232">
        <f t="shared" si="42"/>
        <v>0.62988300000000008</v>
      </c>
      <c r="AM232">
        <f t="shared" si="43"/>
        <v>0.64116420453000011</v>
      </c>
      <c r="AP232" s="9"/>
      <c r="AQ232" s="22">
        <v>0.51208500000000001</v>
      </c>
      <c r="AR232" s="22">
        <v>248.08099999999999</v>
      </c>
      <c r="AS232" s="22">
        <v>-1.1645500000000001E-3</v>
      </c>
      <c r="AT232" s="22">
        <v>222</v>
      </c>
      <c r="AU232" s="22">
        <v>0.51141400000000004</v>
      </c>
      <c r="AV232">
        <f t="shared" si="44"/>
        <v>1.1645500000000002</v>
      </c>
      <c r="AW232">
        <f t="shared" si="45"/>
        <v>0.59634858675000013</v>
      </c>
      <c r="AX232" s="9"/>
      <c r="AY232" s="22">
        <v>1.0179100000000001</v>
      </c>
      <c r="AZ232" s="22">
        <v>297.24</v>
      </c>
      <c r="BA232" s="22">
        <v>-5.5938699999999995E-4</v>
      </c>
      <c r="BB232" s="22">
        <v>222</v>
      </c>
      <c r="BC232" s="22">
        <v>1.01654</v>
      </c>
      <c r="BD232">
        <f t="shared" si="46"/>
        <v>0.55938699999999997</v>
      </c>
      <c r="BE232">
        <f t="shared" si="47"/>
        <v>0.56940562117000004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0.50705</v>
      </c>
      <c r="H233" s="22">
        <v>51.558</v>
      </c>
      <c r="I233" s="22">
        <v>-1.5298499999999999E-3</v>
      </c>
      <c r="J233" s="22">
        <v>223</v>
      </c>
      <c r="K233" s="22">
        <v>0.506409</v>
      </c>
      <c r="L233">
        <f t="shared" si="36"/>
        <v>1.5298499999999999</v>
      </c>
      <c r="M233">
        <f t="shared" si="37"/>
        <v>0.77571044249999999</v>
      </c>
      <c r="N233" s="9"/>
      <c r="O233" s="22">
        <v>1.02295</v>
      </c>
      <c r="P233" s="22">
        <v>100.617</v>
      </c>
      <c r="Q233" s="22">
        <v>-7.7911400000000002E-4</v>
      </c>
      <c r="R233" s="22">
        <v>223</v>
      </c>
      <c r="S233" s="22">
        <v>1.02173</v>
      </c>
      <c r="T233">
        <f t="shared" si="38"/>
        <v>0.77911399999999997</v>
      </c>
      <c r="U233">
        <f t="shared" si="39"/>
        <v>0.79699466630000004</v>
      </c>
      <c r="X233" s="9"/>
      <c r="Y233" s="22">
        <v>0.50705</v>
      </c>
      <c r="Z233" s="22">
        <v>149.697</v>
      </c>
      <c r="AA233" s="22">
        <v>-1.2768600000000001E-3</v>
      </c>
      <c r="AB233" s="22">
        <v>223</v>
      </c>
      <c r="AC233" s="22">
        <v>0.506409</v>
      </c>
      <c r="AD233">
        <f t="shared" si="40"/>
        <v>1.2768600000000001</v>
      </c>
      <c r="AE233">
        <f t="shared" si="41"/>
        <v>0.64743186300000011</v>
      </c>
      <c r="AF233" s="9"/>
      <c r="AG233" s="22">
        <v>1.02295</v>
      </c>
      <c r="AH233" s="22">
        <v>198.946</v>
      </c>
      <c r="AI233" s="22">
        <v>-6.2560999999999997E-4</v>
      </c>
      <c r="AJ233" s="22">
        <v>223</v>
      </c>
      <c r="AK233" s="22">
        <v>1.02173</v>
      </c>
      <c r="AL233">
        <f t="shared" si="42"/>
        <v>0.62561</v>
      </c>
      <c r="AM233">
        <f t="shared" si="43"/>
        <v>0.63996774950000002</v>
      </c>
      <c r="AP233" s="9"/>
      <c r="AQ233" s="22">
        <v>0.50705</v>
      </c>
      <c r="AR233" s="22">
        <v>248.09100000000001</v>
      </c>
      <c r="AS233" s="22">
        <v>-1.1673E-3</v>
      </c>
      <c r="AT233" s="22">
        <v>223</v>
      </c>
      <c r="AU233" s="22">
        <v>0.50643899999999997</v>
      </c>
      <c r="AV233">
        <f t="shared" si="44"/>
        <v>1.1673</v>
      </c>
      <c r="AW233">
        <f t="shared" si="45"/>
        <v>0.59187946499999999</v>
      </c>
      <c r="AX233" s="9"/>
      <c r="AY233" s="22">
        <v>1.02295</v>
      </c>
      <c r="AZ233" s="22">
        <v>297.25</v>
      </c>
      <c r="BA233" s="22">
        <v>-5.5603E-4</v>
      </c>
      <c r="BB233" s="22">
        <v>223</v>
      </c>
      <c r="BC233" s="22">
        <v>1.02173</v>
      </c>
      <c r="BD233">
        <f t="shared" si="46"/>
        <v>0.55603000000000002</v>
      </c>
      <c r="BE233">
        <f t="shared" si="47"/>
        <v>0.56879088850000004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0.50201399999999996</v>
      </c>
      <c r="H234" s="22">
        <v>51.567999999999998</v>
      </c>
      <c r="I234" s="22">
        <v>-1.5350299999999999E-3</v>
      </c>
      <c r="J234" s="22">
        <v>224</v>
      </c>
      <c r="K234" s="22">
        <v>0.50137299999999996</v>
      </c>
      <c r="L234">
        <f t="shared" si="36"/>
        <v>1.5350299999999999</v>
      </c>
      <c r="M234">
        <f t="shared" si="37"/>
        <v>0.77060655041999992</v>
      </c>
      <c r="N234" s="9"/>
      <c r="O234" s="22">
        <v>1.0279799999999999</v>
      </c>
      <c r="P234" s="22">
        <v>100.627</v>
      </c>
      <c r="Q234" s="22">
        <v>-7.7575699999999997E-4</v>
      </c>
      <c r="R234" s="22">
        <v>224</v>
      </c>
      <c r="S234" s="22">
        <v>1.0263100000000001</v>
      </c>
      <c r="T234">
        <f t="shared" si="38"/>
        <v>0.77575699999999992</v>
      </c>
      <c r="U234">
        <f t="shared" si="39"/>
        <v>0.79746268085999983</v>
      </c>
      <c r="X234" s="9"/>
      <c r="Y234" s="22">
        <v>0.50201399999999996</v>
      </c>
      <c r="Z234" s="22">
        <v>149.70699999999999</v>
      </c>
      <c r="AA234" s="22">
        <v>-1.27991E-3</v>
      </c>
      <c r="AB234" s="22">
        <v>224</v>
      </c>
      <c r="AC234" s="22">
        <v>0.50137299999999996</v>
      </c>
      <c r="AD234">
        <f t="shared" si="40"/>
        <v>1.2799099999999999</v>
      </c>
      <c r="AE234">
        <f t="shared" si="41"/>
        <v>0.64253273873999994</v>
      </c>
      <c r="AF234" s="9"/>
      <c r="AG234" s="22">
        <v>1.0279799999999999</v>
      </c>
      <c r="AH234" s="22">
        <v>198.95599999999999</v>
      </c>
      <c r="AI234" s="22">
        <v>-6.2225300000000002E-4</v>
      </c>
      <c r="AJ234" s="22">
        <v>224</v>
      </c>
      <c r="AK234" s="22">
        <v>1.02722</v>
      </c>
      <c r="AL234">
        <f t="shared" si="42"/>
        <v>0.62225300000000006</v>
      </c>
      <c r="AM234">
        <f t="shared" si="43"/>
        <v>0.63966363894</v>
      </c>
      <c r="AP234" s="9"/>
      <c r="AQ234" s="22">
        <v>0.50201399999999996</v>
      </c>
      <c r="AR234" s="22">
        <v>248.101</v>
      </c>
      <c r="AS234" s="22">
        <v>-1.17004E-3</v>
      </c>
      <c r="AT234" s="22">
        <v>224</v>
      </c>
      <c r="AU234" s="22">
        <v>0.50131199999999998</v>
      </c>
      <c r="AV234">
        <f t="shared" si="44"/>
        <v>1.17004</v>
      </c>
      <c r="AW234">
        <f t="shared" si="45"/>
        <v>0.58737646055999992</v>
      </c>
      <c r="AX234" s="9"/>
      <c r="AY234" s="22">
        <v>1.0279799999999999</v>
      </c>
      <c r="AZ234" s="22">
        <v>297.26</v>
      </c>
      <c r="BA234" s="22">
        <v>-5.5297899999999999E-4</v>
      </c>
      <c r="BB234" s="22">
        <v>224</v>
      </c>
      <c r="BC234" s="22">
        <v>1.02661</v>
      </c>
      <c r="BD234">
        <f t="shared" si="46"/>
        <v>0.552979</v>
      </c>
      <c r="BE234">
        <f t="shared" si="47"/>
        <v>0.56845135241999989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0.496979</v>
      </c>
      <c r="H235" s="22">
        <v>51.578099999999999</v>
      </c>
      <c r="I235" s="22">
        <v>-1.53809E-3</v>
      </c>
      <c r="J235" s="22">
        <v>225</v>
      </c>
      <c r="K235" s="22">
        <v>0.49636799999999998</v>
      </c>
      <c r="L235">
        <f t="shared" si="36"/>
        <v>1.53809</v>
      </c>
      <c r="M235">
        <f t="shared" si="37"/>
        <v>0.76439843010999997</v>
      </c>
      <c r="N235" s="9"/>
      <c r="O235" s="22">
        <v>1.03302</v>
      </c>
      <c r="P235" s="22">
        <v>100.63800000000001</v>
      </c>
      <c r="Q235" s="22">
        <v>-7.7117899999999998E-4</v>
      </c>
      <c r="R235" s="22">
        <v>225</v>
      </c>
      <c r="S235" s="22">
        <v>1.03149</v>
      </c>
      <c r="T235">
        <f t="shared" si="38"/>
        <v>0.77117899999999995</v>
      </c>
      <c r="U235">
        <f t="shared" si="39"/>
        <v>0.79664333058000003</v>
      </c>
      <c r="X235" s="9"/>
      <c r="Y235" s="22">
        <v>0.496979</v>
      </c>
      <c r="Z235" s="22">
        <v>149.71700000000001</v>
      </c>
      <c r="AA235" s="22">
        <v>-1.28174E-3</v>
      </c>
      <c r="AB235" s="22">
        <v>225</v>
      </c>
      <c r="AC235" s="22">
        <v>0.496338</v>
      </c>
      <c r="AD235">
        <f t="shared" si="40"/>
        <v>1.2817399999999999</v>
      </c>
      <c r="AE235">
        <f t="shared" si="41"/>
        <v>0.63699786345999998</v>
      </c>
      <c r="AF235" s="9"/>
      <c r="AG235" s="22">
        <v>1.03302</v>
      </c>
      <c r="AH235" s="22">
        <v>198.96600000000001</v>
      </c>
      <c r="AI235" s="22">
        <v>-6.1828600000000001E-4</v>
      </c>
      <c r="AJ235" s="22">
        <v>225</v>
      </c>
      <c r="AK235" s="22">
        <v>1.0321</v>
      </c>
      <c r="AL235">
        <f t="shared" si="42"/>
        <v>0.618286</v>
      </c>
      <c r="AM235">
        <f t="shared" si="43"/>
        <v>0.63870180372000007</v>
      </c>
      <c r="AP235" s="9"/>
      <c r="AQ235" s="22">
        <v>0.496979</v>
      </c>
      <c r="AR235" s="22">
        <v>248.11099999999999</v>
      </c>
      <c r="AS235" s="22">
        <v>-1.1727899999999999E-3</v>
      </c>
      <c r="AT235" s="22">
        <v>225</v>
      </c>
      <c r="AU235" s="22">
        <v>0.49639899999999998</v>
      </c>
      <c r="AV235">
        <f t="shared" si="44"/>
        <v>1.17279</v>
      </c>
      <c r="AW235">
        <f t="shared" si="45"/>
        <v>0.58285200141000004</v>
      </c>
      <c r="AX235" s="9"/>
      <c r="AY235" s="22">
        <v>1.03302</v>
      </c>
      <c r="AZ235" s="22">
        <v>297.27</v>
      </c>
      <c r="BA235" s="22">
        <v>-5.4992699999999997E-4</v>
      </c>
      <c r="BB235" s="22">
        <v>225</v>
      </c>
      <c r="BC235" s="22">
        <v>1.0318000000000001</v>
      </c>
      <c r="BD235">
        <f t="shared" si="46"/>
        <v>0.54992699999999994</v>
      </c>
      <c r="BE235">
        <f t="shared" si="47"/>
        <v>0.56808558953999999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0.49194300000000002</v>
      </c>
      <c r="H236" s="22">
        <v>51.588200000000001</v>
      </c>
      <c r="I236" s="22">
        <v>-1.54144E-3</v>
      </c>
      <c r="J236" s="22">
        <v>226</v>
      </c>
      <c r="K236" s="22">
        <v>0.49130200000000002</v>
      </c>
      <c r="L236">
        <f t="shared" si="36"/>
        <v>1.5414400000000001</v>
      </c>
      <c r="M236">
        <f t="shared" si="37"/>
        <v>0.75830061792000014</v>
      </c>
      <c r="N236" s="9"/>
      <c r="O236" s="22">
        <v>1.03806</v>
      </c>
      <c r="P236" s="22">
        <v>100.648</v>
      </c>
      <c r="Q236" s="22">
        <v>-7.67517E-4</v>
      </c>
      <c r="R236" s="22">
        <v>226</v>
      </c>
      <c r="S236" s="22">
        <v>1.0363800000000001</v>
      </c>
      <c r="T236">
        <f t="shared" si="38"/>
        <v>0.767517</v>
      </c>
      <c r="U236">
        <f t="shared" si="39"/>
        <v>0.79672869702000004</v>
      </c>
      <c r="X236" s="9"/>
      <c r="Y236" s="22">
        <v>0.49194300000000002</v>
      </c>
      <c r="Z236" s="22">
        <v>149.727</v>
      </c>
      <c r="AA236" s="22">
        <v>-1.2847900000000001E-3</v>
      </c>
      <c r="AB236" s="22">
        <v>226</v>
      </c>
      <c r="AC236" s="22">
        <v>0.49136400000000002</v>
      </c>
      <c r="AD236">
        <f t="shared" si="40"/>
        <v>1.2847900000000001</v>
      </c>
      <c r="AE236">
        <f t="shared" si="41"/>
        <v>0.63204344697000003</v>
      </c>
      <c r="AF236" s="9"/>
      <c r="AG236" s="22">
        <v>1.03806</v>
      </c>
      <c r="AH236" s="22">
        <v>198.976</v>
      </c>
      <c r="AI236" s="22">
        <v>-6.1492899999999995E-4</v>
      </c>
      <c r="AJ236" s="22">
        <v>226</v>
      </c>
      <c r="AK236" s="22">
        <v>1.0369900000000001</v>
      </c>
      <c r="AL236">
        <f t="shared" si="42"/>
        <v>0.61492899999999995</v>
      </c>
      <c r="AM236">
        <f t="shared" si="43"/>
        <v>0.63833319773999997</v>
      </c>
      <c r="AP236" s="9"/>
      <c r="AQ236" s="22">
        <v>0.49194300000000002</v>
      </c>
      <c r="AR236" s="22">
        <v>248.12100000000001</v>
      </c>
      <c r="AS236" s="22">
        <v>-1.17523E-3</v>
      </c>
      <c r="AT236" s="22">
        <v>226</v>
      </c>
      <c r="AU236" s="22">
        <v>0.49133300000000002</v>
      </c>
      <c r="AV236">
        <f t="shared" si="44"/>
        <v>1.17523</v>
      </c>
      <c r="AW236">
        <f t="shared" si="45"/>
        <v>0.57814617189000006</v>
      </c>
      <c r="AX236" s="9"/>
      <c r="AY236" s="22">
        <v>1.03806</v>
      </c>
      <c r="AZ236" s="22">
        <v>297.27999999999997</v>
      </c>
      <c r="BA236" s="22">
        <v>-5.4748500000000001E-4</v>
      </c>
      <c r="BB236" s="22">
        <v>226</v>
      </c>
      <c r="BC236" s="22">
        <v>1.03729</v>
      </c>
      <c r="BD236">
        <f t="shared" si="46"/>
        <v>0.547485</v>
      </c>
      <c r="BE236">
        <f t="shared" si="47"/>
        <v>0.56832227909999999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0.48690800000000001</v>
      </c>
      <c r="H237" s="22">
        <v>51.598300000000002</v>
      </c>
      <c r="I237" s="22">
        <v>-1.5438800000000001E-3</v>
      </c>
      <c r="J237" s="22">
        <v>227</v>
      </c>
      <c r="K237" s="22">
        <v>0.48620600000000003</v>
      </c>
      <c r="L237">
        <f t="shared" si="36"/>
        <v>1.5438800000000001</v>
      </c>
      <c r="M237">
        <f t="shared" si="37"/>
        <v>0.75172752304000012</v>
      </c>
      <c r="N237" s="9"/>
      <c r="O237" s="22">
        <v>1.0430900000000001</v>
      </c>
      <c r="P237" s="22">
        <v>100.658</v>
      </c>
      <c r="Q237" s="22">
        <v>-7.6415999999999995E-4</v>
      </c>
      <c r="R237" s="22">
        <v>227</v>
      </c>
      <c r="S237" s="22">
        <v>1.04156</v>
      </c>
      <c r="T237">
        <f t="shared" si="38"/>
        <v>0.76415999999999995</v>
      </c>
      <c r="U237">
        <f t="shared" si="39"/>
        <v>0.79708765439999996</v>
      </c>
      <c r="X237" s="9"/>
      <c r="Y237" s="22">
        <v>0.48690800000000001</v>
      </c>
      <c r="Z237" s="22">
        <v>149.73699999999999</v>
      </c>
      <c r="AA237" s="22">
        <v>-1.2878399999999999E-3</v>
      </c>
      <c r="AB237" s="22">
        <v>227</v>
      </c>
      <c r="AC237" s="22">
        <v>0.48632799999999998</v>
      </c>
      <c r="AD237">
        <f t="shared" si="40"/>
        <v>1.2878399999999999</v>
      </c>
      <c r="AE237">
        <f t="shared" si="41"/>
        <v>0.62705959871999994</v>
      </c>
      <c r="AF237" s="9"/>
      <c r="AG237" s="22">
        <v>1.0430900000000001</v>
      </c>
      <c r="AH237" s="22">
        <v>198.98699999999999</v>
      </c>
      <c r="AI237" s="22">
        <v>-6.1126699999999997E-4</v>
      </c>
      <c r="AJ237" s="22">
        <v>227</v>
      </c>
      <c r="AK237" s="22">
        <v>1.04156</v>
      </c>
      <c r="AL237">
        <f t="shared" si="42"/>
        <v>0.611267</v>
      </c>
      <c r="AM237">
        <f t="shared" si="43"/>
        <v>0.63760649503</v>
      </c>
      <c r="AP237" s="9"/>
      <c r="AQ237" s="22">
        <v>0.48690800000000001</v>
      </c>
      <c r="AR237" s="22">
        <v>248.131</v>
      </c>
      <c r="AS237" s="22">
        <v>-1.1782800000000001E-3</v>
      </c>
      <c r="AT237" s="22">
        <v>227</v>
      </c>
      <c r="AU237" s="22">
        <v>0.48632799999999998</v>
      </c>
      <c r="AV237">
        <f t="shared" si="44"/>
        <v>1.17828</v>
      </c>
      <c r="AW237">
        <f t="shared" si="45"/>
        <v>0.57371395824000004</v>
      </c>
      <c r="AX237" s="9"/>
      <c r="AY237" s="22">
        <v>1.0430900000000001</v>
      </c>
      <c r="AZ237" s="22">
        <v>297.29000000000002</v>
      </c>
      <c r="BA237" s="22">
        <v>-5.44434E-4</v>
      </c>
      <c r="BB237" s="22">
        <v>227</v>
      </c>
      <c r="BC237" s="22">
        <v>1.0418700000000001</v>
      </c>
      <c r="BD237">
        <f t="shared" si="46"/>
        <v>0.54443399999999997</v>
      </c>
      <c r="BE237">
        <f t="shared" si="47"/>
        <v>0.56789366106000005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0.481873</v>
      </c>
      <c r="H238" s="22">
        <v>51.6083</v>
      </c>
      <c r="I238" s="22">
        <v>-1.54755E-3</v>
      </c>
      <c r="J238" s="22">
        <v>228</v>
      </c>
      <c r="K238" s="22">
        <v>0.48120099999999999</v>
      </c>
      <c r="L238">
        <f t="shared" si="36"/>
        <v>1.54755</v>
      </c>
      <c r="M238">
        <f t="shared" si="37"/>
        <v>0.74572256115000002</v>
      </c>
      <c r="N238" s="9"/>
      <c r="O238" s="22">
        <v>1.04813</v>
      </c>
      <c r="P238" s="22">
        <v>100.66800000000001</v>
      </c>
      <c r="Q238" s="22">
        <v>-7.5897200000000001E-4</v>
      </c>
      <c r="R238" s="22">
        <v>228</v>
      </c>
      <c r="S238" s="22">
        <v>1.0470600000000001</v>
      </c>
      <c r="T238">
        <f t="shared" si="38"/>
        <v>0.75897199999999998</v>
      </c>
      <c r="U238">
        <f t="shared" si="39"/>
        <v>0.79550132235999993</v>
      </c>
      <c r="X238" s="9"/>
      <c r="Y238" s="22">
        <v>0.481873</v>
      </c>
      <c r="Z238" s="22">
        <v>149.74700000000001</v>
      </c>
      <c r="AA238" s="22">
        <v>-1.2905900000000001E-3</v>
      </c>
      <c r="AB238" s="22">
        <v>228</v>
      </c>
      <c r="AC238" s="22">
        <v>0.48126200000000002</v>
      </c>
      <c r="AD238">
        <f t="shared" si="40"/>
        <v>1.2905900000000001</v>
      </c>
      <c r="AE238">
        <f t="shared" si="41"/>
        <v>0.62190047507000001</v>
      </c>
      <c r="AF238" s="9"/>
      <c r="AG238" s="22">
        <v>1.04813</v>
      </c>
      <c r="AH238" s="22">
        <v>198.99700000000001</v>
      </c>
      <c r="AI238" s="22">
        <v>-6.0699500000000004E-4</v>
      </c>
      <c r="AJ238" s="22">
        <v>228</v>
      </c>
      <c r="AK238" s="22">
        <v>1.0473600000000001</v>
      </c>
      <c r="AL238">
        <f t="shared" si="42"/>
        <v>0.60699500000000006</v>
      </c>
      <c r="AM238">
        <f t="shared" si="43"/>
        <v>0.63620966935000012</v>
      </c>
      <c r="AP238" s="9"/>
      <c r="AQ238" s="22">
        <v>0.481873</v>
      </c>
      <c r="AR238" s="22">
        <v>248.14099999999999</v>
      </c>
      <c r="AS238" s="22">
        <v>-1.1807300000000001E-3</v>
      </c>
      <c r="AT238" s="22">
        <v>228</v>
      </c>
      <c r="AU238" s="22">
        <v>0.48126200000000002</v>
      </c>
      <c r="AV238">
        <f t="shared" si="44"/>
        <v>1.1807300000000001</v>
      </c>
      <c r="AW238">
        <f t="shared" si="45"/>
        <v>0.56896190729000007</v>
      </c>
      <c r="AX238" s="9"/>
      <c r="AY238" s="22">
        <v>1.04813</v>
      </c>
      <c r="AZ238" s="22">
        <v>297.3</v>
      </c>
      <c r="BA238" s="22">
        <v>-5.4168700000000001E-4</v>
      </c>
      <c r="BB238" s="22">
        <v>228</v>
      </c>
      <c r="BC238" s="22">
        <v>1.0467500000000001</v>
      </c>
      <c r="BD238">
        <f t="shared" si="46"/>
        <v>0.54168700000000003</v>
      </c>
      <c r="BE238">
        <f t="shared" si="47"/>
        <v>0.56775839531000005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0.47683700000000001</v>
      </c>
      <c r="H239" s="22">
        <v>51.618400000000001</v>
      </c>
      <c r="I239" s="22">
        <v>-1.5496799999999999E-3</v>
      </c>
      <c r="J239" s="22">
        <v>229</v>
      </c>
      <c r="K239" s="22">
        <v>0.47622700000000001</v>
      </c>
      <c r="L239">
        <f t="shared" si="36"/>
        <v>1.5496799999999999</v>
      </c>
      <c r="M239">
        <f t="shared" si="37"/>
        <v>0.73894476216000005</v>
      </c>
      <c r="N239" s="9"/>
      <c r="O239" s="22">
        <v>1.0531600000000001</v>
      </c>
      <c r="P239" s="22">
        <v>100.678</v>
      </c>
      <c r="Q239" s="22">
        <v>-7.5347900000000004E-4</v>
      </c>
      <c r="R239" s="22">
        <v>229</v>
      </c>
      <c r="S239" s="22">
        <v>1.0516399999999999</v>
      </c>
      <c r="T239">
        <f t="shared" si="38"/>
        <v>0.75347900000000001</v>
      </c>
      <c r="U239">
        <f t="shared" si="39"/>
        <v>0.79353394364000007</v>
      </c>
      <c r="X239" s="9"/>
      <c r="Y239" s="22">
        <v>0.47683700000000001</v>
      </c>
      <c r="Z239" s="22">
        <v>149.75700000000001</v>
      </c>
      <c r="AA239" s="22">
        <v>-1.2939500000000001E-3</v>
      </c>
      <c r="AB239" s="22">
        <v>229</v>
      </c>
      <c r="AC239" s="22">
        <v>0.47616599999999998</v>
      </c>
      <c r="AD239">
        <f t="shared" si="40"/>
        <v>1.2939500000000002</v>
      </c>
      <c r="AE239">
        <f t="shared" si="41"/>
        <v>0.61700323615000008</v>
      </c>
      <c r="AF239" s="9"/>
      <c r="AG239" s="22">
        <v>1.0531600000000001</v>
      </c>
      <c r="AH239" s="22">
        <v>199.00700000000001</v>
      </c>
      <c r="AI239" s="22">
        <v>-6.0333299999999995E-4</v>
      </c>
      <c r="AJ239" s="22">
        <v>229</v>
      </c>
      <c r="AK239" s="22">
        <v>1.0519400000000001</v>
      </c>
      <c r="AL239">
        <f t="shared" si="42"/>
        <v>0.6033329999999999</v>
      </c>
      <c r="AM239">
        <f t="shared" si="43"/>
        <v>0.6354061822799999</v>
      </c>
      <c r="AP239" s="9"/>
      <c r="AQ239" s="22">
        <v>0.47683700000000001</v>
      </c>
      <c r="AR239" s="22">
        <v>248.15100000000001</v>
      </c>
      <c r="AS239" s="22">
        <v>-1.1837799999999999E-3</v>
      </c>
      <c r="AT239" s="22">
        <v>229</v>
      </c>
      <c r="AU239" s="22">
        <v>0.47625699999999999</v>
      </c>
      <c r="AV239">
        <f t="shared" si="44"/>
        <v>1.1837800000000001</v>
      </c>
      <c r="AW239">
        <f t="shared" si="45"/>
        <v>0.56447010386000007</v>
      </c>
      <c r="AX239" s="9"/>
      <c r="AY239" s="22">
        <v>1.0531600000000001</v>
      </c>
      <c r="AZ239" s="22">
        <v>297.31</v>
      </c>
      <c r="BA239" s="22">
        <v>-5.3710900000000002E-4</v>
      </c>
      <c r="BB239" s="22">
        <v>229</v>
      </c>
      <c r="BC239" s="22">
        <v>1.0519400000000001</v>
      </c>
      <c r="BD239">
        <f t="shared" si="46"/>
        <v>0.53710900000000006</v>
      </c>
      <c r="BE239">
        <f t="shared" si="47"/>
        <v>0.56566171444000013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0.471802</v>
      </c>
      <c r="H240" s="22">
        <v>51.628500000000003</v>
      </c>
      <c r="I240" s="22">
        <v>-1.5515100000000001E-3</v>
      </c>
      <c r="J240" s="22">
        <v>230</v>
      </c>
      <c r="K240" s="22">
        <v>0.47122199999999997</v>
      </c>
      <c r="L240">
        <f t="shared" si="36"/>
        <v>1.5515100000000002</v>
      </c>
      <c r="M240">
        <f t="shared" si="37"/>
        <v>0.73200552102000005</v>
      </c>
      <c r="N240" s="9"/>
      <c r="O240" s="22">
        <v>1.0582</v>
      </c>
      <c r="P240" s="22">
        <v>100.688</v>
      </c>
      <c r="Q240" s="22">
        <v>-7.4768100000000004E-4</v>
      </c>
      <c r="R240" s="22">
        <v>230</v>
      </c>
      <c r="S240" s="22">
        <v>1.0571299999999999</v>
      </c>
      <c r="T240">
        <f t="shared" si="38"/>
        <v>0.74768100000000004</v>
      </c>
      <c r="U240">
        <f t="shared" si="39"/>
        <v>0.79119603420000006</v>
      </c>
      <c r="X240" s="9"/>
      <c r="Y240" s="22">
        <v>0.471802</v>
      </c>
      <c r="Z240" s="22">
        <v>149.767</v>
      </c>
      <c r="AA240" s="22">
        <v>-1.2972999999999999E-3</v>
      </c>
      <c r="AB240" s="22">
        <v>230</v>
      </c>
      <c r="AC240" s="22">
        <v>0.471161</v>
      </c>
      <c r="AD240">
        <f t="shared" si="40"/>
        <v>1.2972999999999999</v>
      </c>
      <c r="AE240">
        <f t="shared" si="41"/>
        <v>0.6120687346</v>
      </c>
      <c r="AF240" s="9"/>
      <c r="AG240" s="22">
        <v>1.0582</v>
      </c>
      <c r="AH240" s="22">
        <v>199.017</v>
      </c>
      <c r="AI240" s="22">
        <v>-5.9906E-4</v>
      </c>
      <c r="AJ240" s="22">
        <v>230</v>
      </c>
      <c r="AK240" s="22">
        <v>1.0571299999999999</v>
      </c>
      <c r="AL240">
        <f t="shared" si="42"/>
        <v>0.59906000000000004</v>
      </c>
      <c r="AM240">
        <f t="shared" si="43"/>
        <v>0.63392529200000003</v>
      </c>
      <c r="AP240" s="9"/>
      <c r="AQ240" s="22">
        <v>0.471802</v>
      </c>
      <c r="AR240" s="22">
        <v>248.161</v>
      </c>
      <c r="AS240" s="22">
        <v>-1.1865199999999999E-3</v>
      </c>
      <c r="AT240" s="22">
        <v>230</v>
      </c>
      <c r="AU240" s="22">
        <v>0.47119100000000003</v>
      </c>
      <c r="AV240">
        <f t="shared" si="44"/>
        <v>1.18652</v>
      </c>
      <c r="AW240">
        <f t="shared" si="45"/>
        <v>0.55980250904000006</v>
      </c>
      <c r="AX240" s="9"/>
      <c r="AY240" s="22">
        <v>1.0582</v>
      </c>
      <c r="AZ240" s="22">
        <v>297.32100000000003</v>
      </c>
      <c r="BA240" s="22">
        <v>-5.3253199999999995E-4</v>
      </c>
      <c r="BB240" s="22">
        <v>230</v>
      </c>
      <c r="BC240" s="22">
        <v>1.0565199999999999</v>
      </c>
      <c r="BD240">
        <f t="shared" si="46"/>
        <v>0.53253199999999989</v>
      </c>
      <c r="BE240">
        <f t="shared" si="47"/>
        <v>0.56352536239999995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0.46676600000000001</v>
      </c>
      <c r="H241" s="22">
        <v>51.638500000000001</v>
      </c>
      <c r="I241" s="22">
        <v>-1.55426E-3</v>
      </c>
      <c r="J241" s="22">
        <v>231</v>
      </c>
      <c r="K241" s="22">
        <v>0.46621699999999999</v>
      </c>
      <c r="L241">
        <f t="shared" si="36"/>
        <v>1.55426</v>
      </c>
      <c r="M241">
        <f t="shared" si="37"/>
        <v>0.72547572315999997</v>
      </c>
      <c r="N241" s="9"/>
      <c r="O241" s="22">
        <v>1.0632299999999999</v>
      </c>
      <c r="P241" s="22">
        <v>100.69799999999999</v>
      </c>
      <c r="Q241" s="22">
        <v>-7.4310299999999995E-4</v>
      </c>
      <c r="R241" s="22">
        <v>231</v>
      </c>
      <c r="S241" s="22">
        <v>1.0620099999999999</v>
      </c>
      <c r="T241">
        <f t="shared" si="38"/>
        <v>0.74310299999999996</v>
      </c>
      <c r="U241">
        <f t="shared" si="39"/>
        <v>0.79008940268999983</v>
      </c>
      <c r="X241" s="9"/>
      <c r="Y241" s="22">
        <v>0.46676600000000001</v>
      </c>
      <c r="Z241" s="22">
        <v>149.77699999999999</v>
      </c>
      <c r="AA241" s="22">
        <v>-1.3009600000000001E-3</v>
      </c>
      <c r="AB241" s="22">
        <v>231</v>
      </c>
      <c r="AC241" s="22">
        <v>0.46609499999999998</v>
      </c>
      <c r="AD241">
        <f t="shared" si="40"/>
        <v>1.3009600000000001</v>
      </c>
      <c r="AE241">
        <f t="shared" si="41"/>
        <v>0.60724389536000012</v>
      </c>
      <c r="AF241" s="9"/>
      <c r="AG241" s="22">
        <v>1.0632299999999999</v>
      </c>
      <c r="AH241" s="22">
        <v>199.02699999999999</v>
      </c>
      <c r="AI241" s="22">
        <v>-5.9631300000000001E-4</v>
      </c>
      <c r="AJ241" s="22">
        <v>231</v>
      </c>
      <c r="AK241" s="22">
        <v>1.0620099999999999</v>
      </c>
      <c r="AL241">
        <f t="shared" si="42"/>
        <v>0.59631299999999998</v>
      </c>
      <c r="AM241">
        <f t="shared" si="43"/>
        <v>0.63401787098999995</v>
      </c>
      <c r="AP241" s="9"/>
      <c r="AQ241" s="22">
        <v>0.46676600000000001</v>
      </c>
      <c r="AR241" s="22">
        <v>248.17099999999999</v>
      </c>
      <c r="AS241" s="22">
        <v>-1.18896E-3</v>
      </c>
      <c r="AT241" s="22">
        <v>231</v>
      </c>
      <c r="AU241" s="22">
        <v>0.46618700000000002</v>
      </c>
      <c r="AV241">
        <f t="shared" si="44"/>
        <v>1.18896</v>
      </c>
      <c r="AW241">
        <f t="shared" si="45"/>
        <v>0.55496610336000007</v>
      </c>
      <c r="AX241" s="9"/>
      <c r="AY241" s="22">
        <v>1.0632299999999999</v>
      </c>
      <c r="AZ241" s="22">
        <v>297.33100000000002</v>
      </c>
      <c r="BA241" s="22">
        <v>-5.2886999999999997E-4</v>
      </c>
      <c r="BB241" s="22">
        <v>231</v>
      </c>
      <c r="BC241" s="22">
        <v>1.0617099999999999</v>
      </c>
      <c r="BD241">
        <f t="shared" si="46"/>
        <v>0.52886999999999995</v>
      </c>
      <c r="BE241">
        <f t="shared" si="47"/>
        <v>0.56231045009999991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0.461731</v>
      </c>
      <c r="H242" s="22">
        <v>51.648600000000002</v>
      </c>
      <c r="I242" s="22">
        <v>-1.5582300000000001E-3</v>
      </c>
      <c r="J242" s="22">
        <v>232</v>
      </c>
      <c r="K242" s="22">
        <v>0.46109</v>
      </c>
      <c r="L242">
        <f t="shared" si="36"/>
        <v>1.55823</v>
      </c>
      <c r="M242">
        <f t="shared" si="37"/>
        <v>0.71948309613000005</v>
      </c>
      <c r="N242" s="9"/>
      <c r="O242" s="22">
        <v>1.0682700000000001</v>
      </c>
      <c r="P242" s="22">
        <v>100.708</v>
      </c>
      <c r="Q242" s="22">
        <v>-7.40662E-4</v>
      </c>
      <c r="R242" s="22">
        <v>232</v>
      </c>
      <c r="S242" s="22">
        <v>1.0665899999999999</v>
      </c>
      <c r="T242">
        <f t="shared" si="38"/>
        <v>0.74066200000000004</v>
      </c>
      <c r="U242">
        <f t="shared" si="39"/>
        <v>0.79122699474000013</v>
      </c>
      <c r="X242" s="9"/>
      <c r="Y242" s="22">
        <v>0.461731</v>
      </c>
      <c r="Z242" s="22">
        <v>149.78700000000001</v>
      </c>
      <c r="AA242" s="22">
        <v>-1.3043200000000001E-3</v>
      </c>
      <c r="AB242" s="22">
        <v>232</v>
      </c>
      <c r="AC242" s="22">
        <v>0.461121</v>
      </c>
      <c r="AD242">
        <f t="shared" si="40"/>
        <v>1.3043200000000001</v>
      </c>
      <c r="AE242">
        <f t="shared" si="41"/>
        <v>0.60224497792000009</v>
      </c>
      <c r="AF242" s="9"/>
      <c r="AG242" s="22">
        <v>1.0682700000000001</v>
      </c>
      <c r="AH242" s="22">
        <v>199.03700000000001</v>
      </c>
      <c r="AI242" s="22">
        <v>-5.9265100000000003E-4</v>
      </c>
      <c r="AJ242" s="22">
        <v>232</v>
      </c>
      <c r="AK242" s="22">
        <v>1.0674999999999999</v>
      </c>
      <c r="AL242">
        <f t="shared" si="42"/>
        <v>0.59265100000000004</v>
      </c>
      <c r="AM242">
        <f t="shared" si="43"/>
        <v>0.63311128377000003</v>
      </c>
      <c r="AP242" s="9"/>
      <c r="AQ242" s="22">
        <v>0.461731</v>
      </c>
      <c r="AR242" s="22">
        <v>248.18100000000001</v>
      </c>
      <c r="AS242" s="22">
        <v>-1.19202E-3</v>
      </c>
      <c r="AT242" s="22">
        <v>232</v>
      </c>
      <c r="AU242" s="22">
        <v>0.461121</v>
      </c>
      <c r="AV242">
        <f t="shared" si="44"/>
        <v>1.1920200000000001</v>
      </c>
      <c r="AW242">
        <f t="shared" si="45"/>
        <v>0.55039258662000001</v>
      </c>
      <c r="AX242" s="9"/>
      <c r="AY242" s="22">
        <v>1.0682700000000001</v>
      </c>
      <c r="AZ242" s="22">
        <v>297.34100000000001</v>
      </c>
      <c r="BA242" s="22">
        <v>-5.2581800000000005E-4</v>
      </c>
      <c r="BB242" s="22">
        <v>232</v>
      </c>
      <c r="BC242" s="22">
        <v>1.0671999999999999</v>
      </c>
      <c r="BD242">
        <f t="shared" si="46"/>
        <v>0.52581800000000001</v>
      </c>
      <c r="BE242">
        <f t="shared" si="47"/>
        <v>0.56171559486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0.45669599999999999</v>
      </c>
      <c r="H243" s="22">
        <v>51.658700000000003</v>
      </c>
      <c r="I243" s="22">
        <v>-1.56036E-3</v>
      </c>
      <c r="J243" s="22">
        <v>233</v>
      </c>
      <c r="K243" s="22">
        <v>0.45611600000000002</v>
      </c>
      <c r="L243">
        <f t="shared" si="36"/>
        <v>1.56036</v>
      </c>
      <c r="M243">
        <f t="shared" si="37"/>
        <v>0.71261017055999998</v>
      </c>
      <c r="N243" s="9"/>
      <c r="O243" s="22">
        <v>1.0732999999999999</v>
      </c>
      <c r="P243" s="22">
        <v>100.718</v>
      </c>
      <c r="Q243" s="22">
        <v>-7.3638900000000005E-4</v>
      </c>
      <c r="R243" s="22">
        <v>233</v>
      </c>
      <c r="S243" s="22">
        <v>1.07239</v>
      </c>
      <c r="T243">
        <f t="shared" si="38"/>
        <v>0.73638900000000007</v>
      </c>
      <c r="U243">
        <f t="shared" si="39"/>
        <v>0.79036631369999999</v>
      </c>
      <c r="X243" s="9"/>
      <c r="Y243" s="22">
        <v>0.45669599999999999</v>
      </c>
      <c r="Z243" s="22">
        <v>149.798</v>
      </c>
      <c r="AA243" s="22">
        <v>-1.30737E-3</v>
      </c>
      <c r="AB243" s="22">
        <v>233</v>
      </c>
      <c r="AC243" s="22">
        <v>0.45605499999999999</v>
      </c>
      <c r="AD243">
        <f t="shared" si="40"/>
        <v>1.3073699999999999</v>
      </c>
      <c r="AE243">
        <f t="shared" si="41"/>
        <v>0.59707064952</v>
      </c>
      <c r="AF243" s="9"/>
      <c r="AG243" s="22">
        <v>1.0732999999999999</v>
      </c>
      <c r="AH243" s="22">
        <v>199.047</v>
      </c>
      <c r="AI243" s="22">
        <v>-5.8929399999999997E-4</v>
      </c>
      <c r="AJ243" s="22">
        <v>233</v>
      </c>
      <c r="AK243" s="22">
        <v>1.0720799999999999</v>
      </c>
      <c r="AL243">
        <f t="shared" si="42"/>
        <v>0.58929399999999998</v>
      </c>
      <c r="AM243">
        <f t="shared" si="43"/>
        <v>0.63248925019999991</v>
      </c>
      <c r="AP243" s="9"/>
      <c r="AQ243" s="22">
        <v>0.45669599999999999</v>
      </c>
      <c r="AR243" s="22">
        <v>248.191</v>
      </c>
      <c r="AS243" s="22">
        <v>-1.1950699999999999E-3</v>
      </c>
      <c r="AT243" s="22">
        <v>233</v>
      </c>
      <c r="AU243" s="22">
        <v>0.45611600000000002</v>
      </c>
      <c r="AV243">
        <f t="shared" si="44"/>
        <v>1.1950699999999999</v>
      </c>
      <c r="AW243">
        <f t="shared" si="45"/>
        <v>0.54578368871999994</v>
      </c>
      <c r="AX243" s="9"/>
      <c r="AY243" s="22">
        <v>1.0732999999999999</v>
      </c>
      <c r="AZ243" s="22">
        <v>297.351</v>
      </c>
      <c r="BA243" s="22">
        <v>-5.2215599999999997E-4</v>
      </c>
      <c r="BB243" s="22">
        <v>233</v>
      </c>
      <c r="BC243" s="22">
        <v>1.07178</v>
      </c>
      <c r="BD243">
        <f t="shared" si="46"/>
        <v>0.52215599999999995</v>
      </c>
      <c r="BE243">
        <f t="shared" si="47"/>
        <v>0.56043003479999987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0.45166000000000001</v>
      </c>
      <c r="H244" s="22">
        <v>51.668799999999997</v>
      </c>
      <c r="I244" s="22">
        <v>-1.56372E-3</v>
      </c>
      <c r="J244" s="22">
        <v>234</v>
      </c>
      <c r="K244" s="22">
        <v>0.45107999999999998</v>
      </c>
      <c r="L244">
        <f t="shared" si="36"/>
        <v>1.56372</v>
      </c>
      <c r="M244">
        <f t="shared" si="37"/>
        <v>0.70626977520000001</v>
      </c>
      <c r="N244" s="9"/>
      <c r="O244" s="22">
        <v>1.0783400000000001</v>
      </c>
      <c r="P244" s="22">
        <v>100.72799999999999</v>
      </c>
      <c r="Q244" s="22">
        <v>-7.3211700000000001E-4</v>
      </c>
      <c r="R244" s="22">
        <v>234</v>
      </c>
      <c r="S244" s="22">
        <v>1.07758</v>
      </c>
      <c r="T244">
        <f t="shared" si="38"/>
        <v>0.73211700000000002</v>
      </c>
      <c r="U244">
        <f t="shared" si="39"/>
        <v>0.78947104578000005</v>
      </c>
      <c r="X244" s="9"/>
      <c r="Y244" s="22">
        <v>0.45166000000000001</v>
      </c>
      <c r="Z244" s="22">
        <v>149.80799999999999</v>
      </c>
      <c r="AA244" s="22">
        <v>-1.31073E-3</v>
      </c>
      <c r="AB244" s="22">
        <v>234</v>
      </c>
      <c r="AC244" s="22">
        <v>0.451019</v>
      </c>
      <c r="AD244">
        <f t="shared" si="40"/>
        <v>1.31073</v>
      </c>
      <c r="AE244">
        <f t="shared" si="41"/>
        <v>0.59200431180000002</v>
      </c>
      <c r="AF244" s="9"/>
      <c r="AG244" s="22">
        <v>1.0783400000000001</v>
      </c>
      <c r="AH244" s="22">
        <v>199.05699999999999</v>
      </c>
      <c r="AI244" s="22">
        <v>-5.8563199999999999E-4</v>
      </c>
      <c r="AJ244" s="22">
        <v>234</v>
      </c>
      <c r="AK244" s="22">
        <v>1.07666</v>
      </c>
      <c r="AL244">
        <f t="shared" si="42"/>
        <v>0.58563200000000004</v>
      </c>
      <c r="AM244">
        <f t="shared" si="43"/>
        <v>0.63151041088000004</v>
      </c>
      <c r="AP244" s="9"/>
      <c r="AQ244" s="22">
        <v>0.45166000000000001</v>
      </c>
      <c r="AR244" s="22">
        <v>248.20099999999999</v>
      </c>
      <c r="AS244" s="22">
        <v>-1.19812E-3</v>
      </c>
      <c r="AT244" s="22">
        <v>234</v>
      </c>
      <c r="AU244" s="22">
        <v>0.45098899999999997</v>
      </c>
      <c r="AV244">
        <f t="shared" si="44"/>
        <v>1.1981200000000001</v>
      </c>
      <c r="AW244">
        <f t="shared" si="45"/>
        <v>0.54114287920000004</v>
      </c>
      <c r="AX244" s="9"/>
      <c r="AY244" s="22">
        <v>1.0783400000000001</v>
      </c>
      <c r="AZ244" s="22">
        <v>297.36099999999999</v>
      </c>
      <c r="BA244" s="22">
        <v>-5.1849399999999999E-4</v>
      </c>
      <c r="BB244" s="22">
        <v>234</v>
      </c>
      <c r="BC244" s="22">
        <v>1.07697</v>
      </c>
      <c r="BD244">
        <f t="shared" si="46"/>
        <v>0.51849400000000001</v>
      </c>
      <c r="BE244">
        <f t="shared" si="47"/>
        <v>0.55911281996000006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0.44662499999999999</v>
      </c>
      <c r="H245" s="22">
        <v>51.678800000000003</v>
      </c>
      <c r="I245" s="22">
        <v>-1.56708E-3</v>
      </c>
      <c r="J245" s="22">
        <v>235</v>
      </c>
      <c r="K245" s="22">
        <v>0.44601400000000002</v>
      </c>
      <c r="L245">
        <f t="shared" si="36"/>
        <v>1.56708</v>
      </c>
      <c r="M245">
        <f t="shared" si="37"/>
        <v>0.69989710500000002</v>
      </c>
      <c r="N245" s="9"/>
      <c r="O245" s="22">
        <v>1.0833699999999999</v>
      </c>
      <c r="P245" s="22">
        <v>100.738</v>
      </c>
      <c r="Q245" s="22">
        <v>-7.27234E-4</v>
      </c>
      <c r="R245" s="22">
        <v>235</v>
      </c>
      <c r="S245" s="22">
        <v>1.0821499999999999</v>
      </c>
      <c r="T245">
        <f t="shared" si="38"/>
        <v>0.72723400000000005</v>
      </c>
      <c r="U245">
        <f t="shared" si="39"/>
        <v>0.78786349858000004</v>
      </c>
      <c r="X245" s="9"/>
      <c r="Y245" s="22">
        <v>0.44662499999999999</v>
      </c>
      <c r="Z245" s="22">
        <v>149.81800000000001</v>
      </c>
      <c r="AA245" s="22">
        <v>-1.31409E-3</v>
      </c>
      <c r="AB245" s="22">
        <v>235</v>
      </c>
      <c r="AC245" s="22">
        <v>0.44604500000000002</v>
      </c>
      <c r="AD245">
        <f t="shared" si="40"/>
        <v>1.31409</v>
      </c>
      <c r="AE245">
        <f t="shared" si="41"/>
        <v>0.58690544624999996</v>
      </c>
      <c r="AF245" s="9"/>
      <c r="AG245" s="22">
        <v>1.0833699999999999</v>
      </c>
      <c r="AH245" s="22">
        <v>199.06700000000001</v>
      </c>
      <c r="AI245" s="22">
        <v>-5.8105500000000003E-4</v>
      </c>
      <c r="AJ245" s="22">
        <v>235</v>
      </c>
      <c r="AK245" s="22">
        <v>1.0827599999999999</v>
      </c>
      <c r="AL245">
        <f t="shared" si="42"/>
        <v>0.58105499999999999</v>
      </c>
      <c r="AM245">
        <f t="shared" si="43"/>
        <v>0.62949755534999996</v>
      </c>
      <c r="AP245" s="9"/>
      <c r="AQ245" s="22">
        <v>0.44662499999999999</v>
      </c>
      <c r="AR245" s="22">
        <v>248.21100000000001</v>
      </c>
      <c r="AS245" s="22">
        <v>-1.2008699999999999E-3</v>
      </c>
      <c r="AT245" s="22">
        <v>235</v>
      </c>
      <c r="AU245" s="22">
        <v>0.446075</v>
      </c>
      <c r="AV245">
        <f t="shared" si="44"/>
        <v>1.2008699999999999</v>
      </c>
      <c r="AW245">
        <f t="shared" si="45"/>
        <v>0.53633856374999989</v>
      </c>
      <c r="AX245" s="9"/>
      <c r="AY245" s="22">
        <v>1.0833699999999999</v>
      </c>
      <c r="AZ245" s="22">
        <v>297.37099999999998</v>
      </c>
      <c r="BA245" s="22">
        <v>-5.1452599999999996E-4</v>
      </c>
      <c r="BB245" s="22">
        <v>235</v>
      </c>
      <c r="BC245" s="22">
        <v>1.0821499999999999</v>
      </c>
      <c r="BD245">
        <f t="shared" si="46"/>
        <v>0.51452599999999993</v>
      </c>
      <c r="BE245">
        <f t="shared" si="47"/>
        <v>0.5574220326199999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0.44158900000000001</v>
      </c>
      <c r="H246" s="22">
        <v>51.688899999999997</v>
      </c>
      <c r="I246" s="22">
        <v>-1.57043E-3</v>
      </c>
      <c r="J246" s="22">
        <v>236</v>
      </c>
      <c r="K246" s="22">
        <v>0.44094800000000001</v>
      </c>
      <c r="L246">
        <f t="shared" si="36"/>
        <v>1.57043</v>
      </c>
      <c r="M246">
        <f t="shared" si="37"/>
        <v>0.69348461326999999</v>
      </c>
      <c r="N246" s="9"/>
      <c r="O246" s="22">
        <v>1.0884100000000001</v>
      </c>
      <c r="P246" s="22">
        <v>100.748</v>
      </c>
      <c r="Q246" s="22">
        <v>-7.2326699999999999E-4</v>
      </c>
      <c r="R246" s="22">
        <v>236</v>
      </c>
      <c r="S246" s="22">
        <v>1.08734</v>
      </c>
      <c r="T246">
        <f t="shared" si="38"/>
        <v>0.72326699999999999</v>
      </c>
      <c r="U246">
        <f t="shared" si="39"/>
        <v>0.78721103547000004</v>
      </c>
      <c r="X246" s="9"/>
      <c r="Y246" s="22">
        <v>0.44158900000000001</v>
      </c>
      <c r="Z246" s="22">
        <v>149.828</v>
      </c>
      <c r="AA246" s="22">
        <v>-1.3180500000000001E-3</v>
      </c>
      <c r="AB246" s="22">
        <v>236</v>
      </c>
      <c r="AC246" s="22">
        <v>0.44101000000000001</v>
      </c>
      <c r="AD246">
        <f t="shared" si="40"/>
        <v>1.3180500000000002</v>
      </c>
      <c r="AE246">
        <f t="shared" si="41"/>
        <v>0.58203638145000014</v>
      </c>
      <c r="AF246" s="9"/>
      <c r="AG246" s="22">
        <v>1.0884100000000001</v>
      </c>
      <c r="AH246" s="22">
        <v>199.077</v>
      </c>
      <c r="AI246" s="22">
        <v>-5.7739300000000005E-4</v>
      </c>
      <c r="AJ246" s="22">
        <v>236</v>
      </c>
      <c r="AK246" s="22">
        <v>1.08704</v>
      </c>
      <c r="AL246">
        <f t="shared" si="42"/>
        <v>0.57739300000000005</v>
      </c>
      <c r="AM246">
        <f t="shared" si="43"/>
        <v>0.62844031513000009</v>
      </c>
      <c r="AP246" s="9"/>
      <c r="AQ246" s="22">
        <v>0.44158900000000001</v>
      </c>
      <c r="AR246" s="22">
        <v>248.22200000000001</v>
      </c>
      <c r="AS246" s="22">
        <v>-1.2045300000000001E-3</v>
      </c>
      <c r="AT246" s="22">
        <v>236</v>
      </c>
      <c r="AU246" s="22">
        <v>0.44101000000000001</v>
      </c>
      <c r="AV246">
        <f t="shared" si="44"/>
        <v>1.2045300000000001</v>
      </c>
      <c r="AW246">
        <f t="shared" si="45"/>
        <v>0.5319071981700001</v>
      </c>
      <c r="AX246" s="9"/>
      <c r="AY246" s="22">
        <v>1.0884100000000001</v>
      </c>
      <c r="AZ246" s="22">
        <v>297.38099999999997</v>
      </c>
      <c r="BA246" s="22">
        <v>-5.1055899999999995E-4</v>
      </c>
      <c r="BB246" s="22">
        <v>236</v>
      </c>
      <c r="BC246" s="22">
        <v>1.08704</v>
      </c>
      <c r="BD246">
        <f t="shared" si="46"/>
        <v>0.51055899999999999</v>
      </c>
      <c r="BE246">
        <f t="shared" si="47"/>
        <v>0.55569752119000004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0.436554</v>
      </c>
      <c r="H247" s="22">
        <v>51.698999999999998</v>
      </c>
      <c r="I247" s="22">
        <v>-1.57318E-3</v>
      </c>
      <c r="J247" s="22">
        <v>237</v>
      </c>
      <c r="K247" s="22">
        <v>0.435944</v>
      </c>
      <c r="L247">
        <f t="shared" si="36"/>
        <v>1.57318</v>
      </c>
      <c r="M247">
        <f t="shared" si="37"/>
        <v>0.68677802172000002</v>
      </c>
      <c r="N247" s="9"/>
      <c r="O247" s="22">
        <v>1.09344</v>
      </c>
      <c r="P247" s="22">
        <v>100.758</v>
      </c>
      <c r="Q247" s="22">
        <v>-7.1960399999999999E-4</v>
      </c>
      <c r="R247" s="22">
        <v>237</v>
      </c>
      <c r="S247" s="22">
        <v>1.09192</v>
      </c>
      <c r="T247">
        <f t="shared" si="38"/>
        <v>0.71960400000000002</v>
      </c>
      <c r="U247">
        <f t="shared" si="39"/>
        <v>0.78684379776000002</v>
      </c>
      <c r="X247" s="9"/>
      <c r="Y247" s="22">
        <v>0.436554</v>
      </c>
      <c r="Z247" s="22">
        <v>149.83799999999999</v>
      </c>
      <c r="AA247" s="22">
        <v>-1.3211099999999999E-3</v>
      </c>
      <c r="AB247" s="22">
        <v>237</v>
      </c>
      <c r="AC247" s="22">
        <v>0.435944</v>
      </c>
      <c r="AD247">
        <f t="shared" si="40"/>
        <v>1.32111</v>
      </c>
      <c r="AE247">
        <f t="shared" si="41"/>
        <v>0.57673585494000001</v>
      </c>
      <c r="AF247" s="9"/>
      <c r="AG247" s="22">
        <v>1.09344</v>
      </c>
      <c r="AH247" s="22">
        <v>199.08699999999999</v>
      </c>
      <c r="AI247" s="22">
        <v>-5.7311999999999999E-4</v>
      </c>
      <c r="AJ247" s="22">
        <v>237</v>
      </c>
      <c r="AK247" s="22">
        <v>1.09222</v>
      </c>
      <c r="AL247">
        <f t="shared" si="42"/>
        <v>0.57311999999999996</v>
      </c>
      <c r="AM247">
        <f t="shared" si="43"/>
        <v>0.6266723327999999</v>
      </c>
      <c r="AP247" s="9"/>
      <c r="AQ247" s="22">
        <v>0.436554</v>
      </c>
      <c r="AR247" s="22">
        <v>248.232</v>
      </c>
      <c r="AS247" s="22">
        <v>-1.2069699999999999E-3</v>
      </c>
      <c r="AT247" s="22">
        <v>237</v>
      </c>
      <c r="AU247" s="22">
        <v>0.435944</v>
      </c>
      <c r="AV247">
        <f t="shared" si="44"/>
        <v>1.2069699999999999</v>
      </c>
      <c r="AW247">
        <f t="shared" si="45"/>
        <v>0.52690758137999993</v>
      </c>
      <c r="AX247" s="9"/>
      <c r="AY247" s="22">
        <v>1.09344</v>
      </c>
      <c r="AZ247" s="22">
        <v>297.39100000000002</v>
      </c>
      <c r="BA247" s="22">
        <v>-5.0628700000000001E-4</v>
      </c>
      <c r="BB247" s="22">
        <v>237</v>
      </c>
      <c r="BC247" s="22">
        <v>1.09222</v>
      </c>
      <c r="BD247">
        <f t="shared" si="46"/>
        <v>0.50628700000000004</v>
      </c>
      <c r="BE247">
        <f t="shared" si="47"/>
        <v>0.55359445728000001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0.43151899999999999</v>
      </c>
      <c r="H248" s="22">
        <v>51.709000000000003</v>
      </c>
      <c r="I248" s="22">
        <v>-1.5777600000000001E-3</v>
      </c>
      <c r="J248" s="22">
        <v>238</v>
      </c>
      <c r="K248" s="22">
        <v>0.43090800000000001</v>
      </c>
      <c r="L248">
        <f t="shared" si="36"/>
        <v>1.5777600000000001</v>
      </c>
      <c r="M248">
        <f t="shared" si="37"/>
        <v>0.68083341744000003</v>
      </c>
      <c r="N248" s="9"/>
      <c r="O248" s="22">
        <v>1.0984799999999999</v>
      </c>
      <c r="P248" s="22">
        <v>100.768</v>
      </c>
      <c r="Q248" s="22">
        <v>-7.1685800000000001E-4</v>
      </c>
      <c r="R248" s="22">
        <v>238</v>
      </c>
      <c r="S248" s="22">
        <v>1.09711</v>
      </c>
      <c r="T248">
        <f t="shared" si="38"/>
        <v>0.716858</v>
      </c>
      <c r="U248">
        <f t="shared" si="39"/>
        <v>0.78745417583999988</v>
      </c>
      <c r="X248" s="9"/>
      <c r="Y248" s="22">
        <v>0.43151899999999999</v>
      </c>
      <c r="Z248" s="22">
        <v>149.84800000000001</v>
      </c>
      <c r="AA248" s="22">
        <v>-1.32446E-3</v>
      </c>
      <c r="AB248" s="22">
        <v>238</v>
      </c>
      <c r="AC248" s="22">
        <v>0.43096899999999999</v>
      </c>
      <c r="AD248">
        <f t="shared" si="40"/>
        <v>1.32446</v>
      </c>
      <c r="AE248">
        <f t="shared" si="41"/>
        <v>0.57152965473999995</v>
      </c>
      <c r="AF248" s="9"/>
      <c r="AG248" s="22">
        <v>1.0984799999999999</v>
      </c>
      <c r="AH248" s="22">
        <v>199.09700000000001</v>
      </c>
      <c r="AI248" s="22">
        <v>-5.7006799999999996E-4</v>
      </c>
      <c r="AJ248" s="22">
        <v>238</v>
      </c>
      <c r="AK248" s="22">
        <v>1.09741</v>
      </c>
      <c r="AL248">
        <f t="shared" si="42"/>
        <v>0.57006800000000002</v>
      </c>
      <c r="AM248">
        <f t="shared" si="43"/>
        <v>0.62620829664</v>
      </c>
      <c r="AP248" s="9"/>
      <c r="AQ248" s="22">
        <v>0.43151899999999999</v>
      </c>
      <c r="AR248" s="22">
        <v>248.24199999999999</v>
      </c>
      <c r="AS248" s="22">
        <v>-1.20941E-3</v>
      </c>
      <c r="AT248" s="22">
        <v>238</v>
      </c>
      <c r="AU248" s="22">
        <v>0.43093900000000002</v>
      </c>
      <c r="AV248">
        <f t="shared" si="44"/>
        <v>1.2094099999999999</v>
      </c>
      <c r="AW248">
        <f t="shared" si="45"/>
        <v>0.52188339378999993</v>
      </c>
      <c r="AX248" s="9"/>
      <c r="AY248" s="22">
        <v>1.0984799999999999</v>
      </c>
      <c r="AZ248" s="22">
        <v>297.40100000000001</v>
      </c>
      <c r="BA248" s="22">
        <v>-5.0262500000000003E-4</v>
      </c>
      <c r="BB248" s="22">
        <v>238</v>
      </c>
      <c r="BC248" s="22">
        <v>1.09772</v>
      </c>
      <c r="BD248">
        <f t="shared" si="46"/>
        <v>0.50262499999999999</v>
      </c>
      <c r="BE248">
        <f t="shared" si="47"/>
        <v>0.55212350999999993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0.426483</v>
      </c>
      <c r="H249" s="22">
        <v>51.719099999999997</v>
      </c>
      <c r="I249" s="22">
        <v>-1.5801999999999999E-3</v>
      </c>
      <c r="J249" s="22">
        <v>239</v>
      </c>
      <c r="K249" s="22">
        <v>0.425873</v>
      </c>
      <c r="L249">
        <f t="shared" si="36"/>
        <v>1.5801999999999998</v>
      </c>
      <c r="M249">
        <f t="shared" si="37"/>
        <v>0.6739284365999999</v>
      </c>
      <c r="N249" s="9"/>
      <c r="O249" s="22">
        <v>1.1035200000000001</v>
      </c>
      <c r="P249" s="22">
        <v>100.779</v>
      </c>
      <c r="Q249" s="22">
        <v>-7.1258499999999995E-4</v>
      </c>
      <c r="R249" s="22">
        <v>239</v>
      </c>
      <c r="S249" s="22">
        <v>1.10199</v>
      </c>
      <c r="T249">
        <f t="shared" si="38"/>
        <v>0.71258499999999991</v>
      </c>
      <c r="U249">
        <f t="shared" si="39"/>
        <v>0.78635179919999998</v>
      </c>
      <c r="X249" s="9"/>
      <c r="Y249" s="22">
        <v>0.426483</v>
      </c>
      <c r="Z249" s="22">
        <v>149.858</v>
      </c>
      <c r="AA249" s="22">
        <v>-1.3272100000000001E-3</v>
      </c>
      <c r="AB249" s="22">
        <v>239</v>
      </c>
      <c r="AC249" s="22">
        <v>0.42590299999999998</v>
      </c>
      <c r="AD249">
        <f t="shared" si="40"/>
        <v>1.32721</v>
      </c>
      <c r="AE249">
        <f t="shared" si="41"/>
        <v>0.56603250243000003</v>
      </c>
      <c r="AF249" s="9"/>
      <c r="AG249" s="22">
        <v>1.1035200000000001</v>
      </c>
      <c r="AH249" s="22">
        <v>199.107</v>
      </c>
      <c r="AI249" s="22">
        <v>-5.6640599999999998E-4</v>
      </c>
      <c r="AJ249" s="22">
        <v>239</v>
      </c>
      <c r="AK249" s="22">
        <v>1.1026</v>
      </c>
      <c r="AL249">
        <f t="shared" si="42"/>
        <v>0.56640599999999997</v>
      </c>
      <c r="AM249">
        <f t="shared" si="43"/>
        <v>0.62504034911999995</v>
      </c>
      <c r="AP249" s="9"/>
      <c r="AQ249" s="22">
        <v>0.426483</v>
      </c>
      <c r="AR249" s="22">
        <v>248.25200000000001</v>
      </c>
      <c r="AS249" s="22">
        <v>-1.2121600000000001E-3</v>
      </c>
      <c r="AT249" s="22">
        <v>239</v>
      </c>
      <c r="AU249" s="22">
        <v>0.42590299999999998</v>
      </c>
      <c r="AV249">
        <f t="shared" si="44"/>
        <v>1.2121600000000001</v>
      </c>
      <c r="AW249">
        <f t="shared" si="45"/>
        <v>0.51696563328</v>
      </c>
      <c r="AX249" s="9"/>
      <c r="AY249" s="22">
        <v>1.1035200000000001</v>
      </c>
      <c r="AZ249" s="22">
        <v>297.411</v>
      </c>
      <c r="BA249" s="22">
        <v>-4.9835199999999997E-4</v>
      </c>
      <c r="BB249" s="22">
        <v>239</v>
      </c>
      <c r="BC249" s="22">
        <v>1.10229</v>
      </c>
      <c r="BD249">
        <f t="shared" si="46"/>
        <v>0.49835199999999996</v>
      </c>
      <c r="BE249">
        <f t="shared" si="47"/>
        <v>0.54994139903999995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0.42144799999999999</v>
      </c>
      <c r="H250" s="22">
        <v>51.729199999999999</v>
      </c>
      <c r="I250" s="22">
        <v>-1.58417E-3</v>
      </c>
      <c r="J250" s="22">
        <v>240</v>
      </c>
      <c r="K250" s="22">
        <v>0.42080699999999999</v>
      </c>
      <c r="L250">
        <f t="shared" si="36"/>
        <v>1.5841700000000001</v>
      </c>
      <c r="M250">
        <f t="shared" si="37"/>
        <v>0.66764527815999997</v>
      </c>
      <c r="N250" s="9"/>
      <c r="O250" s="22">
        <v>1.1085499999999999</v>
      </c>
      <c r="P250" s="22">
        <v>100.789</v>
      </c>
      <c r="Q250" s="22">
        <v>-7.1044900000000004E-4</v>
      </c>
      <c r="R250" s="22">
        <v>240</v>
      </c>
      <c r="S250" s="22">
        <v>1.10687</v>
      </c>
      <c r="T250">
        <f t="shared" si="38"/>
        <v>0.710449</v>
      </c>
      <c r="U250">
        <f t="shared" si="39"/>
        <v>0.78756823894999994</v>
      </c>
      <c r="X250" s="9"/>
      <c r="Y250" s="22">
        <v>0.42144799999999999</v>
      </c>
      <c r="Z250" s="22">
        <v>149.86799999999999</v>
      </c>
      <c r="AA250" s="22">
        <v>-1.33118E-3</v>
      </c>
      <c r="AB250" s="22">
        <v>240</v>
      </c>
      <c r="AC250" s="22">
        <v>0.42083700000000002</v>
      </c>
      <c r="AD250">
        <f t="shared" si="40"/>
        <v>1.33118</v>
      </c>
      <c r="AE250">
        <f t="shared" si="41"/>
        <v>0.56102314864000002</v>
      </c>
      <c r="AF250" s="9"/>
      <c r="AG250" s="22">
        <v>1.1085499999999999</v>
      </c>
      <c r="AH250" s="22">
        <v>199.11699999999999</v>
      </c>
      <c r="AI250" s="22">
        <v>-5.6182900000000002E-4</v>
      </c>
      <c r="AJ250" s="22">
        <v>240</v>
      </c>
      <c r="AK250" s="22">
        <v>1.1071800000000001</v>
      </c>
      <c r="AL250">
        <f t="shared" si="42"/>
        <v>0.56182900000000002</v>
      </c>
      <c r="AM250">
        <f t="shared" si="43"/>
        <v>0.62281553795</v>
      </c>
      <c r="AP250" s="9"/>
      <c r="AQ250" s="22">
        <v>0.42144799999999999</v>
      </c>
      <c r="AR250" s="22">
        <v>248.262</v>
      </c>
      <c r="AS250" s="22">
        <v>-1.2145999999999999E-3</v>
      </c>
      <c r="AT250" s="22">
        <v>240</v>
      </c>
      <c r="AU250" s="22">
        <v>0.42077599999999998</v>
      </c>
      <c r="AV250">
        <f t="shared" si="44"/>
        <v>1.2145999999999999</v>
      </c>
      <c r="AW250">
        <f t="shared" si="45"/>
        <v>0.51189074079999997</v>
      </c>
      <c r="AX250" s="9"/>
      <c r="AY250" s="22">
        <v>1.1085499999999999</v>
      </c>
      <c r="AZ250" s="22">
        <v>297.42099999999999</v>
      </c>
      <c r="BA250" s="22">
        <v>-4.9527000000000002E-4</v>
      </c>
      <c r="BB250" s="22">
        <v>240</v>
      </c>
      <c r="BC250" s="22">
        <v>1.1077900000000001</v>
      </c>
      <c r="BD250">
        <f t="shared" si="46"/>
        <v>0.49527000000000004</v>
      </c>
      <c r="BE250">
        <f t="shared" si="47"/>
        <v>0.54903155849999996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0.416412</v>
      </c>
      <c r="H251" s="22">
        <v>51.7393</v>
      </c>
      <c r="I251" s="22">
        <v>-1.58752E-3</v>
      </c>
      <c r="J251" s="22">
        <v>241</v>
      </c>
      <c r="K251" s="22">
        <v>0.41583300000000001</v>
      </c>
      <c r="L251">
        <f t="shared" si="36"/>
        <v>1.58752</v>
      </c>
      <c r="M251">
        <f t="shared" si="37"/>
        <v>0.66106237824000003</v>
      </c>
      <c r="N251" s="9"/>
      <c r="O251" s="22">
        <v>1.1135900000000001</v>
      </c>
      <c r="P251" s="22">
        <v>100.79900000000001</v>
      </c>
      <c r="Q251" s="22">
        <v>-7.0861800000000005E-4</v>
      </c>
      <c r="R251" s="22">
        <v>241</v>
      </c>
      <c r="S251" s="22">
        <v>1.11267</v>
      </c>
      <c r="T251">
        <f t="shared" si="38"/>
        <v>0.70861800000000008</v>
      </c>
      <c r="U251">
        <f t="shared" si="39"/>
        <v>0.78910991862000013</v>
      </c>
      <c r="X251" s="9"/>
      <c r="Y251" s="22">
        <v>0.416412</v>
      </c>
      <c r="Z251" s="22">
        <v>149.87799999999999</v>
      </c>
      <c r="AA251" s="22">
        <v>-1.3348399999999999E-3</v>
      </c>
      <c r="AB251" s="22">
        <v>241</v>
      </c>
      <c r="AC251" s="22">
        <v>0.41586299999999998</v>
      </c>
      <c r="AD251">
        <f t="shared" si="40"/>
        <v>1.3348399999999998</v>
      </c>
      <c r="AE251">
        <f t="shared" si="41"/>
        <v>0.55584339407999994</v>
      </c>
      <c r="AF251" s="9"/>
      <c r="AG251" s="22">
        <v>1.1135900000000001</v>
      </c>
      <c r="AH251" s="22">
        <v>199.12799999999999</v>
      </c>
      <c r="AI251" s="22">
        <v>-5.5847199999999996E-4</v>
      </c>
      <c r="AJ251" s="22">
        <v>241</v>
      </c>
      <c r="AK251" s="22">
        <v>1.11267</v>
      </c>
      <c r="AL251">
        <f t="shared" si="42"/>
        <v>0.55847199999999997</v>
      </c>
      <c r="AM251">
        <f t="shared" si="43"/>
        <v>0.62190883448000001</v>
      </c>
      <c r="AP251" s="9"/>
      <c r="AQ251" s="22">
        <v>0.416412</v>
      </c>
      <c r="AR251" s="22">
        <v>248.27199999999999</v>
      </c>
      <c r="AS251" s="22">
        <v>-1.21765E-3</v>
      </c>
      <c r="AT251" s="22">
        <v>241</v>
      </c>
      <c r="AU251" s="22">
        <v>0.415802</v>
      </c>
      <c r="AV251">
        <f t="shared" si="44"/>
        <v>1.2176500000000001</v>
      </c>
      <c r="AW251">
        <f t="shared" si="45"/>
        <v>0.50704407180000011</v>
      </c>
      <c r="AX251" s="9"/>
      <c r="AY251" s="22">
        <v>1.1135900000000001</v>
      </c>
      <c r="AZ251" s="22">
        <v>297.43099999999998</v>
      </c>
      <c r="BA251" s="22">
        <v>-4.9099699999999996E-4</v>
      </c>
      <c r="BB251" s="22">
        <v>241</v>
      </c>
      <c r="BC251" s="22">
        <v>1.11267</v>
      </c>
      <c r="BD251">
        <f t="shared" si="46"/>
        <v>0.49099699999999996</v>
      </c>
      <c r="BE251">
        <f t="shared" si="47"/>
        <v>0.54676934922999998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0.41137699999999999</v>
      </c>
      <c r="H252" s="22">
        <v>51.749299999999998</v>
      </c>
      <c r="I252" s="22">
        <v>-1.59088E-3</v>
      </c>
      <c r="J252" s="22">
        <v>242</v>
      </c>
      <c r="K252" s="22">
        <v>0.41079700000000002</v>
      </c>
      <c r="L252">
        <f t="shared" si="36"/>
        <v>1.5908800000000001</v>
      </c>
      <c r="M252">
        <f t="shared" si="37"/>
        <v>0.65445144176000003</v>
      </c>
      <c r="N252" s="9"/>
      <c r="O252" s="22">
        <v>1.1186199999999999</v>
      </c>
      <c r="P252" s="22">
        <v>100.809</v>
      </c>
      <c r="Q252" s="22">
        <v>-7.0129399999999998E-4</v>
      </c>
      <c r="R252" s="22">
        <v>242</v>
      </c>
      <c r="S252" s="22">
        <v>1.11755</v>
      </c>
      <c r="T252">
        <f t="shared" si="38"/>
        <v>0.70129399999999997</v>
      </c>
      <c r="U252">
        <f t="shared" si="39"/>
        <v>0.78448149427999991</v>
      </c>
      <c r="X252" s="9"/>
      <c r="Y252" s="22">
        <v>0.41137699999999999</v>
      </c>
      <c r="Z252" s="22">
        <v>149.88800000000001</v>
      </c>
      <c r="AA252" s="22">
        <v>-1.33789E-3</v>
      </c>
      <c r="AB252" s="22">
        <v>242</v>
      </c>
      <c r="AC252" s="22">
        <v>0.41073599999999999</v>
      </c>
      <c r="AD252">
        <f t="shared" si="40"/>
        <v>1.33789</v>
      </c>
      <c r="AE252">
        <f t="shared" si="41"/>
        <v>0.55037717453000001</v>
      </c>
      <c r="AF252" s="9"/>
      <c r="AG252" s="22">
        <v>1.1186199999999999</v>
      </c>
      <c r="AH252" s="22">
        <v>199.13800000000001</v>
      </c>
      <c r="AI252" s="22">
        <v>-5.5328400000000002E-4</v>
      </c>
      <c r="AJ252" s="22">
        <v>242</v>
      </c>
      <c r="AK252" s="22">
        <v>1.1172500000000001</v>
      </c>
      <c r="AL252">
        <f t="shared" si="42"/>
        <v>0.553284</v>
      </c>
      <c r="AM252">
        <f t="shared" si="43"/>
        <v>0.61891454808000002</v>
      </c>
      <c r="AP252" s="9"/>
      <c r="AQ252" s="22">
        <v>0.41137699999999999</v>
      </c>
      <c r="AR252" s="22">
        <v>248.28200000000001</v>
      </c>
      <c r="AS252" s="22">
        <v>-1.2200900000000001E-3</v>
      </c>
      <c r="AT252" s="22">
        <v>242</v>
      </c>
      <c r="AU252" s="22">
        <v>0.41082800000000003</v>
      </c>
      <c r="AV252">
        <f t="shared" si="44"/>
        <v>1.2200900000000001</v>
      </c>
      <c r="AW252">
        <f t="shared" si="45"/>
        <v>0.50191696393000007</v>
      </c>
      <c r="AX252" s="9"/>
      <c r="AY252" s="22">
        <v>1.1186199999999999</v>
      </c>
      <c r="AZ252" s="22">
        <v>297.44099999999997</v>
      </c>
      <c r="BA252" s="22">
        <v>-4.8703E-4</v>
      </c>
      <c r="BB252" s="22">
        <v>242</v>
      </c>
      <c r="BC252" s="22">
        <v>1.1172500000000001</v>
      </c>
      <c r="BD252">
        <f t="shared" si="46"/>
        <v>0.48703000000000002</v>
      </c>
      <c r="BE252">
        <f t="shared" si="47"/>
        <v>0.54480149860000004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0.40634199999999998</v>
      </c>
      <c r="H253" s="22">
        <v>51.759399999999999</v>
      </c>
      <c r="I253" s="22">
        <v>-1.59363E-3</v>
      </c>
      <c r="J253" s="22">
        <v>243</v>
      </c>
      <c r="K253" s="22">
        <v>0.40570099999999998</v>
      </c>
      <c r="L253">
        <f t="shared" si="36"/>
        <v>1.5936299999999999</v>
      </c>
      <c r="M253">
        <f t="shared" si="37"/>
        <v>0.64755880145999989</v>
      </c>
      <c r="N253" s="9"/>
      <c r="O253" s="22">
        <v>1.1236600000000001</v>
      </c>
      <c r="P253" s="22">
        <v>100.819</v>
      </c>
      <c r="Q253" s="22">
        <v>-6.97632E-4</v>
      </c>
      <c r="R253" s="22">
        <v>243</v>
      </c>
      <c r="S253" s="22">
        <v>1.1227400000000001</v>
      </c>
      <c r="T253">
        <f t="shared" si="38"/>
        <v>0.69763200000000003</v>
      </c>
      <c r="U253">
        <f t="shared" si="39"/>
        <v>0.78390117312000007</v>
      </c>
      <c r="X253" s="9"/>
      <c r="Y253" s="22">
        <v>0.40634199999999998</v>
      </c>
      <c r="Z253" s="22">
        <v>149.898</v>
      </c>
      <c r="AA253" s="22">
        <v>-1.33972E-3</v>
      </c>
      <c r="AB253" s="22">
        <v>243</v>
      </c>
      <c r="AC253" s="22">
        <v>0.40573100000000001</v>
      </c>
      <c r="AD253">
        <f t="shared" si="40"/>
        <v>1.33972</v>
      </c>
      <c r="AE253">
        <f t="shared" si="41"/>
        <v>0.54438450423999996</v>
      </c>
      <c r="AF253" s="9"/>
      <c r="AG253" s="22">
        <v>1.1236600000000001</v>
      </c>
      <c r="AH253" s="22">
        <v>199.148</v>
      </c>
      <c r="AI253" s="22">
        <v>-5.4901099999999997E-4</v>
      </c>
      <c r="AJ253" s="22">
        <v>243</v>
      </c>
      <c r="AK253" s="22">
        <v>1.1224400000000001</v>
      </c>
      <c r="AL253">
        <f t="shared" si="42"/>
        <v>0.54901099999999992</v>
      </c>
      <c r="AM253">
        <f t="shared" si="43"/>
        <v>0.61690170025999991</v>
      </c>
      <c r="AP253" s="9"/>
      <c r="AQ253" s="22">
        <v>0.40634199999999998</v>
      </c>
      <c r="AR253" s="22">
        <v>248.292</v>
      </c>
      <c r="AS253" s="22">
        <v>-1.22284E-3</v>
      </c>
      <c r="AT253" s="22">
        <v>243</v>
      </c>
      <c r="AU253" s="22">
        <v>0.40573100000000001</v>
      </c>
      <c r="AV253">
        <f t="shared" si="44"/>
        <v>1.2228399999999999</v>
      </c>
      <c r="AW253">
        <f t="shared" si="45"/>
        <v>0.49689125127999995</v>
      </c>
      <c r="AX253" s="9"/>
      <c r="AY253" s="22">
        <v>1.1236600000000001</v>
      </c>
      <c r="AZ253" s="22">
        <v>297.45100000000002</v>
      </c>
      <c r="BA253" s="22">
        <v>-4.8345899999999999E-4</v>
      </c>
      <c r="BB253" s="22">
        <v>243</v>
      </c>
      <c r="BC253" s="22">
        <v>1.1221300000000001</v>
      </c>
      <c r="BD253">
        <f t="shared" si="46"/>
        <v>0.48345899999999997</v>
      </c>
      <c r="BE253">
        <f t="shared" si="47"/>
        <v>0.54324353993999996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0.401306</v>
      </c>
      <c r="H254" s="22">
        <v>51.769500000000001</v>
      </c>
      <c r="I254" s="22">
        <v>-1.5957600000000001E-3</v>
      </c>
      <c r="J254" s="22">
        <v>244</v>
      </c>
      <c r="K254" s="22">
        <v>0.40066499999999999</v>
      </c>
      <c r="L254">
        <f t="shared" si="36"/>
        <v>1.5957600000000001</v>
      </c>
      <c r="M254">
        <f t="shared" si="37"/>
        <v>0.64038806256000003</v>
      </c>
      <c r="N254" s="9"/>
      <c r="O254" s="22">
        <v>1.12869</v>
      </c>
      <c r="P254" s="22">
        <v>100.82899999999999</v>
      </c>
      <c r="Q254" s="22">
        <v>-6.9305400000000002E-4</v>
      </c>
      <c r="R254" s="22">
        <v>244</v>
      </c>
      <c r="S254" s="22">
        <v>1.1273200000000001</v>
      </c>
      <c r="T254">
        <f t="shared" si="38"/>
        <v>0.69305400000000006</v>
      </c>
      <c r="U254">
        <f t="shared" si="39"/>
        <v>0.78224311926000001</v>
      </c>
      <c r="X254" s="9"/>
      <c r="Y254" s="22">
        <v>0.401306</v>
      </c>
      <c r="Z254" s="22">
        <v>149.90799999999999</v>
      </c>
      <c r="AA254" s="22">
        <v>-1.3427700000000001E-3</v>
      </c>
      <c r="AB254" s="22">
        <v>244</v>
      </c>
      <c r="AC254" s="22">
        <v>0.40072600000000003</v>
      </c>
      <c r="AD254">
        <f t="shared" si="40"/>
        <v>1.34277</v>
      </c>
      <c r="AE254">
        <f t="shared" si="41"/>
        <v>0.53886165762000005</v>
      </c>
      <c r="AF254" s="9"/>
      <c r="AG254" s="22">
        <v>1.12869</v>
      </c>
      <c r="AH254" s="22">
        <v>199.15799999999999</v>
      </c>
      <c r="AI254" s="22">
        <v>-5.4473900000000003E-4</v>
      </c>
      <c r="AJ254" s="22">
        <v>244</v>
      </c>
      <c r="AK254" s="22">
        <v>1.1273200000000001</v>
      </c>
      <c r="AL254">
        <f t="shared" si="42"/>
        <v>0.54473900000000008</v>
      </c>
      <c r="AM254">
        <f t="shared" si="43"/>
        <v>0.61484146191000011</v>
      </c>
      <c r="AP254" s="9"/>
      <c r="AQ254" s="22">
        <v>0.401306</v>
      </c>
      <c r="AR254" s="22">
        <v>248.30199999999999</v>
      </c>
      <c r="AS254" s="22">
        <v>-1.2258900000000001E-3</v>
      </c>
      <c r="AT254" s="22">
        <v>244</v>
      </c>
      <c r="AU254" s="22">
        <v>0.40075699999999997</v>
      </c>
      <c r="AV254">
        <f t="shared" si="44"/>
        <v>1.2258900000000001</v>
      </c>
      <c r="AW254">
        <f t="shared" si="45"/>
        <v>0.49195701234000005</v>
      </c>
      <c r="AX254" s="9"/>
      <c r="AY254" s="22">
        <v>1.12869</v>
      </c>
      <c r="AZ254" s="22">
        <v>297.46199999999999</v>
      </c>
      <c r="BA254" s="22">
        <v>-4.79431E-4</v>
      </c>
      <c r="BB254" s="22">
        <v>244</v>
      </c>
      <c r="BC254" s="22">
        <v>1.1267100000000001</v>
      </c>
      <c r="BD254">
        <f t="shared" si="46"/>
        <v>0.479431</v>
      </c>
      <c r="BE254">
        <f t="shared" si="47"/>
        <v>0.54112897538999993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0.39627099999999998</v>
      </c>
      <c r="H255" s="22">
        <v>51.779499999999999</v>
      </c>
      <c r="I255" s="22">
        <v>-1.5972899999999999E-3</v>
      </c>
      <c r="J255" s="22">
        <v>245</v>
      </c>
      <c r="K255" s="22">
        <v>0.39559899999999998</v>
      </c>
      <c r="L255">
        <f t="shared" si="36"/>
        <v>1.5972899999999999</v>
      </c>
      <c r="M255">
        <f t="shared" si="37"/>
        <v>0.63295970558999992</v>
      </c>
      <c r="N255" s="9"/>
      <c r="O255" s="22">
        <v>1.1337299999999999</v>
      </c>
      <c r="P255" s="22">
        <v>100.839</v>
      </c>
      <c r="Q255" s="22">
        <v>-6.90002E-4</v>
      </c>
      <c r="R255" s="22">
        <v>245</v>
      </c>
      <c r="S255" s="22">
        <v>1.1325099999999999</v>
      </c>
      <c r="T255">
        <f t="shared" si="38"/>
        <v>0.690002</v>
      </c>
      <c r="U255">
        <f t="shared" si="39"/>
        <v>0.78227596745999994</v>
      </c>
      <c r="X255" s="9"/>
      <c r="Y255" s="22">
        <v>0.39627099999999998</v>
      </c>
      <c r="Z255" s="22">
        <v>149.91800000000001</v>
      </c>
      <c r="AA255" s="22">
        <v>-1.34644E-3</v>
      </c>
      <c r="AB255" s="22">
        <v>245</v>
      </c>
      <c r="AC255" s="22">
        <v>0.39559899999999998</v>
      </c>
      <c r="AD255">
        <f t="shared" si="40"/>
        <v>1.3464399999999999</v>
      </c>
      <c r="AE255">
        <f t="shared" si="41"/>
        <v>0.53355512523999993</v>
      </c>
      <c r="AF255" s="9"/>
      <c r="AG255" s="22">
        <v>1.1337299999999999</v>
      </c>
      <c r="AH255" s="22">
        <v>199.16800000000001</v>
      </c>
      <c r="AI255" s="22">
        <v>-5.4138199999999997E-4</v>
      </c>
      <c r="AJ255" s="22">
        <v>245</v>
      </c>
      <c r="AK255" s="22">
        <v>1.1325099999999999</v>
      </c>
      <c r="AL255">
        <f t="shared" si="42"/>
        <v>0.54138200000000003</v>
      </c>
      <c r="AM255">
        <f t="shared" si="43"/>
        <v>0.61378101486000003</v>
      </c>
      <c r="AP255" s="9"/>
      <c r="AQ255" s="22">
        <v>0.39627099999999998</v>
      </c>
      <c r="AR255" s="22">
        <v>248.31200000000001</v>
      </c>
      <c r="AS255" s="22">
        <v>-1.22803E-3</v>
      </c>
      <c r="AT255" s="22">
        <v>245</v>
      </c>
      <c r="AU255" s="22">
        <v>0.39566000000000001</v>
      </c>
      <c r="AV255">
        <f t="shared" si="44"/>
        <v>1.22803</v>
      </c>
      <c r="AW255">
        <f t="shared" si="45"/>
        <v>0.48663267612999994</v>
      </c>
      <c r="AX255" s="9"/>
      <c r="AY255" s="22">
        <v>1.1337299999999999</v>
      </c>
      <c r="AZ255" s="22">
        <v>297.47199999999998</v>
      </c>
      <c r="BA255" s="22">
        <v>-4.78577E-4</v>
      </c>
      <c r="BB255" s="22">
        <v>245</v>
      </c>
      <c r="BC255" s="22">
        <v>1.1325099999999999</v>
      </c>
      <c r="BD255">
        <f t="shared" si="46"/>
        <v>0.47857699999999997</v>
      </c>
      <c r="BE255">
        <f t="shared" si="47"/>
        <v>0.54257710220999988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0.391235</v>
      </c>
      <c r="H256" s="22">
        <v>51.7896</v>
      </c>
      <c r="I256" s="22">
        <v>-1.60034E-3</v>
      </c>
      <c r="J256" s="22">
        <v>246</v>
      </c>
      <c r="K256" s="22">
        <v>0.39068599999999998</v>
      </c>
      <c r="L256">
        <f t="shared" si="36"/>
        <v>1.6003400000000001</v>
      </c>
      <c r="M256">
        <f t="shared" si="37"/>
        <v>0.62610901990000001</v>
      </c>
      <c r="N256" s="9"/>
      <c r="O256" s="22">
        <v>1.13876</v>
      </c>
      <c r="P256" s="22">
        <v>100.849</v>
      </c>
      <c r="Q256" s="22">
        <v>-6.8572999999999996E-4</v>
      </c>
      <c r="R256" s="22">
        <v>246</v>
      </c>
      <c r="S256" s="22">
        <v>1.1373899999999999</v>
      </c>
      <c r="T256">
        <f t="shared" si="38"/>
        <v>0.68572999999999995</v>
      </c>
      <c r="U256">
        <f t="shared" si="39"/>
        <v>0.78088189479999992</v>
      </c>
      <c r="X256" s="9"/>
      <c r="Y256" s="22">
        <v>0.391235</v>
      </c>
      <c r="Z256" s="22">
        <v>149.928</v>
      </c>
      <c r="AA256" s="22">
        <v>-1.3504000000000001E-3</v>
      </c>
      <c r="AB256" s="22">
        <v>246</v>
      </c>
      <c r="AC256" s="22">
        <v>0.390625</v>
      </c>
      <c r="AD256">
        <f t="shared" si="40"/>
        <v>1.3504</v>
      </c>
      <c r="AE256">
        <f t="shared" si="41"/>
        <v>0.52832374400000004</v>
      </c>
      <c r="AF256" s="9"/>
      <c r="AG256" s="22">
        <v>1.13876</v>
      </c>
      <c r="AH256" s="22">
        <v>199.178</v>
      </c>
      <c r="AI256" s="22">
        <v>-5.3741499999999996E-4</v>
      </c>
      <c r="AJ256" s="22">
        <v>246</v>
      </c>
      <c r="AK256" s="22">
        <v>1.1370800000000001</v>
      </c>
      <c r="AL256">
        <f t="shared" si="42"/>
        <v>0.53741499999999998</v>
      </c>
      <c r="AM256">
        <f t="shared" si="43"/>
        <v>0.6119867054</v>
      </c>
      <c r="AP256" s="9"/>
      <c r="AQ256" s="22">
        <v>0.391235</v>
      </c>
      <c r="AR256" s="22">
        <v>248.322</v>
      </c>
      <c r="AS256" s="22">
        <v>-1.2310800000000001E-3</v>
      </c>
      <c r="AT256" s="22">
        <v>246</v>
      </c>
      <c r="AU256" s="22">
        <v>0.39068599999999998</v>
      </c>
      <c r="AV256">
        <f t="shared" si="44"/>
        <v>1.2310800000000002</v>
      </c>
      <c r="AW256">
        <f t="shared" si="45"/>
        <v>0.48164158380000005</v>
      </c>
      <c r="AX256" s="9"/>
      <c r="AY256" s="22">
        <v>1.13876</v>
      </c>
      <c r="AZ256" s="22">
        <v>297.48200000000003</v>
      </c>
      <c r="BA256" s="22">
        <v>-4.7457899999999998E-4</v>
      </c>
      <c r="BB256" s="22">
        <v>246</v>
      </c>
      <c r="BC256" s="22">
        <v>1.1376999999999999</v>
      </c>
      <c r="BD256">
        <f t="shared" si="46"/>
        <v>0.47457899999999997</v>
      </c>
      <c r="BE256">
        <f t="shared" si="47"/>
        <v>0.54043158203999997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0.38619999999999999</v>
      </c>
      <c r="H257" s="22">
        <v>51.799700000000001</v>
      </c>
      <c r="I257" s="22">
        <v>-1.6024800000000001E-3</v>
      </c>
      <c r="J257" s="22">
        <v>247</v>
      </c>
      <c r="K257" s="22">
        <v>0.38558999999999999</v>
      </c>
      <c r="L257">
        <f t="shared" si="36"/>
        <v>1.6024800000000001</v>
      </c>
      <c r="M257">
        <f t="shared" si="37"/>
        <v>0.61887777600000005</v>
      </c>
      <c r="N257" s="9"/>
      <c r="O257" s="22">
        <v>1.1437999999999999</v>
      </c>
      <c r="P257" s="22">
        <v>100.85899999999999</v>
      </c>
      <c r="Q257" s="22">
        <v>-6.8237300000000001E-4</v>
      </c>
      <c r="R257" s="22">
        <v>247</v>
      </c>
      <c r="S257" s="22">
        <v>1.1428799999999999</v>
      </c>
      <c r="T257">
        <f t="shared" si="38"/>
        <v>0.68237300000000001</v>
      </c>
      <c r="U257">
        <f t="shared" si="39"/>
        <v>0.78049823739999991</v>
      </c>
      <c r="X257" s="9"/>
      <c r="Y257" s="22">
        <v>0.38619999999999999</v>
      </c>
      <c r="Z257" s="22">
        <v>149.93799999999999</v>
      </c>
      <c r="AA257" s="22">
        <v>-1.3528399999999999E-3</v>
      </c>
      <c r="AB257" s="22">
        <v>247</v>
      </c>
      <c r="AC257" s="22">
        <v>0.38562000000000002</v>
      </c>
      <c r="AD257">
        <f t="shared" si="40"/>
        <v>1.3528399999999998</v>
      </c>
      <c r="AE257">
        <f t="shared" si="41"/>
        <v>0.52246680799999989</v>
      </c>
      <c r="AF257" s="9"/>
      <c r="AG257" s="22">
        <v>1.1437999999999999</v>
      </c>
      <c r="AH257" s="22">
        <v>199.18799999999999</v>
      </c>
      <c r="AI257" s="22">
        <v>-5.3283699999999998E-4</v>
      </c>
      <c r="AJ257" s="22">
        <v>247</v>
      </c>
      <c r="AK257" s="22">
        <v>1.1425799999999999</v>
      </c>
      <c r="AL257">
        <f t="shared" si="42"/>
        <v>0.53283700000000001</v>
      </c>
      <c r="AM257">
        <f t="shared" si="43"/>
        <v>0.60945896059999993</v>
      </c>
      <c r="AP257" s="9"/>
      <c r="AQ257" s="22">
        <v>0.38619999999999999</v>
      </c>
      <c r="AR257" s="22">
        <v>248.33199999999999</v>
      </c>
      <c r="AS257" s="22">
        <v>-1.2332199999999999E-3</v>
      </c>
      <c r="AT257" s="22">
        <v>247</v>
      </c>
      <c r="AU257" s="22">
        <v>0.385681</v>
      </c>
      <c r="AV257">
        <f t="shared" si="44"/>
        <v>1.23322</v>
      </c>
      <c r="AW257">
        <f t="shared" si="45"/>
        <v>0.47626956399999998</v>
      </c>
      <c r="AX257" s="9"/>
      <c r="AY257" s="22">
        <v>1.1437999999999999</v>
      </c>
      <c r="AZ257" s="22">
        <v>297.49200000000002</v>
      </c>
      <c r="BA257" s="22">
        <v>-4.70032E-4</v>
      </c>
      <c r="BB257" s="22">
        <v>247</v>
      </c>
      <c r="BC257" s="22">
        <v>1.1422699999999999</v>
      </c>
      <c r="BD257">
        <f t="shared" si="46"/>
        <v>0.47003200000000001</v>
      </c>
      <c r="BE257">
        <f t="shared" si="47"/>
        <v>0.53762260159999997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0.38116499999999998</v>
      </c>
      <c r="H258" s="22">
        <v>51.809800000000003</v>
      </c>
      <c r="I258" s="22">
        <v>-1.60553E-3</v>
      </c>
      <c r="J258" s="22">
        <v>248</v>
      </c>
      <c r="K258" s="22">
        <v>0.380554</v>
      </c>
      <c r="L258">
        <f t="shared" si="36"/>
        <v>1.6055299999999999</v>
      </c>
      <c r="M258">
        <f t="shared" si="37"/>
        <v>0.61197184244999991</v>
      </c>
      <c r="N258" s="9"/>
      <c r="O258" s="22">
        <v>1.14883</v>
      </c>
      <c r="P258" s="22">
        <v>100.869</v>
      </c>
      <c r="Q258" s="22">
        <v>-6.7688000000000004E-4</v>
      </c>
      <c r="R258" s="22">
        <v>248</v>
      </c>
      <c r="S258" s="22">
        <v>1.14777</v>
      </c>
      <c r="T258">
        <f t="shared" si="38"/>
        <v>0.67688000000000004</v>
      </c>
      <c r="U258">
        <f t="shared" si="39"/>
        <v>0.77762005040000004</v>
      </c>
      <c r="X258" s="9"/>
      <c r="Y258" s="22">
        <v>0.38116499999999998</v>
      </c>
      <c r="Z258" s="22">
        <v>149.94900000000001</v>
      </c>
      <c r="AA258" s="22">
        <v>-1.3555900000000001E-3</v>
      </c>
      <c r="AB258" s="22">
        <v>248</v>
      </c>
      <c r="AC258" s="22">
        <v>0.38058500000000001</v>
      </c>
      <c r="AD258">
        <f t="shared" si="40"/>
        <v>1.3555900000000001</v>
      </c>
      <c r="AE258">
        <f t="shared" si="41"/>
        <v>0.51670346234999998</v>
      </c>
      <c r="AF258" s="9"/>
      <c r="AG258" s="22">
        <v>1.14883</v>
      </c>
      <c r="AH258" s="22">
        <v>199.19800000000001</v>
      </c>
      <c r="AI258" s="22">
        <v>-5.28259E-4</v>
      </c>
      <c r="AJ258" s="22">
        <v>248</v>
      </c>
      <c r="AK258" s="22">
        <v>1.14777</v>
      </c>
      <c r="AL258">
        <f t="shared" si="42"/>
        <v>0.52825900000000003</v>
      </c>
      <c r="AM258">
        <f t="shared" si="43"/>
        <v>0.60687978697</v>
      </c>
      <c r="AP258" s="9"/>
      <c r="AQ258" s="22">
        <v>0.38116499999999998</v>
      </c>
      <c r="AR258" s="22">
        <v>248.34200000000001</v>
      </c>
      <c r="AS258" s="22">
        <v>-1.23657E-3</v>
      </c>
      <c r="AT258" s="22">
        <v>248</v>
      </c>
      <c r="AU258" s="22">
        <v>0.380554</v>
      </c>
      <c r="AV258">
        <f t="shared" si="44"/>
        <v>1.2365699999999999</v>
      </c>
      <c r="AW258">
        <f t="shared" si="45"/>
        <v>0.47133720404999996</v>
      </c>
      <c r="AX258" s="9"/>
      <c r="AY258" s="22">
        <v>1.14883</v>
      </c>
      <c r="AZ258" s="22">
        <v>297.50200000000001</v>
      </c>
      <c r="BA258" s="22">
        <v>-4.6447799999999999E-4</v>
      </c>
      <c r="BB258" s="22">
        <v>248</v>
      </c>
      <c r="BC258" s="22">
        <v>1.14777</v>
      </c>
      <c r="BD258">
        <f t="shared" si="46"/>
        <v>0.464478</v>
      </c>
      <c r="BE258">
        <f t="shared" si="47"/>
        <v>0.53360626074000006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0.37612899999999999</v>
      </c>
      <c r="H259" s="22">
        <v>51.819800000000001</v>
      </c>
      <c r="I259" s="22">
        <v>-1.6076700000000001E-3</v>
      </c>
      <c r="J259" s="22">
        <v>249</v>
      </c>
      <c r="K259" s="22">
        <v>0.37548799999999999</v>
      </c>
      <c r="L259">
        <f t="shared" si="36"/>
        <v>1.6076700000000002</v>
      </c>
      <c r="M259">
        <f t="shared" si="37"/>
        <v>0.60469130943000005</v>
      </c>
      <c r="N259" s="9"/>
      <c r="O259" s="22">
        <v>1.15387</v>
      </c>
      <c r="P259" s="22">
        <v>100.879</v>
      </c>
      <c r="Q259" s="22">
        <v>-6.7230199999999995E-4</v>
      </c>
      <c r="R259" s="22">
        <v>249</v>
      </c>
      <c r="S259" s="22">
        <v>1.15265</v>
      </c>
      <c r="T259">
        <f t="shared" si="38"/>
        <v>0.67230199999999996</v>
      </c>
      <c r="U259">
        <f t="shared" si="39"/>
        <v>0.77574910873999992</v>
      </c>
      <c r="X259" s="9"/>
      <c r="Y259" s="22">
        <v>0.37612899999999999</v>
      </c>
      <c r="Z259" s="22">
        <v>149.959</v>
      </c>
      <c r="AA259" s="22">
        <v>-1.3598600000000001E-3</v>
      </c>
      <c r="AB259" s="22">
        <v>249</v>
      </c>
      <c r="AC259" s="22">
        <v>0.37551899999999999</v>
      </c>
      <c r="AD259">
        <f t="shared" si="40"/>
        <v>1.3598600000000001</v>
      </c>
      <c r="AE259">
        <f t="shared" si="41"/>
        <v>0.51148278193999996</v>
      </c>
      <c r="AF259" s="9"/>
      <c r="AG259" s="22">
        <v>1.15387</v>
      </c>
      <c r="AH259" s="22">
        <v>199.208</v>
      </c>
      <c r="AI259" s="22">
        <v>-5.2459700000000002E-4</v>
      </c>
      <c r="AJ259" s="22">
        <v>249</v>
      </c>
      <c r="AK259" s="22">
        <v>1.15265</v>
      </c>
      <c r="AL259">
        <f t="shared" si="42"/>
        <v>0.52459699999999998</v>
      </c>
      <c r="AM259">
        <f t="shared" si="43"/>
        <v>0.60531674038999994</v>
      </c>
      <c r="AP259" s="9"/>
      <c r="AQ259" s="22">
        <v>0.37612899999999999</v>
      </c>
      <c r="AR259" s="22">
        <v>248.352</v>
      </c>
      <c r="AS259" s="22">
        <v>-1.2393199999999999E-3</v>
      </c>
      <c r="AT259" s="22">
        <v>249</v>
      </c>
      <c r="AU259" s="22">
        <v>0.37558000000000002</v>
      </c>
      <c r="AV259">
        <f t="shared" si="44"/>
        <v>1.23932</v>
      </c>
      <c r="AW259">
        <f t="shared" si="45"/>
        <v>0.46614419227999998</v>
      </c>
      <c r="AX259" s="9"/>
      <c r="AY259" s="22">
        <v>1.15387</v>
      </c>
      <c r="AZ259" s="22">
        <v>297.512</v>
      </c>
      <c r="BA259" s="22">
        <v>-4.5935099999999999E-4</v>
      </c>
      <c r="BB259" s="22">
        <v>249</v>
      </c>
      <c r="BC259" s="22">
        <v>1.15265</v>
      </c>
      <c r="BD259">
        <f t="shared" si="46"/>
        <v>0.45935100000000001</v>
      </c>
      <c r="BE259">
        <f t="shared" si="47"/>
        <v>0.53003133836999994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0.37109399999999998</v>
      </c>
      <c r="H260" s="22">
        <v>51.829900000000002</v>
      </c>
      <c r="I260" s="22">
        <v>-1.61133E-3</v>
      </c>
      <c r="J260" s="22">
        <v>250</v>
      </c>
      <c r="K260" s="22">
        <v>0.37045299999999998</v>
      </c>
      <c r="L260">
        <f t="shared" si="36"/>
        <v>1.6113299999999999</v>
      </c>
      <c r="M260">
        <f t="shared" si="37"/>
        <v>0.59795489501999999</v>
      </c>
      <c r="N260" s="9"/>
      <c r="O260" s="22">
        <v>1.1589100000000001</v>
      </c>
      <c r="P260" s="22">
        <v>100.889</v>
      </c>
      <c r="Q260" s="22">
        <v>-6.6741900000000004E-4</v>
      </c>
      <c r="R260" s="22">
        <v>250</v>
      </c>
      <c r="S260" s="22">
        <v>1.1575299999999999</v>
      </c>
      <c r="T260">
        <f t="shared" si="38"/>
        <v>0.6674190000000001</v>
      </c>
      <c r="U260">
        <f t="shared" si="39"/>
        <v>0.77347855329000015</v>
      </c>
      <c r="X260" s="9"/>
      <c r="Y260" s="22">
        <v>0.37109399999999998</v>
      </c>
      <c r="Z260" s="22">
        <v>149.96899999999999</v>
      </c>
      <c r="AA260" s="22">
        <v>-1.36414E-3</v>
      </c>
      <c r="AB260" s="22">
        <v>250</v>
      </c>
      <c r="AC260" s="22">
        <v>0.37048300000000001</v>
      </c>
      <c r="AD260">
        <f t="shared" si="40"/>
        <v>1.3641399999999999</v>
      </c>
      <c r="AE260">
        <f t="shared" si="41"/>
        <v>0.5062241691599999</v>
      </c>
      <c r="AF260" s="9"/>
      <c r="AG260" s="22">
        <v>1.1589100000000001</v>
      </c>
      <c r="AH260" s="22">
        <v>199.21799999999999</v>
      </c>
      <c r="AI260" s="22">
        <v>-5.19714E-4</v>
      </c>
      <c r="AJ260" s="22">
        <v>250</v>
      </c>
      <c r="AK260" s="22">
        <v>1.15784</v>
      </c>
      <c r="AL260">
        <f t="shared" si="42"/>
        <v>0.51971400000000001</v>
      </c>
      <c r="AM260">
        <f t="shared" si="43"/>
        <v>0.60230175174000011</v>
      </c>
      <c r="AP260" s="9"/>
      <c r="AQ260" s="22">
        <v>0.37109399999999998</v>
      </c>
      <c r="AR260" s="22">
        <v>248.363</v>
      </c>
      <c r="AS260" s="22">
        <v>-1.2429800000000001E-3</v>
      </c>
      <c r="AT260" s="22">
        <v>250</v>
      </c>
      <c r="AU260" s="22">
        <v>0.37054399999999998</v>
      </c>
      <c r="AV260">
        <f t="shared" si="44"/>
        <v>1.24298</v>
      </c>
      <c r="AW260">
        <f t="shared" si="45"/>
        <v>0.46126242011999996</v>
      </c>
      <c r="AX260" s="9"/>
      <c r="AY260" s="22">
        <v>1.1589100000000001</v>
      </c>
      <c r="AZ260" s="22">
        <v>297.52199999999999</v>
      </c>
      <c r="BA260" s="22">
        <v>-4.55933E-4</v>
      </c>
      <c r="BB260" s="22">
        <v>250</v>
      </c>
      <c r="BC260" s="22">
        <v>1.15784</v>
      </c>
      <c r="BD260">
        <f t="shared" si="46"/>
        <v>0.45593299999999998</v>
      </c>
      <c r="BE260">
        <f t="shared" si="47"/>
        <v>0.52838531303000003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0.36605799999999999</v>
      </c>
      <c r="H261" s="22">
        <v>51.84</v>
      </c>
      <c r="I261" s="22">
        <v>-1.61407E-3</v>
      </c>
      <c r="J261" s="22">
        <v>251</v>
      </c>
      <c r="K261" s="22">
        <v>0.36550899999999997</v>
      </c>
      <c r="L261">
        <f t="shared" si="36"/>
        <v>1.6140699999999999</v>
      </c>
      <c r="M261">
        <f t="shared" si="37"/>
        <v>0.59084323606</v>
      </c>
      <c r="N261" s="9"/>
      <c r="O261" s="22">
        <v>1.16394</v>
      </c>
      <c r="P261" s="22">
        <v>100.899</v>
      </c>
      <c r="Q261" s="22">
        <v>-6.6345200000000003E-4</v>
      </c>
      <c r="R261" s="22">
        <v>251</v>
      </c>
      <c r="S261" s="22">
        <v>1.1630199999999999</v>
      </c>
      <c r="T261">
        <f t="shared" si="38"/>
        <v>0.66345200000000004</v>
      </c>
      <c r="U261">
        <f t="shared" si="39"/>
        <v>0.77221832088000009</v>
      </c>
      <c r="X261" s="9"/>
      <c r="Y261" s="22">
        <v>0.36605799999999999</v>
      </c>
      <c r="Z261" s="22">
        <v>149.97900000000001</v>
      </c>
      <c r="AA261" s="22">
        <v>-1.3678E-3</v>
      </c>
      <c r="AB261" s="22">
        <v>251</v>
      </c>
      <c r="AC261" s="22">
        <v>0.36550899999999997</v>
      </c>
      <c r="AD261">
        <f t="shared" si="40"/>
        <v>1.3677999999999999</v>
      </c>
      <c r="AE261">
        <f t="shared" si="41"/>
        <v>0.50069413239999994</v>
      </c>
      <c r="AF261" s="9"/>
      <c r="AG261" s="22">
        <v>1.16394</v>
      </c>
      <c r="AH261" s="22">
        <v>199.22800000000001</v>
      </c>
      <c r="AI261" s="22">
        <v>-5.1483200000000001E-4</v>
      </c>
      <c r="AJ261" s="22">
        <v>251</v>
      </c>
      <c r="AK261" s="22">
        <v>1.1630199999999999</v>
      </c>
      <c r="AL261">
        <f t="shared" si="42"/>
        <v>0.51483199999999996</v>
      </c>
      <c r="AM261">
        <f t="shared" si="43"/>
        <v>0.5992335580799999</v>
      </c>
      <c r="AP261" s="9"/>
      <c r="AQ261" s="22">
        <v>0.36605799999999999</v>
      </c>
      <c r="AR261" s="22">
        <v>248.37299999999999</v>
      </c>
      <c r="AS261" s="22">
        <v>-1.2454199999999999E-3</v>
      </c>
      <c r="AT261" s="22">
        <v>251</v>
      </c>
      <c r="AU261" s="22">
        <v>0.365448</v>
      </c>
      <c r="AV261">
        <f t="shared" si="44"/>
        <v>1.24542</v>
      </c>
      <c r="AW261">
        <f t="shared" si="45"/>
        <v>0.45589595435999997</v>
      </c>
      <c r="AX261" s="9"/>
      <c r="AY261" s="22">
        <v>1.16394</v>
      </c>
      <c r="AZ261" s="22">
        <v>297.53199999999998</v>
      </c>
      <c r="BA261" s="22">
        <v>-4.5059199999999998E-4</v>
      </c>
      <c r="BB261" s="22">
        <v>251</v>
      </c>
      <c r="BC261" s="22">
        <v>1.16272</v>
      </c>
      <c r="BD261">
        <f t="shared" si="46"/>
        <v>0.45059199999999999</v>
      </c>
      <c r="BE261">
        <f t="shared" si="47"/>
        <v>0.52446205248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0.36102299999999998</v>
      </c>
      <c r="H262" s="22">
        <v>51.85</v>
      </c>
      <c r="I262" s="22">
        <v>-1.61713E-3</v>
      </c>
      <c r="J262" s="22">
        <v>252</v>
      </c>
      <c r="K262" s="22">
        <v>0.36038199999999998</v>
      </c>
      <c r="L262">
        <f t="shared" si="36"/>
        <v>1.61713</v>
      </c>
      <c r="M262">
        <f t="shared" si="37"/>
        <v>0.58382112398999997</v>
      </c>
      <c r="N262" s="9"/>
      <c r="O262" s="22">
        <v>1.1689799999999999</v>
      </c>
      <c r="P262" s="22">
        <v>100.90900000000001</v>
      </c>
      <c r="Q262" s="22">
        <v>-6.5826399999999998E-4</v>
      </c>
      <c r="R262" s="22">
        <v>252</v>
      </c>
      <c r="S262" s="22">
        <v>1.1676</v>
      </c>
      <c r="T262">
        <f t="shared" si="38"/>
        <v>0.65826399999999996</v>
      </c>
      <c r="U262">
        <f t="shared" si="39"/>
        <v>0.76949745071999986</v>
      </c>
      <c r="X262" s="9"/>
      <c r="Y262" s="22">
        <v>0.36102299999999998</v>
      </c>
      <c r="Z262" s="22">
        <v>149.989</v>
      </c>
      <c r="AA262" s="22">
        <v>-1.3708500000000001E-3</v>
      </c>
      <c r="AB262" s="22">
        <v>252</v>
      </c>
      <c r="AC262" s="22">
        <v>0.36044300000000001</v>
      </c>
      <c r="AD262">
        <f t="shared" si="40"/>
        <v>1.3708500000000001</v>
      </c>
      <c r="AE262">
        <f t="shared" si="41"/>
        <v>0.49490837955</v>
      </c>
      <c r="AF262" s="9"/>
      <c r="AG262" s="22">
        <v>1.1689799999999999</v>
      </c>
      <c r="AH262" s="22">
        <v>199.238</v>
      </c>
      <c r="AI262" s="22">
        <v>-5.1025400000000002E-4</v>
      </c>
      <c r="AJ262" s="22">
        <v>252</v>
      </c>
      <c r="AK262" s="22">
        <v>1.16852</v>
      </c>
      <c r="AL262">
        <f t="shared" si="42"/>
        <v>0.51025399999999999</v>
      </c>
      <c r="AM262">
        <f t="shared" si="43"/>
        <v>0.59647672091999993</v>
      </c>
      <c r="AP262" s="9"/>
      <c r="AQ262" s="22">
        <v>0.36102299999999998</v>
      </c>
      <c r="AR262" s="22">
        <v>248.38300000000001</v>
      </c>
      <c r="AS262" s="22">
        <v>-1.2496899999999999E-3</v>
      </c>
      <c r="AT262" s="22">
        <v>252</v>
      </c>
      <c r="AU262" s="22">
        <v>0.36044300000000001</v>
      </c>
      <c r="AV262">
        <f t="shared" si="44"/>
        <v>1.24969</v>
      </c>
      <c r="AW262">
        <f t="shared" si="45"/>
        <v>0.45116683286999998</v>
      </c>
      <c r="AX262" s="9"/>
      <c r="AY262" s="22">
        <v>1.1689799999999999</v>
      </c>
      <c r="AZ262" s="22">
        <v>297.54199999999997</v>
      </c>
      <c r="BA262" s="22">
        <v>-4.46503E-4</v>
      </c>
      <c r="BB262" s="22">
        <v>252</v>
      </c>
      <c r="BC262" s="22">
        <v>1.1676</v>
      </c>
      <c r="BD262">
        <f t="shared" si="46"/>
        <v>0.44650299999999998</v>
      </c>
      <c r="BE262">
        <f t="shared" si="47"/>
        <v>0.52195307693999993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0.35598800000000003</v>
      </c>
      <c r="H263" s="22">
        <v>51.860100000000003</v>
      </c>
      <c r="I263" s="22">
        <v>-1.6201799999999999E-3</v>
      </c>
      <c r="J263" s="22">
        <v>253</v>
      </c>
      <c r="K263" s="22">
        <v>0.355408</v>
      </c>
      <c r="L263">
        <f t="shared" si="36"/>
        <v>1.62018</v>
      </c>
      <c r="M263">
        <f t="shared" si="37"/>
        <v>0.57676463783999998</v>
      </c>
      <c r="N263" s="9"/>
      <c r="O263" s="22">
        <v>1.17401</v>
      </c>
      <c r="P263" s="22">
        <v>100.92</v>
      </c>
      <c r="Q263" s="22">
        <v>-6.5429699999999997E-4</v>
      </c>
      <c r="R263" s="22">
        <v>253</v>
      </c>
      <c r="S263" s="22">
        <v>1.17249</v>
      </c>
      <c r="T263">
        <f t="shared" si="38"/>
        <v>0.65429700000000002</v>
      </c>
      <c r="U263">
        <f t="shared" si="39"/>
        <v>0.76815122096999999</v>
      </c>
      <c r="X263" s="9"/>
      <c r="Y263" s="22">
        <v>0.35598800000000003</v>
      </c>
      <c r="Z263" s="22">
        <v>149.999</v>
      </c>
      <c r="AA263" s="22">
        <v>-1.3736E-3</v>
      </c>
      <c r="AB263" s="22">
        <v>253</v>
      </c>
      <c r="AC263" s="22">
        <v>0.35543799999999998</v>
      </c>
      <c r="AD263">
        <f t="shared" si="40"/>
        <v>1.3735999999999999</v>
      </c>
      <c r="AE263">
        <f t="shared" si="41"/>
        <v>0.48898511680000001</v>
      </c>
      <c r="AF263" s="9"/>
      <c r="AG263" s="22">
        <v>1.17401</v>
      </c>
      <c r="AH263" s="22">
        <v>199.24799999999999</v>
      </c>
      <c r="AI263" s="22">
        <v>-5.0628700000000001E-4</v>
      </c>
      <c r="AJ263" s="22">
        <v>253</v>
      </c>
      <c r="AK263" s="22">
        <v>1.1731</v>
      </c>
      <c r="AL263">
        <f t="shared" si="42"/>
        <v>0.50628700000000004</v>
      </c>
      <c r="AM263">
        <f t="shared" si="43"/>
        <v>0.59438600087000004</v>
      </c>
      <c r="AP263" s="9"/>
      <c r="AQ263" s="22">
        <v>0.35598800000000003</v>
      </c>
      <c r="AR263" s="22">
        <v>248.393</v>
      </c>
      <c r="AS263" s="22">
        <v>-1.25183E-3</v>
      </c>
      <c r="AT263" s="22">
        <v>253</v>
      </c>
      <c r="AU263" s="22">
        <v>0.35543799999999998</v>
      </c>
      <c r="AV263">
        <f t="shared" si="44"/>
        <v>1.25183</v>
      </c>
      <c r="AW263">
        <f t="shared" si="45"/>
        <v>0.44563645804000002</v>
      </c>
      <c r="AX263" s="9"/>
      <c r="AY263" s="22">
        <v>1.17401</v>
      </c>
      <c r="AZ263" s="22">
        <v>297.55200000000002</v>
      </c>
      <c r="BA263" s="22">
        <v>-4.4192500000000002E-4</v>
      </c>
      <c r="BB263" s="22">
        <v>253</v>
      </c>
      <c r="BC263" s="22">
        <v>1.17279</v>
      </c>
      <c r="BD263">
        <f t="shared" si="46"/>
        <v>0.44192500000000001</v>
      </c>
      <c r="BE263">
        <f t="shared" si="47"/>
        <v>0.51882436924999997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0.35095199999999999</v>
      </c>
      <c r="H264" s="22">
        <v>51.870199999999997</v>
      </c>
      <c r="I264" s="22">
        <v>-1.62323E-3</v>
      </c>
      <c r="J264" s="22">
        <v>254</v>
      </c>
      <c r="K264" s="22">
        <v>0.35031099999999998</v>
      </c>
      <c r="L264">
        <f t="shared" si="36"/>
        <v>1.62323</v>
      </c>
      <c r="M264">
        <f t="shared" si="37"/>
        <v>0.56967581495999997</v>
      </c>
      <c r="N264" s="9"/>
      <c r="O264" s="22">
        <v>1.1790499999999999</v>
      </c>
      <c r="P264" s="22">
        <v>100.93</v>
      </c>
      <c r="Q264" s="22">
        <v>-6.5185500000000001E-4</v>
      </c>
      <c r="R264" s="22">
        <v>254</v>
      </c>
      <c r="S264" s="22">
        <v>1.17828</v>
      </c>
      <c r="T264">
        <f t="shared" si="38"/>
        <v>0.65185499999999996</v>
      </c>
      <c r="U264">
        <f t="shared" si="39"/>
        <v>0.76856963774999987</v>
      </c>
      <c r="X264" s="9"/>
      <c r="Y264" s="22">
        <v>0.35095199999999999</v>
      </c>
      <c r="Z264" s="22">
        <v>150.00899999999999</v>
      </c>
      <c r="AA264" s="22">
        <v>-1.37604E-3</v>
      </c>
      <c r="AB264" s="22">
        <v>254</v>
      </c>
      <c r="AC264" s="22">
        <v>0.35031099999999998</v>
      </c>
      <c r="AD264">
        <f t="shared" si="40"/>
        <v>1.3760399999999999</v>
      </c>
      <c r="AE264">
        <f t="shared" si="41"/>
        <v>0.48292399007999998</v>
      </c>
      <c r="AF264" s="9"/>
      <c r="AG264" s="22">
        <v>1.1790499999999999</v>
      </c>
      <c r="AH264" s="22">
        <v>199.25800000000001</v>
      </c>
      <c r="AI264" s="22">
        <v>-5.0201399999999995E-4</v>
      </c>
      <c r="AJ264" s="22">
        <v>254</v>
      </c>
      <c r="AK264" s="22">
        <v>1.17828</v>
      </c>
      <c r="AL264">
        <f t="shared" si="42"/>
        <v>0.50201399999999996</v>
      </c>
      <c r="AM264">
        <f t="shared" si="43"/>
        <v>0.59189960669999997</v>
      </c>
      <c r="AP264" s="9"/>
      <c r="AQ264" s="22">
        <v>0.35095199999999999</v>
      </c>
      <c r="AR264" s="22">
        <v>248.40299999999999</v>
      </c>
      <c r="AS264" s="22">
        <v>-1.25519E-3</v>
      </c>
      <c r="AT264" s="22">
        <v>254</v>
      </c>
      <c r="AU264" s="22">
        <v>0.35034199999999999</v>
      </c>
      <c r="AV264">
        <f t="shared" si="44"/>
        <v>1.25519</v>
      </c>
      <c r="AW264">
        <f t="shared" si="45"/>
        <v>0.44051144087999999</v>
      </c>
      <c r="AX264" s="9"/>
      <c r="AY264" s="22">
        <v>1.1790499999999999</v>
      </c>
      <c r="AZ264" s="22">
        <v>297.56200000000001</v>
      </c>
      <c r="BA264" s="22">
        <v>-4.3756099999999999E-4</v>
      </c>
      <c r="BB264" s="22">
        <v>254</v>
      </c>
      <c r="BC264" s="22">
        <v>1.17737</v>
      </c>
      <c r="BD264">
        <f t="shared" si="46"/>
        <v>0.43756099999999998</v>
      </c>
      <c r="BE264">
        <f t="shared" si="47"/>
        <v>0.51590629704999991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0.34591699999999997</v>
      </c>
      <c r="H265" s="22">
        <v>51.880200000000002</v>
      </c>
      <c r="I265" s="22">
        <v>-1.6262799999999999E-3</v>
      </c>
      <c r="J265" s="22">
        <v>255</v>
      </c>
      <c r="K265" s="22">
        <v>0.345306</v>
      </c>
      <c r="L265">
        <f t="shared" si="36"/>
        <v>1.6262799999999999</v>
      </c>
      <c r="M265">
        <f t="shared" si="37"/>
        <v>0.56255789875999995</v>
      </c>
      <c r="N265" s="9"/>
      <c r="O265" s="22">
        <v>1.18408</v>
      </c>
      <c r="P265" s="22">
        <v>100.94</v>
      </c>
      <c r="Q265" s="22">
        <v>-6.5490700000000004E-4</v>
      </c>
      <c r="R265" s="22">
        <v>255</v>
      </c>
      <c r="S265" s="22">
        <v>1.1825600000000001</v>
      </c>
      <c r="T265">
        <f t="shared" si="38"/>
        <v>0.65490700000000002</v>
      </c>
      <c r="U265">
        <f t="shared" si="39"/>
        <v>0.77546228055999999</v>
      </c>
      <c r="X265" s="9"/>
      <c r="Y265" s="22">
        <v>0.34591699999999997</v>
      </c>
      <c r="Z265" s="22">
        <v>150.01900000000001</v>
      </c>
      <c r="AA265" s="22">
        <v>-1.3790899999999999E-3</v>
      </c>
      <c r="AB265" s="22">
        <v>255</v>
      </c>
      <c r="AC265" s="22">
        <v>0.34533700000000001</v>
      </c>
      <c r="AD265">
        <f t="shared" si="40"/>
        <v>1.3790899999999999</v>
      </c>
      <c r="AE265">
        <f t="shared" si="41"/>
        <v>0.47705067552999991</v>
      </c>
      <c r="AF265" s="9"/>
      <c r="AG265" s="22">
        <v>1.18408</v>
      </c>
      <c r="AH265" s="22">
        <v>199.268</v>
      </c>
      <c r="AI265" s="22">
        <v>-4.9835199999999997E-4</v>
      </c>
      <c r="AJ265" s="22">
        <v>255</v>
      </c>
      <c r="AK265" s="22">
        <v>1.1831700000000001</v>
      </c>
      <c r="AL265">
        <f t="shared" si="42"/>
        <v>0.49835199999999996</v>
      </c>
      <c r="AM265">
        <f t="shared" si="43"/>
        <v>0.59008863615999996</v>
      </c>
      <c r="AP265" s="9"/>
      <c r="AQ265" s="22">
        <v>0.34591699999999997</v>
      </c>
      <c r="AR265" s="22">
        <v>248.41300000000001</v>
      </c>
      <c r="AS265" s="22">
        <v>-1.2573199999999999E-3</v>
      </c>
      <c r="AT265" s="22">
        <v>255</v>
      </c>
      <c r="AU265" s="22">
        <v>0.345306</v>
      </c>
      <c r="AV265">
        <f t="shared" si="44"/>
        <v>1.25732</v>
      </c>
      <c r="AW265">
        <f t="shared" si="45"/>
        <v>0.43492836243999994</v>
      </c>
      <c r="AX265" s="9"/>
      <c r="AY265" s="22">
        <v>1.18408</v>
      </c>
      <c r="AZ265" s="22">
        <v>297.572</v>
      </c>
      <c r="BA265" s="22">
        <v>-4.3341099999999997E-4</v>
      </c>
      <c r="BB265" s="22">
        <v>255</v>
      </c>
      <c r="BC265" s="22">
        <v>1.1831700000000001</v>
      </c>
      <c r="BD265">
        <f t="shared" si="46"/>
        <v>0.43341099999999999</v>
      </c>
      <c r="BE265">
        <f t="shared" si="47"/>
        <v>0.51319329688000004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0.34088099999999999</v>
      </c>
      <c r="H266" s="22">
        <v>51.890300000000003</v>
      </c>
      <c r="I266" s="22">
        <v>-1.6275E-3</v>
      </c>
      <c r="J266" s="22">
        <v>256</v>
      </c>
      <c r="K266" s="22">
        <v>0.34030199999999999</v>
      </c>
      <c r="L266">
        <f t="shared" si="36"/>
        <v>1.6274999999999999</v>
      </c>
      <c r="M266">
        <f t="shared" si="37"/>
        <v>0.55478382749999999</v>
      </c>
      <c r="N266" s="9"/>
      <c r="O266" s="22">
        <v>1.18912</v>
      </c>
      <c r="P266" s="22">
        <v>100.95</v>
      </c>
      <c r="Q266" s="22">
        <v>-6.5399200000000005E-4</v>
      </c>
      <c r="R266" s="22">
        <v>256</v>
      </c>
      <c r="S266" s="22">
        <v>1.18774</v>
      </c>
      <c r="T266">
        <f t="shared" si="38"/>
        <v>0.65399200000000002</v>
      </c>
      <c r="U266">
        <f t="shared" si="39"/>
        <v>0.77767496703999994</v>
      </c>
      <c r="X266" s="9"/>
      <c r="Y266" s="22">
        <v>0.34088099999999999</v>
      </c>
      <c r="Z266" s="22">
        <v>150.029</v>
      </c>
      <c r="AA266" s="22">
        <v>-1.38123E-3</v>
      </c>
      <c r="AB266" s="22">
        <v>256</v>
      </c>
      <c r="AC266" s="22">
        <v>0.34030199999999999</v>
      </c>
      <c r="AD266">
        <f t="shared" si="40"/>
        <v>1.38123</v>
      </c>
      <c r="AE266">
        <f t="shared" si="41"/>
        <v>0.47083506362999999</v>
      </c>
      <c r="AF266" s="9"/>
      <c r="AG266" s="22">
        <v>1.18912</v>
      </c>
      <c r="AH266" s="22">
        <v>199.279</v>
      </c>
      <c r="AI266" s="22">
        <v>-4.9539199999999999E-4</v>
      </c>
      <c r="AJ266" s="22">
        <v>256</v>
      </c>
      <c r="AK266" s="22">
        <v>1.1880500000000001</v>
      </c>
      <c r="AL266">
        <f t="shared" si="42"/>
        <v>0.495392</v>
      </c>
      <c r="AM266">
        <f t="shared" si="43"/>
        <v>0.58908053504000002</v>
      </c>
      <c r="AP266" s="9"/>
      <c r="AQ266" s="22">
        <v>0.34088099999999999</v>
      </c>
      <c r="AR266" s="22">
        <v>248.423</v>
      </c>
      <c r="AS266" s="22">
        <v>-1.2597699999999999E-3</v>
      </c>
      <c r="AT266" s="22">
        <v>256</v>
      </c>
      <c r="AU266" s="22">
        <v>0.34030199999999999</v>
      </c>
      <c r="AV266">
        <f t="shared" si="44"/>
        <v>1.2597699999999998</v>
      </c>
      <c r="AW266">
        <f t="shared" si="45"/>
        <v>0.42943165736999994</v>
      </c>
      <c r="AX266" s="9"/>
      <c r="AY266" s="22">
        <v>1.18912</v>
      </c>
      <c r="AZ266" s="22">
        <v>297.58199999999999</v>
      </c>
      <c r="BA266" s="22">
        <v>-4.2919900000000001E-4</v>
      </c>
      <c r="BB266" s="22">
        <v>256</v>
      </c>
      <c r="BC266" s="22">
        <v>1.1874400000000001</v>
      </c>
      <c r="BD266">
        <f t="shared" si="46"/>
        <v>0.429199</v>
      </c>
      <c r="BE266">
        <f t="shared" si="47"/>
        <v>0.51036911488000003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0.33584599999999998</v>
      </c>
      <c r="H267" s="22">
        <v>51.900399999999998</v>
      </c>
      <c r="I267" s="22">
        <v>-1.63086E-3</v>
      </c>
      <c r="J267" s="22">
        <v>257</v>
      </c>
      <c r="K267" s="22">
        <v>0.33523599999999998</v>
      </c>
      <c r="L267">
        <f t="shared" si="36"/>
        <v>1.63086</v>
      </c>
      <c r="M267">
        <f t="shared" si="37"/>
        <v>0.54771780755999999</v>
      </c>
      <c r="N267" s="9"/>
      <c r="O267" s="22">
        <v>1.19415</v>
      </c>
      <c r="P267" s="22">
        <v>100.96</v>
      </c>
      <c r="Q267" s="22">
        <v>-6.4392099999999999E-4</v>
      </c>
      <c r="R267" s="22">
        <v>257</v>
      </c>
      <c r="S267" s="22">
        <v>1.1926300000000001</v>
      </c>
      <c r="T267">
        <f t="shared" si="38"/>
        <v>0.64392099999999997</v>
      </c>
      <c r="U267">
        <f t="shared" si="39"/>
        <v>0.76893826214999994</v>
      </c>
      <c r="X267" s="9"/>
      <c r="Y267" s="22">
        <v>0.33584599999999998</v>
      </c>
      <c r="Z267" s="22">
        <v>150.03899999999999</v>
      </c>
      <c r="AA267" s="22">
        <v>-1.3842800000000001E-3</v>
      </c>
      <c r="AB267" s="22">
        <v>257</v>
      </c>
      <c r="AC267" s="22">
        <v>0.33526600000000001</v>
      </c>
      <c r="AD267">
        <f t="shared" si="40"/>
        <v>1.3842800000000002</v>
      </c>
      <c r="AE267">
        <f t="shared" si="41"/>
        <v>0.46490490088000003</v>
      </c>
      <c r="AF267" s="9"/>
      <c r="AG267" s="22">
        <v>1.19415</v>
      </c>
      <c r="AH267" s="22">
        <v>199.28899999999999</v>
      </c>
      <c r="AI267" s="22">
        <v>-4.9050899999999998E-4</v>
      </c>
      <c r="AJ267" s="22">
        <v>257</v>
      </c>
      <c r="AK267" s="22">
        <v>1.1932400000000001</v>
      </c>
      <c r="AL267">
        <f t="shared" si="42"/>
        <v>0.49050899999999997</v>
      </c>
      <c r="AM267">
        <f t="shared" si="43"/>
        <v>0.58574132234999998</v>
      </c>
      <c r="AP267" s="9"/>
      <c r="AQ267" s="22">
        <v>0.33584599999999998</v>
      </c>
      <c r="AR267" s="22">
        <v>248.43299999999999</v>
      </c>
      <c r="AS267" s="22">
        <v>-1.2619E-3</v>
      </c>
      <c r="AT267" s="22">
        <v>257</v>
      </c>
      <c r="AU267" s="22">
        <v>0.33526600000000001</v>
      </c>
      <c r="AV267">
        <f t="shared" si="44"/>
        <v>1.2619</v>
      </c>
      <c r="AW267">
        <f t="shared" si="45"/>
        <v>0.42380406739999998</v>
      </c>
      <c r="AX267" s="9"/>
      <c r="AY267" s="22">
        <v>1.19415</v>
      </c>
      <c r="AZ267" s="22">
        <v>297.59199999999998</v>
      </c>
      <c r="BA267" s="22">
        <v>-4.2529299999999998E-4</v>
      </c>
      <c r="BB267" s="22">
        <v>257</v>
      </c>
      <c r="BC267" s="22">
        <v>1.19232</v>
      </c>
      <c r="BD267">
        <f t="shared" si="46"/>
        <v>0.42529299999999998</v>
      </c>
      <c r="BE267">
        <f t="shared" si="47"/>
        <v>0.50786363594999995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0.33081100000000002</v>
      </c>
      <c r="H268" s="22">
        <v>51.910499999999999</v>
      </c>
      <c r="I268" s="22">
        <v>-1.6323900000000001E-3</v>
      </c>
      <c r="J268" s="22">
        <v>258</v>
      </c>
      <c r="K268" s="22">
        <v>0.33019999999999999</v>
      </c>
      <c r="L268">
        <f t="shared" ref="L268:L331" si="48">-I268/$F$2*1000</f>
        <v>1.63239</v>
      </c>
      <c r="M268">
        <f t="shared" ref="M268:M331" si="49">L268*G268</f>
        <v>0.54001256828999999</v>
      </c>
      <c r="N268" s="9"/>
      <c r="O268" s="22">
        <v>1.19919</v>
      </c>
      <c r="P268" s="22">
        <v>100.97</v>
      </c>
      <c r="Q268" s="22">
        <v>-6.4422600000000002E-4</v>
      </c>
      <c r="R268" s="22">
        <v>258</v>
      </c>
      <c r="S268" s="22">
        <v>1.19781</v>
      </c>
      <c r="T268">
        <f t="shared" ref="T268:T331" si="50">-Q268/$F$2*1000</f>
        <v>0.64422600000000008</v>
      </c>
      <c r="U268">
        <f t="shared" ref="U268:U331" si="51">T268*O268</f>
        <v>0.77254937694000003</v>
      </c>
      <c r="X268" s="9"/>
      <c r="Y268" s="22">
        <v>0.33081100000000002</v>
      </c>
      <c r="Z268" s="22">
        <v>150.04900000000001</v>
      </c>
      <c r="AA268" s="22">
        <v>-1.3876299999999999E-3</v>
      </c>
      <c r="AB268" s="22">
        <v>258</v>
      </c>
      <c r="AC268" s="22">
        <v>0.33019999999999999</v>
      </c>
      <c r="AD268">
        <f t="shared" ref="AD268:AD331" si="52">-AA268/$F$2*1000</f>
        <v>1.3876299999999999</v>
      </c>
      <c r="AE268">
        <f t="shared" ref="AE268:AE331" si="53">AD268*Y268</f>
        <v>0.45904326793</v>
      </c>
      <c r="AF268" s="9"/>
      <c r="AG268" s="22">
        <v>1.19919</v>
      </c>
      <c r="AH268" s="22">
        <v>199.29900000000001</v>
      </c>
      <c r="AI268" s="22">
        <v>-4.8767100000000001E-4</v>
      </c>
      <c r="AJ268" s="22">
        <v>258</v>
      </c>
      <c r="AK268" s="22">
        <v>1.1975100000000001</v>
      </c>
      <c r="AL268">
        <f t="shared" ref="AL268:AL331" si="54">-AI268/$F$2*1000</f>
        <v>0.48767100000000002</v>
      </c>
      <c r="AM268">
        <f t="shared" ref="AM268:AM331" si="55">AL268*AG268</f>
        <v>0.58481018649000005</v>
      </c>
      <c r="AP268" s="9"/>
      <c r="AQ268" s="22">
        <v>0.33081100000000002</v>
      </c>
      <c r="AR268" s="22">
        <v>248.44300000000001</v>
      </c>
      <c r="AS268" s="22">
        <v>-1.2643400000000001E-3</v>
      </c>
      <c r="AT268" s="22">
        <v>258</v>
      </c>
      <c r="AU268" s="22">
        <v>0.330231</v>
      </c>
      <c r="AV268">
        <f t="shared" ref="AV268:AV331" si="56">-AS268/$F$2*1000</f>
        <v>1.26434</v>
      </c>
      <c r="AW268">
        <f t="shared" ref="AW268:AW331" si="57">AV268*AQ268</f>
        <v>0.41825757974000005</v>
      </c>
      <c r="AX268" s="9"/>
      <c r="AY268" s="22">
        <v>1.19919</v>
      </c>
      <c r="AZ268" s="22">
        <v>297.60300000000001</v>
      </c>
      <c r="BA268" s="22">
        <v>-4.2123399999999999E-4</v>
      </c>
      <c r="BB268" s="22">
        <v>258</v>
      </c>
      <c r="BC268" s="22">
        <v>1.19781</v>
      </c>
      <c r="BD268">
        <f t="shared" ref="BD268:BD331" si="58">-BA268/$F$2*1000</f>
        <v>0.421234</v>
      </c>
      <c r="BE268">
        <f t="shared" ref="BE268:BE331" si="59">BD268*AY268</f>
        <v>0.50513960045999995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0.32577499999999998</v>
      </c>
      <c r="H269" s="22">
        <v>51.920499999999997</v>
      </c>
      <c r="I269" s="22">
        <v>-1.6348300000000001E-3</v>
      </c>
      <c r="J269" s="22">
        <v>259</v>
      </c>
      <c r="K269" s="22">
        <v>0.32519500000000001</v>
      </c>
      <c r="L269">
        <f t="shared" si="48"/>
        <v>1.63483</v>
      </c>
      <c r="M269">
        <f t="shared" si="49"/>
        <v>0.53258674324999999</v>
      </c>
      <c r="N269" s="9"/>
      <c r="O269" s="22">
        <v>1.2042200000000001</v>
      </c>
      <c r="P269" s="22">
        <v>100.98</v>
      </c>
      <c r="Q269" s="22">
        <v>-6.3445999999999999E-4</v>
      </c>
      <c r="R269" s="22">
        <v>259</v>
      </c>
      <c r="S269" s="22">
        <v>1.2027000000000001</v>
      </c>
      <c r="T269">
        <f t="shared" si="50"/>
        <v>0.63446000000000002</v>
      </c>
      <c r="U269">
        <f t="shared" si="51"/>
        <v>0.76402942120000006</v>
      </c>
      <c r="X269" s="9"/>
      <c r="Y269" s="22">
        <v>0.32577499999999998</v>
      </c>
      <c r="Z269" s="22">
        <v>150.059</v>
      </c>
      <c r="AA269" s="22">
        <v>-1.3903800000000001E-3</v>
      </c>
      <c r="AB269" s="22">
        <v>259</v>
      </c>
      <c r="AC269" s="22">
        <v>0.32516499999999998</v>
      </c>
      <c r="AD269">
        <f t="shared" si="52"/>
        <v>1.3903800000000002</v>
      </c>
      <c r="AE269">
        <f t="shared" si="53"/>
        <v>0.45295104450000001</v>
      </c>
      <c r="AF269" s="9"/>
      <c r="AG269" s="22">
        <v>1.2042200000000001</v>
      </c>
      <c r="AH269" s="22">
        <v>199.309</v>
      </c>
      <c r="AI269" s="22">
        <v>-4.8348999999999999E-4</v>
      </c>
      <c r="AJ269" s="22">
        <v>259</v>
      </c>
      <c r="AK269" s="22">
        <v>1.2033100000000001</v>
      </c>
      <c r="AL269">
        <f t="shared" si="54"/>
        <v>0.48348999999999998</v>
      </c>
      <c r="AM269">
        <f t="shared" si="55"/>
        <v>0.5822283278</v>
      </c>
      <c r="AP269" s="9"/>
      <c r="AQ269" s="22">
        <v>0.32577499999999998</v>
      </c>
      <c r="AR269" s="22">
        <v>248.453</v>
      </c>
      <c r="AS269" s="22">
        <v>-1.2667799999999999E-3</v>
      </c>
      <c r="AT269" s="22">
        <v>259</v>
      </c>
      <c r="AU269" s="22">
        <v>0.32522600000000002</v>
      </c>
      <c r="AV269">
        <f t="shared" si="56"/>
        <v>1.2667799999999998</v>
      </c>
      <c r="AW269">
        <f t="shared" si="57"/>
        <v>0.41268525449999993</v>
      </c>
      <c r="AX269" s="9"/>
      <c r="AY269" s="22">
        <v>1.2042200000000001</v>
      </c>
      <c r="AZ269" s="22">
        <v>297.613</v>
      </c>
      <c r="BA269" s="22">
        <v>-4.1540499999999998E-4</v>
      </c>
      <c r="BB269" s="22">
        <v>259</v>
      </c>
      <c r="BC269" s="22">
        <v>1.2030000000000001</v>
      </c>
      <c r="BD269">
        <f t="shared" si="58"/>
        <v>0.41540499999999997</v>
      </c>
      <c r="BE269">
        <f t="shared" si="59"/>
        <v>0.50023900909999997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0.32074000000000003</v>
      </c>
      <c r="H270" s="22">
        <v>51.930599999999998</v>
      </c>
      <c r="I270" s="22">
        <v>-1.63635E-3</v>
      </c>
      <c r="J270" s="22">
        <v>260</v>
      </c>
      <c r="K270" s="22">
        <v>0.32009900000000002</v>
      </c>
      <c r="L270">
        <f t="shared" si="48"/>
        <v>1.63635</v>
      </c>
      <c r="M270">
        <f t="shared" si="49"/>
        <v>0.52484289900000003</v>
      </c>
      <c r="N270" s="9"/>
      <c r="O270" s="22">
        <v>1.20926</v>
      </c>
      <c r="P270" s="22">
        <v>100.99</v>
      </c>
      <c r="Q270" s="22">
        <v>-6.2988300000000003E-4</v>
      </c>
      <c r="R270" s="22">
        <v>260</v>
      </c>
      <c r="S270" s="22">
        <v>1.2081900000000001</v>
      </c>
      <c r="T270">
        <f t="shared" si="50"/>
        <v>0.62988300000000008</v>
      </c>
      <c r="U270">
        <f t="shared" si="51"/>
        <v>0.76169231658000014</v>
      </c>
      <c r="X270" s="9"/>
      <c r="Y270" s="22">
        <v>0.32074000000000003</v>
      </c>
      <c r="Z270" s="22">
        <v>150.06899999999999</v>
      </c>
      <c r="AA270" s="22">
        <v>-1.39313E-3</v>
      </c>
      <c r="AB270" s="22">
        <v>260</v>
      </c>
      <c r="AC270" s="22">
        <v>0.32016</v>
      </c>
      <c r="AD270">
        <f t="shared" si="52"/>
        <v>1.39313</v>
      </c>
      <c r="AE270">
        <f t="shared" si="53"/>
        <v>0.44683251620000003</v>
      </c>
      <c r="AF270" s="9"/>
      <c r="AG270" s="22">
        <v>1.20926</v>
      </c>
      <c r="AH270" s="22">
        <v>199.31899999999999</v>
      </c>
      <c r="AI270" s="22">
        <v>-4.7894300000000001E-4</v>
      </c>
      <c r="AJ270" s="22">
        <v>260</v>
      </c>
      <c r="AK270" s="22">
        <v>1.2084999999999999</v>
      </c>
      <c r="AL270">
        <f t="shared" si="54"/>
        <v>0.47894300000000001</v>
      </c>
      <c r="AM270">
        <f t="shared" si="55"/>
        <v>0.57916661217999998</v>
      </c>
      <c r="AP270" s="9"/>
      <c r="AQ270" s="22">
        <v>0.32074000000000003</v>
      </c>
      <c r="AR270" s="22">
        <v>248.46299999999999</v>
      </c>
      <c r="AS270" s="22">
        <v>-1.2695300000000001E-3</v>
      </c>
      <c r="AT270" s="22">
        <v>260</v>
      </c>
      <c r="AU270" s="22">
        <v>0.32006800000000002</v>
      </c>
      <c r="AV270">
        <f t="shared" si="56"/>
        <v>1.26953</v>
      </c>
      <c r="AW270">
        <f t="shared" si="57"/>
        <v>0.40718905220000007</v>
      </c>
      <c r="AX270" s="9"/>
      <c r="AY270" s="22">
        <v>1.20926</v>
      </c>
      <c r="AZ270" s="22">
        <v>297.62299999999999</v>
      </c>
      <c r="BA270" s="22">
        <v>-4.1094999999999999E-4</v>
      </c>
      <c r="BB270" s="22">
        <v>260</v>
      </c>
      <c r="BC270" s="22">
        <v>1.2084999999999999</v>
      </c>
      <c r="BD270">
        <f t="shared" si="58"/>
        <v>0.41094999999999998</v>
      </c>
      <c r="BE270">
        <f t="shared" si="59"/>
        <v>0.49694539699999996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0.31570399999999998</v>
      </c>
      <c r="H271" s="22">
        <v>51.9407</v>
      </c>
      <c r="I271" s="22">
        <v>-1.63971E-3</v>
      </c>
      <c r="J271" s="22">
        <v>261</v>
      </c>
      <c r="K271" s="22">
        <v>0.31518600000000002</v>
      </c>
      <c r="L271">
        <f t="shared" si="48"/>
        <v>1.63971</v>
      </c>
      <c r="M271">
        <f t="shared" si="49"/>
        <v>0.51766300584000002</v>
      </c>
      <c r="N271" s="9"/>
      <c r="O271" s="22">
        <v>1.2142900000000001</v>
      </c>
      <c r="P271" s="22">
        <v>101</v>
      </c>
      <c r="Q271" s="22">
        <v>-6.2286399999999999E-4</v>
      </c>
      <c r="R271" s="22">
        <v>261</v>
      </c>
      <c r="S271" s="22">
        <v>1.2136800000000001</v>
      </c>
      <c r="T271">
        <f t="shared" si="50"/>
        <v>0.62286399999999997</v>
      </c>
      <c r="U271">
        <f t="shared" si="51"/>
        <v>0.75633752655999997</v>
      </c>
      <c r="X271" s="9"/>
      <c r="Y271" s="22">
        <v>0.31570399999999998</v>
      </c>
      <c r="Z271" s="22">
        <v>150.07900000000001</v>
      </c>
      <c r="AA271" s="22">
        <v>-1.39587E-3</v>
      </c>
      <c r="AB271" s="22">
        <v>261</v>
      </c>
      <c r="AC271" s="22">
        <v>0.31503300000000001</v>
      </c>
      <c r="AD271">
        <f t="shared" si="52"/>
        <v>1.3958699999999999</v>
      </c>
      <c r="AE271">
        <f t="shared" si="53"/>
        <v>0.44068174247999997</v>
      </c>
      <c r="AF271" s="9"/>
      <c r="AG271" s="22">
        <v>1.2142900000000001</v>
      </c>
      <c r="AH271" s="22">
        <v>199.32900000000001</v>
      </c>
      <c r="AI271" s="22">
        <v>-4.7467000000000001E-4</v>
      </c>
      <c r="AJ271" s="22">
        <v>261</v>
      </c>
      <c r="AK271" s="22">
        <v>1.2127699999999999</v>
      </c>
      <c r="AL271">
        <f t="shared" si="54"/>
        <v>0.47466999999999998</v>
      </c>
      <c r="AM271">
        <f t="shared" si="55"/>
        <v>0.57638703430000005</v>
      </c>
      <c r="AP271" s="9"/>
      <c r="AQ271" s="22">
        <v>0.31570399999999998</v>
      </c>
      <c r="AR271" s="22">
        <v>248.47300000000001</v>
      </c>
      <c r="AS271" s="22">
        <v>-1.2716699999999999E-3</v>
      </c>
      <c r="AT271" s="22">
        <v>261</v>
      </c>
      <c r="AU271" s="22">
        <v>0.31512499999999999</v>
      </c>
      <c r="AV271">
        <f t="shared" si="56"/>
        <v>1.2716699999999999</v>
      </c>
      <c r="AW271">
        <f t="shared" si="57"/>
        <v>0.40147130567999995</v>
      </c>
      <c r="AX271" s="9"/>
      <c r="AY271" s="22">
        <v>1.2142900000000001</v>
      </c>
      <c r="AZ271" s="22">
        <v>297.63299999999998</v>
      </c>
      <c r="BA271" s="22">
        <v>-4.0600599999999999E-4</v>
      </c>
      <c r="BB271" s="22">
        <v>261</v>
      </c>
      <c r="BC271" s="22">
        <v>1.2136800000000001</v>
      </c>
      <c r="BD271">
        <f t="shared" si="58"/>
        <v>0.40600599999999998</v>
      </c>
      <c r="BE271">
        <f t="shared" si="59"/>
        <v>0.49300902574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0.31066899999999997</v>
      </c>
      <c r="H272" s="22">
        <v>51.950699999999998</v>
      </c>
      <c r="I272" s="22">
        <v>-1.64215E-3</v>
      </c>
      <c r="J272" s="22">
        <v>262</v>
      </c>
      <c r="K272" s="22">
        <v>0.310089</v>
      </c>
      <c r="L272">
        <f t="shared" si="48"/>
        <v>1.64215</v>
      </c>
      <c r="M272">
        <f t="shared" si="49"/>
        <v>0.5101650983499999</v>
      </c>
      <c r="N272" s="9"/>
      <c r="O272" s="22">
        <v>1.21933</v>
      </c>
      <c r="P272" s="22">
        <v>101.01</v>
      </c>
      <c r="Q272" s="22">
        <v>-6.2164299999999996E-4</v>
      </c>
      <c r="R272" s="22">
        <v>262</v>
      </c>
      <c r="S272" s="22">
        <v>1.2176499999999999</v>
      </c>
      <c r="T272">
        <f t="shared" si="50"/>
        <v>0.62164299999999995</v>
      </c>
      <c r="U272">
        <f t="shared" si="51"/>
        <v>0.75798795918999995</v>
      </c>
      <c r="X272" s="9"/>
      <c r="Y272" s="22">
        <v>0.31066899999999997</v>
      </c>
      <c r="Z272" s="22">
        <v>150.09</v>
      </c>
      <c r="AA272" s="22">
        <v>-1.39832E-3</v>
      </c>
      <c r="AB272" s="22">
        <v>262</v>
      </c>
      <c r="AC272" s="22">
        <v>0.31005899999999997</v>
      </c>
      <c r="AD272">
        <f t="shared" si="52"/>
        <v>1.39832</v>
      </c>
      <c r="AE272">
        <f t="shared" si="53"/>
        <v>0.43441467607999995</v>
      </c>
      <c r="AF272" s="9"/>
      <c r="AG272" s="22">
        <v>1.21933</v>
      </c>
      <c r="AH272" s="22">
        <v>199.339</v>
      </c>
      <c r="AI272" s="22">
        <v>-4.6951300000000002E-4</v>
      </c>
      <c r="AJ272" s="22">
        <v>262</v>
      </c>
      <c r="AK272" s="22">
        <v>1.2182599999999999</v>
      </c>
      <c r="AL272">
        <f t="shared" si="54"/>
        <v>0.46951300000000001</v>
      </c>
      <c r="AM272">
        <f t="shared" si="55"/>
        <v>0.57249128629000001</v>
      </c>
      <c r="AP272" s="9"/>
      <c r="AQ272" s="22">
        <v>0.31066899999999997</v>
      </c>
      <c r="AR272" s="22">
        <v>248.483</v>
      </c>
      <c r="AS272" s="22">
        <v>-1.2744099999999999E-3</v>
      </c>
      <c r="AT272" s="22">
        <v>262</v>
      </c>
      <c r="AU272" s="22">
        <v>0.31012000000000001</v>
      </c>
      <c r="AV272">
        <f t="shared" si="56"/>
        <v>1.2744099999999998</v>
      </c>
      <c r="AW272">
        <f t="shared" si="57"/>
        <v>0.39591968028999991</v>
      </c>
      <c r="AX272" s="9"/>
      <c r="AY272" s="22">
        <v>1.21933</v>
      </c>
      <c r="AZ272" s="22">
        <v>297.64299999999997</v>
      </c>
      <c r="BA272" s="22">
        <v>-4.0176399999999998E-4</v>
      </c>
      <c r="BB272" s="22">
        <v>262</v>
      </c>
      <c r="BC272" s="22">
        <v>1.2185699999999999</v>
      </c>
      <c r="BD272">
        <f t="shared" si="58"/>
        <v>0.40176400000000001</v>
      </c>
      <c r="BE272">
        <f t="shared" si="59"/>
        <v>0.48988289812000002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0.30563400000000002</v>
      </c>
      <c r="H273" s="22">
        <v>51.960799999999999</v>
      </c>
      <c r="I273" s="22">
        <v>-1.6448999999999999E-3</v>
      </c>
      <c r="J273" s="22">
        <v>263</v>
      </c>
      <c r="K273" s="22">
        <v>0.30502299999999999</v>
      </c>
      <c r="L273">
        <f t="shared" si="48"/>
        <v>1.6449</v>
      </c>
      <c r="M273">
        <f t="shared" si="49"/>
        <v>0.50273736660000001</v>
      </c>
      <c r="N273" s="9"/>
      <c r="O273" s="22">
        <v>1.22437</v>
      </c>
      <c r="P273" s="22">
        <v>101.02</v>
      </c>
      <c r="Q273" s="22">
        <v>-6.1737100000000002E-4</v>
      </c>
      <c r="R273" s="22">
        <v>263</v>
      </c>
      <c r="S273" s="22">
        <v>1.2231399999999999</v>
      </c>
      <c r="T273">
        <f t="shared" si="50"/>
        <v>0.617371</v>
      </c>
      <c r="U273">
        <f t="shared" si="51"/>
        <v>0.75589053126999994</v>
      </c>
      <c r="X273" s="9"/>
      <c r="Y273" s="22">
        <v>0.30563400000000002</v>
      </c>
      <c r="Z273" s="22">
        <v>150.1</v>
      </c>
      <c r="AA273" s="22">
        <v>-1.40106E-3</v>
      </c>
      <c r="AB273" s="22">
        <v>263</v>
      </c>
      <c r="AC273" s="22">
        <v>0.30508400000000002</v>
      </c>
      <c r="AD273">
        <f t="shared" si="52"/>
        <v>1.40106</v>
      </c>
      <c r="AE273">
        <f t="shared" si="53"/>
        <v>0.42821157203999999</v>
      </c>
      <c r="AF273" s="9"/>
      <c r="AG273" s="22">
        <v>1.22437</v>
      </c>
      <c r="AH273" s="22">
        <v>199.34899999999999</v>
      </c>
      <c r="AI273" s="22">
        <v>-4.6386700000000002E-4</v>
      </c>
      <c r="AJ273" s="22">
        <v>263</v>
      </c>
      <c r="AK273" s="22">
        <v>1.2234499999999999</v>
      </c>
      <c r="AL273">
        <f t="shared" si="54"/>
        <v>0.46386700000000003</v>
      </c>
      <c r="AM273">
        <f t="shared" si="55"/>
        <v>0.56794483879000002</v>
      </c>
      <c r="AP273" s="9"/>
      <c r="AQ273" s="22">
        <v>0.30563400000000002</v>
      </c>
      <c r="AR273" s="22">
        <v>248.49299999999999</v>
      </c>
      <c r="AS273" s="22">
        <v>-1.2768600000000001E-3</v>
      </c>
      <c r="AT273" s="22">
        <v>263</v>
      </c>
      <c r="AU273" s="22">
        <v>0.30511500000000003</v>
      </c>
      <c r="AV273">
        <f t="shared" si="56"/>
        <v>1.2768600000000001</v>
      </c>
      <c r="AW273">
        <f t="shared" si="57"/>
        <v>0.39025182924000007</v>
      </c>
      <c r="AX273" s="9"/>
      <c r="AY273" s="22">
        <v>1.22437</v>
      </c>
      <c r="AZ273" s="22">
        <v>297.65300000000002</v>
      </c>
      <c r="BA273" s="22">
        <v>-3.9846800000000002E-4</v>
      </c>
      <c r="BB273" s="22">
        <v>263</v>
      </c>
      <c r="BC273" s="22">
        <v>1.2234499999999999</v>
      </c>
      <c r="BD273">
        <f t="shared" si="58"/>
        <v>0.39846800000000004</v>
      </c>
      <c r="BE273">
        <f t="shared" si="59"/>
        <v>0.48787226516000004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0.30059799999999998</v>
      </c>
      <c r="H274" s="22">
        <v>51.9709</v>
      </c>
      <c r="I274" s="22">
        <v>-1.64734E-3</v>
      </c>
      <c r="J274" s="22">
        <v>264</v>
      </c>
      <c r="K274" s="22">
        <v>0.30004900000000001</v>
      </c>
      <c r="L274">
        <f t="shared" si="48"/>
        <v>1.64734</v>
      </c>
      <c r="M274">
        <f t="shared" si="49"/>
        <v>0.49518710931999999</v>
      </c>
      <c r="N274" s="9"/>
      <c r="O274" s="22">
        <v>1.2294</v>
      </c>
      <c r="P274" s="22">
        <v>101.03</v>
      </c>
      <c r="Q274" s="22">
        <v>-6.1401399999999997E-4</v>
      </c>
      <c r="R274" s="22">
        <v>264</v>
      </c>
      <c r="S274" s="22">
        <v>1.22803</v>
      </c>
      <c r="T274">
        <f t="shared" si="50"/>
        <v>0.61401399999999995</v>
      </c>
      <c r="U274">
        <f t="shared" si="51"/>
        <v>0.75486881159999997</v>
      </c>
      <c r="X274" s="9"/>
      <c r="Y274" s="22">
        <v>0.30059799999999998</v>
      </c>
      <c r="Z274" s="22">
        <v>150.11000000000001</v>
      </c>
      <c r="AA274" s="22">
        <v>-1.4019799999999999E-3</v>
      </c>
      <c r="AB274" s="22">
        <v>264</v>
      </c>
      <c r="AC274" s="22">
        <v>0.30001800000000001</v>
      </c>
      <c r="AD274">
        <f t="shared" si="52"/>
        <v>1.40198</v>
      </c>
      <c r="AE274">
        <f t="shared" si="53"/>
        <v>0.42143238403999994</v>
      </c>
      <c r="AF274" s="9"/>
      <c r="AG274" s="22">
        <v>1.2294</v>
      </c>
      <c r="AH274" s="22">
        <v>199.35900000000001</v>
      </c>
      <c r="AI274" s="22">
        <v>-4.5910599999999998E-4</v>
      </c>
      <c r="AJ274" s="22">
        <v>264</v>
      </c>
      <c r="AK274" s="22">
        <v>1.22864</v>
      </c>
      <c r="AL274">
        <f t="shared" si="54"/>
        <v>0.45910599999999996</v>
      </c>
      <c r="AM274">
        <f t="shared" si="55"/>
        <v>0.56442491639999992</v>
      </c>
      <c r="AP274" s="9"/>
      <c r="AQ274" s="22">
        <v>0.30059799999999998</v>
      </c>
      <c r="AR274" s="22">
        <v>248.50399999999999</v>
      </c>
      <c r="AS274" s="22">
        <v>-1.27991E-3</v>
      </c>
      <c r="AT274" s="22">
        <v>264</v>
      </c>
      <c r="AU274" s="22">
        <v>0.30001800000000001</v>
      </c>
      <c r="AV274">
        <f t="shared" si="56"/>
        <v>1.2799099999999999</v>
      </c>
      <c r="AW274">
        <f t="shared" si="57"/>
        <v>0.38473838617999995</v>
      </c>
      <c r="AX274" s="9"/>
      <c r="AY274" s="22">
        <v>1.2294</v>
      </c>
      <c r="AZ274" s="22">
        <v>297.66300000000001</v>
      </c>
      <c r="BA274" s="22">
        <v>-3.9324999999999999E-4</v>
      </c>
      <c r="BB274" s="22">
        <v>264</v>
      </c>
      <c r="BC274" s="22">
        <v>1.2289399999999999</v>
      </c>
      <c r="BD274">
        <f t="shared" si="58"/>
        <v>0.39324999999999999</v>
      </c>
      <c r="BE274">
        <f t="shared" si="59"/>
        <v>0.48346155000000002</v>
      </c>
    </row>
    <row r="275" spans="6:101">
      <c r="F275" s="9"/>
      <c r="G275" s="22">
        <v>0.29556300000000002</v>
      </c>
      <c r="H275" s="22">
        <v>51.981000000000002</v>
      </c>
      <c r="I275" s="22">
        <v>-1.65161E-3</v>
      </c>
      <c r="J275" s="22">
        <v>265</v>
      </c>
      <c r="K275" s="22">
        <v>0.29492200000000002</v>
      </c>
      <c r="L275">
        <f t="shared" si="48"/>
        <v>1.65161</v>
      </c>
      <c r="M275">
        <f t="shared" si="49"/>
        <v>0.48815480643000003</v>
      </c>
      <c r="N275" s="9"/>
      <c r="O275" s="22">
        <v>1.23444</v>
      </c>
      <c r="P275" s="22">
        <v>101.04</v>
      </c>
      <c r="Q275" s="22">
        <v>-6.0821499999999995E-4</v>
      </c>
      <c r="R275" s="22">
        <v>265</v>
      </c>
      <c r="S275" s="22">
        <v>1.2335199999999999</v>
      </c>
      <c r="T275">
        <f t="shared" si="50"/>
        <v>0.60821499999999995</v>
      </c>
      <c r="U275">
        <f t="shared" si="51"/>
        <v>0.75080492459999992</v>
      </c>
      <c r="X275" s="9"/>
      <c r="Y275" s="22">
        <v>0.29556300000000002</v>
      </c>
      <c r="Z275" s="22">
        <v>150.12</v>
      </c>
      <c r="AA275" s="22">
        <v>-1.40442E-3</v>
      </c>
      <c r="AB275" s="22">
        <v>265</v>
      </c>
      <c r="AC275" s="22">
        <v>0.29495199999999999</v>
      </c>
      <c r="AD275">
        <f t="shared" si="52"/>
        <v>1.40442</v>
      </c>
      <c r="AE275">
        <f t="shared" si="53"/>
        <v>0.41509458846000002</v>
      </c>
      <c r="AF275" s="9"/>
      <c r="AG275" s="22">
        <v>1.23444</v>
      </c>
      <c r="AH275" s="22">
        <v>199.369</v>
      </c>
      <c r="AI275" s="22">
        <v>-4.5498700000000001E-4</v>
      </c>
      <c r="AJ275" s="22">
        <v>265</v>
      </c>
      <c r="AK275" s="22">
        <v>1.2335199999999999</v>
      </c>
      <c r="AL275">
        <f t="shared" si="54"/>
        <v>0.45498700000000003</v>
      </c>
      <c r="AM275">
        <f t="shared" si="55"/>
        <v>0.56165415228000004</v>
      </c>
      <c r="AP275" s="9"/>
      <c r="AQ275" s="22">
        <v>0.29556300000000002</v>
      </c>
      <c r="AR275" s="22">
        <v>248.51400000000001</v>
      </c>
      <c r="AS275" s="22">
        <v>-1.2829600000000001E-3</v>
      </c>
      <c r="AT275" s="22">
        <v>265</v>
      </c>
      <c r="AU275" s="22">
        <v>0.29492200000000002</v>
      </c>
      <c r="AV275">
        <f t="shared" si="56"/>
        <v>1.2829600000000001</v>
      </c>
      <c r="AW275">
        <f t="shared" si="57"/>
        <v>0.37919550648000006</v>
      </c>
      <c r="AX275" s="9"/>
      <c r="AY275" s="22">
        <v>1.23444</v>
      </c>
      <c r="AZ275" s="22">
        <v>297.673</v>
      </c>
      <c r="BA275" s="22">
        <v>-3.8784799999999999E-4</v>
      </c>
      <c r="BB275" s="22">
        <v>265</v>
      </c>
      <c r="BC275" s="22">
        <v>1.2335199999999999</v>
      </c>
      <c r="BD275">
        <f t="shared" si="58"/>
        <v>0.38784799999999997</v>
      </c>
      <c r="BE275">
        <f t="shared" si="59"/>
        <v>0.47877508511999994</v>
      </c>
    </row>
    <row r="276" spans="6:101">
      <c r="F276" s="9"/>
      <c r="G276" s="22">
        <v>0.29052699999999998</v>
      </c>
      <c r="H276" s="22">
        <v>51.991</v>
      </c>
      <c r="I276" s="22">
        <v>-1.6543599999999999E-3</v>
      </c>
      <c r="J276" s="22">
        <v>266</v>
      </c>
      <c r="K276" s="22">
        <v>0.28991699999999998</v>
      </c>
      <c r="L276">
        <f t="shared" si="48"/>
        <v>1.6543599999999998</v>
      </c>
      <c r="M276">
        <f t="shared" si="49"/>
        <v>0.48063624771999991</v>
      </c>
      <c r="N276" s="9"/>
      <c r="O276" s="22">
        <v>1.2394700000000001</v>
      </c>
      <c r="P276" s="22">
        <v>101.05</v>
      </c>
      <c r="Q276" s="22">
        <v>-6.0424800000000005E-4</v>
      </c>
      <c r="R276" s="22">
        <v>266</v>
      </c>
      <c r="S276" s="22">
        <v>1.2383999999999999</v>
      </c>
      <c r="T276">
        <f t="shared" si="50"/>
        <v>0.60424800000000001</v>
      </c>
      <c r="U276">
        <f t="shared" si="51"/>
        <v>0.74894726856000005</v>
      </c>
      <c r="X276" s="9"/>
      <c r="Y276" s="22">
        <v>0.29052699999999998</v>
      </c>
      <c r="Z276" s="22">
        <v>150.13</v>
      </c>
      <c r="AA276" s="22">
        <v>-1.4059400000000001E-3</v>
      </c>
      <c r="AB276" s="22">
        <v>266</v>
      </c>
      <c r="AC276" s="22">
        <v>0.28988599999999998</v>
      </c>
      <c r="AD276">
        <f t="shared" si="52"/>
        <v>1.40594</v>
      </c>
      <c r="AE276">
        <f t="shared" si="53"/>
        <v>0.40846353037999994</v>
      </c>
      <c r="AF276" s="9"/>
      <c r="AG276" s="22">
        <v>1.2394700000000001</v>
      </c>
      <c r="AH276" s="22">
        <v>199.37899999999999</v>
      </c>
      <c r="AI276" s="22">
        <v>-4.4949299999999997E-4</v>
      </c>
      <c r="AJ276" s="22">
        <v>266</v>
      </c>
      <c r="AK276" s="22">
        <v>1.23871</v>
      </c>
      <c r="AL276">
        <f t="shared" si="54"/>
        <v>0.44949299999999998</v>
      </c>
      <c r="AM276">
        <f t="shared" si="55"/>
        <v>0.55713308871</v>
      </c>
      <c r="AP276" s="9"/>
      <c r="AQ276" s="22">
        <v>0.29052699999999998</v>
      </c>
      <c r="AR276" s="22">
        <v>248.524</v>
      </c>
      <c r="AS276" s="22">
        <v>-1.28601E-3</v>
      </c>
      <c r="AT276" s="22">
        <v>266</v>
      </c>
      <c r="AU276" s="22">
        <v>0.28994799999999998</v>
      </c>
      <c r="AV276">
        <f t="shared" si="56"/>
        <v>1.2860099999999999</v>
      </c>
      <c r="AW276">
        <f t="shared" si="57"/>
        <v>0.37362062726999995</v>
      </c>
      <c r="AX276" s="9"/>
      <c r="AY276" s="22">
        <v>1.2394700000000001</v>
      </c>
      <c r="AZ276" s="22">
        <v>297.68299999999999</v>
      </c>
      <c r="BA276" s="22">
        <v>-3.8333099999999999E-4</v>
      </c>
      <c r="BB276" s="22">
        <v>266</v>
      </c>
      <c r="BC276" s="22">
        <v>1.2381</v>
      </c>
      <c r="BD276">
        <f t="shared" si="58"/>
        <v>0.38333099999999998</v>
      </c>
      <c r="BE276">
        <f t="shared" si="59"/>
        <v>0.47512727456999998</v>
      </c>
    </row>
    <row r="277" spans="6:101">
      <c r="F277" s="9"/>
      <c r="G277" s="22">
        <v>0.28549200000000002</v>
      </c>
      <c r="H277" s="22">
        <v>52.001100000000001</v>
      </c>
      <c r="I277" s="22">
        <v>-1.6586299999999999E-3</v>
      </c>
      <c r="J277" s="22">
        <v>267</v>
      </c>
      <c r="K277" s="22">
        <v>0.28488200000000002</v>
      </c>
      <c r="L277">
        <f t="shared" si="48"/>
        <v>1.6586299999999998</v>
      </c>
      <c r="M277">
        <f t="shared" si="49"/>
        <v>0.47352559595999999</v>
      </c>
      <c r="N277" s="9"/>
      <c r="O277" s="22">
        <v>1.24451</v>
      </c>
      <c r="P277" s="22">
        <v>101.06100000000001</v>
      </c>
      <c r="Q277" s="22">
        <v>-6.0089099999999999E-4</v>
      </c>
      <c r="R277" s="22">
        <v>267</v>
      </c>
      <c r="S277" s="22">
        <v>1.24298</v>
      </c>
      <c r="T277">
        <f t="shared" si="50"/>
        <v>0.60089099999999995</v>
      </c>
      <c r="U277">
        <f t="shared" si="51"/>
        <v>0.74781485840999995</v>
      </c>
      <c r="X277" s="9"/>
      <c r="Y277" s="22">
        <v>0.28549200000000002</v>
      </c>
      <c r="Z277" s="22">
        <v>150.13999999999999</v>
      </c>
      <c r="AA277" s="22">
        <v>-1.41022E-3</v>
      </c>
      <c r="AB277" s="22">
        <v>267</v>
      </c>
      <c r="AC277" s="22">
        <v>0.28488200000000002</v>
      </c>
      <c r="AD277">
        <f t="shared" si="52"/>
        <v>1.41022</v>
      </c>
      <c r="AE277">
        <f t="shared" si="53"/>
        <v>0.40260652824000004</v>
      </c>
      <c r="AF277" s="9"/>
      <c r="AG277" s="22">
        <v>1.24451</v>
      </c>
      <c r="AH277" s="22">
        <v>199.38900000000001</v>
      </c>
      <c r="AI277" s="22">
        <v>-4.4503799999999998E-4</v>
      </c>
      <c r="AJ277" s="22">
        <v>267</v>
      </c>
      <c r="AK277" s="22">
        <v>1.2439</v>
      </c>
      <c r="AL277">
        <f t="shared" si="54"/>
        <v>0.44503799999999999</v>
      </c>
      <c r="AM277">
        <f t="shared" si="55"/>
        <v>0.55385424137999995</v>
      </c>
      <c r="AP277" s="9"/>
      <c r="AQ277" s="22">
        <v>0.28549200000000002</v>
      </c>
      <c r="AR277" s="22">
        <v>248.53399999999999</v>
      </c>
      <c r="AS277" s="22">
        <v>-1.2887599999999999E-3</v>
      </c>
      <c r="AT277" s="22">
        <v>267</v>
      </c>
      <c r="AU277" s="22">
        <v>0.28488200000000002</v>
      </c>
      <c r="AV277">
        <f t="shared" si="56"/>
        <v>1.2887599999999999</v>
      </c>
      <c r="AW277">
        <f t="shared" si="57"/>
        <v>0.36793066992000001</v>
      </c>
      <c r="AX277" s="9"/>
      <c r="AY277" s="22">
        <v>1.24451</v>
      </c>
      <c r="AZ277" s="22">
        <v>297.69299999999998</v>
      </c>
      <c r="BA277" s="22">
        <v>-3.7835700000000001E-4</v>
      </c>
      <c r="BB277" s="22">
        <v>267</v>
      </c>
      <c r="BC277" s="22">
        <v>1.24329</v>
      </c>
      <c r="BD277">
        <f t="shared" si="58"/>
        <v>0.378357</v>
      </c>
      <c r="BE277">
        <f t="shared" si="59"/>
        <v>0.47086907007000001</v>
      </c>
    </row>
    <row r="278" spans="6:101">
      <c r="F278" s="9"/>
      <c r="G278" s="22">
        <v>0.28045700000000001</v>
      </c>
      <c r="H278" s="22">
        <v>52.011200000000002</v>
      </c>
      <c r="I278" s="22">
        <v>-1.66107E-3</v>
      </c>
      <c r="J278" s="22">
        <v>268</v>
      </c>
      <c r="K278" s="22">
        <v>0.27990700000000002</v>
      </c>
      <c r="L278">
        <f t="shared" si="48"/>
        <v>1.66107</v>
      </c>
      <c r="M278">
        <f t="shared" si="49"/>
        <v>0.46585870899000004</v>
      </c>
      <c r="N278" s="9"/>
      <c r="O278" s="22">
        <v>1.2495400000000001</v>
      </c>
      <c r="P278" s="22">
        <v>101.071</v>
      </c>
      <c r="Q278" s="22">
        <v>-5.9661899999999995E-4</v>
      </c>
      <c r="R278" s="22">
        <v>268</v>
      </c>
      <c r="S278" s="22">
        <v>1.24847</v>
      </c>
      <c r="T278">
        <f t="shared" si="50"/>
        <v>0.5966189999999999</v>
      </c>
      <c r="U278">
        <f t="shared" si="51"/>
        <v>0.74549930525999997</v>
      </c>
      <c r="X278" s="9"/>
      <c r="Y278" s="22">
        <v>0.28045700000000001</v>
      </c>
      <c r="Z278" s="22">
        <v>150.15</v>
      </c>
      <c r="AA278" s="22">
        <v>-1.4114399999999999E-3</v>
      </c>
      <c r="AB278" s="22">
        <v>268</v>
      </c>
      <c r="AC278" s="22">
        <v>0.27984599999999998</v>
      </c>
      <c r="AD278">
        <f t="shared" si="52"/>
        <v>1.4114399999999998</v>
      </c>
      <c r="AE278">
        <f t="shared" si="53"/>
        <v>0.39584822807999998</v>
      </c>
      <c r="AF278" s="9"/>
      <c r="AG278" s="22">
        <v>1.2495400000000001</v>
      </c>
      <c r="AH278" s="22">
        <v>199.399</v>
      </c>
      <c r="AI278" s="22">
        <v>-4.3951400000000001E-4</v>
      </c>
      <c r="AJ278" s="22">
        <v>268</v>
      </c>
      <c r="AK278" s="22">
        <v>1.24847</v>
      </c>
      <c r="AL278">
        <f t="shared" si="54"/>
        <v>0.43951400000000002</v>
      </c>
      <c r="AM278">
        <f t="shared" si="55"/>
        <v>0.54919032356000008</v>
      </c>
      <c r="AP278" s="9"/>
      <c r="AQ278" s="22">
        <v>0.28045700000000001</v>
      </c>
      <c r="AR278" s="22">
        <v>248.54400000000001</v>
      </c>
      <c r="AS278" s="22">
        <v>-1.29181E-3</v>
      </c>
      <c r="AT278" s="22">
        <v>268</v>
      </c>
      <c r="AU278" s="22">
        <v>0.27987699999999999</v>
      </c>
      <c r="AV278">
        <f t="shared" si="56"/>
        <v>1.2918099999999999</v>
      </c>
      <c r="AW278">
        <f t="shared" si="57"/>
        <v>0.36229715716999999</v>
      </c>
      <c r="AX278" s="9"/>
      <c r="AY278" s="22">
        <v>1.2495400000000001</v>
      </c>
      <c r="AZ278" s="22">
        <v>297.70299999999997</v>
      </c>
      <c r="BA278" s="22">
        <v>-3.7228400000000002E-4</v>
      </c>
      <c r="BB278" s="22">
        <v>268</v>
      </c>
      <c r="BC278" s="22">
        <v>1.24847</v>
      </c>
      <c r="BD278">
        <f t="shared" si="58"/>
        <v>0.372284</v>
      </c>
      <c r="BE278">
        <f t="shared" si="59"/>
        <v>0.46518374936000007</v>
      </c>
    </row>
    <row r="279" spans="6:101">
      <c r="F279" s="9"/>
      <c r="G279" s="22">
        <v>0.27542100000000003</v>
      </c>
      <c r="H279" s="22">
        <v>52.0212</v>
      </c>
      <c r="I279" s="22">
        <v>-1.6644299999999999E-3</v>
      </c>
      <c r="J279" s="22">
        <v>269</v>
      </c>
      <c r="K279" s="22">
        <v>0.274841</v>
      </c>
      <c r="L279">
        <f t="shared" si="48"/>
        <v>1.6644299999999999</v>
      </c>
      <c r="M279">
        <f t="shared" si="49"/>
        <v>0.45841897503000001</v>
      </c>
      <c r="N279" s="9"/>
      <c r="O279" s="22">
        <v>1.25458</v>
      </c>
      <c r="P279" s="22">
        <v>101.081</v>
      </c>
      <c r="Q279" s="22">
        <v>-5.92346E-4</v>
      </c>
      <c r="R279" s="22">
        <v>269</v>
      </c>
      <c r="S279" s="22">
        <v>1.25336</v>
      </c>
      <c r="T279">
        <f t="shared" si="50"/>
        <v>0.59234600000000004</v>
      </c>
      <c r="U279">
        <f t="shared" si="51"/>
        <v>0.7431454446800001</v>
      </c>
      <c r="X279" s="9"/>
      <c r="Y279" s="22">
        <v>0.27542100000000003</v>
      </c>
      <c r="Z279" s="22">
        <v>150.16</v>
      </c>
      <c r="AA279" s="22">
        <v>-1.4141799999999999E-3</v>
      </c>
      <c r="AB279" s="22">
        <v>269</v>
      </c>
      <c r="AC279" s="22">
        <v>0.274841</v>
      </c>
      <c r="AD279">
        <f t="shared" si="52"/>
        <v>1.41418</v>
      </c>
      <c r="AE279">
        <f t="shared" si="53"/>
        <v>0.38949486978000003</v>
      </c>
      <c r="AF279" s="9"/>
      <c r="AG279" s="22">
        <v>1.25458</v>
      </c>
      <c r="AH279" s="22">
        <v>199.40899999999999</v>
      </c>
      <c r="AI279" s="22">
        <v>-4.3460100000000001E-4</v>
      </c>
      <c r="AJ279" s="22">
        <v>269</v>
      </c>
      <c r="AK279" s="22">
        <v>1.25366</v>
      </c>
      <c r="AL279">
        <f t="shared" si="54"/>
        <v>0.43460100000000002</v>
      </c>
      <c r="AM279">
        <f t="shared" si="55"/>
        <v>0.54524172258000003</v>
      </c>
      <c r="AP279" s="9"/>
      <c r="AQ279" s="22">
        <v>0.27542100000000003</v>
      </c>
      <c r="AR279" s="22">
        <v>248.554</v>
      </c>
      <c r="AS279" s="22">
        <v>-1.2948600000000001E-3</v>
      </c>
      <c r="AT279" s="22">
        <v>269</v>
      </c>
      <c r="AU279" s="22">
        <v>0.27481100000000003</v>
      </c>
      <c r="AV279">
        <f t="shared" si="56"/>
        <v>1.2948600000000001</v>
      </c>
      <c r="AW279">
        <f t="shared" si="57"/>
        <v>0.35663163606000009</v>
      </c>
      <c r="AX279" s="9"/>
      <c r="AY279" s="22">
        <v>1.25458</v>
      </c>
      <c r="AZ279" s="22">
        <v>297.71300000000002</v>
      </c>
      <c r="BA279" s="22">
        <v>-3.6721799999999999E-4</v>
      </c>
      <c r="BB279" s="22">
        <v>269</v>
      </c>
      <c r="BC279" s="22">
        <v>1.25305</v>
      </c>
      <c r="BD279">
        <f t="shared" si="58"/>
        <v>0.36721799999999999</v>
      </c>
      <c r="BE279">
        <f t="shared" si="59"/>
        <v>0.46070435844000002</v>
      </c>
    </row>
    <row r="280" spans="6:101">
      <c r="F280" s="9"/>
      <c r="G280" s="22">
        <v>0.27038600000000002</v>
      </c>
      <c r="H280" s="22">
        <v>52.031300000000002</v>
      </c>
      <c r="I280" s="22">
        <v>-1.66687E-3</v>
      </c>
      <c r="J280" s="22">
        <v>270</v>
      </c>
      <c r="K280" s="22">
        <v>0.26983600000000002</v>
      </c>
      <c r="L280">
        <f t="shared" si="48"/>
        <v>1.6668700000000001</v>
      </c>
      <c r="M280">
        <f t="shared" si="49"/>
        <v>0.45069831182000003</v>
      </c>
      <c r="N280" s="9"/>
      <c r="O280" s="22">
        <v>1.2596099999999999</v>
      </c>
      <c r="P280" s="22">
        <v>101.09099999999999</v>
      </c>
      <c r="Q280" s="22">
        <v>-5.8624299999999996E-4</v>
      </c>
      <c r="R280" s="22">
        <v>270</v>
      </c>
      <c r="S280" s="22">
        <v>1.25854</v>
      </c>
      <c r="T280">
        <f t="shared" si="50"/>
        <v>0.58624299999999996</v>
      </c>
      <c r="U280">
        <f t="shared" si="51"/>
        <v>0.73843754522999994</v>
      </c>
      <c r="X280" s="9"/>
      <c r="Y280" s="22">
        <v>0.27038600000000002</v>
      </c>
      <c r="Z280" s="22">
        <v>150.16999999999999</v>
      </c>
      <c r="AA280" s="22">
        <v>-1.4175399999999999E-3</v>
      </c>
      <c r="AB280" s="22">
        <v>270</v>
      </c>
      <c r="AC280" s="22">
        <v>0.26977499999999999</v>
      </c>
      <c r="AD280">
        <f t="shared" si="52"/>
        <v>1.4175399999999998</v>
      </c>
      <c r="AE280">
        <f t="shared" si="53"/>
        <v>0.38328297043999998</v>
      </c>
      <c r="AF280" s="9"/>
      <c r="AG280" s="22">
        <v>1.2596099999999999</v>
      </c>
      <c r="AH280" s="22">
        <v>199.42</v>
      </c>
      <c r="AI280" s="22">
        <v>-4.2950399999999999E-4</v>
      </c>
      <c r="AJ280" s="22">
        <v>270</v>
      </c>
      <c r="AK280" s="22">
        <v>1.25854</v>
      </c>
      <c r="AL280">
        <f t="shared" si="54"/>
        <v>0.429504</v>
      </c>
      <c r="AM280">
        <f t="shared" si="55"/>
        <v>0.54100753343999997</v>
      </c>
      <c r="AP280" s="9"/>
      <c r="AQ280" s="22">
        <v>0.27038600000000002</v>
      </c>
      <c r="AR280" s="22">
        <v>248.56399999999999</v>
      </c>
      <c r="AS280" s="22">
        <v>-1.2982200000000001E-3</v>
      </c>
      <c r="AT280" s="22">
        <v>270</v>
      </c>
      <c r="AU280" s="22">
        <v>0.26983600000000002</v>
      </c>
      <c r="AV280">
        <f t="shared" si="56"/>
        <v>1.2982200000000002</v>
      </c>
      <c r="AW280">
        <f t="shared" si="57"/>
        <v>0.35102051292000008</v>
      </c>
      <c r="AX280" s="9"/>
      <c r="AY280" s="22">
        <v>1.2596099999999999</v>
      </c>
      <c r="AZ280" s="22">
        <v>297.72300000000001</v>
      </c>
      <c r="BA280" s="22">
        <v>-3.6282300000000002E-4</v>
      </c>
      <c r="BB280" s="22">
        <v>270</v>
      </c>
      <c r="BC280" s="22">
        <v>1.25824</v>
      </c>
      <c r="BD280">
        <f t="shared" si="58"/>
        <v>0.36282300000000001</v>
      </c>
      <c r="BE280">
        <f t="shared" si="59"/>
        <v>0.45701547902999995</v>
      </c>
    </row>
    <row r="281" spans="6:101">
      <c r="F281" s="9"/>
      <c r="G281" s="22">
        <v>0.26534999999999997</v>
      </c>
      <c r="H281" s="22">
        <v>52.041400000000003</v>
      </c>
      <c r="I281" s="22">
        <v>-1.66931E-3</v>
      </c>
      <c r="J281" s="22">
        <v>271</v>
      </c>
      <c r="K281" s="22">
        <v>0.26473999999999998</v>
      </c>
      <c r="L281">
        <f t="shared" si="48"/>
        <v>1.6693100000000001</v>
      </c>
      <c r="M281">
        <f t="shared" si="49"/>
        <v>0.44295140849999998</v>
      </c>
      <c r="N281" s="9"/>
      <c r="O281" s="22">
        <v>1.2646500000000001</v>
      </c>
      <c r="P281" s="22">
        <v>101.101</v>
      </c>
      <c r="Q281" s="22">
        <v>-5.8258099999999998E-4</v>
      </c>
      <c r="R281" s="22">
        <v>271</v>
      </c>
      <c r="S281" s="22">
        <v>1.26373</v>
      </c>
      <c r="T281">
        <f t="shared" si="50"/>
        <v>0.58258100000000002</v>
      </c>
      <c r="U281">
        <f t="shared" si="51"/>
        <v>0.7367610616500001</v>
      </c>
      <c r="X281" s="9"/>
      <c r="Y281" s="22">
        <v>0.26534999999999997</v>
      </c>
      <c r="Z281" s="22">
        <v>150.18</v>
      </c>
      <c r="AA281" s="22">
        <v>-1.42059E-3</v>
      </c>
      <c r="AB281" s="22">
        <v>271</v>
      </c>
      <c r="AC281" s="22">
        <v>0.26477099999999998</v>
      </c>
      <c r="AD281">
        <f t="shared" si="52"/>
        <v>1.42059</v>
      </c>
      <c r="AE281">
        <f t="shared" si="53"/>
        <v>0.37695355649999995</v>
      </c>
      <c r="AF281" s="9"/>
      <c r="AG281" s="22">
        <v>1.2646500000000001</v>
      </c>
      <c r="AH281" s="22">
        <v>199.43</v>
      </c>
      <c r="AI281" s="22">
        <v>-4.2425500000000001E-4</v>
      </c>
      <c r="AJ281" s="22">
        <v>271</v>
      </c>
      <c r="AK281" s="22">
        <v>1.26373</v>
      </c>
      <c r="AL281">
        <f t="shared" si="54"/>
        <v>0.42425499999999999</v>
      </c>
      <c r="AM281">
        <f t="shared" si="55"/>
        <v>0.53653408575000006</v>
      </c>
      <c r="AP281" s="9"/>
      <c r="AQ281" s="22">
        <v>0.26534999999999997</v>
      </c>
      <c r="AR281" s="22">
        <v>248.57400000000001</v>
      </c>
      <c r="AS281" s="22">
        <v>-1.3006599999999999E-3</v>
      </c>
      <c r="AT281" s="22">
        <v>271</v>
      </c>
      <c r="AU281" s="22">
        <v>0.26473999999999998</v>
      </c>
      <c r="AV281">
        <f t="shared" si="56"/>
        <v>1.3006599999999999</v>
      </c>
      <c r="AW281">
        <f t="shared" si="57"/>
        <v>0.34513013099999995</v>
      </c>
      <c r="AX281" s="9"/>
      <c r="AY281" s="22">
        <v>1.2646500000000001</v>
      </c>
      <c r="AZ281" s="22">
        <v>297.733</v>
      </c>
      <c r="BA281" s="22">
        <v>-3.5726900000000001E-4</v>
      </c>
      <c r="BB281" s="22">
        <v>271</v>
      </c>
      <c r="BC281" s="22">
        <v>1.26373</v>
      </c>
      <c r="BD281">
        <f t="shared" si="58"/>
        <v>0.357269</v>
      </c>
      <c r="BE281">
        <f t="shared" si="59"/>
        <v>0.45182024085</v>
      </c>
    </row>
    <row r="282" spans="6:101">
      <c r="F282" s="9"/>
      <c r="G282" s="22">
        <v>0.26031500000000002</v>
      </c>
      <c r="H282" s="22">
        <v>52.051499999999997</v>
      </c>
      <c r="I282" s="22">
        <v>-1.6717500000000001E-3</v>
      </c>
      <c r="J282" s="22">
        <v>272</v>
      </c>
      <c r="K282" s="22">
        <v>0.25964399999999999</v>
      </c>
      <c r="L282">
        <f t="shared" si="48"/>
        <v>1.6717500000000001</v>
      </c>
      <c r="M282">
        <f t="shared" si="49"/>
        <v>0.43518160125000005</v>
      </c>
      <c r="N282" s="9"/>
      <c r="O282" s="22">
        <v>1.2696799999999999</v>
      </c>
      <c r="P282" s="22">
        <v>101.111</v>
      </c>
      <c r="Q282" s="22">
        <v>-5.78003E-4</v>
      </c>
      <c r="R282" s="22">
        <v>272</v>
      </c>
      <c r="S282" s="22">
        <v>1.26892</v>
      </c>
      <c r="T282">
        <f t="shared" si="50"/>
        <v>0.57800300000000004</v>
      </c>
      <c r="U282">
        <f t="shared" si="51"/>
        <v>0.73387884904</v>
      </c>
      <c r="X282" s="9"/>
      <c r="Y282" s="22">
        <v>0.26031500000000002</v>
      </c>
      <c r="Z282" s="22">
        <v>150.19</v>
      </c>
      <c r="AA282" s="22">
        <v>-1.4245600000000001E-3</v>
      </c>
      <c r="AB282" s="22">
        <v>272</v>
      </c>
      <c r="AC282" s="22">
        <v>0.25973499999999999</v>
      </c>
      <c r="AD282">
        <f t="shared" si="52"/>
        <v>1.42456</v>
      </c>
      <c r="AE282">
        <f t="shared" si="53"/>
        <v>0.37083433640000002</v>
      </c>
      <c r="AF282" s="9"/>
      <c r="AG282" s="22">
        <v>1.2696799999999999</v>
      </c>
      <c r="AH282" s="22">
        <v>199.44</v>
      </c>
      <c r="AI282" s="22">
        <v>-4.1821300000000002E-4</v>
      </c>
      <c r="AJ282" s="22">
        <v>272</v>
      </c>
      <c r="AK282" s="22">
        <v>1.26831</v>
      </c>
      <c r="AL282">
        <f t="shared" si="54"/>
        <v>0.418213</v>
      </c>
      <c r="AM282">
        <f t="shared" si="55"/>
        <v>0.53099668183999993</v>
      </c>
      <c r="AP282" s="9"/>
      <c r="AQ282" s="22">
        <v>0.26031500000000002</v>
      </c>
      <c r="AR282" s="22">
        <v>248.584</v>
      </c>
      <c r="AS282" s="22">
        <v>-1.30371E-3</v>
      </c>
      <c r="AT282" s="22">
        <v>272</v>
      </c>
      <c r="AU282" s="22">
        <v>0.259766</v>
      </c>
      <c r="AV282">
        <f t="shared" si="56"/>
        <v>1.3037099999999999</v>
      </c>
      <c r="AW282">
        <f t="shared" si="57"/>
        <v>0.33937526865000001</v>
      </c>
      <c r="AX282" s="9"/>
      <c r="AY282" s="22">
        <v>1.2696799999999999</v>
      </c>
      <c r="AZ282" s="22">
        <v>297.74400000000003</v>
      </c>
      <c r="BA282" s="22">
        <v>-3.5003699999999998E-4</v>
      </c>
      <c r="BB282" s="22">
        <v>272</v>
      </c>
      <c r="BC282" s="22">
        <v>1.2692300000000001</v>
      </c>
      <c r="BD282">
        <f t="shared" si="58"/>
        <v>0.35003699999999999</v>
      </c>
      <c r="BE282">
        <f t="shared" si="59"/>
        <v>0.44443497815999994</v>
      </c>
    </row>
    <row r="283" spans="6:101">
      <c r="F283" s="9"/>
      <c r="G283" s="22">
        <v>0.25528000000000001</v>
      </c>
      <c r="H283" s="22">
        <v>52.061500000000002</v>
      </c>
      <c r="I283" s="22">
        <v>-1.67633E-3</v>
      </c>
      <c r="J283" s="22">
        <v>273</v>
      </c>
      <c r="K283" s="22">
        <v>0.25466899999999998</v>
      </c>
      <c r="L283">
        <f t="shared" si="48"/>
        <v>1.6763299999999999</v>
      </c>
      <c r="M283">
        <f t="shared" si="49"/>
        <v>0.42793352239999999</v>
      </c>
      <c r="N283" s="9"/>
      <c r="O283" s="22">
        <v>1.2747200000000001</v>
      </c>
      <c r="P283" s="22">
        <v>101.121</v>
      </c>
      <c r="Q283" s="22">
        <v>-5.71289E-4</v>
      </c>
      <c r="R283" s="22">
        <v>273</v>
      </c>
      <c r="S283" s="22">
        <v>1.2735000000000001</v>
      </c>
      <c r="T283">
        <f t="shared" si="50"/>
        <v>0.57128900000000005</v>
      </c>
      <c r="U283">
        <f t="shared" si="51"/>
        <v>0.72823351408000014</v>
      </c>
      <c r="X283" s="9"/>
      <c r="Y283" s="22">
        <v>0.25528000000000001</v>
      </c>
      <c r="Z283" s="22">
        <v>150.19999999999999</v>
      </c>
      <c r="AA283" s="22">
        <v>-1.42731E-3</v>
      </c>
      <c r="AB283" s="22">
        <v>273</v>
      </c>
      <c r="AC283" s="22">
        <v>0.25469999999999998</v>
      </c>
      <c r="AD283">
        <f t="shared" si="52"/>
        <v>1.4273100000000001</v>
      </c>
      <c r="AE283">
        <f t="shared" si="53"/>
        <v>0.36436369680000003</v>
      </c>
      <c r="AF283" s="9"/>
      <c r="AG283" s="22">
        <v>1.2747200000000001</v>
      </c>
      <c r="AH283" s="22">
        <v>199.45</v>
      </c>
      <c r="AI283" s="22">
        <v>-4.1366599999999998E-4</v>
      </c>
      <c r="AJ283" s="22">
        <v>273</v>
      </c>
      <c r="AK283" s="22">
        <v>1.2741100000000001</v>
      </c>
      <c r="AL283">
        <f t="shared" si="54"/>
        <v>0.41366599999999998</v>
      </c>
      <c r="AM283">
        <f t="shared" si="55"/>
        <v>0.52730832352000001</v>
      </c>
      <c r="AP283" s="9"/>
      <c r="AQ283" s="22">
        <v>0.25528000000000001</v>
      </c>
      <c r="AR283" s="22">
        <v>248.59399999999999</v>
      </c>
      <c r="AS283" s="22">
        <v>-1.3067599999999999E-3</v>
      </c>
      <c r="AT283" s="22">
        <v>273</v>
      </c>
      <c r="AU283" s="22">
        <v>0.25473000000000001</v>
      </c>
      <c r="AV283">
        <f t="shared" si="56"/>
        <v>1.3067599999999999</v>
      </c>
      <c r="AW283">
        <f t="shared" si="57"/>
        <v>0.3335896928</v>
      </c>
      <c r="AX283" s="9"/>
      <c r="AY283" s="22">
        <v>1.2747200000000001</v>
      </c>
      <c r="AZ283" s="22">
        <v>297.75400000000002</v>
      </c>
      <c r="BA283" s="22">
        <v>-3.43445E-4</v>
      </c>
      <c r="BB283" s="22">
        <v>273</v>
      </c>
      <c r="BC283" s="22">
        <v>1.2735000000000001</v>
      </c>
      <c r="BD283">
        <f t="shared" si="58"/>
        <v>0.343445</v>
      </c>
      <c r="BE283">
        <f t="shared" si="59"/>
        <v>0.43779621040000005</v>
      </c>
    </row>
    <row r="284" spans="6:101">
      <c r="F284" s="9"/>
      <c r="G284" s="22">
        <v>0.25024400000000002</v>
      </c>
      <c r="H284" s="22">
        <v>52.071599999999997</v>
      </c>
      <c r="I284" s="22">
        <v>-1.67877E-3</v>
      </c>
      <c r="J284" s="22">
        <v>274</v>
      </c>
      <c r="K284" s="22">
        <v>0.249695</v>
      </c>
      <c r="L284">
        <f t="shared" si="48"/>
        <v>1.6787700000000001</v>
      </c>
      <c r="M284">
        <f t="shared" si="49"/>
        <v>0.42010211988000007</v>
      </c>
      <c r="N284" s="9"/>
      <c r="O284" s="22">
        <v>1.2797499999999999</v>
      </c>
      <c r="P284" s="22">
        <v>101.131</v>
      </c>
      <c r="Q284" s="22">
        <v>-5.6518599999999997E-4</v>
      </c>
      <c r="R284" s="22">
        <v>274</v>
      </c>
      <c r="S284" s="22">
        <v>1.2789900000000001</v>
      </c>
      <c r="T284">
        <f t="shared" si="50"/>
        <v>0.56518599999999997</v>
      </c>
      <c r="U284">
        <f t="shared" si="51"/>
        <v>0.72329678349999993</v>
      </c>
      <c r="X284" s="9"/>
      <c r="Y284" s="22">
        <v>0.25024400000000002</v>
      </c>
      <c r="Z284" s="22">
        <v>150.21</v>
      </c>
      <c r="AA284" s="22">
        <v>-1.42975E-3</v>
      </c>
      <c r="AB284" s="22">
        <v>274</v>
      </c>
      <c r="AC284" s="22">
        <v>0.249695</v>
      </c>
      <c r="AD284">
        <f t="shared" si="52"/>
        <v>1.4297500000000001</v>
      </c>
      <c r="AE284">
        <f t="shared" si="53"/>
        <v>0.35778635900000005</v>
      </c>
      <c r="AF284" s="9"/>
      <c r="AG284" s="22">
        <v>1.2797499999999999</v>
      </c>
      <c r="AH284" s="22">
        <v>199.46</v>
      </c>
      <c r="AI284" s="22">
        <v>-4.0756199999999999E-4</v>
      </c>
      <c r="AJ284" s="22">
        <v>274</v>
      </c>
      <c r="AK284" s="22">
        <v>1.2786900000000001</v>
      </c>
      <c r="AL284">
        <f t="shared" si="54"/>
        <v>0.40756199999999998</v>
      </c>
      <c r="AM284">
        <f t="shared" si="55"/>
        <v>0.52157746949999995</v>
      </c>
      <c r="AP284" s="9"/>
      <c r="AQ284" s="22">
        <v>0.25024400000000002</v>
      </c>
      <c r="AR284" s="22">
        <v>248.60400000000001</v>
      </c>
      <c r="AS284" s="22">
        <v>-1.3095100000000001E-3</v>
      </c>
      <c r="AT284" s="22">
        <v>274</v>
      </c>
      <c r="AU284" s="22">
        <v>0.249725</v>
      </c>
      <c r="AV284">
        <f t="shared" si="56"/>
        <v>1.30951</v>
      </c>
      <c r="AW284">
        <f t="shared" si="57"/>
        <v>0.32769702044000004</v>
      </c>
      <c r="AX284" s="9"/>
      <c r="AY284" s="22">
        <v>1.2797499999999999</v>
      </c>
      <c r="AZ284" s="22">
        <v>297.76400000000001</v>
      </c>
      <c r="BA284" s="22">
        <v>-3.3932500000000002E-4</v>
      </c>
      <c r="BB284" s="22">
        <v>274</v>
      </c>
      <c r="BC284" s="22">
        <v>1.2789900000000001</v>
      </c>
      <c r="BD284">
        <f t="shared" si="58"/>
        <v>0.33932500000000004</v>
      </c>
      <c r="BE284">
        <f t="shared" si="59"/>
        <v>0.43425116875000003</v>
      </c>
    </row>
    <row r="285" spans="6:101">
      <c r="F285" s="9"/>
      <c r="G285" s="22">
        <v>0.24520900000000001</v>
      </c>
      <c r="H285" s="22">
        <v>52.081699999999998</v>
      </c>
      <c r="I285" s="22">
        <v>-1.6827400000000001E-3</v>
      </c>
      <c r="J285" s="22">
        <v>275</v>
      </c>
      <c r="K285" s="22">
        <v>0.24468999999999999</v>
      </c>
      <c r="L285">
        <f t="shared" si="48"/>
        <v>1.6827400000000001</v>
      </c>
      <c r="M285">
        <f t="shared" si="49"/>
        <v>0.41262299266000002</v>
      </c>
      <c r="N285" s="9"/>
      <c r="O285" s="22">
        <v>1.2847900000000001</v>
      </c>
      <c r="P285" s="22">
        <v>101.14100000000001</v>
      </c>
      <c r="Q285" s="22">
        <v>-5.5419900000000001E-4</v>
      </c>
      <c r="R285" s="22">
        <v>275</v>
      </c>
      <c r="S285" s="22">
        <v>1.2841800000000001</v>
      </c>
      <c r="T285">
        <f t="shared" si="50"/>
        <v>0.554199</v>
      </c>
      <c r="U285">
        <f t="shared" si="51"/>
        <v>0.71202933321000006</v>
      </c>
      <c r="X285" s="9"/>
      <c r="Y285" s="22">
        <v>0.24520900000000001</v>
      </c>
      <c r="Z285" s="22">
        <v>150.22</v>
      </c>
      <c r="AA285" s="22">
        <v>-1.4325E-3</v>
      </c>
      <c r="AB285" s="22">
        <v>275</v>
      </c>
      <c r="AC285" s="22">
        <v>0.24465899999999999</v>
      </c>
      <c r="AD285">
        <f t="shared" si="52"/>
        <v>1.4324999999999999</v>
      </c>
      <c r="AE285">
        <f t="shared" si="53"/>
        <v>0.35126189250000001</v>
      </c>
      <c r="AF285" s="9"/>
      <c r="AG285" s="22">
        <v>1.2847900000000001</v>
      </c>
      <c r="AH285" s="22">
        <v>199.47</v>
      </c>
      <c r="AI285" s="22">
        <v>-4.0213E-4</v>
      </c>
      <c r="AJ285" s="22">
        <v>275</v>
      </c>
      <c r="AK285" s="22">
        <v>1.2844800000000001</v>
      </c>
      <c r="AL285">
        <f t="shared" si="54"/>
        <v>0.40212999999999999</v>
      </c>
      <c r="AM285">
        <f t="shared" si="55"/>
        <v>0.51665260270000002</v>
      </c>
      <c r="AP285" s="9"/>
      <c r="AQ285" s="22">
        <v>0.24520900000000001</v>
      </c>
      <c r="AR285" s="22">
        <v>248.614</v>
      </c>
      <c r="AS285" s="22">
        <v>-1.3134799999999999E-3</v>
      </c>
      <c r="AT285" s="22">
        <v>275</v>
      </c>
      <c r="AU285" s="22">
        <v>0.24456800000000001</v>
      </c>
      <c r="AV285">
        <f t="shared" si="56"/>
        <v>1.31348</v>
      </c>
      <c r="AW285">
        <f t="shared" si="57"/>
        <v>0.32207711731999999</v>
      </c>
      <c r="AX285" s="9"/>
      <c r="AY285" s="22">
        <v>1.2847900000000001</v>
      </c>
      <c r="AZ285" s="22">
        <v>297.774</v>
      </c>
      <c r="BA285" s="22">
        <v>-3.3370999999999997E-4</v>
      </c>
      <c r="BB285" s="22">
        <v>275</v>
      </c>
      <c r="BC285" s="22">
        <v>1.2835700000000001</v>
      </c>
      <c r="BD285">
        <f t="shared" si="58"/>
        <v>0.33370999999999995</v>
      </c>
      <c r="BE285">
        <f t="shared" si="59"/>
        <v>0.42874727089999998</v>
      </c>
    </row>
    <row r="286" spans="6:101">
      <c r="F286" s="9"/>
      <c r="G286" s="22">
        <v>0.240173</v>
      </c>
      <c r="H286" s="22">
        <v>52.091700000000003</v>
      </c>
      <c r="I286" s="22">
        <v>-1.6848799999999999E-3</v>
      </c>
      <c r="J286" s="22">
        <v>276</v>
      </c>
      <c r="K286" s="22">
        <v>0.239624</v>
      </c>
      <c r="L286">
        <f t="shared" si="48"/>
        <v>1.6848799999999999</v>
      </c>
      <c r="M286">
        <f t="shared" si="49"/>
        <v>0.40466268423999996</v>
      </c>
      <c r="N286" s="9"/>
      <c r="O286" s="22">
        <v>1.28983</v>
      </c>
      <c r="P286" s="22">
        <v>101.151</v>
      </c>
      <c r="Q286" s="22">
        <v>-5.5145300000000003E-4</v>
      </c>
      <c r="R286" s="22">
        <v>276</v>
      </c>
      <c r="S286" s="22">
        <v>1.2893699999999999</v>
      </c>
      <c r="T286">
        <f t="shared" si="50"/>
        <v>0.55145300000000008</v>
      </c>
      <c r="U286">
        <f t="shared" si="51"/>
        <v>0.71128062299000017</v>
      </c>
      <c r="X286" s="9"/>
      <c r="Y286" s="22">
        <v>0.240173</v>
      </c>
      <c r="Z286" s="22">
        <v>150.23099999999999</v>
      </c>
      <c r="AA286" s="22">
        <v>-1.43585E-3</v>
      </c>
      <c r="AB286" s="22">
        <v>276</v>
      </c>
      <c r="AC286" s="22">
        <v>0.239594</v>
      </c>
      <c r="AD286">
        <f t="shared" si="52"/>
        <v>1.4358500000000001</v>
      </c>
      <c r="AE286">
        <f t="shared" si="53"/>
        <v>0.34485240205000001</v>
      </c>
      <c r="AF286" s="9"/>
      <c r="AG286" s="22">
        <v>1.28983</v>
      </c>
      <c r="AH286" s="22">
        <v>199.48</v>
      </c>
      <c r="AI286" s="22">
        <v>-3.9733900000000003E-4</v>
      </c>
      <c r="AJ286" s="22">
        <v>276</v>
      </c>
      <c r="AK286" s="22">
        <v>1.2887599999999999</v>
      </c>
      <c r="AL286">
        <f t="shared" si="54"/>
        <v>0.397339</v>
      </c>
      <c r="AM286">
        <f t="shared" si="55"/>
        <v>0.51249976237000006</v>
      </c>
      <c r="AP286" s="9"/>
      <c r="AQ286" s="22">
        <v>0.240173</v>
      </c>
      <c r="AR286" s="22">
        <v>248.624</v>
      </c>
      <c r="AS286" s="22">
        <v>-1.3208E-3</v>
      </c>
      <c r="AT286" s="22">
        <v>276</v>
      </c>
      <c r="AU286" s="22">
        <v>0.239594</v>
      </c>
      <c r="AV286">
        <f t="shared" si="56"/>
        <v>1.3208</v>
      </c>
      <c r="AW286">
        <f t="shared" si="57"/>
        <v>0.31722049839999999</v>
      </c>
      <c r="AX286" s="9"/>
      <c r="AY286" s="22">
        <v>1.28983</v>
      </c>
      <c r="AZ286" s="22">
        <v>297.78399999999999</v>
      </c>
      <c r="BA286" s="22">
        <v>-3.2791100000000001E-4</v>
      </c>
      <c r="BB286" s="22">
        <v>276</v>
      </c>
      <c r="BC286" s="22">
        <v>1.2884500000000001</v>
      </c>
      <c r="BD286">
        <f t="shared" si="58"/>
        <v>0.32791100000000001</v>
      </c>
      <c r="BE286">
        <f t="shared" si="59"/>
        <v>0.42294944513000005</v>
      </c>
    </row>
    <row r="287" spans="6:101">
      <c r="F287" s="9"/>
      <c r="G287" s="22">
        <v>0.23513800000000001</v>
      </c>
      <c r="H287" s="22">
        <v>52.101799999999997</v>
      </c>
      <c r="I287" s="22">
        <v>-1.68823E-3</v>
      </c>
      <c r="J287" s="22">
        <v>277</v>
      </c>
      <c r="K287" s="22">
        <v>0.23458899999999999</v>
      </c>
      <c r="L287">
        <f t="shared" si="48"/>
        <v>1.6882299999999999</v>
      </c>
      <c r="M287">
        <f t="shared" si="49"/>
        <v>0.39696702573999998</v>
      </c>
      <c r="N287" s="9"/>
      <c r="O287" s="22">
        <v>1.2948599999999999</v>
      </c>
      <c r="P287" s="22">
        <v>101.161</v>
      </c>
      <c r="Q287" s="22">
        <v>-5.4687500000000005E-4</v>
      </c>
      <c r="R287" s="22">
        <v>277</v>
      </c>
      <c r="S287" s="22">
        <v>1.2945599999999999</v>
      </c>
      <c r="T287">
        <f t="shared" si="50"/>
        <v>0.546875</v>
      </c>
      <c r="U287">
        <f t="shared" si="51"/>
        <v>0.70812656249999995</v>
      </c>
      <c r="X287" s="9"/>
      <c r="Y287" s="22">
        <v>0.23513800000000001</v>
      </c>
      <c r="Z287" s="22">
        <v>150.24100000000001</v>
      </c>
      <c r="AA287" s="22">
        <v>-1.43951E-3</v>
      </c>
      <c r="AB287" s="22">
        <v>277</v>
      </c>
      <c r="AC287" s="22">
        <v>0.23458899999999999</v>
      </c>
      <c r="AD287">
        <f t="shared" si="52"/>
        <v>1.4395100000000001</v>
      </c>
      <c r="AE287">
        <f t="shared" si="53"/>
        <v>0.33848350238000002</v>
      </c>
      <c r="AF287" s="9"/>
      <c r="AG287" s="22">
        <v>1.2948599999999999</v>
      </c>
      <c r="AH287" s="22">
        <v>199.49</v>
      </c>
      <c r="AI287" s="22">
        <v>-3.88885E-4</v>
      </c>
      <c r="AJ287" s="22">
        <v>277</v>
      </c>
      <c r="AK287" s="22">
        <v>1.2942499999999999</v>
      </c>
      <c r="AL287">
        <f t="shared" si="54"/>
        <v>0.38888499999999998</v>
      </c>
      <c r="AM287">
        <f t="shared" si="55"/>
        <v>0.5035516310999999</v>
      </c>
      <c r="AP287" s="9"/>
      <c r="AQ287" s="22">
        <v>0.23513800000000001</v>
      </c>
      <c r="AR287" s="22">
        <v>248.63399999999999</v>
      </c>
      <c r="AS287" s="22">
        <v>-1.32507E-3</v>
      </c>
      <c r="AT287" s="22">
        <v>277</v>
      </c>
      <c r="AU287" s="22">
        <v>0.23458899999999999</v>
      </c>
      <c r="AV287">
        <f t="shared" si="56"/>
        <v>1.32507</v>
      </c>
      <c r="AW287">
        <f t="shared" si="57"/>
        <v>0.31157430965999999</v>
      </c>
      <c r="AX287" s="9"/>
      <c r="AY287" s="22">
        <v>1.2948599999999999</v>
      </c>
      <c r="AZ287" s="22">
        <v>297.79399999999998</v>
      </c>
      <c r="BA287" s="22">
        <v>-3.2266199999999998E-4</v>
      </c>
      <c r="BB287" s="22">
        <v>277</v>
      </c>
      <c r="BC287" s="22">
        <v>1.2936399999999999</v>
      </c>
      <c r="BD287">
        <f t="shared" si="58"/>
        <v>0.322662</v>
      </c>
      <c r="BE287">
        <f t="shared" si="59"/>
        <v>0.41780211732</v>
      </c>
    </row>
    <row r="288" spans="6:101">
      <c r="F288" s="9"/>
      <c r="G288" s="22">
        <v>0.230103</v>
      </c>
      <c r="H288" s="22">
        <v>52.111899999999999</v>
      </c>
      <c r="I288" s="22">
        <v>-1.69006E-3</v>
      </c>
      <c r="J288" s="22">
        <v>278</v>
      </c>
      <c r="K288" s="22">
        <v>0.229492</v>
      </c>
      <c r="L288">
        <f t="shared" si="48"/>
        <v>1.6900599999999999</v>
      </c>
      <c r="M288">
        <f t="shared" si="49"/>
        <v>0.38888787617999998</v>
      </c>
      <c r="N288" s="9"/>
      <c r="O288" s="22">
        <v>1.2999000000000001</v>
      </c>
      <c r="P288" s="22">
        <v>101.17100000000001</v>
      </c>
      <c r="Q288" s="22">
        <v>-5.4016100000000005E-4</v>
      </c>
      <c r="R288" s="22">
        <v>278</v>
      </c>
      <c r="S288" s="22">
        <v>1.2991299999999999</v>
      </c>
      <c r="T288">
        <f t="shared" si="50"/>
        <v>0.540161</v>
      </c>
      <c r="U288">
        <f t="shared" si="51"/>
        <v>0.70215528390000004</v>
      </c>
      <c r="X288" s="9"/>
      <c r="Y288" s="22">
        <v>0.230103</v>
      </c>
      <c r="Z288" s="22">
        <v>150.251</v>
      </c>
      <c r="AA288" s="22">
        <v>-1.4422599999999999E-3</v>
      </c>
      <c r="AB288" s="22">
        <v>278</v>
      </c>
      <c r="AC288" s="22">
        <v>0.22961400000000001</v>
      </c>
      <c r="AD288">
        <f t="shared" si="52"/>
        <v>1.4422599999999999</v>
      </c>
      <c r="AE288">
        <f t="shared" si="53"/>
        <v>0.33186835277999999</v>
      </c>
      <c r="AF288" s="9"/>
      <c r="AG288" s="22">
        <v>1.2999000000000001</v>
      </c>
      <c r="AH288" s="22">
        <v>199.5</v>
      </c>
      <c r="AI288" s="22">
        <v>-3.8268999999999998E-4</v>
      </c>
      <c r="AJ288" s="22">
        <v>278</v>
      </c>
      <c r="AK288" s="22">
        <v>1.2988299999999999</v>
      </c>
      <c r="AL288">
        <f t="shared" si="54"/>
        <v>0.38268999999999997</v>
      </c>
      <c r="AM288">
        <f t="shared" si="55"/>
        <v>0.49745873099999999</v>
      </c>
      <c r="AP288" s="9"/>
      <c r="AQ288" s="22">
        <v>0.230103</v>
      </c>
      <c r="AR288" s="22">
        <v>248.64500000000001</v>
      </c>
      <c r="AS288" s="22">
        <v>-1.3269E-3</v>
      </c>
      <c r="AT288" s="22">
        <v>278</v>
      </c>
      <c r="AU288" s="22">
        <v>0.22955300000000001</v>
      </c>
      <c r="AV288">
        <f t="shared" si="56"/>
        <v>1.3269</v>
      </c>
      <c r="AW288">
        <f t="shared" si="57"/>
        <v>0.30532367069999999</v>
      </c>
      <c r="AX288" s="9"/>
      <c r="AY288" s="22">
        <v>1.2999000000000001</v>
      </c>
      <c r="AZ288" s="22">
        <v>297.80399999999997</v>
      </c>
      <c r="BA288" s="22">
        <v>-3.1817599999999998E-4</v>
      </c>
      <c r="BB288" s="22">
        <v>278</v>
      </c>
      <c r="BC288" s="22">
        <v>1.2991299999999999</v>
      </c>
      <c r="BD288">
        <f t="shared" si="58"/>
        <v>0.31817599999999996</v>
      </c>
      <c r="BE288">
        <f t="shared" si="59"/>
        <v>0.41359698239999998</v>
      </c>
    </row>
    <row r="289" spans="6:57">
      <c r="F289" s="9"/>
      <c r="G289" s="22">
        <v>0.22506699999999999</v>
      </c>
      <c r="H289" s="22">
        <v>52.122</v>
      </c>
      <c r="I289" s="22">
        <v>-1.6943399999999999E-3</v>
      </c>
      <c r="J289" s="22">
        <v>279</v>
      </c>
      <c r="K289" s="22">
        <v>0.22448699999999999</v>
      </c>
      <c r="L289">
        <f t="shared" si="48"/>
        <v>1.69434</v>
      </c>
      <c r="M289">
        <f t="shared" si="49"/>
        <v>0.38134002077999996</v>
      </c>
      <c r="N289" s="9"/>
      <c r="O289" s="22">
        <v>1.3049299999999999</v>
      </c>
      <c r="P289" s="22">
        <v>101.181</v>
      </c>
      <c r="Q289" s="22">
        <v>-5.3405800000000002E-4</v>
      </c>
      <c r="R289" s="22">
        <v>279</v>
      </c>
      <c r="S289" s="22">
        <v>1.30341</v>
      </c>
      <c r="T289">
        <f t="shared" si="50"/>
        <v>0.53405800000000003</v>
      </c>
      <c r="U289">
        <f t="shared" si="51"/>
        <v>0.69690830593999997</v>
      </c>
      <c r="X289" s="9"/>
      <c r="Y289" s="22">
        <v>0.22506699999999999</v>
      </c>
      <c r="Z289" s="22">
        <v>150.261</v>
      </c>
      <c r="AA289" s="22">
        <v>-1.44501E-3</v>
      </c>
      <c r="AB289" s="22">
        <v>279</v>
      </c>
      <c r="AC289" s="22">
        <v>0.224518</v>
      </c>
      <c r="AD289">
        <f t="shared" si="52"/>
        <v>1.4450100000000001</v>
      </c>
      <c r="AE289">
        <f t="shared" si="53"/>
        <v>0.32522406567000001</v>
      </c>
      <c r="AF289" s="9"/>
      <c r="AG289" s="22">
        <v>1.3049299999999999</v>
      </c>
      <c r="AH289" s="22">
        <v>199.51</v>
      </c>
      <c r="AI289" s="22">
        <v>-3.7734999999999998E-4</v>
      </c>
      <c r="AJ289" s="22">
        <v>279</v>
      </c>
      <c r="AK289" s="22">
        <v>1.3043199999999999</v>
      </c>
      <c r="AL289">
        <f t="shared" si="54"/>
        <v>0.37734999999999996</v>
      </c>
      <c r="AM289">
        <f t="shared" si="55"/>
        <v>0.49241533549999994</v>
      </c>
      <c r="AP289" s="9"/>
      <c r="AQ289" s="22">
        <v>0.22506699999999999</v>
      </c>
      <c r="AR289" s="22">
        <v>248.655</v>
      </c>
      <c r="AS289" s="22">
        <v>-1.33026E-3</v>
      </c>
      <c r="AT289" s="22">
        <v>279</v>
      </c>
      <c r="AU289" s="22">
        <v>0.22448699999999999</v>
      </c>
      <c r="AV289">
        <f t="shared" si="56"/>
        <v>1.33026</v>
      </c>
      <c r="AW289">
        <f t="shared" si="57"/>
        <v>0.29939762741999998</v>
      </c>
      <c r="AX289" s="9"/>
      <c r="AY289" s="22">
        <v>1.3049299999999999</v>
      </c>
      <c r="AZ289" s="22">
        <v>297.81400000000002</v>
      </c>
      <c r="BA289" s="22">
        <v>-3.1173699999999997E-4</v>
      </c>
      <c r="BB289" s="22">
        <v>279</v>
      </c>
      <c r="BC289" s="22">
        <v>1.30402</v>
      </c>
      <c r="BD289">
        <f t="shared" si="58"/>
        <v>0.31173699999999999</v>
      </c>
      <c r="BE289">
        <f t="shared" si="59"/>
        <v>0.40679496340999993</v>
      </c>
    </row>
    <row r="290" spans="6:57">
      <c r="F290" s="9"/>
      <c r="G290" s="22">
        <v>0.22003200000000001</v>
      </c>
      <c r="H290" s="22">
        <v>52.131999999999998</v>
      </c>
      <c r="I290" s="22">
        <v>-1.6980000000000001E-3</v>
      </c>
      <c r="J290" s="22">
        <v>280</v>
      </c>
      <c r="K290" s="22">
        <v>0.21948200000000001</v>
      </c>
      <c r="L290">
        <f t="shared" si="48"/>
        <v>1.6980000000000002</v>
      </c>
      <c r="M290">
        <f t="shared" si="49"/>
        <v>0.37361433600000005</v>
      </c>
      <c r="N290" s="9"/>
      <c r="O290" s="22">
        <v>1.3099700000000001</v>
      </c>
      <c r="P290" s="22">
        <v>101.191</v>
      </c>
      <c r="Q290" s="22">
        <v>-5.3192099999999998E-4</v>
      </c>
      <c r="R290" s="22">
        <v>280</v>
      </c>
      <c r="S290" s="22">
        <v>1.3091999999999999</v>
      </c>
      <c r="T290">
        <f t="shared" si="50"/>
        <v>0.53192099999999998</v>
      </c>
      <c r="U290">
        <f t="shared" si="51"/>
        <v>0.69680055237000005</v>
      </c>
      <c r="X290" s="9"/>
      <c r="Y290" s="22">
        <v>0.22003200000000001</v>
      </c>
      <c r="Z290" s="22">
        <v>150.27099999999999</v>
      </c>
      <c r="AA290" s="22">
        <v>-1.4456200000000001E-3</v>
      </c>
      <c r="AB290" s="22">
        <v>280</v>
      </c>
      <c r="AC290" s="22">
        <v>0.21945200000000001</v>
      </c>
      <c r="AD290">
        <f t="shared" si="52"/>
        <v>1.4456200000000001</v>
      </c>
      <c r="AE290">
        <f t="shared" si="53"/>
        <v>0.31808265984000006</v>
      </c>
      <c r="AF290" s="9"/>
      <c r="AG290" s="22">
        <v>1.3099700000000001</v>
      </c>
      <c r="AH290" s="22">
        <v>199.52</v>
      </c>
      <c r="AI290" s="22">
        <v>-3.76587E-4</v>
      </c>
      <c r="AJ290" s="22">
        <v>280</v>
      </c>
      <c r="AK290" s="22">
        <v>1.3089</v>
      </c>
      <c r="AL290">
        <f t="shared" si="54"/>
        <v>0.37658700000000001</v>
      </c>
      <c r="AM290">
        <f t="shared" si="55"/>
        <v>0.49331767239000002</v>
      </c>
      <c r="AP290" s="9"/>
      <c r="AQ290" s="22">
        <v>0.22003200000000001</v>
      </c>
      <c r="AR290" s="22">
        <v>248.66499999999999</v>
      </c>
      <c r="AS290" s="22">
        <v>-1.3327E-3</v>
      </c>
      <c r="AT290" s="22">
        <v>280</v>
      </c>
      <c r="AU290" s="22">
        <v>0.219421</v>
      </c>
      <c r="AV290">
        <f t="shared" si="56"/>
        <v>1.3327</v>
      </c>
      <c r="AW290">
        <f t="shared" si="57"/>
        <v>0.29323664640000002</v>
      </c>
      <c r="AX290" s="9"/>
      <c r="AY290" s="22">
        <v>1.3099700000000001</v>
      </c>
      <c r="AZ290" s="22">
        <v>297.82400000000001</v>
      </c>
      <c r="BA290" s="22">
        <v>-3.0685400000000001E-4</v>
      </c>
      <c r="BB290" s="22">
        <v>280</v>
      </c>
      <c r="BC290" s="22">
        <v>1.3091999999999999</v>
      </c>
      <c r="BD290">
        <f t="shared" si="58"/>
        <v>0.30685400000000002</v>
      </c>
      <c r="BE290">
        <f t="shared" si="59"/>
        <v>0.40196953438000005</v>
      </c>
    </row>
    <row r="291" spans="6:57">
      <c r="F291" s="9"/>
      <c r="G291" s="22">
        <v>0.21499599999999999</v>
      </c>
      <c r="H291" s="22">
        <v>52.142099999999999</v>
      </c>
      <c r="I291" s="22">
        <v>-1.7028799999999999E-3</v>
      </c>
      <c r="J291" s="22">
        <v>281</v>
      </c>
      <c r="K291" s="22">
        <v>0.214508</v>
      </c>
      <c r="L291">
        <f t="shared" si="48"/>
        <v>1.7028799999999999</v>
      </c>
      <c r="M291">
        <f t="shared" si="49"/>
        <v>0.36611238848</v>
      </c>
      <c r="N291" s="9"/>
      <c r="O291" s="22">
        <v>1.3149999999999999</v>
      </c>
      <c r="P291" s="22">
        <v>101.202</v>
      </c>
      <c r="Q291" s="22">
        <v>-5.2642800000000001E-4</v>
      </c>
      <c r="R291" s="22">
        <v>281</v>
      </c>
      <c r="S291" s="22">
        <v>1.31409</v>
      </c>
      <c r="T291">
        <f t="shared" si="50"/>
        <v>0.52642800000000001</v>
      </c>
      <c r="U291">
        <f t="shared" si="51"/>
        <v>0.69225281999999999</v>
      </c>
      <c r="X291" s="9"/>
      <c r="Y291" s="22">
        <v>0.21499599999999999</v>
      </c>
      <c r="Z291" s="22">
        <v>150.28100000000001</v>
      </c>
      <c r="AA291" s="22">
        <v>-1.4474500000000001E-3</v>
      </c>
      <c r="AB291" s="22">
        <v>281</v>
      </c>
      <c r="AC291" s="22">
        <v>0.214478</v>
      </c>
      <c r="AD291">
        <f t="shared" si="52"/>
        <v>1.4474500000000001</v>
      </c>
      <c r="AE291">
        <f t="shared" si="53"/>
        <v>0.31119596020000001</v>
      </c>
      <c r="AF291" s="9"/>
      <c r="AG291" s="22">
        <v>1.3149999999999999</v>
      </c>
      <c r="AH291" s="22">
        <v>199.53</v>
      </c>
      <c r="AI291" s="22">
        <v>-3.7020899999999998E-4</v>
      </c>
      <c r="AJ291" s="22">
        <v>281</v>
      </c>
      <c r="AK291" s="22">
        <v>1.3137799999999999</v>
      </c>
      <c r="AL291">
        <f t="shared" si="54"/>
        <v>0.37020899999999995</v>
      </c>
      <c r="AM291">
        <f t="shared" si="55"/>
        <v>0.4868248349999999</v>
      </c>
      <c r="AP291" s="9"/>
      <c r="AQ291" s="22">
        <v>0.21499599999999999</v>
      </c>
      <c r="AR291" s="22">
        <v>248.67500000000001</v>
      </c>
      <c r="AS291" s="22">
        <v>-1.33545E-3</v>
      </c>
      <c r="AT291" s="22">
        <v>281</v>
      </c>
      <c r="AU291" s="22">
        <v>0.214447</v>
      </c>
      <c r="AV291">
        <f t="shared" si="56"/>
        <v>1.33545</v>
      </c>
      <c r="AW291">
        <f t="shared" si="57"/>
        <v>0.28711640820000001</v>
      </c>
      <c r="AX291" s="9"/>
      <c r="AY291" s="22">
        <v>1.3149999999999999</v>
      </c>
      <c r="AZ291" s="22">
        <v>297.834</v>
      </c>
      <c r="BA291" s="22">
        <v>-3.00659E-4</v>
      </c>
      <c r="BB291" s="22">
        <v>281</v>
      </c>
      <c r="BC291" s="22">
        <v>1.31409</v>
      </c>
      <c r="BD291">
        <f t="shared" si="58"/>
        <v>0.30065900000000001</v>
      </c>
      <c r="BE291">
        <f t="shared" si="59"/>
        <v>0.39536658499999999</v>
      </c>
    </row>
    <row r="292" spans="6:57">
      <c r="F292" s="9"/>
      <c r="G292" s="22">
        <v>0.20996100000000001</v>
      </c>
      <c r="H292" s="22">
        <v>52.152200000000001</v>
      </c>
      <c r="I292" s="22">
        <v>-1.70593E-3</v>
      </c>
      <c r="J292" s="22">
        <v>282</v>
      </c>
      <c r="K292" s="22">
        <v>0.20947299999999999</v>
      </c>
      <c r="L292">
        <f t="shared" si="48"/>
        <v>1.7059299999999999</v>
      </c>
      <c r="M292">
        <f t="shared" si="49"/>
        <v>0.35817876872999999</v>
      </c>
      <c r="N292" s="9"/>
      <c r="O292" s="22">
        <v>1.3200400000000001</v>
      </c>
      <c r="P292" s="22">
        <v>101.212</v>
      </c>
      <c r="Q292" s="22">
        <v>-5.2520799999999999E-4</v>
      </c>
      <c r="R292" s="22">
        <v>282</v>
      </c>
      <c r="S292" s="22">
        <v>1.3192699999999999</v>
      </c>
      <c r="T292">
        <f t="shared" si="50"/>
        <v>0.52520800000000001</v>
      </c>
      <c r="U292">
        <f t="shared" si="51"/>
        <v>0.69329556832000006</v>
      </c>
      <c r="X292" s="9"/>
      <c r="Y292" s="22">
        <v>0.20996100000000001</v>
      </c>
      <c r="Z292" s="22">
        <v>150.291</v>
      </c>
      <c r="AA292" s="22">
        <v>-1.4514199999999999E-3</v>
      </c>
      <c r="AB292" s="22">
        <v>282</v>
      </c>
      <c r="AC292" s="22">
        <v>0.20941199999999999</v>
      </c>
      <c r="AD292">
        <f t="shared" si="52"/>
        <v>1.4514199999999999</v>
      </c>
      <c r="AE292">
        <f t="shared" si="53"/>
        <v>0.30474159462</v>
      </c>
      <c r="AF292" s="9"/>
      <c r="AG292" s="22">
        <v>1.3200400000000001</v>
      </c>
      <c r="AH292" s="22">
        <v>199.54</v>
      </c>
      <c r="AI292" s="22">
        <v>-3.6016800000000001E-4</v>
      </c>
      <c r="AJ292" s="22">
        <v>282</v>
      </c>
      <c r="AK292" s="22">
        <v>1.3192699999999999</v>
      </c>
      <c r="AL292">
        <f t="shared" si="54"/>
        <v>0.36016799999999999</v>
      </c>
      <c r="AM292">
        <f t="shared" si="55"/>
        <v>0.47543616672</v>
      </c>
      <c r="AP292" s="9"/>
      <c r="AQ292" s="22">
        <v>0.20996100000000001</v>
      </c>
      <c r="AR292" s="22">
        <v>248.685</v>
      </c>
      <c r="AS292" s="22">
        <v>-1.33759E-3</v>
      </c>
      <c r="AT292" s="22">
        <v>282</v>
      </c>
      <c r="AU292" s="22">
        <v>0.20938100000000001</v>
      </c>
      <c r="AV292">
        <f t="shared" si="56"/>
        <v>1.3375900000000001</v>
      </c>
      <c r="AW292">
        <f t="shared" si="57"/>
        <v>0.28084173399000001</v>
      </c>
      <c r="AX292" s="9"/>
      <c r="AY292" s="22">
        <v>1.3200400000000001</v>
      </c>
      <c r="AZ292" s="22">
        <v>297.84399999999999</v>
      </c>
      <c r="BA292" s="22">
        <v>-2.9357899999999998E-4</v>
      </c>
      <c r="BB292" s="22">
        <v>282</v>
      </c>
      <c r="BC292" s="22">
        <v>1.31897</v>
      </c>
      <c r="BD292">
        <f t="shared" si="58"/>
        <v>0.29357899999999998</v>
      </c>
      <c r="BE292">
        <f t="shared" si="59"/>
        <v>0.38753602316000002</v>
      </c>
    </row>
    <row r="293" spans="6:57">
      <c r="F293" s="9"/>
      <c r="G293" s="22">
        <v>0.204926</v>
      </c>
      <c r="H293" s="22">
        <v>52.162199999999999</v>
      </c>
      <c r="I293" s="22">
        <v>-1.70929E-3</v>
      </c>
      <c r="J293" s="22">
        <v>283</v>
      </c>
      <c r="K293" s="22">
        <v>0.20443700000000001</v>
      </c>
      <c r="L293">
        <f t="shared" si="48"/>
        <v>1.70929</v>
      </c>
      <c r="M293">
        <f t="shared" si="49"/>
        <v>0.35027796253999999</v>
      </c>
      <c r="N293" s="9"/>
      <c r="O293" s="22">
        <v>1.32507</v>
      </c>
      <c r="P293" s="22">
        <v>101.22199999999999</v>
      </c>
      <c r="Q293" s="22">
        <v>-5.3924599999999995E-4</v>
      </c>
      <c r="R293" s="22">
        <v>283</v>
      </c>
      <c r="S293" s="22">
        <v>1.32446</v>
      </c>
      <c r="T293">
        <f t="shared" si="50"/>
        <v>0.539246</v>
      </c>
      <c r="U293">
        <f t="shared" si="51"/>
        <v>0.71453869721999996</v>
      </c>
      <c r="X293" s="9"/>
      <c r="Y293" s="22">
        <v>0.204926</v>
      </c>
      <c r="Z293" s="22">
        <v>150.30099999999999</v>
      </c>
      <c r="AA293" s="22">
        <v>-1.45538E-3</v>
      </c>
      <c r="AB293" s="22">
        <v>283</v>
      </c>
      <c r="AC293" s="22">
        <v>0.20440700000000001</v>
      </c>
      <c r="AD293">
        <f t="shared" si="52"/>
        <v>1.4553800000000001</v>
      </c>
      <c r="AE293">
        <f t="shared" si="53"/>
        <v>0.29824520188000003</v>
      </c>
      <c r="AF293" s="9"/>
      <c r="AG293" s="22">
        <v>1.32507</v>
      </c>
      <c r="AH293" s="22">
        <v>199.55</v>
      </c>
      <c r="AI293" s="22">
        <v>-3.5400399999999999E-4</v>
      </c>
      <c r="AJ293" s="22">
        <v>283</v>
      </c>
      <c r="AK293" s="22">
        <v>1.32385</v>
      </c>
      <c r="AL293">
        <f t="shared" si="54"/>
        <v>0.35400399999999999</v>
      </c>
      <c r="AM293">
        <f t="shared" si="55"/>
        <v>0.46908008027999998</v>
      </c>
      <c r="AP293" s="9"/>
      <c r="AQ293" s="22">
        <v>0.204926</v>
      </c>
      <c r="AR293" s="22">
        <v>248.69499999999999</v>
      </c>
      <c r="AS293" s="22">
        <v>-1.3418600000000001E-3</v>
      </c>
      <c r="AT293" s="22">
        <v>283</v>
      </c>
      <c r="AU293" s="22">
        <v>0.20440700000000001</v>
      </c>
      <c r="AV293">
        <f t="shared" si="56"/>
        <v>1.3418600000000001</v>
      </c>
      <c r="AW293">
        <f t="shared" si="57"/>
        <v>0.27498200236000003</v>
      </c>
      <c r="AX293" s="9"/>
      <c r="AY293" s="22">
        <v>1.32507</v>
      </c>
      <c r="AZ293" s="22">
        <v>297.85399999999998</v>
      </c>
      <c r="BA293" s="22">
        <v>-2.87872E-4</v>
      </c>
      <c r="BB293" s="22">
        <v>283</v>
      </c>
      <c r="BC293" s="22">
        <v>1.32385</v>
      </c>
      <c r="BD293">
        <f t="shared" si="58"/>
        <v>0.28787200000000002</v>
      </c>
      <c r="BE293">
        <f t="shared" si="59"/>
        <v>0.38145055104000003</v>
      </c>
    </row>
    <row r="294" spans="6:57">
      <c r="F294" s="9"/>
      <c r="G294" s="22">
        <v>0.19989000000000001</v>
      </c>
      <c r="H294" s="22">
        <v>52.1723</v>
      </c>
      <c r="I294" s="22">
        <v>-1.7099000000000001E-3</v>
      </c>
      <c r="J294" s="22">
        <v>284</v>
      </c>
      <c r="K294" s="22">
        <v>0.199463</v>
      </c>
      <c r="L294">
        <f t="shared" si="48"/>
        <v>1.7099000000000002</v>
      </c>
      <c r="M294">
        <f t="shared" si="49"/>
        <v>0.34179191100000006</v>
      </c>
      <c r="N294" s="9"/>
      <c r="O294" s="22">
        <v>1.3301099999999999</v>
      </c>
      <c r="P294" s="22">
        <v>101.232</v>
      </c>
      <c r="Q294" s="22">
        <v>-5.0659200000000004E-4</v>
      </c>
      <c r="R294" s="22">
        <v>284</v>
      </c>
      <c r="S294" s="22">
        <v>1.32935</v>
      </c>
      <c r="T294">
        <f t="shared" si="50"/>
        <v>0.50659200000000004</v>
      </c>
      <c r="U294">
        <f t="shared" si="51"/>
        <v>0.67382308512</v>
      </c>
      <c r="X294" s="9"/>
      <c r="Y294" s="22">
        <v>0.19989000000000001</v>
      </c>
      <c r="Z294" s="22">
        <v>150.31100000000001</v>
      </c>
      <c r="AA294" s="22">
        <v>-1.4578200000000001E-3</v>
      </c>
      <c r="AB294" s="22">
        <v>284</v>
      </c>
      <c r="AC294" s="22">
        <v>0.19937099999999999</v>
      </c>
      <c r="AD294">
        <f t="shared" si="52"/>
        <v>1.4578200000000001</v>
      </c>
      <c r="AE294">
        <f t="shared" si="53"/>
        <v>0.29140363980000006</v>
      </c>
      <c r="AF294" s="9"/>
      <c r="AG294" s="22">
        <v>1.3301099999999999</v>
      </c>
      <c r="AH294" s="22">
        <v>199.56100000000001</v>
      </c>
      <c r="AI294" s="22">
        <v>-3.4689299999999997E-4</v>
      </c>
      <c r="AJ294" s="22">
        <v>284</v>
      </c>
      <c r="AK294" s="22">
        <v>1.32965</v>
      </c>
      <c r="AL294">
        <f t="shared" si="54"/>
        <v>0.34689299999999995</v>
      </c>
      <c r="AM294">
        <f t="shared" si="55"/>
        <v>0.46140584822999992</v>
      </c>
      <c r="AP294" s="9"/>
      <c r="AQ294" s="22">
        <v>0.19989000000000001</v>
      </c>
      <c r="AR294" s="22">
        <v>248.70500000000001</v>
      </c>
      <c r="AS294" s="22">
        <v>-1.3443000000000001E-3</v>
      </c>
      <c r="AT294" s="22">
        <v>284</v>
      </c>
      <c r="AU294" s="22">
        <v>0.19934099999999999</v>
      </c>
      <c r="AV294">
        <f t="shared" si="56"/>
        <v>1.3443000000000001</v>
      </c>
      <c r="AW294">
        <f t="shared" si="57"/>
        <v>0.26871212700000002</v>
      </c>
      <c r="AX294" s="9"/>
      <c r="AY294" s="22">
        <v>1.3301099999999999</v>
      </c>
      <c r="AZ294" s="22">
        <v>297.86399999999998</v>
      </c>
      <c r="BA294" s="22">
        <v>-2.8961200000000002E-4</v>
      </c>
      <c r="BB294" s="22">
        <v>284</v>
      </c>
      <c r="BC294" s="22">
        <v>1.32904</v>
      </c>
      <c r="BD294">
        <f t="shared" si="58"/>
        <v>0.28961200000000004</v>
      </c>
      <c r="BE294">
        <f t="shared" si="59"/>
        <v>0.38521581732000004</v>
      </c>
    </row>
    <row r="295" spans="6:57">
      <c r="F295" s="9"/>
      <c r="G295" s="22">
        <v>0.194855</v>
      </c>
      <c r="H295" s="22">
        <v>52.182400000000001</v>
      </c>
      <c r="I295" s="22">
        <v>-1.7117300000000001E-3</v>
      </c>
      <c r="J295" s="22">
        <v>285</v>
      </c>
      <c r="K295" s="22">
        <v>0.194275</v>
      </c>
      <c r="L295">
        <f t="shared" si="48"/>
        <v>1.71173</v>
      </c>
      <c r="M295">
        <f t="shared" si="49"/>
        <v>0.33353914914999999</v>
      </c>
      <c r="N295" s="9"/>
      <c r="O295" s="22">
        <v>1.33514</v>
      </c>
      <c r="P295" s="22">
        <v>101.242</v>
      </c>
      <c r="Q295" s="22">
        <v>-4.9987800000000004E-4</v>
      </c>
      <c r="R295" s="22">
        <v>285</v>
      </c>
      <c r="S295" s="22">
        <v>1.33453</v>
      </c>
      <c r="T295">
        <f t="shared" si="50"/>
        <v>0.49987800000000004</v>
      </c>
      <c r="U295">
        <f t="shared" si="51"/>
        <v>0.6674071129200001</v>
      </c>
      <c r="X295" s="9"/>
      <c r="Y295" s="22">
        <v>0.194855</v>
      </c>
      <c r="Z295" s="22">
        <v>150.321</v>
      </c>
      <c r="AA295" s="22">
        <v>-1.4617899999999999E-3</v>
      </c>
      <c r="AB295" s="22">
        <v>285</v>
      </c>
      <c r="AC295" s="22">
        <v>0.19430500000000001</v>
      </c>
      <c r="AD295">
        <f t="shared" si="52"/>
        <v>1.4617899999999999</v>
      </c>
      <c r="AE295">
        <f t="shared" si="53"/>
        <v>0.28483709045</v>
      </c>
      <c r="AF295" s="9"/>
      <c r="AG295" s="22">
        <v>1.33514</v>
      </c>
      <c r="AH295" s="22">
        <v>199.571</v>
      </c>
      <c r="AI295" s="22">
        <v>-3.45032E-4</v>
      </c>
      <c r="AJ295" s="22">
        <v>285</v>
      </c>
      <c r="AK295" s="22">
        <v>1.33392</v>
      </c>
      <c r="AL295">
        <f t="shared" si="54"/>
        <v>0.34503200000000001</v>
      </c>
      <c r="AM295">
        <f t="shared" si="55"/>
        <v>0.46066602447999999</v>
      </c>
      <c r="AP295" s="9"/>
      <c r="AQ295" s="22">
        <v>0.194855</v>
      </c>
      <c r="AR295" s="22">
        <v>248.715</v>
      </c>
      <c r="AS295" s="22">
        <v>-1.3485700000000001E-3</v>
      </c>
      <c r="AT295" s="22">
        <v>285</v>
      </c>
      <c r="AU295" s="22">
        <v>0.194275</v>
      </c>
      <c r="AV295">
        <f t="shared" si="56"/>
        <v>1.34857</v>
      </c>
      <c r="AW295">
        <f t="shared" si="57"/>
        <v>0.26277560735</v>
      </c>
      <c r="AX295" s="9"/>
      <c r="AY295" s="22">
        <v>1.33514</v>
      </c>
      <c r="AZ295" s="22">
        <v>297.87400000000002</v>
      </c>
      <c r="BA295" s="22">
        <v>-2.7929700000000002E-4</v>
      </c>
      <c r="BB295" s="22">
        <v>285</v>
      </c>
      <c r="BC295" s="22">
        <v>1.33392</v>
      </c>
      <c r="BD295">
        <f t="shared" si="58"/>
        <v>0.27929700000000002</v>
      </c>
      <c r="BE295">
        <f t="shared" si="59"/>
        <v>0.37290059658000002</v>
      </c>
    </row>
    <row r="296" spans="6:57">
      <c r="F296" s="9"/>
      <c r="G296" s="22">
        <v>0.18981899999999999</v>
      </c>
      <c r="H296" s="22">
        <v>52.192500000000003</v>
      </c>
      <c r="I296" s="22">
        <v>-1.7138699999999999E-3</v>
      </c>
      <c r="J296" s="22">
        <v>286</v>
      </c>
      <c r="K296" s="22">
        <v>0.18923999999999999</v>
      </c>
      <c r="L296">
        <f t="shared" si="48"/>
        <v>1.71387</v>
      </c>
      <c r="M296">
        <f t="shared" si="49"/>
        <v>0.32532508953</v>
      </c>
      <c r="N296" s="9"/>
      <c r="O296" s="22">
        <v>1.3401799999999999</v>
      </c>
      <c r="P296" s="22">
        <v>101.252</v>
      </c>
      <c r="Q296" s="22">
        <v>-4.87274E-4</v>
      </c>
      <c r="R296" s="22">
        <v>286</v>
      </c>
      <c r="S296" s="22">
        <v>1.33911</v>
      </c>
      <c r="T296">
        <f t="shared" si="50"/>
        <v>0.48727399999999998</v>
      </c>
      <c r="U296">
        <f t="shared" si="51"/>
        <v>0.65303486931999999</v>
      </c>
      <c r="X296" s="9"/>
      <c r="Y296" s="22">
        <v>0.18981899999999999</v>
      </c>
      <c r="Z296" s="22">
        <v>150.33099999999999</v>
      </c>
      <c r="AA296" s="22">
        <v>-1.46393E-3</v>
      </c>
      <c r="AB296" s="22">
        <v>286</v>
      </c>
      <c r="AC296" s="22">
        <v>0.18920899999999999</v>
      </c>
      <c r="AD296">
        <f t="shared" si="52"/>
        <v>1.46393</v>
      </c>
      <c r="AE296">
        <f t="shared" si="53"/>
        <v>0.27788172866999999</v>
      </c>
      <c r="AF296" s="9"/>
      <c r="AG296" s="22">
        <v>1.3401799999999999</v>
      </c>
      <c r="AH296" s="22">
        <v>199.58099999999999</v>
      </c>
      <c r="AI296" s="22">
        <v>-3.367E-4</v>
      </c>
      <c r="AJ296" s="22">
        <v>286</v>
      </c>
      <c r="AK296" s="22">
        <v>1.33911</v>
      </c>
      <c r="AL296">
        <f t="shared" si="54"/>
        <v>0.3367</v>
      </c>
      <c r="AM296">
        <f t="shared" si="55"/>
        <v>0.45123860599999999</v>
      </c>
      <c r="AP296" s="9"/>
      <c r="AQ296" s="22">
        <v>0.18981899999999999</v>
      </c>
      <c r="AR296" s="22">
        <v>248.72499999999999</v>
      </c>
      <c r="AS296" s="22">
        <v>-1.3522300000000001E-3</v>
      </c>
      <c r="AT296" s="22">
        <v>286</v>
      </c>
      <c r="AU296" s="22">
        <v>0.18926999999999999</v>
      </c>
      <c r="AV296">
        <f t="shared" si="56"/>
        <v>1.35223</v>
      </c>
      <c r="AW296">
        <f t="shared" si="57"/>
        <v>0.25667894636999999</v>
      </c>
      <c r="AX296" s="9"/>
      <c r="AY296" s="22">
        <v>1.3401799999999999</v>
      </c>
      <c r="AZ296" s="22">
        <v>297.88499999999999</v>
      </c>
      <c r="BA296" s="22">
        <v>-2.6867699999999999E-4</v>
      </c>
      <c r="BB296" s="22">
        <v>286</v>
      </c>
      <c r="BC296" s="22">
        <v>1.3385</v>
      </c>
      <c r="BD296">
        <f t="shared" si="58"/>
        <v>0.268677</v>
      </c>
      <c r="BE296">
        <f t="shared" si="59"/>
        <v>0.36007554185999996</v>
      </c>
    </row>
    <row r="297" spans="6:57">
      <c r="F297" s="9"/>
      <c r="G297" s="22">
        <v>0.184784</v>
      </c>
      <c r="H297" s="22">
        <v>52.202500000000001</v>
      </c>
      <c r="I297" s="22">
        <v>-1.71692E-3</v>
      </c>
      <c r="J297" s="22">
        <v>287</v>
      </c>
      <c r="K297" s="22">
        <v>0.18420400000000001</v>
      </c>
      <c r="L297">
        <f t="shared" si="48"/>
        <v>1.71692</v>
      </c>
      <c r="M297">
        <f t="shared" si="49"/>
        <v>0.31725934527999999</v>
      </c>
      <c r="N297" s="9"/>
      <c r="O297" s="22">
        <v>1.34521</v>
      </c>
      <c r="P297" s="22">
        <v>101.262</v>
      </c>
      <c r="Q297" s="22">
        <v>-4.7753900000000002E-4</v>
      </c>
      <c r="R297" s="22">
        <v>287</v>
      </c>
      <c r="S297" s="22">
        <v>1.3446</v>
      </c>
      <c r="T297">
        <f t="shared" si="50"/>
        <v>0.47753900000000005</v>
      </c>
      <c r="U297">
        <f t="shared" si="51"/>
        <v>0.64239023819000007</v>
      </c>
      <c r="X297" s="9"/>
      <c r="Y297" s="22">
        <v>0.184784</v>
      </c>
      <c r="Z297" s="22">
        <v>150.34100000000001</v>
      </c>
      <c r="AA297" s="22">
        <v>-1.46667E-3</v>
      </c>
      <c r="AB297" s="22">
        <v>287</v>
      </c>
      <c r="AC297" s="22">
        <v>0.18420400000000001</v>
      </c>
      <c r="AD297">
        <f t="shared" si="52"/>
        <v>1.4666699999999999</v>
      </c>
      <c r="AE297">
        <f t="shared" si="53"/>
        <v>0.27101714927999998</v>
      </c>
      <c r="AF297" s="9"/>
      <c r="AG297" s="22">
        <v>1.34521</v>
      </c>
      <c r="AH297" s="22">
        <v>199.59100000000001</v>
      </c>
      <c r="AI297" s="22">
        <v>-3.2745400000000003E-4</v>
      </c>
      <c r="AJ297" s="22">
        <v>287</v>
      </c>
      <c r="AK297" s="22">
        <v>1.3443000000000001</v>
      </c>
      <c r="AL297">
        <f t="shared" si="54"/>
        <v>0.32745400000000002</v>
      </c>
      <c r="AM297">
        <f t="shared" si="55"/>
        <v>0.44049439534000001</v>
      </c>
      <c r="AP297" s="9"/>
      <c r="AQ297" s="22">
        <v>0.184784</v>
      </c>
      <c r="AR297" s="22">
        <v>248.73500000000001</v>
      </c>
      <c r="AS297" s="22">
        <v>-1.3555900000000001E-3</v>
      </c>
      <c r="AT297" s="22">
        <v>287</v>
      </c>
      <c r="AU297" s="22">
        <v>0.18423500000000001</v>
      </c>
      <c r="AV297">
        <f t="shared" si="56"/>
        <v>1.3555900000000001</v>
      </c>
      <c r="AW297">
        <f t="shared" si="57"/>
        <v>0.25049134256</v>
      </c>
      <c r="AX297" s="9"/>
      <c r="AY297" s="22">
        <v>1.34521</v>
      </c>
      <c r="AZ297" s="22">
        <v>297.89499999999998</v>
      </c>
      <c r="BA297" s="22">
        <v>-2.5994899999999999E-4</v>
      </c>
      <c r="BB297" s="22">
        <v>287</v>
      </c>
      <c r="BC297" s="22">
        <v>1.3446</v>
      </c>
      <c r="BD297">
        <f t="shared" si="58"/>
        <v>0.25994899999999999</v>
      </c>
      <c r="BE297">
        <f t="shared" si="59"/>
        <v>0.34968599428999997</v>
      </c>
    </row>
    <row r="298" spans="6:57">
      <c r="F298" s="9"/>
      <c r="G298" s="22">
        <v>0.17974899999999999</v>
      </c>
      <c r="H298" s="22">
        <v>52.212600000000002</v>
      </c>
      <c r="I298" s="22">
        <v>-1.7208900000000001E-3</v>
      </c>
      <c r="J298" s="22">
        <v>288</v>
      </c>
      <c r="K298" s="22">
        <v>0.179199</v>
      </c>
      <c r="L298">
        <f t="shared" si="48"/>
        <v>1.72089</v>
      </c>
      <c r="M298">
        <f t="shared" si="49"/>
        <v>0.30932825661000002</v>
      </c>
      <c r="N298" s="9"/>
      <c r="O298" s="22">
        <v>1.35025</v>
      </c>
      <c r="P298" s="22">
        <v>101.27200000000001</v>
      </c>
      <c r="Q298" s="22">
        <v>-4.71619E-4</v>
      </c>
      <c r="R298" s="22">
        <v>288</v>
      </c>
      <c r="S298" s="22">
        <v>1.3494900000000001</v>
      </c>
      <c r="T298">
        <f t="shared" si="50"/>
        <v>0.47161900000000001</v>
      </c>
      <c r="U298">
        <f t="shared" si="51"/>
        <v>0.63680355474999994</v>
      </c>
      <c r="X298" s="9"/>
      <c r="Y298" s="22">
        <v>0.17974899999999999</v>
      </c>
      <c r="Z298" s="22">
        <v>150.351</v>
      </c>
      <c r="AA298" s="22">
        <v>-1.4688100000000001E-3</v>
      </c>
      <c r="AB298" s="22">
        <v>288</v>
      </c>
      <c r="AC298" s="22">
        <v>0.179199</v>
      </c>
      <c r="AD298">
        <f t="shared" si="52"/>
        <v>1.4688100000000002</v>
      </c>
      <c r="AE298">
        <f t="shared" si="53"/>
        <v>0.26401712869000005</v>
      </c>
      <c r="AF298" s="9"/>
      <c r="AG298" s="22">
        <v>1.35025</v>
      </c>
      <c r="AH298" s="22">
        <v>199.601</v>
      </c>
      <c r="AI298" s="22">
        <v>-3.2113600000000002E-4</v>
      </c>
      <c r="AJ298" s="22">
        <v>288</v>
      </c>
      <c r="AK298" s="22">
        <v>1.34857</v>
      </c>
      <c r="AL298">
        <f t="shared" si="54"/>
        <v>0.32113600000000003</v>
      </c>
      <c r="AM298">
        <f t="shared" si="55"/>
        <v>0.433613884</v>
      </c>
      <c r="AP298" s="9"/>
      <c r="AQ298" s="22">
        <v>0.17974899999999999</v>
      </c>
      <c r="AR298" s="22">
        <v>248.745</v>
      </c>
      <c r="AS298" s="22">
        <v>-1.3571200000000001E-3</v>
      </c>
      <c r="AT298" s="22">
        <v>288</v>
      </c>
      <c r="AU298" s="22">
        <v>0.17916899999999999</v>
      </c>
      <c r="AV298">
        <f t="shared" si="56"/>
        <v>1.3571200000000001</v>
      </c>
      <c r="AW298">
        <f t="shared" si="57"/>
        <v>0.24394096288</v>
      </c>
      <c r="AX298" s="9"/>
      <c r="AY298" s="22">
        <v>1.35025</v>
      </c>
      <c r="AZ298" s="22">
        <v>297.90499999999997</v>
      </c>
      <c r="BA298" s="22">
        <v>-2.52747E-4</v>
      </c>
      <c r="BB298" s="22">
        <v>288</v>
      </c>
      <c r="BC298" s="22">
        <v>1.3494900000000001</v>
      </c>
      <c r="BD298">
        <f t="shared" si="58"/>
        <v>0.252747</v>
      </c>
      <c r="BE298">
        <f t="shared" si="59"/>
        <v>0.34127163675</v>
      </c>
    </row>
    <row r="299" spans="6:57">
      <c r="F299" s="9"/>
      <c r="G299" s="22">
        <v>0.17471300000000001</v>
      </c>
      <c r="H299" s="22">
        <v>52.222700000000003</v>
      </c>
      <c r="I299" s="22">
        <v>-1.7254600000000001E-3</v>
      </c>
      <c r="J299" s="22">
        <v>289</v>
      </c>
      <c r="K299" s="22">
        <v>0.17416400000000001</v>
      </c>
      <c r="L299">
        <f t="shared" si="48"/>
        <v>1.72546</v>
      </c>
      <c r="M299">
        <f t="shared" si="49"/>
        <v>0.30146029297999999</v>
      </c>
      <c r="N299" s="9"/>
      <c r="O299" s="22">
        <v>1.3552900000000001</v>
      </c>
      <c r="P299" s="22">
        <v>101.282</v>
      </c>
      <c r="Q299" s="22">
        <v>-4.6368400000000001E-4</v>
      </c>
      <c r="R299" s="22">
        <v>289</v>
      </c>
      <c r="S299" s="22">
        <v>1.35406</v>
      </c>
      <c r="T299">
        <f t="shared" si="50"/>
        <v>0.46368400000000004</v>
      </c>
      <c r="U299">
        <f t="shared" si="51"/>
        <v>0.62842628836000014</v>
      </c>
      <c r="X299" s="9"/>
      <c r="Y299" s="22">
        <v>0.17471300000000001</v>
      </c>
      <c r="Z299" s="22">
        <v>150.36099999999999</v>
      </c>
      <c r="AA299" s="22">
        <v>-1.47186E-3</v>
      </c>
      <c r="AB299" s="22">
        <v>289</v>
      </c>
      <c r="AC299" s="22">
        <v>0.17419399999999999</v>
      </c>
      <c r="AD299">
        <f t="shared" si="52"/>
        <v>1.4718599999999999</v>
      </c>
      <c r="AE299">
        <f t="shared" si="53"/>
        <v>0.25715307618</v>
      </c>
      <c r="AF299" s="9"/>
      <c r="AG299" s="22">
        <v>1.3552900000000001</v>
      </c>
      <c r="AH299" s="22">
        <v>199.61099999999999</v>
      </c>
      <c r="AI299" s="22">
        <v>-3.1366E-4</v>
      </c>
      <c r="AJ299" s="22">
        <v>289</v>
      </c>
      <c r="AK299" s="22">
        <v>1.3546800000000001</v>
      </c>
      <c r="AL299">
        <f t="shared" si="54"/>
        <v>0.31365999999999999</v>
      </c>
      <c r="AM299">
        <f t="shared" si="55"/>
        <v>0.42510026140000001</v>
      </c>
      <c r="AP299" s="9"/>
      <c r="AQ299" s="22">
        <v>0.17471300000000001</v>
      </c>
      <c r="AR299" s="22">
        <v>248.755</v>
      </c>
      <c r="AS299" s="22">
        <v>-1.36169E-3</v>
      </c>
      <c r="AT299" s="22">
        <v>289</v>
      </c>
      <c r="AU299" s="22">
        <v>0.17416400000000001</v>
      </c>
      <c r="AV299">
        <f t="shared" si="56"/>
        <v>1.3616900000000001</v>
      </c>
      <c r="AW299">
        <f t="shared" si="57"/>
        <v>0.23790494497000003</v>
      </c>
      <c r="AX299" s="9"/>
      <c r="AY299" s="22">
        <v>1.3552900000000001</v>
      </c>
      <c r="AZ299" s="22">
        <v>297.91500000000002</v>
      </c>
      <c r="BA299" s="22">
        <v>-2.4584999999999999E-4</v>
      </c>
      <c r="BB299" s="22">
        <v>289</v>
      </c>
      <c r="BC299" s="22">
        <v>1.3546800000000001</v>
      </c>
      <c r="BD299">
        <f t="shared" si="58"/>
        <v>0.24584999999999999</v>
      </c>
      <c r="BE299">
        <f t="shared" si="59"/>
        <v>0.33319804650000001</v>
      </c>
    </row>
    <row r="300" spans="6:57">
      <c r="F300" s="9"/>
      <c r="G300" s="22">
        <v>0.169678</v>
      </c>
      <c r="H300" s="22">
        <v>52.232700000000001</v>
      </c>
      <c r="I300" s="22">
        <v>-1.72729E-3</v>
      </c>
      <c r="J300" s="22">
        <v>290</v>
      </c>
      <c r="K300" s="22">
        <v>0.169128</v>
      </c>
      <c r="L300">
        <f t="shared" si="48"/>
        <v>1.72729</v>
      </c>
      <c r="M300">
        <f t="shared" si="49"/>
        <v>0.29308311261999997</v>
      </c>
      <c r="N300" s="9"/>
      <c r="O300" s="22">
        <v>1.36032</v>
      </c>
      <c r="P300" s="22">
        <v>101.292</v>
      </c>
      <c r="Q300" s="22">
        <v>-4.5651200000000001E-4</v>
      </c>
      <c r="R300" s="22">
        <v>290</v>
      </c>
      <c r="S300" s="22">
        <v>1.3589500000000001</v>
      </c>
      <c r="T300">
        <f t="shared" si="50"/>
        <v>0.45651200000000003</v>
      </c>
      <c r="U300">
        <f t="shared" si="51"/>
        <v>0.62100240384000005</v>
      </c>
      <c r="X300" s="9"/>
      <c r="Y300" s="22">
        <v>0.169678</v>
      </c>
      <c r="Z300" s="22">
        <v>150.37200000000001</v>
      </c>
      <c r="AA300" s="22">
        <v>-1.4749100000000001E-3</v>
      </c>
      <c r="AB300" s="22">
        <v>290</v>
      </c>
      <c r="AC300" s="22">
        <v>0.169128</v>
      </c>
      <c r="AD300">
        <f t="shared" si="52"/>
        <v>1.4749100000000002</v>
      </c>
      <c r="AE300">
        <f t="shared" si="53"/>
        <v>0.25025977898000001</v>
      </c>
      <c r="AF300" s="9"/>
      <c r="AG300" s="22">
        <v>1.36032</v>
      </c>
      <c r="AH300" s="22">
        <v>199.62100000000001</v>
      </c>
      <c r="AI300" s="22">
        <v>-3.0654899999999998E-4</v>
      </c>
      <c r="AJ300" s="22">
        <v>290</v>
      </c>
      <c r="AK300" s="22">
        <v>1.3595600000000001</v>
      </c>
      <c r="AL300">
        <f t="shared" si="54"/>
        <v>0.30654899999999996</v>
      </c>
      <c r="AM300">
        <f t="shared" si="55"/>
        <v>0.41700473567999996</v>
      </c>
      <c r="AP300" s="9"/>
      <c r="AQ300" s="22">
        <v>0.169678</v>
      </c>
      <c r="AR300" s="22">
        <v>248.76499999999999</v>
      </c>
      <c r="AS300" s="22">
        <v>-1.3638299999999999E-3</v>
      </c>
      <c r="AT300" s="22">
        <v>290</v>
      </c>
      <c r="AU300" s="22">
        <v>0.169159</v>
      </c>
      <c r="AV300">
        <f t="shared" si="56"/>
        <v>1.3638299999999999</v>
      </c>
      <c r="AW300">
        <f t="shared" si="57"/>
        <v>0.23141194673999999</v>
      </c>
      <c r="AX300" s="9"/>
      <c r="AY300" s="22">
        <v>1.36032</v>
      </c>
      <c r="AZ300" s="22">
        <v>297.92500000000001</v>
      </c>
      <c r="BA300" s="22">
        <v>-2.4029499999999999E-4</v>
      </c>
      <c r="BB300" s="22">
        <v>290</v>
      </c>
      <c r="BC300" s="22">
        <v>1.3595600000000001</v>
      </c>
      <c r="BD300">
        <f t="shared" si="58"/>
        <v>0.24029499999999998</v>
      </c>
      <c r="BE300">
        <f t="shared" si="59"/>
        <v>0.32687809439999999</v>
      </c>
    </row>
    <row r="301" spans="6:57">
      <c r="F301" s="9"/>
      <c r="G301" s="22">
        <v>0.16464200000000001</v>
      </c>
      <c r="H301" s="22">
        <v>52.242800000000003</v>
      </c>
      <c r="I301" s="22">
        <v>-1.7303500000000001E-3</v>
      </c>
      <c r="J301" s="22">
        <v>291</v>
      </c>
      <c r="K301" s="22">
        <v>0.16409299999999999</v>
      </c>
      <c r="L301">
        <f t="shared" si="48"/>
        <v>1.7303500000000001</v>
      </c>
      <c r="M301">
        <f t="shared" si="49"/>
        <v>0.28488828470000005</v>
      </c>
      <c r="N301" s="9"/>
      <c r="O301" s="22">
        <v>1.3653599999999999</v>
      </c>
      <c r="P301" s="22">
        <v>101.30200000000001</v>
      </c>
      <c r="Q301" s="22">
        <v>-4.50562E-4</v>
      </c>
      <c r="R301" s="22">
        <v>291</v>
      </c>
      <c r="S301" s="22">
        <v>1.3641399999999999</v>
      </c>
      <c r="T301">
        <f t="shared" si="50"/>
        <v>0.45056200000000002</v>
      </c>
      <c r="U301">
        <f t="shared" si="51"/>
        <v>0.61517933231999999</v>
      </c>
      <c r="X301" s="9"/>
      <c r="Y301" s="22">
        <v>0.16464200000000001</v>
      </c>
      <c r="Z301" s="22">
        <v>150.38200000000001</v>
      </c>
      <c r="AA301" s="22">
        <v>-1.4788799999999999E-3</v>
      </c>
      <c r="AB301" s="22">
        <v>291</v>
      </c>
      <c r="AC301" s="22">
        <v>0.16412399999999999</v>
      </c>
      <c r="AD301">
        <f t="shared" si="52"/>
        <v>1.47888</v>
      </c>
      <c r="AE301">
        <f t="shared" si="53"/>
        <v>0.24348576096000002</v>
      </c>
      <c r="AF301" s="9"/>
      <c r="AG301" s="22">
        <v>1.3653599999999999</v>
      </c>
      <c r="AH301" s="22">
        <v>199.631</v>
      </c>
      <c r="AI301" s="22">
        <v>-2.9855300000000001E-4</v>
      </c>
      <c r="AJ301" s="22">
        <v>291</v>
      </c>
      <c r="AK301" s="22">
        <v>1.3638300000000001</v>
      </c>
      <c r="AL301">
        <f t="shared" si="54"/>
        <v>0.29855300000000001</v>
      </c>
      <c r="AM301">
        <f t="shared" si="55"/>
        <v>0.40763232408</v>
      </c>
      <c r="AP301" s="9"/>
      <c r="AQ301" s="22">
        <v>0.16464200000000001</v>
      </c>
      <c r="AR301" s="22">
        <v>248.77500000000001</v>
      </c>
      <c r="AS301" s="22">
        <v>-1.3662699999999999E-3</v>
      </c>
      <c r="AT301" s="22">
        <v>291</v>
      </c>
      <c r="AU301" s="22">
        <v>0.16412399999999999</v>
      </c>
      <c r="AV301">
        <f t="shared" si="56"/>
        <v>1.3662699999999999</v>
      </c>
      <c r="AW301">
        <f t="shared" si="57"/>
        <v>0.22494542534</v>
      </c>
      <c r="AX301" s="9"/>
      <c r="AY301" s="22">
        <v>1.3653599999999999</v>
      </c>
      <c r="AZ301" s="22">
        <v>297.935</v>
      </c>
      <c r="BA301" s="22">
        <v>-2.2937000000000001E-4</v>
      </c>
      <c r="BB301" s="22">
        <v>291</v>
      </c>
      <c r="BC301" s="22">
        <v>1.3647499999999999</v>
      </c>
      <c r="BD301">
        <f t="shared" si="58"/>
        <v>0.22937000000000002</v>
      </c>
      <c r="BE301">
        <f t="shared" si="59"/>
        <v>0.3131726232</v>
      </c>
    </row>
    <row r="302" spans="6:57">
      <c r="F302" s="9"/>
      <c r="G302" s="22">
        <v>0.159607</v>
      </c>
      <c r="H302" s="22">
        <v>52.252899999999997</v>
      </c>
      <c r="I302" s="22">
        <v>-1.7312600000000001E-3</v>
      </c>
      <c r="J302" s="22">
        <v>292</v>
      </c>
      <c r="K302" s="22">
        <v>0.159058</v>
      </c>
      <c r="L302">
        <f t="shared" si="48"/>
        <v>1.73126</v>
      </c>
      <c r="M302">
        <f t="shared" si="49"/>
        <v>0.27632121481999999</v>
      </c>
      <c r="N302" s="9"/>
      <c r="O302" s="22">
        <v>1.37039</v>
      </c>
      <c r="P302" s="22">
        <v>101.312</v>
      </c>
      <c r="Q302" s="22">
        <v>-4.4274899999999999E-4</v>
      </c>
      <c r="R302" s="22">
        <v>292</v>
      </c>
      <c r="S302" s="22">
        <v>1.3696299999999999</v>
      </c>
      <c r="T302">
        <f t="shared" si="50"/>
        <v>0.442749</v>
      </c>
      <c r="U302">
        <f t="shared" si="51"/>
        <v>0.60673880210999998</v>
      </c>
      <c r="X302" s="9"/>
      <c r="Y302" s="22">
        <v>0.159607</v>
      </c>
      <c r="Z302" s="22">
        <v>150.392</v>
      </c>
      <c r="AA302" s="22">
        <v>-1.4822399999999999E-3</v>
      </c>
      <c r="AB302" s="22">
        <v>292</v>
      </c>
      <c r="AC302" s="22">
        <v>0.15911900000000001</v>
      </c>
      <c r="AD302">
        <f t="shared" si="52"/>
        <v>1.48224</v>
      </c>
      <c r="AE302">
        <f t="shared" si="53"/>
        <v>0.23657587967999999</v>
      </c>
      <c r="AF302" s="9"/>
      <c r="AG302" s="22">
        <v>1.37039</v>
      </c>
      <c r="AH302" s="22">
        <v>199.64099999999999</v>
      </c>
      <c r="AI302" s="22">
        <v>-2.8915400000000002E-4</v>
      </c>
      <c r="AJ302" s="22">
        <v>292</v>
      </c>
      <c r="AK302" s="22">
        <v>1.3696299999999999</v>
      </c>
      <c r="AL302">
        <f t="shared" si="54"/>
        <v>0.28915400000000002</v>
      </c>
      <c r="AM302">
        <f t="shared" si="55"/>
        <v>0.39625375006000002</v>
      </c>
      <c r="AP302" s="9"/>
      <c r="AQ302" s="22">
        <v>0.159607</v>
      </c>
      <c r="AR302" s="22">
        <v>248.786</v>
      </c>
      <c r="AS302" s="22">
        <v>-1.36688E-3</v>
      </c>
      <c r="AT302" s="22">
        <v>292</v>
      </c>
      <c r="AU302" s="22">
        <v>0.159027</v>
      </c>
      <c r="AV302">
        <f t="shared" si="56"/>
        <v>1.3668800000000001</v>
      </c>
      <c r="AW302">
        <f t="shared" si="57"/>
        <v>0.21816361616000002</v>
      </c>
      <c r="AX302" s="9"/>
      <c r="AY302" s="22">
        <v>1.37039</v>
      </c>
      <c r="AZ302" s="22">
        <v>297.94499999999999</v>
      </c>
      <c r="BA302" s="22">
        <v>-2.2152700000000001E-4</v>
      </c>
      <c r="BB302" s="22">
        <v>292</v>
      </c>
      <c r="BC302" s="22">
        <v>1.3696299999999999</v>
      </c>
      <c r="BD302">
        <f t="shared" si="58"/>
        <v>0.221527</v>
      </c>
      <c r="BE302">
        <f t="shared" si="59"/>
        <v>0.30357838552999999</v>
      </c>
    </row>
    <row r="303" spans="6:57">
      <c r="F303" s="9"/>
      <c r="G303" s="22">
        <v>0.15457199999999999</v>
      </c>
      <c r="H303" s="22">
        <v>52.262900000000002</v>
      </c>
      <c r="I303" s="22">
        <v>-1.7355300000000001E-3</v>
      </c>
      <c r="J303" s="22">
        <v>293</v>
      </c>
      <c r="K303" s="22">
        <v>0.154053</v>
      </c>
      <c r="L303">
        <f t="shared" si="48"/>
        <v>1.73553</v>
      </c>
      <c r="M303">
        <f t="shared" si="49"/>
        <v>0.26826434315999997</v>
      </c>
      <c r="N303" s="9"/>
      <c r="O303" s="22">
        <v>1.3754299999999999</v>
      </c>
      <c r="P303" s="22">
        <v>101.322</v>
      </c>
      <c r="Q303" s="22">
        <v>-4.3951400000000001E-4</v>
      </c>
      <c r="R303" s="22">
        <v>293</v>
      </c>
      <c r="S303" s="22">
        <v>1.3745099999999999</v>
      </c>
      <c r="T303">
        <f t="shared" si="50"/>
        <v>0.43951400000000002</v>
      </c>
      <c r="U303">
        <f t="shared" si="51"/>
        <v>0.60452074101999997</v>
      </c>
      <c r="X303" s="9"/>
      <c r="Y303" s="22">
        <v>0.15457199999999999</v>
      </c>
      <c r="Z303" s="22">
        <v>150.40199999999999</v>
      </c>
      <c r="AA303" s="22">
        <v>-1.4855999999999999E-3</v>
      </c>
      <c r="AB303" s="22">
        <v>293</v>
      </c>
      <c r="AC303" s="22">
        <v>0.15402199999999999</v>
      </c>
      <c r="AD303">
        <f t="shared" si="52"/>
        <v>1.4855999999999998</v>
      </c>
      <c r="AE303">
        <f t="shared" si="53"/>
        <v>0.22963216319999996</v>
      </c>
      <c r="AF303" s="9"/>
      <c r="AG303" s="22">
        <v>1.3754299999999999</v>
      </c>
      <c r="AH303" s="22">
        <v>199.65100000000001</v>
      </c>
      <c r="AI303" s="22">
        <v>-2.8424100000000002E-4</v>
      </c>
      <c r="AJ303" s="22">
        <v>293</v>
      </c>
      <c r="AK303" s="22">
        <v>1.3742099999999999</v>
      </c>
      <c r="AL303">
        <f t="shared" si="54"/>
        <v>0.28424100000000002</v>
      </c>
      <c r="AM303">
        <f t="shared" si="55"/>
        <v>0.39095359863000001</v>
      </c>
      <c r="AP303" s="9"/>
      <c r="AQ303" s="22">
        <v>0.15457199999999999</v>
      </c>
      <c r="AR303" s="22">
        <v>248.79599999999999</v>
      </c>
      <c r="AS303" s="22">
        <v>-1.37177E-3</v>
      </c>
      <c r="AT303" s="22">
        <v>293</v>
      </c>
      <c r="AU303" s="22">
        <v>0.15402199999999999</v>
      </c>
      <c r="AV303">
        <f t="shared" si="56"/>
        <v>1.3717699999999999</v>
      </c>
      <c r="AW303">
        <f t="shared" si="57"/>
        <v>0.21203723243999997</v>
      </c>
      <c r="AX303" s="9"/>
      <c r="AY303" s="22">
        <v>1.3754299999999999</v>
      </c>
      <c r="AZ303" s="22">
        <v>297.95499999999998</v>
      </c>
      <c r="BA303" s="22">
        <v>-2.1460000000000001E-4</v>
      </c>
      <c r="BB303" s="22">
        <v>293</v>
      </c>
      <c r="BC303" s="22">
        <v>1.3745099999999999</v>
      </c>
      <c r="BD303">
        <f t="shared" si="58"/>
        <v>0.21460000000000001</v>
      </c>
      <c r="BE303">
        <f t="shared" si="59"/>
        <v>0.29516727799999998</v>
      </c>
    </row>
    <row r="304" spans="6:57">
      <c r="F304" s="9"/>
      <c r="G304" s="22">
        <v>0.149536</v>
      </c>
      <c r="H304" s="22">
        <v>52.273000000000003</v>
      </c>
      <c r="I304" s="22">
        <v>-1.73828E-3</v>
      </c>
      <c r="J304" s="22">
        <v>294</v>
      </c>
      <c r="K304" s="22">
        <v>0.14895600000000001</v>
      </c>
      <c r="L304">
        <f t="shared" si="48"/>
        <v>1.73828</v>
      </c>
      <c r="M304">
        <f t="shared" si="49"/>
        <v>0.25993543808000003</v>
      </c>
      <c r="N304" s="9"/>
      <c r="O304" s="22">
        <v>1.38046</v>
      </c>
      <c r="P304" s="22">
        <v>101.33199999999999</v>
      </c>
      <c r="Q304" s="22">
        <v>-4.2999299999999999E-4</v>
      </c>
      <c r="R304" s="22">
        <v>294</v>
      </c>
      <c r="S304" s="22">
        <v>1.3796999999999999</v>
      </c>
      <c r="T304">
        <f t="shared" si="50"/>
        <v>0.42999300000000001</v>
      </c>
      <c r="U304">
        <f t="shared" si="51"/>
        <v>0.59358813678</v>
      </c>
      <c r="X304" s="9"/>
      <c r="Y304" s="22">
        <v>0.149536</v>
      </c>
      <c r="Z304" s="22">
        <v>150.41200000000001</v>
      </c>
      <c r="AA304" s="22">
        <v>-1.49048E-3</v>
      </c>
      <c r="AB304" s="22">
        <v>294</v>
      </c>
      <c r="AC304" s="22">
        <v>0.14901700000000001</v>
      </c>
      <c r="AD304">
        <f t="shared" si="52"/>
        <v>1.49048</v>
      </c>
      <c r="AE304">
        <f t="shared" si="53"/>
        <v>0.22288041728000002</v>
      </c>
      <c r="AF304" s="9"/>
      <c r="AG304" s="22">
        <v>1.38046</v>
      </c>
      <c r="AH304" s="22">
        <v>199.661</v>
      </c>
      <c r="AI304" s="22">
        <v>-2.7539099999999999E-4</v>
      </c>
      <c r="AJ304" s="22">
        <v>294</v>
      </c>
      <c r="AK304" s="22">
        <v>1.3796999999999999</v>
      </c>
      <c r="AL304">
        <f t="shared" si="54"/>
        <v>0.275391</v>
      </c>
      <c r="AM304">
        <f t="shared" si="55"/>
        <v>0.38016625986000002</v>
      </c>
      <c r="AP304" s="9"/>
      <c r="AQ304" s="22">
        <v>0.149536</v>
      </c>
      <c r="AR304" s="22">
        <v>248.80600000000001</v>
      </c>
      <c r="AS304" s="22">
        <v>-1.3732900000000001E-3</v>
      </c>
      <c r="AT304" s="22">
        <v>294</v>
      </c>
      <c r="AU304" s="22">
        <v>0.14895600000000001</v>
      </c>
      <c r="AV304">
        <f t="shared" si="56"/>
        <v>1.3732900000000001</v>
      </c>
      <c r="AW304">
        <f t="shared" si="57"/>
        <v>0.20535629344000003</v>
      </c>
      <c r="AX304" s="9"/>
      <c r="AY304" s="22">
        <v>1.38046</v>
      </c>
      <c r="AZ304" s="22">
        <v>297.96499999999997</v>
      </c>
      <c r="BA304" s="22">
        <v>-2.0501699999999999E-4</v>
      </c>
      <c r="BB304" s="22">
        <v>294</v>
      </c>
      <c r="BC304" s="22">
        <v>1.3793899999999999</v>
      </c>
      <c r="BD304">
        <f t="shared" si="58"/>
        <v>0.205017</v>
      </c>
      <c r="BE304">
        <f t="shared" si="59"/>
        <v>0.28301776781999999</v>
      </c>
    </row>
    <row r="305" spans="6:57">
      <c r="F305" s="9"/>
      <c r="G305" s="22">
        <v>0.14450099999999999</v>
      </c>
      <c r="H305" s="22">
        <v>52.283099999999997</v>
      </c>
      <c r="I305" s="22">
        <v>-1.7407200000000001E-3</v>
      </c>
      <c r="J305" s="22">
        <v>295</v>
      </c>
      <c r="K305" s="22">
        <v>0.143982</v>
      </c>
      <c r="L305">
        <f t="shared" si="48"/>
        <v>1.74072</v>
      </c>
      <c r="M305">
        <f t="shared" si="49"/>
        <v>0.25153578071999999</v>
      </c>
      <c r="N305" s="9"/>
      <c r="O305" s="22">
        <v>1.3855</v>
      </c>
      <c r="P305" s="22">
        <v>101.343</v>
      </c>
      <c r="Q305" s="22">
        <v>-4.2089800000000001E-4</v>
      </c>
      <c r="R305" s="22">
        <v>295</v>
      </c>
      <c r="S305" s="22">
        <v>1.38428</v>
      </c>
      <c r="T305">
        <f t="shared" si="50"/>
        <v>0.42089799999999999</v>
      </c>
      <c r="U305">
        <f t="shared" si="51"/>
        <v>0.58315417899999999</v>
      </c>
      <c r="X305" s="9"/>
      <c r="Y305" s="22">
        <v>0.14450099999999999</v>
      </c>
      <c r="Z305" s="22">
        <v>150.422</v>
      </c>
      <c r="AA305" s="22">
        <v>-1.4926099999999999E-3</v>
      </c>
      <c r="AB305" s="22">
        <v>295</v>
      </c>
      <c r="AC305" s="22">
        <v>0.143982</v>
      </c>
      <c r="AD305">
        <f t="shared" si="52"/>
        <v>1.49261</v>
      </c>
      <c r="AE305">
        <f t="shared" si="53"/>
        <v>0.21568363760999998</v>
      </c>
      <c r="AF305" s="9"/>
      <c r="AG305" s="22">
        <v>1.3855</v>
      </c>
      <c r="AH305" s="22">
        <v>199.67099999999999</v>
      </c>
      <c r="AI305" s="22">
        <v>-2.6824999999999999E-4</v>
      </c>
      <c r="AJ305" s="22">
        <v>295</v>
      </c>
      <c r="AK305" s="22">
        <v>1.38428</v>
      </c>
      <c r="AL305">
        <f t="shared" si="54"/>
        <v>0.26824999999999999</v>
      </c>
      <c r="AM305">
        <f t="shared" si="55"/>
        <v>0.37166037499999999</v>
      </c>
      <c r="AP305" s="9"/>
      <c r="AQ305" s="22">
        <v>0.14450099999999999</v>
      </c>
      <c r="AR305" s="22">
        <v>248.816</v>
      </c>
      <c r="AS305" s="22">
        <v>-1.3772599999999999E-3</v>
      </c>
      <c r="AT305" s="22">
        <v>295</v>
      </c>
      <c r="AU305" s="22">
        <v>0.143982</v>
      </c>
      <c r="AV305">
        <f t="shared" si="56"/>
        <v>1.3772599999999999</v>
      </c>
      <c r="AW305">
        <f t="shared" si="57"/>
        <v>0.19901544725999998</v>
      </c>
      <c r="AX305" s="9"/>
      <c r="AY305" s="22">
        <v>1.3855</v>
      </c>
      <c r="AZ305" s="22">
        <v>297.97500000000002</v>
      </c>
      <c r="BA305" s="22">
        <v>-1.9653300000000001E-4</v>
      </c>
      <c r="BB305" s="22">
        <v>295</v>
      </c>
      <c r="BC305" s="22">
        <v>1.3845799999999999</v>
      </c>
      <c r="BD305">
        <f t="shared" si="58"/>
        <v>0.19653300000000001</v>
      </c>
      <c r="BE305">
        <f t="shared" si="59"/>
        <v>0.27229647150000003</v>
      </c>
    </row>
    <row r="306" spans="6:57">
      <c r="F306" s="9"/>
      <c r="G306" s="22">
        <v>0.13946500000000001</v>
      </c>
      <c r="H306" s="22">
        <v>52.293199999999999</v>
      </c>
      <c r="I306" s="22">
        <v>-1.7422500000000001E-3</v>
      </c>
      <c r="J306" s="22">
        <v>296</v>
      </c>
      <c r="K306" s="22">
        <v>0.13894699999999999</v>
      </c>
      <c r="L306">
        <f t="shared" si="48"/>
        <v>1.7422500000000001</v>
      </c>
      <c r="M306">
        <f t="shared" si="49"/>
        <v>0.24298289625000002</v>
      </c>
      <c r="N306" s="9"/>
      <c r="O306" s="22">
        <v>1.39053</v>
      </c>
      <c r="P306" s="22">
        <v>101.35299999999999</v>
      </c>
      <c r="Q306" s="22">
        <v>-4.1186499999999997E-4</v>
      </c>
      <c r="R306" s="22">
        <v>296</v>
      </c>
      <c r="S306" s="22">
        <v>1.38916</v>
      </c>
      <c r="T306">
        <f t="shared" si="50"/>
        <v>0.41186499999999998</v>
      </c>
      <c r="U306">
        <f t="shared" si="51"/>
        <v>0.57271063845000003</v>
      </c>
      <c r="X306" s="9"/>
      <c r="Y306" s="22">
        <v>0.13946500000000001</v>
      </c>
      <c r="Z306" s="22">
        <v>150.43199999999999</v>
      </c>
      <c r="AA306" s="22">
        <v>-1.4959699999999999E-3</v>
      </c>
      <c r="AB306" s="22">
        <v>296</v>
      </c>
      <c r="AC306" s="22">
        <v>0.13888500000000001</v>
      </c>
      <c r="AD306">
        <f t="shared" si="52"/>
        <v>1.4959699999999998</v>
      </c>
      <c r="AE306">
        <f t="shared" si="53"/>
        <v>0.20863545604999997</v>
      </c>
      <c r="AF306" s="9"/>
      <c r="AG306" s="22">
        <v>1.39053</v>
      </c>
      <c r="AH306" s="22">
        <v>199.68100000000001</v>
      </c>
      <c r="AI306" s="22">
        <v>-2.5906399999999998E-4</v>
      </c>
      <c r="AJ306" s="22">
        <v>296</v>
      </c>
      <c r="AK306" s="22">
        <v>1.38916</v>
      </c>
      <c r="AL306">
        <f t="shared" si="54"/>
        <v>0.25906399999999996</v>
      </c>
      <c r="AM306">
        <f t="shared" si="55"/>
        <v>0.36023626391999997</v>
      </c>
      <c r="AP306" s="9"/>
      <c r="AQ306" s="22">
        <v>0.13946500000000001</v>
      </c>
      <c r="AR306" s="22">
        <v>248.82599999999999</v>
      </c>
      <c r="AS306" s="22">
        <v>-1.3793900000000001E-3</v>
      </c>
      <c r="AT306" s="22">
        <v>296</v>
      </c>
      <c r="AU306" s="22">
        <v>0.13891600000000001</v>
      </c>
      <c r="AV306">
        <f t="shared" si="56"/>
        <v>1.3793900000000001</v>
      </c>
      <c r="AW306">
        <f t="shared" si="57"/>
        <v>0.19237662635000002</v>
      </c>
      <c r="AX306" s="9"/>
      <c r="AY306" s="22">
        <v>1.39053</v>
      </c>
      <c r="AZ306" s="22">
        <v>297.98500000000001</v>
      </c>
      <c r="BA306" s="22">
        <v>-1.8710299999999999E-4</v>
      </c>
      <c r="BB306" s="22">
        <v>296</v>
      </c>
      <c r="BC306" s="22">
        <v>1.3897699999999999</v>
      </c>
      <c r="BD306">
        <f t="shared" si="58"/>
        <v>0.18710299999999999</v>
      </c>
      <c r="BE306">
        <f t="shared" si="59"/>
        <v>0.26017233459</v>
      </c>
    </row>
    <row r="307" spans="6:57">
      <c r="F307" s="9"/>
      <c r="G307" s="22">
        <v>0.13442999999999999</v>
      </c>
      <c r="H307" s="22">
        <v>52.303199999999997</v>
      </c>
      <c r="I307" s="22">
        <v>-1.7428599999999999E-3</v>
      </c>
      <c r="J307" s="22">
        <v>297</v>
      </c>
      <c r="K307" s="22">
        <v>0.133911</v>
      </c>
      <c r="L307">
        <f t="shared" si="48"/>
        <v>1.7428599999999999</v>
      </c>
      <c r="M307">
        <f t="shared" si="49"/>
        <v>0.23429266979999996</v>
      </c>
      <c r="N307" s="9"/>
      <c r="O307" s="22">
        <v>1.39557</v>
      </c>
      <c r="P307" s="22">
        <v>101.363</v>
      </c>
      <c r="Q307" s="22">
        <v>-4.0298500000000002E-4</v>
      </c>
      <c r="R307" s="22">
        <v>297</v>
      </c>
      <c r="S307" s="22">
        <v>1.3940399999999999</v>
      </c>
      <c r="T307">
        <f t="shared" si="50"/>
        <v>0.40298500000000004</v>
      </c>
      <c r="U307">
        <f t="shared" si="51"/>
        <v>0.56239377644999999</v>
      </c>
      <c r="X307" s="9"/>
      <c r="Y307" s="22">
        <v>0.13442999999999999</v>
      </c>
      <c r="Z307" s="22">
        <v>150.44200000000001</v>
      </c>
      <c r="AA307" s="22">
        <v>-1.49994E-3</v>
      </c>
      <c r="AB307" s="22">
        <v>297</v>
      </c>
      <c r="AC307" s="22">
        <v>0.13394200000000001</v>
      </c>
      <c r="AD307">
        <f t="shared" si="52"/>
        <v>1.4999400000000001</v>
      </c>
      <c r="AE307">
        <f t="shared" si="53"/>
        <v>0.20163693420000001</v>
      </c>
      <c r="AF307" s="9"/>
      <c r="AG307" s="22">
        <v>1.39557</v>
      </c>
      <c r="AH307" s="22">
        <v>199.691</v>
      </c>
      <c r="AI307" s="22">
        <v>-2.49084E-4</v>
      </c>
      <c r="AJ307" s="22">
        <v>297</v>
      </c>
      <c r="AK307" s="22">
        <v>1.39496</v>
      </c>
      <c r="AL307">
        <f t="shared" si="54"/>
        <v>0.249084</v>
      </c>
      <c r="AM307">
        <f t="shared" si="55"/>
        <v>0.34761415788</v>
      </c>
      <c r="AP307" s="9"/>
      <c r="AQ307" s="22">
        <v>0.13442999999999999</v>
      </c>
      <c r="AR307" s="22">
        <v>248.83600000000001</v>
      </c>
      <c r="AS307" s="22">
        <v>-1.3833599999999999E-3</v>
      </c>
      <c r="AT307" s="22">
        <v>297</v>
      </c>
      <c r="AU307" s="22">
        <v>0.133911</v>
      </c>
      <c r="AV307">
        <f t="shared" si="56"/>
        <v>1.3833599999999999</v>
      </c>
      <c r="AW307">
        <f t="shared" si="57"/>
        <v>0.18596508479999999</v>
      </c>
      <c r="AX307" s="9"/>
      <c r="AY307" s="22">
        <v>1.39557</v>
      </c>
      <c r="AZ307" s="22">
        <v>297.995</v>
      </c>
      <c r="BA307" s="22">
        <v>-1.7761200000000001E-4</v>
      </c>
      <c r="BB307" s="22">
        <v>297</v>
      </c>
      <c r="BC307" s="22">
        <v>1.3946499999999999</v>
      </c>
      <c r="BD307">
        <f t="shared" si="58"/>
        <v>0.17761200000000002</v>
      </c>
      <c r="BE307">
        <f t="shared" si="59"/>
        <v>0.24786997884000003</v>
      </c>
    </row>
    <row r="308" spans="6:57">
      <c r="F308" s="9"/>
      <c r="G308" s="22">
        <v>0.12939500000000001</v>
      </c>
      <c r="H308" s="22">
        <v>52.313299999999998</v>
      </c>
      <c r="I308" s="22">
        <v>-1.7428599999999999E-3</v>
      </c>
      <c r="J308" s="22">
        <v>298</v>
      </c>
      <c r="K308" s="22">
        <v>0.12890599999999999</v>
      </c>
      <c r="L308">
        <f t="shared" si="48"/>
        <v>1.7428599999999999</v>
      </c>
      <c r="M308">
        <f t="shared" si="49"/>
        <v>0.2255173697</v>
      </c>
      <c r="N308" s="9"/>
      <c r="O308" s="22">
        <v>1.4006000000000001</v>
      </c>
      <c r="P308" s="22">
        <v>101.373</v>
      </c>
      <c r="Q308" s="22">
        <v>-3.9321899999999999E-4</v>
      </c>
      <c r="R308" s="22">
        <v>298</v>
      </c>
      <c r="S308" s="22">
        <v>1.39984</v>
      </c>
      <c r="T308">
        <f t="shared" si="50"/>
        <v>0.39321899999999999</v>
      </c>
      <c r="U308">
        <f t="shared" si="51"/>
        <v>0.55074253139999996</v>
      </c>
      <c r="X308" s="9"/>
      <c r="Y308" s="22">
        <v>0.12939500000000001</v>
      </c>
      <c r="Z308" s="22">
        <v>150.452</v>
      </c>
      <c r="AA308" s="22">
        <v>-1.5054300000000001E-3</v>
      </c>
      <c r="AB308" s="22">
        <v>298</v>
      </c>
      <c r="AC308" s="22">
        <v>0.12887599999999999</v>
      </c>
      <c r="AD308">
        <f t="shared" si="52"/>
        <v>1.50543</v>
      </c>
      <c r="AE308">
        <f t="shared" si="53"/>
        <v>0.19479511485000003</v>
      </c>
      <c r="AF308" s="9"/>
      <c r="AG308" s="22">
        <v>1.4006000000000001</v>
      </c>
      <c r="AH308" s="22">
        <v>199.702</v>
      </c>
      <c r="AI308" s="22">
        <v>-2.40082E-4</v>
      </c>
      <c r="AJ308" s="22">
        <v>298</v>
      </c>
      <c r="AK308" s="22">
        <v>1.39954</v>
      </c>
      <c r="AL308">
        <f t="shared" si="54"/>
        <v>0.24008199999999999</v>
      </c>
      <c r="AM308">
        <f t="shared" si="55"/>
        <v>0.33625884919999999</v>
      </c>
      <c r="AP308" s="9"/>
      <c r="AQ308" s="22">
        <v>0.12939500000000001</v>
      </c>
      <c r="AR308" s="22">
        <v>248.846</v>
      </c>
      <c r="AS308" s="22">
        <v>-1.3858E-3</v>
      </c>
      <c r="AT308" s="22">
        <v>298</v>
      </c>
      <c r="AU308" s="22">
        <v>0.12887599999999999</v>
      </c>
      <c r="AV308">
        <f t="shared" si="56"/>
        <v>1.3857999999999999</v>
      </c>
      <c r="AW308">
        <f t="shared" si="57"/>
        <v>0.179315591</v>
      </c>
      <c r="AX308" s="9"/>
      <c r="AY308" s="22">
        <v>1.4006000000000001</v>
      </c>
      <c r="AZ308" s="22">
        <v>298.005</v>
      </c>
      <c r="BA308" s="22">
        <v>-1.7211900000000001E-4</v>
      </c>
      <c r="BB308" s="22">
        <v>298</v>
      </c>
      <c r="BC308" s="22">
        <v>1.40015</v>
      </c>
      <c r="BD308">
        <f t="shared" si="58"/>
        <v>0.17211900000000002</v>
      </c>
      <c r="BE308">
        <f t="shared" si="59"/>
        <v>0.24106987140000005</v>
      </c>
    </row>
    <row r="309" spans="6:57">
      <c r="F309" s="9"/>
      <c r="G309" s="22">
        <v>0.124359</v>
      </c>
      <c r="H309" s="22">
        <v>52.323399999999999</v>
      </c>
      <c r="I309" s="22">
        <v>-1.7526200000000001E-3</v>
      </c>
      <c r="J309" s="22">
        <v>299</v>
      </c>
      <c r="K309" s="22">
        <v>0.12381</v>
      </c>
      <c r="L309">
        <f t="shared" si="48"/>
        <v>1.7526200000000001</v>
      </c>
      <c r="M309">
        <f t="shared" si="49"/>
        <v>0.21795407057999999</v>
      </c>
      <c r="N309" s="9"/>
      <c r="O309" s="22">
        <v>1.40564</v>
      </c>
      <c r="P309" s="22">
        <v>101.383</v>
      </c>
      <c r="Q309" s="22">
        <v>-3.8452099999999997E-4</v>
      </c>
      <c r="R309" s="22">
        <v>299</v>
      </c>
      <c r="S309" s="22">
        <v>1.40442</v>
      </c>
      <c r="T309">
        <f t="shared" si="50"/>
        <v>0.38452099999999995</v>
      </c>
      <c r="U309">
        <f t="shared" si="51"/>
        <v>0.54049809843999996</v>
      </c>
      <c r="X309" s="9"/>
      <c r="Y309" s="22">
        <v>0.124359</v>
      </c>
      <c r="Z309" s="22">
        <v>150.46199999999999</v>
      </c>
      <c r="AA309" s="22">
        <v>-1.5078699999999999E-3</v>
      </c>
      <c r="AB309" s="22">
        <v>299</v>
      </c>
      <c r="AC309" s="22">
        <v>0.123871</v>
      </c>
      <c r="AD309">
        <f t="shared" si="52"/>
        <v>1.5078699999999998</v>
      </c>
      <c r="AE309">
        <f t="shared" si="53"/>
        <v>0.18751720532999996</v>
      </c>
      <c r="AF309" s="9"/>
      <c r="AG309" s="22">
        <v>1.40564</v>
      </c>
      <c r="AH309" s="22">
        <v>199.71199999999999</v>
      </c>
      <c r="AI309" s="22">
        <v>-2.2793600000000001E-4</v>
      </c>
      <c r="AJ309" s="22">
        <v>299</v>
      </c>
      <c r="AK309" s="22">
        <v>1.40442</v>
      </c>
      <c r="AL309">
        <f t="shared" si="54"/>
        <v>0.227936</v>
      </c>
      <c r="AM309">
        <f t="shared" si="55"/>
        <v>0.32039595904000001</v>
      </c>
      <c r="AP309" s="9"/>
      <c r="AQ309" s="22">
        <v>0.124359</v>
      </c>
      <c r="AR309" s="22">
        <v>248.85599999999999</v>
      </c>
      <c r="AS309" s="22">
        <v>-1.38977E-3</v>
      </c>
      <c r="AT309" s="22">
        <v>299</v>
      </c>
      <c r="AU309" s="22">
        <v>0.123779</v>
      </c>
      <c r="AV309">
        <f t="shared" si="56"/>
        <v>1.3897699999999999</v>
      </c>
      <c r="AW309">
        <f t="shared" si="57"/>
        <v>0.17283040743</v>
      </c>
      <c r="AX309" s="9"/>
      <c r="AY309" s="22">
        <v>1.40564</v>
      </c>
      <c r="AZ309" s="22">
        <v>298.01499999999999</v>
      </c>
      <c r="BA309" s="22">
        <v>-1.63239E-4</v>
      </c>
      <c r="BB309" s="22">
        <v>299</v>
      </c>
      <c r="BC309" s="22">
        <v>1.40411</v>
      </c>
      <c r="BD309">
        <f t="shared" si="58"/>
        <v>0.163239</v>
      </c>
      <c r="BE309">
        <f t="shared" si="59"/>
        <v>0.22945526795999999</v>
      </c>
    </row>
    <row r="310" spans="6:57">
      <c r="F310" s="9"/>
      <c r="G310" s="22">
        <v>0.119324</v>
      </c>
      <c r="H310" s="22">
        <v>52.333399999999997</v>
      </c>
      <c r="I310" s="22">
        <v>-1.7556799999999999E-3</v>
      </c>
      <c r="J310" s="22">
        <v>300</v>
      </c>
      <c r="K310" s="22">
        <v>0.118835</v>
      </c>
      <c r="L310">
        <f t="shared" si="48"/>
        <v>1.7556799999999999</v>
      </c>
      <c r="M310">
        <f t="shared" si="49"/>
        <v>0.20949476032</v>
      </c>
      <c r="N310" s="9"/>
      <c r="O310" s="22">
        <v>1.4106799999999999</v>
      </c>
      <c r="P310" s="22">
        <v>101.393</v>
      </c>
      <c r="Q310" s="22">
        <v>-3.7573199999999999E-4</v>
      </c>
      <c r="R310" s="22">
        <v>300</v>
      </c>
      <c r="S310" s="22">
        <v>1.4093</v>
      </c>
      <c r="T310">
        <f t="shared" si="50"/>
        <v>0.37573200000000001</v>
      </c>
      <c r="U310">
        <f t="shared" si="51"/>
        <v>0.53003761776000002</v>
      </c>
      <c r="X310" s="9"/>
      <c r="Y310" s="22">
        <v>0.119324</v>
      </c>
      <c r="Z310" s="22">
        <v>150.47200000000001</v>
      </c>
      <c r="AA310" s="22">
        <v>-1.5121500000000001E-3</v>
      </c>
      <c r="AB310" s="22">
        <v>300</v>
      </c>
      <c r="AC310" s="22">
        <v>0.11880499999999999</v>
      </c>
      <c r="AD310">
        <f t="shared" si="52"/>
        <v>1.5121500000000001</v>
      </c>
      <c r="AE310">
        <f t="shared" si="53"/>
        <v>0.18043578660000001</v>
      </c>
      <c r="AF310" s="9"/>
      <c r="AG310" s="22">
        <v>1.4106799999999999</v>
      </c>
      <c r="AH310" s="22">
        <v>199.72200000000001</v>
      </c>
      <c r="AI310" s="22">
        <v>-2.1661400000000001E-4</v>
      </c>
      <c r="AJ310" s="22">
        <v>300</v>
      </c>
      <c r="AK310" s="22">
        <v>1.40991</v>
      </c>
      <c r="AL310">
        <f t="shared" si="54"/>
        <v>0.216614</v>
      </c>
      <c r="AM310">
        <f t="shared" si="55"/>
        <v>0.30557303751999998</v>
      </c>
      <c r="AP310" s="9"/>
      <c r="AQ310" s="22">
        <v>0.119324</v>
      </c>
      <c r="AR310" s="22">
        <v>248.86600000000001</v>
      </c>
      <c r="AS310" s="22">
        <v>-1.3919099999999999E-3</v>
      </c>
      <c r="AT310" s="22">
        <v>300</v>
      </c>
      <c r="AU310" s="22">
        <v>0.118866</v>
      </c>
      <c r="AV310">
        <f t="shared" si="56"/>
        <v>1.39191</v>
      </c>
      <c r="AW310">
        <f t="shared" si="57"/>
        <v>0.16608826884</v>
      </c>
      <c r="AX310" s="9"/>
      <c r="AY310" s="22">
        <v>1.4106799999999999</v>
      </c>
      <c r="AZ310" s="22">
        <v>298.02600000000001</v>
      </c>
      <c r="BA310" s="22">
        <v>-1.5460199999999999E-4</v>
      </c>
      <c r="BB310" s="22">
        <v>300</v>
      </c>
      <c r="BC310" s="22">
        <v>1.40961</v>
      </c>
      <c r="BD310">
        <f t="shared" si="58"/>
        <v>0.15460199999999999</v>
      </c>
      <c r="BE310">
        <f t="shared" si="59"/>
        <v>0.21809394935999998</v>
      </c>
    </row>
    <row r="311" spans="6:57">
      <c r="F311" s="9"/>
      <c r="G311" s="22">
        <v>0.114288</v>
      </c>
      <c r="H311" s="22">
        <v>52.343499999999999</v>
      </c>
      <c r="I311" s="22">
        <v>-1.7611700000000001E-3</v>
      </c>
      <c r="J311" s="22">
        <v>301</v>
      </c>
      <c r="K311" s="22">
        <v>0.11373900000000001</v>
      </c>
      <c r="L311">
        <f t="shared" si="48"/>
        <v>1.7611700000000001</v>
      </c>
      <c r="M311">
        <f t="shared" si="49"/>
        <v>0.20128059696</v>
      </c>
      <c r="N311" s="9"/>
      <c r="O311" s="22">
        <v>1.41571</v>
      </c>
      <c r="P311" s="22">
        <v>101.40300000000001</v>
      </c>
      <c r="Q311" s="22">
        <v>-3.6498999999999999E-4</v>
      </c>
      <c r="R311" s="22">
        <v>301</v>
      </c>
      <c r="S311" s="22">
        <v>1.41479</v>
      </c>
      <c r="T311">
        <f t="shared" si="50"/>
        <v>0.36498999999999998</v>
      </c>
      <c r="U311">
        <f t="shared" si="51"/>
        <v>0.51671999290000004</v>
      </c>
      <c r="X311" s="9"/>
      <c r="Y311" s="22">
        <v>0.114288</v>
      </c>
      <c r="Z311" s="22">
        <v>150.482</v>
      </c>
      <c r="AA311" s="22">
        <v>-1.5164200000000001E-3</v>
      </c>
      <c r="AB311" s="22">
        <v>301</v>
      </c>
      <c r="AC311" s="22">
        <v>0.1138</v>
      </c>
      <c r="AD311">
        <f t="shared" si="52"/>
        <v>1.5164200000000001</v>
      </c>
      <c r="AE311">
        <f t="shared" si="53"/>
        <v>0.17330860896</v>
      </c>
      <c r="AF311" s="9"/>
      <c r="AG311" s="22">
        <v>1.41571</v>
      </c>
      <c r="AH311" s="22">
        <v>199.732</v>
      </c>
      <c r="AI311" s="22">
        <v>-2.0513899999999999E-4</v>
      </c>
      <c r="AJ311" s="22">
        <v>301</v>
      </c>
      <c r="AK311" s="22">
        <v>1.41479</v>
      </c>
      <c r="AL311">
        <f t="shared" si="54"/>
        <v>0.20513899999999999</v>
      </c>
      <c r="AM311">
        <f t="shared" si="55"/>
        <v>0.29041733369</v>
      </c>
      <c r="AP311" s="9"/>
      <c r="AQ311" s="22">
        <v>0.114288</v>
      </c>
      <c r="AR311" s="22">
        <v>248.876</v>
      </c>
      <c r="AS311" s="22">
        <v>-1.3955700000000001E-3</v>
      </c>
      <c r="AT311" s="22">
        <v>301</v>
      </c>
      <c r="AU311" s="22">
        <v>0.11377</v>
      </c>
      <c r="AV311">
        <f t="shared" si="56"/>
        <v>1.39557</v>
      </c>
      <c r="AW311">
        <f t="shared" si="57"/>
        <v>0.15949690416000001</v>
      </c>
      <c r="AX311" s="9"/>
      <c r="AY311" s="22">
        <v>1.41571</v>
      </c>
      <c r="AZ311" s="22">
        <v>298.036</v>
      </c>
      <c r="BA311" s="22">
        <v>-1.44165E-4</v>
      </c>
      <c r="BB311" s="22">
        <v>301</v>
      </c>
      <c r="BC311" s="22">
        <v>1.41479</v>
      </c>
      <c r="BD311">
        <f t="shared" si="58"/>
        <v>0.14416499999999999</v>
      </c>
      <c r="BE311">
        <f t="shared" si="59"/>
        <v>0.20409583214999999</v>
      </c>
    </row>
    <row r="312" spans="6:57">
      <c r="F312" s="9"/>
      <c r="G312" s="22">
        <v>0.109253</v>
      </c>
      <c r="H312" s="22">
        <v>52.3536</v>
      </c>
      <c r="I312" s="22">
        <v>-1.7636100000000001E-3</v>
      </c>
      <c r="J312" s="22">
        <v>302</v>
      </c>
      <c r="K312" s="22">
        <v>0.108704</v>
      </c>
      <c r="L312">
        <f t="shared" si="48"/>
        <v>1.7636100000000001</v>
      </c>
      <c r="M312">
        <f t="shared" si="49"/>
        <v>0.19267968333000002</v>
      </c>
      <c r="N312" s="9"/>
      <c r="O312" s="22">
        <v>1.42075</v>
      </c>
      <c r="P312" s="22">
        <v>101.413</v>
      </c>
      <c r="Q312" s="22">
        <v>-3.5791000000000002E-4</v>
      </c>
      <c r="R312" s="22">
        <v>302</v>
      </c>
      <c r="S312" s="22">
        <v>1.41998</v>
      </c>
      <c r="T312">
        <f t="shared" si="50"/>
        <v>0.35791000000000001</v>
      </c>
      <c r="U312">
        <f t="shared" si="51"/>
        <v>0.50850063249999999</v>
      </c>
      <c r="X312" s="9"/>
      <c r="Y312" s="22">
        <v>0.109253</v>
      </c>
      <c r="Z312" s="22">
        <v>150.49199999999999</v>
      </c>
      <c r="AA312" s="22">
        <v>-1.5203899999999999E-3</v>
      </c>
      <c r="AB312" s="22">
        <v>302</v>
      </c>
      <c r="AC312" s="22">
        <v>0.108765</v>
      </c>
      <c r="AD312">
        <f t="shared" si="52"/>
        <v>1.5203899999999999</v>
      </c>
      <c r="AE312">
        <f t="shared" si="53"/>
        <v>0.16610716867</v>
      </c>
      <c r="AF312" s="9"/>
      <c r="AG312" s="22">
        <v>1.42075</v>
      </c>
      <c r="AH312" s="22">
        <v>199.74199999999999</v>
      </c>
      <c r="AI312" s="22">
        <v>-1.9619799999999999E-4</v>
      </c>
      <c r="AJ312" s="22">
        <v>302</v>
      </c>
      <c r="AK312" s="22">
        <v>1.4196800000000001</v>
      </c>
      <c r="AL312">
        <f t="shared" si="54"/>
        <v>0.19619799999999998</v>
      </c>
      <c r="AM312">
        <f t="shared" si="55"/>
        <v>0.27874830849999999</v>
      </c>
      <c r="AP312" s="9"/>
      <c r="AQ312" s="22">
        <v>0.109253</v>
      </c>
      <c r="AR312" s="22">
        <v>248.886</v>
      </c>
      <c r="AS312" s="22">
        <v>-1.3974E-3</v>
      </c>
      <c r="AT312" s="22">
        <v>302</v>
      </c>
      <c r="AU312" s="22">
        <v>0.108734</v>
      </c>
      <c r="AV312">
        <f t="shared" si="56"/>
        <v>1.3974</v>
      </c>
      <c r="AW312">
        <f t="shared" si="57"/>
        <v>0.1526701422</v>
      </c>
      <c r="AX312" s="9"/>
      <c r="AY312" s="22">
        <v>1.42075</v>
      </c>
      <c r="AZ312" s="22">
        <v>298.04599999999999</v>
      </c>
      <c r="BA312" s="22">
        <v>-1.3522299999999999E-4</v>
      </c>
      <c r="BB312" s="22">
        <v>302</v>
      </c>
      <c r="BC312" s="22">
        <v>1.41998</v>
      </c>
      <c r="BD312">
        <f t="shared" si="58"/>
        <v>0.13522299999999998</v>
      </c>
      <c r="BE312">
        <f t="shared" si="59"/>
        <v>0.19211807724999996</v>
      </c>
    </row>
    <row r="313" spans="6:57">
      <c r="F313" s="9"/>
      <c r="G313" s="22">
        <v>0.10421800000000001</v>
      </c>
      <c r="H313" s="22">
        <v>52.363700000000001</v>
      </c>
      <c r="I313" s="22">
        <v>-1.7669700000000001E-3</v>
      </c>
      <c r="J313" s="22">
        <v>303</v>
      </c>
      <c r="K313" s="22">
        <v>0.10363799999999999</v>
      </c>
      <c r="L313">
        <f t="shared" si="48"/>
        <v>1.7669700000000002</v>
      </c>
      <c r="M313">
        <f t="shared" si="49"/>
        <v>0.18415007946000003</v>
      </c>
      <c r="N313" s="9"/>
      <c r="O313" s="22">
        <v>1.42578</v>
      </c>
      <c r="P313" s="22">
        <v>101.423</v>
      </c>
      <c r="Q313" s="22">
        <v>-3.4857200000000001E-4</v>
      </c>
      <c r="R313" s="22">
        <v>303</v>
      </c>
      <c r="S313" s="22">
        <v>1.4242600000000001</v>
      </c>
      <c r="T313">
        <f t="shared" si="50"/>
        <v>0.34857199999999999</v>
      </c>
      <c r="U313">
        <f t="shared" si="51"/>
        <v>0.49698698616000003</v>
      </c>
      <c r="X313" s="9"/>
      <c r="Y313" s="22">
        <v>0.10421800000000001</v>
      </c>
      <c r="Z313" s="22">
        <v>150.50200000000001</v>
      </c>
      <c r="AA313" s="22">
        <v>-1.52191E-3</v>
      </c>
      <c r="AB313" s="22">
        <v>303</v>
      </c>
      <c r="AC313" s="22">
        <v>0.103699</v>
      </c>
      <c r="AD313">
        <f t="shared" si="52"/>
        <v>1.5219100000000001</v>
      </c>
      <c r="AE313">
        <f t="shared" si="53"/>
        <v>0.15861041638000001</v>
      </c>
      <c r="AF313" s="9"/>
      <c r="AG313" s="22">
        <v>1.42578</v>
      </c>
      <c r="AH313" s="22">
        <v>199.75200000000001</v>
      </c>
      <c r="AI313" s="22">
        <v>-1.8450899999999999E-4</v>
      </c>
      <c r="AJ313" s="22">
        <v>303</v>
      </c>
      <c r="AK313" s="22">
        <v>1.42456</v>
      </c>
      <c r="AL313">
        <f t="shared" si="54"/>
        <v>0.18450899999999998</v>
      </c>
      <c r="AM313">
        <f t="shared" si="55"/>
        <v>0.26306924201999998</v>
      </c>
      <c r="AP313" s="9"/>
      <c r="AQ313" s="22">
        <v>0.10421800000000001</v>
      </c>
      <c r="AR313" s="22">
        <v>248.89599999999999</v>
      </c>
      <c r="AS313" s="22">
        <v>-1.4004499999999999E-3</v>
      </c>
      <c r="AT313" s="22">
        <v>303</v>
      </c>
      <c r="AU313" s="22">
        <v>0.103699</v>
      </c>
      <c r="AV313">
        <f t="shared" si="56"/>
        <v>1.40045</v>
      </c>
      <c r="AW313">
        <f t="shared" si="57"/>
        <v>0.14595209810000001</v>
      </c>
      <c r="AX313" s="9"/>
      <c r="AY313" s="22">
        <v>1.42578</v>
      </c>
      <c r="AZ313" s="22">
        <v>298.05599999999998</v>
      </c>
      <c r="BA313" s="22">
        <v>-1.2561000000000001E-4</v>
      </c>
      <c r="BB313" s="22">
        <v>303</v>
      </c>
      <c r="BC313" s="22">
        <v>1.4248700000000001</v>
      </c>
      <c r="BD313">
        <f t="shared" si="58"/>
        <v>0.12561</v>
      </c>
      <c r="BE313">
        <f t="shared" si="59"/>
        <v>0.1790922258</v>
      </c>
    </row>
    <row r="314" spans="6:57">
      <c r="F314" s="9"/>
      <c r="G314" s="22">
        <v>9.9182099999999995E-2</v>
      </c>
      <c r="H314" s="22">
        <v>52.373699999999999</v>
      </c>
      <c r="I314" s="22">
        <v>-1.77063E-3</v>
      </c>
      <c r="J314" s="22">
        <v>304</v>
      </c>
      <c r="K314" s="22">
        <v>9.8602300000000004E-2</v>
      </c>
      <c r="L314">
        <f t="shared" si="48"/>
        <v>1.7706299999999999</v>
      </c>
      <c r="M314">
        <f t="shared" si="49"/>
        <v>0.17561480172299998</v>
      </c>
      <c r="N314" s="9"/>
      <c r="O314" s="22">
        <v>1.43082</v>
      </c>
      <c r="P314" s="22">
        <v>101.43300000000001</v>
      </c>
      <c r="Q314" s="22">
        <v>-3.37585E-4</v>
      </c>
      <c r="R314" s="22">
        <v>304</v>
      </c>
      <c r="S314" s="22">
        <v>1.43005</v>
      </c>
      <c r="T314">
        <f t="shared" si="50"/>
        <v>0.33758500000000002</v>
      </c>
      <c r="U314">
        <f t="shared" si="51"/>
        <v>0.48302336970000004</v>
      </c>
      <c r="X314" s="9"/>
      <c r="Y314" s="22">
        <v>9.9182099999999995E-2</v>
      </c>
      <c r="Z314" s="22">
        <v>150.51300000000001</v>
      </c>
      <c r="AA314" s="22">
        <v>-1.5246599999999999E-3</v>
      </c>
      <c r="AB314" s="22">
        <v>304</v>
      </c>
      <c r="AC314" s="22">
        <v>9.8602300000000004E-2</v>
      </c>
      <c r="AD314">
        <f t="shared" si="52"/>
        <v>1.5246599999999999</v>
      </c>
      <c r="AE314">
        <f t="shared" si="53"/>
        <v>0.15121898058599997</v>
      </c>
      <c r="AF314" s="9"/>
      <c r="AG314" s="22">
        <v>1.43082</v>
      </c>
      <c r="AH314" s="22">
        <v>199.762</v>
      </c>
      <c r="AI314" s="22">
        <v>-1.74377E-4</v>
      </c>
      <c r="AJ314" s="22">
        <v>304</v>
      </c>
      <c r="AK314" s="22">
        <v>1.4297500000000001</v>
      </c>
      <c r="AL314">
        <f t="shared" si="54"/>
        <v>0.174377</v>
      </c>
      <c r="AM314">
        <f t="shared" si="55"/>
        <v>0.24950209914000002</v>
      </c>
      <c r="AP314" s="9"/>
      <c r="AQ314" s="22">
        <v>9.9182099999999995E-2</v>
      </c>
      <c r="AR314" s="22">
        <v>248.90600000000001</v>
      </c>
      <c r="AS314" s="22">
        <v>-1.40442E-3</v>
      </c>
      <c r="AT314" s="22">
        <v>304</v>
      </c>
      <c r="AU314" s="22">
        <v>9.8602300000000004E-2</v>
      </c>
      <c r="AV314">
        <f t="shared" si="56"/>
        <v>1.40442</v>
      </c>
      <c r="AW314">
        <f t="shared" si="57"/>
        <v>0.139293324882</v>
      </c>
      <c r="AX314" s="9"/>
      <c r="AY314" s="22">
        <v>1.43082</v>
      </c>
      <c r="AZ314" s="22">
        <v>298.06599999999997</v>
      </c>
      <c r="BA314" s="22">
        <v>-1.17126E-4</v>
      </c>
      <c r="BB314" s="22">
        <v>304</v>
      </c>
      <c r="BC314" s="22">
        <v>1.4297500000000001</v>
      </c>
      <c r="BD314">
        <f t="shared" si="58"/>
        <v>0.11712600000000001</v>
      </c>
      <c r="BE314">
        <f t="shared" si="59"/>
        <v>0.16758622332000001</v>
      </c>
    </row>
    <row r="315" spans="6:57">
      <c r="F315" s="9"/>
      <c r="G315" s="22">
        <v>9.41467E-2</v>
      </c>
      <c r="H315" s="22">
        <v>52.383800000000001</v>
      </c>
      <c r="I315" s="22">
        <v>-1.77399E-3</v>
      </c>
      <c r="J315" s="22">
        <v>305</v>
      </c>
      <c r="K315" s="22">
        <v>9.3658400000000003E-2</v>
      </c>
      <c r="L315">
        <f t="shared" si="48"/>
        <v>1.77399</v>
      </c>
      <c r="M315">
        <f t="shared" si="49"/>
        <v>0.16701530433299999</v>
      </c>
      <c r="N315" s="9"/>
      <c r="O315" s="22">
        <v>1.4358500000000001</v>
      </c>
      <c r="P315" s="22">
        <v>101.443</v>
      </c>
      <c r="Q315" s="22">
        <v>-3.2498200000000003E-4</v>
      </c>
      <c r="R315" s="22">
        <v>305</v>
      </c>
      <c r="S315" s="22">
        <v>1.4352400000000001</v>
      </c>
      <c r="T315">
        <f t="shared" si="50"/>
        <v>0.32498200000000005</v>
      </c>
      <c r="U315">
        <f t="shared" si="51"/>
        <v>0.46662540470000008</v>
      </c>
      <c r="X315" s="9"/>
      <c r="Y315" s="22">
        <v>9.41467E-2</v>
      </c>
      <c r="Z315" s="22">
        <v>150.523</v>
      </c>
      <c r="AA315" s="22">
        <v>-1.5243500000000001E-3</v>
      </c>
      <c r="AB315" s="22">
        <v>305</v>
      </c>
      <c r="AC315" s="22">
        <v>9.3719499999999997E-2</v>
      </c>
      <c r="AD315">
        <f t="shared" si="52"/>
        <v>1.5243500000000001</v>
      </c>
      <c r="AE315">
        <f t="shared" si="53"/>
        <v>0.14351252214500002</v>
      </c>
      <c r="AF315" s="9"/>
      <c r="AG315" s="22">
        <v>1.4358500000000001</v>
      </c>
      <c r="AH315" s="22">
        <v>199.77199999999999</v>
      </c>
      <c r="AI315" s="22">
        <v>-1.6284200000000001E-4</v>
      </c>
      <c r="AJ315" s="22">
        <v>305</v>
      </c>
      <c r="AK315" s="22">
        <v>1.4349400000000001</v>
      </c>
      <c r="AL315">
        <f t="shared" si="54"/>
        <v>0.16284200000000001</v>
      </c>
      <c r="AM315">
        <f t="shared" si="55"/>
        <v>0.23381668570000003</v>
      </c>
      <c r="AP315" s="9"/>
      <c r="AQ315" s="22">
        <v>9.41467E-2</v>
      </c>
      <c r="AR315" s="22">
        <v>248.916</v>
      </c>
      <c r="AS315" s="22">
        <v>-1.4071699999999999E-3</v>
      </c>
      <c r="AT315" s="22">
        <v>305</v>
      </c>
      <c r="AU315" s="22">
        <v>9.3597399999999997E-2</v>
      </c>
      <c r="AV315">
        <f t="shared" si="56"/>
        <v>1.4071699999999998</v>
      </c>
      <c r="AW315">
        <f t="shared" si="57"/>
        <v>0.13248041183899997</v>
      </c>
      <c r="AX315" s="9"/>
      <c r="AY315" s="22">
        <v>1.4358500000000001</v>
      </c>
      <c r="AZ315" s="22">
        <v>298.07600000000002</v>
      </c>
      <c r="BA315" s="22">
        <v>-1.0534700000000001E-4</v>
      </c>
      <c r="BB315" s="22">
        <v>305</v>
      </c>
      <c r="BC315" s="22">
        <v>1.4346300000000001</v>
      </c>
      <c r="BD315">
        <f t="shared" si="58"/>
        <v>0.10534700000000001</v>
      </c>
      <c r="BE315">
        <f t="shared" si="59"/>
        <v>0.15126248995000002</v>
      </c>
    </row>
    <row r="316" spans="6:57">
      <c r="F316" s="9"/>
      <c r="G316" s="22">
        <v>8.9111300000000004E-2</v>
      </c>
      <c r="H316" s="22">
        <v>52.393900000000002</v>
      </c>
      <c r="I316" s="22">
        <v>-1.7779499999999999E-3</v>
      </c>
      <c r="J316" s="22">
        <v>306</v>
      </c>
      <c r="K316" s="22">
        <v>8.8562000000000002E-2</v>
      </c>
      <c r="L316">
        <f t="shared" si="48"/>
        <v>1.7779499999999999</v>
      </c>
      <c r="M316">
        <f t="shared" si="49"/>
        <v>0.158435435835</v>
      </c>
      <c r="N316" s="9"/>
      <c r="O316" s="22">
        <v>1.44089</v>
      </c>
      <c r="P316" s="22">
        <v>101.453</v>
      </c>
      <c r="Q316" s="22">
        <v>-3.1558200000000002E-4</v>
      </c>
      <c r="R316" s="22">
        <v>306</v>
      </c>
      <c r="S316" s="22">
        <v>1.4395100000000001</v>
      </c>
      <c r="T316">
        <f t="shared" si="50"/>
        <v>0.31558200000000003</v>
      </c>
      <c r="U316">
        <f t="shared" si="51"/>
        <v>0.45471894798000007</v>
      </c>
      <c r="X316" s="9"/>
      <c r="Y316" s="22">
        <v>8.9111300000000004E-2</v>
      </c>
      <c r="Z316" s="22">
        <v>150.53299999999999</v>
      </c>
      <c r="AA316" s="22">
        <v>-1.52863E-3</v>
      </c>
      <c r="AB316" s="22">
        <v>306</v>
      </c>
      <c r="AC316" s="22">
        <v>8.8562000000000002E-2</v>
      </c>
      <c r="AD316">
        <f t="shared" si="52"/>
        <v>1.5286299999999999</v>
      </c>
      <c r="AE316">
        <f t="shared" si="53"/>
        <v>0.13621820651899999</v>
      </c>
      <c r="AF316" s="9"/>
      <c r="AG316" s="22">
        <v>1.44089</v>
      </c>
      <c r="AH316" s="22">
        <v>199.78200000000001</v>
      </c>
      <c r="AI316" s="22">
        <v>-1.5026899999999999E-4</v>
      </c>
      <c r="AJ316" s="22">
        <v>306</v>
      </c>
      <c r="AK316" s="22">
        <v>1.4398200000000001</v>
      </c>
      <c r="AL316">
        <f t="shared" si="54"/>
        <v>0.15026899999999999</v>
      </c>
      <c r="AM316">
        <f t="shared" si="55"/>
        <v>0.21652109940999997</v>
      </c>
      <c r="AP316" s="9"/>
      <c r="AQ316" s="22">
        <v>8.9111300000000004E-2</v>
      </c>
      <c r="AR316" s="22">
        <v>248.92699999999999</v>
      </c>
      <c r="AS316" s="22">
        <v>-1.4096099999999999E-3</v>
      </c>
      <c r="AT316" s="22">
        <v>306</v>
      </c>
      <c r="AU316" s="22">
        <v>8.8531499999999999E-2</v>
      </c>
      <c r="AV316">
        <f t="shared" si="56"/>
        <v>1.40961</v>
      </c>
      <c r="AW316">
        <f t="shared" si="57"/>
        <v>0.125612179593</v>
      </c>
      <c r="AX316" s="9"/>
      <c r="AY316" s="22">
        <v>1.44089</v>
      </c>
      <c r="AZ316" s="22">
        <v>298.08600000000001</v>
      </c>
      <c r="BA316" s="25">
        <v>-9.5855700000000005E-5</v>
      </c>
      <c r="BB316" s="22">
        <v>306</v>
      </c>
      <c r="BC316" s="22">
        <v>1.4401200000000001</v>
      </c>
      <c r="BD316">
        <f t="shared" si="58"/>
        <v>9.5855700000000002E-2</v>
      </c>
      <c r="BE316">
        <f t="shared" si="59"/>
        <v>0.138117519573</v>
      </c>
    </row>
    <row r="317" spans="6:57">
      <c r="F317" s="9"/>
      <c r="G317" s="22">
        <v>8.4075899999999995E-2</v>
      </c>
      <c r="H317" s="22">
        <v>52.4039</v>
      </c>
      <c r="I317" s="22">
        <v>-1.78162E-3</v>
      </c>
      <c r="J317" s="22">
        <v>307</v>
      </c>
      <c r="K317" s="22">
        <v>8.3496100000000004E-2</v>
      </c>
      <c r="L317">
        <f t="shared" si="48"/>
        <v>1.78162</v>
      </c>
      <c r="M317">
        <f t="shared" si="49"/>
        <v>0.149791304958</v>
      </c>
      <c r="N317" s="9"/>
      <c r="O317" s="22">
        <v>1.4459200000000001</v>
      </c>
      <c r="P317" s="22">
        <v>101.46299999999999</v>
      </c>
      <c r="Q317" s="22">
        <v>-3.0297899999999999E-4</v>
      </c>
      <c r="R317" s="22">
        <v>307</v>
      </c>
      <c r="S317" s="22">
        <v>1.4447000000000001</v>
      </c>
      <c r="T317">
        <f t="shared" si="50"/>
        <v>0.302979</v>
      </c>
      <c r="U317">
        <f t="shared" si="51"/>
        <v>0.43808339568000004</v>
      </c>
      <c r="X317" s="9"/>
      <c r="Y317" s="22">
        <v>8.4075899999999995E-2</v>
      </c>
      <c r="Z317" s="22">
        <v>150.54300000000001</v>
      </c>
      <c r="AA317" s="22">
        <v>-1.53046E-3</v>
      </c>
      <c r="AB317" s="22">
        <v>307</v>
      </c>
      <c r="AC317" s="22">
        <v>8.3587599999999998E-2</v>
      </c>
      <c r="AD317">
        <f t="shared" si="52"/>
        <v>1.5304599999999999</v>
      </c>
      <c r="AE317">
        <f t="shared" si="53"/>
        <v>0.12867480191399999</v>
      </c>
      <c r="AF317" s="9"/>
      <c r="AG317" s="22">
        <v>1.4459200000000001</v>
      </c>
      <c r="AH317" s="22">
        <v>199.792</v>
      </c>
      <c r="AI317" s="22">
        <v>-1.3870199999999999E-4</v>
      </c>
      <c r="AJ317" s="22">
        <v>307</v>
      </c>
      <c r="AK317" s="22">
        <v>1.4443999999999999</v>
      </c>
      <c r="AL317">
        <f t="shared" si="54"/>
        <v>0.13870199999999999</v>
      </c>
      <c r="AM317">
        <f t="shared" si="55"/>
        <v>0.20055199584</v>
      </c>
      <c r="AP317" s="9"/>
      <c r="AQ317" s="22">
        <v>8.4075899999999995E-2</v>
      </c>
      <c r="AR317" s="22">
        <v>248.93700000000001</v>
      </c>
      <c r="AS317" s="22">
        <v>-1.4123499999999999E-3</v>
      </c>
      <c r="AT317" s="22">
        <v>307</v>
      </c>
      <c r="AU317" s="22">
        <v>8.3618200000000004E-2</v>
      </c>
      <c r="AV317">
        <f t="shared" si="56"/>
        <v>1.41235</v>
      </c>
      <c r="AW317">
        <f t="shared" si="57"/>
        <v>0.118744597365</v>
      </c>
      <c r="AX317" s="9"/>
      <c r="AY317" s="22">
        <v>1.4459200000000001</v>
      </c>
      <c r="AZ317" s="22">
        <v>298.096</v>
      </c>
      <c r="BA317" s="25">
        <v>-7.9071000000000002E-5</v>
      </c>
      <c r="BB317" s="22">
        <v>307</v>
      </c>
      <c r="BC317" s="22">
        <v>1.4450099999999999</v>
      </c>
      <c r="BD317">
        <f t="shared" si="58"/>
        <v>7.9071000000000002E-2</v>
      </c>
      <c r="BE317">
        <f t="shared" si="59"/>
        <v>0.11433034032000002</v>
      </c>
    </row>
    <row r="318" spans="6:57">
      <c r="F318" s="9"/>
      <c r="G318" s="22">
        <v>7.90405E-2</v>
      </c>
      <c r="H318" s="22">
        <v>52.414000000000001</v>
      </c>
      <c r="I318" s="22">
        <v>-1.78528E-3</v>
      </c>
      <c r="J318" s="22">
        <v>308</v>
      </c>
      <c r="K318" s="22">
        <v>7.8491199999999997E-2</v>
      </c>
      <c r="L318">
        <f t="shared" si="48"/>
        <v>1.78528</v>
      </c>
      <c r="M318">
        <f t="shared" si="49"/>
        <v>0.14110942384</v>
      </c>
      <c r="N318" s="9"/>
      <c r="O318" s="22">
        <v>1.45096</v>
      </c>
      <c r="P318" s="22">
        <v>101.473</v>
      </c>
      <c r="Q318" s="22">
        <v>-2.8738400000000001E-4</v>
      </c>
      <c r="R318" s="22">
        <v>308</v>
      </c>
      <c r="S318" s="22">
        <v>1.4498899999999999</v>
      </c>
      <c r="T318">
        <f t="shared" si="50"/>
        <v>0.28738400000000003</v>
      </c>
      <c r="U318">
        <f t="shared" si="51"/>
        <v>0.41698268864000004</v>
      </c>
      <c r="X318" s="9"/>
      <c r="Y318" s="22">
        <v>7.90405E-2</v>
      </c>
      <c r="Z318" s="22">
        <v>150.553</v>
      </c>
      <c r="AA318" s="22">
        <v>-1.5329E-3</v>
      </c>
      <c r="AB318" s="22">
        <v>308</v>
      </c>
      <c r="AC318" s="22">
        <v>7.8491199999999997E-2</v>
      </c>
      <c r="AD318">
        <f t="shared" si="52"/>
        <v>1.5328999999999999</v>
      </c>
      <c r="AE318">
        <f t="shared" si="53"/>
        <v>0.12116118244999999</v>
      </c>
      <c r="AF318" s="9"/>
      <c r="AG318" s="22">
        <v>1.45096</v>
      </c>
      <c r="AH318" s="22">
        <v>199.80199999999999</v>
      </c>
      <c r="AI318" s="22">
        <v>-1.2728899999999999E-4</v>
      </c>
      <c r="AJ318" s="22">
        <v>308</v>
      </c>
      <c r="AK318" s="22">
        <v>1.4504999999999999</v>
      </c>
      <c r="AL318">
        <f t="shared" si="54"/>
        <v>0.12728899999999999</v>
      </c>
      <c r="AM318">
        <f t="shared" si="55"/>
        <v>0.18469124743999998</v>
      </c>
      <c r="AP318" s="9"/>
      <c r="AQ318" s="22">
        <v>7.90405E-2</v>
      </c>
      <c r="AR318" s="22">
        <v>248.947</v>
      </c>
      <c r="AS318" s="22">
        <v>-1.41449E-3</v>
      </c>
      <c r="AT318" s="22">
        <v>308</v>
      </c>
      <c r="AU318" s="22">
        <v>7.8552200000000003E-2</v>
      </c>
      <c r="AV318">
        <f t="shared" si="56"/>
        <v>1.41449</v>
      </c>
      <c r="AW318">
        <f t="shared" si="57"/>
        <v>0.111801996845</v>
      </c>
      <c r="AX318" s="9"/>
      <c r="AY318" s="22">
        <v>1.45096</v>
      </c>
      <c r="AZ318" s="22">
        <v>298.10599999999999</v>
      </c>
      <c r="BA318" s="25">
        <v>-6.3659700000000003E-5</v>
      </c>
      <c r="BB318" s="22">
        <v>308</v>
      </c>
      <c r="BC318" s="22">
        <v>1.4498899999999999</v>
      </c>
      <c r="BD318">
        <f t="shared" si="58"/>
        <v>6.36597E-2</v>
      </c>
      <c r="BE318">
        <f t="shared" si="59"/>
        <v>9.2367678312000004E-2</v>
      </c>
    </row>
    <row r="319" spans="6:57">
      <c r="F319" s="9"/>
      <c r="G319" s="22">
        <v>7.4005100000000004E-2</v>
      </c>
      <c r="H319" s="22">
        <v>52.424100000000003</v>
      </c>
      <c r="I319" s="22">
        <v>-1.78711E-3</v>
      </c>
      <c r="J319" s="22">
        <v>309</v>
      </c>
      <c r="K319" s="22">
        <v>7.3455800000000002E-2</v>
      </c>
      <c r="L319">
        <f t="shared" si="48"/>
        <v>1.78711</v>
      </c>
      <c r="M319">
        <f t="shared" si="49"/>
        <v>0.13225525426100002</v>
      </c>
      <c r="N319" s="9"/>
      <c r="O319" s="22">
        <v>1.4559899999999999</v>
      </c>
      <c r="P319" s="22">
        <v>101.483</v>
      </c>
      <c r="Q319" s="22">
        <v>-2.87201E-4</v>
      </c>
      <c r="R319" s="22">
        <v>309</v>
      </c>
      <c r="S319" s="22">
        <v>1.4553799999999999</v>
      </c>
      <c r="T319">
        <f t="shared" si="50"/>
        <v>0.28720099999999998</v>
      </c>
      <c r="U319">
        <f t="shared" si="51"/>
        <v>0.41816178398999992</v>
      </c>
      <c r="X319" s="9"/>
      <c r="Y319" s="22">
        <v>7.4005100000000004E-2</v>
      </c>
      <c r="Z319" s="22">
        <v>150.56299999999999</v>
      </c>
      <c r="AA319" s="22">
        <v>-1.5353400000000001E-3</v>
      </c>
      <c r="AB319" s="22">
        <v>309</v>
      </c>
      <c r="AC319" s="22">
        <v>7.3455800000000002E-2</v>
      </c>
      <c r="AD319">
        <f t="shared" si="52"/>
        <v>1.5353400000000001</v>
      </c>
      <c r="AE319">
        <f t="shared" si="53"/>
        <v>0.11362299023400002</v>
      </c>
      <c r="AF319" s="9"/>
      <c r="AG319" s="22">
        <v>1.4559899999999999</v>
      </c>
      <c r="AH319" s="22">
        <v>199.81200000000001</v>
      </c>
      <c r="AI319" s="22">
        <v>-1.14685E-4</v>
      </c>
      <c r="AJ319" s="22">
        <v>309</v>
      </c>
      <c r="AK319" s="22">
        <v>1.4547699999999999</v>
      </c>
      <c r="AL319">
        <f t="shared" si="54"/>
        <v>0.11468500000000001</v>
      </c>
      <c r="AM319">
        <f t="shared" si="55"/>
        <v>0.16698021315</v>
      </c>
      <c r="AP319" s="9"/>
      <c r="AQ319" s="22">
        <v>7.4005100000000004E-2</v>
      </c>
      <c r="AR319" s="22">
        <v>248.95699999999999</v>
      </c>
      <c r="AS319" s="22">
        <v>-1.41968E-3</v>
      </c>
      <c r="AT319" s="22">
        <v>309</v>
      </c>
      <c r="AU319" s="22">
        <v>7.3486300000000004E-2</v>
      </c>
      <c r="AV319">
        <f t="shared" si="56"/>
        <v>1.4196800000000001</v>
      </c>
      <c r="AW319">
        <f t="shared" si="57"/>
        <v>0.10506356036800001</v>
      </c>
      <c r="AX319" s="9"/>
      <c r="AY319" s="22">
        <v>1.4559899999999999</v>
      </c>
      <c r="AZ319" s="22">
        <v>298.11599999999999</v>
      </c>
      <c r="BA319" s="25">
        <v>-5.2978500000000001E-5</v>
      </c>
      <c r="BB319" s="22">
        <v>309</v>
      </c>
      <c r="BC319" s="22">
        <v>1.4550799999999999</v>
      </c>
      <c r="BD319">
        <f t="shared" si="58"/>
        <v>5.2978499999999998E-2</v>
      </c>
      <c r="BE319">
        <f t="shared" si="59"/>
        <v>7.7136166214999996E-2</v>
      </c>
    </row>
    <row r="320" spans="6:57">
      <c r="F320" s="9"/>
      <c r="G320" s="22">
        <v>6.8969699999999995E-2</v>
      </c>
      <c r="H320" s="22">
        <v>52.434199999999997</v>
      </c>
      <c r="I320" s="22">
        <v>-1.78955E-3</v>
      </c>
      <c r="J320" s="22">
        <v>310</v>
      </c>
      <c r="K320" s="22">
        <v>6.8420400000000006E-2</v>
      </c>
      <c r="L320">
        <f t="shared" si="48"/>
        <v>1.78955</v>
      </c>
      <c r="M320">
        <f t="shared" si="49"/>
        <v>0.123424726635</v>
      </c>
      <c r="N320" s="9"/>
      <c r="O320" s="22">
        <v>1.4610300000000001</v>
      </c>
      <c r="P320" s="22">
        <v>101.494</v>
      </c>
      <c r="Q320" s="22">
        <v>-2.7215600000000001E-4</v>
      </c>
      <c r="R320" s="22">
        <v>310</v>
      </c>
      <c r="S320" s="22">
        <v>1.46027</v>
      </c>
      <c r="T320">
        <f t="shared" si="50"/>
        <v>0.27215600000000001</v>
      </c>
      <c r="U320">
        <f t="shared" si="51"/>
        <v>0.39762808068000005</v>
      </c>
      <c r="X320" s="9"/>
      <c r="Y320" s="22">
        <v>6.8969699999999995E-2</v>
      </c>
      <c r="Z320" s="22">
        <v>150.57300000000001</v>
      </c>
      <c r="AA320" s="22">
        <v>-1.539E-3</v>
      </c>
      <c r="AB320" s="22">
        <v>310</v>
      </c>
      <c r="AC320" s="22">
        <v>6.8450899999999995E-2</v>
      </c>
      <c r="AD320">
        <f t="shared" si="52"/>
        <v>1.5389999999999999</v>
      </c>
      <c r="AE320">
        <f t="shared" si="53"/>
        <v>0.10614436829999999</v>
      </c>
      <c r="AF320" s="9"/>
      <c r="AG320" s="22">
        <v>1.4610300000000001</v>
      </c>
      <c r="AH320" s="22">
        <v>199.822</v>
      </c>
      <c r="AI320" s="22">
        <v>-1.01807E-4</v>
      </c>
      <c r="AJ320" s="22">
        <v>310</v>
      </c>
      <c r="AK320" s="22">
        <v>1.46027</v>
      </c>
      <c r="AL320">
        <f t="shared" si="54"/>
        <v>0.10180699999999999</v>
      </c>
      <c r="AM320">
        <f t="shared" si="55"/>
        <v>0.14874308120999999</v>
      </c>
      <c r="AP320" s="9"/>
      <c r="AQ320" s="22">
        <v>6.8969699999999995E-2</v>
      </c>
      <c r="AR320" s="22">
        <v>248.96700000000001</v>
      </c>
      <c r="AS320" s="22">
        <v>-1.42212E-3</v>
      </c>
      <c r="AT320" s="22">
        <v>310</v>
      </c>
      <c r="AU320" s="22">
        <v>6.8481399999999998E-2</v>
      </c>
      <c r="AV320">
        <f t="shared" si="56"/>
        <v>1.4221200000000001</v>
      </c>
      <c r="AW320">
        <f t="shared" si="57"/>
        <v>9.8083189763999989E-2</v>
      </c>
      <c r="AX320" s="9"/>
      <c r="AY320" s="22">
        <v>1.4610300000000001</v>
      </c>
      <c r="AZ320" s="22">
        <v>298.12599999999998</v>
      </c>
      <c r="BA320" s="25">
        <v>-3.8635299999999999E-5</v>
      </c>
      <c r="BB320" s="22">
        <v>310</v>
      </c>
      <c r="BC320" s="22">
        <v>1.4599599999999999</v>
      </c>
      <c r="BD320">
        <f t="shared" si="58"/>
        <v>3.8635299999999997E-2</v>
      </c>
      <c r="BE320">
        <f t="shared" si="59"/>
        <v>5.6447332358999999E-2</v>
      </c>
    </row>
    <row r="321" spans="6:57">
      <c r="F321" s="9"/>
      <c r="G321" s="22">
        <v>6.3934299999999999E-2</v>
      </c>
      <c r="H321" s="22">
        <v>52.444200000000002</v>
      </c>
      <c r="I321" s="22">
        <v>-1.79199E-3</v>
      </c>
      <c r="J321" s="22">
        <v>311</v>
      </c>
      <c r="K321" s="22">
        <v>6.3384999999999997E-2</v>
      </c>
      <c r="L321">
        <f t="shared" si="48"/>
        <v>1.79199</v>
      </c>
      <c r="M321">
        <f t="shared" si="49"/>
        <v>0.114569626257</v>
      </c>
      <c r="N321" s="9"/>
      <c r="O321" s="22">
        <v>1.4660599999999999</v>
      </c>
      <c r="P321" s="22">
        <v>101.504</v>
      </c>
      <c r="Q321" s="22">
        <v>-2.60315E-4</v>
      </c>
      <c r="R321" s="22">
        <v>311</v>
      </c>
      <c r="S321" s="22">
        <v>1.4654499999999999</v>
      </c>
      <c r="T321">
        <f t="shared" si="50"/>
        <v>0.26031500000000002</v>
      </c>
      <c r="U321">
        <f t="shared" si="51"/>
        <v>0.38163740890000003</v>
      </c>
      <c r="X321" s="9"/>
      <c r="Y321" s="22">
        <v>6.3934299999999999E-2</v>
      </c>
      <c r="Z321" s="22">
        <v>150.583</v>
      </c>
      <c r="AA321" s="22">
        <v>-1.54236E-3</v>
      </c>
      <c r="AB321" s="22">
        <v>311</v>
      </c>
      <c r="AC321" s="22">
        <v>6.3354499999999994E-2</v>
      </c>
      <c r="AD321">
        <f t="shared" si="52"/>
        <v>1.54236</v>
      </c>
      <c r="AE321">
        <f t="shared" si="53"/>
        <v>9.8609706947999989E-2</v>
      </c>
      <c r="AF321" s="9"/>
      <c r="AG321" s="22">
        <v>1.4660599999999999</v>
      </c>
      <c r="AH321" s="22">
        <v>199.83199999999999</v>
      </c>
      <c r="AI321" s="25">
        <v>-8.8287400000000004E-5</v>
      </c>
      <c r="AJ321" s="22">
        <v>311</v>
      </c>
      <c r="AK321" s="22">
        <v>1.4648399999999999</v>
      </c>
      <c r="AL321">
        <f t="shared" si="54"/>
        <v>8.8287400000000002E-2</v>
      </c>
      <c r="AM321">
        <f t="shared" si="55"/>
        <v>0.12943462564399999</v>
      </c>
      <c r="AP321" s="9"/>
      <c r="AQ321" s="22">
        <v>6.3934299999999999E-2</v>
      </c>
      <c r="AR321" s="22">
        <v>248.977</v>
      </c>
      <c r="AS321" s="22">
        <v>-1.4251699999999999E-3</v>
      </c>
      <c r="AT321" s="22">
        <v>311</v>
      </c>
      <c r="AU321" s="22">
        <v>6.3384999999999997E-2</v>
      </c>
      <c r="AV321">
        <f t="shared" si="56"/>
        <v>1.4251699999999998</v>
      </c>
      <c r="AW321">
        <f t="shared" si="57"/>
        <v>9.111724633099999E-2</v>
      </c>
      <c r="AX321" s="9"/>
      <c r="AY321" s="22">
        <v>1.4660599999999999</v>
      </c>
      <c r="AZ321" s="22">
        <v>298.13600000000002</v>
      </c>
      <c r="BA321" s="25">
        <v>-2.2643999999999999E-5</v>
      </c>
      <c r="BB321" s="22">
        <v>311</v>
      </c>
      <c r="BC321" s="22">
        <v>1.46515</v>
      </c>
      <c r="BD321">
        <f t="shared" si="58"/>
        <v>2.2643999999999997E-2</v>
      </c>
      <c r="BE321">
        <f t="shared" si="59"/>
        <v>3.3197462639999994E-2</v>
      </c>
    </row>
    <row r="322" spans="6:57">
      <c r="F322" s="9"/>
      <c r="G322" s="22">
        <v>5.8898899999999997E-2</v>
      </c>
      <c r="H322" s="22">
        <v>52.454300000000003</v>
      </c>
      <c r="I322" s="22">
        <v>-1.79382E-3</v>
      </c>
      <c r="J322" s="22">
        <v>312</v>
      </c>
      <c r="K322" s="22">
        <v>5.8319099999999999E-2</v>
      </c>
      <c r="L322">
        <f t="shared" si="48"/>
        <v>1.79382</v>
      </c>
      <c r="M322">
        <f t="shared" si="49"/>
        <v>0.105654024798</v>
      </c>
      <c r="N322" s="9"/>
      <c r="O322" s="22">
        <v>1.4711000000000001</v>
      </c>
      <c r="P322" s="22">
        <v>101.514</v>
      </c>
      <c r="Q322" s="22">
        <v>-2.4566699999999998E-4</v>
      </c>
      <c r="R322" s="22">
        <v>312</v>
      </c>
      <c r="S322" s="22">
        <v>1.47034</v>
      </c>
      <c r="T322">
        <f t="shared" si="50"/>
        <v>0.24566699999999997</v>
      </c>
      <c r="U322">
        <f t="shared" si="51"/>
        <v>0.36140072369999998</v>
      </c>
      <c r="X322" s="9"/>
      <c r="Y322" s="22">
        <v>5.8898899999999997E-2</v>
      </c>
      <c r="Z322" s="22">
        <v>150.59299999999999</v>
      </c>
      <c r="AA322" s="22">
        <v>-1.5478499999999999E-3</v>
      </c>
      <c r="AB322" s="22">
        <v>312</v>
      </c>
      <c r="AC322" s="22">
        <v>5.8441199999999999E-2</v>
      </c>
      <c r="AD322">
        <f t="shared" si="52"/>
        <v>1.5478499999999999</v>
      </c>
      <c r="AE322">
        <f t="shared" si="53"/>
        <v>9.1166662364999998E-2</v>
      </c>
      <c r="AF322" s="9"/>
      <c r="AG322" s="22">
        <v>1.4711000000000001</v>
      </c>
      <c r="AH322" s="22">
        <v>199.84299999999999</v>
      </c>
      <c r="AI322" s="25">
        <v>-7.3150600000000004E-5</v>
      </c>
      <c r="AJ322" s="22">
        <v>312</v>
      </c>
      <c r="AK322" s="22">
        <v>1.4700299999999999</v>
      </c>
      <c r="AL322">
        <f t="shared" si="54"/>
        <v>7.315060000000001E-2</v>
      </c>
      <c r="AM322">
        <f t="shared" si="55"/>
        <v>0.10761184766000002</v>
      </c>
      <c r="AP322" s="9"/>
      <c r="AQ322" s="22">
        <v>5.8898899999999997E-2</v>
      </c>
      <c r="AR322" s="22">
        <v>248.98699999999999</v>
      </c>
      <c r="AS322" s="22">
        <v>-1.4279200000000001E-3</v>
      </c>
      <c r="AT322" s="22">
        <v>312</v>
      </c>
      <c r="AU322" s="22">
        <v>5.8380099999999997E-2</v>
      </c>
      <c r="AV322">
        <f t="shared" si="56"/>
        <v>1.4279200000000001</v>
      </c>
      <c r="AW322">
        <f t="shared" si="57"/>
        <v>8.4102917287999998E-2</v>
      </c>
      <c r="AX322" s="9"/>
      <c r="AY322" s="22">
        <v>1.4711000000000001</v>
      </c>
      <c r="AZ322" s="22">
        <v>298.14600000000002</v>
      </c>
      <c r="BA322" s="25">
        <v>-8.3923299999999997E-6</v>
      </c>
      <c r="BB322" s="22">
        <v>312</v>
      </c>
      <c r="BC322" s="22">
        <v>1.4694199999999999</v>
      </c>
      <c r="BD322">
        <f t="shared" si="58"/>
        <v>8.3923299999999999E-3</v>
      </c>
      <c r="BE322">
        <f t="shared" si="59"/>
        <v>1.2345956663E-2</v>
      </c>
    </row>
    <row r="323" spans="6:57">
      <c r="F323" s="9"/>
      <c r="G323" s="22">
        <v>5.3863500000000002E-2</v>
      </c>
      <c r="H323" s="22">
        <v>52.464399999999998</v>
      </c>
      <c r="I323" s="22">
        <v>-1.7977900000000001E-3</v>
      </c>
      <c r="J323" s="22">
        <v>313</v>
      </c>
      <c r="K323" s="22">
        <v>5.3344700000000002E-2</v>
      </c>
      <c r="L323">
        <f t="shared" si="48"/>
        <v>1.79779</v>
      </c>
      <c r="M323">
        <f t="shared" si="49"/>
        <v>9.6835261665000005E-2</v>
      </c>
      <c r="N323" s="9"/>
      <c r="O323" s="22">
        <v>1.47614</v>
      </c>
      <c r="P323" s="22">
        <v>101.524</v>
      </c>
      <c r="Q323" s="22">
        <v>-2.40265E-4</v>
      </c>
      <c r="R323" s="22">
        <v>313</v>
      </c>
      <c r="S323" s="22">
        <v>1.4749099999999999</v>
      </c>
      <c r="T323">
        <f t="shared" si="50"/>
        <v>0.24026500000000001</v>
      </c>
      <c r="U323">
        <f t="shared" si="51"/>
        <v>0.35466477709999999</v>
      </c>
      <c r="X323" s="9"/>
      <c r="Y323" s="22">
        <v>5.3863500000000002E-2</v>
      </c>
      <c r="Z323" s="22">
        <v>150.60300000000001</v>
      </c>
      <c r="AA323" s="22">
        <v>-1.5512099999999999E-3</v>
      </c>
      <c r="AB323" s="22">
        <v>313</v>
      </c>
      <c r="AC323" s="22">
        <v>5.3466800000000002E-2</v>
      </c>
      <c r="AD323">
        <f t="shared" si="52"/>
        <v>1.55121</v>
      </c>
      <c r="AE323">
        <f t="shared" si="53"/>
        <v>8.3553599835000006E-2</v>
      </c>
      <c r="AF323" s="9"/>
      <c r="AG323" s="22">
        <v>1.47614</v>
      </c>
      <c r="AH323" s="22">
        <v>199.85300000000001</v>
      </c>
      <c r="AI323" s="25">
        <v>-5.9783900000000002E-5</v>
      </c>
      <c r="AJ323" s="22">
        <v>313</v>
      </c>
      <c r="AK323" s="22">
        <v>1.4749099999999999</v>
      </c>
      <c r="AL323">
        <f t="shared" si="54"/>
        <v>5.9783900000000001E-2</v>
      </c>
      <c r="AM323">
        <f t="shared" si="55"/>
        <v>8.8249406146000006E-2</v>
      </c>
      <c r="AP323" s="9"/>
      <c r="AQ323" s="22">
        <v>5.3863500000000002E-2</v>
      </c>
      <c r="AR323" s="22">
        <v>248.99700000000001</v>
      </c>
      <c r="AS323" s="22">
        <v>-1.43158E-3</v>
      </c>
      <c r="AT323" s="22">
        <v>313</v>
      </c>
      <c r="AU323" s="22">
        <v>5.3344700000000002E-2</v>
      </c>
      <c r="AV323">
        <f t="shared" si="56"/>
        <v>1.4315800000000001</v>
      </c>
      <c r="AW323">
        <f t="shared" si="57"/>
        <v>7.7109909330000004E-2</v>
      </c>
      <c r="AX323" s="9"/>
      <c r="AY323" s="22">
        <v>1.47614</v>
      </c>
      <c r="AZ323" s="22">
        <v>298.15600000000001</v>
      </c>
      <c r="BA323" s="25">
        <v>8.1787100000000008E-6</v>
      </c>
      <c r="BB323" s="22">
        <v>313</v>
      </c>
      <c r="BC323" s="22">
        <v>1.47461</v>
      </c>
      <c r="BD323">
        <f t="shared" si="58"/>
        <v>-8.1787100000000005E-3</v>
      </c>
      <c r="BE323">
        <f t="shared" si="59"/>
        <v>-1.2072920979400001E-2</v>
      </c>
    </row>
    <row r="324" spans="6:57">
      <c r="F324" s="9"/>
      <c r="G324" s="22">
        <v>4.8828099999999999E-2</v>
      </c>
      <c r="H324" s="22">
        <v>52.474400000000003</v>
      </c>
      <c r="I324" s="22">
        <v>-1.7959600000000001E-3</v>
      </c>
      <c r="J324" s="22">
        <v>314</v>
      </c>
      <c r="K324" s="22">
        <v>4.8565700000000003E-2</v>
      </c>
      <c r="L324">
        <f t="shared" si="48"/>
        <v>1.79596</v>
      </c>
      <c r="M324">
        <f t="shared" si="49"/>
        <v>8.7693314475999998E-2</v>
      </c>
      <c r="N324" s="9"/>
      <c r="O324" s="22">
        <v>1.4811700000000001</v>
      </c>
      <c r="P324" s="22">
        <v>101.53400000000001</v>
      </c>
      <c r="Q324" s="22">
        <v>-2.3919699999999999E-4</v>
      </c>
      <c r="R324" s="22">
        <v>314</v>
      </c>
      <c r="S324" s="22">
        <v>1.4801</v>
      </c>
      <c r="T324">
        <f t="shared" si="50"/>
        <v>0.23919699999999999</v>
      </c>
      <c r="U324">
        <f t="shared" si="51"/>
        <v>0.35429142049000001</v>
      </c>
      <c r="X324" s="9"/>
      <c r="Y324" s="22">
        <v>4.8828099999999999E-2</v>
      </c>
      <c r="Z324" s="22">
        <v>150.613</v>
      </c>
      <c r="AA324" s="22">
        <v>-1.5554799999999999E-3</v>
      </c>
      <c r="AB324" s="22">
        <v>314</v>
      </c>
      <c r="AC324" s="22">
        <v>4.8532100000000002E-2</v>
      </c>
      <c r="AD324">
        <f t="shared" si="52"/>
        <v>1.55548</v>
      </c>
      <c r="AE324">
        <f t="shared" si="53"/>
        <v>7.5951132987999992E-2</v>
      </c>
      <c r="AF324" s="9"/>
      <c r="AG324" s="22">
        <v>1.4811700000000001</v>
      </c>
      <c r="AH324" s="22">
        <v>199.863</v>
      </c>
      <c r="AI324" s="25">
        <v>-4.5105000000000003E-5</v>
      </c>
      <c r="AJ324" s="22">
        <v>314</v>
      </c>
      <c r="AK324" s="22">
        <v>1.4801</v>
      </c>
      <c r="AL324">
        <f t="shared" si="54"/>
        <v>4.5104999999999999E-2</v>
      </c>
      <c r="AM324">
        <f t="shared" si="55"/>
        <v>6.680817285E-2</v>
      </c>
      <c r="AP324" s="9"/>
      <c r="AQ324" s="22">
        <v>4.8828099999999999E-2</v>
      </c>
      <c r="AR324" s="22">
        <v>249.00700000000001</v>
      </c>
      <c r="AS324" s="22">
        <v>-1.43402E-3</v>
      </c>
      <c r="AT324" s="22">
        <v>314</v>
      </c>
      <c r="AU324" s="22">
        <v>4.85504E-2</v>
      </c>
      <c r="AV324">
        <f t="shared" si="56"/>
        <v>1.4340200000000001</v>
      </c>
      <c r="AW324">
        <f t="shared" si="57"/>
        <v>7.0020471962000008E-2</v>
      </c>
      <c r="AX324" s="9"/>
      <c r="AY324" s="22">
        <v>1.4811700000000001</v>
      </c>
      <c r="AZ324" s="22">
        <v>298.16699999999997</v>
      </c>
      <c r="BA324" s="25">
        <v>2.0904499999999999E-5</v>
      </c>
      <c r="BB324" s="22">
        <v>314</v>
      </c>
      <c r="BC324" s="22">
        <v>1.48041</v>
      </c>
      <c r="BD324">
        <f t="shared" si="58"/>
        <v>-2.0904499999999999E-2</v>
      </c>
      <c r="BE324">
        <f t="shared" si="59"/>
        <v>-3.0963118265000002E-2</v>
      </c>
    </row>
    <row r="325" spans="6:57">
      <c r="F325" s="9"/>
      <c r="G325" s="22">
        <v>4.3792699999999997E-2</v>
      </c>
      <c r="H325" s="22">
        <v>52.484499999999997</v>
      </c>
      <c r="I325" s="22">
        <v>-1.8002300000000001E-3</v>
      </c>
      <c r="J325" s="22">
        <v>315</v>
      </c>
      <c r="K325" s="22">
        <v>4.3554700000000002E-2</v>
      </c>
      <c r="L325">
        <f t="shared" si="48"/>
        <v>1.80023</v>
      </c>
      <c r="M325">
        <f t="shared" si="49"/>
        <v>7.8836932320999989E-2</v>
      </c>
      <c r="N325" s="9"/>
      <c r="O325" s="22">
        <v>1.48621</v>
      </c>
      <c r="P325" s="22">
        <v>101.544</v>
      </c>
      <c r="Q325" s="22">
        <v>-2.13074E-4</v>
      </c>
      <c r="R325" s="22">
        <v>315</v>
      </c>
      <c r="S325" s="22">
        <v>1.48529</v>
      </c>
      <c r="T325">
        <f t="shared" si="50"/>
        <v>0.21307400000000001</v>
      </c>
      <c r="U325">
        <f t="shared" si="51"/>
        <v>0.31667270954000004</v>
      </c>
      <c r="X325" s="9"/>
      <c r="Y325" s="22">
        <v>4.3792699999999997E-2</v>
      </c>
      <c r="Z325" s="22">
        <v>150.62299999999999</v>
      </c>
      <c r="AA325" s="22">
        <v>-1.5506000000000001E-3</v>
      </c>
      <c r="AB325" s="22">
        <v>315</v>
      </c>
      <c r="AC325" s="22">
        <v>4.3591299999999999E-2</v>
      </c>
      <c r="AD325">
        <f t="shared" si="52"/>
        <v>1.5506</v>
      </c>
      <c r="AE325">
        <f t="shared" si="53"/>
        <v>6.7904960619999996E-2</v>
      </c>
      <c r="AF325" s="9"/>
      <c r="AG325" s="22">
        <v>1.48621</v>
      </c>
      <c r="AH325" s="22">
        <v>199.87299999999999</v>
      </c>
      <c r="AI325" s="25">
        <v>-2.67639E-5</v>
      </c>
      <c r="AJ325" s="22">
        <v>315</v>
      </c>
      <c r="AK325" s="22">
        <v>1.48499</v>
      </c>
      <c r="AL325">
        <f t="shared" si="54"/>
        <v>2.67639E-2</v>
      </c>
      <c r="AM325">
        <f t="shared" si="55"/>
        <v>3.9776775819E-2</v>
      </c>
      <c r="AP325" s="9"/>
      <c r="AQ325" s="22">
        <v>4.3792699999999997E-2</v>
      </c>
      <c r="AR325" s="22">
        <v>249.017</v>
      </c>
      <c r="AS325" s="22">
        <v>-1.43738E-3</v>
      </c>
      <c r="AT325" s="22">
        <v>315</v>
      </c>
      <c r="AU325" s="22">
        <v>4.3545500000000001E-2</v>
      </c>
      <c r="AV325">
        <f t="shared" si="56"/>
        <v>1.4373800000000001</v>
      </c>
      <c r="AW325">
        <f t="shared" si="57"/>
        <v>6.2946751125999997E-2</v>
      </c>
      <c r="AX325" s="9"/>
      <c r="AY325" s="22">
        <v>1.48621</v>
      </c>
      <c r="AZ325" s="22">
        <v>298.17700000000002</v>
      </c>
      <c r="BA325" s="25">
        <v>3.8452099999999997E-5</v>
      </c>
      <c r="BB325" s="22">
        <v>315</v>
      </c>
      <c r="BC325" s="22">
        <v>1.4856</v>
      </c>
      <c r="BD325">
        <f t="shared" si="58"/>
        <v>-3.8452099999999996E-2</v>
      </c>
      <c r="BE325">
        <f t="shared" si="59"/>
        <v>-5.7147895540999992E-2</v>
      </c>
    </row>
    <row r="326" spans="6:57">
      <c r="F326" s="9"/>
      <c r="G326" s="22">
        <v>3.8757300000000001E-2</v>
      </c>
      <c r="H326" s="22">
        <v>52.494599999999998</v>
      </c>
      <c r="I326" s="22">
        <v>-1.8054200000000001E-3</v>
      </c>
      <c r="J326" s="22">
        <v>316</v>
      </c>
      <c r="K326" s="22">
        <v>3.8479600000000003E-2</v>
      </c>
      <c r="L326">
        <f t="shared" si="48"/>
        <v>1.80542</v>
      </c>
      <c r="M326">
        <f t="shared" si="49"/>
        <v>6.9973204566000008E-2</v>
      </c>
      <c r="N326" s="9"/>
      <c r="O326" s="22">
        <v>1.4912399999999999</v>
      </c>
      <c r="P326" s="22">
        <v>101.554</v>
      </c>
      <c r="Q326" s="22">
        <v>-1.95007E-4</v>
      </c>
      <c r="R326" s="22">
        <v>316</v>
      </c>
      <c r="S326" s="22">
        <v>1.49017</v>
      </c>
      <c r="T326">
        <f t="shared" si="50"/>
        <v>0.19500699999999999</v>
      </c>
      <c r="U326">
        <f t="shared" si="51"/>
        <v>0.29080223867999994</v>
      </c>
      <c r="X326" s="9"/>
      <c r="Y326" s="22">
        <v>3.8757300000000001E-2</v>
      </c>
      <c r="Z326" s="22">
        <v>150.63300000000001</v>
      </c>
      <c r="AA326" s="22">
        <v>-1.55853E-3</v>
      </c>
      <c r="AB326" s="22">
        <v>316</v>
      </c>
      <c r="AC326" s="22">
        <v>3.8522300000000002E-2</v>
      </c>
      <c r="AD326">
        <f t="shared" si="52"/>
        <v>1.55853</v>
      </c>
      <c r="AE326">
        <f t="shared" si="53"/>
        <v>6.0404414768999999E-2</v>
      </c>
      <c r="AF326" s="9"/>
      <c r="AG326" s="22">
        <v>1.4912399999999999</v>
      </c>
      <c r="AH326" s="22">
        <v>199.88300000000001</v>
      </c>
      <c r="AI326" s="25">
        <v>-1.1138899999999999E-5</v>
      </c>
      <c r="AJ326" s="22">
        <v>316</v>
      </c>
      <c r="AK326" s="22">
        <v>1.49078</v>
      </c>
      <c r="AL326">
        <f t="shared" si="54"/>
        <v>1.11389E-2</v>
      </c>
      <c r="AM326">
        <f t="shared" si="55"/>
        <v>1.6610773236E-2</v>
      </c>
      <c r="AP326" s="9"/>
      <c r="AQ326" s="22">
        <v>3.8757300000000001E-2</v>
      </c>
      <c r="AR326" s="22">
        <v>249.02699999999999</v>
      </c>
      <c r="AS326" s="22">
        <v>-1.4419599999999999E-3</v>
      </c>
      <c r="AT326" s="22">
        <v>316</v>
      </c>
      <c r="AU326" s="22">
        <v>3.8482700000000002E-2</v>
      </c>
      <c r="AV326">
        <f t="shared" si="56"/>
        <v>1.4419599999999999</v>
      </c>
      <c r="AW326">
        <f t="shared" si="57"/>
        <v>5.5886476307999998E-2</v>
      </c>
      <c r="AX326" s="9"/>
      <c r="AY326" s="22">
        <v>1.4912399999999999</v>
      </c>
      <c r="AZ326" s="22">
        <v>298.18700000000001</v>
      </c>
      <c r="BA326" s="25">
        <v>5.2185100000000003E-5</v>
      </c>
      <c r="BB326" s="22">
        <v>316</v>
      </c>
      <c r="BC326" s="22">
        <v>1.49048</v>
      </c>
      <c r="BD326">
        <f t="shared" si="58"/>
        <v>-5.2185100000000005E-2</v>
      </c>
      <c r="BE326">
        <f t="shared" si="59"/>
        <v>-7.7820508524000007E-2</v>
      </c>
    </row>
    <row r="327" spans="6:57">
      <c r="F327" s="9"/>
      <c r="G327" s="22">
        <v>3.3721899999999999E-2</v>
      </c>
      <c r="H327" s="22">
        <v>52.5047</v>
      </c>
      <c r="I327" s="22">
        <v>-1.8087800000000001E-3</v>
      </c>
      <c r="J327" s="22">
        <v>317</v>
      </c>
      <c r="K327" s="22">
        <v>3.3453400000000001E-2</v>
      </c>
      <c r="L327">
        <f t="shared" si="48"/>
        <v>1.8087800000000001</v>
      </c>
      <c r="M327">
        <f t="shared" si="49"/>
        <v>6.0995498282000002E-2</v>
      </c>
      <c r="N327" s="9"/>
      <c r="O327" s="22">
        <v>1.4962800000000001</v>
      </c>
      <c r="P327" s="22">
        <v>101.56399999999999</v>
      </c>
      <c r="Q327" s="22">
        <v>-1.75568E-4</v>
      </c>
      <c r="R327" s="22">
        <v>317</v>
      </c>
      <c r="S327" s="22">
        <v>1.4956700000000001</v>
      </c>
      <c r="T327">
        <f t="shared" si="50"/>
        <v>0.175568</v>
      </c>
      <c r="U327">
        <f t="shared" si="51"/>
        <v>0.26269888704</v>
      </c>
      <c r="X327" s="9"/>
      <c r="Y327" s="22">
        <v>3.3721899999999999E-2</v>
      </c>
      <c r="Z327" s="22">
        <v>150.643</v>
      </c>
      <c r="AA327" s="22">
        <v>-1.5597499999999999E-3</v>
      </c>
      <c r="AB327" s="22">
        <v>317</v>
      </c>
      <c r="AC327" s="22">
        <v>3.3429E-2</v>
      </c>
      <c r="AD327">
        <f t="shared" si="52"/>
        <v>1.55975</v>
      </c>
      <c r="AE327">
        <f t="shared" si="53"/>
        <v>5.2597733524999996E-2</v>
      </c>
      <c r="AF327" s="9"/>
      <c r="AG327" s="22">
        <v>1.4962800000000001</v>
      </c>
      <c r="AH327" s="22">
        <v>199.893</v>
      </c>
      <c r="AI327" s="25">
        <v>6.2561000000000001E-6</v>
      </c>
      <c r="AJ327" s="22">
        <v>317</v>
      </c>
      <c r="AK327" s="22">
        <v>1.4950600000000001</v>
      </c>
      <c r="AL327">
        <f t="shared" si="54"/>
        <v>-6.2561000000000005E-3</v>
      </c>
      <c r="AM327">
        <f t="shared" si="55"/>
        <v>-9.3608773080000006E-3</v>
      </c>
      <c r="AP327" s="9"/>
      <c r="AQ327" s="22">
        <v>3.3721899999999999E-2</v>
      </c>
      <c r="AR327" s="22">
        <v>249.03700000000001</v>
      </c>
      <c r="AS327" s="22">
        <v>-1.44531E-3</v>
      </c>
      <c r="AT327" s="22">
        <v>317</v>
      </c>
      <c r="AU327" s="22">
        <v>3.3425900000000001E-2</v>
      </c>
      <c r="AV327">
        <f t="shared" si="56"/>
        <v>1.4453100000000001</v>
      </c>
      <c r="AW327">
        <f t="shared" si="57"/>
        <v>4.8738599289000005E-2</v>
      </c>
      <c r="AX327" s="9"/>
      <c r="AY327" s="22">
        <v>1.4962800000000001</v>
      </c>
      <c r="AZ327" s="22">
        <v>298.197</v>
      </c>
      <c r="BA327" s="25">
        <v>6.9518999999999996E-5</v>
      </c>
      <c r="BB327" s="22">
        <v>317</v>
      </c>
      <c r="BC327" s="22">
        <v>1.4950600000000001</v>
      </c>
      <c r="BD327">
        <f t="shared" si="58"/>
        <v>-6.9518999999999997E-2</v>
      </c>
      <c r="BE327">
        <f t="shared" si="59"/>
        <v>-0.10401988932</v>
      </c>
    </row>
    <row r="328" spans="6:57">
      <c r="F328" s="9"/>
      <c r="G328" s="22">
        <v>2.86865E-2</v>
      </c>
      <c r="H328" s="22">
        <v>52.514699999999998</v>
      </c>
      <c r="I328" s="22">
        <v>-1.8148800000000001E-3</v>
      </c>
      <c r="J328" s="22">
        <v>318</v>
      </c>
      <c r="K328" s="22">
        <v>2.83875E-2</v>
      </c>
      <c r="L328">
        <f t="shared" si="48"/>
        <v>1.81488</v>
      </c>
      <c r="M328">
        <f t="shared" si="49"/>
        <v>5.2062555119999999E-2</v>
      </c>
      <c r="N328" s="9"/>
      <c r="O328" s="22">
        <v>1.5013099999999999</v>
      </c>
      <c r="P328" s="22">
        <v>101.574</v>
      </c>
      <c r="Q328" s="22">
        <v>-1.5210000000000001E-4</v>
      </c>
      <c r="R328" s="22">
        <v>318</v>
      </c>
      <c r="S328" s="22">
        <v>1.5005500000000001</v>
      </c>
      <c r="T328">
        <f t="shared" si="50"/>
        <v>0.15210000000000001</v>
      </c>
      <c r="U328">
        <f t="shared" si="51"/>
        <v>0.228349251</v>
      </c>
      <c r="X328" s="9"/>
      <c r="Y328" s="22">
        <v>2.86865E-2</v>
      </c>
      <c r="Z328" s="22">
        <v>150.654</v>
      </c>
      <c r="AA328" s="22">
        <v>-1.55945E-3</v>
      </c>
      <c r="AB328" s="22">
        <v>318</v>
      </c>
      <c r="AC328" s="22">
        <v>2.8381300000000002E-2</v>
      </c>
      <c r="AD328">
        <f t="shared" si="52"/>
        <v>1.55945</v>
      </c>
      <c r="AE328">
        <f t="shared" si="53"/>
        <v>4.4735162425000002E-2</v>
      </c>
      <c r="AF328" s="9"/>
      <c r="AG328" s="22">
        <v>1.5013099999999999</v>
      </c>
      <c r="AH328" s="22">
        <v>199.90299999999999</v>
      </c>
      <c r="AI328" s="25">
        <v>2.4414100000000001E-5</v>
      </c>
      <c r="AJ328" s="22">
        <v>318</v>
      </c>
      <c r="AK328" s="22">
        <v>1.5005500000000001</v>
      </c>
      <c r="AL328">
        <f t="shared" si="54"/>
        <v>-2.4414100000000001E-2</v>
      </c>
      <c r="AM328">
        <f t="shared" si="55"/>
        <v>-3.6653132471000001E-2</v>
      </c>
      <c r="AP328" s="9"/>
      <c r="AQ328" s="22">
        <v>2.86865E-2</v>
      </c>
      <c r="AR328" s="22">
        <v>249.047</v>
      </c>
      <c r="AS328" s="22">
        <v>-1.44684E-3</v>
      </c>
      <c r="AT328" s="22">
        <v>318</v>
      </c>
      <c r="AU328" s="22">
        <v>2.83875E-2</v>
      </c>
      <c r="AV328">
        <f t="shared" si="56"/>
        <v>1.4468400000000001</v>
      </c>
      <c r="AW328">
        <f t="shared" si="57"/>
        <v>4.1504775660000007E-2</v>
      </c>
      <c r="AX328" s="9"/>
      <c r="AY328" s="22">
        <v>1.5013099999999999</v>
      </c>
      <c r="AZ328" s="22">
        <v>298.20699999999999</v>
      </c>
      <c r="BA328" s="25">
        <v>9.4360399999999999E-5</v>
      </c>
      <c r="BB328" s="22">
        <v>318</v>
      </c>
      <c r="BC328" s="22">
        <v>1.5005500000000001</v>
      </c>
      <c r="BD328">
        <f t="shared" si="58"/>
        <v>-9.4360399999999997E-2</v>
      </c>
      <c r="BE328">
        <f t="shared" si="59"/>
        <v>-0.14166421212399999</v>
      </c>
    </row>
    <row r="329" spans="6:57">
      <c r="F329" s="9"/>
      <c r="G329" s="22">
        <v>2.3651100000000001E-2</v>
      </c>
      <c r="H329" s="22">
        <v>52.524799999999999</v>
      </c>
      <c r="I329" s="22">
        <v>-1.8188499999999999E-3</v>
      </c>
      <c r="J329" s="22">
        <v>319</v>
      </c>
      <c r="K329" s="22">
        <v>2.33154E-2</v>
      </c>
      <c r="L329">
        <f t="shared" si="48"/>
        <v>1.8188499999999999</v>
      </c>
      <c r="M329">
        <f t="shared" si="49"/>
        <v>4.3017803234999999E-2</v>
      </c>
      <c r="N329" s="9"/>
      <c r="O329" s="22">
        <v>1.5063500000000001</v>
      </c>
      <c r="P329" s="22">
        <v>101.584</v>
      </c>
      <c r="Q329" s="22">
        <v>-1.21124E-4</v>
      </c>
      <c r="R329" s="22">
        <v>319</v>
      </c>
      <c r="S329" s="22">
        <v>1.50482</v>
      </c>
      <c r="T329">
        <f t="shared" si="50"/>
        <v>0.121124</v>
      </c>
      <c r="U329">
        <f t="shared" si="51"/>
        <v>0.18245513739999999</v>
      </c>
      <c r="X329" s="9"/>
      <c r="Y329" s="22">
        <v>2.3651100000000001E-2</v>
      </c>
      <c r="Z329" s="22">
        <v>150.66399999999999</v>
      </c>
      <c r="AA329" s="22">
        <v>-1.5597499999999999E-3</v>
      </c>
      <c r="AB329" s="22">
        <v>319</v>
      </c>
      <c r="AC329" s="22">
        <v>2.33429E-2</v>
      </c>
      <c r="AD329">
        <f t="shared" si="52"/>
        <v>1.55975</v>
      </c>
      <c r="AE329">
        <f t="shared" si="53"/>
        <v>3.6889803225000004E-2</v>
      </c>
      <c r="AF329" s="9"/>
      <c r="AG329" s="22">
        <v>1.5063500000000001</v>
      </c>
      <c r="AH329" s="22">
        <v>199.91300000000001</v>
      </c>
      <c r="AI329" s="25">
        <v>4.3548599999999998E-5</v>
      </c>
      <c r="AJ329" s="22">
        <v>319</v>
      </c>
      <c r="AK329" s="22">
        <v>1.50543</v>
      </c>
      <c r="AL329">
        <f t="shared" si="54"/>
        <v>-4.35486E-2</v>
      </c>
      <c r="AM329">
        <f t="shared" si="55"/>
        <v>-6.5599433610000007E-2</v>
      </c>
      <c r="AP329" s="9"/>
      <c r="AQ329" s="22">
        <v>2.3651100000000001E-2</v>
      </c>
      <c r="AR329" s="22">
        <v>249.05699999999999</v>
      </c>
      <c r="AS329" s="22">
        <v>-1.4517200000000001E-3</v>
      </c>
      <c r="AT329" s="22">
        <v>319</v>
      </c>
      <c r="AU329" s="22">
        <v>2.3330699999999999E-2</v>
      </c>
      <c r="AV329">
        <f t="shared" si="56"/>
        <v>1.4517200000000001</v>
      </c>
      <c r="AW329">
        <f t="shared" si="57"/>
        <v>3.4334774892000007E-2</v>
      </c>
      <c r="AX329" s="9"/>
      <c r="AY329" s="22">
        <v>1.5063500000000001</v>
      </c>
      <c r="AZ329" s="22">
        <v>298.21699999999998</v>
      </c>
      <c r="BA329" s="22">
        <v>1.1453199999999999E-4</v>
      </c>
      <c r="BB329" s="22">
        <v>319</v>
      </c>
      <c r="BC329" s="22">
        <v>1.50543</v>
      </c>
      <c r="BD329">
        <f t="shared" si="58"/>
        <v>-0.11453199999999999</v>
      </c>
      <c r="BE329">
        <f t="shared" si="59"/>
        <v>-0.17252527819999999</v>
      </c>
    </row>
    <row r="330" spans="6:57">
      <c r="F330" s="9"/>
      <c r="G330" s="22">
        <v>1.8615699999999999E-2</v>
      </c>
      <c r="H330" s="22">
        <v>52.5349</v>
      </c>
      <c r="I330" s="22">
        <v>-1.8240400000000001E-3</v>
      </c>
      <c r="J330" s="22">
        <v>320</v>
      </c>
      <c r="K330" s="22">
        <v>1.8301399999999999E-2</v>
      </c>
      <c r="L330">
        <f t="shared" si="48"/>
        <v>1.8240400000000001</v>
      </c>
      <c r="M330">
        <f t="shared" si="49"/>
        <v>3.3955781428000001E-2</v>
      </c>
      <c r="N330" s="9"/>
      <c r="O330" s="22">
        <v>1.5113799999999999</v>
      </c>
      <c r="P330" s="22">
        <v>101.59399999999999</v>
      </c>
      <c r="Q330" s="25">
        <v>-9.8175000000000001E-5</v>
      </c>
      <c r="R330" s="22">
        <v>320</v>
      </c>
      <c r="S330" s="22">
        <v>1.5097</v>
      </c>
      <c r="T330">
        <f t="shared" si="50"/>
        <v>9.8174999999999998E-2</v>
      </c>
      <c r="U330">
        <f t="shared" si="51"/>
        <v>0.1483797315</v>
      </c>
      <c r="X330" s="9"/>
      <c r="Y330" s="22">
        <v>1.8615699999999999E-2</v>
      </c>
      <c r="Z330" s="22">
        <v>150.67400000000001</v>
      </c>
      <c r="AA330" s="22">
        <v>-1.56708E-3</v>
      </c>
      <c r="AB330" s="22">
        <v>320</v>
      </c>
      <c r="AC330" s="22">
        <v>1.8301399999999999E-2</v>
      </c>
      <c r="AD330">
        <f t="shared" si="52"/>
        <v>1.56708</v>
      </c>
      <c r="AE330">
        <f t="shared" si="53"/>
        <v>2.9172291155999997E-2</v>
      </c>
      <c r="AF330" s="9"/>
      <c r="AG330" s="22">
        <v>1.5113799999999999</v>
      </c>
      <c r="AH330" s="22">
        <v>199.923</v>
      </c>
      <c r="AI330" s="25">
        <v>6.4117399999999997E-5</v>
      </c>
      <c r="AJ330" s="22">
        <v>320</v>
      </c>
      <c r="AK330" s="22">
        <v>1.51031</v>
      </c>
      <c r="AL330">
        <f t="shared" si="54"/>
        <v>-6.4117399999999991E-2</v>
      </c>
      <c r="AM330">
        <f t="shared" si="55"/>
        <v>-9.690575601199998E-2</v>
      </c>
      <c r="AP330" s="9"/>
      <c r="AQ330" s="22">
        <v>1.8615699999999999E-2</v>
      </c>
      <c r="AR330" s="22">
        <v>249.06800000000001</v>
      </c>
      <c r="AS330" s="22">
        <v>-1.45386E-3</v>
      </c>
      <c r="AT330" s="22">
        <v>320</v>
      </c>
      <c r="AU330" s="22">
        <v>1.8292200000000002E-2</v>
      </c>
      <c r="AV330">
        <f t="shared" si="56"/>
        <v>1.4538599999999999</v>
      </c>
      <c r="AW330">
        <f t="shared" si="57"/>
        <v>2.7064621601999996E-2</v>
      </c>
      <c r="AX330" s="9"/>
      <c r="AY330" s="22">
        <v>1.5113799999999999</v>
      </c>
      <c r="AZ330" s="22">
        <v>298.22699999999998</v>
      </c>
      <c r="BA330" s="22">
        <v>1.3699299999999999E-4</v>
      </c>
      <c r="BB330" s="22">
        <v>320</v>
      </c>
      <c r="BC330" s="22">
        <v>1.51031</v>
      </c>
      <c r="BD330">
        <f t="shared" si="58"/>
        <v>-0.136993</v>
      </c>
      <c r="BE330">
        <f t="shared" si="59"/>
        <v>-0.20704848034000001</v>
      </c>
    </row>
    <row r="331" spans="6:57">
      <c r="F331" s="9"/>
      <c r="G331" s="22">
        <v>1.35803E-2</v>
      </c>
      <c r="H331" s="22">
        <v>52.544899999999998</v>
      </c>
      <c r="I331" s="22">
        <v>-1.8292200000000001E-3</v>
      </c>
      <c r="J331" s="22">
        <v>321</v>
      </c>
      <c r="K331" s="22">
        <v>1.32782E-2</v>
      </c>
      <c r="L331">
        <f t="shared" si="48"/>
        <v>1.8292200000000001</v>
      </c>
      <c r="M331">
        <f t="shared" si="49"/>
        <v>2.4841356366E-2</v>
      </c>
      <c r="N331" s="9"/>
      <c r="O331" s="22">
        <v>1.5164200000000001</v>
      </c>
      <c r="P331" s="22">
        <v>101.604</v>
      </c>
      <c r="Q331" s="25">
        <v>-7.6263399999999999E-5</v>
      </c>
      <c r="R331" s="22">
        <v>321</v>
      </c>
      <c r="S331" s="22">
        <v>1.5148900000000001</v>
      </c>
      <c r="T331">
        <f t="shared" si="50"/>
        <v>7.6263399999999995E-2</v>
      </c>
      <c r="U331">
        <f t="shared" si="51"/>
        <v>0.115647345028</v>
      </c>
      <c r="X331" s="9"/>
      <c r="Y331" s="22">
        <v>1.35803E-2</v>
      </c>
      <c r="Z331" s="22">
        <v>150.684</v>
      </c>
      <c r="AA331" s="22">
        <v>-1.5701300000000001E-3</v>
      </c>
      <c r="AB331" s="22">
        <v>321</v>
      </c>
      <c r="AC331" s="22">
        <v>1.32721E-2</v>
      </c>
      <c r="AD331">
        <f t="shared" si="52"/>
        <v>1.57013</v>
      </c>
      <c r="AE331">
        <f t="shared" si="53"/>
        <v>2.1322836439000001E-2</v>
      </c>
      <c r="AF331" s="9"/>
      <c r="AG331" s="22">
        <v>1.5164200000000001</v>
      </c>
      <c r="AH331" s="22">
        <v>199.93299999999999</v>
      </c>
      <c r="AI331" s="25">
        <v>6.1920200000000004E-5</v>
      </c>
      <c r="AJ331" s="22">
        <v>321</v>
      </c>
      <c r="AK331" s="22">
        <v>1.5158100000000001</v>
      </c>
      <c r="AL331">
        <f t="shared" si="54"/>
        <v>-6.1920200000000002E-2</v>
      </c>
      <c r="AM331">
        <f t="shared" si="55"/>
        <v>-9.3897029684000002E-2</v>
      </c>
      <c r="AP331" s="9"/>
      <c r="AQ331" s="22">
        <v>1.35803E-2</v>
      </c>
      <c r="AR331" s="22">
        <v>249.078</v>
      </c>
      <c r="AS331" s="22">
        <v>-1.4566E-3</v>
      </c>
      <c r="AT331" s="22">
        <v>321</v>
      </c>
      <c r="AU331" s="22">
        <v>1.32782E-2</v>
      </c>
      <c r="AV331">
        <f t="shared" si="56"/>
        <v>1.4565999999999999</v>
      </c>
      <c r="AW331">
        <f t="shared" si="57"/>
        <v>1.9781064979999999E-2</v>
      </c>
      <c r="AX331" s="9"/>
      <c r="AY331" s="22">
        <v>1.5164200000000001</v>
      </c>
      <c r="AZ331" s="22">
        <v>298.23700000000002</v>
      </c>
      <c r="BA331" s="22">
        <v>1.5982099999999999E-4</v>
      </c>
      <c r="BB331" s="22">
        <v>321</v>
      </c>
      <c r="BC331" s="22">
        <v>1.5152000000000001</v>
      </c>
      <c r="BD331">
        <f t="shared" si="58"/>
        <v>-0.15982099999999999</v>
      </c>
      <c r="BE331">
        <f t="shared" si="59"/>
        <v>-0.24235576082000002</v>
      </c>
    </row>
    <row r="332" spans="6:57">
      <c r="F332" s="9"/>
      <c r="G332" s="22">
        <v>8.5449199999999993E-3</v>
      </c>
      <c r="H332" s="22">
        <v>52.555</v>
      </c>
      <c r="I332" s="22">
        <v>-1.8331899999999999E-3</v>
      </c>
      <c r="J332" s="22">
        <v>322</v>
      </c>
      <c r="K332" s="22">
        <v>8.1939700000000001E-3</v>
      </c>
      <c r="L332">
        <f t="shared" ref="L332:L354" si="60">-I332/$F$2*1000</f>
        <v>1.8331899999999999</v>
      </c>
      <c r="M332">
        <f t="shared" ref="M332:M354" si="61">L332*G332</f>
        <v>1.5664461894799999E-2</v>
      </c>
      <c r="N332" s="9"/>
      <c r="O332" s="22">
        <v>1.52145</v>
      </c>
      <c r="P332" s="22">
        <v>101.614</v>
      </c>
      <c r="Q332" s="25">
        <v>-5.4290799999999999E-5</v>
      </c>
      <c r="R332" s="22">
        <v>322</v>
      </c>
      <c r="S332" s="22">
        <v>1.5203899999999999</v>
      </c>
      <c r="T332">
        <f t="shared" ref="T332:T354" si="62">-Q332/$F$2*1000</f>
        <v>5.42908E-2</v>
      </c>
      <c r="U332">
        <f t="shared" ref="U332:U354" si="63">T332*O332</f>
        <v>8.2600737659999993E-2</v>
      </c>
      <c r="X332" s="9"/>
      <c r="Y332" s="22">
        <v>8.5449199999999993E-3</v>
      </c>
      <c r="Z332" s="22">
        <v>150.69399999999999</v>
      </c>
      <c r="AA332" s="22">
        <v>-1.5744000000000001E-3</v>
      </c>
      <c r="AB332" s="22">
        <v>322</v>
      </c>
      <c r="AC332" s="22">
        <v>8.1939700000000001E-3</v>
      </c>
      <c r="AD332">
        <f t="shared" ref="AD332:AD354" si="64">-AA332/$F$2*1000</f>
        <v>1.5744</v>
      </c>
      <c r="AE332">
        <f t="shared" ref="AE332:AE354" si="65">AD332*Y332</f>
        <v>1.3453122047999999E-2</v>
      </c>
      <c r="AF332" s="9"/>
      <c r="AG332" s="22">
        <v>1.52145</v>
      </c>
      <c r="AH332" s="22">
        <v>199.94300000000001</v>
      </c>
      <c r="AI332" s="25">
        <v>8.3679199999999997E-5</v>
      </c>
      <c r="AJ332" s="22">
        <v>322</v>
      </c>
      <c r="AK332" s="22">
        <v>1.5200800000000001</v>
      </c>
      <c r="AL332">
        <f t="shared" ref="AL332:AL354" si="66">-AI332/$F$2*1000</f>
        <v>-8.3679199999999995E-2</v>
      </c>
      <c r="AM332">
        <f t="shared" ref="AM332:AM354" si="67">AL332*AG332</f>
        <v>-0.12731371883999998</v>
      </c>
      <c r="AP332" s="9"/>
      <c r="AQ332" s="22">
        <v>8.5449199999999993E-3</v>
      </c>
      <c r="AR332" s="22">
        <v>249.08799999999999</v>
      </c>
      <c r="AS332" s="22">
        <v>-1.4608799999999999E-3</v>
      </c>
      <c r="AT332" s="22">
        <v>322</v>
      </c>
      <c r="AU332" s="22">
        <v>8.1848100000000007E-3</v>
      </c>
      <c r="AV332">
        <f t="shared" ref="AV332:AV354" si="68">-AS332/$F$2*1000</f>
        <v>1.46088</v>
      </c>
      <c r="AW332">
        <f t="shared" ref="AW332:AW354" si="69">AV332*AQ332</f>
        <v>1.2483102729599998E-2</v>
      </c>
      <c r="AX332" s="9"/>
      <c r="AY332" s="22">
        <v>1.52145</v>
      </c>
      <c r="AZ332" s="22">
        <v>298.24700000000001</v>
      </c>
      <c r="BA332" s="22">
        <v>1.8304399999999999E-4</v>
      </c>
      <c r="BB332" s="22">
        <v>322</v>
      </c>
      <c r="BC332" s="22">
        <v>1.5203899999999999</v>
      </c>
      <c r="BD332">
        <f t="shared" ref="BD332:BD354" si="70">-BA332/$F$2*1000</f>
        <v>-0.18304399999999998</v>
      </c>
      <c r="BE332">
        <f t="shared" ref="BE332:BE354" si="71">BD332*AY332</f>
        <v>-0.27849229379999996</v>
      </c>
    </row>
    <row r="333" spans="6:57">
      <c r="F333" s="9"/>
      <c r="G333" s="22">
        <v>3.5095199999999999E-3</v>
      </c>
      <c r="H333" s="22">
        <v>52.565100000000001</v>
      </c>
      <c r="I333" s="22">
        <v>-1.8359400000000001E-3</v>
      </c>
      <c r="J333" s="22">
        <v>323</v>
      </c>
      <c r="K333" s="22">
        <v>3.1829800000000002E-3</v>
      </c>
      <c r="L333">
        <f t="shared" si="60"/>
        <v>1.8359400000000001</v>
      </c>
      <c r="M333">
        <f t="shared" si="61"/>
        <v>6.4432681488000004E-3</v>
      </c>
      <c r="N333" s="9"/>
      <c r="O333" s="22">
        <v>1.5264899999999999</v>
      </c>
      <c r="P333" s="22">
        <v>101.624</v>
      </c>
      <c r="Q333" s="25">
        <v>-2.8808600000000001E-5</v>
      </c>
      <c r="R333" s="22">
        <v>323</v>
      </c>
      <c r="S333" s="22">
        <v>1.5252699999999999</v>
      </c>
      <c r="T333">
        <f t="shared" si="62"/>
        <v>2.88086E-2</v>
      </c>
      <c r="U333">
        <f t="shared" si="63"/>
        <v>4.3976039814000001E-2</v>
      </c>
      <c r="X333" s="9"/>
      <c r="Y333" s="22">
        <v>3.5095199999999999E-3</v>
      </c>
      <c r="Z333" s="22">
        <v>150.70400000000001</v>
      </c>
      <c r="AA333" s="22">
        <v>-1.5786699999999999E-3</v>
      </c>
      <c r="AB333" s="22">
        <v>323</v>
      </c>
      <c r="AC333" s="22">
        <v>3.17688E-3</v>
      </c>
      <c r="AD333">
        <f t="shared" si="64"/>
        <v>1.5786699999999998</v>
      </c>
      <c r="AE333">
        <f t="shared" si="65"/>
        <v>5.5403739383999995E-3</v>
      </c>
      <c r="AF333" s="9"/>
      <c r="AG333" s="22">
        <v>1.5264899999999999</v>
      </c>
      <c r="AH333" s="22">
        <v>199.953</v>
      </c>
      <c r="AI333" s="22">
        <v>1.02905E-4</v>
      </c>
      <c r="AJ333" s="22">
        <v>323</v>
      </c>
      <c r="AK333" s="22">
        <v>1.5252699999999999</v>
      </c>
      <c r="AL333">
        <f t="shared" si="66"/>
        <v>-0.10290500000000001</v>
      </c>
      <c r="AM333">
        <f t="shared" si="67"/>
        <v>-0.15708345344999999</v>
      </c>
      <c r="AP333" s="9"/>
      <c r="AQ333" s="22">
        <v>3.5095199999999999E-3</v>
      </c>
      <c r="AR333" s="22">
        <v>249.09800000000001</v>
      </c>
      <c r="AS333" s="22">
        <v>-1.4624E-3</v>
      </c>
      <c r="AT333" s="22">
        <v>323</v>
      </c>
      <c r="AU333" s="22">
        <v>3.1677200000000002E-3</v>
      </c>
      <c r="AV333">
        <f t="shared" si="68"/>
        <v>1.4623999999999999</v>
      </c>
      <c r="AW333">
        <f t="shared" si="69"/>
        <v>5.1323220479999997E-3</v>
      </c>
      <c r="AX333" s="9"/>
      <c r="AY333" s="22">
        <v>1.5264899999999999</v>
      </c>
      <c r="AZ333" s="22">
        <v>298.25700000000001</v>
      </c>
      <c r="BA333" s="22">
        <v>2.10571E-4</v>
      </c>
      <c r="BB333" s="22">
        <v>323</v>
      </c>
      <c r="BC333" s="22">
        <v>1.5255700000000001</v>
      </c>
      <c r="BD333">
        <f t="shared" si="70"/>
        <v>-0.21057100000000001</v>
      </c>
      <c r="BE333">
        <f t="shared" si="71"/>
        <v>-0.32143452578999998</v>
      </c>
    </row>
    <row r="334" spans="6:57">
      <c r="F334" s="9"/>
      <c r="G334" s="22">
        <v>-1.5258800000000001E-3</v>
      </c>
      <c r="H334" s="22">
        <v>52.575099999999999</v>
      </c>
      <c r="I334" s="22">
        <v>-1.8399E-3</v>
      </c>
      <c r="J334" s="22">
        <v>324</v>
      </c>
      <c r="K334" s="22">
        <v>-1.89514E-3</v>
      </c>
      <c r="L334">
        <f t="shared" si="60"/>
        <v>1.8399000000000001</v>
      </c>
      <c r="M334">
        <f t="shared" si="61"/>
        <v>-2.8074666120000004E-3</v>
      </c>
      <c r="N334" s="9"/>
      <c r="O334" s="22">
        <v>1.53152</v>
      </c>
      <c r="P334" s="22">
        <v>101.63500000000001</v>
      </c>
      <c r="Q334" s="25">
        <v>-8.8501000000000002E-6</v>
      </c>
      <c r="R334" s="22">
        <v>324</v>
      </c>
      <c r="S334" s="22">
        <v>1.5307599999999999</v>
      </c>
      <c r="T334">
        <f t="shared" si="62"/>
        <v>8.8500999999999996E-3</v>
      </c>
      <c r="U334">
        <f t="shared" si="63"/>
        <v>1.3554105152E-2</v>
      </c>
      <c r="X334" s="9"/>
      <c r="Y334" s="22">
        <v>-1.5258800000000001E-3</v>
      </c>
      <c r="Z334" s="22">
        <v>150.714</v>
      </c>
      <c r="AA334" s="22">
        <v>-1.58081E-3</v>
      </c>
      <c r="AB334" s="22">
        <v>324</v>
      </c>
      <c r="AC334" s="22">
        <v>-1.93176E-3</v>
      </c>
      <c r="AD334">
        <f t="shared" si="64"/>
        <v>1.58081</v>
      </c>
      <c r="AE334">
        <f t="shared" si="65"/>
        <v>-2.4121263628000002E-3</v>
      </c>
      <c r="AF334" s="9"/>
      <c r="AG334" s="22">
        <v>1.53152</v>
      </c>
      <c r="AH334" s="22">
        <v>199.96299999999999</v>
      </c>
      <c r="AI334" s="22">
        <v>1.3482699999999999E-4</v>
      </c>
      <c r="AJ334" s="22">
        <v>324</v>
      </c>
      <c r="AK334" s="22">
        <v>1.5304599999999999</v>
      </c>
      <c r="AL334">
        <f t="shared" si="66"/>
        <v>-0.13482699999999997</v>
      </c>
      <c r="AM334">
        <f t="shared" si="67"/>
        <v>-0.20649024703999996</v>
      </c>
      <c r="AP334" s="9"/>
      <c r="AQ334" s="22">
        <v>-1.5258800000000001E-3</v>
      </c>
      <c r="AR334" s="22">
        <v>249.108</v>
      </c>
      <c r="AS334" s="22">
        <v>-1.4636199999999999E-3</v>
      </c>
      <c r="AT334" s="22">
        <v>324</v>
      </c>
      <c r="AU334" s="22">
        <v>-1.9012499999999999E-3</v>
      </c>
      <c r="AV334">
        <f t="shared" si="68"/>
        <v>1.4636199999999999</v>
      </c>
      <c r="AW334">
        <f t="shared" si="69"/>
        <v>-2.2333084856000001E-3</v>
      </c>
      <c r="AX334" s="9"/>
      <c r="AY334" s="22">
        <v>1.53152</v>
      </c>
      <c r="AZ334" s="22">
        <v>298.267</v>
      </c>
      <c r="BA334" s="22">
        <v>2.3910500000000001E-4</v>
      </c>
      <c r="BB334" s="22">
        <v>324</v>
      </c>
      <c r="BC334" s="22">
        <v>1.5304599999999999</v>
      </c>
      <c r="BD334">
        <f t="shared" si="70"/>
        <v>-0.23910500000000001</v>
      </c>
      <c r="BE334">
        <f t="shared" si="71"/>
        <v>-0.36619408959999999</v>
      </c>
    </row>
    <row r="335" spans="6:57">
      <c r="F335" s="9"/>
      <c r="G335" s="22">
        <v>-6.5612800000000001E-3</v>
      </c>
      <c r="H335" s="22">
        <v>52.5852</v>
      </c>
      <c r="I335" s="22">
        <v>-1.84143E-3</v>
      </c>
      <c r="J335" s="22">
        <v>325</v>
      </c>
      <c r="K335" s="22">
        <v>-6.9793700000000004E-3</v>
      </c>
      <c r="L335">
        <f t="shared" si="60"/>
        <v>1.8414300000000001</v>
      </c>
      <c r="M335">
        <f t="shared" si="61"/>
        <v>-1.20821378304E-2</v>
      </c>
      <c r="N335" s="9"/>
      <c r="O335" s="22">
        <v>1.5365599999999999</v>
      </c>
      <c r="P335" s="22">
        <v>101.645</v>
      </c>
      <c r="Q335" s="25">
        <v>1.8737799999999999E-5</v>
      </c>
      <c r="R335" s="22">
        <v>325</v>
      </c>
      <c r="S335" s="22">
        <v>1.5362499999999999</v>
      </c>
      <c r="T335">
        <f t="shared" si="62"/>
        <v>-1.8737799999999999E-2</v>
      </c>
      <c r="U335">
        <f t="shared" si="63"/>
        <v>-2.8791753967999996E-2</v>
      </c>
      <c r="X335" s="9"/>
      <c r="Y335" s="22">
        <v>-6.5612800000000001E-3</v>
      </c>
      <c r="Z335" s="22">
        <v>150.72399999999999</v>
      </c>
      <c r="AA335" s="22">
        <v>-1.5829500000000001E-3</v>
      </c>
      <c r="AB335" s="22">
        <v>325</v>
      </c>
      <c r="AC335" s="22">
        <v>-6.9915799999999998E-3</v>
      </c>
      <c r="AD335">
        <f t="shared" si="64"/>
        <v>1.5829500000000001</v>
      </c>
      <c r="AE335">
        <f t="shared" si="65"/>
        <v>-1.0386178176E-2</v>
      </c>
      <c r="AF335" s="9"/>
      <c r="AG335" s="22">
        <v>1.5365599999999999</v>
      </c>
      <c r="AH335" s="22">
        <v>199.97300000000001</v>
      </c>
      <c r="AI335" s="22">
        <v>1.6293300000000001E-4</v>
      </c>
      <c r="AJ335" s="22">
        <v>325</v>
      </c>
      <c r="AK335" s="22">
        <v>1.5359499999999999</v>
      </c>
      <c r="AL335">
        <f t="shared" si="66"/>
        <v>-0.16293299999999999</v>
      </c>
      <c r="AM335">
        <f t="shared" si="67"/>
        <v>-0.25035633048</v>
      </c>
      <c r="AP335" s="9"/>
      <c r="AQ335" s="22">
        <v>-6.5612800000000001E-3</v>
      </c>
      <c r="AR335" s="22">
        <v>249.11799999999999</v>
      </c>
      <c r="AS335" s="22">
        <v>-1.4682E-3</v>
      </c>
      <c r="AT335" s="22">
        <v>325</v>
      </c>
      <c r="AU335" s="22">
        <v>-6.9854699999999997E-3</v>
      </c>
      <c r="AV335">
        <f t="shared" si="68"/>
        <v>1.4681999999999999</v>
      </c>
      <c r="AW335">
        <f t="shared" si="69"/>
        <v>-9.6332712959999994E-3</v>
      </c>
      <c r="AX335" s="9"/>
      <c r="AY335" s="22">
        <v>1.5365599999999999</v>
      </c>
      <c r="AZ335" s="22">
        <v>298.27699999999999</v>
      </c>
      <c r="BA335" s="22">
        <v>2.7063E-4</v>
      </c>
      <c r="BB335" s="22">
        <v>325</v>
      </c>
      <c r="BC335" s="22">
        <v>1.5353399999999999</v>
      </c>
      <c r="BD335">
        <f t="shared" si="70"/>
        <v>-0.27062999999999998</v>
      </c>
      <c r="BE335">
        <f t="shared" si="71"/>
        <v>-0.41583923279999996</v>
      </c>
    </row>
    <row r="336" spans="6:57">
      <c r="F336" s="9"/>
      <c r="G336" s="22">
        <v>-1.15967E-2</v>
      </c>
      <c r="H336" s="22">
        <v>52.595300000000002</v>
      </c>
      <c r="I336" s="22">
        <v>-1.84326E-3</v>
      </c>
      <c r="J336" s="22">
        <v>326</v>
      </c>
      <c r="K336" s="22">
        <v>-1.20026E-2</v>
      </c>
      <c r="L336">
        <f t="shared" si="60"/>
        <v>1.8432599999999999</v>
      </c>
      <c r="M336">
        <f t="shared" si="61"/>
        <v>-2.1375733241999997E-2</v>
      </c>
      <c r="N336" s="9"/>
      <c r="O336" s="22">
        <v>1.5416000000000001</v>
      </c>
      <c r="P336" s="22">
        <v>101.655</v>
      </c>
      <c r="Q336" s="25">
        <v>4.8034700000000003E-5</v>
      </c>
      <c r="R336" s="22">
        <v>326</v>
      </c>
      <c r="S336" s="22">
        <v>1.54114</v>
      </c>
      <c r="T336">
        <f t="shared" si="62"/>
        <v>-4.80347E-2</v>
      </c>
      <c r="U336">
        <f t="shared" si="63"/>
        <v>-7.4050293520000005E-2</v>
      </c>
      <c r="X336" s="9"/>
      <c r="Y336" s="22">
        <v>-1.15967E-2</v>
      </c>
      <c r="Z336" s="22">
        <v>150.73400000000001</v>
      </c>
      <c r="AA336" s="22">
        <v>-1.586E-3</v>
      </c>
      <c r="AB336" s="22">
        <v>326</v>
      </c>
      <c r="AC336" s="22">
        <v>-1.20789E-2</v>
      </c>
      <c r="AD336">
        <f t="shared" si="64"/>
        <v>1.5859999999999999</v>
      </c>
      <c r="AE336">
        <f t="shared" si="65"/>
        <v>-1.8392366199999999E-2</v>
      </c>
      <c r="AF336" s="9"/>
      <c r="AG336" s="22">
        <v>1.5416000000000001</v>
      </c>
      <c r="AH336" s="22">
        <v>199.98400000000001</v>
      </c>
      <c r="AI336" s="22">
        <v>1.9473299999999999E-4</v>
      </c>
      <c r="AJ336" s="22">
        <v>326</v>
      </c>
      <c r="AK336" s="22">
        <v>1.54114</v>
      </c>
      <c r="AL336">
        <f t="shared" si="66"/>
        <v>-0.19473299999999999</v>
      </c>
      <c r="AM336">
        <f t="shared" si="67"/>
        <v>-0.30020039279999999</v>
      </c>
      <c r="AP336" s="9"/>
      <c r="AQ336" s="22">
        <v>-1.15967E-2</v>
      </c>
      <c r="AR336" s="22">
        <v>249.12799999999999</v>
      </c>
      <c r="AS336" s="22">
        <v>-1.4688100000000001E-3</v>
      </c>
      <c r="AT336" s="22">
        <v>326</v>
      </c>
      <c r="AU336" s="22">
        <v>-1.20178E-2</v>
      </c>
      <c r="AV336">
        <f t="shared" si="68"/>
        <v>1.4688100000000002</v>
      </c>
      <c r="AW336">
        <f t="shared" si="69"/>
        <v>-1.7033348927000001E-2</v>
      </c>
      <c r="AX336" s="9"/>
      <c r="AY336" s="22">
        <v>1.5416000000000001</v>
      </c>
      <c r="AZ336" s="22">
        <v>298.28699999999998</v>
      </c>
      <c r="BA336" s="22">
        <v>3.0007900000000002E-4</v>
      </c>
      <c r="BB336" s="22">
        <v>326</v>
      </c>
      <c r="BC336" s="22">
        <v>1.5408299999999999</v>
      </c>
      <c r="BD336">
        <f t="shared" si="70"/>
        <v>-0.30007900000000004</v>
      </c>
      <c r="BE336">
        <f t="shared" si="71"/>
        <v>-0.4626017864000001</v>
      </c>
    </row>
    <row r="337" spans="6:57">
      <c r="F337" s="9"/>
      <c r="G337" s="22">
        <v>-1.66321E-2</v>
      </c>
      <c r="H337" s="22">
        <v>52.605400000000003</v>
      </c>
      <c r="I337" s="22">
        <v>-1.8454000000000001E-3</v>
      </c>
      <c r="J337" s="22">
        <v>327</v>
      </c>
      <c r="K337" s="22">
        <v>-1.7059299999999999E-2</v>
      </c>
      <c r="L337">
        <f t="shared" si="60"/>
        <v>1.8454000000000002</v>
      </c>
      <c r="M337">
        <f t="shared" si="61"/>
        <v>-3.0692877340000004E-2</v>
      </c>
      <c r="N337" s="9"/>
      <c r="O337" s="22">
        <v>1.5466299999999999</v>
      </c>
      <c r="P337" s="22">
        <v>101.66500000000001</v>
      </c>
      <c r="Q337" s="25">
        <v>8.2397499999999998E-5</v>
      </c>
      <c r="R337" s="22">
        <v>327</v>
      </c>
      <c r="S337" s="22">
        <v>1.5460199999999999</v>
      </c>
      <c r="T337">
        <f t="shared" si="62"/>
        <v>-8.2397499999999999E-2</v>
      </c>
      <c r="U337">
        <f t="shared" si="63"/>
        <v>-0.12743844542499999</v>
      </c>
      <c r="X337" s="9"/>
      <c r="Y337" s="22">
        <v>-1.66321E-2</v>
      </c>
      <c r="Z337" s="22">
        <v>150.744</v>
      </c>
      <c r="AA337" s="22">
        <v>-1.5918E-3</v>
      </c>
      <c r="AB337" s="22">
        <v>327</v>
      </c>
      <c r="AC337" s="22">
        <v>-1.70715E-2</v>
      </c>
      <c r="AD337">
        <f t="shared" si="64"/>
        <v>1.5917999999999999</v>
      </c>
      <c r="AE337">
        <f t="shared" si="65"/>
        <v>-2.6474976779999999E-2</v>
      </c>
      <c r="AF337" s="9"/>
      <c r="AG337" s="22">
        <v>1.5466299999999999</v>
      </c>
      <c r="AH337" s="22">
        <v>199.994</v>
      </c>
      <c r="AI337" s="22">
        <v>2.3504600000000001E-4</v>
      </c>
      <c r="AJ337" s="22">
        <v>327</v>
      </c>
      <c r="AK337" s="22">
        <v>1.54541</v>
      </c>
      <c r="AL337">
        <f t="shared" si="66"/>
        <v>-0.235046</v>
      </c>
      <c r="AM337">
        <f t="shared" si="67"/>
        <v>-0.36352919497999997</v>
      </c>
      <c r="AP337" s="9"/>
      <c r="AQ337" s="22">
        <v>-1.66321E-2</v>
      </c>
      <c r="AR337" s="22">
        <v>249.13800000000001</v>
      </c>
      <c r="AS337" s="22">
        <v>-1.4706400000000001E-3</v>
      </c>
      <c r="AT337" s="22">
        <v>327</v>
      </c>
      <c r="AU337" s="22">
        <v>-1.7099E-2</v>
      </c>
      <c r="AV337">
        <f t="shared" si="68"/>
        <v>1.4706399999999999</v>
      </c>
      <c r="AW337">
        <f t="shared" si="69"/>
        <v>-2.4459831543999999E-2</v>
      </c>
      <c r="AX337" s="9"/>
      <c r="AY337" s="22">
        <v>1.5466299999999999</v>
      </c>
      <c r="AZ337" s="22">
        <v>298.29700000000003</v>
      </c>
      <c r="BA337" s="22">
        <v>3.3248899999999999E-4</v>
      </c>
      <c r="BB337" s="22">
        <v>327</v>
      </c>
      <c r="BC337" s="22">
        <v>1.54572</v>
      </c>
      <c r="BD337">
        <f t="shared" si="70"/>
        <v>-0.33248899999999998</v>
      </c>
      <c r="BE337">
        <f t="shared" si="71"/>
        <v>-0.51423746206999998</v>
      </c>
    </row>
    <row r="338" spans="6:57">
      <c r="F338" s="9"/>
      <c r="G338" s="22">
        <v>-2.1667499999999999E-2</v>
      </c>
      <c r="H338" s="22">
        <v>52.615400000000001</v>
      </c>
      <c r="I338" s="22">
        <v>-1.8487499999999999E-3</v>
      </c>
      <c r="J338" s="22">
        <v>328</v>
      </c>
      <c r="K338" s="22">
        <v>-2.2143599999999999E-2</v>
      </c>
      <c r="L338">
        <f t="shared" si="60"/>
        <v>1.8487499999999999</v>
      </c>
      <c r="M338">
        <f t="shared" si="61"/>
        <v>-4.0057790624999999E-2</v>
      </c>
      <c r="N338" s="9"/>
      <c r="O338" s="22">
        <v>1.5516700000000001</v>
      </c>
      <c r="P338" s="22">
        <v>101.675</v>
      </c>
      <c r="Q338" s="22">
        <v>1.14929E-4</v>
      </c>
      <c r="R338" s="22">
        <v>328</v>
      </c>
      <c r="S338" s="22">
        <v>1.5502899999999999</v>
      </c>
      <c r="T338">
        <f t="shared" si="62"/>
        <v>-0.114929</v>
      </c>
      <c r="U338">
        <f t="shared" si="63"/>
        <v>-0.17833188143000001</v>
      </c>
      <c r="X338" s="9"/>
      <c r="Y338" s="22">
        <v>-2.1667499999999999E-2</v>
      </c>
      <c r="Z338" s="22">
        <v>150.75399999999999</v>
      </c>
      <c r="AA338" s="22">
        <v>-1.59698E-3</v>
      </c>
      <c r="AB338" s="22">
        <v>328</v>
      </c>
      <c r="AC338" s="22">
        <v>-2.20856E-2</v>
      </c>
      <c r="AD338">
        <f t="shared" si="64"/>
        <v>1.5969800000000001</v>
      </c>
      <c r="AE338">
        <f t="shared" si="65"/>
        <v>-3.4602564150000001E-2</v>
      </c>
      <c r="AF338" s="9"/>
      <c r="AG338" s="22">
        <v>1.5516700000000001</v>
      </c>
      <c r="AH338" s="22">
        <v>200.00399999999999</v>
      </c>
      <c r="AI338" s="22">
        <v>2.6846299999999998E-4</v>
      </c>
      <c r="AJ338" s="22">
        <v>328</v>
      </c>
      <c r="AK338" s="22">
        <v>1.5506</v>
      </c>
      <c r="AL338">
        <f t="shared" si="66"/>
        <v>-0.26846300000000001</v>
      </c>
      <c r="AM338">
        <f t="shared" si="67"/>
        <v>-0.41656598321000005</v>
      </c>
      <c r="AP338" s="9"/>
      <c r="AQ338" s="22">
        <v>-2.1667499999999999E-2</v>
      </c>
      <c r="AR338" s="22">
        <v>249.148</v>
      </c>
      <c r="AS338" s="22">
        <v>-1.4746099999999999E-3</v>
      </c>
      <c r="AT338" s="22">
        <v>328</v>
      </c>
      <c r="AU338" s="22">
        <v>-2.2094699999999998E-2</v>
      </c>
      <c r="AV338">
        <f t="shared" si="68"/>
        <v>1.47461</v>
      </c>
      <c r="AW338">
        <f t="shared" si="69"/>
        <v>-3.1951112174999997E-2</v>
      </c>
      <c r="AX338" s="9"/>
      <c r="AY338" s="22">
        <v>1.5516700000000001</v>
      </c>
      <c r="AZ338" s="22">
        <v>298.30799999999999</v>
      </c>
      <c r="BA338" s="22">
        <v>3.63617E-4</v>
      </c>
      <c r="BB338" s="22">
        <v>328</v>
      </c>
      <c r="BC338" s="22">
        <v>1.5508999999999999</v>
      </c>
      <c r="BD338">
        <f t="shared" si="70"/>
        <v>-0.36361700000000002</v>
      </c>
      <c r="BE338">
        <f t="shared" si="71"/>
        <v>-0.56421359039000007</v>
      </c>
    </row>
    <row r="339" spans="6:57">
      <c r="F339" s="9"/>
      <c r="G339" s="22">
        <v>-2.6702900000000002E-2</v>
      </c>
      <c r="H339" s="22">
        <v>52.625500000000002</v>
      </c>
      <c r="I339" s="22">
        <v>-1.85059E-3</v>
      </c>
      <c r="J339" s="22">
        <v>329</v>
      </c>
      <c r="K339" s="22">
        <v>-2.71454E-2</v>
      </c>
      <c r="L339">
        <f t="shared" si="60"/>
        <v>1.85059</v>
      </c>
      <c r="M339">
        <f t="shared" si="61"/>
        <v>-4.9416119711000003E-2</v>
      </c>
      <c r="N339" s="9"/>
      <c r="O339" s="22">
        <v>1.5567</v>
      </c>
      <c r="P339" s="22">
        <v>101.685</v>
      </c>
      <c r="Q339" s="22">
        <v>1.4935299999999999E-4</v>
      </c>
      <c r="R339" s="22">
        <v>329</v>
      </c>
      <c r="S339" s="22">
        <v>1.55548</v>
      </c>
      <c r="T339">
        <f t="shared" si="62"/>
        <v>-0.14935299999999999</v>
      </c>
      <c r="U339">
        <f t="shared" si="63"/>
        <v>-0.23249781509999998</v>
      </c>
      <c r="X339" s="9"/>
      <c r="Y339" s="22">
        <v>-2.6702900000000002E-2</v>
      </c>
      <c r="Z339" s="22">
        <v>150.76400000000001</v>
      </c>
      <c r="AA339" s="22">
        <v>-1.5997299999999999E-3</v>
      </c>
      <c r="AB339" s="22">
        <v>329</v>
      </c>
      <c r="AC339" s="22">
        <v>-2.7154500000000002E-2</v>
      </c>
      <c r="AD339">
        <f t="shared" si="64"/>
        <v>1.5997299999999999</v>
      </c>
      <c r="AE339">
        <f t="shared" si="65"/>
        <v>-4.2717430217000002E-2</v>
      </c>
      <c r="AF339" s="9"/>
      <c r="AG339" s="22">
        <v>1.5567</v>
      </c>
      <c r="AH339" s="22">
        <v>200.01400000000001</v>
      </c>
      <c r="AI339" s="22">
        <v>3.1042500000000002E-4</v>
      </c>
      <c r="AJ339" s="22">
        <v>329</v>
      </c>
      <c r="AK339" s="22">
        <v>1.55579</v>
      </c>
      <c r="AL339">
        <f t="shared" si="66"/>
        <v>-0.31042500000000001</v>
      </c>
      <c r="AM339">
        <f t="shared" si="67"/>
        <v>-0.48323859749999998</v>
      </c>
      <c r="AP339" s="9"/>
      <c r="AQ339" s="22">
        <v>-2.6702900000000002E-2</v>
      </c>
      <c r="AR339" s="22">
        <v>249.15799999999999</v>
      </c>
      <c r="AS339" s="22">
        <v>-1.4779700000000001E-3</v>
      </c>
      <c r="AT339" s="22">
        <v>329</v>
      </c>
      <c r="AU339" s="22">
        <v>-2.7139300000000002E-2</v>
      </c>
      <c r="AV339">
        <f t="shared" si="68"/>
        <v>1.47797</v>
      </c>
      <c r="AW339">
        <f t="shared" si="69"/>
        <v>-3.9466085113000003E-2</v>
      </c>
      <c r="AX339" s="9"/>
      <c r="AY339" s="22">
        <v>1.5567</v>
      </c>
      <c r="AZ339" s="22">
        <v>298.31799999999998</v>
      </c>
      <c r="BA339" s="22">
        <v>4.0295400000000002E-4</v>
      </c>
      <c r="BB339" s="22">
        <v>329</v>
      </c>
      <c r="BC339" s="22">
        <v>1.55609</v>
      </c>
      <c r="BD339">
        <f t="shared" si="70"/>
        <v>-0.40295400000000003</v>
      </c>
      <c r="BE339">
        <f t="shared" si="71"/>
        <v>-0.62727849180000006</v>
      </c>
    </row>
    <row r="340" spans="6:57">
      <c r="F340" s="9"/>
      <c r="G340" s="22">
        <v>-3.1738299999999997E-2</v>
      </c>
      <c r="H340" s="22">
        <v>52.635599999999997</v>
      </c>
      <c r="I340" s="22">
        <v>-1.8521099999999999E-3</v>
      </c>
      <c r="J340" s="22">
        <v>330</v>
      </c>
      <c r="K340" s="22">
        <v>-3.22174E-2</v>
      </c>
      <c r="L340">
        <f t="shared" si="60"/>
        <v>1.8521099999999999</v>
      </c>
      <c r="M340">
        <f t="shared" si="61"/>
        <v>-5.8782822812999992E-2</v>
      </c>
      <c r="N340" s="9"/>
      <c r="O340" s="22">
        <v>1.5617399999999999</v>
      </c>
      <c r="P340" s="22">
        <v>101.69499999999999</v>
      </c>
      <c r="Q340" s="22">
        <v>1.86768E-4</v>
      </c>
      <c r="R340" s="22">
        <v>330</v>
      </c>
      <c r="S340" s="22">
        <v>1.56097</v>
      </c>
      <c r="T340">
        <f t="shared" si="62"/>
        <v>-0.18676799999999999</v>
      </c>
      <c r="U340">
        <f t="shared" si="63"/>
        <v>-0.29168305631999997</v>
      </c>
      <c r="X340" s="9"/>
      <c r="Y340" s="22">
        <v>-3.1738299999999997E-2</v>
      </c>
      <c r="Z340" s="22">
        <v>150.774</v>
      </c>
      <c r="AA340" s="22">
        <v>-1.6037E-3</v>
      </c>
      <c r="AB340" s="22">
        <v>330</v>
      </c>
      <c r="AC340" s="22">
        <v>-3.2241800000000001E-2</v>
      </c>
      <c r="AD340">
        <f t="shared" si="64"/>
        <v>1.6036999999999999</v>
      </c>
      <c r="AE340">
        <f t="shared" si="65"/>
        <v>-5.0898711709999996E-2</v>
      </c>
      <c r="AF340" s="9"/>
      <c r="AG340" s="22">
        <v>1.5617399999999999</v>
      </c>
      <c r="AH340" s="22">
        <v>200.024</v>
      </c>
      <c r="AI340" s="22">
        <v>3.5922200000000002E-4</v>
      </c>
      <c r="AJ340" s="22">
        <v>330</v>
      </c>
      <c r="AK340" s="22">
        <v>1.56097</v>
      </c>
      <c r="AL340">
        <f t="shared" si="66"/>
        <v>-0.35922200000000004</v>
      </c>
      <c r="AM340">
        <f t="shared" si="67"/>
        <v>-0.56101136628000003</v>
      </c>
      <c r="AP340" s="9"/>
      <c r="AQ340" s="22">
        <v>-3.1738299999999997E-2</v>
      </c>
      <c r="AR340" s="22">
        <v>249.16800000000001</v>
      </c>
      <c r="AS340" s="22">
        <v>-1.4831499999999999E-3</v>
      </c>
      <c r="AT340" s="22">
        <v>330</v>
      </c>
      <c r="AU340" s="22">
        <v>-3.2208300000000002E-2</v>
      </c>
      <c r="AV340">
        <f t="shared" si="68"/>
        <v>1.48315</v>
      </c>
      <c r="AW340">
        <f t="shared" si="69"/>
        <v>-4.7072659644999994E-2</v>
      </c>
      <c r="AX340" s="9"/>
      <c r="AY340" s="22">
        <v>1.5617399999999999</v>
      </c>
      <c r="AZ340" s="22">
        <v>298.32799999999997</v>
      </c>
      <c r="BA340" s="22">
        <v>4.4155900000000001E-4</v>
      </c>
      <c r="BB340" s="22">
        <v>330</v>
      </c>
      <c r="BC340" s="22">
        <v>1.56067</v>
      </c>
      <c r="BD340">
        <f t="shared" si="70"/>
        <v>-0.44155899999999998</v>
      </c>
      <c r="BE340">
        <f t="shared" si="71"/>
        <v>-0.68960035265999997</v>
      </c>
    </row>
    <row r="341" spans="6:57">
      <c r="F341" s="9"/>
      <c r="G341" s="22">
        <v>-3.6773699999999999E-2</v>
      </c>
      <c r="H341" s="22">
        <v>52.645600000000002</v>
      </c>
      <c r="I341" s="22">
        <v>-1.8545499999999999E-3</v>
      </c>
      <c r="J341" s="22">
        <v>331</v>
      </c>
      <c r="K341" s="22">
        <v>-3.7271100000000001E-2</v>
      </c>
      <c r="L341">
        <f t="shared" si="60"/>
        <v>1.8545499999999999</v>
      </c>
      <c r="M341">
        <f t="shared" si="61"/>
        <v>-6.8198665334999992E-2</v>
      </c>
      <c r="N341" s="9"/>
      <c r="O341" s="22">
        <v>1.56677</v>
      </c>
      <c r="P341" s="22">
        <v>101.705</v>
      </c>
      <c r="Q341" s="22">
        <v>2.2766099999999999E-4</v>
      </c>
      <c r="R341" s="22">
        <v>331</v>
      </c>
      <c r="S341" s="22">
        <v>1.56525</v>
      </c>
      <c r="T341">
        <f t="shared" si="62"/>
        <v>-0.22766099999999997</v>
      </c>
      <c r="U341">
        <f t="shared" si="63"/>
        <v>-0.35669242496999998</v>
      </c>
      <c r="X341" s="9"/>
      <c r="Y341" s="22">
        <v>-3.6773699999999999E-2</v>
      </c>
      <c r="Z341" s="22">
        <v>150.78399999999999</v>
      </c>
      <c r="AA341" s="22">
        <v>-1.6067500000000001E-3</v>
      </c>
      <c r="AB341" s="22">
        <v>331</v>
      </c>
      <c r="AC341" s="22">
        <v>-3.7197899999999999E-2</v>
      </c>
      <c r="AD341">
        <f t="shared" si="64"/>
        <v>1.6067500000000001</v>
      </c>
      <c r="AE341">
        <f t="shared" si="65"/>
        <v>-5.9086142475000006E-2</v>
      </c>
      <c r="AF341" s="9"/>
      <c r="AG341" s="22">
        <v>1.56677</v>
      </c>
      <c r="AH341" s="22">
        <v>200.03399999999999</v>
      </c>
      <c r="AI341" s="22">
        <v>4.00085E-4</v>
      </c>
      <c r="AJ341" s="22">
        <v>331</v>
      </c>
      <c r="AK341" s="22">
        <v>1.56525</v>
      </c>
      <c r="AL341">
        <f t="shared" si="66"/>
        <v>-0.40008500000000002</v>
      </c>
      <c r="AM341">
        <f t="shared" si="67"/>
        <v>-0.62684117545000007</v>
      </c>
      <c r="AP341" s="9"/>
      <c r="AQ341" s="22">
        <v>-3.6773699999999999E-2</v>
      </c>
      <c r="AR341" s="22">
        <v>249.178</v>
      </c>
      <c r="AS341" s="22">
        <v>-1.48712E-3</v>
      </c>
      <c r="AT341" s="22">
        <v>331</v>
      </c>
      <c r="AU341" s="22">
        <v>-3.7246700000000001E-2</v>
      </c>
      <c r="AV341">
        <f t="shared" si="68"/>
        <v>1.48712</v>
      </c>
      <c r="AW341">
        <f t="shared" si="69"/>
        <v>-5.4686904744000002E-2</v>
      </c>
      <c r="AX341" s="9"/>
      <c r="AY341" s="22">
        <v>1.56677</v>
      </c>
      <c r="AZ341" s="22">
        <v>298.33800000000002</v>
      </c>
      <c r="BA341" s="22">
        <v>4.8419199999999999E-4</v>
      </c>
      <c r="BB341" s="22">
        <v>331</v>
      </c>
      <c r="BC341" s="22">
        <v>1.56586</v>
      </c>
      <c r="BD341">
        <f t="shared" si="70"/>
        <v>-0.48419200000000001</v>
      </c>
      <c r="BE341">
        <f t="shared" si="71"/>
        <v>-0.75861749984000004</v>
      </c>
    </row>
    <row r="342" spans="6:57">
      <c r="F342" s="9"/>
      <c r="G342" s="22">
        <v>-4.1809100000000002E-2</v>
      </c>
      <c r="H342" s="22">
        <v>52.655700000000003</v>
      </c>
      <c r="I342" s="22">
        <v>-1.8557700000000001E-3</v>
      </c>
      <c r="J342" s="22">
        <v>332</v>
      </c>
      <c r="K342" s="22">
        <v>-4.2315699999999998E-2</v>
      </c>
      <c r="L342">
        <f t="shared" si="60"/>
        <v>1.8557700000000001</v>
      </c>
      <c r="M342">
        <f t="shared" si="61"/>
        <v>-7.7588073507000005E-2</v>
      </c>
      <c r="N342" s="9"/>
      <c r="O342" s="22">
        <v>1.5718099999999999</v>
      </c>
      <c r="P342" s="22">
        <v>101.715</v>
      </c>
      <c r="Q342" s="22">
        <v>2.6516700000000002E-4</v>
      </c>
      <c r="R342" s="22">
        <v>332</v>
      </c>
      <c r="S342" s="22">
        <v>1.57043</v>
      </c>
      <c r="T342">
        <f t="shared" si="62"/>
        <v>-0.26516700000000004</v>
      </c>
      <c r="U342">
        <f t="shared" si="63"/>
        <v>-0.41679214227000005</v>
      </c>
      <c r="X342" s="9"/>
      <c r="Y342" s="22">
        <v>-4.1809100000000002E-2</v>
      </c>
      <c r="Z342" s="22">
        <v>150.79499999999999</v>
      </c>
      <c r="AA342" s="22">
        <v>-1.6095E-3</v>
      </c>
      <c r="AB342" s="22">
        <v>332</v>
      </c>
      <c r="AC342" s="22">
        <v>-4.2306499999999997E-2</v>
      </c>
      <c r="AD342">
        <f t="shared" si="64"/>
        <v>1.6094999999999999</v>
      </c>
      <c r="AE342">
        <f t="shared" si="65"/>
        <v>-6.7291746449999995E-2</v>
      </c>
      <c r="AF342" s="9"/>
      <c r="AG342" s="22">
        <v>1.5718099999999999</v>
      </c>
      <c r="AH342" s="22">
        <v>200.04400000000001</v>
      </c>
      <c r="AI342" s="22">
        <v>4.3594400000000001E-4</v>
      </c>
      <c r="AJ342" s="22">
        <v>332</v>
      </c>
      <c r="AK342" s="22">
        <v>1.57074</v>
      </c>
      <c r="AL342">
        <f t="shared" si="66"/>
        <v>-0.435944</v>
      </c>
      <c r="AM342">
        <f t="shared" si="67"/>
        <v>-0.68522113864</v>
      </c>
      <c r="AP342" s="9"/>
      <c r="AQ342" s="22">
        <v>-4.1809100000000002E-2</v>
      </c>
      <c r="AR342" s="22">
        <v>249.18799999999999</v>
      </c>
      <c r="AS342" s="22">
        <v>-1.48956E-3</v>
      </c>
      <c r="AT342" s="22">
        <v>332</v>
      </c>
      <c r="AU342" s="22">
        <v>-4.2248500000000001E-2</v>
      </c>
      <c r="AV342">
        <f t="shared" si="68"/>
        <v>1.48956</v>
      </c>
      <c r="AW342">
        <f t="shared" si="69"/>
        <v>-6.2277162996000002E-2</v>
      </c>
      <c r="AX342" s="9"/>
      <c r="AY342" s="22">
        <v>1.5718099999999999</v>
      </c>
      <c r="AZ342" s="22">
        <v>298.34800000000001</v>
      </c>
      <c r="BA342" s="22">
        <v>5.2154499999999999E-4</v>
      </c>
      <c r="BB342" s="22">
        <v>332</v>
      </c>
      <c r="BC342" s="22">
        <v>1.57074</v>
      </c>
      <c r="BD342">
        <f t="shared" si="70"/>
        <v>-0.52154500000000004</v>
      </c>
      <c r="BE342">
        <f t="shared" si="71"/>
        <v>-0.81976964645000006</v>
      </c>
    </row>
    <row r="343" spans="6:57">
      <c r="F343" s="9"/>
      <c r="G343" s="22">
        <v>-4.6844499999999997E-2</v>
      </c>
      <c r="H343" s="22">
        <v>52.665799999999997</v>
      </c>
      <c r="I343" s="22">
        <v>-1.85852E-3</v>
      </c>
      <c r="J343" s="22">
        <v>333</v>
      </c>
      <c r="K343" s="22">
        <v>-4.7348000000000001E-2</v>
      </c>
      <c r="L343">
        <f t="shared" si="60"/>
        <v>1.8585199999999999</v>
      </c>
      <c r="M343">
        <f t="shared" si="61"/>
        <v>-8.7061440139999988E-2</v>
      </c>
      <c r="N343" s="9"/>
      <c r="O343" s="22">
        <v>1.57684</v>
      </c>
      <c r="P343" s="22">
        <v>101.72499999999999</v>
      </c>
      <c r="Q343" s="22">
        <v>3.1307999999999998E-4</v>
      </c>
      <c r="R343" s="22">
        <v>333</v>
      </c>
      <c r="S343" s="22">
        <v>1.57623</v>
      </c>
      <c r="T343">
        <f t="shared" si="62"/>
        <v>-0.31307999999999997</v>
      </c>
      <c r="U343">
        <f t="shared" si="63"/>
        <v>-0.49367706719999993</v>
      </c>
      <c r="X343" s="9"/>
      <c r="Y343" s="22">
        <v>-4.6844499999999997E-2</v>
      </c>
      <c r="Z343" s="22">
        <v>150.80500000000001</v>
      </c>
      <c r="AA343" s="22">
        <v>-1.60889E-3</v>
      </c>
      <c r="AB343" s="22">
        <v>333</v>
      </c>
      <c r="AC343" s="22">
        <v>-4.7354100000000003E-2</v>
      </c>
      <c r="AD343">
        <f t="shared" si="64"/>
        <v>1.6088899999999999</v>
      </c>
      <c r="AE343">
        <f t="shared" si="65"/>
        <v>-7.536764760499999E-2</v>
      </c>
      <c r="AF343" s="9"/>
      <c r="AG343" s="22">
        <v>1.57684</v>
      </c>
      <c r="AH343" s="22">
        <v>200.054</v>
      </c>
      <c r="AI343" s="22">
        <v>4.80774E-4</v>
      </c>
      <c r="AJ343" s="22">
        <v>333</v>
      </c>
      <c r="AK343" s="22">
        <v>1.5759300000000001</v>
      </c>
      <c r="AL343">
        <f t="shared" si="66"/>
        <v>-0.48077399999999998</v>
      </c>
      <c r="AM343">
        <f t="shared" si="67"/>
        <v>-0.75810367416000002</v>
      </c>
      <c r="AP343" s="9"/>
      <c r="AQ343" s="22">
        <v>-4.6844499999999997E-2</v>
      </c>
      <c r="AR343" s="22">
        <v>249.19800000000001</v>
      </c>
      <c r="AS343" s="22">
        <v>-1.49292E-3</v>
      </c>
      <c r="AT343" s="22">
        <v>333</v>
      </c>
      <c r="AU343" s="22">
        <v>-4.7357200000000002E-2</v>
      </c>
      <c r="AV343">
        <f t="shared" si="68"/>
        <v>1.49292</v>
      </c>
      <c r="AW343">
        <f t="shared" si="69"/>
        <v>-6.993509094E-2</v>
      </c>
      <c r="AX343" s="9"/>
      <c r="AY343" s="22">
        <v>1.57684</v>
      </c>
      <c r="AZ343" s="22">
        <v>298.358</v>
      </c>
      <c r="BA343" s="22">
        <v>5.2703899999999998E-4</v>
      </c>
      <c r="BB343" s="22">
        <v>333</v>
      </c>
      <c r="BC343" s="22">
        <v>1.5753200000000001</v>
      </c>
      <c r="BD343">
        <f t="shared" si="70"/>
        <v>-0.52703900000000004</v>
      </c>
      <c r="BE343">
        <f t="shared" si="71"/>
        <v>-0.8310561767600001</v>
      </c>
    </row>
    <row r="344" spans="6:57">
      <c r="F344" s="9"/>
      <c r="G344" s="22">
        <v>-5.18799E-2</v>
      </c>
      <c r="H344" s="22">
        <v>52.675899999999999</v>
      </c>
      <c r="I344" s="22">
        <v>-1.85944E-3</v>
      </c>
      <c r="J344" s="22">
        <v>334</v>
      </c>
      <c r="K344" s="22">
        <v>-5.2337599999999998E-2</v>
      </c>
      <c r="L344">
        <f t="shared" si="60"/>
        <v>1.85944</v>
      </c>
      <c r="M344">
        <f t="shared" si="61"/>
        <v>-9.6467561255999992E-2</v>
      </c>
      <c r="N344" s="9"/>
      <c r="O344" s="22">
        <v>1.58188</v>
      </c>
      <c r="P344" s="22">
        <v>101.735</v>
      </c>
      <c r="Q344" s="22">
        <v>3.6080900000000002E-4</v>
      </c>
      <c r="R344" s="22">
        <v>334</v>
      </c>
      <c r="S344" s="22">
        <v>1.5802</v>
      </c>
      <c r="T344">
        <f t="shared" si="62"/>
        <v>-0.36080900000000005</v>
      </c>
      <c r="U344">
        <f t="shared" si="63"/>
        <v>-0.57075654092000006</v>
      </c>
      <c r="X344" s="9"/>
      <c r="Y344" s="22">
        <v>-5.18799E-2</v>
      </c>
      <c r="Z344" s="22">
        <v>150.815</v>
      </c>
      <c r="AA344" s="22">
        <v>-1.61163E-3</v>
      </c>
      <c r="AB344" s="22">
        <v>334</v>
      </c>
      <c r="AC344" s="22">
        <v>-5.2398699999999999E-2</v>
      </c>
      <c r="AD344">
        <f t="shared" si="64"/>
        <v>1.6116299999999999</v>
      </c>
      <c r="AE344">
        <f t="shared" si="65"/>
        <v>-8.3611203236999998E-2</v>
      </c>
      <c r="AF344" s="9"/>
      <c r="AG344" s="22">
        <v>1.58188</v>
      </c>
      <c r="AH344" s="22">
        <v>200.06399999999999</v>
      </c>
      <c r="AI344" s="22">
        <v>5.3375199999999997E-4</v>
      </c>
      <c r="AJ344" s="22">
        <v>334</v>
      </c>
      <c r="AK344" s="22">
        <v>1.58081</v>
      </c>
      <c r="AL344">
        <f t="shared" si="66"/>
        <v>-0.533752</v>
      </c>
      <c r="AM344">
        <f t="shared" si="67"/>
        <v>-0.84433161375999999</v>
      </c>
      <c r="AP344" s="9"/>
      <c r="AQ344" s="22">
        <v>-5.18799E-2</v>
      </c>
      <c r="AR344" s="22">
        <v>249.209</v>
      </c>
      <c r="AS344" s="22">
        <v>-1.49536E-3</v>
      </c>
      <c r="AT344" s="22">
        <v>334</v>
      </c>
      <c r="AU344" s="22">
        <v>-5.2398699999999999E-2</v>
      </c>
      <c r="AV344">
        <f t="shared" si="68"/>
        <v>1.49536</v>
      </c>
      <c r="AW344">
        <f t="shared" si="69"/>
        <v>-7.7579127264E-2</v>
      </c>
      <c r="AX344" s="9"/>
      <c r="AY344" s="22">
        <v>1.58188</v>
      </c>
      <c r="AZ344" s="22">
        <v>298.36799999999999</v>
      </c>
      <c r="BA344" s="22">
        <v>5.7189899999999995E-4</v>
      </c>
      <c r="BB344" s="22">
        <v>334</v>
      </c>
      <c r="BC344" s="22">
        <v>1.58142</v>
      </c>
      <c r="BD344">
        <f t="shared" si="70"/>
        <v>-0.57189899999999994</v>
      </c>
      <c r="BE344">
        <f t="shared" si="71"/>
        <v>-0.90467559011999987</v>
      </c>
    </row>
    <row r="345" spans="6:57">
      <c r="F345" s="9"/>
      <c r="G345" s="22">
        <v>-5.6915300000000002E-2</v>
      </c>
      <c r="H345" s="22">
        <v>52.685899999999997</v>
      </c>
      <c r="I345" s="22">
        <v>-1.86432E-3</v>
      </c>
      <c r="J345" s="22">
        <v>335</v>
      </c>
      <c r="K345" s="22">
        <v>-5.7342499999999998E-2</v>
      </c>
      <c r="L345">
        <f t="shared" si="60"/>
        <v>1.86432</v>
      </c>
      <c r="M345">
        <f t="shared" si="61"/>
        <v>-0.106108332096</v>
      </c>
      <c r="N345" s="9"/>
      <c r="O345" s="22">
        <v>1.58691</v>
      </c>
      <c r="P345" s="22">
        <v>101.745</v>
      </c>
      <c r="Q345" s="22">
        <v>4.2352299999999998E-4</v>
      </c>
      <c r="R345" s="22">
        <v>335</v>
      </c>
      <c r="S345" s="22">
        <v>1.5866100000000001</v>
      </c>
      <c r="T345">
        <f t="shared" si="62"/>
        <v>-0.42352299999999998</v>
      </c>
      <c r="U345">
        <f t="shared" si="63"/>
        <v>-0.67209288393</v>
      </c>
      <c r="X345" s="9"/>
      <c r="Y345" s="22">
        <v>-5.6915300000000002E-2</v>
      </c>
      <c r="Z345" s="22">
        <v>150.82499999999999</v>
      </c>
      <c r="AA345" s="22">
        <v>-1.6119400000000001E-3</v>
      </c>
      <c r="AB345" s="22">
        <v>335</v>
      </c>
      <c r="AC345" s="22">
        <v>-5.7373E-2</v>
      </c>
      <c r="AD345">
        <f t="shared" si="64"/>
        <v>1.6119400000000002</v>
      </c>
      <c r="AE345">
        <f t="shared" si="65"/>
        <v>-9.1744048682000007E-2</v>
      </c>
      <c r="AF345" s="9"/>
      <c r="AG345" s="22">
        <v>1.58691</v>
      </c>
      <c r="AH345" s="22">
        <v>200.07400000000001</v>
      </c>
      <c r="AI345" s="22">
        <v>5.9143100000000001E-4</v>
      </c>
      <c r="AJ345" s="22">
        <v>335</v>
      </c>
      <c r="AK345" s="22">
        <v>1.5860000000000001</v>
      </c>
      <c r="AL345">
        <f t="shared" si="66"/>
        <v>-0.59143100000000004</v>
      </c>
      <c r="AM345">
        <f t="shared" si="67"/>
        <v>-0.93854776821000008</v>
      </c>
      <c r="AP345" s="9"/>
      <c r="AQ345" s="22">
        <v>-5.6915300000000002E-2</v>
      </c>
      <c r="AR345" s="22">
        <v>249.21899999999999</v>
      </c>
      <c r="AS345" s="22">
        <v>-1.49628E-3</v>
      </c>
      <c r="AT345" s="22">
        <v>335</v>
      </c>
      <c r="AU345" s="22">
        <v>-5.7373E-2</v>
      </c>
      <c r="AV345">
        <f t="shared" si="68"/>
        <v>1.4962800000000001</v>
      </c>
      <c r="AW345">
        <f t="shared" si="69"/>
        <v>-8.5161225084000008E-2</v>
      </c>
      <c r="AX345" s="9"/>
      <c r="AY345" s="22">
        <v>1.58691</v>
      </c>
      <c r="AZ345" s="22">
        <v>298.37799999999999</v>
      </c>
      <c r="BA345" s="22">
        <v>6.47888E-4</v>
      </c>
      <c r="BB345" s="22">
        <v>335</v>
      </c>
      <c r="BC345" s="22">
        <v>1.5860000000000001</v>
      </c>
      <c r="BD345">
        <f t="shared" si="70"/>
        <v>-0.64788800000000002</v>
      </c>
      <c r="BE345">
        <f t="shared" si="71"/>
        <v>-1.02813994608</v>
      </c>
    </row>
    <row r="346" spans="6:57">
      <c r="F346" s="9"/>
      <c r="G346" s="22">
        <v>-6.1950699999999997E-2</v>
      </c>
      <c r="H346" s="22">
        <v>52.695999999999998</v>
      </c>
      <c r="I346" s="22">
        <v>-1.86707E-3</v>
      </c>
      <c r="J346" s="22">
        <v>336</v>
      </c>
      <c r="K346" s="22">
        <v>-6.23779E-2</v>
      </c>
      <c r="L346">
        <f t="shared" si="60"/>
        <v>1.86707</v>
      </c>
      <c r="M346">
        <f t="shared" si="61"/>
        <v>-0.11566629344899999</v>
      </c>
      <c r="N346" s="9"/>
      <c r="O346" s="22">
        <v>1.59195</v>
      </c>
      <c r="P346" s="22">
        <v>101.755</v>
      </c>
      <c r="Q346" s="22">
        <v>4.84589E-4</v>
      </c>
      <c r="R346" s="22">
        <v>336</v>
      </c>
      <c r="S346" s="22">
        <v>1.5905800000000001</v>
      </c>
      <c r="T346">
        <f t="shared" si="62"/>
        <v>-0.48458899999999999</v>
      </c>
      <c r="U346">
        <f t="shared" si="63"/>
        <v>-0.77144145855000001</v>
      </c>
      <c r="X346" s="9"/>
      <c r="Y346" s="22">
        <v>-6.1950699999999997E-2</v>
      </c>
      <c r="Z346" s="22">
        <v>150.83500000000001</v>
      </c>
      <c r="AA346" s="22">
        <v>-1.6119400000000001E-3</v>
      </c>
      <c r="AB346" s="22">
        <v>336</v>
      </c>
      <c r="AC346" s="22">
        <v>-6.2439000000000001E-2</v>
      </c>
      <c r="AD346">
        <f t="shared" si="64"/>
        <v>1.6119400000000002</v>
      </c>
      <c r="AE346">
        <f t="shared" si="65"/>
        <v>-9.9860811357999998E-2</v>
      </c>
      <c r="AF346" s="9"/>
      <c r="AG346" s="22">
        <v>1.59195</v>
      </c>
      <c r="AH346" s="22">
        <v>200.084</v>
      </c>
      <c r="AI346" s="22">
        <v>6.4178499999999997E-4</v>
      </c>
      <c r="AJ346" s="22">
        <v>336</v>
      </c>
      <c r="AK346" s="22">
        <v>1.5911900000000001</v>
      </c>
      <c r="AL346">
        <f t="shared" si="66"/>
        <v>-0.64178499999999994</v>
      </c>
      <c r="AM346">
        <f t="shared" si="67"/>
        <v>-1.0216896307499999</v>
      </c>
      <c r="AP346" s="9"/>
      <c r="AQ346" s="22">
        <v>-6.1950699999999997E-2</v>
      </c>
      <c r="AR346" s="22">
        <v>249.22900000000001</v>
      </c>
      <c r="AS346" s="22">
        <v>-1.49994E-3</v>
      </c>
      <c r="AT346" s="22">
        <v>336</v>
      </c>
      <c r="AU346" s="22">
        <v>-6.2439000000000001E-2</v>
      </c>
      <c r="AV346">
        <f t="shared" si="68"/>
        <v>1.4999400000000001</v>
      </c>
      <c r="AW346">
        <f t="shared" si="69"/>
        <v>-9.2922332957999995E-2</v>
      </c>
      <c r="AX346" s="9"/>
      <c r="AY346" s="22">
        <v>1.59195</v>
      </c>
      <c r="AZ346" s="22">
        <v>298.38799999999998</v>
      </c>
      <c r="BA346" s="22">
        <v>6.96716E-4</v>
      </c>
      <c r="BB346" s="22">
        <v>336</v>
      </c>
      <c r="BC346" s="22">
        <v>1.5908800000000001</v>
      </c>
      <c r="BD346">
        <f t="shared" si="70"/>
        <v>-0.696716</v>
      </c>
      <c r="BE346">
        <f t="shared" si="71"/>
        <v>-1.1091370361999999</v>
      </c>
    </row>
    <row r="347" spans="6:57">
      <c r="F347" s="9"/>
      <c r="G347" s="22">
        <v>-6.6986100000000007E-2</v>
      </c>
      <c r="H347" s="22">
        <v>52.706099999999999</v>
      </c>
      <c r="I347" s="22">
        <v>-1.87134E-3</v>
      </c>
      <c r="J347" s="22">
        <v>337</v>
      </c>
      <c r="K347" s="22">
        <v>-6.7474400000000004E-2</v>
      </c>
      <c r="L347">
        <f t="shared" si="60"/>
        <v>1.87134</v>
      </c>
      <c r="M347">
        <f t="shared" si="61"/>
        <v>-0.125353768374</v>
      </c>
      <c r="N347" s="9"/>
      <c r="O347" s="22">
        <v>1.5969800000000001</v>
      </c>
      <c r="P347" s="22">
        <v>101.765</v>
      </c>
      <c r="Q347" s="22">
        <v>5.4565400000000002E-4</v>
      </c>
      <c r="R347" s="22">
        <v>337</v>
      </c>
      <c r="S347" s="22">
        <v>1.5957600000000001</v>
      </c>
      <c r="T347">
        <f t="shared" si="62"/>
        <v>-0.54565399999999997</v>
      </c>
      <c r="U347">
        <f t="shared" si="63"/>
        <v>-0.87139852492000003</v>
      </c>
      <c r="X347" s="9"/>
      <c r="Y347" s="22">
        <v>-6.6986100000000007E-2</v>
      </c>
      <c r="Z347" s="22">
        <v>150.845</v>
      </c>
      <c r="AA347" s="22">
        <v>-1.62262E-3</v>
      </c>
      <c r="AB347" s="22">
        <v>337</v>
      </c>
      <c r="AC347" s="22">
        <v>-6.7474400000000004E-2</v>
      </c>
      <c r="AD347">
        <f t="shared" si="64"/>
        <v>1.62262</v>
      </c>
      <c r="AE347">
        <f t="shared" si="65"/>
        <v>-0.10869298558200001</v>
      </c>
      <c r="AF347" s="9"/>
      <c r="AG347" s="22">
        <v>1.5969800000000001</v>
      </c>
      <c r="AH347" s="22">
        <v>200.09399999999999</v>
      </c>
      <c r="AI347" s="22">
        <v>7.1411100000000002E-4</v>
      </c>
      <c r="AJ347" s="22">
        <v>337</v>
      </c>
      <c r="AK347" s="22">
        <v>1.5963700000000001</v>
      </c>
      <c r="AL347">
        <f t="shared" si="66"/>
        <v>-0.71411100000000005</v>
      </c>
      <c r="AM347">
        <f t="shared" si="67"/>
        <v>-1.1404209847800002</v>
      </c>
      <c r="AP347" s="9"/>
      <c r="AQ347" s="22">
        <v>-6.6986100000000007E-2</v>
      </c>
      <c r="AR347" s="22">
        <v>249.239</v>
      </c>
      <c r="AS347" s="22">
        <v>-1.4880399999999999E-3</v>
      </c>
      <c r="AT347" s="22">
        <v>337</v>
      </c>
      <c r="AU347" s="22">
        <v>-6.7474400000000004E-2</v>
      </c>
      <c r="AV347">
        <f t="shared" si="68"/>
        <v>1.48804</v>
      </c>
      <c r="AW347">
        <f t="shared" si="69"/>
        <v>-9.9677996244000006E-2</v>
      </c>
      <c r="AX347" s="9"/>
      <c r="AY347" s="22">
        <v>1.5969800000000001</v>
      </c>
      <c r="AZ347" s="22">
        <v>298.39800000000002</v>
      </c>
      <c r="BA347" s="22">
        <v>7.2601299999999996E-4</v>
      </c>
      <c r="BB347" s="22">
        <v>337</v>
      </c>
      <c r="BC347" s="22">
        <v>1.5957600000000001</v>
      </c>
      <c r="BD347">
        <f t="shared" si="70"/>
        <v>-0.72601299999999991</v>
      </c>
      <c r="BE347">
        <f t="shared" si="71"/>
        <v>-1.1594282407399998</v>
      </c>
    </row>
    <row r="348" spans="6:57">
      <c r="F348" s="9"/>
      <c r="G348" s="22">
        <v>-7.2021500000000002E-2</v>
      </c>
      <c r="H348" s="22">
        <v>52.716099999999997</v>
      </c>
      <c r="I348" s="22">
        <v>-1.8743900000000001E-3</v>
      </c>
      <c r="J348" s="22">
        <v>338</v>
      </c>
      <c r="K348" s="22">
        <v>-7.2448700000000005E-2</v>
      </c>
      <c r="L348">
        <f t="shared" si="60"/>
        <v>1.87439</v>
      </c>
      <c r="M348">
        <f t="shared" si="61"/>
        <v>-0.134996379385</v>
      </c>
      <c r="N348" s="9"/>
      <c r="O348" s="22">
        <v>1.60202</v>
      </c>
      <c r="P348" s="22">
        <v>101.776</v>
      </c>
      <c r="Q348" s="22">
        <v>6.1676000000000005E-4</v>
      </c>
      <c r="R348" s="22">
        <v>338</v>
      </c>
      <c r="S348" s="22">
        <v>1.6006499999999999</v>
      </c>
      <c r="T348">
        <f t="shared" si="62"/>
        <v>-0.61676000000000009</v>
      </c>
      <c r="U348">
        <f t="shared" si="63"/>
        <v>-0.98806185520000012</v>
      </c>
      <c r="X348" s="9"/>
      <c r="Y348" s="22">
        <v>-7.2021500000000002E-2</v>
      </c>
      <c r="Z348" s="22">
        <v>150.85499999999999</v>
      </c>
      <c r="AA348" s="22">
        <v>-1.6238400000000001E-3</v>
      </c>
      <c r="AB348" s="22">
        <v>338</v>
      </c>
      <c r="AC348" s="22">
        <v>-7.2509799999999999E-2</v>
      </c>
      <c r="AD348">
        <f t="shared" si="64"/>
        <v>1.6238400000000002</v>
      </c>
      <c r="AE348">
        <f t="shared" si="65"/>
        <v>-0.11695139256000002</v>
      </c>
      <c r="AF348" s="9"/>
      <c r="AG348" s="22">
        <v>1.60202</v>
      </c>
      <c r="AH348" s="22">
        <v>200.10400000000001</v>
      </c>
      <c r="AI348" s="22">
        <v>7.8491200000000002E-4</v>
      </c>
      <c r="AJ348" s="22">
        <v>338</v>
      </c>
      <c r="AK348" s="22">
        <v>1.6018699999999999</v>
      </c>
      <c r="AL348">
        <f t="shared" si="66"/>
        <v>-0.78491200000000005</v>
      </c>
      <c r="AM348">
        <f t="shared" si="67"/>
        <v>-1.25744472224</v>
      </c>
      <c r="AP348" s="9"/>
      <c r="AQ348" s="22">
        <v>-7.2021500000000002E-2</v>
      </c>
      <c r="AR348" s="22">
        <v>249.249</v>
      </c>
      <c r="AS348" s="22">
        <v>-1.49109E-3</v>
      </c>
      <c r="AT348" s="22">
        <v>338</v>
      </c>
      <c r="AU348" s="22">
        <v>-7.2509799999999999E-2</v>
      </c>
      <c r="AV348">
        <f t="shared" si="68"/>
        <v>1.49109</v>
      </c>
      <c r="AW348">
        <f t="shared" si="69"/>
        <v>-0.107390538435</v>
      </c>
      <c r="AX348" s="9"/>
      <c r="AY348" s="22">
        <v>1.60202</v>
      </c>
      <c r="AZ348" s="22">
        <v>298.40800000000002</v>
      </c>
      <c r="BA348" s="22">
        <v>8.37402E-4</v>
      </c>
      <c r="BB348" s="22">
        <v>338</v>
      </c>
      <c r="BC348" s="22">
        <v>1.6006499999999999</v>
      </c>
      <c r="BD348">
        <f t="shared" si="70"/>
        <v>-0.83740199999999998</v>
      </c>
      <c r="BE348">
        <f t="shared" si="71"/>
        <v>-1.3415347520400001</v>
      </c>
    </row>
    <row r="349" spans="6:57">
      <c r="F349" s="9"/>
      <c r="G349" s="22">
        <v>-7.7056899999999998E-2</v>
      </c>
      <c r="H349" s="22">
        <v>52.726199999999999</v>
      </c>
      <c r="I349" s="22">
        <v>-1.87653E-3</v>
      </c>
      <c r="J349" s="22">
        <v>339</v>
      </c>
      <c r="K349" s="22">
        <v>-7.74841E-2</v>
      </c>
      <c r="L349">
        <f t="shared" si="60"/>
        <v>1.87653</v>
      </c>
      <c r="M349">
        <f t="shared" si="61"/>
        <v>-0.144599584557</v>
      </c>
      <c r="N349" s="9"/>
      <c r="O349" s="22">
        <v>1.6070599999999999</v>
      </c>
      <c r="P349" s="22">
        <v>101.786</v>
      </c>
      <c r="Q349" s="22">
        <v>6.8969699999999997E-4</v>
      </c>
      <c r="R349" s="22">
        <v>339</v>
      </c>
      <c r="S349" s="22">
        <v>1.6061399999999999</v>
      </c>
      <c r="T349">
        <f t="shared" si="62"/>
        <v>-0.689697</v>
      </c>
      <c r="U349">
        <f t="shared" si="63"/>
        <v>-1.10838446082</v>
      </c>
      <c r="X349" s="9"/>
      <c r="Y349" s="22">
        <v>-7.7056899999999998E-2</v>
      </c>
      <c r="Z349" s="22">
        <v>150.86500000000001</v>
      </c>
      <c r="AA349" s="22">
        <v>-1.6275E-3</v>
      </c>
      <c r="AB349" s="22">
        <v>339</v>
      </c>
      <c r="AC349" s="22">
        <v>-7.7575699999999997E-2</v>
      </c>
      <c r="AD349">
        <f t="shared" si="64"/>
        <v>1.6274999999999999</v>
      </c>
      <c r="AE349">
        <f t="shared" si="65"/>
        <v>-0.12541010475</v>
      </c>
      <c r="AF349" s="9"/>
      <c r="AG349" s="22">
        <v>1.6070599999999999</v>
      </c>
      <c r="AH349" s="22">
        <v>200.114</v>
      </c>
      <c r="AI349" s="22">
        <v>8.7158199999999998E-4</v>
      </c>
      <c r="AJ349" s="22">
        <v>339</v>
      </c>
      <c r="AK349" s="22">
        <v>1.6064499999999999</v>
      </c>
      <c r="AL349">
        <f t="shared" si="66"/>
        <v>-0.87158199999999997</v>
      </c>
      <c r="AM349">
        <f t="shared" si="67"/>
        <v>-1.4006845689199998</v>
      </c>
      <c r="AP349" s="9"/>
      <c r="AQ349" s="22">
        <v>-7.7056899999999998E-2</v>
      </c>
      <c r="AR349" s="22">
        <v>249.25899999999999</v>
      </c>
      <c r="AS349" s="22">
        <v>-1.4859000000000001E-3</v>
      </c>
      <c r="AT349" s="22">
        <v>339</v>
      </c>
      <c r="AU349" s="22">
        <v>-7.7545199999999995E-2</v>
      </c>
      <c r="AV349">
        <f t="shared" si="68"/>
        <v>1.4859</v>
      </c>
      <c r="AW349">
        <f t="shared" si="69"/>
        <v>-0.11449884770999999</v>
      </c>
      <c r="AX349" s="9"/>
      <c r="AY349" s="22">
        <v>1.6070599999999999</v>
      </c>
      <c r="AZ349" s="22">
        <v>298.41800000000001</v>
      </c>
      <c r="BA349" s="22">
        <v>9.1796900000000003E-4</v>
      </c>
      <c r="BB349" s="22">
        <v>339</v>
      </c>
      <c r="BC349" s="22">
        <v>1.6064499999999999</v>
      </c>
      <c r="BD349">
        <f t="shared" si="70"/>
        <v>-0.91796900000000003</v>
      </c>
      <c r="BE349">
        <f t="shared" si="71"/>
        <v>-1.47523126114</v>
      </c>
    </row>
    <row r="350" spans="6:57">
      <c r="F350" s="9"/>
      <c r="G350" s="22">
        <v>-8.2092300000000007E-2</v>
      </c>
      <c r="H350" s="22">
        <v>52.7363</v>
      </c>
      <c r="I350" s="22">
        <v>-1.8792699999999999E-3</v>
      </c>
      <c r="J350" s="22">
        <v>340</v>
      </c>
      <c r="K350" s="22">
        <v>-8.2611100000000007E-2</v>
      </c>
      <c r="L350">
        <f t="shared" si="60"/>
        <v>1.87927</v>
      </c>
      <c r="M350">
        <f t="shared" si="61"/>
        <v>-0.15427359662100001</v>
      </c>
      <c r="N350" s="9"/>
      <c r="O350" s="22">
        <v>1.61209</v>
      </c>
      <c r="P350" s="22">
        <v>101.79600000000001</v>
      </c>
      <c r="Q350" s="22">
        <v>7.7209499999999999E-4</v>
      </c>
      <c r="R350" s="22">
        <v>340</v>
      </c>
      <c r="S350" s="22">
        <v>1.6113299999999999</v>
      </c>
      <c r="T350">
        <f t="shared" si="62"/>
        <v>-0.77209499999999998</v>
      </c>
      <c r="U350">
        <f t="shared" si="63"/>
        <v>-1.24468662855</v>
      </c>
      <c r="X350" s="9"/>
      <c r="Y350" s="22">
        <v>-8.2092300000000007E-2</v>
      </c>
      <c r="Z350" s="22">
        <v>150.875</v>
      </c>
      <c r="AA350" s="22">
        <v>-1.6323900000000001E-3</v>
      </c>
      <c r="AB350" s="22">
        <v>340</v>
      </c>
      <c r="AC350" s="22">
        <v>-8.2580600000000004E-2</v>
      </c>
      <c r="AD350">
        <f t="shared" si="64"/>
        <v>1.63239</v>
      </c>
      <c r="AE350">
        <f t="shared" si="65"/>
        <v>-0.13400664959700001</v>
      </c>
      <c r="AF350" s="9"/>
      <c r="AG350" s="22">
        <v>1.61209</v>
      </c>
      <c r="AH350" s="22">
        <v>200.125</v>
      </c>
      <c r="AI350" s="22">
        <v>9.7839400000000005E-4</v>
      </c>
      <c r="AJ350" s="22">
        <v>340</v>
      </c>
      <c r="AK350" s="22">
        <v>1.6113299999999999</v>
      </c>
      <c r="AL350">
        <f t="shared" si="66"/>
        <v>-0.9783940000000001</v>
      </c>
      <c r="AM350">
        <f t="shared" si="67"/>
        <v>-1.5772591834600003</v>
      </c>
      <c r="AP350" s="9"/>
      <c r="AQ350" s="22">
        <v>-8.2092300000000007E-2</v>
      </c>
      <c r="AR350" s="22">
        <v>249.26900000000001</v>
      </c>
      <c r="AS350" s="22">
        <v>-1.48682E-3</v>
      </c>
      <c r="AT350" s="22">
        <v>340</v>
      </c>
      <c r="AU350" s="22">
        <v>-8.2580600000000004E-2</v>
      </c>
      <c r="AV350">
        <f t="shared" si="68"/>
        <v>1.48682</v>
      </c>
      <c r="AW350">
        <f t="shared" si="69"/>
        <v>-0.12205647348600002</v>
      </c>
      <c r="AX350" s="9"/>
      <c r="AY350" s="22">
        <v>1.61209</v>
      </c>
      <c r="AZ350" s="22">
        <v>298.428</v>
      </c>
      <c r="BA350" s="22">
        <v>9.7137500000000002E-4</v>
      </c>
      <c r="BB350" s="22">
        <v>340</v>
      </c>
      <c r="BC350" s="22">
        <v>1.6110199999999999</v>
      </c>
      <c r="BD350">
        <f t="shared" si="70"/>
        <v>-0.97137499999999999</v>
      </c>
      <c r="BE350">
        <f t="shared" si="71"/>
        <v>-1.5659439237499999</v>
      </c>
    </row>
    <row r="351" spans="6:57">
      <c r="F351" s="9"/>
      <c r="G351" s="22">
        <v>-8.7127700000000002E-2</v>
      </c>
      <c r="H351" s="22">
        <v>52.746400000000001</v>
      </c>
      <c r="I351" s="22">
        <v>-1.8820200000000001E-3</v>
      </c>
      <c r="J351" s="22">
        <v>341</v>
      </c>
      <c r="K351" s="22">
        <v>-8.7524400000000002E-2</v>
      </c>
      <c r="L351">
        <f t="shared" si="60"/>
        <v>1.88202</v>
      </c>
      <c r="M351">
        <f t="shared" si="61"/>
        <v>-0.16397607395400002</v>
      </c>
      <c r="N351" s="9"/>
      <c r="O351" s="22">
        <v>1.61713</v>
      </c>
      <c r="P351" s="22">
        <v>101.806</v>
      </c>
      <c r="Q351" s="22">
        <v>8.5571300000000002E-4</v>
      </c>
      <c r="R351" s="22">
        <v>341</v>
      </c>
      <c r="S351" s="22">
        <v>1.61652</v>
      </c>
      <c r="T351">
        <f t="shared" si="62"/>
        <v>-0.85571300000000006</v>
      </c>
      <c r="U351">
        <f t="shared" si="63"/>
        <v>-1.38379916369</v>
      </c>
      <c r="X351" s="9"/>
      <c r="Y351" s="22">
        <v>-8.7127700000000002E-2</v>
      </c>
      <c r="Z351" s="22">
        <v>150.88499999999999</v>
      </c>
      <c r="AA351" s="22">
        <v>-1.63361E-3</v>
      </c>
      <c r="AB351" s="22">
        <v>341</v>
      </c>
      <c r="AC351" s="22">
        <v>-8.7585399999999994E-2</v>
      </c>
      <c r="AD351">
        <f t="shared" si="64"/>
        <v>1.63361</v>
      </c>
      <c r="AE351">
        <f t="shared" si="65"/>
        <v>-0.142332681997</v>
      </c>
      <c r="AF351" s="9"/>
      <c r="AG351" s="22">
        <v>1.61713</v>
      </c>
      <c r="AH351" s="22">
        <v>200.13499999999999</v>
      </c>
      <c r="AI351" s="22">
        <v>1.0784900000000001E-3</v>
      </c>
      <c r="AJ351" s="22">
        <v>341</v>
      </c>
      <c r="AK351" s="22">
        <v>1.61652</v>
      </c>
      <c r="AL351">
        <f t="shared" si="66"/>
        <v>-1.0784900000000002</v>
      </c>
      <c r="AM351">
        <f t="shared" si="67"/>
        <v>-1.7440585337000003</v>
      </c>
      <c r="AP351" s="9"/>
      <c r="AQ351" s="22">
        <v>-8.7127700000000002E-2</v>
      </c>
      <c r="AR351" s="22">
        <v>249.279</v>
      </c>
      <c r="AS351" s="22">
        <v>-1.4941399999999999E-3</v>
      </c>
      <c r="AT351" s="22">
        <v>341</v>
      </c>
      <c r="AU351" s="22">
        <v>-8.7585399999999994E-2</v>
      </c>
      <c r="AV351">
        <f t="shared" si="68"/>
        <v>1.49414</v>
      </c>
      <c r="AW351">
        <f t="shared" si="69"/>
        <v>-0.13018098167800002</v>
      </c>
      <c r="AX351" s="9"/>
      <c r="AY351" s="22">
        <v>1.61713</v>
      </c>
      <c r="AZ351" s="22">
        <v>298.43799999999999</v>
      </c>
      <c r="BA351" s="22">
        <v>1.0577399999999999E-3</v>
      </c>
      <c r="BB351" s="22">
        <v>341</v>
      </c>
      <c r="BC351" s="22">
        <v>1.6162099999999999</v>
      </c>
      <c r="BD351">
        <f t="shared" si="70"/>
        <v>-1.0577399999999999</v>
      </c>
      <c r="BE351">
        <f t="shared" si="71"/>
        <v>-1.7105030861999997</v>
      </c>
    </row>
    <row r="352" spans="6:57">
      <c r="F352" s="9"/>
      <c r="G352" s="22">
        <v>-9.2163099999999998E-2</v>
      </c>
      <c r="H352" s="22">
        <v>52.756399999999999</v>
      </c>
      <c r="I352" s="22">
        <v>-1.88171E-3</v>
      </c>
      <c r="J352" s="22">
        <v>342</v>
      </c>
      <c r="K352" s="22">
        <v>-9.2620800000000003E-2</v>
      </c>
      <c r="L352">
        <f t="shared" si="60"/>
        <v>1.88171</v>
      </c>
      <c r="M352">
        <f t="shared" si="61"/>
        <v>-0.17342422690099998</v>
      </c>
      <c r="N352" s="9"/>
      <c r="O352" s="22">
        <v>1.62216</v>
      </c>
      <c r="P352" s="22">
        <v>101.816</v>
      </c>
      <c r="Q352" s="22">
        <v>9.5733600000000004E-4</v>
      </c>
      <c r="R352" s="22">
        <v>342</v>
      </c>
      <c r="S352" s="22">
        <v>1.62079</v>
      </c>
      <c r="T352">
        <f t="shared" si="62"/>
        <v>-0.95733600000000008</v>
      </c>
      <c r="U352">
        <f t="shared" si="63"/>
        <v>-1.5529521657600001</v>
      </c>
      <c r="X352" s="9"/>
      <c r="Y352" s="22">
        <v>-9.2163099999999998E-2</v>
      </c>
      <c r="Z352" s="22">
        <v>150.89500000000001</v>
      </c>
      <c r="AA352" s="22">
        <v>-1.63971E-3</v>
      </c>
      <c r="AB352" s="22">
        <v>342</v>
      </c>
      <c r="AC352" s="22">
        <v>-9.2651399999999995E-2</v>
      </c>
      <c r="AD352">
        <f t="shared" si="64"/>
        <v>1.63971</v>
      </c>
      <c r="AE352">
        <f t="shared" si="65"/>
        <v>-0.151120756701</v>
      </c>
      <c r="AF352" s="9"/>
      <c r="AG352" s="22">
        <v>1.62216</v>
      </c>
      <c r="AH352" s="22">
        <v>200.14500000000001</v>
      </c>
      <c r="AI352" s="22">
        <v>1.1834700000000001E-3</v>
      </c>
      <c r="AJ352" s="22">
        <v>342</v>
      </c>
      <c r="AK352" s="22">
        <v>1.6210899999999999</v>
      </c>
      <c r="AL352">
        <f t="shared" si="66"/>
        <v>-1.18347</v>
      </c>
      <c r="AM352">
        <f t="shared" si="67"/>
        <v>-1.9197776952000001</v>
      </c>
      <c r="AP352" s="9"/>
      <c r="AQ352" s="22">
        <v>-9.2163099999999998E-2</v>
      </c>
      <c r="AR352" s="22">
        <v>249.28899999999999</v>
      </c>
      <c r="AS352" s="22">
        <v>-1.50085E-3</v>
      </c>
      <c r="AT352" s="22">
        <v>342</v>
      </c>
      <c r="AU352" s="22">
        <v>-9.25903E-2</v>
      </c>
      <c r="AV352">
        <f t="shared" si="68"/>
        <v>1.50085</v>
      </c>
      <c r="AW352">
        <f t="shared" si="69"/>
        <v>-0.138322988635</v>
      </c>
      <c r="AX352" s="9"/>
      <c r="AY352" s="22">
        <v>1.62216</v>
      </c>
      <c r="AZ352" s="22">
        <v>298.44900000000001</v>
      </c>
      <c r="BA352" s="22">
        <v>1.1422699999999999E-3</v>
      </c>
      <c r="BB352" s="22">
        <v>342</v>
      </c>
      <c r="BC352" s="22">
        <v>1.6214</v>
      </c>
      <c r="BD352">
        <f t="shared" si="70"/>
        <v>-1.1422699999999999</v>
      </c>
      <c r="BE352">
        <f t="shared" si="71"/>
        <v>-1.8529447031999999</v>
      </c>
    </row>
    <row r="353" spans="6:57">
      <c r="F353" s="9"/>
      <c r="G353" s="22">
        <v>-9.7198499999999993E-2</v>
      </c>
      <c r="H353" s="22">
        <v>52.766500000000001</v>
      </c>
      <c r="I353" s="22">
        <v>-1.88416E-3</v>
      </c>
      <c r="J353" s="22">
        <v>343</v>
      </c>
      <c r="K353" s="22">
        <v>-9.7625699999999996E-2</v>
      </c>
      <c r="L353">
        <f t="shared" si="60"/>
        <v>1.8841600000000001</v>
      </c>
      <c r="M353">
        <f t="shared" si="61"/>
        <v>-0.18313752576</v>
      </c>
      <c r="N353" s="9"/>
      <c r="O353" s="22">
        <v>1.6272</v>
      </c>
      <c r="P353" s="22">
        <v>101.82599999999999</v>
      </c>
      <c r="Q353" s="22">
        <v>1.06354E-3</v>
      </c>
      <c r="R353" s="22">
        <v>343</v>
      </c>
      <c r="S353" s="22">
        <v>1.62598</v>
      </c>
      <c r="T353">
        <f t="shared" si="62"/>
        <v>-1.0635399999999999</v>
      </c>
      <c r="U353">
        <f t="shared" si="63"/>
        <v>-1.7305922879999998</v>
      </c>
      <c r="X353" s="9"/>
      <c r="Y353" s="22">
        <v>-9.7198499999999993E-2</v>
      </c>
      <c r="Z353" s="22">
        <v>150.905</v>
      </c>
      <c r="AA353" s="22">
        <v>-1.64185E-3</v>
      </c>
      <c r="AB353" s="22">
        <v>343</v>
      </c>
      <c r="AC353" s="22">
        <v>-9.7656300000000001E-2</v>
      </c>
      <c r="AD353">
        <f t="shared" si="64"/>
        <v>1.64185</v>
      </c>
      <c r="AE353">
        <f t="shared" si="65"/>
        <v>-0.159585357225</v>
      </c>
      <c r="AF353" s="9"/>
      <c r="AG353" s="22">
        <v>1.6272</v>
      </c>
      <c r="AH353" s="22">
        <v>200.155</v>
      </c>
      <c r="AI353" s="22">
        <v>1.29944E-3</v>
      </c>
      <c r="AJ353" s="22">
        <v>343</v>
      </c>
      <c r="AK353" s="22">
        <v>1.62598</v>
      </c>
      <c r="AL353">
        <f t="shared" si="66"/>
        <v>-1.2994399999999999</v>
      </c>
      <c r="AM353">
        <f t="shared" si="67"/>
        <v>-2.1144487679999999</v>
      </c>
      <c r="AP353" s="9"/>
      <c r="AQ353" s="22">
        <v>-9.7198499999999993E-2</v>
      </c>
      <c r="AR353" s="22">
        <v>249.29900000000001</v>
      </c>
      <c r="AS353" s="22">
        <v>-1.5035999999999999E-3</v>
      </c>
      <c r="AT353" s="22">
        <v>343</v>
      </c>
      <c r="AU353" s="22">
        <v>-9.7656300000000001E-2</v>
      </c>
      <c r="AV353">
        <f t="shared" si="68"/>
        <v>1.5035999999999998</v>
      </c>
      <c r="AW353">
        <f t="shared" si="69"/>
        <v>-0.14614766459999998</v>
      </c>
      <c r="AX353" s="9"/>
      <c r="AY353" s="22">
        <v>1.6272</v>
      </c>
      <c r="AZ353" s="22">
        <v>298.459</v>
      </c>
      <c r="BA353" s="22">
        <v>1.2600700000000001E-3</v>
      </c>
      <c r="BB353" s="22">
        <v>343</v>
      </c>
      <c r="BC353" s="22">
        <v>1.6256699999999999</v>
      </c>
      <c r="BD353">
        <f t="shared" si="70"/>
        <v>-1.26007</v>
      </c>
      <c r="BE353">
        <f t="shared" si="71"/>
        <v>-2.0503859040000001</v>
      </c>
    </row>
    <row r="354" spans="6:57">
      <c r="F354" s="9"/>
      <c r="G354" s="22">
        <v>-0.10223400000000001</v>
      </c>
      <c r="H354" s="22">
        <v>52.776600000000002</v>
      </c>
      <c r="I354" s="22">
        <v>-1.8905599999999999E-3</v>
      </c>
      <c r="J354" s="22">
        <v>344</v>
      </c>
      <c r="K354" s="22">
        <v>-0.10269200000000001</v>
      </c>
      <c r="L354">
        <f t="shared" si="60"/>
        <v>1.8905599999999998</v>
      </c>
      <c r="M354">
        <f t="shared" si="61"/>
        <v>-0.19327951103999999</v>
      </c>
      <c r="N354" s="9"/>
      <c r="O354" s="22">
        <v>1.6322300000000001</v>
      </c>
      <c r="P354" s="22">
        <v>101.836</v>
      </c>
      <c r="Q354" s="22">
        <v>1.18622E-3</v>
      </c>
      <c r="R354" s="22">
        <v>344</v>
      </c>
      <c r="S354" s="22">
        <v>1.63147</v>
      </c>
      <c r="T354">
        <f t="shared" si="62"/>
        <v>-1.1862200000000001</v>
      </c>
      <c r="U354">
        <f t="shared" si="63"/>
        <v>-1.9361838706000001</v>
      </c>
      <c r="X354" s="9"/>
      <c r="Y354" s="22">
        <v>-0.10223400000000001</v>
      </c>
      <c r="Z354" s="22">
        <v>150.91499999999999</v>
      </c>
      <c r="AA354" s="22">
        <v>-1.6430699999999999E-3</v>
      </c>
      <c r="AB354" s="22">
        <v>344</v>
      </c>
      <c r="AC354" s="22">
        <v>-0.10272199999999999</v>
      </c>
      <c r="AD354">
        <f t="shared" si="64"/>
        <v>1.64307</v>
      </c>
      <c r="AE354">
        <f t="shared" si="65"/>
        <v>-0.16797761838</v>
      </c>
      <c r="AF354" s="9"/>
      <c r="AG354" s="22">
        <v>1.6322300000000001</v>
      </c>
      <c r="AH354" s="22">
        <v>200.16499999999999</v>
      </c>
      <c r="AI354" s="22">
        <v>1.41602E-3</v>
      </c>
      <c r="AJ354" s="22">
        <v>344</v>
      </c>
      <c r="AK354" s="22">
        <v>1.63086</v>
      </c>
      <c r="AL354">
        <f t="shared" si="66"/>
        <v>-1.4160200000000001</v>
      </c>
      <c r="AM354">
        <f t="shared" si="67"/>
        <v>-2.3112703246000001</v>
      </c>
      <c r="AP354" s="9"/>
      <c r="AQ354" s="22">
        <v>-0.10223400000000001</v>
      </c>
      <c r="AR354" s="22">
        <v>249.309</v>
      </c>
      <c r="AS354" s="22">
        <v>-1.50757E-3</v>
      </c>
      <c r="AT354" s="22">
        <v>344</v>
      </c>
      <c r="AU354" s="22">
        <v>-0.102661</v>
      </c>
      <c r="AV354">
        <f t="shared" si="68"/>
        <v>1.5075699999999999</v>
      </c>
      <c r="AW354">
        <f t="shared" si="69"/>
        <v>-0.15412491138000001</v>
      </c>
      <c r="AX354" s="9"/>
      <c r="AY354" s="22">
        <v>1.6322300000000001</v>
      </c>
      <c r="AZ354" s="22">
        <v>298.46899999999999</v>
      </c>
      <c r="BA354" s="22">
        <v>1.4260900000000001E-3</v>
      </c>
      <c r="BB354" s="22">
        <v>344</v>
      </c>
      <c r="BC354" s="22">
        <v>1.63147</v>
      </c>
      <c r="BD354">
        <f t="shared" si="70"/>
        <v>-1.4260900000000001</v>
      </c>
      <c r="BE354">
        <f t="shared" si="71"/>
        <v>-2.3277068807000001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C4" sqref="C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1.7855936725625907</v>
      </c>
      <c r="C3">
        <f ca="1">INDEX(INDIRECT(A3&amp;"!B11"):INDIRECT(A3&amp;"!B21"),MATCH(E3,INDIRECT(A3&amp;"!D11"):INDIRECT(A3&amp;"!D21"),0))</f>
        <v>17.707569420945031</v>
      </c>
      <c r="D3">
        <f ca="1">INDEX(INDIRECT(A3&amp;"!C11"):INDIRECT(A3&amp;"!C21"),MATCH(E3,INDIRECT(A3&amp;"!D11"):INDIRECT(A3&amp;"!D21"),0))</f>
        <v>0.8118491639398242</v>
      </c>
      <c r="E3">
        <f t="shared" ref="E3" ca="1" si="0">MAX(INDIRECT(A3&amp; "!D11"),INDIRECT(A3 &amp; "!D13"),INDIRECT(A3 &amp; "!D15"),INDIRECT(A3 &amp; "!D17"),INDIRECT(A3 &amp; "!D19"),INDIRECT(A3 &amp; "!D21"))</f>
        <v>25.669472204999998</v>
      </c>
      <c r="G3">
        <f ca="1">INDEX(INDIRECT(A3&amp;"!A12"):INDIRECT(A3&amp;"!A22"),MATCH(J3,INDIRECT(A3&amp;"!D12"):INDIRECT(A3&amp;"!D22"),0))</f>
        <v>1.788591993903762</v>
      </c>
      <c r="H3">
        <f ca="1">INDEX(INDIRECT(A3&amp;"!B12"):INDIRECT(A3&amp;"!B22"),MATCH(J3,INDIRECT(A3&amp;"!D12"):INDIRECT(A3&amp;"!D22"),0))</f>
        <v>17.050738128853244</v>
      </c>
      <c r="I3">
        <f ca="1">INDEX(INDIRECT(A3&amp;"!C12"):INDIRECT(A3&amp;"!C22"),MATCH(J3,INDIRECT(A3&amp;"!D12"):INDIRECT(A3&amp;"!D22"),0))</f>
        <v>0.79062002159708744</v>
      </c>
      <c r="J3">
        <f t="shared" ref="J3" ca="1" si="1">MAX(INDIRECT(A3&amp; "!D12"),INDIRECT(A3 &amp; "!D14"),INDIRECT(A3 &amp; "!D16"),INDIRECT(A3 &amp; "!D18"),INDIRECT(A3 &amp; "!D20"),,INDIRECT(A3 &amp; "!D22"))</f>
        <v>24.111391512000004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20230305T090000</v>
      </c>
      <c r="B4">
        <f ca="1">INDEX(INDIRECT(A4&amp;"!A11"):INDIRECT(A4&amp;"!A21"),MATCH(E4,INDIRECT(A4&amp;"!D11"):INDIRECT(A4&amp;"!D21"),0))</f>
        <v>1.5590013249135446</v>
      </c>
      <c r="C4">
        <f ca="1">INDEX(INDIRECT(A4&amp;"!B11"):INDIRECT(A4&amp;"!B21"),MATCH(E4,INDIRECT(A4&amp;"!D11"):INDIRECT(A4&amp;"!D21"),0))</f>
        <v>1.8384221392168756</v>
      </c>
      <c r="D4">
        <f ca="1">INDEX(INDIRECT(A4&amp;"!C11"):INDIRECT(A4&amp;"!C21"),MATCH(E4,INDIRECT(A4&amp;"!D11"):INDIRECT(A4&amp;"!D21"),0))</f>
        <v>0.42232454500505362</v>
      </c>
      <c r="E4">
        <f t="shared" ref="E4" ca="1" si="2">MAX(INDIRECT(A4&amp; "!D11"),INDIRECT(A4 &amp; "!D13"),INDIRECT(A4 &amp; "!D15"),INDIRECT(A4 &amp; "!D17"),INDIRECT(A4 &amp; "!D19"),INDIRECT(A4 &amp; "!D21"))</f>
        <v>1.2104254557</v>
      </c>
      <c r="G4">
        <f ca="1">INDEX(INDIRECT(A4&amp;"!A12"):INDIRECT(A4&amp;"!A22"),MATCH(J4,INDIRECT(A4&amp;"!D12"):INDIRECT(A4&amp;"!D22"),0))</f>
        <v>1.5325211724342918</v>
      </c>
      <c r="H4">
        <f ca="1">INDEX(INDIRECT(A4&amp;"!B12"):INDIRECT(A4&amp;"!B22"),MATCH(J4,INDIRECT(A4&amp;"!D12"):INDIRECT(A4&amp;"!D22"),0))</f>
        <v>1.917998868138669</v>
      </c>
      <c r="I4">
        <f ca="1">INDEX(INDIRECT(A4&amp;"!C12"):INDIRECT(A4&amp;"!C22"),MATCH(J4,INDIRECT(A4&amp;"!D12"):INDIRECT(A4&amp;"!D22"),0))</f>
        <v>0.27181631467591205</v>
      </c>
      <c r="J4">
        <f t="shared" ref="J4" ca="1" si="3">MAX(INDIRECT(A4&amp; "!D12"),INDIRECT(A4 &amp; "!D14"),INDIRECT(A4 &amp; "!D16"),INDIRECT(A4 &amp; "!D18"),INDIRECT(A4 &amp; "!D20"),,INDIRECT(A4 &amp; "!D22"))</f>
        <v>0.79896977392000001</v>
      </c>
      <c r="L4">
        <f ca="1">INDEX(INDIRECT(A4&amp;"!E11"):INDIRECT(A4&amp;"!E21"),MATCH(E4,INDIRECT(A4&amp;"!D11"):INDIRECT(A4&amp;"!D21"),0))</f>
        <v>33.99264943102601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20230228T090000</vt:lpstr>
      <vt:lpstr>20230305T090000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2023-03-04T23:16:00Z</dcterms:modified>
</cp:coreProperties>
</file>