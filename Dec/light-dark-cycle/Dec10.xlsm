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21231T210000" sheetId="65" r:id="rId2"/>
    <sheet name="20230101T090000" sheetId="66" r:id="rId3"/>
    <sheet name="20230111T21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 s="1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AV12" i="67"/>
  <c r="AW12" i="67"/>
  <c r="AV13" i="67"/>
  <c r="AW13" i="67"/>
  <c r="AV14" i="67"/>
  <c r="AW14" i="67"/>
  <c r="AV15" i="67"/>
  <c r="AW15" i="67"/>
  <c r="AV16" i="67"/>
  <c r="AW16" i="67"/>
  <c r="AV17" i="67"/>
  <c r="AW17" i="67"/>
  <c r="AV18" i="67"/>
  <c r="AW18" i="67"/>
  <c r="AV19" i="67"/>
  <c r="AW19" i="67"/>
  <c r="AV20" i="67"/>
  <c r="AW20" i="67"/>
  <c r="AV21" i="67"/>
  <c r="AW21" i="67"/>
  <c r="AV22" i="67"/>
  <c r="AW22" i="67"/>
  <c r="AV23" i="67"/>
  <c r="AW23" i="67"/>
  <c r="AV24" i="67"/>
  <c r="AW24" i="67"/>
  <c r="AV25" i="67"/>
  <c r="AW25" i="67"/>
  <c r="AV26" i="67"/>
  <c r="AW26" i="67"/>
  <c r="AV27" i="67"/>
  <c r="AW27" i="67"/>
  <c r="AV28" i="67"/>
  <c r="AW28" i="67"/>
  <c r="AV29" i="67"/>
  <c r="AW29" i="67"/>
  <c r="AV30" i="67"/>
  <c r="AW30" i="67"/>
  <c r="AV31" i="67"/>
  <c r="AW31" i="67"/>
  <c r="AV32" i="67"/>
  <c r="AW32" i="67"/>
  <c r="AV33" i="67"/>
  <c r="AW33" i="67"/>
  <c r="AV34" i="67"/>
  <c r="AW34" i="67"/>
  <c r="AV35" i="67"/>
  <c r="AW35" i="67"/>
  <c r="AV36" i="67"/>
  <c r="AW36" i="67"/>
  <c r="AV37" i="67"/>
  <c r="AW37" i="67"/>
  <c r="AV38" i="67"/>
  <c r="AW38" i="67"/>
  <c r="AV39" i="67"/>
  <c r="AW39" i="67"/>
  <c r="AV40" i="67"/>
  <c r="AW40" i="67"/>
  <c r="AV41" i="67"/>
  <c r="AW41" i="67"/>
  <c r="AV42" i="67"/>
  <c r="AW42" i="67"/>
  <c r="AV43" i="67"/>
  <c r="AW43" i="67"/>
  <c r="AV44" i="67"/>
  <c r="AW44" i="67"/>
  <c r="AV45" i="67"/>
  <c r="AW45" i="67"/>
  <c r="AV46" i="67"/>
  <c r="AW46" i="67"/>
  <c r="AV47" i="67"/>
  <c r="AW47" i="67"/>
  <c r="AV48" i="67"/>
  <c r="AW48" i="67"/>
  <c r="AV49" i="67"/>
  <c r="AW49" i="67"/>
  <c r="AV50" i="67"/>
  <c r="AW50" i="67"/>
  <c r="AV51" i="67"/>
  <c r="AW51" i="67"/>
  <c r="AV52" i="67"/>
  <c r="AW52" i="67"/>
  <c r="AV53" i="67"/>
  <c r="AW53" i="67"/>
  <c r="AV54" i="67"/>
  <c r="AW54" i="67"/>
  <c r="AV55" i="67"/>
  <c r="AW55" i="67"/>
  <c r="AV56" i="67"/>
  <c r="AW56" i="67"/>
  <c r="AV57" i="67"/>
  <c r="AW57" i="67"/>
  <c r="AV58" i="67"/>
  <c r="AW58" i="67"/>
  <c r="AV59" i="67"/>
  <c r="AW59" i="67"/>
  <c r="AV60" i="67"/>
  <c r="AW60" i="67"/>
  <c r="AV61" i="67"/>
  <c r="AW61" i="67"/>
  <c r="AV62" i="67"/>
  <c r="AW62" i="67"/>
  <c r="AV63" i="67"/>
  <c r="AW63" i="67"/>
  <c r="AV64" i="67"/>
  <c r="AW64" i="67"/>
  <c r="AV65" i="67"/>
  <c r="AW65" i="67"/>
  <c r="AV66" i="67"/>
  <c r="AW66" i="67"/>
  <c r="AV67" i="67"/>
  <c r="AW67" i="67"/>
  <c r="AV68" i="67"/>
  <c r="AW68" i="67"/>
  <c r="AV69" i="67"/>
  <c r="AW69" i="67"/>
  <c r="AV70" i="67"/>
  <c r="AW70" i="67"/>
  <c r="AV71" i="67"/>
  <c r="AW71" i="67"/>
  <c r="AV72" i="67"/>
  <c r="AW72" i="67"/>
  <c r="AV73" i="67"/>
  <c r="AW73" i="67"/>
  <c r="AV74" i="67"/>
  <c r="AW74" i="67"/>
  <c r="AV75" i="67"/>
  <c r="AW75" i="67"/>
  <c r="AV76" i="67"/>
  <c r="AW76" i="67"/>
  <c r="AV77" i="67"/>
  <c r="AW77" i="67"/>
  <c r="AV78" i="67"/>
  <c r="AW78" i="67"/>
  <c r="AV79" i="67"/>
  <c r="AW79" i="67"/>
  <c r="AV80" i="67"/>
  <c r="AW80" i="67"/>
  <c r="AV81" i="67"/>
  <c r="AW81" i="67"/>
  <c r="AV82" i="67"/>
  <c r="AW82" i="67"/>
  <c r="AV83" i="67"/>
  <c r="AW83" i="67"/>
  <c r="AV84" i="67"/>
  <c r="AW84" i="67"/>
  <c r="AV85" i="67"/>
  <c r="AW85" i="67"/>
  <c r="AV86" i="67"/>
  <c r="AW86" i="67"/>
  <c r="AV87" i="67"/>
  <c r="AW87" i="67"/>
  <c r="AV88" i="67"/>
  <c r="AW88" i="67"/>
  <c r="AV89" i="67"/>
  <c r="AW89" i="67"/>
  <c r="AV90" i="67"/>
  <c r="AW90" i="67"/>
  <c r="AV91" i="67"/>
  <c r="AW91" i="67"/>
  <c r="AV92" i="67"/>
  <c r="AW92" i="67"/>
  <c r="AV93" i="67"/>
  <c r="AW93" i="67"/>
  <c r="AV94" i="67"/>
  <c r="AW94" i="67"/>
  <c r="AV95" i="67"/>
  <c r="AW95" i="67"/>
  <c r="AV96" i="67"/>
  <c r="AW96" i="67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/>
  <c r="AV114" i="67"/>
  <c r="AW114" i="67"/>
  <c r="AV115" i="67"/>
  <c r="AW115" i="67"/>
  <c r="AV116" i="67"/>
  <c r="AW116" i="67"/>
  <c r="AV117" i="67"/>
  <c r="AW117" i="67"/>
  <c r="AV118" i="67"/>
  <c r="AW118" i="67"/>
  <c r="AV119" i="67"/>
  <c r="AW119" i="67"/>
  <c r="AV120" i="67"/>
  <c r="AW120" i="67"/>
  <c r="AV121" i="67"/>
  <c r="AW121" i="67"/>
  <c r="AV122" i="67"/>
  <c r="AW122" i="67"/>
  <c r="AV123" i="67"/>
  <c r="AW123" i="67"/>
  <c r="AV124" i="67"/>
  <c r="AW124" i="67"/>
  <c r="AV125" i="67"/>
  <c r="AW125" i="67"/>
  <c r="AV126" i="67"/>
  <c r="AW126" i="67"/>
  <c r="AV127" i="67"/>
  <c r="AW127" i="67"/>
  <c r="AV128" i="67"/>
  <c r="AW128" i="67"/>
  <c r="AV129" i="67"/>
  <c r="AW129" i="67"/>
  <c r="AV130" i="67"/>
  <c r="AW130" i="67"/>
  <c r="AV131" i="67"/>
  <c r="AW131" i="67"/>
  <c r="AV132" i="67"/>
  <c r="AW132" i="67"/>
  <c r="AV133" i="67"/>
  <c r="AW133" i="67"/>
  <c r="AV134" i="67"/>
  <c r="AW134" i="67"/>
  <c r="AV135" i="67"/>
  <c r="AW135" i="67"/>
  <c r="AV136" i="67"/>
  <c r="AW136" i="67"/>
  <c r="AV137" i="67"/>
  <c r="AW137" i="67"/>
  <c r="AV138" i="67"/>
  <c r="AW138" i="67"/>
  <c r="AV139" i="67"/>
  <c r="AW139" i="67"/>
  <c r="AV140" i="67"/>
  <c r="AW140" i="67"/>
  <c r="AV141" i="67"/>
  <c r="AW141" i="67"/>
  <c r="AV142" i="67"/>
  <c r="AW142" i="67"/>
  <c r="AV143" i="67"/>
  <c r="AW143" i="67"/>
  <c r="AV144" i="67"/>
  <c r="AW144" i="67"/>
  <c r="AV145" i="67"/>
  <c r="AW145" i="67"/>
  <c r="AV146" i="67"/>
  <c r="AW146" i="67"/>
  <c r="AV147" i="67"/>
  <c r="AW147" i="67"/>
  <c r="AV148" i="67"/>
  <c r="AW148" i="67"/>
  <c r="AV149" i="67"/>
  <c r="AW149" i="67"/>
  <c r="AV150" i="67"/>
  <c r="AW150" i="67"/>
  <c r="AV151" i="67"/>
  <c r="AW151" i="67"/>
  <c r="AV152" i="67"/>
  <c r="AW152" i="67"/>
  <c r="AV153" i="67"/>
  <c r="AW153" i="67"/>
  <c r="AV154" i="67"/>
  <c r="AW154" i="67"/>
  <c r="AV155" i="67"/>
  <c r="AW155" i="67"/>
  <c r="AV156" i="67"/>
  <c r="AW156" i="67"/>
  <c r="AV157" i="67"/>
  <c r="AW157" i="67"/>
  <c r="AV158" i="67"/>
  <c r="AW158" i="67"/>
  <c r="AV159" i="67"/>
  <c r="AW159" i="67"/>
  <c r="AV160" i="67"/>
  <c r="AW160" i="67"/>
  <c r="AV161" i="67"/>
  <c r="AW161" i="67"/>
  <c r="AV162" i="67"/>
  <c r="AW162" i="67"/>
  <c r="AV163" i="67"/>
  <c r="AW163" i="67"/>
  <c r="AV164" i="67"/>
  <c r="AW164" i="67"/>
  <c r="AV165" i="67"/>
  <c r="AW165" i="67"/>
  <c r="AV166" i="67"/>
  <c r="AW166" i="67"/>
  <c r="AV167" i="67"/>
  <c r="AW167" i="67"/>
  <c r="AV168" i="67"/>
  <c r="AW168" i="67"/>
  <c r="AV169" i="67"/>
  <c r="AW169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D12" i="67"/>
  <c r="AE12" i="67"/>
  <c r="AD13" i="67"/>
  <c r="AE13" i="67"/>
  <c r="AD14" i="67"/>
  <c r="AE14" i="67"/>
  <c r="AD15" i="67"/>
  <c r="AE15" i="67"/>
  <c r="AD16" i="67"/>
  <c r="AE16" i="67"/>
  <c r="AD17" i="67"/>
  <c r="AE17" i="67"/>
  <c r="AD18" i="67"/>
  <c r="AE18" i="67"/>
  <c r="AD19" i="67"/>
  <c r="AE19" i="67"/>
  <c r="AD20" i="67"/>
  <c r="AE20" i="67"/>
  <c r="AD21" i="67"/>
  <c r="AE21" i="67"/>
  <c r="AD22" i="67"/>
  <c r="AE22" i="67"/>
  <c r="AD23" i="67"/>
  <c r="AE23" i="67"/>
  <c r="AD24" i="67"/>
  <c r="AE24" i="67"/>
  <c r="AD25" i="67"/>
  <c r="AE25" i="67"/>
  <c r="AD26" i="67"/>
  <c r="AE26" i="67"/>
  <c r="AD27" i="67"/>
  <c r="AE27" i="67"/>
  <c r="AD28" i="67"/>
  <c r="AE28" i="67"/>
  <c r="AD29" i="67"/>
  <c r="AE29" i="67"/>
  <c r="AD30" i="67"/>
  <c r="AE30" i="67"/>
  <c r="AD31" i="67"/>
  <c r="AE31" i="67"/>
  <c r="AD32" i="67"/>
  <c r="AE32" i="67"/>
  <c r="AD33" i="67"/>
  <c r="AE33" i="67"/>
  <c r="AD34" i="67"/>
  <c r="AE34" i="67"/>
  <c r="AD35" i="67"/>
  <c r="AE35" i="67"/>
  <c r="AD36" i="67"/>
  <c r="AE36" i="67"/>
  <c r="AD37" i="67"/>
  <c r="AE37" i="67"/>
  <c r="AD38" i="67"/>
  <c r="AE38" i="67"/>
  <c r="AD39" i="67"/>
  <c r="AE39" i="67"/>
  <c r="AD40" i="67"/>
  <c r="AE40" i="67"/>
  <c r="AD41" i="67"/>
  <c r="AE41" i="67"/>
  <c r="AD42" i="67"/>
  <c r="AE42" i="67"/>
  <c r="AD43" i="67"/>
  <c r="AE43" i="67"/>
  <c r="AD44" i="67"/>
  <c r="AE44" i="67"/>
  <c r="AD45" i="67"/>
  <c r="AE45" i="67"/>
  <c r="AD46" i="67"/>
  <c r="AE46" i="67"/>
  <c r="AD47" i="67"/>
  <c r="AE47" i="67"/>
  <c r="AD48" i="67"/>
  <c r="AE48" i="67"/>
  <c r="AD49" i="67"/>
  <c r="AE49" i="67"/>
  <c r="AD50" i="67"/>
  <c r="AE50" i="67"/>
  <c r="AD51" i="67"/>
  <c r="AE51" i="67"/>
  <c r="AD52" i="67"/>
  <c r="AE52" i="67"/>
  <c r="AD53" i="67"/>
  <c r="AE53" i="67"/>
  <c r="AD54" i="67"/>
  <c r="AE54" i="67"/>
  <c r="AD55" i="67"/>
  <c r="AE55" i="67"/>
  <c r="AD56" i="67"/>
  <c r="AE56" i="67"/>
  <c r="AD57" i="67"/>
  <c r="AE57" i="67"/>
  <c r="AD58" i="67"/>
  <c r="AE58" i="67"/>
  <c r="AD59" i="67"/>
  <c r="AE59" i="67"/>
  <c r="AD60" i="67"/>
  <c r="AE60" i="67"/>
  <c r="AD61" i="67"/>
  <c r="AE61" i="67"/>
  <c r="AD62" i="67"/>
  <c r="AE62" i="67"/>
  <c r="AD63" i="67"/>
  <c r="AE63" i="67"/>
  <c r="AD64" i="67"/>
  <c r="AE64" i="67"/>
  <c r="AD65" i="67"/>
  <c r="AE65" i="67"/>
  <c r="AD66" i="67"/>
  <c r="AE66" i="67"/>
  <c r="AD67" i="67"/>
  <c r="AE67" i="67"/>
  <c r="AD68" i="67"/>
  <c r="AE68" i="67"/>
  <c r="AD69" i="67"/>
  <c r="AE69" i="67"/>
  <c r="AD70" i="67"/>
  <c r="AE70" i="67"/>
  <c r="AD71" i="67"/>
  <c r="AE71" i="67"/>
  <c r="AD72" i="67"/>
  <c r="AE72" i="67"/>
  <c r="AD73" i="67"/>
  <c r="AE73" i="67"/>
  <c r="AD74" i="67"/>
  <c r="AE74" i="67"/>
  <c r="AD75" i="67"/>
  <c r="AE75" i="67"/>
  <c r="AD76" i="67"/>
  <c r="AE76" i="67"/>
  <c r="AD77" i="67"/>
  <c r="AE77" i="67"/>
  <c r="AD78" i="67"/>
  <c r="AE78" i="67"/>
  <c r="AD79" i="67"/>
  <c r="AE79" i="67"/>
  <c r="AD80" i="67"/>
  <c r="AE80" i="67"/>
  <c r="AD81" i="67"/>
  <c r="AE81" i="67"/>
  <c r="AD82" i="67"/>
  <c r="AE82" i="67"/>
  <c r="AD83" i="67"/>
  <c r="AE83" i="67"/>
  <c r="AD84" i="67"/>
  <c r="AE84" i="67"/>
  <c r="AD85" i="67"/>
  <c r="AE85" i="67"/>
  <c r="AD86" i="67"/>
  <c r="AE86" i="67"/>
  <c r="AD87" i="67"/>
  <c r="AE87" i="67"/>
  <c r="AD88" i="67"/>
  <c r="AE88" i="67"/>
  <c r="AD89" i="67"/>
  <c r="AE89" i="67"/>
  <c r="AD90" i="67"/>
  <c r="AE90" i="67"/>
  <c r="AD91" i="67"/>
  <c r="AE91" i="67"/>
  <c r="AD92" i="67"/>
  <c r="AE92" i="67"/>
  <c r="AD93" i="67"/>
  <c r="AE93" i="67"/>
  <c r="AD94" i="67"/>
  <c r="AE94" i="67"/>
  <c r="AD95" i="67"/>
  <c r="AE95" i="67"/>
  <c r="AD96" i="67"/>
  <c r="AE96" i="67"/>
  <c r="AD97" i="67"/>
  <c r="AE97" i="67"/>
  <c r="AD98" i="67"/>
  <c r="AE98" i="67"/>
  <c r="AD99" i="67"/>
  <c r="AE99" i="67"/>
  <c r="AD100" i="67"/>
  <c r="AE100" i="67"/>
  <c r="AD101" i="67"/>
  <c r="AE101" i="67"/>
  <c r="AD102" i="67"/>
  <c r="AE102" i="67"/>
  <c r="AD103" i="67"/>
  <c r="AE103" i="67"/>
  <c r="AD104" i="67"/>
  <c r="AE104" i="67"/>
  <c r="AD105" i="67"/>
  <c r="AE105" i="67"/>
  <c r="AD106" i="67"/>
  <c r="AE106" i="67"/>
  <c r="AD107" i="67"/>
  <c r="AE107" i="67"/>
  <c r="AD108" i="67"/>
  <c r="AE108" i="67"/>
  <c r="AD109" i="67"/>
  <c r="AE109" i="67"/>
  <c r="AD110" i="67"/>
  <c r="AE110" i="67"/>
  <c r="AD111" i="67"/>
  <c r="AE111" i="67"/>
  <c r="AD112" i="67"/>
  <c r="AE112" i="67"/>
  <c r="AD113" i="67"/>
  <c r="AE113" i="67"/>
  <c r="AD114" i="67"/>
  <c r="AE114" i="67"/>
  <c r="AD115" i="67"/>
  <c r="AE115" i="67"/>
  <c r="AD116" i="67"/>
  <c r="AE116" i="67"/>
  <c r="AD117" i="67"/>
  <c r="AE117" i="67"/>
  <c r="AD118" i="67"/>
  <c r="AE118" i="67"/>
  <c r="AD119" i="67"/>
  <c r="AE119" i="67"/>
  <c r="AD120" i="67"/>
  <c r="AE120" i="67"/>
  <c r="AD121" i="67"/>
  <c r="AE121" i="67"/>
  <c r="AD122" i="67"/>
  <c r="AE122" i="67"/>
  <c r="AD123" i="67"/>
  <c r="AE123" i="67"/>
  <c r="AD124" i="67"/>
  <c r="AE124" i="67"/>
  <c r="AD125" i="67"/>
  <c r="AE125" i="67"/>
  <c r="AD126" i="67"/>
  <c r="AE126" i="67"/>
  <c r="AD127" i="67"/>
  <c r="AE127" i="67"/>
  <c r="AD128" i="67"/>
  <c r="AE128" i="67"/>
  <c r="AD129" i="67"/>
  <c r="AE129" i="67"/>
  <c r="AD130" i="67"/>
  <c r="AE130" i="67"/>
  <c r="AD131" i="67"/>
  <c r="AE131" i="67"/>
  <c r="AD132" i="67"/>
  <c r="AE132" i="67"/>
  <c r="AD133" i="67"/>
  <c r="AE133" i="67"/>
  <c r="AD134" i="67"/>
  <c r="AE134" i="67"/>
  <c r="AD135" i="67"/>
  <c r="AE135" i="67"/>
  <c r="AD136" i="67"/>
  <c r="AE136" i="67"/>
  <c r="AD137" i="67"/>
  <c r="AE137" i="67"/>
  <c r="AD138" i="67"/>
  <c r="AE138" i="67"/>
  <c r="AD139" i="67"/>
  <c r="AE139" i="67"/>
  <c r="AD140" i="67"/>
  <c r="AE140" i="67"/>
  <c r="AD141" i="67"/>
  <c r="AE141" i="67"/>
  <c r="AD142" i="67"/>
  <c r="AE142" i="67"/>
  <c r="AD143" i="67"/>
  <c r="AE143" i="67"/>
  <c r="AD144" i="67"/>
  <c r="AE144" i="67"/>
  <c r="AD145" i="67"/>
  <c r="AE145" i="67"/>
  <c r="AD146" i="67"/>
  <c r="AE146" i="67"/>
  <c r="AD147" i="67"/>
  <c r="AE147" i="67"/>
  <c r="AD148" i="67"/>
  <c r="AE148" i="67"/>
  <c r="AD149" i="67"/>
  <c r="AE149" i="67"/>
  <c r="AD150" i="67"/>
  <c r="AE150" i="67"/>
  <c r="AD151" i="67"/>
  <c r="AE151" i="67"/>
  <c r="AD152" i="67"/>
  <c r="AE152" i="67"/>
  <c r="AD153" i="67"/>
  <c r="AE153" i="67"/>
  <c r="AD154" i="67"/>
  <c r="AE154" i="67"/>
  <c r="AD155" i="67"/>
  <c r="AE155" i="67"/>
  <c r="AD156" i="67"/>
  <c r="AE156" i="67"/>
  <c r="AD157" i="67"/>
  <c r="AE157" i="67"/>
  <c r="AD158" i="67"/>
  <c r="AE158" i="67"/>
  <c r="AD159" i="67"/>
  <c r="AE159" i="67"/>
  <c r="AD160" i="67"/>
  <c r="AE160" i="67" s="1"/>
  <c r="AD161" i="67"/>
  <c r="AE161" i="67"/>
  <c r="AD162" i="67"/>
  <c r="AE162" i="67"/>
  <c r="AD163" i="67"/>
  <c r="AE163" i="67"/>
  <c r="AD164" i="67"/>
  <c r="AE164" i="67"/>
  <c r="AD165" i="67"/>
  <c r="AE165" i="67"/>
  <c r="AD166" i="67"/>
  <c r="AE166" i="67"/>
  <c r="AD167" i="67"/>
  <c r="AE167" i="67"/>
  <c r="AD168" i="67"/>
  <c r="AE168" i="67"/>
  <c r="AD169" i="67"/>
  <c r="AE169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L12" i="67"/>
  <c r="M12" i="67"/>
  <c r="L13" i="67"/>
  <c r="M13" i="67"/>
  <c r="L14" i="67"/>
  <c r="M14" i="67"/>
  <c r="L15" i="67"/>
  <c r="M15" i="67"/>
  <c r="L16" i="67"/>
  <c r="M16" i="67"/>
  <c r="L17" i="67"/>
  <c r="M17" i="67"/>
  <c r="L18" i="67"/>
  <c r="M18" i="67"/>
  <c r="L19" i="67"/>
  <c r="M19" i="67"/>
  <c r="L20" i="67"/>
  <c r="M20" i="67"/>
  <c r="L21" i="67"/>
  <c r="M21" i="67"/>
  <c r="L22" i="67"/>
  <c r="M22" i="67"/>
  <c r="L23" i="67"/>
  <c r="M23" i="67"/>
  <c r="L24" i="67"/>
  <c r="M24" i="67"/>
  <c r="L25" i="67"/>
  <c r="M25" i="67"/>
  <c r="L26" i="67"/>
  <c r="M26" i="67"/>
  <c r="L27" i="67"/>
  <c r="M27" i="67"/>
  <c r="L28" i="67"/>
  <c r="M28" i="67"/>
  <c r="L29" i="67"/>
  <c r="M29" i="67"/>
  <c r="L30" i="67"/>
  <c r="M30" i="67"/>
  <c r="L31" i="67"/>
  <c r="M31" i="67"/>
  <c r="L32" i="67"/>
  <c r="M32" i="67"/>
  <c r="L33" i="67"/>
  <c r="M33" i="67"/>
  <c r="L34" i="67"/>
  <c r="M34" i="67"/>
  <c r="L35" i="67"/>
  <c r="M35" i="67"/>
  <c r="L36" i="67"/>
  <c r="M36" i="67"/>
  <c r="L37" i="67"/>
  <c r="M37" i="67"/>
  <c r="L38" i="67"/>
  <c r="M38" i="67"/>
  <c r="L39" i="67"/>
  <c r="M39" i="67"/>
  <c r="L40" i="67"/>
  <c r="M40" i="67"/>
  <c r="L41" i="67"/>
  <c r="M41" i="67"/>
  <c r="L42" i="67"/>
  <c r="M42" i="67"/>
  <c r="L43" i="67"/>
  <c r="M43" i="67"/>
  <c r="L44" i="67"/>
  <c r="M44" i="67"/>
  <c r="L45" i="67"/>
  <c r="M45" i="67"/>
  <c r="L46" i="67"/>
  <c r="M46" i="67"/>
  <c r="L47" i="67"/>
  <c r="M47" i="67"/>
  <c r="L48" i="67"/>
  <c r="M48" i="67"/>
  <c r="L49" i="67"/>
  <c r="M49" i="67"/>
  <c r="L50" i="67"/>
  <c r="M50" i="67"/>
  <c r="L51" i="67"/>
  <c r="M51" i="67"/>
  <c r="L52" i="67"/>
  <c r="M52" i="67"/>
  <c r="L53" i="67"/>
  <c r="M53" i="67"/>
  <c r="L54" i="67"/>
  <c r="M54" i="67"/>
  <c r="L55" i="67"/>
  <c r="M55" i="67"/>
  <c r="L56" i="67"/>
  <c r="M56" i="67"/>
  <c r="L57" i="67"/>
  <c r="M57" i="67"/>
  <c r="L58" i="67"/>
  <c r="M58" i="67"/>
  <c r="L59" i="67"/>
  <c r="M59" i="67"/>
  <c r="L60" i="67"/>
  <c r="M60" i="67"/>
  <c r="L61" i="67"/>
  <c r="M61" i="67"/>
  <c r="L62" i="67"/>
  <c r="M62" i="67"/>
  <c r="L63" i="67"/>
  <c r="M63" i="67"/>
  <c r="L64" i="67"/>
  <c r="M64" i="67"/>
  <c r="L65" i="67"/>
  <c r="M65" i="67"/>
  <c r="L66" i="67"/>
  <c r="M66" i="67"/>
  <c r="L67" i="67"/>
  <c r="M67" i="67"/>
  <c r="L68" i="67"/>
  <c r="M68" i="67"/>
  <c r="L69" i="67"/>
  <c r="M69" i="67"/>
  <c r="L70" i="67"/>
  <c r="M70" i="67"/>
  <c r="L71" i="67"/>
  <c r="M71" i="67"/>
  <c r="L72" i="67"/>
  <c r="M72" i="67"/>
  <c r="L73" i="67"/>
  <c r="M73" i="67"/>
  <c r="L74" i="67"/>
  <c r="M74" i="67"/>
  <c r="L75" i="67"/>
  <c r="M75" i="67"/>
  <c r="L76" i="67"/>
  <c r="M76" i="67"/>
  <c r="L77" i="67"/>
  <c r="M77" i="67"/>
  <c r="L78" i="67"/>
  <c r="M78" i="67"/>
  <c r="L79" i="67"/>
  <c r="M79" i="67"/>
  <c r="L80" i="67"/>
  <c r="M80" i="67"/>
  <c r="L81" i="67"/>
  <c r="M81" i="67"/>
  <c r="L82" i="67"/>
  <c r="M82" i="67"/>
  <c r="L83" i="67"/>
  <c r="M83" i="67"/>
  <c r="L84" i="67"/>
  <c r="M84" i="67"/>
  <c r="L85" i="67"/>
  <c r="M85" i="67"/>
  <c r="L86" i="67"/>
  <c r="M86" i="67"/>
  <c r="L87" i="67"/>
  <c r="M87" i="67"/>
  <c r="L88" i="67"/>
  <c r="M88" i="67"/>
  <c r="L89" i="67"/>
  <c r="M89" i="67"/>
  <c r="L90" i="67"/>
  <c r="M90" i="67"/>
  <c r="L91" i="67"/>
  <c r="M91" i="67"/>
  <c r="L92" i="67"/>
  <c r="M92" i="67"/>
  <c r="L93" i="67"/>
  <c r="M93" i="67"/>
  <c r="L94" i="67"/>
  <c r="M94" i="67"/>
  <c r="L95" i="67"/>
  <c r="M95" i="67"/>
  <c r="L96" i="67"/>
  <c r="M96" i="67"/>
  <c r="L97" i="67"/>
  <c r="M97" i="67"/>
  <c r="L98" i="67"/>
  <c r="M98" i="67"/>
  <c r="L99" i="67"/>
  <c r="M99" i="67"/>
  <c r="L100" i="67"/>
  <c r="M100" i="67"/>
  <c r="L101" i="67"/>
  <c r="M101" i="67"/>
  <c r="L102" i="67"/>
  <c r="M102" i="67"/>
  <c r="L103" i="67"/>
  <c r="M103" i="67"/>
  <c r="L104" i="67"/>
  <c r="M104" i="67"/>
  <c r="L105" i="67"/>
  <c r="M105" i="67"/>
  <c r="L106" i="67"/>
  <c r="M106" i="67"/>
  <c r="L107" i="67"/>
  <c r="M107" i="67"/>
  <c r="L108" i="67"/>
  <c r="M108" i="67"/>
  <c r="L109" i="67"/>
  <c r="M109" i="67"/>
  <c r="L110" i="67"/>
  <c r="M110" i="67"/>
  <c r="L111" i="67"/>
  <c r="M111" i="67"/>
  <c r="L112" i="67"/>
  <c r="M112" i="67"/>
  <c r="L113" i="67"/>
  <c r="M113" i="67"/>
  <c r="L114" i="67"/>
  <c r="M114" i="67"/>
  <c r="L115" i="67"/>
  <c r="M115" i="67"/>
  <c r="L116" i="67"/>
  <c r="M116" i="67"/>
  <c r="L117" i="67"/>
  <c r="M117" i="67"/>
  <c r="L118" i="67"/>
  <c r="M118" i="67"/>
  <c r="L119" i="67"/>
  <c r="M119" i="67"/>
  <c r="L120" i="67"/>
  <c r="M120" i="67"/>
  <c r="L121" i="67"/>
  <c r="M121" i="67"/>
  <c r="L122" i="67"/>
  <c r="M122" i="67"/>
  <c r="L123" i="67"/>
  <c r="M123" i="67"/>
  <c r="L124" i="67"/>
  <c r="M124" i="67"/>
  <c r="L125" i="67"/>
  <c r="M125" i="67"/>
  <c r="L126" i="67"/>
  <c r="M126" i="67"/>
  <c r="L127" i="67"/>
  <c r="M127" i="67"/>
  <c r="L128" i="67"/>
  <c r="M128" i="67"/>
  <c r="L129" i="67"/>
  <c r="M129" i="67"/>
  <c r="L130" i="67"/>
  <c r="M130" i="67"/>
  <c r="L131" i="67"/>
  <c r="M131" i="67"/>
  <c r="L132" i="67"/>
  <c r="M132" i="67"/>
  <c r="L133" i="67"/>
  <c r="M133" i="67"/>
  <c r="L134" i="67"/>
  <c r="M134" i="67"/>
  <c r="L135" i="67"/>
  <c r="M135" i="67"/>
  <c r="L136" i="67"/>
  <c r="M136" i="67"/>
  <c r="L137" i="67"/>
  <c r="M137" i="67"/>
  <c r="L138" i="67"/>
  <c r="M138" i="67"/>
  <c r="L139" i="67"/>
  <c r="M139" i="67"/>
  <c r="L140" i="67"/>
  <c r="M140" i="67"/>
  <c r="L141" i="67"/>
  <c r="M141" i="67"/>
  <c r="L142" i="67"/>
  <c r="M142" i="67"/>
  <c r="L143" i="67"/>
  <c r="M143" i="67"/>
  <c r="L144" i="67"/>
  <c r="M144" i="67"/>
  <c r="L145" i="67"/>
  <c r="M145" i="67"/>
  <c r="L146" i="67"/>
  <c r="M146" i="67"/>
  <c r="L147" i="67"/>
  <c r="M147" i="67"/>
  <c r="L148" i="67"/>
  <c r="M148" i="67"/>
  <c r="L149" i="67"/>
  <c r="M149" i="67"/>
  <c r="L150" i="67"/>
  <c r="M150" i="67"/>
  <c r="L151" i="67"/>
  <c r="M151" i="67"/>
  <c r="L152" i="67"/>
  <c r="M152" i="67"/>
  <c r="L153" i="67"/>
  <c r="M153" i="67"/>
  <c r="L154" i="67"/>
  <c r="M154" i="67"/>
  <c r="L155" i="67"/>
  <c r="M155" i="67"/>
  <c r="L156" i="67"/>
  <c r="M156" i="67"/>
  <c r="L157" i="67"/>
  <c r="M157" i="67"/>
  <c r="L158" i="67"/>
  <c r="M158" i="67"/>
  <c r="L159" i="67"/>
  <c r="M159" i="67"/>
  <c r="L160" i="67"/>
  <c r="M160" i="67"/>
  <c r="L161" i="67"/>
  <c r="M161" i="67"/>
  <c r="L162" i="67"/>
  <c r="M162" i="67"/>
  <c r="L163" i="67"/>
  <c r="M163" i="67"/>
  <c r="L164" i="67"/>
  <c r="M164" i="67"/>
  <c r="L165" i="67"/>
  <c r="M165" i="67"/>
  <c r="L166" i="67"/>
  <c r="M166" i="67"/>
  <c r="L167" i="67"/>
  <c r="M167" i="67"/>
  <c r="L168" i="67"/>
  <c r="M168" i="67"/>
  <c r="L169" i="67"/>
  <c r="M169" i="67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W9" i="67" s="1"/>
  <c r="AW7" i="67" s="1"/>
  <c r="AL11" i="67"/>
  <c r="AM11" i="67" s="1"/>
  <c r="AD11" i="67"/>
  <c r="AE11" i="67" s="1"/>
  <c r="T11" i="67"/>
  <c r="U11" i="67" s="1"/>
  <c r="L11" i="67"/>
  <c r="M11" i="67" s="1"/>
  <c r="M9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/>
  <c r="M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M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M3" i="67"/>
  <c r="I3" i="67"/>
  <c r="K3" i="67" s="1"/>
  <c r="A5" i="63" a="1"/>
  <c r="A5" i="63" l="1"/>
  <c r="BE9" i="67"/>
  <c r="AW3" i="67"/>
  <c r="AW5" i="67"/>
  <c r="AM9" i="67"/>
  <c r="AE9" i="67"/>
  <c r="AC3" i="67"/>
  <c r="AA6" i="67" s="1"/>
  <c r="A13" i="67" s="1"/>
  <c r="U9" i="67"/>
  <c r="O2" i="67"/>
  <c r="G2" i="67"/>
  <c r="I6" i="67"/>
  <c r="AS6" i="67"/>
  <c r="A15" i="67" s="1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Y4" i="67"/>
  <c r="AQ4" i="67"/>
  <c r="AY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 s="1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 s="1"/>
  <c r="AV227" i="66"/>
  <c r="AW227" i="66"/>
  <c r="AV228" i="66"/>
  <c r="AW228" i="66"/>
  <c r="AV229" i="66"/>
  <c r="AW229" i="66"/>
  <c r="AV230" i="66"/>
  <c r="AW230" i="66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 s="1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 s="1"/>
  <c r="T220" i="66"/>
  <c r="U220" i="66"/>
  <c r="T221" i="66"/>
  <c r="U221" i="66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 s="1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 s="1"/>
  <c r="L217" i="66"/>
  <c r="M217" i="66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Y2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Q2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U3" i="66"/>
  <c r="AS3" i="66"/>
  <c r="AI3" i="66"/>
  <c r="AA3" i="66"/>
  <c r="AC3" i="66" s="1"/>
  <c r="Q3" i="66"/>
  <c r="I3" i="66"/>
  <c r="A4" i="63" a="1"/>
  <c r="BE7" i="67" l="1"/>
  <c r="BE5" i="67"/>
  <c r="BE3" i="67"/>
  <c r="AM7" i="67"/>
  <c r="AM3" i="67"/>
  <c r="AM5" i="67"/>
  <c r="AG4" i="67"/>
  <c r="AE7" i="67"/>
  <c r="AE3" i="67"/>
  <c r="AE5" i="67"/>
  <c r="U7" i="67"/>
  <c r="U5" i="67"/>
  <c r="U3" i="67"/>
  <c r="A20" i="67"/>
  <c r="CN4" i="67"/>
  <c r="A16" i="67"/>
  <c r="BD4" i="67"/>
  <c r="A12" i="67"/>
  <c r="T4" i="67"/>
  <c r="A22" i="67"/>
  <c r="DF4" i="67"/>
  <c r="A18" i="67"/>
  <c r="BV4" i="67"/>
  <c r="A14" i="67"/>
  <c r="AL4" i="67"/>
  <c r="CF4" i="67"/>
  <c r="CF2" i="67" s="1"/>
  <c r="BN4" i="67"/>
  <c r="AD4" i="67"/>
  <c r="AV4" i="67"/>
  <c r="A11" i="67"/>
  <c r="L4" i="67"/>
  <c r="CX4" i="67"/>
  <c r="A4" i="63"/>
  <c r="BE9" i="66"/>
  <c r="BE5" i="66" s="1"/>
  <c r="AW9" i="66"/>
  <c r="AS6" i="66"/>
  <c r="AW3" i="66"/>
  <c r="AM9" i="66"/>
  <c r="AE9" i="66"/>
  <c r="AA6" i="66"/>
  <c r="U9" i="66"/>
  <c r="M9" i="66"/>
  <c r="M5" i="66" s="1"/>
  <c r="G2" i="66"/>
  <c r="K3" i="66"/>
  <c r="I6" i="66" s="1"/>
  <c r="A11" i="66" s="1"/>
  <c r="A15" i="66"/>
  <c r="A13" i="66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I6" i="66" s="1"/>
  <c r="BC3" i="66"/>
  <c r="BA6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 s="1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 s="1"/>
  <c r="AV233" i="65"/>
  <c r="AW233" i="65"/>
  <c r="AV234" i="65"/>
  <c r="AW234" i="65"/>
  <c r="AV235" i="65"/>
  <c r="AW235" i="65"/>
  <c r="AV236" i="65"/>
  <c r="AW236" i="65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 s="1"/>
  <c r="AL223" i="65"/>
  <c r="AM223" i="65"/>
  <c r="AL224" i="65"/>
  <c r="AM224" i="65"/>
  <c r="AL225" i="65"/>
  <c r="AM225" i="65"/>
  <c r="AL226" i="65"/>
  <c r="AM226" i="65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 s="1"/>
  <c r="AD215" i="65"/>
  <c r="AE215" i="65"/>
  <c r="AD216" i="65"/>
  <c r="AE216" i="65"/>
  <c r="AD217" i="65"/>
  <c r="AE217" i="65"/>
  <c r="AD218" i="65"/>
  <c r="AE218" i="65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 s="1"/>
  <c r="T203" i="65"/>
  <c r="U203" i="65"/>
  <c r="T204" i="65"/>
  <c r="U204" i="65"/>
  <c r="T205" i="65"/>
  <c r="U205" i="65"/>
  <c r="T206" i="65"/>
  <c r="U206" i="65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 s="1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E5" i="63"/>
  <c r="J5" i="63"/>
  <c r="C11" i="67" l="1"/>
  <c r="L2" i="67"/>
  <c r="C15" i="67"/>
  <c r="AV2" i="67"/>
  <c r="C17" i="67"/>
  <c r="C19" i="67"/>
  <c r="BN2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21" i="67"/>
  <c r="CX2" i="67"/>
  <c r="C13" i="67"/>
  <c r="AD2" i="67"/>
  <c r="D19" i="67"/>
  <c r="CC9" i="67"/>
  <c r="E19" i="67" s="1"/>
  <c r="BE7" i="66"/>
  <c r="BE3" i="66"/>
  <c r="AW7" i="66"/>
  <c r="AW5" i="66"/>
  <c r="AM7" i="66"/>
  <c r="AM5" i="66"/>
  <c r="AM3" i="66"/>
  <c r="AE7" i="66"/>
  <c r="AE5" i="66"/>
  <c r="AE3" i="66"/>
  <c r="U7" i="66"/>
  <c r="U5" i="66"/>
  <c r="U3" i="66"/>
  <c r="G4" i="66"/>
  <c r="M7" i="66"/>
  <c r="M3" i="66"/>
  <c r="A16" i="66"/>
  <c r="A12" i="66"/>
  <c r="EP4" i="66"/>
  <c r="EP2" i="66" s="1"/>
  <c r="A14" i="66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AG4" i="66"/>
  <c r="CX4" i="66"/>
  <c r="BN4" i="66"/>
  <c r="CF4" i="66"/>
  <c r="CF2" i="66" s="1"/>
  <c r="AV4" i="66"/>
  <c r="L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J4" i="63"/>
  <c r="E4" i="63"/>
  <c r="D15" i="67" l="1"/>
  <c r="AS9" i="67"/>
  <c r="E15" i="67" s="1"/>
  <c r="D11" i="67"/>
  <c r="I9" i="67"/>
  <c r="E11" i="67" s="1"/>
  <c r="D13" i="67"/>
  <c r="AA9" i="67"/>
  <c r="E13" i="67" s="1"/>
  <c r="D21" i="67"/>
  <c r="CU9" i="67"/>
  <c r="E21" i="67" s="1"/>
  <c r="D17" i="67"/>
  <c r="BK9" i="67"/>
  <c r="E17" i="67" s="1"/>
  <c r="C20" i="66"/>
  <c r="CN2" i="66"/>
  <c r="D20" i="66" s="1"/>
  <c r="C15" i="66"/>
  <c r="AV2" i="66"/>
  <c r="C17" i="66"/>
  <c r="C19" i="66"/>
  <c r="BN2" i="66"/>
  <c r="C13" i="66"/>
  <c r="AD2" i="66"/>
  <c r="C18" i="66"/>
  <c r="BV2" i="66"/>
  <c r="D18" i="66" s="1"/>
  <c r="T4" i="66"/>
  <c r="BD4" i="66"/>
  <c r="C11" i="66"/>
  <c r="L2" i="66"/>
  <c r="D19" i="66"/>
  <c r="CC9" i="66"/>
  <c r="E19" i="66" s="1"/>
  <c r="C21" i="66"/>
  <c r="CX2" i="66"/>
  <c r="C22" i="66"/>
  <c r="DF2" i="66"/>
  <c r="D22" i="66" s="1"/>
  <c r="AL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L4" i="63"/>
  <c r="I4" i="63"/>
  <c r="D4" i="63"/>
  <c r="H4" i="63"/>
  <c r="C4" i="63"/>
  <c r="B4" i="63"/>
  <c r="A3" i="63" a="1"/>
  <c r="C14" i="66" l="1"/>
  <c r="AL2" i="66"/>
  <c r="D14" i="66" s="1"/>
  <c r="C12" i="66"/>
  <c r="T2" i="66"/>
  <c r="D12" i="66" s="1"/>
  <c r="D15" i="66"/>
  <c r="D21" i="66"/>
  <c r="CU9" i="66"/>
  <c r="E21" i="66" s="1"/>
  <c r="D11" i="66"/>
  <c r="I9" i="66"/>
  <c r="E11" i="66" s="1"/>
  <c r="C16" i="66"/>
  <c r="BD2" i="66"/>
  <c r="D16" i="66" s="1"/>
  <c r="D13" i="66"/>
  <c r="AA9" i="66"/>
  <c r="E13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BA6" i="65"/>
  <c r="A16" i="65" s="1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T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16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E2" i="63"/>
  <c r="J2" i="63"/>
  <c r="J3" i="63"/>
  <c r="G3" i="63"/>
  <c r="H3" i="63"/>
  <c r="I2" i="63"/>
  <c r="D2" i="63"/>
  <c r="L2" i="63"/>
  <c r="L3" i="63"/>
  <c r="C3" i="63"/>
  <c r="I3" i="63"/>
  <c r="G2" i="63"/>
  <c r="H2" i="63"/>
  <c r="C2" i="63"/>
  <c r="B2" i="63"/>
  <c r="B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<sst xmlns="http://schemas.openxmlformats.org/spreadsheetml/2006/main" count="1648" uniqueCount="46">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</sst>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B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7052.7765326088202</v>
      </c>
      <c r="H2" s="2"/>
      <c r="I2" s="6" t="s">
        <v>12</v>
      </c>
      <c r="J2" s="2"/>
      <c r="K2" s="7" t="s">
        <v>13</v>
      </c>
      <c r="L2" s="3">
        <f>L4*I6*L9/100*100</f>
        <v>23.017346864197528</v>
      </c>
      <c r="M2" s="8" t="s">
        <v>14</v>
      </c>
      <c r="N2" s="9"/>
      <c r="O2" s="2">
        <f>ABS(S7-S6)/ABS(T7-T6)*1000</f>
        <v>683.62831475445728</v>
      </c>
      <c r="P2" s="2"/>
      <c r="Q2" s="6" t="s">
        <v>15</v>
      </c>
      <c r="R2" s="2"/>
      <c r="S2" s="7" t="s">
        <v>13</v>
      </c>
      <c r="T2" s="3">
        <f>T4*Q6*T9/100*100</f>
        <v>21.970400493827153</v>
      </c>
      <c r="U2" s="8" t="s">
        <v>14</v>
      </c>
      <c r="X2" s="9"/>
      <c r="Y2" s="2">
        <f>ABS(AC7-AC6)/ABS(AD7-AD6)*1000</f>
        <v>1999.8262622951886</v>
      </c>
      <c r="Z2" s="2"/>
      <c r="AA2" s="6" t="s">
        <v>12</v>
      </c>
      <c r="AB2" s="2"/>
      <c r="AC2" s="7" t="s">
        <v>13</v>
      </c>
      <c r="AD2" s="3">
        <f>AD4*AA6*AD9/100*100</f>
        <v>22.802602044444441</v>
      </c>
      <c r="AE2" s="8" t="s">
        <v>14</v>
      </c>
      <c r="AF2" s="9"/>
      <c r="AG2" s="2">
        <f>ABS(AK7-AK6)/ABS(AL7-AL6)*1000</f>
        <v>691.73296229479251</v>
      </c>
      <c r="AH2" s="2"/>
      <c r="AI2" s="6" t="s">
        <v>15</v>
      </c>
      <c r="AJ2" s="2"/>
      <c r="AK2" s="7" t="s">
        <v>13</v>
      </c>
      <c r="AL2" s="3">
        <f>AL4*AI6*AL9/100*100</f>
        <v>22.092471271604936</v>
      </c>
      <c r="AM2" s="8" t="s">
        <v>14</v>
      </c>
      <c r="AP2" s="9"/>
      <c r="AQ2" s="2">
        <f>ABS(AU7-AU6)/ABS(AV7-AV6)*1000</f>
        <v>6703.3754262298662</v>
      </c>
      <c r="AR2" s="2"/>
      <c r="AS2" s="6" t="s">
        <v>12</v>
      </c>
      <c r="AT2" s="2"/>
      <c r="AU2" s="7" t="s">
        <v>13</v>
      </c>
      <c r="AV2" s="3">
        <f>AV4*AS6*AV9/100*100</f>
        <v>23.050131866666664</v>
      </c>
      <c r="AW2" s="8" t="s">
        <v>14</v>
      </c>
      <c r="AX2" s="9"/>
      <c r="AY2" s="2">
        <f>ABS(BC7-BC6)/ABS(BD7-BD6)*1000</f>
        <v>1366.9751700002234</v>
      </c>
      <c r="AZ2" s="2"/>
      <c r="BA2" s="6" t="s">
        <v>15</v>
      </c>
      <c r="BB2" s="2"/>
      <c r="BC2" s="7" t="s">
        <v>13</v>
      </c>
      <c r="BD2" s="3">
        <f>BD4*BA6*BD9/100*100</f>
        <v>21.983660197530863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1.74377</v>
      </c>
      <c r="J3" s="2"/>
      <c r="K3" s="10">
        <f>INDEX(L11:L1056,MATCH(I3,K11:K1056,0))</f>
        <v>-0.30698395061728395</v>
      </c>
      <c r="L3" s="31" t="s">
        <v>16</v>
      </c>
      <c r="M3" s="11">
        <f>M9</f>
        <v>23.017346864197531</v>
      </c>
      <c r="N3" s="9"/>
      <c r="O3" s="2" t="s">
        <v>44</v>
      </c>
      <c r="P3" s="2"/>
      <c r="Q3" s="2">
        <f>INDEX(S11:S1056,MATCH(0,T11:T1056,-1))</f>
        <v>1.73248</v>
      </c>
      <c r="R3" s="2"/>
      <c r="S3" s="10">
        <f>INDEX(T11:T1056,MATCH(Q3,S11:S1056,0))</f>
        <v>0.37751358024691356</v>
      </c>
      <c r="T3" s="31" t="s">
        <v>16</v>
      </c>
      <c r="U3" s="11">
        <f>U9</f>
        <v>21.970400493827157</v>
      </c>
      <c r="X3" s="9"/>
      <c r="Y3" s="2" t="s">
        <v>44</v>
      </c>
      <c r="Z3" s="2"/>
      <c r="AA3" s="2">
        <f>INDEX(AC11:AC856,MATCH(0,AD11:AD856,1))</f>
        <v>1.7392000000000001</v>
      </c>
      <c r="AB3" s="2"/>
      <c r="AC3" s="10">
        <f>INDEX(AD11:AD1056,MATCH(AA3,AC11:AC1056,0))</f>
        <v>-1.8988765432098764E-2</v>
      </c>
      <c r="AD3" s="31" t="s">
        <v>16</v>
      </c>
      <c r="AE3" s="11">
        <f>AE9</f>
        <v>22.802602044444445</v>
      </c>
      <c r="AF3" s="9"/>
      <c r="AG3" s="2" t="s">
        <v>44</v>
      </c>
      <c r="AH3" s="2"/>
      <c r="AI3" s="2">
        <f>INDEX(AK11:AK1056,MATCH(0,AL11:AL1056,-1))</f>
        <v>1.73187</v>
      </c>
      <c r="AJ3" s="2"/>
      <c r="AK3" s="10">
        <f>INDEX(AL11:AL1056,MATCH(AI3,AK11:AK1056,0))</f>
        <v>0.21901111111111107</v>
      </c>
      <c r="AL3" s="31" t="s">
        <v>16</v>
      </c>
      <c r="AM3" s="11">
        <f>AM9</f>
        <v>22.092471271604936</v>
      </c>
      <c r="AP3" s="9"/>
      <c r="AQ3" s="2" t="s">
        <v>44</v>
      </c>
      <c r="AR3" s="2"/>
      <c r="AS3" s="2">
        <f>INDEX(AU11:AU856,MATCH(0,AV11:AV856,1))</f>
        <v>1.7392000000000001</v>
      </c>
      <c r="AT3" s="2"/>
      <c r="AU3" s="10">
        <f>INDEX(AV11:AV1056,MATCH(AS3,AU11:AU1056,0))</f>
        <v>-0.41417283950617279</v>
      </c>
      <c r="AV3" s="31" t="s">
        <v>16</v>
      </c>
      <c r="AW3" s="11">
        <f>AW9</f>
        <v>23.050131866666664</v>
      </c>
      <c r="AX3" s="9"/>
      <c r="AY3" s="2" t="s">
        <v>44</v>
      </c>
      <c r="AZ3" s="2"/>
      <c r="BA3" s="2">
        <f>INDEX(BC11:BC1056,MATCH(0,BD11:BD1056,-1))</f>
        <v>1.72699</v>
      </c>
      <c r="BB3" s="2"/>
      <c r="BC3" s="10">
        <f>INDEX(BD11:BD1056,MATCH(BA3,BC11:BC1056,0))</f>
        <v>0.64915802469135808</v>
      </c>
      <c r="BD3" s="31" t="s">
        <v>16</v>
      </c>
      <c r="BE3" s="11">
        <f>BE9</f>
        <v>21.983660197530863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5.0087680841735684</v>
      </c>
      <c r="H4" s="2"/>
      <c r="I4" s="2">
        <f>INDEX(K11:K1000,1+MATCH(0,L11:L856,1))</f>
        <v>1.7392000000000001</v>
      </c>
      <c r="J4" s="2"/>
      <c r="K4" s="10">
        <f>INDEX(L11:L1056,MATCH(I4,K11:K1056,0))</f>
        <v>0.60541604938271598</v>
      </c>
      <c r="L4" s="30">
        <f>M3/(I6*L9)</f>
        <v>0.75266337048139265</v>
      </c>
      <c r="M4" s="8" t="s">
        <v>17</v>
      </c>
      <c r="N4" s="9"/>
      <c r="O4" s="2">
        <f>ABS(Q3-Q4)/ABS(S3-S4)*1000</f>
        <v>5.0953647819769889</v>
      </c>
      <c r="P4" s="2"/>
      <c r="Q4" s="2">
        <f>INDEX(S11:S856,1+MATCH(0,T11:T856,-1))</f>
        <v>1.73645</v>
      </c>
      <c r="R4" s="2"/>
      <c r="S4" s="10">
        <f>INDEX(T11:T856,MATCH(Q4,S11:S856,0))</f>
        <v>-0.40162592592592589</v>
      </c>
      <c r="T4" s="30">
        <f>U3/(Q6*T9)</f>
        <v>0.71792005148835369</v>
      </c>
      <c r="U4" s="8" t="s">
        <v>17</v>
      </c>
      <c r="X4" s="9"/>
      <c r="Y4" s="2">
        <f>ABS(AA3-AA4)/ABS(AC3-AC4)*1000</f>
        <v>6.8555241752251197</v>
      </c>
      <c r="Z4" s="2"/>
      <c r="AA4" s="2">
        <f>INDEX(AC11:AC1000,1+MATCH(0,AD11:AD856,1))</f>
        <v>1.7337</v>
      </c>
      <c r="AB4" s="2"/>
      <c r="AC4" s="10">
        <f>INDEX(AD11:AD1056,MATCH(AA4,AC11:AC1056,0))</f>
        <v>0.78328395061728384</v>
      </c>
      <c r="AD4" s="30">
        <f>AE3/(AA6*AD9)</f>
        <v>0.74490968158013782</v>
      </c>
      <c r="AE4" s="8" t="s">
        <v>17</v>
      </c>
      <c r="AF4" s="9"/>
      <c r="AG4" s="2">
        <f>ABS(AI3-AI4)/ABS(AK3-AK4)*1000</f>
        <v>6.0067727831280884</v>
      </c>
      <c r="AH4" s="2"/>
      <c r="AI4" s="2">
        <f>INDEX(AK11:AK856,1+MATCH(0,AL11:AL856,-1))</f>
        <v>1.73706</v>
      </c>
      <c r="AJ4" s="2"/>
      <c r="AK4" s="10">
        <f>INDEX(AL11:AL856,MATCH(AI4,AK11:AK856,0))</f>
        <v>-0.64501358024691346</v>
      </c>
      <c r="AL4" s="30">
        <f>AM3/(AI6*AL9)</f>
        <v>0.72303948395670525</v>
      </c>
      <c r="AM4" s="8" t="s">
        <v>17</v>
      </c>
      <c r="AP4" s="9"/>
      <c r="AQ4" s="2">
        <f>ABS(AS3-AS4)/ABS(AU3-AU4)*1000</f>
        <v>5.854008517549607</v>
      </c>
      <c r="AR4" s="2"/>
      <c r="AS4" s="2">
        <f>INDEX(AU11:AU1000,1+MATCH(0,AV11:AV856,1))</f>
        <v>1.7337</v>
      </c>
      <c r="AT4" s="2"/>
      <c r="AU4" s="10">
        <f>INDEX(AV11:AV1056,MATCH(AS4,AU11:AU1056,0))</f>
        <v>0.52535432098765422</v>
      </c>
      <c r="AV4" s="30">
        <f>AW3/(AS6*AV9)</f>
        <v>0.75222988258233403</v>
      </c>
      <c r="AW4" s="8" t="s">
        <v>17</v>
      </c>
      <c r="AX4" s="9"/>
      <c r="AY4" s="2">
        <f>ABS(BA3-BA4)/ABS(BC3-BC4)*1000</f>
        <v>6.4048521843141657</v>
      </c>
      <c r="AZ4" s="2"/>
      <c r="BA4" s="2">
        <f>INDEX(BC11:BC856,1+MATCH(0,BD11:BD856,-1))</f>
        <v>1.73187</v>
      </c>
      <c r="BB4" s="2"/>
      <c r="BC4" s="10">
        <f>INDEX(BD11:BD856,MATCH(BA4,BC11:BC856,0))</f>
        <v>-0.11276432098765431</v>
      </c>
      <c r="BD4" s="30">
        <f>BE3/(BA6*BD9)</f>
        <v>0.71880425627698386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15.575308641975308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15.141975308641973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15.273827160493827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15.017654320987653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15.439629629629628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14.995061728395061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1.7422323885857947</v>
      </c>
      <c r="J6" s="30"/>
      <c r="K6" s="13">
        <f>INDEX(K11:K1056,MATCH(L6,L11:L1056,0))</f>
        <v>2.3223900000000001E-3</v>
      </c>
      <c r="L6" s="10">
        <f>INDEX(L11:L1056,MATCH(0,K11:K1056,-1))</f>
        <v>17.553209876543207</v>
      </c>
      <c r="M6" s="8" t="s">
        <v>22</v>
      </c>
      <c r="N6" s="9"/>
      <c r="O6" s="2"/>
      <c r="P6" s="2"/>
      <c r="Q6" s="36">
        <f>(Q3-Q4)/(S3-S4)*(-S4)+Q4</f>
        <v>1.7344035694015081</v>
      </c>
      <c r="R6" s="36"/>
      <c r="S6" s="13">
        <f>INDEX(S11:S1056,MATCH(T6,T11:T1056,0))</f>
        <v>-4.5379599999999997E-3</v>
      </c>
      <c r="T6" s="10">
        <f>INDEX(T11:T1056,MATCH(0,S11:S1056,1))</f>
        <v>17.651234567901231</v>
      </c>
      <c r="U6" s="8" t="s">
        <v>22</v>
      </c>
      <c r="X6" s="9"/>
      <c r="Y6" s="2"/>
      <c r="Z6" s="2"/>
      <c r="AA6" s="30">
        <f>(AA3-AA4)/(AC3-AC4)*(-AC4)+AA4</f>
        <v>1.7390698220595227</v>
      </c>
      <c r="AB6" s="30"/>
      <c r="AC6" s="13">
        <f>INDEX(AC11:AC1056,MATCH(AD6,AD11:AD1056,0))</f>
        <v>7.1044899999999998E-3</v>
      </c>
      <c r="AD6" s="10">
        <f>INDEX(AD11:AD1056,MATCH(0,AC11:AC1056,-1))</f>
        <v>17.598518518518517</v>
      </c>
      <c r="AE6" s="8" t="s">
        <v>22</v>
      </c>
      <c r="AF6" s="9"/>
      <c r="AG6" s="2"/>
      <c r="AH6" s="2"/>
      <c r="AI6" s="36">
        <f>(AI3-AI4)/(AK3-AK4)*(-AK4)+AI4</f>
        <v>1.7331855499814248</v>
      </c>
      <c r="AJ6" s="36"/>
      <c r="AK6" s="13">
        <f>INDEX(AK11:AK1056,MATCH(AL6,AL11:AL1056,0))</f>
        <v>-4.6936E-3</v>
      </c>
      <c r="AL6" s="10">
        <f>INDEX(AL11:AL1056,MATCH(0,AK11:AK1056,1))</f>
        <v>17.636172839506173</v>
      </c>
      <c r="AM6" s="8" t="s">
        <v>22</v>
      </c>
      <c r="AP6" s="9"/>
      <c r="AQ6" s="2"/>
      <c r="AR6" s="2"/>
      <c r="AS6" s="30">
        <f>(AS3-AS4)/(AU3-AU4)*(-AU4)+AS4</f>
        <v>1.7367754286697932</v>
      </c>
      <c r="AT6" s="30"/>
      <c r="AU6" s="13">
        <f>INDEX(AU11:AU1056,MATCH(AV6,AV11:AV1056,0))</f>
        <v>4.7598300000000003E-2</v>
      </c>
      <c r="AV6" s="10">
        <f>INDEX(AV11:AV1056,MATCH(0,AU11:AU1056,-1))</f>
        <v>17.636172839506173</v>
      </c>
      <c r="AW6" s="8" t="s">
        <v>22</v>
      </c>
      <c r="AX6" s="9"/>
      <c r="AY6" s="2"/>
      <c r="AZ6" s="2"/>
      <c r="BA6" s="36">
        <f>(BA3-BA4)/(BC3-BC4)*(-BC4)+BA4</f>
        <v>1.7311477611924095</v>
      </c>
      <c r="BB6" s="36"/>
      <c r="BC6" s="13">
        <f>INDEX(BC11:BC1056,MATCH(BD6,BD11:BD1056,0))</f>
        <v>-4.5227100000000001E-3</v>
      </c>
      <c r="BD6" s="10">
        <f>INDEX(BD11:BD1056,MATCH(0,BC11:BC1056,1))</f>
        <v>17.669999999999998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8.2428000000000001E-2</v>
      </c>
      <c r="L7" s="10">
        <f>INDEX(L11:L856,1+MATCH(0,K11:K856,-1))</f>
        <v>17.564567901234565</v>
      </c>
      <c r="M7" s="12">
        <f>INDEX(K11:K1056,MATCH(M9,M11:M1056,0))</f>
        <v>1.47675</v>
      </c>
      <c r="N7" s="9"/>
      <c r="O7" s="2"/>
      <c r="P7" s="2"/>
      <c r="Q7" s="2"/>
      <c r="R7" s="2"/>
      <c r="S7" s="13">
        <f>INDEX(S11:S1056,MATCH(T7,T11:T1056,0))</f>
        <v>6.1035199999999999E-4</v>
      </c>
      <c r="T7" s="10">
        <f>INDEX(T11:T1056,1+MATCH(0,S11:S1056,1))</f>
        <v>17.643703703703704</v>
      </c>
      <c r="U7" s="12">
        <f>INDEX(S11:S1056,MATCH(U9,U11:U1056,0))</f>
        <v>1.4504999999999999</v>
      </c>
      <c r="X7" s="9"/>
      <c r="Y7" s="2"/>
      <c r="Z7" s="2"/>
      <c r="AA7" s="2"/>
      <c r="AB7" s="2"/>
      <c r="AC7" s="13">
        <f>INDEX(AC11:AC856,MATCH(AD7,AD11:AD856,1))</f>
        <v>-7.9559299999999999E-3</v>
      </c>
      <c r="AD7" s="10">
        <f>INDEX(AD11:AD856,1+MATCH(0,AC11:AC856,-1))</f>
        <v>17.606049382716048</v>
      </c>
      <c r="AE7" s="12">
        <f>INDEX(AC11:AC1056,MATCH(AE9,AE11:AE1056,0))</f>
        <v>1.492</v>
      </c>
      <c r="AF7" s="9"/>
      <c r="AG7" s="2"/>
      <c r="AH7" s="2"/>
      <c r="AI7" s="2"/>
      <c r="AJ7" s="2"/>
      <c r="AK7" s="13">
        <f>INDEX(AK11:AK1056,MATCH(AL7,AL11:AL1056,0))</f>
        <v>5.1574699999999999E-4</v>
      </c>
      <c r="AL7" s="10">
        <f>INDEX(AL11:AL1056,1+MATCH(0,AK11:AK1056,1))</f>
        <v>17.628641975308639</v>
      </c>
      <c r="AM7" s="12">
        <f>INDEX(AK11:AK1056,MATCH(AM9,AM11:AM1056,0))</f>
        <v>1.4700299999999999</v>
      </c>
      <c r="AP7" s="9"/>
      <c r="AQ7" s="2"/>
      <c r="AR7" s="2"/>
      <c r="AS7" s="2"/>
      <c r="AT7" s="2"/>
      <c r="AU7" s="13">
        <f>INDEX(AU11:AU856,MATCH(AV7,AV11:AV856,1))</f>
        <v>-2.8839099999999999E-3</v>
      </c>
      <c r="AV7" s="10">
        <f>INDEX(AV11:AV856,1+MATCH(0,AU11:AU856,-1))</f>
        <v>17.643703703703704</v>
      </c>
      <c r="AW7" s="12">
        <f>INDEX(AU11:AU1056,MATCH(AW9,AW11:AW1056,0))</f>
        <v>1.49139</v>
      </c>
      <c r="AX7" s="9"/>
      <c r="AY7" s="2"/>
      <c r="AZ7" s="2"/>
      <c r="BA7" s="2"/>
      <c r="BB7" s="2"/>
      <c r="BC7" s="13">
        <f>INDEX(BC11:BC1056,MATCH(BD7,BD11:BD1056,0))</f>
        <v>5.4016100000000005E-4</v>
      </c>
      <c r="BD7" s="10">
        <f>INDEX(BD11:BD1056,1+MATCH(0,BC11:BC1056,1))</f>
        <v>17.666296296296295</v>
      </c>
      <c r="BE7" s="12">
        <f>INDEX(BC11:BC1056,MATCH(BE9,BE11:BE1056,0))</f>
        <v>1.4648399999999999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4.5485102020982868</v>
      </c>
      <c r="J9" s="2"/>
      <c r="K9" s="2"/>
      <c r="L9" s="3">
        <f>(L6-L7)/(K6-K7)*(-K7)+L7</f>
        <v>17.552880589206616</v>
      </c>
      <c r="M9" s="16">
        <f>MAX(M11:M1056)</f>
        <v>23.017346864197531</v>
      </c>
      <c r="N9" s="9"/>
      <c r="O9" s="2"/>
      <c r="P9" s="2"/>
      <c r="Q9" s="2"/>
      <c r="R9" s="2"/>
      <c r="S9" s="2"/>
      <c r="T9" s="3">
        <f>(T6-T7)/(S6-S7)*(-S7)+T7</f>
        <v>17.644596516343011</v>
      </c>
      <c r="U9" s="16">
        <f>MAX(U11:U1056)</f>
        <v>21.970400493827157</v>
      </c>
      <c r="X9" s="9"/>
      <c r="Y9" s="2"/>
      <c r="Z9" s="2"/>
      <c r="AA9" s="15">
        <f>(MAX(AD2,AL2)-MIN(AD2,AL2))/MAX(AD2,AL2)%</f>
        <v>3.1142532394127351</v>
      </c>
      <c r="AB9" s="2"/>
      <c r="AC9" s="2"/>
      <c r="AD9" s="3">
        <f>(AD6-AD7)/(AC6-AC7)*(-AC7)+AD7</f>
        <v>17.602071072124772</v>
      </c>
      <c r="AE9" s="16">
        <f>MAX(AE11:AE1056)</f>
        <v>22.802602044444445</v>
      </c>
      <c r="AF9" s="9"/>
      <c r="AG9" s="2"/>
      <c r="AH9" s="2"/>
      <c r="AI9" s="2"/>
      <c r="AJ9" s="2"/>
      <c r="AK9" s="2"/>
      <c r="AL9" s="3">
        <f>(AL6-AL7)/(AK6-AK7)*(-AK7)+AL7</f>
        <v>17.629387562158062</v>
      </c>
      <c r="AM9" s="16">
        <f>MAX(AM11:AM1056)</f>
        <v>22.092471271604936</v>
      </c>
      <c r="AP9" s="9"/>
      <c r="AQ9" s="2"/>
      <c r="AR9" s="2"/>
      <c r="AS9" s="15">
        <f>(MAX(AV2,BD2)-MIN(AV2,BD2))/MAX(AV2,BD2)%</f>
        <v>4.6267486680978624</v>
      </c>
      <c r="AT9" s="2"/>
      <c r="AU9" s="2"/>
      <c r="AV9" s="3">
        <f>(AV6-AV7)/(AU6-AU7)*(-AU7)+AV7</f>
        <v>17.643273486116797</v>
      </c>
      <c r="AW9" s="16">
        <f>MAX(AW11:AW1056)</f>
        <v>23.050131866666664</v>
      </c>
      <c r="AX9" s="9"/>
      <c r="AY9" s="2"/>
      <c r="AZ9" s="2"/>
      <c r="BA9" s="2"/>
      <c r="BB9" s="2"/>
      <c r="BC9" s="2"/>
      <c r="BD9" s="3">
        <f>(BD6-BD7)/(BC6-BC7)*(-BC7)+BD7</f>
        <v>17.66669144685342</v>
      </c>
      <c r="BE9" s="16">
        <f>MAX(BE11:BE1056)</f>
        <v>21.983660197530863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1.7422323885857947</v>
      </c>
      <c r="B11" s="19">
        <f>IFERROR(L9,0)</f>
        <v>17.552880589206616</v>
      </c>
      <c r="C11" s="20">
        <f>IFERROR(L4,0)</f>
        <v>0.75266337048139265</v>
      </c>
      <c r="D11" s="21">
        <f>IFERROR(L2,0)</f>
        <v>23.017346864197528</v>
      </c>
      <c r="E11" s="21">
        <f>IFERROR(I9,0)</f>
        <v>4.5485102020982868</v>
      </c>
      <c r="F11" s="9"/>
      <c r="G11" s="22">
        <v>1.7748999999999999</v>
      </c>
      <c r="H11" s="22">
        <v>5.2544000000000004</v>
      </c>
      <c r="I11" s="22">
        <v>5.0353999999999998E-3</v>
      </c>
      <c r="J11" s="22">
        <v>1</v>
      </c>
      <c r="K11" s="22">
        <v>1.7736799999999999</v>
      </c>
      <c r="L11">
        <f>-I11/$F$2*1000</f>
        <v>-6.2165432098765425</v>
      </c>
      <c r="M11">
        <f>L11*G11</f>
        <v>-11.033742543209875</v>
      </c>
      <c r="N11" s="9"/>
      <c r="O11" s="22">
        <v>-9.49097E-2</v>
      </c>
      <c r="P11" s="22">
        <v>9.0333000000000006</v>
      </c>
      <c r="Q11" s="22">
        <v>-1.43524E-2</v>
      </c>
      <c r="R11" s="22">
        <v>1</v>
      </c>
      <c r="S11" s="22">
        <v>-9.5336900000000002E-2</v>
      </c>
      <c r="T11">
        <f>-Q11/$F$2*1000</f>
        <v>17.719012345679008</v>
      </c>
      <c r="U11">
        <f>T11*O11</f>
        <v>-1.6817061460246909</v>
      </c>
      <c r="V11" s="23"/>
      <c r="W11" s="24"/>
      <c r="X11" s="9"/>
      <c r="Y11" s="22">
        <v>1.7748999999999999</v>
      </c>
      <c r="Z11" s="22">
        <v>14.505599999999999</v>
      </c>
      <c r="AA11" s="22">
        <v>4.8818999999999998E-3</v>
      </c>
      <c r="AB11" s="22">
        <v>1</v>
      </c>
      <c r="AC11" s="22">
        <v>1.77399</v>
      </c>
      <c r="AD11">
        <f>-AA11/$F$2*1000</f>
        <v>-6.0270370370370365</v>
      </c>
      <c r="AE11">
        <f>AD11*Y11</f>
        <v>-10.697388037037035</v>
      </c>
      <c r="AF11" s="9"/>
      <c r="AG11" s="22">
        <v>-9.49097E-2</v>
      </c>
      <c r="AH11" s="22">
        <v>18.284500000000001</v>
      </c>
      <c r="AI11" s="22">
        <v>-1.43524E-2</v>
      </c>
      <c r="AJ11" s="22">
        <v>1</v>
      </c>
      <c r="AK11" s="22">
        <v>-9.5489500000000005E-2</v>
      </c>
      <c r="AL11">
        <f>-AI11/$F$2*1000</f>
        <v>17.719012345679008</v>
      </c>
      <c r="AM11">
        <f>AL11*AG11</f>
        <v>-1.6817061460246909</v>
      </c>
      <c r="AP11" s="9"/>
      <c r="AQ11" s="22">
        <v>1.7748999999999999</v>
      </c>
      <c r="AR11" s="22">
        <v>23.726800000000001</v>
      </c>
      <c r="AS11" s="22">
        <v>6.0730000000000003E-3</v>
      </c>
      <c r="AT11" s="22">
        <v>1</v>
      </c>
      <c r="AU11" s="22">
        <v>1.7742899999999999</v>
      </c>
      <c r="AV11">
        <f>-AS11/$F$2*1000</f>
        <v>-7.4975308641975307</v>
      </c>
      <c r="AW11">
        <f>AV11*AQ11</f>
        <v>-13.307367530864196</v>
      </c>
      <c r="AX11" s="9"/>
      <c r="AY11" s="22">
        <v>-9.49097E-2</v>
      </c>
      <c r="AZ11" s="22">
        <v>27.505700000000001</v>
      </c>
      <c r="BA11" s="22">
        <v>-1.4382900000000001E-2</v>
      </c>
      <c r="BB11" s="22">
        <v>1</v>
      </c>
      <c r="BC11" s="22">
        <v>-9.5550499999999997E-2</v>
      </c>
      <c r="BD11">
        <f>-BA11/$F$2*1000</f>
        <v>17.756666666666668</v>
      </c>
      <c r="BE11">
        <f>BD11*AY11</f>
        <v>-1.6852799063333335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1.7344035694015081</v>
      </c>
      <c r="B12" s="19">
        <f>IFERROR(T9,0)</f>
        <v>17.644596516343011</v>
      </c>
      <c r="C12" s="20">
        <f>IFERROR(T4,0)</f>
        <v>0.71792005148835369</v>
      </c>
      <c r="D12" s="21">
        <f>IFERROR(T2,0)</f>
        <v>21.970400493827153</v>
      </c>
      <c r="E12" s="21"/>
      <c r="F12" s="9"/>
      <c r="G12" s="22">
        <v>1.7698700000000001</v>
      </c>
      <c r="H12" s="22">
        <v>5.2644700000000002</v>
      </c>
      <c r="I12" s="22">
        <v>4.19922E-3</v>
      </c>
      <c r="J12" s="22">
        <v>2</v>
      </c>
      <c r="K12" s="22">
        <v>1.7690999999999999</v>
      </c>
      <c r="L12">
        <f t="shared" ref="L12:L75" si="0">-I12/$F$2*1000</f>
        <v>-5.1842222222222221</v>
      </c>
      <c r="M12">
        <f t="shared" ref="M12:M75" si="1">L12*G12</f>
        <v>-9.1753993844444448</v>
      </c>
      <c r="N12" s="9"/>
      <c r="O12" s="22">
        <v>-8.9874300000000004E-2</v>
      </c>
      <c r="P12" s="22">
        <v>9.0433699999999995</v>
      </c>
      <c r="Q12" s="22">
        <v>-1.43494E-2</v>
      </c>
      <c r="R12" s="22">
        <v>2</v>
      </c>
      <c r="S12" s="22">
        <v>-9.0362499999999998E-2</v>
      </c>
      <c r="T12">
        <f t="shared" ref="T12:T75" si="2">-Q12/$F$2*1000</f>
        <v>17.715308641975309</v>
      </c>
      <c r="U12">
        <f t="shared" ref="U12:U75" si="3">T12*O12</f>
        <v>-1.5921509634814817</v>
      </c>
      <c r="V12" s="23"/>
      <c r="W12" s="24"/>
      <c r="X12" s="9"/>
      <c r="Y12" s="22">
        <v>1.7698700000000001</v>
      </c>
      <c r="Z12" s="22">
        <v>14.515599999999999</v>
      </c>
      <c r="AA12" s="22">
        <v>4.1537500000000003E-3</v>
      </c>
      <c r="AB12" s="22">
        <v>2</v>
      </c>
      <c r="AC12" s="22">
        <v>1.7690999999999999</v>
      </c>
      <c r="AD12">
        <f t="shared" ref="AD12:AD75" si="4">-AA12/$F$2*1000</f>
        <v>-5.1280864197530871</v>
      </c>
      <c r="AE12">
        <f t="shared" ref="AE12:AE75" si="5">AD12*Y12</f>
        <v>-9.0760463117283958</v>
      </c>
      <c r="AF12" s="9"/>
      <c r="AG12" s="22">
        <v>-8.9874300000000004E-2</v>
      </c>
      <c r="AH12" s="22">
        <v>18.294599999999999</v>
      </c>
      <c r="AI12" s="22">
        <v>-1.43494E-2</v>
      </c>
      <c r="AJ12" s="22">
        <v>2</v>
      </c>
      <c r="AK12" s="22">
        <v>-9.0576199999999996E-2</v>
      </c>
      <c r="AL12">
        <f t="shared" ref="AL12:AL75" si="6">-AI12/$F$2*1000</f>
        <v>17.715308641975309</v>
      </c>
      <c r="AM12">
        <f t="shared" ref="AM12:AM75" si="7">AL12*AG12</f>
        <v>-1.5921509634814817</v>
      </c>
      <c r="AP12" s="9"/>
      <c r="AQ12" s="22">
        <v>1.7698700000000001</v>
      </c>
      <c r="AR12" s="22">
        <v>23.736899999999999</v>
      </c>
      <c r="AS12" s="22">
        <v>5.2062999999999996E-3</v>
      </c>
      <c r="AT12" s="22">
        <v>2</v>
      </c>
      <c r="AU12" s="22">
        <v>1.7690999999999999</v>
      </c>
      <c r="AV12">
        <f t="shared" ref="AV12:AV75" si="8">-AS12/$F$2*1000</f>
        <v>-6.4275308641975304</v>
      </c>
      <c r="AW12">
        <f t="shared" ref="AW12:AW75" si="9">AV12*AQ12</f>
        <v>-11.375894050617283</v>
      </c>
      <c r="AX12" s="9"/>
      <c r="AY12" s="22">
        <v>-8.9874300000000004E-2</v>
      </c>
      <c r="AZ12" s="22">
        <v>27.515799999999999</v>
      </c>
      <c r="BA12" s="22">
        <v>-1.4382900000000001E-2</v>
      </c>
      <c r="BB12" s="22">
        <v>2</v>
      </c>
      <c r="BC12" s="22">
        <v>-9.0331999999999996E-2</v>
      </c>
      <c r="BD12">
        <f t="shared" ref="BD12:BD75" si="10">-BA12/$F$2*1000</f>
        <v>17.756666666666668</v>
      </c>
      <c r="BE12">
        <f t="shared" ref="BE12:BE75" si="11">BD12*AY12</f>
        <v>-1.5958679870000001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1.7390698220595227</v>
      </c>
      <c r="B13" s="19">
        <f>IFERROR(AD9,0)</f>
        <v>17.602071072124772</v>
      </c>
      <c r="C13" s="20">
        <f>IFERROR(AD4,0)</f>
        <v>0.74490968158013782</v>
      </c>
      <c r="D13" s="21">
        <f>IFERROR(AD2,0)</f>
        <v>22.802602044444441</v>
      </c>
      <c r="E13" s="21">
        <f>IFERROR(AA9,0)</f>
        <v>3.1142532394127351</v>
      </c>
      <c r="F13" s="9"/>
      <c r="G13" s="22">
        <v>1.7648299999999999</v>
      </c>
      <c r="H13" s="22">
        <v>5.27454</v>
      </c>
      <c r="I13" s="22">
        <v>3.3749399999999999E-3</v>
      </c>
      <c r="J13" s="22">
        <v>3</v>
      </c>
      <c r="K13" s="22">
        <v>1.7639199999999999</v>
      </c>
      <c r="L13">
        <f t="shared" si="0"/>
        <v>-4.1665925925925924</v>
      </c>
      <c r="M13">
        <f t="shared" si="1"/>
        <v>-7.3533276051851848</v>
      </c>
      <c r="N13" s="9"/>
      <c r="O13" s="22">
        <v>-8.4838899999999995E-2</v>
      </c>
      <c r="P13" s="22">
        <v>9.0534400000000002</v>
      </c>
      <c r="Q13" s="22">
        <v>-1.4340200000000001E-2</v>
      </c>
      <c r="R13" s="22">
        <v>3</v>
      </c>
      <c r="S13" s="22">
        <v>-8.5388199999999997E-2</v>
      </c>
      <c r="T13">
        <f t="shared" si="2"/>
        <v>17.703950617283951</v>
      </c>
      <c r="U13">
        <f t="shared" si="3"/>
        <v>-1.5019836960246913</v>
      </c>
      <c r="V13" s="23"/>
      <c r="W13" s="24"/>
      <c r="X13" s="9"/>
      <c r="Y13" s="22">
        <v>1.7648299999999999</v>
      </c>
      <c r="Z13" s="22">
        <v>14.525700000000001</v>
      </c>
      <c r="AA13" s="22">
        <v>3.43597E-3</v>
      </c>
      <c r="AB13" s="22">
        <v>3</v>
      </c>
      <c r="AC13" s="22">
        <v>1.7642199999999999</v>
      </c>
      <c r="AD13">
        <f t="shared" si="4"/>
        <v>-4.2419382716049379</v>
      </c>
      <c r="AE13">
        <f t="shared" si="5"/>
        <v>-7.4862999198765419</v>
      </c>
      <c r="AF13" s="9"/>
      <c r="AG13" s="22">
        <v>-8.4838899999999995E-2</v>
      </c>
      <c r="AH13" s="22">
        <v>18.304600000000001</v>
      </c>
      <c r="AI13" s="22">
        <v>-1.43433E-2</v>
      </c>
      <c r="AJ13" s="22">
        <v>3</v>
      </c>
      <c r="AK13" s="22">
        <v>-8.5327100000000003E-2</v>
      </c>
      <c r="AL13">
        <f t="shared" si="6"/>
        <v>17.707777777777778</v>
      </c>
      <c r="AM13">
        <f t="shared" si="7"/>
        <v>-1.502308388111111</v>
      </c>
      <c r="AP13" s="9"/>
      <c r="AQ13" s="22">
        <v>1.7648299999999999</v>
      </c>
      <c r="AR13" s="22">
        <v>23.747</v>
      </c>
      <c r="AS13" s="22">
        <v>4.3640099999999998E-3</v>
      </c>
      <c r="AT13" s="22">
        <v>3</v>
      </c>
      <c r="AU13" s="22">
        <v>1.7639199999999999</v>
      </c>
      <c r="AV13">
        <f t="shared" si="8"/>
        <v>-5.3876666666666653</v>
      </c>
      <c r="AW13">
        <f t="shared" si="9"/>
        <v>-9.5083157633333304</v>
      </c>
      <c r="AX13" s="9"/>
      <c r="AY13" s="22">
        <v>-8.4838899999999995E-2</v>
      </c>
      <c r="AZ13" s="22">
        <v>27.5259</v>
      </c>
      <c r="BA13" s="22">
        <v>-1.43768E-2</v>
      </c>
      <c r="BB13" s="22">
        <v>3</v>
      </c>
      <c r="BC13" s="22">
        <v>-8.5479700000000006E-2</v>
      </c>
      <c r="BD13">
        <f t="shared" si="10"/>
        <v>17.749135802469137</v>
      </c>
      <c r="BE13">
        <f t="shared" si="11"/>
        <v>-1.5058171574320989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1.7331855499814248</v>
      </c>
      <c r="B14" s="19">
        <f>IFERROR(AL9,0)</f>
        <v>17.629387562158062</v>
      </c>
      <c r="C14" s="20">
        <f>IFERROR(AL4,0)</f>
        <v>0.72303948395670525</v>
      </c>
      <c r="D14" s="21">
        <f>IFERROR(AL2,0)</f>
        <v>22.092471271604936</v>
      </c>
      <c r="E14" s="21"/>
      <c r="F14" s="9"/>
      <c r="G14" s="22">
        <v>1.7598</v>
      </c>
      <c r="H14" s="22">
        <v>5.2846099999999998</v>
      </c>
      <c r="I14" s="22">
        <v>2.5707999999999998E-3</v>
      </c>
      <c r="J14" s="22">
        <v>4</v>
      </c>
      <c r="K14" s="22">
        <v>1.7593399999999999</v>
      </c>
      <c r="L14">
        <f t="shared" si="0"/>
        <v>-3.1738271604938268</v>
      </c>
      <c r="M14">
        <f t="shared" si="1"/>
        <v>-5.5853010370370368</v>
      </c>
      <c r="N14" s="9"/>
      <c r="O14" s="22">
        <v>-7.9803499999999999E-2</v>
      </c>
      <c r="P14" s="22">
        <v>9.0635100000000008</v>
      </c>
      <c r="Q14" s="22">
        <v>-1.4331099999999999E-2</v>
      </c>
      <c r="R14" s="22">
        <v>4</v>
      </c>
      <c r="S14" s="22">
        <v>-8.0322299999999999E-2</v>
      </c>
      <c r="T14">
        <f t="shared" si="2"/>
        <v>17.692716049382714</v>
      </c>
      <c r="U14">
        <f t="shared" si="3"/>
        <v>-1.4119406652469133</v>
      </c>
      <c r="V14" s="23"/>
      <c r="W14" s="24"/>
      <c r="X14" s="9"/>
      <c r="Y14" s="22">
        <v>1.7598</v>
      </c>
      <c r="Z14" s="22">
        <v>14.5358</v>
      </c>
      <c r="AA14" s="22">
        <v>2.7313200000000002E-3</v>
      </c>
      <c r="AB14" s="22">
        <v>4</v>
      </c>
      <c r="AC14" s="22">
        <v>1.7590300000000001</v>
      </c>
      <c r="AD14">
        <f t="shared" si="4"/>
        <v>-3.3719999999999999</v>
      </c>
      <c r="AE14">
        <f t="shared" si="5"/>
        <v>-5.9340456000000001</v>
      </c>
      <c r="AF14" s="9"/>
      <c r="AG14" s="22">
        <v>-7.9803499999999999E-2</v>
      </c>
      <c r="AH14" s="22">
        <v>18.314699999999998</v>
      </c>
      <c r="AI14" s="22">
        <v>-1.4346299999999999E-2</v>
      </c>
      <c r="AJ14" s="22">
        <v>4</v>
      </c>
      <c r="AK14" s="22">
        <v>-8.0505400000000005E-2</v>
      </c>
      <c r="AL14">
        <f t="shared" si="6"/>
        <v>17.711481481481481</v>
      </c>
      <c r="AM14">
        <f t="shared" si="7"/>
        <v>-1.4134382124074074</v>
      </c>
      <c r="AP14" s="9"/>
      <c r="AQ14" s="22">
        <v>1.7598</v>
      </c>
      <c r="AR14" s="22">
        <v>23.757000000000001</v>
      </c>
      <c r="AS14" s="22">
        <v>3.53638E-3</v>
      </c>
      <c r="AT14" s="22">
        <v>4</v>
      </c>
      <c r="AU14" s="22">
        <v>1.7593399999999999</v>
      </c>
      <c r="AV14">
        <f t="shared" si="8"/>
        <v>-4.3659012345679011</v>
      </c>
      <c r="AW14">
        <f t="shared" si="9"/>
        <v>-7.6831129925925925</v>
      </c>
      <c r="AX14" s="9"/>
      <c r="AY14" s="22">
        <v>-7.9803499999999999E-2</v>
      </c>
      <c r="AZ14" s="22">
        <v>27.535900000000002</v>
      </c>
      <c r="BA14" s="22">
        <v>-1.4373800000000001E-2</v>
      </c>
      <c r="BB14" s="22">
        <v>4</v>
      </c>
      <c r="BC14" s="22">
        <v>-8.0322299999999999E-2</v>
      </c>
      <c r="BD14">
        <f t="shared" si="10"/>
        <v>17.745432098765431</v>
      </c>
      <c r="BE14">
        <f t="shared" si="11"/>
        <v>-1.416147590493827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1.7367754286697932</v>
      </c>
      <c r="B15" s="19">
        <f>IFERROR(AV9,0)</f>
        <v>17.643273486116797</v>
      </c>
      <c r="C15" s="20">
        <f>IFERROR(AV4,0)</f>
        <v>0.75222988258233403</v>
      </c>
      <c r="D15" s="21">
        <f>IFERROR(AV2,0)</f>
        <v>23.050131866666664</v>
      </c>
      <c r="E15" s="21">
        <f>IFERROR(AS9,0)</f>
        <v>4.6267486680978624</v>
      </c>
      <c r="F15" s="9"/>
      <c r="G15" s="22">
        <v>1.7547600000000001</v>
      </c>
      <c r="H15" s="22">
        <v>5.2946799999999996</v>
      </c>
      <c r="I15" s="22">
        <v>1.78162E-3</v>
      </c>
      <c r="J15" s="22">
        <v>5</v>
      </c>
      <c r="K15" s="22">
        <v>1.7538499999999999</v>
      </c>
      <c r="L15">
        <f t="shared" si="0"/>
        <v>-2.1995308641975306</v>
      </c>
      <c r="M15">
        <f t="shared" si="1"/>
        <v>-3.8596487792592589</v>
      </c>
      <c r="N15" s="9"/>
      <c r="O15" s="22">
        <v>-7.4768100000000004E-2</v>
      </c>
      <c r="P15" s="22">
        <v>9.0735799999999998</v>
      </c>
      <c r="Q15" s="22">
        <v>-1.4331099999999999E-2</v>
      </c>
      <c r="R15" s="22">
        <v>5</v>
      </c>
      <c r="S15" s="22">
        <v>-7.5195300000000007E-2</v>
      </c>
      <c r="T15">
        <f t="shared" si="2"/>
        <v>17.692716049382714</v>
      </c>
      <c r="U15">
        <f t="shared" si="3"/>
        <v>-1.3228507628518518</v>
      </c>
      <c r="V15" s="23"/>
      <c r="W15" s="24"/>
      <c r="X15" s="9"/>
      <c r="Y15" s="22">
        <v>1.7547600000000001</v>
      </c>
      <c r="Z15" s="22">
        <v>14.5459</v>
      </c>
      <c r="AA15" s="22">
        <v>2.0312500000000001E-3</v>
      </c>
      <c r="AB15" s="22">
        <v>5</v>
      </c>
      <c r="AC15" s="22">
        <v>1.7538499999999999</v>
      </c>
      <c r="AD15">
        <f t="shared" si="4"/>
        <v>-2.507716049382716</v>
      </c>
      <c r="AE15">
        <f t="shared" si="5"/>
        <v>-4.4004398148148152</v>
      </c>
      <c r="AF15" s="9"/>
      <c r="AG15" s="22">
        <v>-7.4768100000000004E-2</v>
      </c>
      <c r="AH15" s="22">
        <v>18.3248</v>
      </c>
      <c r="AI15" s="22">
        <v>-1.43494E-2</v>
      </c>
      <c r="AJ15" s="22">
        <v>5</v>
      </c>
      <c r="AK15" s="22">
        <v>-7.5469999999999995E-2</v>
      </c>
      <c r="AL15">
        <f t="shared" si="6"/>
        <v>17.715308641975309</v>
      </c>
      <c r="AM15">
        <f t="shared" si="7"/>
        <v>-1.3245399680740741</v>
      </c>
      <c r="AP15" s="9"/>
      <c r="AQ15" s="22">
        <v>1.7547600000000001</v>
      </c>
      <c r="AR15" s="22">
        <v>23.767099999999999</v>
      </c>
      <c r="AS15" s="22">
        <v>2.7145400000000001E-3</v>
      </c>
      <c r="AT15" s="22">
        <v>5</v>
      </c>
      <c r="AU15" s="22">
        <v>1.7538499999999999</v>
      </c>
      <c r="AV15">
        <f t="shared" si="8"/>
        <v>-3.3512839506172836</v>
      </c>
      <c r="AW15">
        <f t="shared" si="9"/>
        <v>-5.8806990251851845</v>
      </c>
      <c r="AX15" s="9"/>
      <c r="AY15" s="22">
        <v>-7.4768100000000004E-2</v>
      </c>
      <c r="AZ15" s="22">
        <v>27.545999999999999</v>
      </c>
      <c r="BA15" s="22">
        <v>-1.43707E-2</v>
      </c>
      <c r="BB15" s="22">
        <v>5</v>
      </c>
      <c r="BC15" s="22">
        <v>-7.5256299999999998E-2</v>
      </c>
      <c r="BD15">
        <f t="shared" si="10"/>
        <v>17.741604938271603</v>
      </c>
      <c r="BE15">
        <f t="shared" si="11"/>
        <v>-1.3265060921851852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1.7311477611924095</v>
      </c>
      <c r="B16" s="19">
        <f>IFERROR(BD9,0)</f>
        <v>17.66669144685342</v>
      </c>
      <c r="C16" s="20">
        <f>IFERROR(BD4,0)</f>
        <v>0.71880425627698386</v>
      </c>
      <c r="D16" s="21">
        <f>IFERROR(BD2,0)</f>
        <v>21.983660197530863</v>
      </c>
      <c r="E16" s="21"/>
      <c r="F16" s="9"/>
      <c r="G16" s="22">
        <v>1.74973</v>
      </c>
      <c r="H16" s="22">
        <v>5.3047500000000003</v>
      </c>
      <c r="I16" s="22">
        <v>1.0073899999999999E-3</v>
      </c>
      <c r="J16" s="22">
        <v>6</v>
      </c>
      <c r="K16" s="22">
        <v>1.7492700000000001</v>
      </c>
      <c r="L16">
        <f t="shared" si="0"/>
        <v>-1.2436913580246911</v>
      </c>
      <c r="M16">
        <f t="shared" si="1"/>
        <v>-2.1761240798765429</v>
      </c>
      <c r="N16" s="9"/>
      <c r="O16" s="22">
        <v>-6.9732699999999995E-2</v>
      </c>
      <c r="P16" s="22">
        <v>9.0836600000000001</v>
      </c>
      <c r="Q16" s="22">
        <v>-1.43219E-2</v>
      </c>
      <c r="R16" s="22">
        <v>6</v>
      </c>
      <c r="S16" s="22">
        <v>-7.03125E-2</v>
      </c>
      <c r="T16">
        <f t="shared" si="2"/>
        <v>17.68135802469136</v>
      </c>
      <c r="U16">
        <f t="shared" si="3"/>
        <v>-1.2329688347283951</v>
      </c>
      <c r="V16" s="23"/>
      <c r="W16" s="24"/>
      <c r="X16" s="9"/>
      <c r="Y16" s="22">
        <v>1.74973</v>
      </c>
      <c r="Z16" s="22">
        <v>14.555899999999999</v>
      </c>
      <c r="AA16" s="22">
        <v>1.34399E-3</v>
      </c>
      <c r="AB16" s="22">
        <v>6</v>
      </c>
      <c r="AC16" s="22">
        <v>1.7492700000000001</v>
      </c>
      <c r="AD16">
        <f t="shared" si="4"/>
        <v>-1.6592469135802468</v>
      </c>
      <c r="AE16">
        <f t="shared" si="5"/>
        <v>-2.9032341020987653</v>
      </c>
      <c r="AF16" s="9"/>
      <c r="AG16" s="22">
        <v>-6.9732699999999995E-2</v>
      </c>
      <c r="AH16" s="22">
        <v>18.334800000000001</v>
      </c>
      <c r="AI16" s="22">
        <v>-1.4346299999999999E-2</v>
      </c>
      <c r="AJ16" s="22">
        <v>6</v>
      </c>
      <c r="AK16" s="22">
        <v>-7.0220900000000003E-2</v>
      </c>
      <c r="AL16">
        <f t="shared" si="6"/>
        <v>17.711481481481481</v>
      </c>
      <c r="AM16">
        <f t="shared" si="7"/>
        <v>-1.2350694247037035</v>
      </c>
      <c r="AP16" s="9"/>
      <c r="AQ16" s="22">
        <v>1.74973</v>
      </c>
      <c r="AR16" s="22">
        <v>23.777200000000001</v>
      </c>
      <c r="AS16" s="22">
        <v>1.9119300000000001E-3</v>
      </c>
      <c r="AT16" s="22">
        <v>6</v>
      </c>
      <c r="AU16" s="22">
        <v>1.7489600000000001</v>
      </c>
      <c r="AV16">
        <f t="shared" si="8"/>
        <v>-2.3604074074074073</v>
      </c>
      <c r="AW16">
        <f t="shared" si="9"/>
        <v>-4.1300756529629625</v>
      </c>
      <c r="AX16" s="9"/>
      <c r="AY16" s="22">
        <v>-6.9732699999999995E-2</v>
      </c>
      <c r="AZ16" s="22">
        <v>27.556100000000001</v>
      </c>
      <c r="BA16" s="22">
        <v>-1.4373800000000001E-2</v>
      </c>
      <c r="BB16" s="22">
        <v>6</v>
      </c>
      <c r="BC16" s="22">
        <v>-7.01904E-2</v>
      </c>
      <c r="BD16">
        <f t="shared" si="10"/>
        <v>17.745432098765431</v>
      </c>
      <c r="BE16">
        <f t="shared" si="11"/>
        <v>-1.2374368929135799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1.7446900000000001</v>
      </c>
      <c r="H17" s="22">
        <v>5.3148200000000001</v>
      </c>
      <c r="I17" s="22">
        <v>2.48657E-4</v>
      </c>
      <c r="J17" s="22">
        <v>7</v>
      </c>
      <c r="K17" s="22">
        <v>1.74377</v>
      </c>
      <c r="L17">
        <f t="shared" si="0"/>
        <v>-0.30698395061728395</v>
      </c>
      <c r="M17">
        <f t="shared" si="1"/>
        <v>-0.53559182880246914</v>
      </c>
      <c r="N17" s="9"/>
      <c r="O17" s="22">
        <v>-6.4697299999999999E-2</v>
      </c>
      <c r="P17" s="22">
        <v>9.0937300000000008</v>
      </c>
      <c r="Q17" s="22">
        <v>-1.43188E-2</v>
      </c>
      <c r="R17" s="22">
        <v>7</v>
      </c>
      <c r="S17" s="22">
        <v>-6.5155000000000005E-2</v>
      </c>
      <c r="T17">
        <f t="shared" si="2"/>
        <v>17.677530864197529</v>
      </c>
      <c r="U17">
        <f t="shared" si="3"/>
        <v>-1.1436885175802467</v>
      </c>
      <c r="V17" s="23"/>
      <c r="W17" s="24"/>
      <c r="X17" s="9"/>
      <c r="Y17" s="22">
        <v>1.7446900000000001</v>
      </c>
      <c r="Z17" s="22">
        <v>14.566000000000001</v>
      </c>
      <c r="AA17" s="22">
        <v>6.7016600000000003E-4</v>
      </c>
      <c r="AB17" s="22">
        <v>7</v>
      </c>
      <c r="AC17" s="22">
        <v>1.74377</v>
      </c>
      <c r="AD17">
        <f t="shared" si="4"/>
        <v>-0.82736543209876545</v>
      </c>
      <c r="AE17">
        <f t="shared" si="5"/>
        <v>-1.4434961957283952</v>
      </c>
      <c r="AF17" s="9"/>
      <c r="AG17" s="22">
        <v>-6.4697299999999999E-2</v>
      </c>
      <c r="AH17" s="22">
        <v>18.344899999999999</v>
      </c>
      <c r="AI17" s="22">
        <v>-1.4340200000000001E-2</v>
      </c>
      <c r="AJ17" s="22">
        <v>7</v>
      </c>
      <c r="AK17" s="22">
        <v>-6.5185499999999993E-2</v>
      </c>
      <c r="AL17">
        <f t="shared" si="6"/>
        <v>17.703950617283951</v>
      </c>
      <c r="AM17">
        <f t="shared" si="7"/>
        <v>-1.1453978042716049</v>
      </c>
      <c r="AP17" s="9"/>
      <c r="AQ17" s="22">
        <v>1.7446900000000001</v>
      </c>
      <c r="AR17" s="22">
        <v>23.787199999999999</v>
      </c>
      <c r="AS17" s="22">
        <v>1.1099199999999999E-3</v>
      </c>
      <c r="AT17" s="22">
        <v>7</v>
      </c>
      <c r="AU17" s="22">
        <v>1.74377</v>
      </c>
      <c r="AV17">
        <f t="shared" si="8"/>
        <v>-1.3702716049382715</v>
      </c>
      <c r="AW17">
        <f t="shared" si="9"/>
        <v>-2.3906991664197528</v>
      </c>
      <c r="AX17" s="9"/>
      <c r="AY17" s="22">
        <v>-6.4697299999999999E-2</v>
      </c>
      <c r="AZ17" s="22">
        <v>27.566099999999999</v>
      </c>
      <c r="BA17" s="22">
        <v>-1.4367700000000001E-2</v>
      </c>
      <c r="BB17" s="22">
        <v>7</v>
      </c>
      <c r="BC17" s="22">
        <v>-6.5216099999999999E-2</v>
      </c>
      <c r="BD17">
        <f t="shared" si="10"/>
        <v>17.7379012345679</v>
      </c>
      <c r="BE17">
        <f t="shared" si="11"/>
        <v>-1.1475943175432097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1.7396499999999999</v>
      </c>
      <c r="H18" s="22">
        <v>5.3248899999999999</v>
      </c>
      <c r="I18" s="22">
        <v>-4.9038700000000001E-4</v>
      </c>
      <c r="J18" s="22">
        <v>8</v>
      </c>
      <c r="K18" s="22">
        <v>1.7392000000000001</v>
      </c>
      <c r="L18">
        <f t="shared" si="0"/>
        <v>0.60541604938271598</v>
      </c>
      <c r="M18">
        <f t="shared" si="1"/>
        <v>1.0532120303086419</v>
      </c>
      <c r="N18" s="9"/>
      <c r="O18" s="22">
        <v>-5.9661899999999997E-2</v>
      </c>
      <c r="P18" s="22">
        <v>9.1037999999999997</v>
      </c>
      <c r="Q18" s="22">
        <v>-1.43188E-2</v>
      </c>
      <c r="R18" s="22">
        <v>8</v>
      </c>
      <c r="S18" s="22">
        <v>-6.0302700000000001E-2</v>
      </c>
      <c r="T18">
        <f t="shared" si="2"/>
        <v>17.677530864197529</v>
      </c>
      <c r="U18">
        <f t="shared" si="3"/>
        <v>-1.0546750786666665</v>
      </c>
      <c r="V18" s="23"/>
      <c r="W18" s="24"/>
      <c r="X18" s="9"/>
      <c r="Y18" s="22">
        <v>1.7396499999999999</v>
      </c>
      <c r="Z18" s="22">
        <v>14.5761</v>
      </c>
      <c r="AA18" s="25">
        <v>1.53809E-5</v>
      </c>
      <c r="AB18" s="22">
        <v>8</v>
      </c>
      <c r="AC18" s="22">
        <v>1.7392000000000001</v>
      </c>
      <c r="AD18">
        <f t="shared" si="4"/>
        <v>-1.8988765432098764E-2</v>
      </c>
      <c r="AE18">
        <f t="shared" si="5"/>
        <v>-3.3033805783950612E-2</v>
      </c>
      <c r="AF18" s="9"/>
      <c r="AG18" s="22">
        <v>-5.9661899999999997E-2</v>
      </c>
      <c r="AH18" s="22">
        <v>18.355</v>
      </c>
      <c r="AI18" s="22">
        <v>-1.43372E-2</v>
      </c>
      <c r="AJ18" s="22">
        <v>8</v>
      </c>
      <c r="AK18" s="22">
        <v>-6.0272199999999998E-2</v>
      </c>
      <c r="AL18">
        <f t="shared" si="6"/>
        <v>17.700246913580244</v>
      </c>
      <c r="AM18">
        <f t="shared" si="7"/>
        <v>-1.0560303613333331</v>
      </c>
      <c r="AP18" s="9"/>
      <c r="AQ18" s="22">
        <v>1.7396499999999999</v>
      </c>
      <c r="AR18" s="22">
        <v>23.7973</v>
      </c>
      <c r="AS18" s="22">
        <v>3.3547999999999998E-4</v>
      </c>
      <c r="AT18" s="22">
        <v>8</v>
      </c>
      <c r="AU18" s="22">
        <v>1.7392000000000001</v>
      </c>
      <c r="AV18">
        <f t="shared" si="8"/>
        <v>-0.41417283950617279</v>
      </c>
      <c r="AW18">
        <f t="shared" si="9"/>
        <v>-0.72051578024691343</v>
      </c>
      <c r="AX18" s="9"/>
      <c r="AY18" s="22">
        <v>-5.9661899999999997E-2</v>
      </c>
      <c r="AZ18" s="22">
        <v>27.5762</v>
      </c>
      <c r="BA18" s="22">
        <v>-1.43616E-2</v>
      </c>
      <c r="BB18" s="22">
        <v>8</v>
      </c>
      <c r="BC18" s="22">
        <v>-6.0241700000000002E-2</v>
      </c>
      <c r="BD18">
        <f t="shared" si="10"/>
        <v>17.73037037037037</v>
      </c>
      <c r="BE18">
        <f t="shared" si="11"/>
        <v>-1.057827584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1.7346200000000001</v>
      </c>
      <c r="H19" s="22">
        <v>5.3349599999999997</v>
      </c>
      <c r="I19" s="22">
        <v>-1.20575E-3</v>
      </c>
      <c r="J19" s="22">
        <v>9</v>
      </c>
      <c r="K19" s="22">
        <v>1.7340100000000001</v>
      </c>
      <c r="L19">
        <f t="shared" si="0"/>
        <v>1.48858024691358</v>
      </c>
      <c r="M19">
        <f t="shared" si="1"/>
        <v>2.5821210679012343</v>
      </c>
      <c r="N19" s="9"/>
      <c r="O19" s="22">
        <v>-5.4626500000000001E-2</v>
      </c>
      <c r="P19" s="22">
        <v>9.1138700000000004</v>
      </c>
      <c r="Q19" s="22">
        <v>-1.43188E-2</v>
      </c>
      <c r="R19" s="22">
        <v>9</v>
      </c>
      <c r="S19" s="22">
        <v>-5.5297899999999997E-2</v>
      </c>
      <c r="T19">
        <f t="shared" si="2"/>
        <v>17.677530864197529</v>
      </c>
      <c r="U19">
        <f t="shared" si="3"/>
        <v>-0.96566163975308628</v>
      </c>
      <c r="V19" s="23"/>
      <c r="W19" s="24"/>
      <c r="X19" s="9"/>
      <c r="Y19" s="22">
        <v>1.7346200000000001</v>
      </c>
      <c r="Z19" s="22">
        <v>14.5861</v>
      </c>
      <c r="AA19" s="22">
        <v>-6.3445999999999999E-4</v>
      </c>
      <c r="AB19" s="22">
        <v>9</v>
      </c>
      <c r="AC19" s="22">
        <v>1.7337</v>
      </c>
      <c r="AD19">
        <f t="shared" si="4"/>
        <v>0.78328395061728384</v>
      </c>
      <c r="AE19">
        <f t="shared" si="5"/>
        <v>1.358700006419753</v>
      </c>
      <c r="AF19" s="9"/>
      <c r="AG19" s="22">
        <v>-5.4626500000000001E-2</v>
      </c>
      <c r="AH19" s="22">
        <v>18.365100000000002</v>
      </c>
      <c r="AI19" s="22">
        <v>-1.4328E-2</v>
      </c>
      <c r="AJ19" s="22">
        <v>9</v>
      </c>
      <c r="AK19" s="22">
        <v>-5.5419900000000001E-2</v>
      </c>
      <c r="AL19">
        <f t="shared" si="6"/>
        <v>17.68888888888889</v>
      </c>
      <c r="AM19">
        <f t="shared" si="7"/>
        <v>-0.966282088888889</v>
      </c>
      <c r="AP19" s="9"/>
      <c r="AQ19" s="22">
        <v>1.7346200000000001</v>
      </c>
      <c r="AR19" s="22">
        <v>23.807400000000001</v>
      </c>
      <c r="AS19" s="22">
        <v>-4.2553699999999997E-4</v>
      </c>
      <c r="AT19" s="22">
        <v>9</v>
      </c>
      <c r="AU19" s="22">
        <v>1.7337</v>
      </c>
      <c r="AV19">
        <f t="shared" si="8"/>
        <v>0.52535432098765422</v>
      </c>
      <c r="AW19">
        <f t="shared" si="9"/>
        <v>0.91129011227160484</v>
      </c>
      <c r="AX19" s="9"/>
      <c r="AY19" s="22">
        <v>-5.4626500000000001E-2</v>
      </c>
      <c r="AZ19" s="22">
        <v>27.586300000000001</v>
      </c>
      <c r="BA19" s="22">
        <v>-1.43524E-2</v>
      </c>
      <c r="BB19" s="22">
        <v>9</v>
      </c>
      <c r="BC19" s="22">
        <v>-5.5297899999999997E-2</v>
      </c>
      <c r="BD19">
        <f t="shared" si="10"/>
        <v>17.719012345679008</v>
      </c>
      <c r="BE19">
        <f t="shared" si="11"/>
        <v>-0.96792762790123432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1.7295799999999999</v>
      </c>
      <c r="H20" s="22">
        <v>5.3450300000000004</v>
      </c>
      <c r="I20" s="22">
        <v>-1.89606E-3</v>
      </c>
      <c r="J20" s="22">
        <v>10</v>
      </c>
      <c r="K20" s="22">
        <v>1.7291300000000001</v>
      </c>
      <c r="L20">
        <f t="shared" si="0"/>
        <v>2.3408148148148147</v>
      </c>
      <c r="M20">
        <f t="shared" si="1"/>
        <v>4.0486264874074065</v>
      </c>
      <c r="N20" s="9"/>
      <c r="O20" s="22">
        <v>-4.9591099999999999E-2</v>
      </c>
      <c r="P20" s="22">
        <v>9.1239399999999993</v>
      </c>
      <c r="Q20" s="22">
        <v>-1.4331099999999999E-2</v>
      </c>
      <c r="R20" s="22">
        <v>10</v>
      </c>
      <c r="S20" s="22">
        <v>-5.0231900000000003E-2</v>
      </c>
      <c r="T20">
        <f t="shared" si="2"/>
        <v>17.692716049382714</v>
      </c>
      <c r="U20">
        <f t="shared" si="3"/>
        <v>-0.87740125087654308</v>
      </c>
      <c r="V20" s="23"/>
      <c r="W20" s="24"/>
      <c r="X20" s="9"/>
      <c r="Y20" s="22">
        <v>1.7295799999999999</v>
      </c>
      <c r="Z20" s="22">
        <v>14.5962</v>
      </c>
      <c r="AA20" s="22">
        <v>-1.2619E-3</v>
      </c>
      <c r="AB20" s="22">
        <v>10</v>
      </c>
      <c r="AC20" s="22">
        <v>1.7285200000000001</v>
      </c>
      <c r="AD20">
        <f t="shared" si="4"/>
        <v>1.5579012345679011</v>
      </c>
      <c r="AE20">
        <f t="shared" si="5"/>
        <v>2.6945148172839501</v>
      </c>
      <c r="AF20" s="9"/>
      <c r="AG20" s="22">
        <v>-4.9591099999999999E-2</v>
      </c>
      <c r="AH20" s="22">
        <v>18.3751</v>
      </c>
      <c r="AI20" s="22">
        <v>-1.4331099999999999E-2</v>
      </c>
      <c r="AJ20" s="22">
        <v>10</v>
      </c>
      <c r="AK20" s="22">
        <v>-4.9957300000000003E-2</v>
      </c>
      <c r="AL20">
        <f t="shared" si="6"/>
        <v>17.692716049382714</v>
      </c>
      <c r="AM20">
        <f t="shared" si="7"/>
        <v>-0.87740125087654308</v>
      </c>
      <c r="AP20" s="9"/>
      <c r="AQ20" s="22">
        <v>1.7295799999999999</v>
      </c>
      <c r="AR20" s="22">
        <v>23.817399999999999</v>
      </c>
      <c r="AS20" s="22">
        <v>-1.1608899999999999E-3</v>
      </c>
      <c r="AT20" s="22">
        <v>10</v>
      </c>
      <c r="AU20" s="22">
        <v>1.7285200000000001</v>
      </c>
      <c r="AV20">
        <f t="shared" si="8"/>
        <v>1.4331975308641973</v>
      </c>
      <c r="AW20">
        <f t="shared" si="9"/>
        <v>2.4788297854320982</v>
      </c>
      <c r="AX20" s="9"/>
      <c r="AY20" s="22">
        <v>-4.9591099999999999E-2</v>
      </c>
      <c r="AZ20" s="22">
        <v>27.596399999999999</v>
      </c>
      <c r="BA20" s="22">
        <v>-1.43494E-2</v>
      </c>
      <c r="BB20" s="22">
        <v>10</v>
      </c>
      <c r="BC20" s="22">
        <v>-5.0292999999999997E-2</v>
      </c>
      <c r="BD20">
        <f t="shared" si="10"/>
        <v>17.715308641975309</v>
      </c>
      <c r="BE20">
        <f t="shared" si="11"/>
        <v>-0.8785216423950617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1.72455</v>
      </c>
      <c r="H21" s="22">
        <v>5.3551099999999998</v>
      </c>
      <c r="I21" s="22">
        <v>-2.5656099999999999E-3</v>
      </c>
      <c r="J21" s="22">
        <v>11</v>
      </c>
      <c r="K21" s="22">
        <v>1.72333</v>
      </c>
      <c r="L21">
        <f t="shared" si="0"/>
        <v>3.1674197530864197</v>
      </c>
      <c r="M21">
        <f t="shared" si="1"/>
        <v>5.4623737351851851</v>
      </c>
      <c r="N21" s="9"/>
      <c r="O21" s="22">
        <v>-4.4555699999999997E-2</v>
      </c>
      <c r="P21" s="22">
        <v>9.13401</v>
      </c>
      <c r="Q21" s="22">
        <v>-1.43372E-2</v>
      </c>
      <c r="R21" s="22">
        <v>11</v>
      </c>
      <c r="S21" s="22">
        <v>-4.5037800000000003E-2</v>
      </c>
      <c r="T21">
        <f t="shared" si="2"/>
        <v>17.700246913580244</v>
      </c>
      <c r="U21">
        <f t="shared" si="3"/>
        <v>-0.78864689140740718</v>
      </c>
      <c r="V21" s="23"/>
      <c r="W21" s="24"/>
      <c r="X21" s="9"/>
      <c r="Y21" s="22">
        <v>1.72455</v>
      </c>
      <c r="Z21" s="22">
        <v>14.606299999999999</v>
      </c>
      <c r="AA21" s="22">
        <v>-1.8795800000000001E-3</v>
      </c>
      <c r="AB21" s="22">
        <v>11</v>
      </c>
      <c r="AC21" s="22">
        <v>1.72394</v>
      </c>
      <c r="AD21">
        <f t="shared" si="4"/>
        <v>2.3204691358024689</v>
      </c>
      <c r="AE21">
        <f t="shared" si="5"/>
        <v>4.0017650481481475</v>
      </c>
      <c r="AF21" s="9"/>
      <c r="AG21" s="22">
        <v>-4.4555699999999997E-2</v>
      </c>
      <c r="AH21" s="22">
        <v>18.385200000000001</v>
      </c>
      <c r="AI21" s="22">
        <v>-1.43372E-2</v>
      </c>
      <c r="AJ21" s="22">
        <v>11</v>
      </c>
      <c r="AK21" s="22">
        <v>-4.4943200000000003E-2</v>
      </c>
      <c r="AL21">
        <f t="shared" si="6"/>
        <v>17.700246913580244</v>
      </c>
      <c r="AM21">
        <f t="shared" si="7"/>
        <v>-0.78864689140740718</v>
      </c>
      <c r="AP21" s="9"/>
      <c r="AQ21" s="22">
        <v>1.72455</v>
      </c>
      <c r="AR21" s="22">
        <v>23.827500000000001</v>
      </c>
      <c r="AS21" s="22">
        <v>-1.8716399999999999E-3</v>
      </c>
      <c r="AT21" s="22">
        <v>11</v>
      </c>
      <c r="AU21" s="22">
        <v>1.72394</v>
      </c>
      <c r="AV21">
        <f t="shared" si="8"/>
        <v>2.3106666666666666</v>
      </c>
      <c r="AW21">
        <f t="shared" si="9"/>
        <v>3.9848602</v>
      </c>
      <c r="AX21" s="9"/>
      <c r="AY21" s="22">
        <v>-4.4555699999999997E-2</v>
      </c>
      <c r="AZ21" s="22">
        <v>27.606400000000001</v>
      </c>
      <c r="BA21" s="22">
        <v>-1.43524E-2</v>
      </c>
      <c r="BB21" s="22">
        <v>11</v>
      </c>
      <c r="BC21" s="22">
        <v>-4.5019499999999997E-2</v>
      </c>
      <c r="BD21">
        <f t="shared" si="10"/>
        <v>17.719012345679008</v>
      </c>
      <c r="BE21">
        <f t="shared" si="11"/>
        <v>-0.78948299837037017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1.7195100000000001</v>
      </c>
      <c r="H22" s="22">
        <v>5.3651799999999996</v>
      </c>
      <c r="I22" s="22">
        <v>-3.1982400000000002E-3</v>
      </c>
      <c r="J22" s="22">
        <v>12</v>
      </c>
      <c r="K22" s="22">
        <v>1.71875</v>
      </c>
      <c r="L22">
        <f t="shared" si="0"/>
        <v>3.9484444444444446</v>
      </c>
      <c r="M22">
        <f t="shared" si="1"/>
        <v>6.7893897066666673</v>
      </c>
      <c r="N22" s="9"/>
      <c r="O22" s="22">
        <v>-3.9520300000000001E-2</v>
      </c>
      <c r="P22" s="22">
        <v>9.1440800000000007</v>
      </c>
      <c r="Q22" s="22">
        <v>-1.43433E-2</v>
      </c>
      <c r="R22" s="22">
        <v>12</v>
      </c>
      <c r="S22" s="22">
        <v>-3.9901699999999998E-2</v>
      </c>
      <c r="T22">
        <f t="shared" si="2"/>
        <v>17.707777777777778</v>
      </c>
      <c r="U22">
        <f t="shared" si="3"/>
        <v>-0.69981669011111114</v>
      </c>
      <c r="V22" s="23"/>
      <c r="W22" s="24"/>
      <c r="X22" s="9"/>
      <c r="Y22" s="22">
        <v>1.7195100000000001</v>
      </c>
      <c r="Z22" s="22">
        <v>14.616400000000001</v>
      </c>
      <c r="AA22" s="22">
        <v>-2.47284E-3</v>
      </c>
      <c r="AB22" s="22">
        <v>12</v>
      </c>
      <c r="AC22" s="22">
        <v>1.71814</v>
      </c>
      <c r="AD22">
        <f t="shared" si="4"/>
        <v>3.052888888888889</v>
      </c>
      <c r="AE22">
        <f t="shared" si="5"/>
        <v>5.2494729733333338</v>
      </c>
      <c r="AF22" s="9"/>
      <c r="AG22" s="22">
        <v>-3.9520300000000001E-2</v>
      </c>
      <c r="AH22" s="22">
        <v>18.395299999999999</v>
      </c>
      <c r="AI22" s="22">
        <v>-1.4331099999999999E-2</v>
      </c>
      <c r="AJ22" s="22">
        <v>12</v>
      </c>
      <c r="AK22" s="22">
        <v>-3.9852899999999997E-2</v>
      </c>
      <c r="AL22">
        <f t="shared" si="6"/>
        <v>17.692716049382714</v>
      </c>
      <c r="AM22">
        <f t="shared" si="7"/>
        <v>-0.69922144608641967</v>
      </c>
      <c r="AP22" s="9"/>
      <c r="AQ22" s="22">
        <v>1.7195100000000001</v>
      </c>
      <c r="AR22" s="22">
        <v>23.837599999999998</v>
      </c>
      <c r="AS22" s="22">
        <v>-2.54944E-3</v>
      </c>
      <c r="AT22" s="22">
        <v>12</v>
      </c>
      <c r="AU22" s="22">
        <v>1.71814</v>
      </c>
      <c r="AV22">
        <f t="shared" si="8"/>
        <v>3.1474567901234565</v>
      </c>
      <c r="AW22">
        <f t="shared" si="9"/>
        <v>5.4120834251851848</v>
      </c>
      <c r="AX22" s="9"/>
      <c r="AY22" s="22">
        <v>-3.9520300000000001E-2</v>
      </c>
      <c r="AZ22" s="22">
        <v>27.616499999999998</v>
      </c>
      <c r="BA22" s="22">
        <v>-1.4346299999999999E-2</v>
      </c>
      <c r="BB22" s="22">
        <v>12</v>
      </c>
      <c r="BC22" s="22">
        <v>-3.99078E-2</v>
      </c>
      <c r="BD22">
        <f t="shared" si="10"/>
        <v>17.711481481481481</v>
      </c>
      <c r="BE22">
        <f t="shared" si="11"/>
        <v>-0.69996306159259258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1.71448</v>
      </c>
      <c r="H23" s="22">
        <v>5.3752500000000003</v>
      </c>
      <c r="I23" s="22">
        <v>-3.8095099999999999E-3</v>
      </c>
      <c r="J23" s="22">
        <v>13</v>
      </c>
      <c r="K23" s="22">
        <v>1.71326</v>
      </c>
      <c r="L23">
        <f t="shared" si="0"/>
        <v>4.7030987654320979</v>
      </c>
      <c r="M23">
        <f t="shared" si="1"/>
        <v>8.0633687713580233</v>
      </c>
      <c r="N23" s="9"/>
      <c r="O23" s="22">
        <v>-3.4484899999999999E-2</v>
      </c>
      <c r="P23" s="22">
        <v>9.1541499999999996</v>
      </c>
      <c r="Q23" s="22">
        <v>-1.43433E-2</v>
      </c>
      <c r="R23" s="22">
        <v>13</v>
      </c>
      <c r="S23" s="22">
        <v>-3.48358E-2</v>
      </c>
      <c r="T23">
        <f t="shared" si="2"/>
        <v>17.707777777777778</v>
      </c>
      <c r="U23">
        <f t="shared" si="3"/>
        <v>-0.61065094588888891</v>
      </c>
      <c r="V23" s="23"/>
      <c r="W23" s="24"/>
      <c r="X23" s="9"/>
      <c r="Y23" s="22">
        <v>1.71448</v>
      </c>
      <c r="Z23" s="22">
        <v>14.6264</v>
      </c>
      <c r="AA23" s="22">
        <v>-3.0511499999999999E-3</v>
      </c>
      <c r="AB23" s="22">
        <v>13</v>
      </c>
      <c r="AC23" s="22">
        <v>1.71387</v>
      </c>
      <c r="AD23">
        <f t="shared" si="4"/>
        <v>3.7668518518518517</v>
      </c>
      <c r="AE23">
        <f t="shared" si="5"/>
        <v>6.4581921629629626</v>
      </c>
      <c r="AF23" s="9"/>
      <c r="AG23" s="22">
        <v>-3.4484899999999999E-2</v>
      </c>
      <c r="AH23" s="22">
        <v>18.4053</v>
      </c>
      <c r="AI23" s="22">
        <v>-1.4324999999999999E-2</v>
      </c>
      <c r="AJ23" s="22">
        <v>13</v>
      </c>
      <c r="AK23" s="22">
        <v>-3.4802199999999998E-2</v>
      </c>
      <c r="AL23">
        <f t="shared" si="6"/>
        <v>17.685185185185183</v>
      </c>
      <c r="AM23">
        <f t="shared" si="7"/>
        <v>-0.60987184259259253</v>
      </c>
      <c r="AP23" s="9"/>
      <c r="AQ23" s="22">
        <v>1.71448</v>
      </c>
      <c r="AR23" s="22">
        <v>23.8477</v>
      </c>
      <c r="AS23" s="22">
        <v>-3.2046499999999999E-3</v>
      </c>
      <c r="AT23" s="22">
        <v>13</v>
      </c>
      <c r="AU23" s="22">
        <v>1.71356</v>
      </c>
      <c r="AV23">
        <f t="shared" si="8"/>
        <v>3.9563580246913577</v>
      </c>
      <c r="AW23">
        <f t="shared" si="9"/>
        <v>6.7830967061728389</v>
      </c>
      <c r="AX23" s="9"/>
      <c r="AY23" s="22">
        <v>-3.4484899999999999E-2</v>
      </c>
      <c r="AZ23" s="22">
        <v>27.6266</v>
      </c>
      <c r="BA23" s="22">
        <v>-1.4346299999999999E-2</v>
      </c>
      <c r="BB23" s="22">
        <v>13</v>
      </c>
      <c r="BC23" s="22">
        <v>-3.4851100000000003E-2</v>
      </c>
      <c r="BD23">
        <f t="shared" si="10"/>
        <v>17.711481481481481</v>
      </c>
      <c r="BE23">
        <f t="shared" si="11"/>
        <v>-0.61077866774074074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1.7094400000000001</v>
      </c>
      <c r="H24" s="22">
        <v>5.3853200000000001</v>
      </c>
      <c r="I24" s="22">
        <v>-4.3841599999999998E-3</v>
      </c>
      <c r="J24" s="22">
        <v>14</v>
      </c>
      <c r="K24" s="22">
        <v>1.70807</v>
      </c>
      <c r="L24">
        <f t="shared" si="0"/>
        <v>5.4125432098765431</v>
      </c>
      <c r="M24">
        <f t="shared" si="1"/>
        <v>9.252417864691358</v>
      </c>
      <c r="N24" s="9"/>
      <c r="O24" s="22">
        <v>-2.94495E-2</v>
      </c>
      <c r="P24" s="22">
        <v>9.1642200000000003</v>
      </c>
      <c r="Q24" s="22">
        <v>-1.43372E-2</v>
      </c>
      <c r="R24" s="22">
        <v>14</v>
      </c>
      <c r="S24" s="22">
        <v>-2.98187E-2</v>
      </c>
      <c r="T24">
        <f t="shared" si="2"/>
        <v>17.700246913580244</v>
      </c>
      <c r="U24">
        <f t="shared" si="3"/>
        <v>-0.52126342148148141</v>
      </c>
      <c r="V24" s="23"/>
      <c r="W24" s="24"/>
      <c r="X24" s="9"/>
      <c r="Y24" s="22">
        <v>1.7094400000000001</v>
      </c>
      <c r="Z24" s="22">
        <v>14.6365</v>
      </c>
      <c r="AA24" s="22">
        <v>-3.60809E-3</v>
      </c>
      <c r="AB24" s="22">
        <v>14</v>
      </c>
      <c r="AC24" s="22">
        <v>1.70868</v>
      </c>
      <c r="AD24">
        <f t="shared" si="4"/>
        <v>4.454432098765432</v>
      </c>
      <c r="AE24">
        <f t="shared" si="5"/>
        <v>7.61458440691358</v>
      </c>
      <c r="AF24" s="9"/>
      <c r="AG24" s="22">
        <v>-2.94495E-2</v>
      </c>
      <c r="AH24" s="22">
        <v>18.415400000000002</v>
      </c>
      <c r="AI24" s="22">
        <v>-1.4312699999999999E-2</v>
      </c>
      <c r="AJ24" s="22">
        <v>14</v>
      </c>
      <c r="AK24" s="22">
        <v>-2.9776E-2</v>
      </c>
      <c r="AL24">
        <f t="shared" si="6"/>
        <v>17.669999999999998</v>
      </c>
      <c r="AM24">
        <f t="shared" si="7"/>
        <v>-0.5203726649999999</v>
      </c>
      <c r="AP24" s="9"/>
      <c r="AQ24" s="22">
        <v>1.7094400000000001</v>
      </c>
      <c r="AR24" s="22">
        <v>23.857700000000001</v>
      </c>
      <c r="AS24" s="22">
        <v>-3.8256800000000001E-3</v>
      </c>
      <c r="AT24" s="22">
        <v>14</v>
      </c>
      <c r="AU24" s="22">
        <v>1.7083699999999999</v>
      </c>
      <c r="AV24">
        <f t="shared" si="8"/>
        <v>4.723061728395062</v>
      </c>
      <c r="AW24">
        <f t="shared" si="9"/>
        <v>8.0737906409876548</v>
      </c>
      <c r="AX24" s="9"/>
      <c r="AY24" s="22">
        <v>-2.94495E-2</v>
      </c>
      <c r="AZ24" s="22">
        <v>27.636600000000001</v>
      </c>
      <c r="BA24" s="22">
        <v>-1.4340200000000001E-2</v>
      </c>
      <c r="BB24" s="22">
        <v>14</v>
      </c>
      <c r="BC24" s="22">
        <v>-2.9934700000000002E-2</v>
      </c>
      <c r="BD24">
        <f t="shared" si="10"/>
        <v>17.703950617283951</v>
      </c>
      <c r="BE24">
        <f t="shared" si="11"/>
        <v>-0.52137249370370375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1.70441</v>
      </c>
      <c r="H25" s="22">
        <v>5.3953899999999999</v>
      </c>
      <c r="I25" s="22">
        <v>-4.9233999999999997E-3</v>
      </c>
      <c r="J25" s="22">
        <v>15</v>
      </c>
      <c r="K25" s="22">
        <v>1.7034899999999999</v>
      </c>
      <c r="L25">
        <f t="shared" si="0"/>
        <v>6.078271604938271</v>
      </c>
      <c r="M25">
        <f t="shared" si="1"/>
        <v>10.359866906172838</v>
      </c>
      <c r="N25" s="9"/>
      <c r="O25" s="22">
        <v>-2.4414100000000001E-2</v>
      </c>
      <c r="P25" s="22">
        <v>9.1742899999999992</v>
      </c>
      <c r="Q25" s="22">
        <v>-1.4328E-2</v>
      </c>
      <c r="R25" s="22">
        <v>15</v>
      </c>
      <c r="S25" s="22">
        <v>-2.4764999999999999E-2</v>
      </c>
      <c r="T25">
        <f t="shared" si="2"/>
        <v>17.68888888888889</v>
      </c>
      <c r="U25">
        <f t="shared" si="3"/>
        <v>-0.43185830222222227</v>
      </c>
      <c r="V25" s="23"/>
      <c r="W25" s="24"/>
      <c r="X25" s="9"/>
      <c r="Y25" s="22">
        <v>1.70441</v>
      </c>
      <c r="Z25" s="22">
        <v>14.646599999999999</v>
      </c>
      <c r="AA25" s="22">
        <v>-4.1409300000000001E-3</v>
      </c>
      <c r="AB25" s="22">
        <v>15</v>
      </c>
      <c r="AC25" s="22">
        <v>1.7034899999999999</v>
      </c>
      <c r="AD25">
        <f t="shared" si="4"/>
        <v>5.1122592592592593</v>
      </c>
      <c r="AE25">
        <f t="shared" si="5"/>
        <v>8.7133858040740737</v>
      </c>
      <c r="AF25" s="9"/>
      <c r="AG25" s="22">
        <v>-2.4414100000000001E-2</v>
      </c>
      <c r="AH25" s="22">
        <v>18.4255</v>
      </c>
      <c r="AI25" s="22">
        <v>-1.4300500000000001E-2</v>
      </c>
      <c r="AJ25" s="22">
        <v>15</v>
      </c>
      <c r="AK25" s="22">
        <v>-2.47437E-2</v>
      </c>
      <c r="AL25">
        <f t="shared" si="6"/>
        <v>17.654938271604937</v>
      </c>
      <c r="AM25">
        <f t="shared" si="7"/>
        <v>-0.4310294284567901</v>
      </c>
      <c r="AP25" s="9"/>
      <c r="AQ25" s="22">
        <v>1.70441</v>
      </c>
      <c r="AR25" s="22">
        <v>23.867799999999999</v>
      </c>
      <c r="AS25" s="22">
        <v>-4.4122299999999996E-3</v>
      </c>
      <c r="AT25" s="22">
        <v>15</v>
      </c>
      <c r="AU25" s="22">
        <v>1.7038</v>
      </c>
      <c r="AV25">
        <f t="shared" si="8"/>
        <v>5.4471975308641962</v>
      </c>
      <c r="AW25">
        <f t="shared" si="9"/>
        <v>9.2842579435802453</v>
      </c>
      <c r="AX25" s="9"/>
      <c r="AY25" s="22">
        <v>-2.4414100000000001E-2</v>
      </c>
      <c r="AZ25" s="22">
        <v>27.646699999999999</v>
      </c>
      <c r="BA25" s="22">
        <v>-1.43372E-2</v>
      </c>
      <c r="BB25" s="22">
        <v>15</v>
      </c>
      <c r="BC25" s="22">
        <v>-2.46094E-2</v>
      </c>
      <c r="BD25">
        <f t="shared" si="10"/>
        <v>17.700246913580244</v>
      </c>
      <c r="BE25">
        <f t="shared" si="11"/>
        <v>-0.43213559817283947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1.69937</v>
      </c>
      <c r="H26" s="22">
        <v>5.4054599999999997</v>
      </c>
      <c r="I26" s="22">
        <v>-5.4321300000000003E-3</v>
      </c>
      <c r="J26" s="22">
        <v>16</v>
      </c>
      <c r="K26" s="22">
        <v>1.69861</v>
      </c>
      <c r="L26">
        <f t="shared" si="0"/>
        <v>6.7063333333333333</v>
      </c>
      <c r="M26">
        <f t="shared" si="1"/>
        <v>11.396541676666667</v>
      </c>
      <c r="N26" s="9"/>
      <c r="O26" s="22">
        <v>-1.9378699999999999E-2</v>
      </c>
      <c r="P26" s="22">
        <v>9.1843699999999995</v>
      </c>
      <c r="Q26" s="22">
        <v>-1.43158E-2</v>
      </c>
      <c r="R26" s="22">
        <v>16</v>
      </c>
      <c r="S26" s="22">
        <v>-1.98242E-2</v>
      </c>
      <c r="T26">
        <f t="shared" si="2"/>
        <v>17.673827160493826</v>
      </c>
      <c r="U26">
        <f t="shared" si="3"/>
        <v>-0.34249579439506167</v>
      </c>
      <c r="V26" s="23"/>
      <c r="W26" s="24"/>
      <c r="X26" s="9"/>
      <c r="Y26" s="22">
        <v>1.69937</v>
      </c>
      <c r="Z26" s="22">
        <v>14.656599999999999</v>
      </c>
      <c r="AA26" s="22">
        <v>-4.6490500000000001E-3</v>
      </c>
      <c r="AB26" s="22">
        <v>16</v>
      </c>
      <c r="AC26" s="22">
        <v>1.6982999999999999</v>
      </c>
      <c r="AD26">
        <f t="shared" si="4"/>
        <v>5.7395679012345679</v>
      </c>
      <c r="AE26">
        <f t="shared" si="5"/>
        <v>9.7536495043209879</v>
      </c>
      <c r="AF26" s="9"/>
      <c r="AG26" s="22">
        <v>-1.9378699999999999E-2</v>
      </c>
      <c r="AH26" s="22">
        <v>18.435500000000001</v>
      </c>
      <c r="AI26" s="22">
        <v>-1.42883E-2</v>
      </c>
      <c r="AJ26" s="22">
        <v>16</v>
      </c>
      <c r="AK26" s="22">
        <v>-1.96899E-2</v>
      </c>
      <c r="AL26">
        <f t="shared" si="6"/>
        <v>17.639876543209876</v>
      </c>
      <c r="AM26">
        <f t="shared" si="7"/>
        <v>-0.34183787556790118</v>
      </c>
      <c r="AP26" s="9"/>
      <c r="AQ26" s="22">
        <v>1.69937</v>
      </c>
      <c r="AR26" s="22">
        <v>23.8779</v>
      </c>
      <c r="AS26" s="22">
        <v>-4.9636799999999998E-3</v>
      </c>
      <c r="AT26" s="22">
        <v>16</v>
      </c>
      <c r="AU26" s="22">
        <v>1.698</v>
      </c>
      <c r="AV26">
        <f t="shared" si="8"/>
        <v>6.1280000000000001</v>
      </c>
      <c r="AW26">
        <f t="shared" si="9"/>
        <v>10.413739360000001</v>
      </c>
      <c r="AX26" s="9"/>
      <c r="AY26" s="22">
        <v>-1.9378699999999999E-2</v>
      </c>
      <c r="AZ26" s="22">
        <v>27.6568</v>
      </c>
      <c r="BA26" s="22">
        <v>-1.4331099999999999E-2</v>
      </c>
      <c r="BB26" s="22">
        <v>16</v>
      </c>
      <c r="BC26" s="22">
        <v>-1.9653299999999999E-2</v>
      </c>
      <c r="BD26">
        <f t="shared" si="10"/>
        <v>17.692716049382714</v>
      </c>
      <c r="BE26">
        <f t="shared" si="11"/>
        <v>-0.34286183650617275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1.69434</v>
      </c>
      <c r="H27" s="22">
        <v>5.4155300000000004</v>
      </c>
      <c r="I27" s="22">
        <v>-5.9112499999999998E-3</v>
      </c>
      <c r="J27" s="22">
        <v>17</v>
      </c>
      <c r="K27" s="22">
        <v>1.6934199999999999</v>
      </c>
      <c r="L27">
        <f t="shared" si="0"/>
        <v>7.2978395061728385</v>
      </c>
      <c r="M27">
        <f t="shared" si="1"/>
        <v>12.365021388888886</v>
      </c>
      <c r="N27" s="9"/>
      <c r="O27" s="22">
        <v>-1.43433E-2</v>
      </c>
      <c r="P27" s="22">
        <v>9.1944400000000002</v>
      </c>
      <c r="Q27" s="22">
        <v>-1.43158E-2</v>
      </c>
      <c r="R27" s="22">
        <v>17</v>
      </c>
      <c r="S27" s="22">
        <v>-1.46759E-2</v>
      </c>
      <c r="T27">
        <f t="shared" si="2"/>
        <v>17.673827160493826</v>
      </c>
      <c r="U27">
        <f t="shared" si="3"/>
        <v>-0.25350100511111107</v>
      </c>
      <c r="X27" s="9"/>
      <c r="Y27" s="22">
        <v>1.69434</v>
      </c>
      <c r="Z27" s="22">
        <v>14.666700000000001</v>
      </c>
      <c r="AA27" s="22">
        <v>-5.1330600000000001E-3</v>
      </c>
      <c r="AB27" s="22">
        <v>17</v>
      </c>
      <c r="AC27" s="22">
        <v>1.6934199999999999</v>
      </c>
      <c r="AD27">
        <f t="shared" si="4"/>
        <v>6.3371111111111107</v>
      </c>
      <c r="AE27">
        <f t="shared" si="5"/>
        <v>10.737220839999999</v>
      </c>
      <c r="AF27" s="9"/>
      <c r="AG27" s="22">
        <v>-1.43433E-2</v>
      </c>
      <c r="AH27" s="22">
        <v>18.445599999999999</v>
      </c>
      <c r="AI27" s="22">
        <v>-1.42883E-2</v>
      </c>
      <c r="AJ27" s="22">
        <v>17</v>
      </c>
      <c r="AK27" s="22">
        <v>-1.45294E-2</v>
      </c>
      <c r="AL27">
        <f t="shared" si="6"/>
        <v>17.639876543209876</v>
      </c>
      <c r="AM27">
        <f t="shared" si="7"/>
        <v>-0.25301404122222221</v>
      </c>
      <c r="AP27" s="9"/>
      <c r="AQ27" s="22">
        <v>1.69434</v>
      </c>
      <c r="AR27" s="22">
        <v>23.887899999999998</v>
      </c>
      <c r="AS27" s="22">
        <v>-5.48096E-3</v>
      </c>
      <c r="AT27" s="22">
        <v>17</v>
      </c>
      <c r="AU27" s="22">
        <v>1.69312</v>
      </c>
      <c r="AV27">
        <f t="shared" si="8"/>
        <v>6.766617283950616</v>
      </c>
      <c r="AW27">
        <f t="shared" si="9"/>
        <v>11.464950328888886</v>
      </c>
      <c r="AX27" s="9"/>
      <c r="AY27" s="22">
        <v>-1.43433E-2</v>
      </c>
      <c r="AZ27" s="22">
        <v>27.666799999999999</v>
      </c>
      <c r="BA27" s="22">
        <v>-1.4324999999999999E-2</v>
      </c>
      <c r="BB27" s="22">
        <v>17</v>
      </c>
      <c r="BC27" s="22">
        <v>-1.4584400000000001E-2</v>
      </c>
      <c r="BD27">
        <f t="shared" si="10"/>
        <v>17.685185185185183</v>
      </c>
      <c r="BE27">
        <f t="shared" si="11"/>
        <v>-0.25366391666666666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1.6893</v>
      </c>
      <c r="H28" s="22">
        <v>5.4256000000000002</v>
      </c>
      <c r="I28" s="22">
        <v>-6.3598600000000002E-3</v>
      </c>
      <c r="J28" s="22">
        <v>18</v>
      </c>
      <c r="K28" s="22">
        <v>1.6879299999999999</v>
      </c>
      <c r="L28">
        <f t="shared" si="0"/>
        <v>7.851679012345679</v>
      </c>
      <c r="M28">
        <f t="shared" si="1"/>
        <v>13.263841355555556</v>
      </c>
      <c r="N28" s="9"/>
      <c r="O28" s="22">
        <v>-9.3078599999999994E-3</v>
      </c>
      <c r="P28" s="22">
        <v>9.2045100000000009</v>
      </c>
      <c r="Q28" s="22">
        <v>-1.4306599999999999E-2</v>
      </c>
      <c r="R28" s="22">
        <v>18</v>
      </c>
      <c r="S28" s="22">
        <v>-9.5550500000000007E-3</v>
      </c>
      <c r="T28">
        <f t="shared" si="2"/>
        <v>17.662469135802468</v>
      </c>
      <c r="U28">
        <f t="shared" si="3"/>
        <v>-0.16439978997037036</v>
      </c>
      <c r="X28" s="9"/>
      <c r="Y28" s="22">
        <v>1.6893</v>
      </c>
      <c r="Z28" s="22">
        <v>14.6768</v>
      </c>
      <c r="AA28" s="22">
        <v>-5.5877699999999997E-3</v>
      </c>
      <c r="AB28" s="22">
        <v>18</v>
      </c>
      <c r="AC28" s="22">
        <v>1.6885399999999999</v>
      </c>
      <c r="AD28">
        <f t="shared" si="4"/>
        <v>6.8984814814814799</v>
      </c>
      <c r="AE28">
        <f t="shared" si="5"/>
        <v>11.653604766666664</v>
      </c>
      <c r="AF28" s="9"/>
      <c r="AG28" s="22">
        <v>-9.3078599999999994E-3</v>
      </c>
      <c r="AH28" s="22">
        <v>18.4557</v>
      </c>
      <c r="AI28" s="22">
        <v>-1.4291399999999999E-2</v>
      </c>
      <c r="AJ28" s="22">
        <v>18</v>
      </c>
      <c r="AK28" s="22">
        <v>-9.5367400000000001E-3</v>
      </c>
      <c r="AL28">
        <f t="shared" si="6"/>
        <v>17.643703703703704</v>
      </c>
      <c r="AM28">
        <f t="shared" si="7"/>
        <v>-0.16422512395555555</v>
      </c>
      <c r="AP28" s="9"/>
      <c r="AQ28" s="22">
        <v>1.6893</v>
      </c>
      <c r="AR28" s="22">
        <v>23.898</v>
      </c>
      <c r="AS28" s="22">
        <v>-5.9722899999999999E-3</v>
      </c>
      <c r="AT28" s="22">
        <v>18</v>
      </c>
      <c r="AU28" s="22">
        <v>1.6885399999999999</v>
      </c>
      <c r="AV28">
        <f t="shared" si="8"/>
        <v>7.3731975308641973</v>
      </c>
      <c r="AW28">
        <f t="shared" si="9"/>
        <v>12.455542588888889</v>
      </c>
      <c r="AX28" s="9"/>
      <c r="AY28" s="22">
        <v>-9.3078599999999994E-3</v>
      </c>
      <c r="AZ28" s="22">
        <v>27.6769</v>
      </c>
      <c r="BA28" s="22">
        <v>-1.43188E-2</v>
      </c>
      <c r="BB28" s="22">
        <v>18</v>
      </c>
      <c r="BC28" s="22">
        <v>-9.5123299999999994E-3</v>
      </c>
      <c r="BD28">
        <f t="shared" si="10"/>
        <v>17.677530864197529</v>
      </c>
      <c r="BE28">
        <f t="shared" si="11"/>
        <v>-0.16453998242962961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1.6842699999999999</v>
      </c>
      <c r="H29" s="22">
        <v>5.43567</v>
      </c>
      <c r="I29" s="22">
        <v>-6.7749000000000004E-3</v>
      </c>
      <c r="J29" s="22">
        <v>19</v>
      </c>
      <c r="K29" s="22">
        <v>1.6830400000000001</v>
      </c>
      <c r="L29">
        <f t="shared" si="0"/>
        <v>8.3640740740740736</v>
      </c>
      <c r="M29">
        <f t="shared" si="1"/>
        <v>14.08735904074074</v>
      </c>
      <c r="N29" s="9"/>
      <c r="O29" s="22">
        <v>-4.2724599999999996E-3</v>
      </c>
      <c r="P29" s="22">
        <v>9.2145799999999998</v>
      </c>
      <c r="Q29" s="22">
        <v>-1.4297499999999999E-2</v>
      </c>
      <c r="R29" s="22">
        <v>19</v>
      </c>
      <c r="S29" s="22">
        <v>-4.5379599999999997E-3</v>
      </c>
      <c r="T29">
        <f t="shared" si="2"/>
        <v>17.651234567901231</v>
      </c>
      <c r="U29">
        <f t="shared" si="3"/>
        <v>-7.5414193641975283E-2</v>
      </c>
      <c r="X29" s="9"/>
      <c r="Y29" s="22">
        <v>1.6842699999999999</v>
      </c>
      <c r="Z29" s="22">
        <v>14.6869</v>
      </c>
      <c r="AA29" s="22">
        <v>-6.0211199999999996E-3</v>
      </c>
      <c r="AB29" s="22">
        <v>19</v>
      </c>
      <c r="AC29" s="22">
        <v>1.6836500000000001</v>
      </c>
      <c r="AD29">
        <f t="shared" si="4"/>
        <v>7.43348148148148</v>
      </c>
      <c r="AE29">
        <f t="shared" si="5"/>
        <v>12.519989854814812</v>
      </c>
      <c r="AF29" s="9"/>
      <c r="AG29" s="22">
        <v>-4.2724599999999996E-3</v>
      </c>
      <c r="AH29" s="22">
        <v>18.465800000000002</v>
      </c>
      <c r="AI29" s="22">
        <v>-1.4285300000000001E-2</v>
      </c>
      <c r="AJ29" s="22">
        <v>19</v>
      </c>
      <c r="AK29" s="22">
        <v>-4.6936E-3</v>
      </c>
      <c r="AL29">
        <f t="shared" si="6"/>
        <v>17.636172839506173</v>
      </c>
      <c r="AM29">
        <f t="shared" si="7"/>
        <v>-7.5349843009876544E-2</v>
      </c>
      <c r="AP29" s="9"/>
      <c r="AQ29" s="22">
        <v>1.6842699999999999</v>
      </c>
      <c r="AR29" s="22">
        <v>23.908100000000001</v>
      </c>
      <c r="AS29" s="22">
        <v>-6.4239500000000003E-3</v>
      </c>
      <c r="AT29" s="22">
        <v>19</v>
      </c>
      <c r="AU29" s="22">
        <v>1.6833499999999999</v>
      </c>
      <c r="AV29">
        <f t="shared" si="8"/>
        <v>7.9308024691358021</v>
      </c>
      <c r="AW29">
        <f t="shared" si="9"/>
        <v>13.357612674691357</v>
      </c>
      <c r="AX29" s="9"/>
      <c r="AY29" s="22">
        <v>-4.2724599999999996E-3</v>
      </c>
      <c r="AZ29" s="22">
        <v>27.687000000000001</v>
      </c>
      <c r="BA29" s="22">
        <v>-1.4312699999999999E-2</v>
      </c>
      <c r="BB29" s="22">
        <v>19</v>
      </c>
      <c r="BC29" s="22">
        <v>-4.5227100000000001E-3</v>
      </c>
      <c r="BD29">
        <f t="shared" si="10"/>
        <v>17.669999999999998</v>
      </c>
      <c r="BE29">
        <f t="shared" si="11"/>
        <v>-7.5494368199999981E-2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1.67923</v>
      </c>
      <c r="H30" s="22">
        <v>5.4457399999999998</v>
      </c>
      <c r="I30" s="22">
        <v>-7.1655299999999998E-3</v>
      </c>
      <c r="J30" s="22">
        <v>20</v>
      </c>
      <c r="K30" s="22">
        <v>1.6778599999999999</v>
      </c>
      <c r="L30">
        <f t="shared" si="0"/>
        <v>8.846333333333332</v>
      </c>
      <c r="M30">
        <f t="shared" si="1"/>
        <v>14.855028323333331</v>
      </c>
      <c r="N30" s="9"/>
      <c r="O30" s="22">
        <v>7.6293900000000002E-4</v>
      </c>
      <c r="P30" s="22">
        <v>9.2246500000000005</v>
      </c>
      <c r="Q30" s="22">
        <v>-1.4291399999999999E-2</v>
      </c>
      <c r="R30" s="22">
        <v>20</v>
      </c>
      <c r="S30" s="22">
        <v>6.1035199999999999E-4</v>
      </c>
      <c r="T30">
        <f t="shared" si="2"/>
        <v>17.643703703703704</v>
      </c>
      <c r="U30">
        <f t="shared" si="3"/>
        <v>1.346106966E-2</v>
      </c>
      <c r="X30" s="9"/>
      <c r="Y30" s="22">
        <v>1.67923</v>
      </c>
      <c r="Z30" s="22">
        <v>14.696899999999999</v>
      </c>
      <c r="AA30" s="22">
        <v>-6.4331099999999997E-3</v>
      </c>
      <c r="AB30" s="22">
        <v>20</v>
      </c>
      <c r="AC30" s="22">
        <v>1.6778599999999999</v>
      </c>
      <c r="AD30">
        <f t="shared" si="4"/>
        <v>7.9421111111111102</v>
      </c>
      <c r="AE30">
        <f t="shared" si="5"/>
        <v>13.33663124111111</v>
      </c>
      <c r="AF30" s="9"/>
      <c r="AG30" s="22">
        <v>7.6293900000000002E-4</v>
      </c>
      <c r="AH30" s="22">
        <v>18.4758</v>
      </c>
      <c r="AI30" s="22">
        <v>-1.4279200000000001E-2</v>
      </c>
      <c r="AJ30" s="22">
        <v>20</v>
      </c>
      <c r="AK30" s="22">
        <v>5.1574699999999999E-4</v>
      </c>
      <c r="AL30">
        <f t="shared" si="6"/>
        <v>17.628641975308639</v>
      </c>
      <c r="AM30">
        <f t="shared" si="7"/>
        <v>1.3449578479999998E-2</v>
      </c>
      <c r="AP30" s="9"/>
      <c r="AQ30" s="22">
        <v>1.67923</v>
      </c>
      <c r="AR30" s="22">
        <v>23.918199999999999</v>
      </c>
      <c r="AS30" s="22">
        <v>-6.8573000000000002E-3</v>
      </c>
      <c r="AT30" s="22">
        <v>20</v>
      </c>
      <c r="AU30" s="22">
        <v>1.6778599999999999</v>
      </c>
      <c r="AV30">
        <f t="shared" si="8"/>
        <v>8.4658024691358023</v>
      </c>
      <c r="AW30">
        <f t="shared" si="9"/>
        <v>14.216029480246913</v>
      </c>
      <c r="AX30" s="9"/>
      <c r="AY30" s="22">
        <v>7.6293900000000002E-4</v>
      </c>
      <c r="AZ30" s="22">
        <v>27.697099999999999</v>
      </c>
      <c r="BA30" s="22">
        <v>-1.43097E-2</v>
      </c>
      <c r="BB30" s="22">
        <v>20</v>
      </c>
      <c r="BC30" s="22">
        <v>5.4016100000000005E-4</v>
      </c>
      <c r="BD30">
        <f t="shared" si="10"/>
        <v>17.666296296296295</v>
      </c>
      <c r="BE30">
        <f t="shared" si="11"/>
        <v>1.347830643E-2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1.6741900000000001</v>
      </c>
      <c r="H31" s="22">
        <v>5.4558200000000001</v>
      </c>
      <c r="I31" s="22">
        <v>-7.5317400000000003E-3</v>
      </c>
      <c r="J31" s="22">
        <v>21</v>
      </c>
      <c r="K31" s="22">
        <v>1.6729700000000001</v>
      </c>
      <c r="L31">
        <f t="shared" si="0"/>
        <v>9.2984444444444438</v>
      </c>
      <c r="M31">
        <f t="shared" si="1"/>
        <v>15.567362704444443</v>
      </c>
      <c r="N31" s="9"/>
      <c r="O31" s="22">
        <v>5.7983399999999999E-3</v>
      </c>
      <c r="P31" s="22">
        <v>9.2347199999999994</v>
      </c>
      <c r="Q31" s="22">
        <v>-1.4285300000000001E-2</v>
      </c>
      <c r="R31" s="22">
        <v>21</v>
      </c>
      <c r="S31" s="22">
        <v>5.5786100000000003E-3</v>
      </c>
      <c r="T31">
        <f t="shared" si="2"/>
        <v>17.636172839506173</v>
      </c>
      <c r="U31">
        <f t="shared" si="3"/>
        <v>0.10226052642222222</v>
      </c>
      <c r="X31" s="9"/>
      <c r="Y31" s="22">
        <v>1.6741900000000001</v>
      </c>
      <c r="Z31" s="22">
        <v>14.707000000000001</v>
      </c>
      <c r="AA31" s="22">
        <v>-6.8237300000000001E-3</v>
      </c>
      <c r="AB31" s="22">
        <v>21</v>
      </c>
      <c r="AC31" s="22">
        <v>1.6732800000000001</v>
      </c>
      <c r="AD31">
        <f t="shared" si="4"/>
        <v>8.4243580246913581</v>
      </c>
      <c r="AE31">
        <f t="shared" si="5"/>
        <v>14.103975961358026</v>
      </c>
      <c r="AF31" s="9"/>
      <c r="AG31" s="22">
        <v>5.7983399999999999E-3</v>
      </c>
      <c r="AH31" s="22">
        <v>18.485900000000001</v>
      </c>
      <c r="AI31" s="22">
        <v>-1.42731E-2</v>
      </c>
      <c r="AJ31" s="22">
        <v>21</v>
      </c>
      <c r="AK31" s="22">
        <v>5.6457499999999997E-3</v>
      </c>
      <c r="AL31">
        <f t="shared" si="6"/>
        <v>17.621111111111112</v>
      </c>
      <c r="AM31">
        <f t="shared" si="7"/>
        <v>0.1021731934</v>
      </c>
      <c r="AP31" s="9"/>
      <c r="AQ31" s="22">
        <v>1.6741900000000001</v>
      </c>
      <c r="AR31" s="22">
        <v>23.9282</v>
      </c>
      <c r="AS31" s="22">
        <v>-7.2601300000000001E-3</v>
      </c>
      <c r="AT31" s="22">
        <v>21</v>
      </c>
      <c r="AU31" s="22">
        <v>1.6729700000000001</v>
      </c>
      <c r="AV31">
        <f t="shared" si="8"/>
        <v>8.9631234567901235</v>
      </c>
      <c r="AW31">
        <f t="shared" si="9"/>
        <v>15.005971660123457</v>
      </c>
      <c r="AX31" s="9"/>
      <c r="AY31" s="22">
        <v>5.7983399999999999E-3</v>
      </c>
      <c r="AZ31" s="22">
        <v>27.707100000000001</v>
      </c>
      <c r="BA31" s="22">
        <v>-1.4306599999999999E-2</v>
      </c>
      <c r="BB31" s="22">
        <v>21</v>
      </c>
      <c r="BC31" s="22">
        <v>5.5816700000000004E-3</v>
      </c>
      <c r="BD31">
        <f t="shared" si="10"/>
        <v>17.662469135802468</v>
      </c>
      <c r="BE31">
        <f t="shared" si="11"/>
        <v>0.10241300128888887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1.66916</v>
      </c>
      <c r="H32" s="22">
        <v>5.4658899999999999</v>
      </c>
      <c r="I32" s="22">
        <v>-7.8735400000000001E-3</v>
      </c>
      <c r="J32" s="22">
        <v>22</v>
      </c>
      <c r="K32" s="22">
        <v>1.6674800000000001</v>
      </c>
      <c r="L32">
        <f t="shared" si="0"/>
        <v>9.7204197530864196</v>
      </c>
      <c r="M32">
        <f t="shared" si="1"/>
        <v>16.224935835061729</v>
      </c>
      <c r="N32" s="9"/>
      <c r="O32" s="22">
        <v>1.08337E-2</v>
      </c>
      <c r="P32" s="22">
        <v>9.2447900000000001</v>
      </c>
      <c r="Q32" s="22">
        <v>-1.42761E-2</v>
      </c>
      <c r="R32" s="22">
        <v>22</v>
      </c>
      <c r="S32" s="22">
        <v>1.0665900000000001E-2</v>
      </c>
      <c r="T32">
        <f t="shared" si="2"/>
        <v>17.624814814814812</v>
      </c>
      <c r="U32">
        <f t="shared" si="3"/>
        <v>0.19094195625925922</v>
      </c>
      <c r="X32" s="9"/>
      <c r="Y32" s="22">
        <v>1.66916</v>
      </c>
      <c r="Z32" s="22">
        <v>14.7171</v>
      </c>
      <c r="AA32" s="22">
        <v>-7.1868899999999996E-3</v>
      </c>
      <c r="AB32" s="22">
        <v>22</v>
      </c>
      <c r="AC32" s="22">
        <v>1.6680900000000001</v>
      </c>
      <c r="AD32">
        <f t="shared" si="4"/>
        <v>8.8727037037037029</v>
      </c>
      <c r="AE32">
        <f t="shared" si="5"/>
        <v>14.809962114074072</v>
      </c>
      <c r="AF32" s="9"/>
      <c r="AG32" s="22">
        <v>1.08337E-2</v>
      </c>
      <c r="AH32" s="22">
        <v>18.495999999999999</v>
      </c>
      <c r="AI32" s="22">
        <v>-1.4267E-2</v>
      </c>
      <c r="AJ32" s="22">
        <v>22</v>
      </c>
      <c r="AK32" s="22">
        <v>1.05621E-2</v>
      </c>
      <c r="AL32">
        <f t="shared" si="6"/>
        <v>17.613580246913582</v>
      </c>
      <c r="AM32">
        <f t="shared" si="7"/>
        <v>0.19082024432098768</v>
      </c>
      <c r="AP32" s="9"/>
      <c r="AQ32" s="22">
        <v>1.66916</v>
      </c>
      <c r="AR32" s="22">
        <v>23.938300000000002</v>
      </c>
      <c r="AS32" s="22">
        <v>-7.6324499999999998E-3</v>
      </c>
      <c r="AT32" s="22">
        <v>22</v>
      </c>
      <c r="AU32" s="22">
        <v>1.6684000000000001</v>
      </c>
      <c r="AV32">
        <f t="shared" si="8"/>
        <v>9.4227777777777764</v>
      </c>
      <c r="AW32">
        <f t="shared" si="9"/>
        <v>15.728123755555552</v>
      </c>
      <c r="AX32" s="9"/>
      <c r="AY32" s="22">
        <v>1.08337E-2</v>
      </c>
      <c r="AZ32" s="22">
        <v>27.717199999999998</v>
      </c>
      <c r="BA32" s="22">
        <v>-1.43036E-2</v>
      </c>
      <c r="BB32" s="22">
        <v>22</v>
      </c>
      <c r="BC32" s="22">
        <v>1.05652E-2</v>
      </c>
      <c r="BD32">
        <f t="shared" si="10"/>
        <v>17.658765432098765</v>
      </c>
      <c r="BE32">
        <f t="shared" si="11"/>
        <v>0.19130976706172839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1.66412</v>
      </c>
      <c r="H33" s="22">
        <v>5.4759599999999997</v>
      </c>
      <c r="I33" s="22">
        <v>-8.1909200000000008E-3</v>
      </c>
      <c r="J33" s="22">
        <v>23</v>
      </c>
      <c r="K33" s="22">
        <v>1.6632100000000001</v>
      </c>
      <c r="L33">
        <f t="shared" si="0"/>
        <v>10.112246913580249</v>
      </c>
      <c r="M33">
        <f t="shared" si="1"/>
        <v>16.827992333827165</v>
      </c>
      <c r="N33" s="9"/>
      <c r="O33" s="22">
        <v>1.5869100000000001E-2</v>
      </c>
      <c r="P33" s="22">
        <v>9.2548600000000008</v>
      </c>
      <c r="Q33" s="22">
        <v>-1.42731E-2</v>
      </c>
      <c r="R33" s="22">
        <v>23</v>
      </c>
      <c r="S33" s="22">
        <v>1.5643299999999999E-2</v>
      </c>
      <c r="T33">
        <f t="shared" si="2"/>
        <v>17.621111111111112</v>
      </c>
      <c r="U33">
        <f t="shared" si="3"/>
        <v>0.27963117433333334</v>
      </c>
      <c r="X33" s="9"/>
      <c r="Y33" s="22">
        <v>1.66412</v>
      </c>
      <c r="Z33" s="22">
        <v>14.7271</v>
      </c>
      <c r="AA33" s="22">
        <v>-7.5286900000000002E-3</v>
      </c>
      <c r="AB33" s="22">
        <v>23</v>
      </c>
      <c r="AC33" s="22">
        <v>1.6626000000000001</v>
      </c>
      <c r="AD33">
        <f t="shared" si="4"/>
        <v>9.2946790123456786</v>
      </c>
      <c r="AE33">
        <f t="shared" si="5"/>
        <v>15.467461238024692</v>
      </c>
      <c r="AF33" s="9"/>
      <c r="AG33" s="22">
        <v>1.5869100000000001E-2</v>
      </c>
      <c r="AH33" s="22">
        <v>18.506</v>
      </c>
      <c r="AI33" s="22">
        <v>-1.4263899999999999E-2</v>
      </c>
      <c r="AJ33" s="22">
        <v>23</v>
      </c>
      <c r="AK33" s="22">
        <v>1.5646400000000001E-2</v>
      </c>
      <c r="AL33">
        <f t="shared" si="6"/>
        <v>17.609753086419751</v>
      </c>
      <c r="AM33">
        <f t="shared" si="7"/>
        <v>0.27945093270370369</v>
      </c>
      <c r="AP33" s="9"/>
      <c r="AQ33" s="22">
        <v>1.66412</v>
      </c>
      <c r="AR33" s="22">
        <v>23.948399999999999</v>
      </c>
      <c r="AS33" s="22">
        <v>-7.9711899999999995E-3</v>
      </c>
      <c r="AT33" s="22">
        <v>23</v>
      </c>
      <c r="AU33" s="22">
        <v>1.6629</v>
      </c>
      <c r="AV33">
        <f t="shared" si="8"/>
        <v>9.8409753086419745</v>
      </c>
      <c r="AW33">
        <f t="shared" si="9"/>
        <v>16.376563830617282</v>
      </c>
      <c r="AX33" s="9"/>
      <c r="AY33" s="22">
        <v>1.5869100000000001E-2</v>
      </c>
      <c r="AZ33" s="22">
        <v>27.7273</v>
      </c>
      <c r="BA33" s="22">
        <v>-1.4297499999999999E-2</v>
      </c>
      <c r="BB33" s="22">
        <v>23</v>
      </c>
      <c r="BC33" s="22">
        <v>1.56647E-2</v>
      </c>
      <c r="BD33">
        <f t="shared" si="10"/>
        <v>17.651234567901231</v>
      </c>
      <c r="BE33">
        <f t="shared" si="11"/>
        <v>0.28010920648148141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1.65909</v>
      </c>
      <c r="H34" s="22">
        <v>5.4860300000000004</v>
      </c>
      <c r="I34" s="22">
        <v>-8.48083E-3</v>
      </c>
      <c r="J34" s="22">
        <v>24</v>
      </c>
      <c r="K34" s="22">
        <v>1.65802</v>
      </c>
      <c r="L34">
        <f t="shared" si="0"/>
        <v>10.470160493827159</v>
      </c>
      <c r="M34">
        <f t="shared" si="1"/>
        <v>17.3709385737037</v>
      </c>
      <c r="N34" s="9"/>
      <c r="O34" s="22">
        <v>2.0904499999999999E-2</v>
      </c>
      <c r="P34" s="22">
        <v>9.2649299999999997</v>
      </c>
      <c r="Q34" s="22">
        <v>-1.42731E-2</v>
      </c>
      <c r="R34" s="22">
        <v>24</v>
      </c>
      <c r="S34" s="22">
        <v>2.0639000000000001E-2</v>
      </c>
      <c r="T34">
        <f t="shared" si="2"/>
        <v>17.621111111111112</v>
      </c>
      <c r="U34">
        <f t="shared" si="3"/>
        <v>0.36836051722222224</v>
      </c>
      <c r="X34" s="9"/>
      <c r="Y34" s="22">
        <v>1.65909</v>
      </c>
      <c r="Z34" s="22">
        <v>14.7372</v>
      </c>
      <c r="AA34" s="22">
        <v>-7.8460700000000001E-3</v>
      </c>
      <c r="AB34" s="22">
        <v>24</v>
      </c>
      <c r="AC34" s="22">
        <v>1.65771</v>
      </c>
      <c r="AD34">
        <f t="shared" si="4"/>
        <v>9.6865061728395059</v>
      </c>
      <c r="AE34">
        <f t="shared" si="5"/>
        <v>16.070785526296294</v>
      </c>
      <c r="AF34" s="9"/>
      <c r="AG34" s="22">
        <v>2.0904499999999999E-2</v>
      </c>
      <c r="AH34" s="22">
        <v>18.516100000000002</v>
      </c>
      <c r="AI34" s="22">
        <v>-1.42609E-2</v>
      </c>
      <c r="AJ34" s="22">
        <v>24</v>
      </c>
      <c r="AK34" s="22">
        <v>2.0660399999999999E-2</v>
      </c>
      <c r="AL34">
        <f t="shared" si="6"/>
        <v>17.606049382716048</v>
      </c>
      <c r="AM34">
        <f t="shared" si="7"/>
        <v>0.36804565932098759</v>
      </c>
      <c r="AP34" s="9"/>
      <c r="AQ34" s="22">
        <v>1.65909</v>
      </c>
      <c r="AR34" s="22">
        <v>23.958400000000001</v>
      </c>
      <c r="AS34" s="22">
        <v>-8.2855199999999993E-3</v>
      </c>
      <c r="AT34" s="22">
        <v>24</v>
      </c>
      <c r="AU34" s="22">
        <v>1.65771</v>
      </c>
      <c r="AV34">
        <f t="shared" si="8"/>
        <v>10.229037037037035</v>
      </c>
      <c r="AW34">
        <f t="shared" si="9"/>
        <v>16.970893057777772</v>
      </c>
      <c r="AX34" s="9"/>
      <c r="AY34" s="22">
        <v>2.0904499999999999E-2</v>
      </c>
      <c r="AZ34" s="22">
        <v>27.737300000000001</v>
      </c>
      <c r="BA34" s="22">
        <v>-1.4294400000000001E-2</v>
      </c>
      <c r="BB34" s="22">
        <v>24</v>
      </c>
      <c r="BC34" s="22">
        <v>2.0758100000000002E-2</v>
      </c>
      <c r="BD34">
        <f t="shared" si="10"/>
        <v>17.647407407407407</v>
      </c>
      <c r="BE34">
        <f t="shared" si="11"/>
        <v>0.36891022814814811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1.65405</v>
      </c>
      <c r="H35" s="22">
        <v>5.4961000000000002</v>
      </c>
      <c r="I35" s="22">
        <v>-8.7493899999999993E-3</v>
      </c>
      <c r="J35" s="22">
        <v>25</v>
      </c>
      <c r="K35" s="22">
        <v>1.6531400000000001</v>
      </c>
      <c r="L35">
        <f t="shared" si="0"/>
        <v>10.801716049382714</v>
      </c>
      <c r="M35">
        <f t="shared" si="1"/>
        <v>17.866578431481479</v>
      </c>
      <c r="N35" s="9"/>
      <c r="O35" s="22">
        <v>2.5939899999999998E-2</v>
      </c>
      <c r="P35" s="22">
        <v>9.2750000000000004</v>
      </c>
      <c r="Q35" s="22">
        <v>-1.4267E-2</v>
      </c>
      <c r="R35" s="22">
        <v>25</v>
      </c>
      <c r="S35" s="22">
        <v>2.5695800000000001E-2</v>
      </c>
      <c r="T35">
        <f t="shared" si="2"/>
        <v>17.613580246913582</v>
      </c>
      <c r="U35">
        <f t="shared" si="3"/>
        <v>0.45689451024691358</v>
      </c>
      <c r="X35" s="9"/>
      <c r="Y35" s="22">
        <v>1.65405</v>
      </c>
      <c r="Z35" s="22">
        <v>14.747299999999999</v>
      </c>
      <c r="AA35" s="22">
        <v>-8.1512500000000005E-3</v>
      </c>
      <c r="AB35" s="22">
        <v>25</v>
      </c>
      <c r="AC35" s="22">
        <v>1.6531400000000001</v>
      </c>
      <c r="AD35">
        <f t="shared" si="4"/>
        <v>10.063271604938272</v>
      </c>
      <c r="AE35">
        <f t="shared" si="5"/>
        <v>16.645154398148151</v>
      </c>
      <c r="AF35" s="9"/>
      <c r="AG35" s="22">
        <v>2.5939899999999998E-2</v>
      </c>
      <c r="AH35" s="22">
        <v>18.526199999999999</v>
      </c>
      <c r="AI35" s="22">
        <v>-1.42609E-2</v>
      </c>
      <c r="AJ35" s="22">
        <v>25</v>
      </c>
      <c r="AK35" s="22">
        <v>2.5723300000000001E-2</v>
      </c>
      <c r="AL35">
        <f t="shared" si="6"/>
        <v>17.606049382716048</v>
      </c>
      <c r="AM35">
        <f t="shared" si="7"/>
        <v>0.45669916038271596</v>
      </c>
      <c r="AP35" s="9"/>
      <c r="AQ35" s="22">
        <v>1.65405</v>
      </c>
      <c r="AR35" s="22">
        <v>23.968499999999999</v>
      </c>
      <c r="AS35" s="22">
        <v>-8.5784899999999994E-3</v>
      </c>
      <c r="AT35" s="22">
        <v>25</v>
      </c>
      <c r="AU35" s="22">
        <v>1.65344</v>
      </c>
      <c r="AV35">
        <f t="shared" si="8"/>
        <v>10.590728395061728</v>
      </c>
      <c r="AW35">
        <f t="shared" si="9"/>
        <v>17.517594301851851</v>
      </c>
      <c r="AX35" s="9"/>
      <c r="AY35" s="22">
        <v>2.5939899999999998E-2</v>
      </c>
      <c r="AZ35" s="22">
        <v>27.747399999999999</v>
      </c>
      <c r="BA35" s="22">
        <v>-1.42883E-2</v>
      </c>
      <c r="BB35" s="22">
        <v>25</v>
      </c>
      <c r="BC35" s="22">
        <v>2.5762899999999998E-2</v>
      </c>
      <c r="BD35">
        <f t="shared" si="10"/>
        <v>17.639876543209876</v>
      </c>
      <c r="BE35">
        <f t="shared" si="11"/>
        <v>0.45757663354320982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1.6490199999999999</v>
      </c>
      <c r="H36" s="22">
        <v>5.50617</v>
      </c>
      <c r="I36" s="22">
        <v>-9.0148899999999994E-3</v>
      </c>
      <c r="J36" s="22">
        <v>26</v>
      </c>
      <c r="K36" s="22">
        <v>1.64825</v>
      </c>
      <c r="L36">
        <f t="shared" si="0"/>
        <v>11.129493827160491</v>
      </c>
      <c r="M36">
        <f t="shared" si="1"/>
        <v>18.352757910864192</v>
      </c>
      <c r="N36" s="9"/>
      <c r="O36" s="22">
        <v>3.0975300000000001E-2</v>
      </c>
      <c r="P36" s="22">
        <v>9.2850800000000007</v>
      </c>
      <c r="Q36" s="22">
        <v>-1.4267E-2</v>
      </c>
      <c r="R36" s="22">
        <v>26</v>
      </c>
      <c r="S36" s="22">
        <v>3.0944800000000001E-2</v>
      </c>
      <c r="T36">
        <f t="shared" si="2"/>
        <v>17.613580246913582</v>
      </c>
      <c r="U36">
        <f t="shared" si="3"/>
        <v>0.54558593222222229</v>
      </c>
      <c r="X36" s="9"/>
      <c r="Y36" s="22">
        <v>1.6490199999999999</v>
      </c>
      <c r="Z36" s="22">
        <v>14.757400000000001</v>
      </c>
      <c r="AA36" s="22">
        <v>-8.4320100000000002E-3</v>
      </c>
      <c r="AB36" s="22">
        <v>26</v>
      </c>
      <c r="AC36" s="22">
        <v>1.64795</v>
      </c>
      <c r="AD36">
        <f t="shared" si="4"/>
        <v>10.409888888888888</v>
      </c>
      <c r="AE36">
        <f t="shared" si="5"/>
        <v>17.166114975555555</v>
      </c>
      <c r="AF36" s="9"/>
      <c r="AG36" s="22">
        <v>3.0975300000000001E-2</v>
      </c>
      <c r="AH36" s="22">
        <v>18.536300000000001</v>
      </c>
      <c r="AI36" s="22">
        <v>-1.4257799999999999E-2</v>
      </c>
      <c r="AJ36" s="22">
        <v>26</v>
      </c>
      <c r="AK36" s="22">
        <v>3.0822800000000001E-2</v>
      </c>
      <c r="AL36">
        <f t="shared" si="6"/>
        <v>17.60222222222222</v>
      </c>
      <c r="AM36">
        <f t="shared" si="7"/>
        <v>0.54523411399999999</v>
      </c>
      <c r="AP36" s="9"/>
      <c r="AQ36" s="22">
        <v>1.6490199999999999</v>
      </c>
      <c r="AR36" s="22">
        <v>23.9786</v>
      </c>
      <c r="AS36" s="22">
        <v>-8.8531500000000006E-3</v>
      </c>
      <c r="AT36" s="22">
        <v>26</v>
      </c>
      <c r="AU36" s="22">
        <v>1.64825</v>
      </c>
      <c r="AV36">
        <f t="shared" si="8"/>
        <v>10.929814814814813</v>
      </c>
      <c r="AW36">
        <f t="shared" si="9"/>
        <v>18.023483225925922</v>
      </c>
      <c r="AX36" s="9"/>
      <c r="AY36" s="22">
        <v>3.0975300000000001E-2</v>
      </c>
      <c r="AZ36" s="22">
        <v>27.7575</v>
      </c>
      <c r="BA36" s="22">
        <v>-1.42822E-2</v>
      </c>
      <c r="BB36" s="22">
        <v>26</v>
      </c>
      <c r="BC36" s="22">
        <v>3.08258E-2</v>
      </c>
      <c r="BD36">
        <f t="shared" si="10"/>
        <v>17.632345679012342</v>
      </c>
      <c r="BE36">
        <f t="shared" si="11"/>
        <v>0.54616719711111106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1.64398</v>
      </c>
      <c r="H37" s="22">
        <v>5.5162399999999998</v>
      </c>
      <c r="I37" s="22">
        <v>-9.2498800000000003E-3</v>
      </c>
      <c r="J37" s="22">
        <v>27</v>
      </c>
      <c r="K37" s="22">
        <v>1.64368</v>
      </c>
      <c r="L37">
        <f t="shared" si="0"/>
        <v>11.419604938271604</v>
      </c>
      <c r="M37">
        <f t="shared" si="1"/>
        <v>18.773602126419753</v>
      </c>
      <c r="N37" s="9"/>
      <c r="O37" s="22">
        <v>3.60107E-2</v>
      </c>
      <c r="P37" s="22">
        <v>9.2951499999999996</v>
      </c>
      <c r="Q37" s="22">
        <v>-1.4257799999999999E-2</v>
      </c>
      <c r="R37" s="22">
        <v>27</v>
      </c>
      <c r="S37" s="22">
        <v>3.5839799999999998E-2</v>
      </c>
      <c r="T37">
        <f t="shared" si="2"/>
        <v>17.60222222222222</v>
      </c>
      <c r="U37">
        <f t="shared" si="3"/>
        <v>0.63386834377777768</v>
      </c>
      <c r="X37" s="9"/>
      <c r="Y37" s="22">
        <v>1.64398</v>
      </c>
      <c r="Z37" s="22">
        <v>14.7674</v>
      </c>
      <c r="AA37" s="22">
        <v>-8.6944599999999993E-3</v>
      </c>
      <c r="AB37" s="22">
        <v>27</v>
      </c>
      <c r="AC37" s="22">
        <v>1.64337</v>
      </c>
      <c r="AD37">
        <f t="shared" si="4"/>
        <v>10.733901234567901</v>
      </c>
      <c r="AE37">
        <f t="shared" si="5"/>
        <v>17.646318951604936</v>
      </c>
      <c r="AF37" s="9"/>
      <c r="AG37" s="22">
        <v>3.60107E-2</v>
      </c>
      <c r="AH37" s="22">
        <v>18.546299999999999</v>
      </c>
      <c r="AI37" s="22">
        <v>-1.4263899999999999E-2</v>
      </c>
      <c r="AJ37" s="22">
        <v>27</v>
      </c>
      <c r="AK37" s="22">
        <v>3.5711699999999999E-2</v>
      </c>
      <c r="AL37">
        <f t="shared" si="6"/>
        <v>17.609753086419751</v>
      </c>
      <c r="AM37">
        <f t="shared" si="7"/>
        <v>0.63413953546913571</v>
      </c>
      <c r="AP37" s="9"/>
      <c r="AQ37" s="22">
        <v>1.64398</v>
      </c>
      <c r="AR37" s="22">
        <v>23.988700000000001</v>
      </c>
      <c r="AS37" s="22">
        <v>-9.1064500000000003E-3</v>
      </c>
      <c r="AT37" s="22">
        <v>27</v>
      </c>
      <c r="AU37" s="22">
        <v>1.64337</v>
      </c>
      <c r="AV37">
        <f t="shared" si="8"/>
        <v>11.24253086419753</v>
      </c>
      <c r="AW37">
        <f t="shared" si="9"/>
        <v>18.482495890123456</v>
      </c>
      <c r="AX37" s="9"/>
      <c r="AY37" s="22">
        <v>3.60107E-2</v>
      </c>
      <c r="AZ37" s="22">
        <v>27.767600000000002</v>
      </c>
      <c r="BA37" s="22">
        <v>-1.4279200000000001E-2</v>
      </c>
      <c r="BB37" s="22">
        <v>27</v>
      </c>
      <c r="BC37" s="22">
        <v>3.5794100000000002E-2</v>
      </c>
      <c r="BD37">
        <f t="shared" si="10"/>
        <v>17.628641975308639</v>
      </c>
      <c r="BE37">
        <f t="shared" si="11"/>
        <v>0.63481973758024679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1.6389499999999999</v>
      </c>
      <c r="H38" s="22">
        <v>5.5263099999999996</v>
      </c>
      <c r="I38" s="22">
        <v>-9.4695999999999999E-3</v>
      </c>
      <c r="J38" s="22">
        <v>28</v>
      </c>
      <c r="K38" s="22">
        <v>1.63818</v>
      </c>
      <c r="L38">
        <f t="shared" si="0"/>
        <v>11.690864197530864</v>
      </c>
      <c r="M38">
        <f t="shared" si="1"/>
        <v>19.160741876543209</v>
      </c>
      <c r="N38" s="9"/>
      <c r="O38" s="22">
        <v>4.1046100000000002E-2</v>
      </c>
      <c r="P38" s="22">
        <v>9.3052200000000003</v>
      </c>
      <c r="Q38" s="22">
        <v>-1.42487E-2</v>
      </c>
      <c r="R38" s="22">
        <v>28</v>
      </c>
      <c r="S38" s="22">
        <v>4.0740999999999999E-2</v>
      </c>
      <c r="T38">
        <f t="shared" si="2"/>
        <v>17.590987654320987</v>
      </c>
      <c r="U38">
        <f t="shared" si="3"/>
        <v>0.7220414383580247</v>
      </c>
      <c r="X38" s="9"/>
      <c r="Y38" s="22">
        <v>1.6389499999999999</v>
      </c>
      <c r="Z38" s="22">
        <v>14.7775</v>
      </c>
      <c r="AA38" s="22">
        <v>-8.9446999999999999E-3</v>
      </c>
      <c r="AB38" s="22">
        <v>28</v>
      </c>
      <c r="AC38" s="22">
        <v>1.63818</v>
      </c>
      <c r="AD38">
        <f t="shared" si="4"/>
        <v>11.042839506172838</v>
      </c>
      <c r="AE38">
        <f t="shared" si="5"/>
        <v>18.098661808641971</v>
      </c>
      <c r="AF38" s="9"/>
      <c r="AG38" s="22">
        <v>4.1046100000000002E-2</v>
      </c>
      <c r="AH38" s="22">
        <v>18.5564</v>
      </c>
      <c r="AI38" s="22">
        <v>-1.4263899999999999E-2</v>
      </c>
      <c r="AJ38" s="22">
        <v>28</v>
      </c>
      <c r="AK38" s="22">
        <v>4.0832500000000001E-2</v>
      </c>
      <c r="AL38">
        <f t="shared" si="6"/>
        <v>17.609753086419751</v>
      </c>
      <c r="AM38">
        <f t="shared" si="7"/>
        <v>0.72281168616049374</v>
      </c>
      <c r="AP38" s="9"/>
      <c r="AQ38" s="22">
        <v>1.6389499999999999</v>
      </c>
      <c r="AR38" s="22">
        <v>23.998699999999999</v>
      </c>
      <c r="AS38" s="22">
        <v>-9.3414299999999995E-3</v>
      </c>
      <c r="AT38" s="22">
        <v>28</v>
      </c>
      <c r="AU38" s="22">
        <v>1.63788</v>
      </c>
      <c r="AV38">
        <f t="shared" si="8"/>
        <v>11.532629629629628</v>
      </c>
      <c r="AW38">
        <f t="shared" si="9"/>
        <v>18.901403331481479</v>
      </c>
      <c r="AX38" s="9"/>
      <c r="AY38" s="22">
        <v>4.1046100000000002E-2</v>
      </c>
      <c r="AZ38" s="22">
        <v>27.7776</v>
      </c>
      <c r="BA38" s="22">
        <v>-1.427E-2</v>
      </c>
      <c r="BB38" s="22">
        <v>28</v>
      </c>
      <c r="BC38" s="22">
        <v>4.0777599999999997E-2</v>
      </c>
      <c r="BD38">
        <f t="shared" si="10"/>
        <v>17.617283950617285</v>
      </c>
      <c r="BE38">
        <f t="shared" si="11"/>
        <v>0.72312079876543223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1.63391</v>
      </c>
      <c r="H39" s="22">
        <v>5.5363800000000003</v>
      </c>
      <c r="I39" s="22">
        <v>-9.6771200000000009E-3</v>
      </c>
      <c r="J39" s="22">
        <v>29</v>
      </c>
      <c r="K39" s="22">
        <v>1.63269</v>
      </c>
      <c r="L39">
        <f t="shared" si="0"/>
        <v>11.947061728395061</v>
      </c>
      <c r="M39">
        <f t="shared" si="1"/>
        <v>19.520423628641975</v>
      </c>
      <c r="N39" s="9"/>
      <c r="O39" s="22">
        <v>4.6081499999999997E-2</v>
      </c>
      <c r="P39" s="22">
        <v>9.3152899999999992</v>
      </c>
      <c r="Q39" s="22">
        <v>-1.42395E-2</v>
      </c>
      <c r="R39" s="22">
        <v>29</v>
      </c>
      <c r="S39" s="22">
        <v>4.58649E-2</v>
      </c>
      <c r="T39">
        <f t="shared" si="2"/>
        <v>17.579629629629629</v>
      </c>
      <c r="U39">
        <f t="shared" si="3"/>
        <v>0.81009570277777776</v>
      </c>
      <c r="X39" s="9"/>
      <c r="Y39" s="22">
        <v>1.63391</v>
      </c>
      <c r="Z39" s="22">
        <v>14.787599999999999</v>
      </c>
      <c r="AA39" s="22">
        <v>-9.1735800000000006E-3</v>
      </c>
      <c r="AB39" s="22">
        <v>29</v>
      </c>
      <c r="AC39" s="22">
        <v>1.63361</v>
      </c>
      <c r="AD39">
        <f t="shared" si="4"/>
        <v>11.325407407407408</v>
      </c>
      <c r="AE39">
        <f t="shared" si="5"/>
        <v>18.504696417037039</v>
      </c>
      <c r="AF39" s="9"/>
      <c r="AG39" s="22">
        <v>4.6081499999999997E-2</v>
      </c>
      <c r="AH39" s="22">
        <v>18.566500000000001</v>
      </c>
      <c r="AI39" s="22">
        <v>-1.4267E-2</v>
      </c>
      <c r="AJ39" s="22">
        <v>29</v>
      </c>
      <c r="AK39" s="22">
        <v>4.5904500000000001E-2</v>
      </c>
      <c r="AL39">
        <f t="shared" si="6"/>
        <v>17.613580246913582</v>
      </c>
      <c r="AM39">
        <f t="shared" si="7"/>
        <v>0.81166019814814816</v>
      </c>
      <c r="AP39" s="9"/>
      <c r="AQ39" s="22">
        <v>1.63391</v>
      </c>
      <c r="AR39" s="22">
        <v>24.008800000000001</v>
      </c>
      <c r="AS39" s="22">
        <v>-9.5642100000000001E-3</v>
      </c>
      <c r="AT39" s="22">
        <v>29</v>
      </c>
      <c r="AU39" s="22">
        <v>1.633</v>
      </c>
      <c r="AV39">
        <f t="shared" si="8"/>
        <v>11.807666666666666</v>
      </c>
      <c r="AW39">
        <f t="shared" si="9"/>
        <v>19.292664643333332</v>
      </c>
      <c r="AX39" s="9"/>
      <c r="AY39" s="22">
        <v>4.6081499999999997E-2</v>
      </c>
      <c r="AZ39" s="22">
        <v>27.787700000000001</v>
      </c>
      <c r="BA39" s="22">
        <v>-1.4263899999999999E-2</v>
      </c>
      <c r="BB39" s="22">
        <v>29</v>
      </c>
      <c r="BC39" s="22">
        <v>4.6081499999999997E-2</v>
      </c>
      <c r="BD39">
        <f t="shared" si="10"/>
        <v>17.609753086419751</v>
      </c>
      <c r="BE39">
        <f t="shared" si="11"/>
        <v>0.81148383685185166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1.6288800000000001</v>
      </c>
      <c r="H40" s="22">
        <v>5.5464500000000001</v>
      </c>
      <c r="I40" s="22">
        <v>-9.8724399999999997E-3</v>
      </c>
      <c r="J40" s="22">
        <v>30</v>
      </c>
      <c r="K40" s="22">
        <v>1.6274999999999999</v>
      </c>
      <c r="L40">
        <f t="shared" si="0"/>
        <v>12.188197530864196</v>
      </c>
      <c r="M40">
        <f t="shared" si="1"/>
        <v>19.853111194074074</v>
      </c>
      <c r="N40" s="9"/>
      <c r="O40" s="22">
        <v>5.11169E-2</v>
      </c>
      <c r="P40" s="22">
        <v>9.3253599999999999</v>
      </c>
      <c r="Q40" s="22">
        <v>-1.42334E-2</v>
      </c>
      <c r="R40" s="22">
        <v>30</v>
      </c>
      <c r="S40" s="22">
        <v>5.0848400000000002E-2</v>
      </c>
      <c r="T40">
        <f t="shared" si="2"/>
        <v>17.572098765432099</v>
      </c>
      <c r="U40">
        <f t="shared" si="3"/>
        <v>0.898231215382716</v>
      </c>
      <c r="X40" s="9"/>
      <c r="Y40" s="22">
        <v>1.6288800000000001</v>
      </c>
      <c r="Z40" s="22">
        <v>14.797599999999999</v>
      </c>
      <c r="AA40" s="22">
        <v>-9.3933100000000002E-3</v>
      </c>
      <c r="AB40" s="22">
        <v>30</v>
      </c>
      <c r="AC40" s="22">
        <v>1.6274999999999999</v>
      </c>
      <c r="AD40">
        <f t="shared" si="4"/>
        <v>11.596679012345678</v>
      </c>
      <c r="AE40">
        <f t="shared" si="5"/>
        <v>18.889598509629629</v>
      </c>
      <c r="AF40" s="9"/>
      <c r="AG40" s="22">
        <v>5.11169E-2</v>
      </c>
      <c r="AH40" s="22">
        <v>18.576499999999999</v>
      </c>
      <c r="AI40" s="22">
        <v>-1.4267E-2</v>
      </c>
      <c r="AJ40" s="22">
        <v>30</v>
      </c>
      <c r="AK40" s="22">
        <v>5.0900300000000002E-2</v>
      </c>
      <c r="AL40">
        <f t="shared" si="6"/>
        <v>17.613580246913582</v>
      </c>
      <c r="AM40">
        <f t="shared" si="7"/>
        <v>0.90035162012345682</v>
      </c>
      <c r="AP40" s="9"/>
      <c r="AQ40" s="22">
        <v>1.6288800000000001</v>
      </c>
      <c r="AR40" s="22">
        <v>24.018899999999999</v>
      </c>
      <c r="AS40" s="22">
        <v>-9.7686800000000001E-3</v>
      </c>
      <c r="AT40" s="22">
        <v>30</v>
      </c>
      <c r="AU40" s="22">
        <v>1.6272</v>
      </c>
      <c r="AV40">
        <f t="shared" si="8"/>
        <v>12.060098765432098</v>
      </c>
      <c r="AW40">
        <f t="shared" si="9"/>
        <v>19.644453677037038</v>
      </c>
      <c r="AX40" s="9"/>
      <c r="AY40" s="22">
        <v>5.11169E-2</v>
      </c>
      <c r="AZ40" s="22">
        <v>27.797799999999999</v>
      </c>
      <c r="BA40" s="22">
        <v>-1.4257799999999999E-2</v>
      </c>
      <c r="BB40" s="22">
        <v>30</v>
      </c>
      <c r="BC40" s="22">
        <v>5.0894200000000001E-2</v>
      </c>
      <c r="BD40">
        <f t="shared" si="10"/>
        <v>17.60222222222222</v>
      </c>
      <c r="BE40">
        <f t="shared" si="11"/>
        <v>0.89977103311111106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1.62384</v>
      </c>
      <c r="H41" s="22">
        <v>5.5565300000000004</v>
      </c>
      <c r="I41" s="22">
        <v>-1.0058599999999999E-2</v>
      </c>
      <c r="J41" s="22">
        <v>31</v>
      </c>
      <c r="K41" s="22">
        <v>1.62323</v>
      </c>
      <c r="L41">
        <f t="shared" si="0"/>
        <v>12.418024691358022</v>
      </c>
      <c r="M41">
        <f t="shared" si="1"/>
        <v>20.164885214814809</v>
      </c>
      <c r="N41" s="9"/>
      <c r="O41" s="22">
        <v>5.6152300000000002E-2</v>
      </c>
      <c r="P41" s="22">
        <v>9.3354300000000006</v>
      </c>
      <c r="Q41" s="22">
        <v>-1.4236499999999999E-2</v>
      </c>
      <c r="R41" s="22">
        <v>31</v>
      </c>
      <c r="S41" s="22">
        <v>5.5450399999999997E-2</v>
      </c>
      <c r="T41">
        <f t="shared" si="2"/>
        <v>17.575925925925926</v>
      </c>
      <c r="U41">
        <f t="shared" si="3"/>
        <v>0.98692866537037038</v>
      </c>
      <c r="X41" s="9"/>
      <c r="Y41" s="22">
        <v>1.62384</v>
      </c>
      <c r="Z41" s="22">
        <v>14.807700000000001</v>
      </c>
      <c r="AA41" s="22">
        <v>-9.6008299999999994E-3</v>
      </c>
      <c r="AB41" s="22">
        <v>31</v>
      </c>
      <c r="AC41" s="22">
        <v>1.62323</v>
      </c>
      <c r="AD41">
        <f t="shared" si="4"/>
        <v>11.852876543209875</v>
      </c>
      <c r="AE41">
        <f t="shared" si="5"/>
        <v>19.247175045925925</v>
      </c>
      <c r="AF41" s="9"/>
      <c r="AG41" s="22">
        <v>5.6152300000000002E-2</v>
      </c>
      <c r="AH41" s="22">
        <v>18.586600000000001</v>
      </c>
      <c r="AI41" s="22">
        <v>-1.42609E-2</v>
      </c>
      <c r="AJ41" s="22">
        <v>31</v>
      </c>
      <c r="AK41" s="22">
        <v>5.5542000000000001E-2</v>
      </c>
      <c r="AL41">
        <f t="shared" si="6"/>
        <v>17.606049382716048</v>
      </c>
      <c r="AM41">
        <f t="shared" si="7"/>
        <v>0.98862016675308639</v>
      </c>
      <c r="AP41" s="9"/>
      <c r="AQ41" s="22">
        <v>1.62384</v>
      </c>
      <c r="AR41" s="22">
        <v>24.0289</v>
      </c>
      <c r="AS41" s="22">
        <v>-9.9639900000000007E-3</v>
      </c>
      <c r="AT41" s="22">
        <v>31</v>
      </c>
      <c r="AU41" s="22">
        <v>1.62323</v>
      </c>
      <c r="AV41">
        <f t="shared" si="8"/>
        <v>12.301222222222222</v>
      </c>
      <c r="AW41">
        <f t="shared" si="9"/>
        <v>19.975216693333333</v>
      </c>
      <c r="AX41" s="9"/>
      <c r="AY41" s="22">
        <v>5.6152300000000002E-2</v>
      </c>
      <c r="AZ41" s="22">
        <v>27.8078</v>
      </c>
      <c r="BA41" s="22">
        <v>-1.42487E-2</v>
      </c>
      <c r="BB41" s="22">
        <v>31</v>
      </c>
      <c r="BC41" s="22">
        <v>5.53284E-2</v>
      </c>
      <c r="BD41">
        <f t="shared" si="10"/>
        <v>17.590987654320987</v>
      </c>
      <c r="BE41">
        <f t="shared" si="11"/>
        <v>0.98777441606172844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1.6188</v>
      </c>
      <c r="H42" s="22">
        <v>5.5666000000000002</v>
      </c>
      <c r="I42" s="22">
        <v>-1.02325E-2</v>
      </c>
      <c r="J42" s="22">
        <v>32</v>
      </c>
      <c r="K42" s="22">
        <v>1.61835</v>
      </c>
      <c r="L42">
        <f t="shared" si="0"/>
        <v>12.632716049382715</v>
      </c>
      <c r="M42">
        <f t="shared" si="1"/>
        <v>20.44984074074074</v>
      </c>
      <c r="N42" s="9"/>
      <c r="O42" s="22">
        <v>6.1187699999999998E-2</v>
      </c>
      <c r="P42" s="22">
        <v>9.3454999999999995</v>
      </c>
      <c r="Q42" s="22">
        <v>-1.42395E-2</v>
      </c>
      <c r="R42" s="22">
        <v>32</v>
      </c>
      <c r="S42" s="22">
        <v>6.0668899999999998E-2</v>
      </c>
      <c r="T42">
        <f t="shared" si="2"/>
        <v>17.579629629629629</v>
      </c>
      <c r="U42">
        <f t="shared" si="3"/>
        <v>1.0756571038888889</v>
      </c>
      <c r="X42" s="9"/>
      <c r="Y42" s="22">
        <v>1.6188</v>
      </c>
      <c r="Z42" s="22">
        <v>14.8178</v>
      </c>
      <c r="AA42" s="22">
        <v>-9.7991899999999993E-3</v>
      </c>
      <c r="AB42" s="22">
        <v>32</v>
      </c>
      <c r="AC42" s="22">
        <v>1.61774</v>
      </c>
      <c r="AD42">
        <f t="shared" si="4"/>
        <v>12.097765432098763</v>
      </c>
      <c r="AE42">
        <f t="shared" si="5"/>
        <v>19.583862681481477</v>
      </c>
      <c r="AF42" s="9"/>
      <c r="AG42" s="22">
        <v>6.1187699999999998E-2</v>
      </c>
      <c r="AH42" s="22">
        <v>18.596699999999998</v>
      </c>
      <c r="AI42" s="22">
        <v>-1.42548E-2</v>
      </c>
      <c r="AJ42" s="22">
        <v>32</v>
      </c>
      <c r="AK42" s="22">
        <v>6.0607899999999999E-2</v>
      </c>
      <c r="AL42">
        <f t="shared" si="6"/>
        <v>17.598518518518517</v>
      </c>
      <c r="AM42">
        <f t="shared" si="7"/>
        <v>1.0768128715555554</v>
      </c>
      <c r="AP42" s="9"/>
      <c r="AQ42" s="22">
        <v>1.6188</v>
      </c>
      <c r="AR42" s="22">
        <v>24.039000000000001</v>
      </c>
      <c r="AS42" s="22">
        <v>-1.0141000000000001E-2</v>
      </c>
      <c r="AT42" s="22">
        <v>32</v>
      </c>
      <c r="AU42" s="22">
        <v>1.6180399999999999</v>
      </c>
      <c r="AV42">
        <f t="shared" si="8"/>
        <v>12.519753086419753</v>
      </c>
      <c r="AW42">
        <f t="shared" si="9"/>
        <v>20.266976296296296</v>
      </c>
      <c r="AX42" s="9"/>
      <c r="AY42" s="22">
        <v>6.1187699999999998E-2</v>
      </c>
      <c r="AZ42" s="22">
        <v>27.817900000000002</v>
      </c>
      <c r="BA42" s="22">
        <v>-1.4242599999999999E-2</v>
      </c>
      <c r="BB42" s="22">
        <v>32</v>
      </c>
      <c r="BC42" s="22">
        <v>6.0638400000000002E-2</v>
      </c>
      <c r="BD42">
        <f t="shared" si="10"/>
        <v>17.583456790123453</v>
      </c>
      <c r="BE42">
        <f t="shared" si="11"/>
        <v>1.0758912790370367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1.6137699999999999</v>
      </c>
      <c r="H43" s="22">
        <v>5.57667</v>
      </c>
      <c r="I43" s="22">
        <v>-1.04034E-2</v>
      </c>
      <c r="J43" s="22">
        <v>33</v>
      </c>
      <c r="K43" s="22">
        <v>1.6125499999999999</v>
      </c>
      <c r="L43">
        <f t="shared" si="0"/>
        <v>12.843703703703703</v>
      </c>
      <c r="M43">
        <f t="shared" si="1"/>
        <v>20.726783725925923</v>
      </c>
      <c r="N43" s="9"/>
      <c r="O43" s="22">
        <v>6.6223099999999993E-2</v>
      </c>
      <c r="P43" s="22">
        <v>9.3555700000000002</v>
      </c>
      <c r="Q43" s="22">
        <v>-1.42395E-2</v>
      </c>
      <c r="R43" s="22">
        <v>33</v>
      </c>
      <c r="S43" s="22">
        <v>6.5704299999999993E-2</v>
      </c>
      <c r="T43">
        <f t="shared" si="2"/>
        <v>17.579629629629629</v>
      </c>
      <c r="U43">
        <f t="shared" si="3"/>
        <v>1.1641775709259257</v>
      </c>
      <c r="X43" s="9"/>
      <c r="Y43" s="22">
        <v>1.6137699999999999</v>
      </c>
      <c r="Z43" s="22">
        <v>14.8279</v>
      </c>
      <c r="AA43" s="22">
        <v>-9.9853500000000005E-3</v>
      </c>
      <c r="AB43" s="22">
        <v>33</v>
      </c>
      <c r="AC43" s="22">
        <v>1.6125499999999999</v>
      </c>
      <c r="AD43">
        <f t="shared" si="4"/>
        <v>12.327592592592593</v>
      </c>
      <c r="AE43">
        <f t="shared" si="5"/>
        <v>19.893899098148147</v>
      </c>
      <c r="AF43" s="9"/>
      <c r="AG43" s="22">
        <v>6.6223099999999993E-2</v>
      </c>
      <c r="AH43" s="22">
        <v>18.6068</v>
      </c>
      <c r="AI43" s="22">
        <v>-1.4245600000000001E-2</v>
      </c>
      <c r="AJ43" s="22">
        <v>33</v>
      </c>
      <c r="AK43" s="22">
        <v>6.5643300000000002E-2</v>
      </c>
      <c r="AL43">
        <f t="shared" si="6"/>
        <v>17.58716049382716</v>
      </c>
      <c r="AM43">
        <f t="shared" si="7"/>
        <v>1.1646762880987653</v>
      </c>
      <c r="AP43" s="9"/>
      <c r="AQ43" s="22">
        <v>1.6137699999999999</v>
      </c>
      <c r="AR43" s="22">
        <v>24.049099999999999</v>
      </c>
      <c r="AS43" s="22">
        <v>-1.03058E-2</v>
      </c>
      <c r="AT43" s="22">
        <v>33</v>
      </c>
      <c r="AU43" s="22">
        <v>1.6131599999999999</v>
      </c>
      <c r="AV43">
        <f t="shared" si="8"/>
        <v>12.723209876543208</v>
      </c>
      <c r="AW43">
        <f t="shared" si="9"/>
        <v>20.532334402469132</v>
      </c>
      <c r="AX43" s="9"/>
      <c r="AY43" s="22">
        <v>6.6223099999999993E-2</v>
      </c>
      <c r="AZ43" s="22">
        <v>27.827999999999999</v>
      </c>
      <c r="BA43" s="22">
        <v>-1.42395E-2</v>
      </c>
      <c r="BB43" s="22">
        <v>33</v>
      </c>
      <c r="BC43" s="22">
        <v>6.5765400000000002E-2</v>
      </c>
      <c r="BD43">
        <f t="shared" si="10"/>
        <v>17.579629629629629</v>
      </c>
      <c r="BE43">
        <f t="shared" si="11"/>
        <v>1.1641775709259257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1.60873</v>
      </c>
      <c r="H44" s="22">
        <v>5.5867399999999998</v>
      </c>
      <c r="I44" s="22">
        <v>-1.0555999999999999E-2</v>
      </c>
      <c r="J44" s="22">
        <v>34</v>
      </c>
      <c r="K44" s="22">
        <v>1.6079699999999999</v>
      </c>
      <c r="L44">
        <f t="shared" si="0"/>
        <v>13.032098765432098</v>
      </c>
      <c r="M44">
        <f t="shared" si="1"/>
        <v>20.965128246913579</v>
      </c>
      <c r="N44" s="9"/>
      <c r="O44" s="22">
        <v>7.1258500000000002E-2</v>
      </c>
      <c r="P44" s="22">
        <v>9.3656400000000009</v>
      </c>
      <c r="Q44" s="22">
        <v>-1.4242599999999999E-2</v>
      </c>
      <c r="R44" s="22">
        <v>34</v>
      </c>
      <c r="S44" s="22">
        <v>7.0739700000000003E-2</v>
      </c>
      <c r="T44">
        <f t="shared" si="2"/>
        <v>17.583456790123453</v>
      </c>
      <c r="U44">
        <f t="shared" si="3"/>
        <v>1.2529707556790122</v>
      </c>
      <c r="X44" s="9"/>
      <c r="Y44" s="22">
        <v>1.60873</v>
      </c>
      <c r="Z44" s="22">
        <v>14.837899999999999</v>
      </c>
      <c r="AA44" s="22">
        <v>-1.01593E-2</v>
      </c>
      <c r="AB44" s="22">
        <v>34</v>
      </c>
      <c r="AC44" s="22">
        <v>1.6076699999999999</v>
      </c>
      <c r="AD44">
        <f t="shared" si="4"/>
        <v>12.542345679012344</v>
      </c>
      <c r="AE44">
        <f t="shared" si="5"/>
        <v>20.177247764197528</v>
      </c>
      <c r="AF44" s="9"/>
      <c r="AG44" s="22">
        <v>7.1258500000000002E-2</v>
      </c>
      <c r="AH44" s="22">
        <v>18.616800000000001</v>
      </c>
      <c r="AI44" s="22">
        <v>-1.42395E-2</v>
      </c>
      <c r="AJ44" s="22">
        <v>34</v>
      </c>
      <c r="AK44" s="22">
        <v>7.07092E-2</v>
      </c>
      <c r="AL44">
        <f t="shared" si="6"/>
        <v>17.579629629629629</v>
      </c>
      <c r="AM44">
        <f t="shared" si="7"/>
        <v>1.2526980379629629</v>
      </c>
      <c r="AP44" s="9"/>
      <c r="AQ44" s="22">
        <v>1.60873</v>
      </c>
      <c r="AR44" s="22">
        <v>24.059200000000001</v>
      </c>
      <c r="AS44" s="22">
        <v>-1.04584E-2</v>
      </c>
      <c r="AT44" s="22">
        <v>34</v>
      </c>
      <c r="AU44" s="22">
        <v>1.6076699999999999</v>
      </c>
      <c r="AV44">
        <f t="shared" si="8"/>
        <v>12.911604938271603</v>
      </c>
      <c r="AW44">
        <f t="shared" si="9"/>
        <v>20.771286212345675</v>
      </c>
      <c r="AX44" s="9"/>
      <c r="AY44" s="22">
        <v>7.1258500000000002E-2</v>
      </c>
      <c r="AZ44" s="22">
        <v>27.838100000000001</v>
      </c>
      <c r="BA44" s="22">
        <v>-1.4236499999999999E-2</v>
      </c>
      <c r="BB44" s="22">
        <v>34</v>
      </c>
      <c r="BC44" s="22">
        <v>7.0617700000000005E-2</v>
      </c>
      <c r="BD44">
        <f t="shared" si="10"/>
        <v>17.575925925925926</v>
      </c>
      <c r="BE44">
        <f t="shared" si="11"/>
        <v>1.2524341175925926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1.6036999999999999</v>
      </c>
      <c r="H45" s="22">
        <v>5.5968099999999996</v>
      </c>
      <c r="I45" s="22">
        <v>-1.06964E-2</v>
      </c>
      <c r="J45" s="22">
        <v>35</v>
      </c>
      <c r="K45" s="22">
        <v>1.6027800000000001</v>
      </c>
      <c r="L45">
        <f t="shared" si="0"/>
        <v>13.205432098765431</v>
      </c>
      <c r="M45">
        <f t="shared" si="1"/>
        <v>21.17755145679012</v>
      </c>
      <c r="N45" s="9"/>
      <c r="O45" s="22">
        <v>7.6293899999999998E-2</v>
      </c>
      <c r="P45" s="22">
        <v>9.3757099999999998</v>
      </c>
      <c r="Q45" s="22">
        <v>-1.42487E-2</v>
      </c>
      <c r="R45" s="22">
        <v>35</v>
      </c>
      <c r="S45" s="22">
        <v>7.5866699999999995E-2</v>
      </c>
      <c r="T45">
        <f t="shared" si="2"/>
        <v>17.590987654320987</v>
      </c>
      <c r="U45">
        <f t="shared" si="3"/>
        <v>1.3420850529999999</v>
      </c>
      <c r="X45" s="9"/>
      <c r="Y45" s="22">
        <v>1.6036999999999999</v>
      </c>
      <c r="Z45" s="22">
        <v>14.848000000000001</v>
      </c>
      <c r="AA45" s="22">
        <v>-1.0324099999999999E-2</v>
      </c>
      <c r="AB45" s="22">
        <v>35</v>
      </c>
      <c r="AC45" s="22">
        <v>1.6027800000000001</v>
      </c>
      <c r="AD45">
        <f t="shared" si="4"/>
        <v>12.7458024691358</v>
      </c>
      <c r="AE45">
        <f t="shared" si="5"/>
        <v>20.44044341975308</v>
      </c>
      <c r="AF45" s="9"/>
      <c r="AG45" s="22">
        <v>7.6293899999999998E-2</v>
      </c>
      <c r="AH45" s="22">
        <v>18.626899999999999</v>
      </c>
      <c r="AI45" s="22">
        <v>-1.42334E-2</v>
      </c>
      <c r="AJ45" s="22">
        <v>35</v>
      </c>
      <c r="AK45" s="22">
        <v>7.5683600000000004E-2</v>
      </c>
      <c r="AL45">
        <f t="shared" si="6"/>
        <v>17.572098765432099</v>
      </c>
      <c r="AM45">
        <f t="shared" si="7"/>
        <v>1.3406439459999999</v>
      </c>
      <c r="AP45" s="9"/>
      <c r="AQ45" s="22">
        <v>1.6036999999999999</v>
      </c>
      <c r="AR45" s="22">
        <v>24.069199999999999</v>
      </c>
      <c r="AS45" s="22">
        <v>-1.06079E-2</v>
      </c>
      <c r="AT45" s="22">
        <v>35</v>
      </c>
      <c r="AU45" s="22">
        <v>1.6024799999999999</v>
      </c>
      <c r="AV45">
        <f t="shared" si="8"/>
        <v>13.096172839506172</v>
      </c>
      <c r="AW45">
        <f t="shared" si="9"/>
        <v>21.002332382716048</v>
      </c>
      <c r="AX45" s="9"/>
      <c r="AY45" s="22">
        <v>7.6293899999999998E-2</v>
      </c>
      <c r="AZ45" s="22">
        <v>27.848099999999999</v>
      </c>
      <c r="BA45" s="22">
        <v>-1.42303E-2</v>
      </c>
      <c r="BB45" s="22">
        <v>35</v>
      </c>
      <c r="BC45" s="22">
        <v>7.5683600000000004E-2</v>
      </c>
      <c r="BD45">
        <f t="shared" si="10"/>
        <v>17.568271604938271</v>
      </c>
      <c r="BE45">
        <f t="shared" si="11"/>
        <v>1.340351957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1.59866</v>
      </c>
      <c r="H46" s="22">
        <v>5.6068800000000003</v>
      </c>
      <c r="I46" s="22">
        <v>-1.08307E-2</v>
      </c>
      <c r="J46" s="22">
        <v>36</v>
      </c>
      <c r="K46" s="22">
        <v>1.5972900000000001</v>
      </c>
      <c r="L46">
        <f t="shared" si="0"/>
        <v>13.371234567901235</v>
      </c>
      <c r="M46">
        <f t="shared" si="1"/>
        <v>21.376057854320987</v>
      </c>
      <c r="N46" s="9"/>
      <c r="O46" s="22">
        <v>8.1329299999999993E-2</v>
      </c>
      <c r="P46" s="22">
        <v>9.3857900000000001</v>
      </c>
      <c r="Q46" s="22">
        <v>-1.4242599999999999E-2</v>
      </c>
      <c r="R46" s="22">
        <v>36</v>
      </c>
      <c r="S46" s="22">
        <v>8.0657999999999994E-2</v>
      </c>
      <c r="T46">
        <f t="shared" si="2"/>
        <v>17.583456790123453</v>
      </c>
      <c r="U46">
        <f t="shared" si="3"/>
        <v>1.4300502323209872</v>
      </c>
      <c r="X46" s="9"/>
      <c r="Y46" s="22">
        <v>1.59866</v>
      </c>
      <c r="Z46" s="22">
        <v>14.8581</v>
      </c>
      <c r="AA46" s="22">
        <v>-1.0467499999999999E-2</v>
      </c>
      <c r="AB46" s="22">
        <v>36</v>
      </c>
      <c r="AC46" s="22">
        <v>1.5972900000000001</v>
      </c>
      <c r="AD46">
        <f t="shared" si="4"/>
        <v>12.922839506172838</v>
      </c>
      <c r="AE46">
        <f t="shared" si="5"/>
        <v>20.659226604938269</v>
      </c>
      <c r="AF46" s="9"/>
      <c r="AG46" s="22">
        <v>8.1329299999999993E-2</v>
      </c>
      <c r="AH46" s="22">
        <v>18.637</v>
      </c>
      <c r="AI46" s="22">
        <v>-1.4236499999999999E-2</v>
      </c>
      <c r="AJ46" s="22">
        <v>36</v>
      </c>
      <c r="AK46" s="22">
        <v>8.0749500000000002E-2</v>
      </c>
      <c r="AL46">
        <f t="shared" si="6"/>
        <v>17.575925925925926</v>
      </c>
      <c r="AM46">
        <f t="shared" si="7"/>
        <v>1.4294377524074073</v>
      </c>
      <c r="AP46" s="9"/>
      <c r="AQ46" s="22">
        <v>1.59866</v>
      </c>
      <c r="AR46" s="22">
        <v>24.0793</v>
      </c>
      <c r="AS46" s="22">
        <v>-1.07574E-2</v>
      </c>
      <c r="AT46" s="22">
        <v>36</v>
      </c>
      <c r="AU46" s="22">
        <v>1.5979000000000001</v>
      </c>
      <c r="AV46">
        <f t="shared" si="8"/>
        <v>13.280740740740741</v>
      </c>
      <c r="AW46">
        <f t="shared" si="9"/>
        <v>21.231388992592592</v>
      </c>
      <c r="AX46" s="9"/>
      <c r="AY46" s="22">
        <v>8.1329299999999993E-2</v>
      </c>
      <c r="AZ46" s="22">
        <v>27.8582</v>
      </c>
      <c r="BA46" s="22">
        <v>-1.42273E-2</v>
      </c>
      <c r="BB46" s="22">
        <v>36</v>
      </c>
      <c r="BC46" s="22">
        <v>8.0718999999999999E-2</v>
      </c>
      <c r="BD46">
        <f t="shared" si="10"/>
        <v>17.564567901234565</v>
      </c>
      <c r="BE46">
        <f t="shared" si="11"/>
        <v>1.4285140122098761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1.5936300000000001</v>
      </c>
      <c r="H47" s="22">
        <v>5.6169500000000001</v>
      </c>
      <c r="I47" s="22">
        <v>-1.09619E-2</v>
      </c>
      <c r="J47" s="22">
        <v>37</v>
      </c>
      <c r="K47" s="22">
        <v>1.5930200000000001</v>
      </c>
      <c r="L47">
        <f t="shared" si="0"/>
        <v>13.533209876543209</v>
      </c>
      <c r="M47">
        <f t="shared" si="1"/>
        <v>21.566929255555557</v>
      </c>
      <c r="N47" s="9"/>
      <c r="O47" s="22">
        <v>8.6364700000000003E-2</v>
      </c>
      <c r="P47" s="22">
        <v>9.3958600000000008</v>
      </c>
      <c r="Q47" s="22">
        <v>-1.42334E-2</v>
      </c>
      <c r="R47" s="22">
        <v>37</v>
      </c>
      <c r="S47" s="22">
        <v>8.5784899999999997E-2</v>
      </c>
      <c r="T47">
        <f t="shared" si="2"/>
        <v>17.572098765432099</v>
      </c>
      <c r="U47">
        <f t="shared" si="3"/>
        <v>1.5176090382469136</v>
      </c>
      <c r="X47" s="9"/>
      <c r="Y47" s="22">
        <v>1.5936300000000001</v>
      </c>
      <c r="Z47" s="22">
        <v>14.8681</v>
      </c>
      <c r="AA47" s="22">
        <v>-1.0611000000000001E-2</v>
      </c>
      <c r="AB47" s="22">
        <v>37</v>
      </c>
      <c r="AC47" s="22">
        <v>1.5924100000000001</v>
      </c>
      <c r="AD47">
        <f t="shared" si="4"/>
        <v>13.100000000000001</v>
      </c>
      <c r="AE47">
        <f t="shared" si="5"/>
        <v>20.876553000000005</v>
      </c>
      <c r="AF47" s="9"/>
      <c r="AG47" s="22">
        <v>8.6364700000000003E-2</v>
      </c>
      <c r="AH47" s="22">
        <v>18.646999999999998</v>
      </c>
      <c r="AI47" s="22">
        <v>-1.4242599999999999E-2</v>
      </c>
      <c r="AJ47" s="22">
        <v>37</v>
      </c>
      <c r="AK47" s="22">
        <v>8.5784899999999997E-2</v>
      </c>
      <c r="AL47">
        <f t="shared" si="6"/>
        <v>17.583456790123453</v>
      </c>
      <c r="AM47">
        <f t="shared" si="7"/>
        <v>1.518589970641975</v>
      </c>
      <c r="AP47" s="9"/>
      <c r="AQ47" s="22">
        <v>1.5936300000000001</v>
      </c>
      <c r="AR47" s="22">
        <v>24.089400000000001</v>
      </c>
      <c r="AS47" s="22">
        <v>-1.08948E-2</v>
      </c>
      <c r="AT47" s="22">
        <v>37</v>
      </c>
      <c r="AU47" s="22">
        <v>1.5930200000000001</v>
      </c>
      <c r="AV47">
        <f t="shared" si="8"/>
        <v>13.45037037037037</v>
      </c>
      <c r="AW47">
        <f t="shared" si="9"/>
        <v>21.434913733333335</v>
      </c>
      <c r="AX47" s="9"/>
      <c r="AY47" s="22">
        <v>8.6364700000000003E-2</v>
      </c>
      <c r="AZ47" s="22">
        <v>27.868300000000001</v>
      </c>
      <c r="BA47" s="22">
        <v>-1.42273E-2</v>
      </c>
      <c r="BB47" s="22">
        <v>37</v>
      </c>
      <c r="BC47" s="22">
        <v>8.5662799999999997E-2</v>
      </c>
      <c r="BD47">
        <f t="shared" si="10"/>
        <v>17.564567901234565</v>
      </c>
      <c r="BE47">
        <f t="shared" si="11"/>
        <v>1.5169586374197528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1.5885899999999999</v>
      </c>
      <c r="H48" s="22">
        <v>5.6270199999999999</v>
      </c>
      <c r="I48" s="22">
        <v>-1.1087E-2</v>
      </c>
      <c r="J48" s="22">
        <v>38</v>
      </c>
      <c r="K48" s="22">
        <v>1.58752</v>
      </c>
      <c r="L48">
        <f t="shared" si="0"/>
        <v>13.687654320987654</v>
      </c>
      <c r="M48">
        <f t="shared" si="1"/>
        <v>21.744070777777779</v>
      </c>
      <c r="N48" s="9"/>
      <c r="O48" s="22">
        <v>9.1400099999999998E-2</v>
      </c>
      <c r="P48" s="22">
        <v>9.4059299999999997</v>
      </c>
      <c r="Q48" s="22">
        <v>-1.4224199999999999E-2</v>
      </c>
      <c r="R48" s="22">
        <v>38</v>
      </c>
      <c r="S48" s="22">
        <v>9.0698200000000007E-2</v>
      </c>
      <c r="T48">
        <f t="shared" si="2"/>
        <v>17.560740740740737</v>
      </c>
      <c r="U48">
        <f t="shared" si="3"/>
        <v>1.6050534597777775</v>
      </c>
      <c r="X48" s="9"/>
      <c r="Y48" s="22">
        <v>1.5885899999999999</v>
      </c>
      <c r="Z48" s="22">
        <v>14.8782</v>
      </c>
      <c r="AA48" s="22">
        <v>-1.07422E-2</v>
      </c>
      <c r="AB48" s="22">
        <v>38</v>
      </c>
      <c r="AC48" s="22">
        <v>1.58752</v>
      </c>
      <c r="AD48">
        <f t="shared" si="4"/>
        <v>13.261975308641976</v>
      </c>
      <c r="AE48">
        <f t="shared" si="5"/>
        <v>21.067841355555554</v>
      </c>
      <c r="AF48" s="9"/>
      <c r="AG48" s="22">
        <v>9.1400099999999998E-2</v>
      </c>
      <c r="AH48" s="22">
        <v>18.6571</v>
      </c>
      <c r="AI48" s="22">
        <v>-1.42303E-2</v>
      </c>
      <c r="AJ48" s="22">
        <v>38</v>
      </c>
      <c r="AK48" s="22">
        <v>9.0789800000000004E-2</v>
      </c>
      <c r="AL48">
        <f t="shared" si="6"/>
        <v>17.568271604938271</v>
      </c>
      <c r="AM48">
        <f t="shared" si="7"/>
        <v>1.6057417815185184</v>
      </c>
      <c r="AP48" s="9"/>
      <c r="AQ48" s="22">
        <v>1.5885899999999999</v>
      </c>
      <c r="AR48" s="22">
        <v>24.099399999999999</v>
      </c>
      <c r="AS48" s="22">
        <v>-1.10291E-2</v>
      </c>
      <c r="AT48" s="22">
        <v>38</v>
      </c>
      <c r="AU48" s="22">
        <v>1.58752</v>
      </c>
      <c r="AV48">
        <f t="shared" si="8"/>
        <v>13.616172839506172</v>
      </c>
      <c r="AW48">
        <f t="shared" si="9"/>
        <v>21.630516011111109</v>
      </c>
      <c r="AX48" s="9"/>
      <c r="AY48" s="22">
        <v>9.1400099999999998E-2</v>
      </c>
      <c r="AZ48" s="22">
        <v>27.878299999999999</v>
      </c>
      <c r="BA48" s="22">
        <v>-1.4224199999999999E-2</v>
      </c>
      <c r="BB48" s="22">
        <v>38</v>
      </c>
      <c r="BC48" s="22">
        <v>9.0850799999999995E-2</v>
      </c>
      <c r="BD48">
        <f t="shared" si="10"/>
        <v>17.560740740740737</v>
      </c>
      <c r="BE48">
        <f t="shared" si="11"/>
        <v>1.6050534597777775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1.5835600000000001</v>
      </c>
      <c r="H49" s="22">
        <v>5.6370899999999997</v>
      </c>
      <c r="I49" s="22">
        <v>-1.12061E-2</v>
      </c>
      <c r="J49" s="22">
        <v>39</v>
      </c>
      <c r="K49" s="22">
        <v>1.5823400000000001</v>
      </c>
      <c r="L49">
        <f t="shared" si="0"/>
        <v>13.834691358024692</v>
      </c>
      <c r="M49">
        <f t="shared" si="1"/>
        <v>21.908063846913581</v>
      </c>
      <c r="N49" s="9"/>
      <c r="O49" s="22">
        <v>9.6435499999999993E-2</v>
      </c>
      <c r="P49" s="22">
        <v>9.4160000000000004</v>
      </c>
      <c r="Q49" s="22">
        <v>-1.4218099999999999E-2</v>
      </c>
      <c r="R49" s="22">
        <v>39</v>
      </c>
      <c r="S49" s="22">
        <v>9.5855700000000002E-2</v>
      </c>
      <c r="T49">
        <f t="shared" si="2"/>
        <v>17.553209876543207</v>
      </c>
      <c r="U49">
        <f t="shared" si="3"/>
        <v>1.6927525710493823</v>
      </c>
      <c r="X49" s="9"/>
      <c r="Y49" s="22">
        <v>1.5835600000000001</v>
      </c>
      <c r="Z49" s="22">
        <v>14.888299999999999</v>
      </c>
      <c r="AA49" s="22">
        <v>-1.08673E-2</v>
      </c>
      <c r="AB49" s="22">
        <v>39</v>
      </c>
      <c r="AC49" s="22">
        <v>1.58325</v>
      </c>
      <c r="AD49">
        <f t="shared" si="4"/>
        <v>13.416419753086419</v>
      </c>
      <c r="AE49">
        <f t="shared" si="5"/>
        <v>21.24570566419753</v>
      </c>
      <c r="AF49" s="9"/>
      <c r="AG49" s="22">
        <v>9.6435499999999993E-2</v>
      </c>
      <c r="AH49" s="22">
        <v>18.667200000000001</v>
      </c>
      <c r="AI49" s="22">
        <v>-1.42212E-2</v>
      </c>
      <c r="AJ49" s="22">
        <v>39</v>
      </c>
      <c r="AK49" s="22">
        <v>9.5825199999999999E-2</v>
      </c>
      <c r="AL49">
        <f t="shared" si="6"/>
        <v>17.557037037037034</v>
      </c>
      <c r="AM49">
        <f t="shared" si="7"/>
        <v>1.6931216451851847</v>
      </c>
      <c r="AP49" s="9"/>
      <c r="AQ49" s="22">
        <v>1.5835600000000001</v>
      </c>
      <c r="AR49" s="22">
        <v>24.109500000000001</v>
      </c>
      <c r="AS49" s="22">
        <v>-1.1148099999999999E-2</v>
      </c>
      <c r="AT49" s="22">
        <v>39</v>
      </c>
      <c r="AU49" s="22">
        <v>1.58264</v>
      </c>
      <c r="AV49">
        <f t="shared" si="8"/>
        <v>13.763086419753085</v>
      </c>
      <c r="AW49">
        <f t="shared" si="9"/>
        <v>21.794673130864197</v>
      </c>
      <c r="AX49" s="9"/>
      <c r="AY49" s="22">
        <v>9.6435499999999993E-2</v>
      </c>
      <c r="AZ49" s="22">
        <v>27.888400000000001</v>
      </c>
      <c r="BA49" s="22">
        <v>-1.42151E-2</v>
      </c>
      <c r="BB49" s="22">
        <v>39</v>
      </c>
      <c r="BC49" s="22">
        <v>9.5825199999999999E-2</v>
      </c>
      <c r="BD49">
        <f t="shared" si="10"/>
        <v>17.549506172839507</v>
      </c>
      <c r="BE49">
        <f t="shared" si="11"/>
        <v>1.6923954025308643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1.5785199999999999</v>
      </c>
      <c r="H50" s="22">
        <v>5.6471600000000004</v>
      </c>
      <c r="I50" s="22">
        <v>-1.1312900000000001E-2</v>
      </c>
      <c r="J50" s="22">
        <v>40</v>
      </c>
      <c r="K50" s="22">
        <v>1.57745</v>
      </c>
      <c r="L50">
        <f t="shared" si="0"/>
        <v>13.966543209876543</v>
      </c>
      <c r="M50">
        <f t="shared" si="1"/>
        <v>22.046467787654318</v>
      </c>
      <c r="N50" s="9"/>
      <c r="O50" s="22">
        <v>0.10147100000000001</v>
      </c>
      <c r="P50" s="22">
        <v>9.4260699999999993</v>
      </c>
      <c r="Q50" s="22">
        <v>-1.4212000000000001E-2</v>
      </c>
      <c r="R50" s="22">
        <v>40</v>
      </c>
      <c r="S50" s="22">
        <v>0.10086100000000001</v>
      </c>
      <c r="T50">
        <f t="shared" si="2"/>
        <v>17.54567901234568</v>
      </c>
      <c r="U50">
        <f t="shared" si="3"/>
        <v>1.7803775950617287</v>
      </c>
      <c r="X50" s="9"/>
      <c r="Y50" s="22">
        <v>1.5785199999999999</v>
      </c>
      <c r="Z50" s="22">
        <v>14.898300000000001</v>
      </c>
      <c r="AA50" s="22">
        <v>-1.09894E-2</v>
      </c>
      <c r="AB50" s="22">
        <v>40</v>
      </c>
      <c r="AC50" s="22">
        <v>1.57745</v>
      </c>
      <c r="AD50">
        <f t="shared" si="4"/>
        <v>13.56716049382716</v>
      </c>
      <c r="AE50">
        <f t="shared" si="5"/>
        <v>21.416034182716047</v>
      </c>
      <c r="AF50" s="9"/>
      <c r="AG50" s="22">
        <v>0.10147100000000001</v>
      </c>
      <c r="AH50" s="22">
        <v>18.677299999999999</v>
      </c>
      <c r="AI50" s="22">
        <v>-1.42151E-2</v>
      </c>
      <c r="AJ50" s="22">
        <v>40</v>
      </c>
      <c r="AK50" s="22">
        <v>0.10083</v>
      </c>
      <c r="AL50">
        <f t="shared" si="6"/>
        <v>17.549506172839507</v>
      </c>
      <c r="AM50">
        <f t="shared" si="7"/>
        <v>1.7807659408641978</v>
      </c>
      <c r="AP50" s="9"/>
      <c r="AQ50" s="22">
        <v>1.5785199999999999</v>
      </c>
      <c r="AR50" s="22">
        <v>24.119599999999998</v>
      </c>
      <c r="AS50" s="22">
        <v>-1.1264E-2</v>
      </c>
      <c r="AT50" s="22">
        <v>40</v>
      </c>
      <c r="AU50" s="22">
        <v>1.5783700000000001</v>
      </c>
      <c r="AV50">
        <f t="shared" si="8"/>
        <v>13.906172839506171</v>
      </c>
      <c r="AW50">
        <f t="shared" si="9"/>
        <v>21.95117195061728</v>
      </c>
      <c r="AX50" s="9"/>
      <c r="AY50" s="22">
        <v>0.10147100000000001</v>
      </c>
      <c r="AZ50" s="22">
        <v>27.898499999999999</v>
      </c>
      <c r="BA50" s="22">
        <v>-1.4208999999999999E-2</v>
      </c>
      <c r="BB50" s="22">
        <v>40</v>
      </c>
      <c r="BC50" s="22">
        <v>0.10083</v>
      </c>
      <c r="BD50">
        <f t="shared" si="10"/>
        <v>17.541975308641973</v>
      </c>
      <c r="BE50">
        <f t="shared" si="11"/>
        <v>1.7800017765432097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1.5734900000000001</v>
      </c>
      <c r="H51" s="22">
        <v>5.6572399999999998</v>
      </c>
      <c r="I51" s="22">
        <v>-1.1416600000000001E-2</v>
      </c>
      <c r="J51" s="22">
        <v>41</v>
      </c>
      <c r="K51" s="22">
        <v>1.57257</v>
      </c>
      <c r="L51">
        <f t="shared" si="0"/>
        <v>14.094567901234569</v>
      </c>
      <c r="M51">
        <f t="shared" si="1"/>
        <v>22.177661646913585</v>
      </c>
      <c r="N51" s="9"/>
      <c r="O51" s="22">
        <v>0.106506</v>
      </c>
      <c r="P51" s="22">
        <v>9.43614</v>
      </c>
      <c r="Q51" s="22">
        <v>-1.4212000000000001E-2</v>
      </c>
      <c r="R51" s="22">
        <v>41</v>
      </c>
      <c r="S51" s="22">
        <v>0.105804</v>
      </c>
      <c r="T51">
        <f t="shared" si="2"/>
        <v>17.54567901234568</v>
      </c>
      <c r="U51">
        <f t="shared" si="3"/>
        <v>1.8687200888888891</v>
      </c>
      <c r="X51" s="9"/>
      <c r="Y51" s="22">
        <v>1.5734900000000001</v>
      </c>
      <c r="Z51" s="22">
        <v>14.9084</v>
      </c>
      <c r="AA51" s="22">
        <v>-1.1102300000000001E-2</v>
      </c>
      <c r="AB51" s="22">
        <v>41</v>
      </c>
      <c r="AC51" s="22">
        <v>1.57257</v>
      </c>
      <c r="AD51">
        <f t="shared" si="4"/>
        <v>13.706543209876543</v>
      </c>
      <c r="AE51">
        <f t="shared" si="5"/>
        <v>21.567108675308642</v>
      </c>
      <c r="AF51" s="9"/>
      <c r="AG51" s="22">
        <v>0.106506</v>
      </c>
      <c r="AH51" s="22">
        <v>18.6873</v>
      </c>
      <c r="AI51" s="22">
        <v>-1.4212000000000001E-2</v>
      </c>
      <c r="AJ51" s="22">
        <v>41</v>
      </c>
      <c r="AK51" s="22">
        <v>0.10607900000000001</v>
      </c>
      <c r="AL51">
        <f t="shared" si="6"/>
        <v>17.54567901234568</v>
      </c>
      <c r="AM51">
        <f t="shared" si="7"/>
        <v>1.8687200888888891</v>
      </c>
      <c r="AP51" s="9"/>
      <c r="AQ51" s="22">
        <v>1.5734900000000001</v>
      </c>
      <c r="AR51" s="22">
        <v>24.1296</v>
      </c>
      <c r="AS51" s="22">
        <v>-1.13708E-2</v>
      </c>
      <c r="AT51" s="22">
        <v>41</v>
      </c>
      <c r="AU51" s="22">
        <v>1.5722700000000001</v>
      </c>
      <c r="AV51">
        <f t="shared" si="8"/>
        <v>14.038024691358025</v>
      </c>
      <c r="AW51">
        <f t="shared" si="9"/>
        <v>22.088691471604939</v>
      </c>
      <c r="AX51" s="9"/>
      <c r="AY51" s="22">
        <v>0.106506</v>
      </c>
      <c r="AZ51" s="22">
        <v>27.9086</v>
      </c>
      <c r="BA51" s="22">
        <v>-1.4196800000000001E-2</v>
      </c>
      <c r="BB51" s="22">
        <v>41</v>
      </c>
      <c r="BC51" s="22">
        <v>0.10577400000000001</v>
      </c>
      <c r="BD51">
        <f t="shared" si="10"/>
        <v>17.526913580246916</v>
      </c>
      <c r="BE51">
        <f t="shared" si="11"/>
        <v>1.866721457777778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1.5684499999999999</v>
      </c>
      <c r="H52" s="22">
        <v>5.6673099999999996</v>
      </c>
      <c r="I52" s="22">
        <v>-1.1517299999999999E-2</v>
      </c>
      <c r="J52" s="22">
        <v>42</v>
      </c>
      <c r="K52" s="22">
        <v>1.56708</v>
      </c>
      <c r="L52">
        <f t="shared" si="0"/>
        <v>14.218888888888888</v>
      </c>
      <c r="M52">
        <f t="shared" si="1"/>
        <v>22.301616277777775</v>
      </c>
      <c r="N52" s="9"/>
      <c r="O52" s="22">
        <v>0.111542</v>
      </c>
      <c r="P52" s="22">
        <v>9.4462100000000007</v>
      </c>
      <c r="Q52" s="22">
        <v>-1.4212000000000001E-2</v>
      </c>
      <c r="R52" s="22">
        <v>42</v>
      </c>
      <c r="S52" s="22">
        <v>0.110748</v>
      </c>
      <c r="T52">
        <f t="shared" si="2"/>
        <v>17.54567901234568</v>
      </c>
      <c r="U52">
        <f t="shared" si="3"/>
        <v>1.9570801283950618</v>
      </c>
      <c r="X52" s="9"/>
      <c r="Y52" s="22">
        <v>1.5684499999999999</v>
      </c>
      <c r="Z52" s="22">
        <v>14.9185</v>
      </c>
      <c r="AA52" s="22">
        <v>-1.12091E-2</v>
      </c>
      <c r="AB52" s="22">
        <v>42</v>
      </c>
      <c r="AC52" s="22">
        <v>1.56738</v>
      </c>
      <c r="AD52">
        <f t="shared" si="4"/>
        <v>13.838395061728393</v>
      </c>
      <c r="AE52">
        <f t="shared" si="5"/>
        <v>21.704830734567896</v>
      </c>
      <c r="AF52" s="9"/>
      <c r="AG52" s="22">
        <v>0.111542</v>
      </c>
      <c r="AH52" s="22">
        <v>18.697399999999998</v>
      </c>
      <c r="AI52" s="22">
        <v>-1.4212000000000001E-2</v>
      </c>
      <c r="AJ52" s="22">
        <v>42</v>
      </c>
      <c r="AK52" s="22">
        <v>0.11087</v>
      </c>
      <c r="AL52">
        <f t="shared" si="6"/>
        <v>17.54567901234568</v>
      </c>
      <c r="AM52">
        <f t="shared" si="7"/>
        <v>1.9570801283950618</v>
      </c>
      <c r="AP52" s="9"/>
      <c r="AQ52" s="22">
        <v>1.5684499999999999</v>
      </c>
      <c r="AR52" s="22">
        <v>24.139700000000001</v>
      </c>
      <c r="AS52" s="22">
        <v>-1.14685E-2</v>
      </c>
      <c r="AT52" s="22">
        <v>42</v>
      </c>
      <c r="AU52" s="22">
        <v>1.56799</v>
      </c>
      <c r="AV52">
        <f t="shared" si="8"/>
        <v>14.15864197530864</v>
      </c>
      <c r="AW52">
        <f t="shared" si="9"/>
        <v>22.207122006172835</v>
      </c>
      <c r="AX52" s="9"/>
      <c r="AY52" s="22">
        <v>0.111542</v>
      </c>
      <c r="AZ52" s="22">
        <v>27.918600000000001</v>
      </c>
      <c r="BA52" s="22">
        <v>-1.4196800000000001E-2</v>
      </c>
      <c r="BB52" s="22">
        <v>42</v>
      </c>
      <c r="BC52" s="22">
        <v>0.11087</v>
      </c>
      <c r="BD52">
        <f t="shared" si="10"/>
        <v>17.526913580246916</v>
      </c>
      <c r="BE52">
        <f t="shared" si="11"/>
        <v>1.9549869945679015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1.56342</v>
      </c>
      <c r="H53" s="22">
        <v>5.6773800000000003</v>
      </c>
      <c r="I53" s="22">
        <v>-1.16089E-2</v>
      </c>
      <c r="J53" s="22">
        <v>43</v>
      </c>
      <c r="K53" s="22">
        <v>1.56281</v>
      </c>
      <c r="L53">
        <f t="shared" si="0"/>
        <v>14.331975308641976</v>
      </c>
      <c r="M53">
        <f t="shared" si="1"/>
        <v>22.406896837037038</v>
      </c>
      <c r="N53" s="9"/>
      <c r="O53" s="22">
        <v>0.116577</v>
      </c>
      <c r="P53" s="22">
        <v>9.4562799999999996</v>
      </c>
      <c r="Q53" s="22">
        <v>-1.42059E-2</v>
      </c>
      <c r="R53" s="22">
        <v>43</v>
      </c>
      <c r="S53" s="22">
        <v>0.115936</v>
      </c>
      <c r="T53">
        <f t="shared" si="2"/>
        <v>17.538148148148146</v>
      </c>
      <c r="U53">
        <f t="shared" si="3"/>
        <v>2.0445446966666663</v>
      </c>
      <c r="X53" s="9"/>
      <c r="Y53" s="22">
        <v>1.56342</v>
      </c>
      <c r="Z53" s="22">
        <v>14.928599999999999</v>
      </c>
      <c r="AA53" s="22">
        <v>-1.13098E-2</v>
      </c>
      <c r="AB53" s="22">
        <v>43</v>
      </c>
      <c r="AC53" s="22">
        <v>1.56219</v>
      </c>
      <c r="AD53">
        <f t="shared" si="4"/>
        <v>13.962716049382715</v>
      </c>
      <c r="AE53">
        <f t="shared" si="5"/>
        <v>21.829589525925925</v>
      </c>
      <c r="AF53" s="9"/>
      <c r="AG53" s="22">
        <v>0.116577</v>
      </c>
      <c r="AH53" s="22">
        <v>18.7075</v>
      </c>
      <c r="AI53" s="22">
        <v>-1.4218099999999999E-2</v>
      </c>
      <c r="AJ53" s="22">
        <v>43</v>
      </c>
      <c r="AK53" s="22">
        <v>0.115967</v>
      </c>
      <c r="AL53">
        <f t="shared" si="6"/>
        <v>17.553209876543207</v>
      </c>
      <c r="AM53">
        <f t="shared" si="7"/>
        <v>2.0463005477777774</v>
      </c>
      <c r="AP53" s="9"/>
      <c r="AQ53" s="22">
        <v>1.56342</v>
      </c>
      <c r="AR53" s="22">
        <v>24.149799999999999</v>
      </c>
      <c r="AS53" s="22">
        <v>-1.15662E-2</v>
      </c>
      <c r="AT53" s="22">
        <v>43</v>
      </c>
      <c r="AU53" s="22">
        <v>1.56311</v>
      </c>
      <c r="AV53">
        <f t="shared" si="8"/>
        <v>14.279259259259259</v>
      </c>
      <c r="AW53">
        <f t="shared" si="9"/>
        <v>22.324479511111111</v>
      </c>
      <c r="AX53" s="9"/>
      <c r="AY53" s="22">
        <v>0.116577</v>
      </c>
      <c r="AZ53" s="22">
        <v>27.928699999999999</v>
      </c>
      <c r="BA53" s="22">
        <v>-1.41937E-2</v>
      </c>
      <c r="BB53" s="22">
        <v>43</v>
      </c>
      <c r="BC53" s="22">
        <v>0.11618000000000001</v>
      </c>
      <c r="BD53">
        <f t="shared" si="10"/>
        <v>17.523086419753085</v>
      </c>
      <c r="BE53">
        <f t="shared" si="11"/>
        <v>2.0427888455555552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1.5583800000000001</v>
      </c>
      <c r="H54" s="22">
        <v>5.6874500000000001</v>
      </c>
      <c r="I54" s="22">
        <v>-1.16974E-2</v>
      </c>
      <c r="J54" s="22">
        <v>44</v>
      </c>
      <c r="K54" s="22">
        <v>1.55731</v>
      </c>
      <c r="L54">
        <f t="shared" si="0"/>
        <v>14.441234567901233</v>
      </c>
      <c r="M54">
        <f t="shared" si="1"/>
        <v>22.504931125925925</v>
      </c>
      <c r="N54" s="9"/>
      <c r="O54" s="22">
        <v>0.121613</v>
      </c>
      <c r="P54" s="22">
        <v>9.4663500000000003</v>
      </c>
      <c r="Q54" s="22">
        <v>-1.41998E-2</v>
      </c>
      <c r="R54" s="22">
        <v>44</v>
      </c>
      <c r="S54" s="22">
        <v>0.121033</v>
      </c>
      <c r="T54">
        <f t="shared" si="2"/>
        <v>17.530617283950615</v>
      </c>
      <c r="U54">
        <f t="shared" si="3"/>
        <v>2.1319509597530861</v>
      </c>
      <c r="X54" s="9"/>
      <c r="Y54" s="22">
        <v>1.5583800000000001</v>
      </c>
      <c r="Z54" s="22">
        <v>14.938599999999999</v>
      </c>
      <c r="AA54" s="22">
        <v>-1.1410500000000001E-2</v>
      </c>
      <c r="AB54" s="22">
        <v>44</v>
      </c>
      <c r="AC54" s="22">
        <v>1.55762</v>
      </c>
      <c r="AD54">
        <f t="shared" si="4"/>
        <v>14.087037037037037</v>
      </c>
      <c r="AE54">
        <f t="shared" si="5"/>
        <v>21.952956777777779</v>
      </c>
      <c r="AF54" s="9"/>
      <c r="AG54" s="22">
        <v>0.121613</v>
      </c>
      <c r="AH54" s="22">
        <v>18.717500000000001</v>
      </c>
      <c r="AI54" s="22">
        <v>-1.4212000000000001E-2</v>
      </c>
      <c r="AJ54" s="22">
        <v>44</v>
      </c>
      <c r="AK54" s="22">
        <v>0.12094100000000001</v>
      </c>
      <c r="AL54">
        <f t="shared" si="6"/>
        <v>17.54567901234568</v>
      </c>
      <c r="AM54">
        <f t="shared" si="7"/>
        <v>2.1337826617283953</v>
      </c>
      <c r="AP54" s="9"/>
      <c r="AQ54" s="22">
        <v>1.5583800000000001</v>
      </c>
      <c r="AR54" s="22">
        <v>24.1599</v>
      </c>
      <c r="AS54" s="22">
        <v>-1.16577E-2</v>
      </c>
      <c r="AT54" s="22">
        <v>44</v>
      </c>
      <c r="AU54" s="22">
        <v>1.55731</v>
      </c>
      <c r="AV54">
        <f t="shared" si="8"/>
        <v>14.392222222222221</v>
      </c>
      <c r="AW54">
        <f t="shared" si="9"/>
        <v>22.428551266666666</v>
      </c>
      <c r="AX54" s="9"/>
      <c r="AY54" s="22">
        <v>0.121613</v>
      </c>
      <c r="AZ54" s="22">
        <v>27.938800000000001</v>
      </c>
      <c r="BA54" s="22">
        <v>-1.4196800000000001E-2</v>
      </c>
      <c r="BB54" s="22">
        <v>44</v>
      </c>
      <c r="BC54" s="22">
        <v>0.121002</v>
      </c>
      <c r="BD54">
        <f t="shared" si="10"/>
        <v>17.526913580246916</v>
      </c>
      <c r="BE54">
        <f t="shared" si="11"/>
        <v>2.1315005412345682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1.5533399999999999</v>
      </c>
      <c r="H55" s="22">
        <v>5.6975199999999999</v>
      </c>
      <c r="I55" s="22">
        <v>-1.1770600000000001E-2</v>
      </c>
      <c r="J55" s="22">
        <v>45</v>
      </c>
      <c r="K55" s="22">
        <v>1.5521199999999999</v>
      </c>
      <c r="L55">
        <f t="shared" si="0"/>
        <v>14.531604938271604</v>
      </c>
      <c r="M55">
        <f t="shared" si="1"/>
        <v>22.572523214814812</v>
      </c>
      <c r="N55" s="9"/>
      <c r="O55" s="22">
        <v>0.12664800000000001</v>
      </c>
      <c r="P55" s="22">
        <v>9.4764199999999992</v>
      </c>
      <c r="Q55" s="22">
        <v>-1.4196800000000001E-2</v>
      </c>
      <c r="R55" s="22">
        <v>45</v>
      </c>
      <c r="S55" s="22">
        <v>0.12603800000000001</v>
      </c>
      <c r="T55">
        <f t="shared" si="2"/>
        <v>17.526913580246916</v>
      </c>
      <c r="U55">
        <f t="shared" si="3"/>
        <v>2.2197485511111115</v>
      </c>
      <c r="X55" s="9"/>
      <c r="Y55" s="22">
        <v>1.5533399999999999</v>
      </c>
      <c r="Z55" s="22">
        <v>14.948700000000001</v>
      </c>
      <c r="AA55" s="22">
        <v>-1.15082E-2</v>
      </c>
      <c r="AB55" s="22">
        <v>45</v>
      </c>
      <c r="AC55" s="22">
        <v>1.5521199999999999</v>
      </c>
      <c r="AD55">
        <f t="shared" si="4"/>
        <v>14.207654320987654</v>
      </c>
      <c r="AE55">
        <f t="shared" si="5"/>
        <v>22.06931776296296</v>
      </c>
      <c r="AF55" s="9"/>
      <c r="AG55" s="22">
        <v>0.12664800000000001</v>
      </c>
      <c r="AH55" s="22">
        <v>18.727599999999999</v>
      </c>
      <c r="AI55" s="22">
        <v>-1.4212000000000001E-2</v>
      </c>
      <c r="AJ55" s="22">
        <v>45</v>
      </c>
      <c r="AK55" s="22">
        <v>0.125946</v>
      </c>
      <c r="AL55">
        <f t="shared" si="6"/>
        <v>17.54567901234568</v>
      </c>
      <c r="AM55">
        <f t="shared" si="7"/>
        <v>2.2221251555555557</v>
      </c>
      <c r="AP55" s="9"/>
      <c r="AQ55" s="22">
        <v>1.5533399999999999</v>
      </c>
      <c r="AR55" s="22">
        <v>24.169899999999998</v>
      </c>
      <c r="AS55" s="22">
        <v>-1.17401E-2</v>
      </c>
      <c r="AT55" s="22">
        <v>45</v>
      </c>
      <c r="AU55" s="22">
        <v>1.5521199999999999</v>
      </c>
      <c r="AV55">
        <f t="shared" si="8"/>
        <v>14.49395061728395</v>
      </c>
      <c r="AW55">
        <f t="shared" si="9"/>
        <v>22.514033251851849</v>
      </c>
      <c r="AX55" s="9"/>
      <c r="AY55" s="22">
        <v>0.12664800000000001</v>
      </c>
      <c r="AZ55" s="22">
        <v>27.948799999999999</v>
      </c>
      <c r="BA55" s="22">
        <v>-1.41998E-2</v>
      </c>
      <c r="BB55" s="22">
        <v>45</v>
      </c>
      <c r="BC55" s="22">
        <v>0.12606800000000001</v>
      </c>
      <c r="BD55">
        <f t="shared" si="10"/>
        <v>17.530617283950615</v>
      </c>
      <c r="BE55">
        <f t="shared" si="11"/>
        <v>2.2202176177777777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1.5483100000000001</v>
      </c>
      <c r="H56" s="22">
        <v>5.7075899999999997</v>
      </c>
      <c r="I56" s="22">
        <v>-1.1843899999999999E-2</v>
      </c>
      <c r="J56" s="22">
        <v>46</v>
      </c>
      <c r="K56" s="22">
        <v>1.54694</v>
      </c>
      <c r="L56">
        <f t="shared" si="0"/>
        <v>14.622098765432096</v>
      </c>
      <c r="M56">
        <f t="shared" si="1"/>
        <v>22.639541739506168</v>
      </c>
      <c r="N56" s="9"/>
      <c r="O56" s="22">
        <v>0.13168299999999999</v>
      </c>
      <c r="P56" s="22">
        <v>9.4864999999999995</v>
      </c>
      <c r="Q56" s="22">
        <v>-1.41937E-2</v>
      </c>
      <c r="R56" s="22">
        <v>46</v>
      </c>
      <c r="S56" s="22">
        <v>0.131104</v>
      </c>
      <c r="T56">
        <f t="shared" si="2"/>
        <v>17.523086419753085</v>
      </c>
      <c r="U56">
        <f t="shared" si="3"/>
        <v>2.3074925890123454</v>
      </c>
      <c r="X56" s="9"/>
      <c r="Y56" s="22">
        <v>1.5483100000000001</v>
      </c>
      <c r="Z56" s="22">
        <v>14.9588</v>
      </c>
      <c r="AA56" s="22">
        <v>-1.1593600000000001E-2</v>
      </c>
      <c r="AB56" s="22">
        <v>46</v>
      </c>
      <c r="AC56" s="22">
        <v>1.5472399999999999</v>
      </c>
      <c r="AD56">
        <f t="shared" si="4"/>
        <v>14.313086419753086</v>
      </c>
      <c r="AE56">
        <f t="shared" si="5"/>
        <v>22.161094834567901</v>
      </c>
      <c r="AF56" s="9"/>
      <c r="AG56" s="22">
        <v>0.13168299999999999</v>
      </c>
      <c r="AH56" s="22">
        <v>18.7377</v>
      </c>
      <c r="AI56" s="22">
        <v>-1.4212000000000001E-2</v>
      </c>
      <c r="AJ56" s="22">
        <v>46</v>
      </c>
      <c r="AK56" s="22">
        <v>0.131104</v>
      </c>
      <c r="AL56">
        <f t="shared" si="6"/>
        <v>17.54567901234568</v>
      </c>
      <c r="AM56">
        <f t="shared" si="7"/>
        <v>2.3104676493827161</v>
      </c>
      <c r="AP56" s="9"/>
      <c r="AQ56" s="22">
        <v>1.5483100000000001</v>
      </c>
      <c r="AR56" s="22">
        <v>24.18</v>
      </c>
      <c r="AS56" s="22">
        <v>-1.18256E-2</v>
      </c>
      <c r="AT56" s="22">
        <v>46</v>
      </c>
      <c r="AU56" s="22">
        <v>1.54694</v>
      </c>
      <c r="AV56">
        <f t="shared" si="8"/>
        <v>14.599506172839504</v>
      </c>
      <c r="AW56">
        <f t="shared" si="9"/>
        <v>22.604561402469134</v>
      </c>
      <c r="AX56" s="9"/>
      <c r="AY56" s="22">
        <v>0.13168299999999999</v>
      </c>
      <c r="AZ56" s="22">
        <v>27.9589</v>
      </c>
      <c r="BA56" s="22">
        <v>-1.41998E-2</v>
      </c>
      <c r="BB56" s="22">
        <v>46</v>
      </c>
      <c r="BC56" s="22">
        <v>0.13101199999999999</v>
      </c>
      <c r="BD56">
        <f t="shared" si="10"/>
        <v>17.530617283950615</v>
      </c>
      <c r="BE56">
        <f t="shared" si="11"/>
        <v>2.3084842758024688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1.5432699999999999</v>
      </c>
      <c r="H57" s="22">
        <v>5.7176600000000004</v>
      </c>
      <c r="I57" s="22">
        <v>-1.1920200000000001E-2</v>
      </c>
      <c r="J57" s="22">
        <v>47</v>
      </c>
      <c r="K57" s="22">
        <v>1.5426599999999999</v>
      </c>
      <c r="L57">
        <f t="shared" si="0"/>
        <v>14.716296296296298</v>
      </c>
      <c r="M57">
        <f t="shared" si="1"/>
        <v>22.711218585185186</v>
      </c>
      <c r="N57" s="9"/>
      <c r="O57" s="22">
        <v>0.13671900000000001</v>
      </c>
      <c r="P57" s="22">
        <v>9.4965700000000002</v>
      </c>
      <c r="Q57" s="22">
        <v>-1.41876E-2</v>
      </c>
      <c r="R57" s="22">
        <v>47</v>
      </c>
      <c r="S57" s="22">
        <v>0.13592499999999999</v>
      </c>
      <c r="T57">
        <f t="shared" si="2"/>
        <v>17.515555555555554</v>
      </c>
      <c r="U57">
        <f t="shared" si="3"/>
        <v>2.3947092400000001</v>
      </c>
      <c r="X57" s="9"/>
      <c r="Y57" s="22">
        <v>1.5432699999999999</v>
      </c>
      <c r="Z57" s="22">
        <v>14.9688</v>
      </c>
      <c r="AA57" s="22">
        <v>-1.1676000000000001E-2</v>
      </c>
      <c r="AB57" s="22">
        <v>47</v>
      </c>
      <c r="AC57" s="22">
        <v>1.54236</v>
      </c>
      <c r="AD57">
        <f t="shared" si="4"/>
        <v>14.414814814814815</v>
      </c>
      <c r="AE57">
        <f t="shared" si="5"/>
        <v>22.245951259259257</v>
      </c>
      <c r="AF57" s="9"/>
      <c r="AG57" s="22">
        <v>0.13671900000000001</v>
      </c>
      <c r="AH57" s="22">
        <v>18.747699999999998</v>
      </c>
      <c r="AI57" s="22">
        <v>-1.4208999999999999E-2</v>
      </c>
      <c r="AJ57" s="22">
        <v>47</v>
      </c>
      <c r="AK57" s="22">
        <v>0.136047</v>
      </c>
      <c r="AL57">
        <f t="shared" si="6"/>
        <v>17.541975308641973</v>
      </c>
      <c r="AM57">
        <f t="shared" si="7"/>
        <v>2.3983213222222219</v>
      </c>
      <c r="AP57" s="9"/>
      <c r="AQ57" s="22">
        <v>1.5432699999999999</v>
      </c>
      <c r="AR57" s="22">
        <v>24.190100000000001</v>
      </c>
      <c r="AS57" s="22">
        <v>-1.19049E-2</v>
      </c>
      <c r="AT57" s="22">
        <v>47</v>
      </c>
      <c r="AU57" s="22">
        <v>1.54236</v>
      </c>
      <c r="AV57">
        <f t="shared" si="8"/>
        <v>14.697407407407406</v>
      </c>
      <c r="AW57">
        <f t="shared" si="9"/>
        <v>22.682067929629625</v>
      </c>
      <c r="AX57" s="9"/>
      <c r="AY57" s="22">
        <v>0.13671900000000001</v>
      </c>
      <c r="AZ57" s="22">
        <v>27.969000000000001</v>
      </c>
      <c r="BA57" s="22">
        <v>-1.42059E-2</v>
      </c>
      <c r="BB57" s="22">
        <v>47</v>
      </c>
      <c r="BC57" s="22">
        <v>0.136078</v>
      </c>
      <c r="BD57">
        <f t="shared" si="10"/>
        <v>17.538148148148146</v>
      </c>
      <c r="BE57">
        <f t="shared" si="11"/>
        <v>2.3977980766666667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1.5382400000000001</v>
      </c>
      <c r="H58" s="22">
        <v>5.7277300000000002</v>
      </c>
      <c r="I58" s="22">
        <v>-1.1987299999999999E-2</v>
      </c>
      <c r="J58" s="22">
        <v>48</v>
      </c>
      <c r="K58" s="22">
        <v>1.5365599999999999</v>
      </c>
      <c r="L58">
        <f t="shared" si="0"/>
        <v>14.799135802469134</v>
      </c>
      <c r="M58">
        <f t="shared" si="1"/>
        <v>22.764622656790124</v>
      </c>
      <c r="N58" s="9"/>
      <c r="O58" s="22">
        <v>0.14175399999999999</v>
      </c>
      <c r="P58" s="22">
        <v>9.5066400000000009</v>
      </c>
      <c r="Q58" s="22">
        <v>-1.41846E-2</v>
      </c>
      <c r="R58" s="22">
        <v>48</v>
      </c>
      <c r="S58" s="22">
        <v>0.14117399999999999</v>
      </c>
      <c r="T58">
        <f t="shared" si="2"/>
        <v>17.511851851851851</v>
      </c>
      <c r="U58">
        <f t="shared" si="3"/>
        <v>2.4823750474074071</v>
      </c>
      <c r="X58" s="9"/>
      <c r="Y58" s="22">
        <v>1.5382400000000001</v>
      </c>
      <c r="Z58" s="22">
        <v>14.978899999999999</v>
      </c>
      <c r="AA58" s="22">
        <v>-1.1755399999999999E-2</v>
      </c>
      <c r="AB58" s="22">
        <v>48</v>
      </c>
      <c r="AC58" s="22">
        <v>1.53748</v>
      </c>
      <c r="AD58">
        <f t="shared" si="4"/>
        <v>14.512839506172838</v>
      </c>
      <c r="AE58">
        <f t="shared" si="5"/>
        <v>22.324230241975307</v>
      </c>
      <c r="AF58" s="9"/>
      <c r="AG58" s="22">
        <v>0.14175399999999999</v>
      </c>
      <c r="AH58" s="22">
        <v>18.7578</v>
      </c>
      <c r="AI58" s="22">
        <v>-1.4208999999999999E-2</v>
      </c>
      <c r="AJ58" s="22">
        <v>48</v>
      </c>
      <c r="AK58" s="22">
        <v>0.14117399999999999</v>
      </c>
      <c r="AL58">
        <f t="shared" si="6"/>
        <v>17.541975308641973</v>
      </c>
      <c r="AM58">
        <f t="shared" si="7"/>
        <v>2.486645167901234</v>
      </c>
      <c r="AP58" s="9"/>
      <c r="AQ58" s="22">
        <v>1.5382400000000001</v>
      </c>
      <c r="AR58" s="22">
        <v>24.200099999999999</v>
      </c>
      <c r="AS58" s="22">
        <v>-1.19781E-2</v>
      </c>
      <c r="AT58" s="22">
        <v>48</v>
      </c>
      <c r="AU58" s="22">
        <v>1.53748</v>
      </c>
      <c r="AV58">
        <f t="shared" si="8"/>
        <v>14.787777777777777</v>
      </c>
      <c r="AW58">
        <f t="shared" si="9"/>
        <v>22.747151288888887</v>
      </c>
      <c r="AX58" s="9"/>
      <c r="AY58" s="22">
        <v>0.14175399999999999</v>
      </c>
      <c r="AZ58" s="22">
        <v>27.979099999999999</v>
      </c>
      <c r="BA58" s="22">
        <v>-1.41998E-2</v>
      </c>
      <c r="BB58" s="22">
        <v>48</v>
      </c>
      <c r="BC58" s="22">
        <v>0.14138800000000001</v>
      </c>
      <c r="BD58">
        <f t="shared" si="10"/>
        <v>17.530617283950615</v>
      </c>
      <c r="BE58">
        <f t="shared" si="11"/>
        <v>2.4850351224691352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1.5331999999999999</v>
      </c>
      <c r="H59" s="22">
        <v>5.7378</v>
      </c>
      <c r="I59" s="22">
        <v>-1.20483E-2</v>
      </c>
      <c r="J59" s="22">
        <v>49</v>
      </c>
      <c r="K59" s="22">
        <v>1.5325899999999999</v>
      </c>
      <c r="L59">
        <f t="shared" si="0"/>
        <v>14.874444444444444</v>
      </c>
      <c r="M59">
        <f t="shared" si="1"/>
        <v>22.805498222222219</v>
      </c>
      <c r="N59" s="9"/>
      <c r="O59" s="22">
        <v>0.14679</v>
      </c>
      <c r="P59" s="22">
        <v>9.5167099999999998</v>
      </c>
      <c r="Q59" s="22">
        <v>-1.41876E-2</v>
      </c>
      <c r="R59" s="22">
        <v>49</v>
      </c>
      <c r="S59" s="22">
        <v>0.146179</v>
      </c>
      <c r="T59">
        <f t="shared" si="2"/>
        <v>17.515555555555554</v>
      </c>
      <c r="U59">
        <f t="shared" si="3"/>
        <v>2.5711084</v>
      </c>
      <c r="X59" s="9"/>
      <c r="Y59" s="22">
        <v>1.5331999999999999</v>
      </c>
      <c r="Z59" s="22">
        <v>14.989000000000001</v>
      </c>
      <c r="AA59" s="22">
        <v>-1.1837800000000001E-2</v>
      </c>
      <c r="AB59" s="22">
        <v>49</v>
      </c>
      <c r="AC59" s="22">
        <v>1.5322899999999999</v>
      </c>
      <c r="AD59">
        <f t="shared" si="4"/>
        <v>14.614567901234569</v>
      </c>
      <c r="AE59">
        <f t="shared" si="5"/>
        <v>22.407055506172838</v>
      </c>
      <c r="AF59" s="9"/>
      <c r="AG59" s="22">
        <v>0.14679</v>
      </c>
      <c r="AH59" s="22">
        <v>18.767900000000001</v>
      </c>
      <c r="AI59" s="22">
        <v>-1.42059E-2</v>
      </c>
      <c r="AJ59" s="22">
        <v>49</v>
      </c>
      <c r="AK59" s="22">
        <v>0.146149</v>
      </c>
      <c r="AL59">
        <f t="shared" si="6"/>
        <v>17.538148148148146</v>
      </c>
      <c r="AM59">
        <f t="shared" si="7"/>
        <v>2.5744247666666662</v>
      </c>
      <c r="AP59" s="9"/>
      <c r="AQ59" s="22">
        <v>1.5331999999999999</v>
      </c>
      <c r="AR59" s="22">
        <v>24.2102</v>
      </c>
      <c r="AS59" s="22">
        <v>-1.20453E-2</v>
      </c>
      <c r="AT59" s="22">
        <v>49</v>
      </c>
      <c r="AU59" s="22">
        <v>1.5325899999999999</v>
      </c>
      <c r="AV59">
        <f t="shared" si="8"/>
        <v>14.870740740740739</v>
      </c>
      <c r="AW59">
        <f t="shared" si="9"/>
        <v>22.799819703703701</v>
      </c>
      <c r="AX59" s="9"/>
      <c r="AY59" s="22">
        <v>0.14679</v>
      </c>
      <c r="AZ59" s="22">
        <v>27.989100000000001</v>
      </c>
      <c r="BA59" s="22">
        <v>-1.41998E-2</v>
      </c>
      <c r="BB59" s="22">
        <v>49</v>
      </c>
      <c r="BC59" s="22">
        <v>0.14621000000000001</v>
      </c>
      <c r="BD59">
        <f t="shared" si="10"/>
        <v>17.530617283950615</v>
      </c>
      <c r="BE59">
        <f t="shared" si="11"/>
        <v>2.5733193111111108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1.52817</v>
      </c>
      <c r="H60" s="22">
        <v>5.7478699999999998</v>
      </c>
      <c r="I60" s="22">
        <v>-1.2109399999999999E-2</v>
      </c>
      <c r="J60" s="22">
        <v>50</v>
      </c>
      <c r="K60" s="22">
        <v>1.5267900000000001</v>
      </c>
      <c r="L60">
        <f t="shared" si="0"/>
        <v>14.949876543209875</v>
      </c>
      <c r="M60">
        <f t="shared" si="1"/>
        <v>22.845952837037036</v>
      </c>
      <c r="N60" s="9"/>
      <c r="O60" s="22">
        <v>0.15182499999999999</v>
      </c>
      <c r="P60" s="22">
        <v>9.5267800000000005</v>
      </c>
      <c r="Q60" s="22">
        <v>-1.41815E-2</v>
      </c>
      <c r="R60" s="22">
        <v>50</v>
      </c>
      <c r="S60" s="22">
        <v>0.151306</v>
      </c>
      <c r="T60">
        <f t="shared" si="2"/>
        <v>17.508024691358024</v>
      </c>
      <c r="U60">
        <f t="shared" si="3"/>
        <v>2.658155848765432</v>
      </c>
      <c r="X60" s="9"/>
      <c r="Y60" s="22">
        <v>1.52817</v>
      </c>
      <c r="Z60" s="22">
        <v>14.9991</v>
      </c>
      <c r="AA60" s="22">
        <v>-1.19171E-2</v>
      </c>
      <c r="AB60" s="22">
        <v>50</v>
      </c>
      <c r="AC60" s="22">
        <v>1.5274000000000001</v>
      </c>
      <c r="AD60">
        <f t="shared" si="4"/>
        <v>14.712469135802468</v>
      </c>
      <c r="AE60">
        <f t="shared" si="5"/>
        <v>22.483153959259258</v>
      </c>
      <c r="AF60" s="9"/>
      <c r="AG60" s="22">
        <v>0.15182499999999999</v>
      </c>
      <c r="AH60" s="22">
        <v>18.777999999999999</v>
      </c>
      <c r="AI60" s="22">
        <v>-1.42059E-2</v>
      </c>
      <c r="AJ60" s="22">
        <v>50</v>
      </c>
      <c r="AK60" s="22">
        <v>0.15118400000000001</v>
      </c>
      <c r="AL60">
        <f t="shared" si="6"/>
        <v>17.538148148148146</v>
      </c>
      <c r="AM60">
        <f t="shared" si="7"/>
        <v>2.6627293425925922</v>
      </c>
      <c r="AP60" s="9"/>
      <c r="AQ60" s="22">
        <v>1.52817</v>
      </c>
      <c r="AR60" s="22">
        <v>24.220300000000002</v>
      </c>
      <c r="AS60" s="22">
        <v>-1.2109399999999999E-2</v>
      </c>
      <c r="AT60" s="22">
        <v>50</v>
      </c>
      <c r="AU60" s="22">
        <v>1.5274000000000001</v>
      </c>
      <c r="AV60">
        <f t="shared" si="8"/>
        <v>14.949876543209875</v>
      </c>
      <c r="AW60">
        <f t="shared" si="9"/>
        <v>22.845952837037036</v>
      </c>
      <c r="AX60" s="9"/>
      <c r="AY60" s="22">
        <v>0.15182499999999999</v>
      </c>
      <c r="AZ60" s="22">
        <v>27.999199999999998</v>
      </c>
      <c r="BA60" s="22">
        <v>-1.42059E-2</v>
      </c>
      <c r="BB60" s="22">
        <v>50</v>
      </c>
      <c r="BC60" s="22">
        <v>0.15112300000000001</v>
      </c>
      <c r="BD60">
        <f t="shared" si="10"/>
        <v>17.538148148148146</v>
      </c>
      <c r="BE60">
        <f t="shared" si="11"/>
        <v>2.6627293425925922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1.5231300000000001</v>
      </c>
      <c r="H61" s="22">
        <v>5.7579500000000001</v>
      </c>
      <c r="I61" s="22">
        <v>-1.21704E-2</v>
      </c>
      <c r="J61" s="22">
        <v>51</v>
      </c>
      <c r="K61" s="22">
        <v>1.5222199999999999</v>
      </c>
      <c r="L61">
        <f t="shared" si="0"/>
        <v>15.025185185185183</v>
      </c>
      <c r="M61">
        <f t="shared" si="1"/>
        <v>22.885310311111109</v>
      </c>
      <c r="N61" s="9"/>
      <c r="O61" s="22">
        <v>0.15686</v>
      </c>
      <c r="P61" s="22">
        <v>9.5368499999999994</v>
      </c>
      <c r="Q61" s="22">
        <v>-1.41846E-2</v>
      </c>
      <c r="R61" s="22">
        <v>51</v>
      </c>
      <c r="S61" s="22">
        <v>0.15625</v>
      </c>
      <c r="T61">
        <f t="shared" si="2"/>
        <v>17.511851851851851</v>
      </c>
      <c r="U61">
        <f t="shared" si="3"/>
        <v>2.7469090814814816</v>
      </c>
      <c r="X61" s="9"/>
      <c r="Y61" s="22">
        <v>1.5231300000000001</v>
      </c>
      <c r="Z61" s="22">
        <v>15.0091</v>
      </c>
      <c r="AA61" s="22">
        <v>-1.1987299999999999E-2</v>
      </c>
      <c r="AB61" s="22">
        <v>51</v>
      </c>
      <c r="AC61" s="22">
        <v>1.5225200000000001</v>
      </c>
      <c r="AD61">
        <f t="shared" si="4"/>
        <v>14.799135802469134</v>
      </c>
      <c r="AE61">
        <f t="shared" si="5"/>
        <v>22.541007714814814</v>
      </c>
      <c r="AF61" s="9"/>
      <c r="AG61" s="22">
        <v>0.15686</v>
      </c>
      <c r="AH61" s="22">
        <v>18.788</v>
      </c>
      <c r="AI61" s="22">
        <v>-1.42059E-2</v>
      </c>
      <c r="AJ61" s="22">
        <v>51</v>
      </c>
      <c r="AK61" s="22">
        <v>0.15637200000000001</v>
      </c>
      <c r="AL61">
        <f t="shared" si="6"/>
        <v>17.538148148148146</v>
      </c>
      <c r="AM61">
        <f t="shared" si="7"/>
        <v>2.7510339185185182</v>
      </c>
      <c r="AP61" s="9"/>
      <c r="AQ61" s="22">
        <v>1.5231300000000001</v>
      </c>
      <c r="AR61" s="22">
        <v>24.230399999999999</v>
      </c>
      <c r="AS61" s="22">
        <v>-1.21735E-2</v>
      </c>
      <c r="AT61" s="22">
        <v>51</v>
      </c>
      <c r="AU61" s="22">
        <v>1.5222199999999999</v>
      </c>
      <c r="AV61">
        <f t="shared" si="8"/>
        <v>15.029012345679011</v>
      </c>
      <c r="AW61">
        <f t="shared" si="9"/>
        <v>22.891139574074074</v>
      </c>
      <c r="AX61" s="9"/>
      <c r="AY61" s="22">
        <v>0.15686</v>
      </c>
      <c r="AZ61" s="22">
        <v>28.0093</v>
      </c>
      <c r="BA61" s="22">
        <v>-1.42059E-2</v>
      </c>
      <c r="BB61" s="22">
        <v>51</v>
      </c>
      <c r="BC61" s="22">
        <v>0.15606700000000001</v>
      </c>
      <c r="BD61">
        <f t="shared" si="10"/>
        <v>17.538148148148146</v>
      </c>
      <c r="BE61">
        <f t="shared" si="11"/>
        <v>2.7510339185185182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1.5181</v>
      </c>
      <c r="H62" s="22">
        <v>5.7680199999999999</v>
      </c>
      <c r="I62" s="22">
        <v>-1.22314E-2</v>
      </c>
      <c r="J62" s="22">
        <v>52</v>
      </c>
      <c r="K62" s="22">
        <v>1.5170300000000001</v>
      </c>
      <c r="L62">
        <f t="shared" si="0"/>
        <v>15.100493827160493</v>
      </c>
      <c r="M62">
        <f t="shared" si="1"/>
        <v>22.924059679012345</v>
      </c>
      <c r="N62" s="9"/>
      <c r="O62" s="22">
        <v>0.16189600000000001</v>
      </c>
      <c r="P62" s="22">
        <v>9.5469200000000001</v>
      </c>
      <c r="Q62" s="22">
        <v>-1.41876E-2</v>
      </c>
      <c r="R62" s="22">
        <v>52</v>
      </c>
      <c r="S62" s="22">
        <v>0.16122400000000001</v>
      </c>
      <c r="T62">
        <f t="shared" si="2"/>
        <v>17.515555555555554</v>
      </c>
      <c r="U62">
        <f t="shared" si="3"/>
        <v>2.8356983822222221</v>
      </c>
      <c r="X62" s="9"/>
      <c r="Y62" s="22">
        <v>1.5181</v>
      </c>
      <c r="Z62" s="22">
        <v>15.0192</v>
      </c>
      <c r="AA62" s="22">
        <v>-1.20605E-2</v>
      </c>
      <c r="AB62" s="22">
        <v>52</v>
      </c>
      <c r="AC62" s="22">
        <v>1.5173300000000001</v>
      </c>
      <c r="AD62">
        <f t="shared" si="4"/>
        <v>14.889506172839505</v>
      </c>
      <c r="AE62">
        <f t="shared" si="5"/>
        <v>22.603759320987653</v>
      </c>
      <c r="AF62" s="9"/>
      <c r="AG62" s="22">
        <v>0.16189600000000001</v>
      </c>
      <c r="AH62" s="22">
        <v>18.798100000000002</v>
      </c>
      <c r="AI62" s="22">
        <v>-1.41998E-2</v>
      </c>
      <c r="AJ62" s="22">
        <v>52</v>
      </c>
      <c r="AK62" s="22">
        <v>0.16128500000000001</v>
      </c>
      <c r="AL62">
        <f t="shared" si="6"/>
        <v>17.530617283950615</v>
      </c>
      <c r="AM62">
        <f t="shared" si="7"/>
        <v>2.8381368158024691</v>
      </c>
      <c r="AP62" s="9"/>
      <c r="AQ62" s="22">
        <v>1.5181</v>
      </c>
      <c r="AR62" s="22">
        <v>24.240400000000001</v>
      </c>
      <c r="AS62" s="22">
        <v>-1.22375E-2</v>
      </c>
      <c r="AT62" s="22">
        <v>52</v>
      </c>
      <c r="AU62" s="22">
        <v>1.5167200000000001</v>
      </c>
      <c r="AV62">
        <f t="shared" si="8"/>
        <v>15.108024691358024</v>
      </c>
      <c r="AW62">
        <f t="shared" si="9"/>
        <v>22.935492283950616</v>
      </c>
      <c r="AX62" s="9"/>
      <c r="AY62" s="22">
        <v>0.16189600000000001</v>
      </c>
      <c r="AZ62" s="22">
        <v>28.019300000000001</v>
      </c>
      <c r="BA62" s="22">
        <v>-1.4212000000000001E-2</v>
      </c>
      <c r="BB62" s="22">
        <v>52</v>
      </c>
      <c r="BC62" s="22">
        <v>0.16134599999999999</v>
      </c>
      <c r="BD62">
        <f t="shared" si="10"/>
        <v>17.54567901234568</v>
      </c>
      <c r="BE62">
        <f t="shared" si="11"/>
        <v>2.8405752493827165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1.5130600000000001</v>
      </c>
      <c r="H63" s="22">
        <v>5.7780899999999997</v>
      </c>
      <c r="I63" s="22">
        <v>-1.22925E-2</v>
      </c>
      <c r="J63" s="22">
        <v>53</v>
      </c>
      <c r="K63" s="22">
        <v>1.5121500000000001</v>
      </c>
      <c r="L63">
        <f t="shared" si="0"/>
        <v>15.175925925925924</v>
      </c>
      <c r="M63">
        <f t="shared" si="1"/>
        <v>22.962086481481478</v>
      </c>
      <c r="N63" s="9"/>
      <c r="O63" s="22">
        <v>0.166931</v>
      </c>
      <c r="P63" s="22">
        <v>9.5569900000000008</v>
      </c>
      <c r="Q63" s="22">
        <v>-1.41876E-2</v>
      </c>
      <c r="R63" s="22">
        <v>53</v>
      </c>
      <c r="S63" s="22">
        <v>0.16644300000000001</v>
      </c>
      <c r="T63">
        <f t="shared" si="2"/>
        <v>17.515555555555554</v>
      </c>
      <c r="U63">
        <f t="shared" si="3"/>
        <v>2.923889204444444</v>
      </c>
      <c r="X63" s="9"/>
      <c r="Y63" s="22">
        <v>1.5130600000000001</v>
      </c>
      <c r="Z63" s="22">
        <v>15.029299999999999</v>
      </c>
      <c r="AA63" s="22">
        <v>-1.2130699999999999E-2</v>
      </c>
      <c r="AB63" s="22">
        <v>53</v>
      </c>
      <c r="AC63" s="22">
        <v>1.5118400000000001</v>
      </c>
      <c r="AD63">
        <f t="shared" si="4"/>
        <v>14.976172839506171</v>
      </c>
      <c r="AE63">
        <f t="shared" si="5"/>
        <v>22.659848076543209</v>
      </c>
      <c r="AF63" s="9"/>
      <c r="AG63" s="22">
        <v>0.166931</v>
      </c>
      <c r="AH63" s="22">
        <v>18.808199999999999</v>
      </c>
      <c r="AI63" s="22">
        <v>-1.4202899999999999E-2</v>
      </c>
      <c r="AJ63" s="22">
        <v>53</v>
      </c>
      <c r="AK63" s="22">
        <v>0.16616800000000001</v>
      </c>
      <c r="AL63">
        <f t="shared" si="6"/>
        <v>17.534444444444443</v>
      </c>
      <c r="AM63">
        <f t="shared" si="7"/>
        <v>2.927042345555555</v>
      </c>
      <c r="AP63" s="9"/>
      <c r="AQ63" s="22">
        <v>1.5130600000000001</v>
      </c>
      <c r="AR63" s="22">
        <v>24.250499999999999</v>
      </c>
      <c r="AS63" s="22">
        <v>-1.22986E-2</v>
      </c>
      <c r="AT63" s="22">
        <v>53</v>
      </c>
      <c r="AU63" s="22">
        <v>1.5121500000000001</v>
      </c>
      <c r="AV63">
        <f t="shared" si="8"/>
        <v>15.183456790123456</v>
      </c>
      <c r="AW63">
        <f t="shared" si="9"/>
        <v>22.973481130864197</v>
      </c>
      <c r="AX63" s="9"/>
      <c r="AY63" s="22">
        <v>0.166931</v>
      </c>
      <c r="AZ63" s="22">
        <v>28.029399999999999</v>
      </c>
      <c r="BA63" s="22">
        <v>-1.4212000000000001E-2</v>
      </c>
      <c r="BB63" s="22">
        <v>53</v>
      </c>
      <c r="BC63" s="22">
        <v>0.16619900000000001</v>
      </c>
      <c r="BD63">
        <f t="shared" si="10"/>
        <v>17.54567901234568</v>
      </c>
      <c r="BE63">
        <f t="shared" si="11"/>
        <v>2.9289177432098765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1.50803</v>
      </c>
      <c r="H64" s="22">
        <v>5.7881600000000004</v>
      </c>
      <c r="I64" s="22">
        <v>-1.23505E-2</v>
      </c>
      <c r="J64" s="22">
        <v>54</v>
      </c>
      <c r="K64" s="22">
        <v>1.50726</v>
      </c>
      <c r="L64">
        <f t="shared" si="0"/>
        <v>15.247530864197531</v>
      </c>
      <c r="M64">
        <f t="shared" si="1"/>
        <v>22.993733969135803</v>
      </c>
      <c r="N64" s="9"/>
      <c r="O64" s="22">
        <v>0.17196700000000001</v>
      </c>
      <c r="P64" s="22">
        <v>9.5670599999999997</v>
      </c>
      <c r="Q64" s="22">
        <v>-1.41846E-2</v>
      </c>
      <c r="R64" s="22">
        <v>54</v>
      </c>
      <c r="S64" s="22">
        <v>0.17111199999999999</v>
      </c>
      <c r="T64">
        <f t="shared" si="2"/>
        <v>17.511851851851851</v>
      </c>
      <c r="U64">
        <f t="shared" si="3"/>
        <v>3.0114606274074074</v>
      </c>
      <c r="X64" s="9"/>
      <c r="Y64" s="22">
        <v>1.50803</v>
      </c>
      <c r="Z64" s="22">
        <v>15.039300000000001</v>
      </c>
      <c r="AA64" s="22">
        <v>-1.2197899999999999E-2</v>
      </c>
      <c r="AB64" s="22">
        <v>54</v>
      </c>
      <c r="AC64" s="22">
        <v>1.5063500000000001</v>
      </c>
      <c r="AD64">
        <f t="shared" si="4"/>
        <v>15.059135802469134</v>
      </c>
      <c r="AE64">
        <f t="shared" si="5"/>
        <v>22.709628564197526</v>
      </c>
      <c r="AF64" s="9"/>
      <c r="AG64" s="22">
        <v>0.17196700000000001</v>
      </c>
      <c r="AH64" s="22">
        <v>18.818200000000001</v>
      </c>
      <c r="AI64" s="22">
        <v>-1.4196800000000001E-2</v>
      </c>
      <c r="AJ64" s="22">
        <v>54</v>
      </c>
      <c r="AK64" s="22">
        <v>0.17132600000000001</v>
      </c>
      <c r="AL64">
        <f t="shared" si="6"/>
        <v>17.526913580246916</v>
      </c>
      <c r="AM64">
        <f t="shared" si="7"/>
        <v>3.0140507476543217</v>
      </c>
      <c r="AP64" s="9"/>
      <c r="AQ64" s="22">
        <v>1.50803</v>
      </c>
      <c r="AR64" s="22">
        <v>24.2606</v>
      </c>
      <c r="AS64" s="22">
        <v>-1.23535E-2</v>
      </c>
      <c r="AT64" s="22">
        <v>54</v>
      </c>
      <c r="AU64" s="22">
        <v>1.50726</v>
      </c>
      <c r="AV64">
        <f t="shared" si="8"/>
        <v>15.251234567901234</v>
      </c>
      <c r="AW64">
        <f t="shared" si="9"/>
        <v>22.999319265432096</v>
      </c>
      <c r="AX64" s="9"/>
      <c r="AY64" s="22">
        <v>0.17196700000000001</v>
      </c>
      <c r="AZ64" s="22">
        <v>28.0395</v>
      </c>
      <c r="BA64" s="22">
        <v>-1.4212000000000001E-2</v>
      </c>
      <c r="BB64" s="22">
        <v>54</v>
      </c>
      <c r="BC64" s="22">
        <v>0.171234</v>
      </c>
      <c r="BD64">
        <f t="shared" si="10"/>
        <v>17.54567901234568</v>
      </c>
      <c r="BE64">
        <f t="shared" si="11"/>
        <v>3.0172777827160497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1.50299</v>
      </c>
      <c r="H65" s="22">
        <v>5.7982300000000002</v>
      </c>
      <c r="I65" s="22">
        <v>-1.23962E-2</v>
      </c>
      <c r="J65" s="22">
        <v>55</v>
      </c>
      <c r="K65" s="22">
        <v>1.5020800000000001</v>
      </c>
      <c r="L65">
        <f t="shared" si="0"/>
        <v>15.303950617283951</v>
      </c>
      <c r="M65">
        <f t="shared" si="1"/>
        <v>23.001684738271607</v>
      </c>
      <c r="N65" s="9"/>
      <c r="O65" s="22">
        <v>0.17700199999999999</v>
      </c>
      <c r="P65" s="22">
        <v>9.5771300000000004</v>
      </c>
      <c r="Q65" s="22">
        <v>-1.41815E-2</v>
      </c>
      <c r="R65" s="22">
        <v>55</v>
      </c>
      <c r="S65" s="22">
        <v>0.17636099999999999</v>
      </c>
      <c r="T65">
        <f t="shared" si="2"/>
        <v>17.508024691358024</v>
      </c>
      <c r="U65">
        <f t="shared" si="3"/>
        <v>3.0989553864197528</v>
      </c>
      <c r="X65" s="9"/>
      <c r="Y65" s="22">
        <v>1.50299</v>
      </c>
      <c r="Z65" s="22">
        <v>15.0494</v>
      </c>
      <c r="AA65" s="22">
        <v>-1.2268100000000001E-2</v>
      </c>
      <c r="AB65" s="22">
        <v>55</v>
      </c>
      <c r="AC65" s="22">
        <v>1.50238</v>
      </c>
      <c r="AD65">
        <f t="shared" si="4"/>
        <v>15.145802469135802</v>
      </c>
      <c r="AE65">
        <f t="shared" si="5"/>
        <v>22.763989653086419</v>
      </c>
      <c r="AF65" s="9"/>
      <c r="AG65" s="22">
        <v>0.17700199999999999</v>
      </c>
      <c r="AH65" s="22">
        <v>18.828299999999999</v>
      </c>
      <c r="AI65" s="22">
        <v>-1.41876E-2</v>
      </c>
      <c r="AJ65" s="22">
        <v>55</v>
      </c>
      <c r="AK65" s="22">
        <v>0.17636099999999999</v>
      </c>
      <c r="AL65">
        <f t="shared" si="6"/>
        <v>17.515555555555554</v>
      </c>
      <c r="AM65">
        <f t="shared" si="7"/>
        <v>3.1002883644444443</v>
      </c>
      <c r="AP65" s="9"/>
      <c r="AQ65" s="22">
        <v>1.50299</v>
      </c>
      <c r="AR65" s="22">
        <v>24.270600000000002</v>
      </c>
      <c r="AS65" s="22">
        <v>-1.2411500000000001E-2</v>
      </c>
      <c r="AT65" s="22">
        <v>55</v>
      </c>
      <c r="AU65" s="22">
        <v>1.50177</v>
      </c>
      <c r="AV65">
        <f t="shared" si="8"/>
        <v>15.322839506172839</v>
      </c>
      <c r="AW65">
        <f t="shared" si="9"/>
        <v>23.030074549382714</v>
      </c>
      <c r="AX65" s="9"/>
      <c r="AY65" s="22">
        <v>0.17700199999999999</v>
      </c>
      <c r="AZ65" s="22">
        <v>28.049499999999998</v>
      </c>
      <c r="BA65" s="22">
        <v>-1.4208999999999999E-2</v>
      </c>
      <c r="BB65" s="22">
        <v>55</v>
      </c>
      <c r="BC65" s="22">
        <v>0.17633099999999999</v>
      </c>
      <c r="BD65">
        <f t="shared" si="10"/>
        <v>17.541975308641973</v>
      </c>
      <c r="BE65">
        <f t="shared" si="11"/>
        <v>3.1049647135802463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1.49796</v>
      </c>
      <c r="H66" s="22">
        <v>5.8083</v>
      </c>
      <c r="I66" s="22">
        <v>-1.24359E-2</v>
      </c>
      <c r="J66" s="22">
        <v>56</v>
      </c>
      <c r="K66" s="22">
        <v>1.4975000000000001</v>
      </c>
      <c r="L66">
        <f t="shared" si="0"/>
        <v>15.352962962962962</v>
      </c>
      <c r="M66">
        <f t="shared" si="1"/>
        <v>22.998124399999998</v>
      </c>
      <c r="N66" s="9"/>
      <c r="O66" s="22">
        <v>0.182037</v>
      </c>
      <c r="P66" s="22">
        <v>9.5872100000000007</v>
      </c>
      <c r="Q66" s="22">
        <v>-1.41724E-2</v>
      </c>
      <c r="R66" s="22">
        <v>56</v>
      </c>
      <c r="S66" s="22">
        <v>0.18121300000000001</v>
      </c>
      <c r="T66">
        <f t="shared" si="2"/>
        <v>17.496790123456787</v>
      </c>
      <c r="U66">
        <f t="shared" si="3"/>
        <v>3.1850631837037033</v>
      </c>
      <c r="X66" s="9"/>
      <c r="Y66" s="22">
        <v>1.49796</v>
      </c>
      <c r="Z66" s="22">
        <v>15.0595</v>
      </c>
      <c r="AA66" s="22">
        <v>-1.23199E-2</v>
      </c>
      <c r="AB66" s="22">
        <v>56</v>
      </c>
      <c r="AC66" s="22">
        <v>1.4968900000000001</v>
      </c>
      <c r="AD66">
        <f t="shared" si="4"/>
        <v>15.209753086419752</v>
      </c>
      <c r="AE66">
        <f t="shared" si="5"/>
        <v>22.783601733333331</v>
      </c>
      <c r="AF66" s="9"/>
      <c r="AG66" s="22">
        <v>0.182037</v>
      </c>
      <c r="AH66" s="22">
        <v>18.8384</v>
      </c>
      <c r="AI66" s="22">
        <v>-1.41785E-2</v>
      </c>
      <c r="AJ66" s="22">
        <v>56</v>
      </c>
      <c r="AK66" s="22">
        <v>0.18148800000000001</v>
      </c>
      <c r="AL66">
        <f t="shared" si="6"/>
        <v>17.504320987654321</v>
      </c>
      <c r="AM66">
        <f t="shared" si="7"/>
        <v>3.1864340796296298</v>
      </c>
      <c r="AP66" s="9"/>
      <c r="AQ66" s="22">
        <v>1.49796</v>
      </c>
      <c r="AR66" s="22">
        <v>24.2807</v>
      </c>
      <c r="AS66" s="22">
        <v>-1.2463399999999999E-2</v>
      </c>
      <c r="AT66" s="22">
        <v>56</v>
      </c>
      <c r="AU66" s="22">
        <v>1.49719</v>
      </c>
      <c r="AV66">
        <f t="shared" si="8"/>
        <v>15.386913580246912</v>
      </c>
      <c r="AW66">
        <f t="shared" si="9"/>
        <v>23.048981066666663</v>
      </c>
      <c r="AX66" s="9"/>
      <c r="AY66" s="22">
        <v>0.182037</v>
      </c>
      <c r="AZ66" s="22">
        <v>28.0596</v>
      </c>
      <c r="BA66" s="22">
        <v>-1.42059E-2</v>
      </c>
      <c r="BB66" s="22">
        <v>56</v>
      </c>
      <c r="BC66" s="22">
        <v>0.18130499999999999</v>
      </c>
      <c r="BD66">
        <f t="shared" si="10"/>
        <v>17.538148148148146</v>
      </c>
      <c r="BE66">
        <f t="shared" si="11"/>
        <v>3.1925918744444441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1.49292</v>
      </c>
      <c r="H67" s="22">
        <v>5.8183699999999998</v>
      </c>
      <c r="I67" s="22">
        <v>-1.24847E-2</v>
      </c>
      <c r="J67" s="22">
        <v>57</v>
      </c>
      <c r="K67" s="22">
        <v>1.4917</v>
      </c>
      <c r="L67">
        <f t="shared" si="0"/>
        <v>15.413209876543208</v>
      </c>
      <c r="M67">
        <f t="shared" si="1"/>
        <v>23.010689288888887</v>
      </c>
      <c r="N67" s="9"/>
      <c r="O67" s="22">
        <v>0.18707299999999999</v>
      </c>
      <c r="P67" s="22">
        <v>9.5972799999999996</v>
      </c>
      <c r="Q67" s="22">
        <v>-1.4169299999999999E-2</v>
      </c>
      <c r="R67" s="22">
        <v>57</v>
      </c>
      <c r="S67" s="22">
        <v>0.18643199999999999</v>
      </c>
      <c r="T67">
        <f t="shared" si="2"/>
        <v>17.492962962962959</v>
      </c>
      <c r="U67">
        <f t="shared" si="3"/>
        <v>3.2724610603703694</v>
      </c>
      <c r="X67" s="9"/>
      <c r="Y67" s="22">
        <v>1.49292</v>
      </c>
      <c r="Z67" s="22">
        <v>15.069599999999999</v>
      </c>
      <c r="AA67" s="22">
        <v>-1.2371800000000001E-2</v>
      </c>
      <c r="AB67" s="22">
        <v>57</v>
      </c>
      <c r="AC67" s="22">
        <v>1.492</v>
      </c>
      <c r="AD67">
        <f t="shared" si="4"/>
        <v>15.273827160493827</v>
      </c>
      <c r="AE67">
        <f t="shared" si="5"/>
        <v>22.802602044444445</v>
      </c>
      <c r="AF67" s="9"/>
      <c r="AG67" s="22">
        <v>0.18707299999999999</v>
      </c>
      <c r="AH67" s="22">
        <v>18.848500000000001</v>
      </c>
      <c r="AI67" s="22">
        <v>-1.41724E-2</v>
      </c>
      <c r="AJ67" s="22">
        <v>57</v>
      </c>
      <c r="AK67" s="22">
        <v>0.18640100000000001</v>
      </c>
      <c r="AL67">
        <f t="shared" si="6"/>
        <v>17.496790123456787</v>
      </c>
      <c r="AM67">
        <f t="shared" si="7"/>
        <v>3.2731770187654314</v>
      </c>
      <c r="AP67" s="9"/>
      <c r="AQ67" s="22">
        <v>1.49292</v>
      </c>
      <c r="AR67" s="22">
        <v>24.290800000000001</v>
      </c>
      <c r="AS67" s="22">
        <v>-1.2506099999999999E-2</v>
      </c>
      <c r="AT67" s="22">
        <v>57</v>
      </c>
      <c r="AU67" s="22">
        <v>1.49139</v>
      </c>
      <c r="AV67">
        <f t="shared" si="8"/>
        <v>15.439629629629628</v>
      </c>
      <c r="AW67">
        <f t="shared" si="9"/>
        <v>23.050131866666664</v>
      </c>
      <c r="AX67" s="9"/>
      <c r="AY67" s="22">
        <v>0.18707299999999999</v>
      </c>
      <c r="AZ67" s="22">
        <v>28.069700000000001</v>
      </c>
      <c r="BA67" s="22">
        <v>-1.42059E-2</v>
      </c>
      <c r="BB67" s="22">
        <v>57</v>
      </c>
      <c r="BC67" s="22">
        <v>0.18615699999999999</v>
      </c>
      <c r="BD67">
        <f t="shared" si="10"/>
        <v>17.538148148148146</v>
      </c>
      <c r="BE67">
        <f t="shared" si="11"/>
        <v>3.2809139885185177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1.4878800000000001</v>
      </c>
      <c r="H68" s="22">
        <v>5.8284399999999996</v>
      </c>
      <c r="I68" s="22">
        <v>-1.25275E-2</v>
      </c>
      <c r="J68" s="22">
        <v>58</v>
      </c>
      <c r="K68" s="22">
        <v>1.48682</v>
      </c>
      <c r="L68">
        <f t="shared" si="0"/>
        <v>15.466049382716049</v>
      </c>
      <c r="M68">
        <f t="shared" si="1"/>
        <v>23.011625555555558</v>
      </c>
      <c r="N68" s="9"/>
      <c r="O68" s="22">
        <v>0.192108</v>
      </c>
      <c r="P68" s="22">
        <v>9.6073500000000003</v>
      </c>
      <c r="Q68" s="22">
        <v>-1.4163200000000001E-2</v>
      </c>
      <c r="R68" s="22">
        <v>58</v>
      </c>
      <c r="S68" s="22">
        <v>0.19158900000000001</v>
      </c>
      <c r="T68">
        <f t="shared" si="2"/>
        <v>17.485432098765433</v>
      </c>
      <c r="U68">
        <f t="shared" si="3"/>
        <v>3.3590913896296297</v>
      </c>
      <c r="X68" s="9"/>
      <c r="Y68" s="22">
        <v>1.4878800000000001</v>
      </c>
      <c r="Z68" s="22">
        <v>15.079599999999999</v>
      </c>
      <c r="AA68" s="22">
        <v>-1.24084E-2</v>
      </c>
      <c r="AB68" s="22">
        <v>58</v>
      </c>
      <c r="AC68" s="22">
        <v>1.48651</v>
      </c>
      <c r="AD68">
        <f t="shared" si="4"/>
        <v>15.319012345679011</v>
      </c>
      <c r="AE68">
        <f t="shared" si="5"/>
        <v>22.792852088888889</v>
      </c>
      <c r="AF68" s="9"/>
      <c r="AG68" s="22">
        <v>0.192108</v>
      </c>
      <c r="AH68" s="22">
        <v>18.858499999999999</v>
      </c>
      <c r="AI68" s="22">
        <v>-1.4169299999999999E-2</v>
      </c>
      <c r="AJ68" s="22">
        <v>58</v>
      </c>
      <c r="AK68" s="22">
        <v>0.191437</v>
      </c>
      <c r="AL68">
        <f t="shared" si="6"/>
        <v>17.492962962962959</v>
      </c>
      <c r="AM68">
        <f t="shared" si="7"/>
        <v>3.360538128888888</v>
      </c>
      <c r="AP68" s="9"/>
      <c r="AQ68" s="22">
        <v>1.4878800000000001</v>
      </c>
      <c r="AR68" s="22">
        <v>24.300899999999999</v>
      </c>
      <c r="AS68" s="22">
        <v>-1.2545799999999999E-2</v>
      </c>
      <c r="AT68" s="22">
        <v>58</v>
      </c>
      <c r="AU68" s="22">
        <v>1.48712</v>
      </c>
      <c r="AV68">
        <f t="shared" si="8"/>
        <v>15.48864197530864</v>
      </c>
      <c r="AW68">
        <f t="shared" si="9"/>
        <v>23.04524062222222</v>
      </c>
      <c r="AX68" s="9"/>
      <c r="AY68" s="22">
        <v>0.192108</v>
      </c>
      <c r="AZ68" s="22">
        <v>28.079799999999999</v>
      </c>
      <c r="BA68" s="22">
        <v>-1.41998E-2</v>
      </c>
      <c r="BB68" s="22">
        <v>58</v>
      </c>
      <c r="BC68" s="22">
        <v>0.191498</v>
      </c>
      <c r="BD68">
        <f t="shared" si="10"/>
        <v>17.530617283950615</v>
      </c>
      <c r="BE68">
        <f t="shared" si="11"/>
        <v>3.3677718251851849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1.48285</v>
      </c>
      <c r="H69" s="22">
        <v>5.8385100000000003</v>
      </c>
      <c r="I69" s="22">
        <v>-1.2567099999999999E-2</v>
      </c>
      <c r="J69" s="22">
        <v>59</v>
      </c>
      <c r="K69" s="22">
        <v>1.48224</v>
      </c>
      <c r="L69">
        <f t="shared" si="0"/>
        <v>15.514938271604937</v>
      </c>
      <c r="M69">
        <f t="shared" si="1"/>
        <v>23.006326216049381</v>
      </c>
      <c r="N69" s="9"/>
      <c r="O69" s="22">
        <v>0.19714400000000001</v>
      </c>
      <c r="P69" s="22">
        <v>9.6174199999999992</v>
      </c>
      <c r="Q69" s="22">
        <v>-1.4154099999999999E-2</v>
      </c>
      <c r="R69" s="22">
        <v>59</v>
      </c>
      <c r="S69" s="22">
        <v>0.19662499999999999</v>
      </c>
      <c r="T69">
        <f t="shared" si="2"/>
        <v>17.474197530864195</v>
      </c>
      <c r="U69">
        <f t="shared" si="3"/>
        <v>3.4449331980246911</v>
      </c>
      <c r="X69" s="9"/>
      <c r="Y69" s="22">
        <v>1.48285</v>
      </c>
      <c r="Z69" s="22">
        <v>15.089700000000001</v>
      </c>
      <c r="AA69" s="22">
        <v>-1.2451200000000001E-2</v>
      </c>
      <c r="AB69" s="22">
        <v>59</v>
      </c>
      <c r="AC69" s="22">
        <v>1.48193</v>
      </c>
      <c r="AD69">
        <f t="shared" si="4"/>
        <v>15.371851851851853</v>
      </c>
      <c r="AE69">
        <f t="shared" si="5"/>
        <v>22.794150518518521</v>
      </c>
      <c r="AF69" s="9"/>
      <c r="AG69" s="22">
        <v>0.19714400000000001</v>
      </c>
      <c r="AH69" s="22">
        <v>18.868600000000001</v>
      </c>
      <c r="AI69" s="22">
        <v>-1.41663E-2</v>
      </c>
      <c r="AJ69" s="22">
        <v>59</v>
      </c>
      <c r="AK69" s="22">
        <v>0.19644200000000001</v>
      </c>
      <c r="AL69">
        <f t="shared" si="6"/>
        <v>17.489259259259256</v>
      </c>
      <c r="AM69">
        <f t="shared" si="7"/>
        <v>3.4479025274074071</v>
      </c>
      <c r="AP69" s="9"/>
      <c r="AQ69" s="22">
        <v>1.48285</v>
      </c>
      <c r="AR69" s="22">
        <v>24.3109</v>
      </c>
      <c r="AS69" s="22">
        <v>-1.2582400000000001E-2</v>
      </c>
      <c r="AT69" s="22">
        <v>59</v>
      </c>
      <c r="AU69" s="22">
        <v>1.48163</v>
      </c>
      <c r="AV69">
        <f t="shared" si="8"/>
        <v>15.533827160493827</v>
      </c>
      <c r="AW69">
        <f t="shared" si="9"/>
        <v>23.034335604938271</v>
      </c>
      <c r="AX69" s="9"/>
      <c r="AY69" s="22">
        <v>0.19714400000000001</v>
      </c>
      <c r="AZ69" s="22">
        <v>28.0898</v>
      </c>
      <c r="BA69" s="22">
        <v>-1.41876E-2</v>
      </c>
      <c r="BB69" s="22">
        <v>59</v>
      </c>
      <c r="BC69" s="22">
        <v>0.19650300000000001</v>
      </c>
      <c r="BD69">
        <f t="shared" si="10"/>
        <v>17.515555555555554</v>
      </c>
      <c r="BE69">
        <f t="shared" si="11"/>
        <v>3.4530866844444446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1.4778100000000001</v>
      </c>
      <c r="H70" s="22">
        <v>5.8485800000000001</v>
      </c>
      <c r="I70" s="22">
        <v>-1.2616E-2</v>
      </c>
      <c r="J70" s="22">
        <v>60</v>
      </c>
      <c r="K70" s="22">
        <v>1.47675</v>
      </c>
      <c r="L70">
        <f t="shared" si="0"/>
        <v>15.575308641975308</v>
      </c>
      <c r="M70">
        <f t="shared" si="1"/>
        <v>23.017346864197531</v>
      </c>
      <c r="N70" s="9"/>
      <c r="O70" s="22">
        <v>0.202179</v>
      </c>
      <c r="P70" s="22">
        <v>9.6274899999999999</v>
      </c>
      <c r="Q70" s="22">
        <v>-1.41479E-2</v>
      </c>
      <c r="R70" s="22">
        <v>60</v>
      </c>
      <c r="S70" s="22">
        <v>0.20147699999999999</v>
      </c>
      <c r="T70">
        <f t="shared" si="2"/>
        <v>17.466543209876541</v>
      </c>
      <c r="U70">
        <f t="shared" si="3"/>
        <v>3.5313682396296291</v>
      </c>
      <c r="X70" s="9"/>
      <c r="Y70" s="22">
        <v>1.4778100000000001</v>
      </c>
      <c r="Z70" s="22">
        <v>15.0998</v>
      </c>
      <c r="AA70" s="22">
        <v>-1.24878E-2</v>
      </c>
      <c r="AB70" s="22">
        <v>60</v>
      </c>
      <c r="AC70" s="22">
        <v>1.47736</v>
      </c>
      <c r="AD70">
        <f t="shared" si="4"/>
        <v>15.417037037037037</v>
      </c>
      <c r="AE70">
        <f t="shared" si="5"/>
        <v>22.783451503703706</v>
      </c>
      <c r="AF70" s="9"/>
      <c r="AG70" s="22">
        <v>0.202179</v>
      </c>
      <c r="AH70" s="22">
        <v>18.878699999999998</v>
      </c>
      <c r="AI70" s="22">
        <v>-1.4169299999999999E-2</v>
      </c>
      <c r="AJ70" s="22">
        <v>60</v>
      </c>
      <c r="AK70" s="22">
        <v>0.20150799999999999</v>
      </c>
      <c r="AL70">
        <f t="shared" si="6"/>
        <v>17.492962962962959</v>
      </c>
      <c r="AM70">
        <f t="shared" si="7"/>
        <v>3.5367097588888883</v>
      </c>
      <c r="AP70" s="9"/>
      <c r="AQ70" s="22">
        <v>1.4778100000000001</v>
      </c>
      <c r="AR70" s="22">
        <v>24.321000000000002</v>
      </c>
      <c r="AS70" s="22">
        <v>-1.26312E-2</v>
      </c>
      <c r="AT70" s="22">
        <v>60</v>
      </c>
      <c r="AU70" s="22">
        <v>1.47736</v>
      </c>
      <c r="AV70">
        <f t="shared" si="8"/>
        <v>15.594074074074072</v>
      </c>
      <c r="AW70">
        <f t="shared" si="9"/>
        <v>23.045078607407405</v>
      </c>
      <c r="AX70" s="9"/>
      <c r="AY70" s="22">
        <v>0.202179</v>
      </c>
      <c r="AZ70" s="22">
        <v>28.099900000000002</v>
      </c>
      <c r="BA70" s="22">
        <v>-1.41663E-2</v>
      </c>
      <c r="BB70" s="22">
        <v>60</v>
      </c>
      <c r="BC70" s="22">
        <v>0.201569</v>
      </c>
      <c r="BD70">
        <f t="shared" si="10"/>
        <v>17.489259259259256</v>
      </c>
      <c r="BE70">
        <f t="shared" si="11"/>
        <v>3.5359609477777774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1.47278</v>
      </c>
      <c r="H71" s="22">
        <v>5.8586600000000004</v>
      </c>
      <c r="I71" s="22">
        <v>-1.26526E-2</v>
      </c>
      <c r="J71" s="22">
        <v>61</v>
      </c>
      <c r="K71" s="22">
        <v>1.47156</v>
      </c>
      <c r="L71">
        <f t="shared" si="0"/>
        <v>15.620493827160493</v>
      </c>
      <c r="M71">
        <f t="shared" si="1"/>
        <v>23.005550898765431</v>
      </c>
      <c r="N71" s="9"/>
      <c r="O71" s="22">
        <v>0.20721400000000001</v>
      </c>
      <c r="P71" s="22">
        <v>9.6375600000000006</v>
      </c>
      <c r="Q71" s="22">
        <v>-1.41388E-2</v>
      </c>
      <c r="R71" s="22">
        <v>61</v>
      </c>
      <c r="S71" s="22">
        <v>0.20669599999999999</v>
      </c>
      <c r="T71">
        <f t="shared" si="2"/>
        <v>17.455308641975307</v>
      </c>
      <c r="U71">
        <f t="shared" si="3"/>
        <v>3.6169843249382714</v>
      </c>
      <c r="X71" s="9"/>
      <c r="Y71" s="22">
        <v>1.47278</v>
      </c>
      <c r="Z71" s="22">
        <v>15.1098</v>
      </c>
      <c r="AA71" s="22">
        <v>-1.2533600000000001E-2</v>
      </c>
      <c r="AB71" s="22">
        <v>61</v>
      </c>
      <c r="AC71" s="22">
        <v>1.4718599999999999</v>
      </c>
      <c r="AD71">
        <f t="shared" si="4"/>
        <v>15.473580246913581</v>
      </c>
      <c r="AE71">
        <f t="shared" si="5"/>
        <v>22.789179516049384</v>
      </c>
      <c r="AF71" s="9"/>
      <c r="AG71" s="22">
        <v>0.20721400000000001</v>
      </c>
      <c r="AH71" s="22">
        <v>18.8887</v>
      </c>
      <c r="AI71" s="22">
        <v>-1.4175399999999999E-2</v>
      </c>
      <c r="AJ71" s="22">
        <v>61</v>
      </c>
      <c r="AK71" s="22">
        <v>0.20657300000000001</v>
      </c>
      <c r="AL71">
        <f t="shared" si="6"/>
        <v>17.500493827160494</v>
      </c>
      <c r="AM71">
        <f t="shared" si="7"/>
        <v>3.6263473279012346</v>
      </c>
      <c r="AP71" s="9"/>
      <c r="AQ71" s="22">
        <v>1.47278</v>
      </c>
      <c r="AR71" s="22">
        <v>24.331099999999999</v>
      </c>
      <c r="AS71" s="22">
        <v>-1.2670900000000001E-2</v>
      </c>
      <c r="AT71" s="22">
        <v>61</v>
      </c>
      <c r="AU71" s="22">
        <v>1.47156</v>
      </c>
      <c r="AV71">
        <f t="shared" si="8"/>
        <v>15.643086419753088</v>
      </c>
      <c r="AW71">
        <f t="shared" si="9"/>
        <v>23.038824817283952</v>
      </c>
      <c r="AX71" s="9"/>
      <c r="AY71" s="22">
        <v>0.20721400000000001</v>
      </c>
      <c r="AZ71" s="22">
        <v>28.11</v>
      </c>
      <c r="BA71" s="22">
        <v>-1.41602E-2</v>
      </c>
      <c r="BB71" s="22">
        <v>61</v>
      </c>
      <c r="BC71" s="22">
        <v>0.206543</v>
      </c>
      <c r="BD71">
        <f t="shared" si="10"/>
        <v>17.481728395061729</v>
      </c>
      <c r="BE71">
        <f t="shared" si="11"/>
        <v>3.6224588676543212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1.46774</v>
      </c>
      <c r="H72" s="22">
        <v>5.8687300000000002</v>
      </c>
      <c r="I72" s="22">
        <v>-1.2689199999999999E-2</v>
      </c>
      <c r="J72" s="22">
        <v>62</v>
      </c>
      <c r="K72" s="22">
        <v>1.4666699999999999</v>
      </c>
      <c r="L72">
        <f t="shared" si="0"/>
        <v>15.665679012345679</v>
      </c>
      <c r="M72">
        <f t="shared" si="1"/>
        <v>22.993143713580249</v>
      </c>
      <c r="N72" s="9"/>
      <c r="O72" s="22">
        <v>0.21224999999999999</v>
      </c>
      <c r="P72" s="22">
        <v>9.6476299999999995</v>
      </c>
      <c r="Q72" s="22">
        <v>-1.41327E-2</v>
      </c>
      <c r="R72" s="22">
        <v>62</v>
      </c>
      <c r="S72" s="22">
        <v>0.2117</v>
      </c>
      <c r="T72">
        <f t="shared" si="2"/>
        <v>17.447777777777777</v>
      </c>
      <c r="U72">
        <f t="shared" si="3"/>
        <v>3.703290833333333</v>
      </c>
      <c r="X72" s="9"/>
      <c r="Y72" s="22">
        <v>1.46774</v>
      </c>
      <c r="Z72" s="22">
        <v>15.119899999999999</v>
      </c>
      <c r="AA72" s="22">
        <v>-1.25702E-2</v>
      </c>
      <c r="AB72" s="22">
        <v>62</v>
      </c>
      <c r="AC72" s="22">
        <v>1.4666699999999999</v>
      </c>
      <c r="AD72">
        <f t="shared" si="4"/>
        <v>15.518765432098766</v>
      </c>
      <c r="AE72">
        <f t="shared" si="5"/>
        <v>22.777512775308644</v>
      </c>
      <c r="AF72" s="9"/>
      <c r="AG72" s="22">
        <v>0.21224999999999999</v>
      </c>
      <c r="AH72" s="22">
        <v>18.898800000000001</v>
      </c>
      <c r="AI72" s="22">
        <v>-1.4175399999999999E-2</v>
      </c>
      <c r="AJ72" s="22">
        <v>62</v>
      </c>
      <c r="AK72" s="22">
        <v>0.21163899999999999</v>
      </c>
      <c r="AL72">
        <f t="shared" si="6"/>
        <v>17.500493827160494</v>
      </c>
      <c r="AM72">
        <f t="shared" si="7"/>
        <v>3.7144798148148146</v>
      </c>
      <c r="AP72" s="9"/>
      <c r="AQ72" s="22">
        <v>1.46774</v>
      </c>
      <c r="AR72" s="22">
        <v>24.341100000000001</v>
      </c>
      <c r="AS72" s="22">
        <v>-1.27014E-2</v>
      </c>
      <c r="AT72" s="22">
        <v>62</v>
      </c>
      <c r="AU72" s="22">
        <v>1.4666699999999999</v>
      </c>
      <c r="AV72">
        <f t="shared" si="8"/>
        <v>15.680740740740738</v>
      </c>
      <c r="AW72">
        <f t="shared" si="9"/>
        <v>23.015250414814812</v>
      </c>
      <c r="AX72" s="9"/>
      <c r="AY72" s="22">
        <v>0.21224999999999999</v>
      </c>
      <c r="AZ72" s="22">
        <v>28.12</v>
      </c>
      <c r="BA72" s="22">
        <v>-1.4163200000000001E-2</v>
      </c>
      <c r="BB72" s="22">
        <v>62</v>
      </c>
      <c r="BC72" s="22">
        <v>0.21157799999999999</v>
      </c>
      <c r="BD72">
        <f t="shared" si="10"/>
        <v>17.485432098765433</v>
      </c>
      <c r="BE72">
        <f t="shared" si="11"/>
        <v>3.7112829629629629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1.46271</v>
      </c>
      <c r="H73" s="22">
        <v>5.8788</v>
      </c>
      <c r="I73" s="22">
        <v>-1.2731900000000001E-2</v>
      </c>
      <c r="J73" s="22">
        <v>63</v>
      </c>
      <c r="K73" s="22">
        <v>1.4617899999999999</v>
      </c>
      <c r="L73">
        <f t="shared" si="0"/>
        <v>15.718395061728396</v>
      </c>
      <c r="M73">
        <f t="shared" si="1"/>
        <v>22.99145364074074</v>
      </c>
      <c r="N73" s="9"/>
      <c r="O73" s="22">
        <v>0.21728500000000001</v>
      </c>
      <c r="P73" s="22">
        <v>9.6577000000000002</v>
      </c>
      <c r="Q73" s="22">
        <v>-1.4129600000000001E-2</v>
      </c>
      <c r="R73" s="22">
        <v>63</v>
      </c>
      <c r="S73" s="22">
        <v>0.21670500000000001</v>
      </c>
      <c r="T73">
        <f t="shared" si="2"/>
        <v>17.443950617283949</v>
      </c>
      <c r="U73">
        <f t="shared" si="3"/>
        <v>3.7903088098765432</v>
      </c>
      <c r="X73" s="9"/>
      <c r="Y73" s="22">
        <v>1.46271</v>
      </c>
      <c r="Z73" s="22">
        <v>15.13</v>
      </c>
      <c r="AA73" s="22">
        <v>-1.26099E-2</v>
      </c>
      <c r="AB73" s="22">
        <v>63</v>
      </c>
      <c r="AC73" s="22">
        <v>1.4623999999999999</v>
      </c>
      <c r="AD73">
        <f t="shared" si="4"/>
        <v>15.567777777777778</v>
      </c>
      <c r="AE73">
        <f t="shared" si="5"/>
        <v>22.771144233333331</v>
      </c>
      <c r="AF73" s="9"/>
      <c r="AG73" s="22">
        <v>0.21728500000000001</v>
      </c>
      <c r="AH73" s="22">
        <v>18.908899999999999</v>
      </c>
      <c r="AI73" s="22">
        <v>-1.4175399999999999E-2</v>
      </c>
      <c r="AJ73" s="22">
        <v>63</v>
      </c>
      <c r="AK73" s="22">
        <v>0.216614</v>
      </c>
      <c r="AL73">
        <f t="shared" si="6"/>
        <v>17.500493827160494</v>
      </c>
      <c r="AM73">
        <f t="shared" si="7"/>
        <v>3.8025948012345681</v>
      </c>
      <c r="AP73" s="9"/>
      <c r="AQ73" s="22">
        <v>1.46271</v>
      </c>
      <c r="AR73" s="22">
        <v>24.351199999999999</v>
      </c>
      <c r="AS73" s="22">
        <v>-1.2737999999999999E-2</v>
      </c>
      <c r="AT73" s="22">
        <v>63</v>
      </c>
      <c r="AU73" s="22">
        <v>1.4617899999999999</v>
      </c>
      <c r="AV73">
        <f t="shared" si="8"/>
        <v>15.725925925925925</v>
      </c>
      <c r="AW73">
        <f t="shared" si="9"/>
        <v>23.002469111111107</v>
      </c>
      <c r="AX73" s="9"/>
      <c r="AY73" s="22">
        <v>0.21728500000000001</v>
      </c>
      <c r="AZ73" s="22">
        <v>28.130099999999999</v>
      </c>
      <c r="BA73" s="22">
        <v>-1.41663E-2</v>
      </c>
      <c r="BB73" s="22">
        <v>63</v>
      </c>
      <c r="BC73" s="22">
        <v>0.216614</v>
      </c>
      <c r="BD73">
        <f t="shared" si="10"/>
        <v>17.489259259259256</v>
      </c>
      <c r="BE73">
        <f t="shared" si="11"/>
        <v>3.8001536981481476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1.45767</v>
      </c>
      <c r="H74" s="22">
        <v>5.8888699999999998</v>
      </c>
      <c r="I74" s="22">
        <v>-1.2765500000000001E-2</v>
      </c>
      <c r="J74" s="22">
        <v>64</v>
      </c>
      <c r="K74" s="22">
        <v>1.4565999999999999</v>
      </c>
      <c r="L74">
        <f t="shared" si="0"/>
        <v>15.759876543209876</v>
      </c>
      <c r="M74">
        <f t="shared" si="1"/>
        <v>22.972699240740738</v>
      </c>
      <c r="N74" s="9"/>
      <c r="O74" s="22">
        <v>0.22232099999999999</v>
      </c>
      <c r="P74" s="22">
        <v>9.6677700000000009</v>
      </c>
      <c r="Q74" s="22">
        <v>-1.41266E-2</v>
      </c>
      <c r="R74" s="22">
        <v>64</v>
      </c>
      <c r="S74" s="22">
        <v>0.22164900000000001</v>
      </c>
      <c r="T74">
        <f t="shared" si="2"/>
        <v>17.440246913580246</v>
      </c>
      <c r="U74">
        <f t="shared" si="3"/>
        <v>3.8773331340740738</v>
      </c>
      <c r="X74" s="9"/>
      <c r="Y74" s="22">
        <v>1.45767</v>
      </c>
      <c r="Z74" s="22">
        <v>15.1401</v>
      </c>
      <c r="AA74" s="22">
        <v>-1.2655599999999999E-2</v>
      </c>
      <c r="AB74" s="22">
        <v>64</v>
      </c>
      <c r="AC74" s="22">
        <v>1.4569099999999999</v>
      </c>
      <c r="AD74">
        <f t="shared" si="4"/>
        <v>15.624197530864196</v>
      </c>
      <c r="AE74">
        <f t="shared" si="5"/>
        <v>22.774924014814811</v>
      </c>
      <c r="AF74" s="9"/>
      <c r="AG74" s="22">
        <v>0.22232099999999999</v>
      </c>
      <c r="AH74" s="22">
        <v>18.919</v>
      </c>
      <c r="AI74" s="22">
        <v>-1.4175399999999999E-2</v>
      </c>
      <c r="AJ74" s="22">
        <v>64</v>
      </c>
      <c r="AK74" s="22">
        <v>0.221802</v>
      </c>
      <c r="AL74">
        <f t="shared" si="6"/>
        <v>17.500493827160494</v>
      </c>
      <c r="AM74">
        <f t="shared" si="7"/>
        <v>3.8907272881481481</v>
      </c>
      <c r="AP74" s="9"/>
      <c r="AQ74" s="22">
        <v>1.45767</v>
      </c>
      <c r="AR74" s="22">
        <v>24.3613</v>
      </c>
      <c r="AS74" s="22">
        <v>-1.2777699999999999E-2</v>
      </c>
      <c r="AT74" s="22">
        <v>64</v>
      </c>
      <c r="AU74" s="22">
        <v>1.4569099999999999</v>
      </c>
      <c r="AV74">
        <f t="shared" si="8"/>
        <v>15.774938271604935</v>
      </c>
      <c r="AW74">
        <f t="shared" si="9"/>
        <v>22.994654270370365</v>
      </c>
      <c r="AX74" s="9"/>
      <c r="AY74" s="22">
        <v>0.22232099999999999</v>
      </c>
      <c r="AZ74" s="22">
        <v>28.1402</v>
      </c>
      <c r="BA74" s="22">
        <v>-1.4163200000000001E-2</v>
      </c>
      <c r="BB74" s="22">
        <v>64</v>
      </c>
      <c r="BC74" s="22">
        <v>0.22174099999999999</v>
      </c>
      <c r="BD74">
        <f t="shared" si="10"/>
        <v>17.485432098765433</v>
      </c>
      <c r="BE74">
        <f t="shared" si="11"/>
        <v>3.8873787496296295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1.4526399999999999</v>
      </c>
      <c r="H75" s="22">
        <v>5.8989399999999996</v>
      </c>
      <c r="I75" s="22">
        <v>-1.2799100000000001E-2</v>
      </c>
      <c r="J75" s="22">
        <v>65</v>
      </c>
      <c r="K75" s="22">
        <v>1.4520299999999999</v>
      </c>
      <c r="L75">
        <f t="shared" si="0"/>
        <v>15.801358024691359</v>
      </c>
      <c r="M75">
        <f t="shared" si="1"/>
        <v>22.953684720987653</v>
      </c>
      <c r="N75" s="9"/>
      <c r="O75" s="22">
        <v>0.227356</v>
      </c>
      <c r="P75" s="22">
        <v>9.6778399999999998</v>
      </c>
      <c r="Q75" s="22">
        <v>-1.41266E-2</v>
      </c>
      <c r="R75" s="22">
        <v>65</v>
      </c>
      <c r="S75" s="22">
        <v>0.226746</v>
      </c>
      <c r="T75">
        <f t="shared" si="2"/>
        <v>17.440246913580246</v>
      </c>
      <c r="U75">
        <f t="shared" si="3"/>
        <v>3.9651447772839505</v>
      </c>
      <c r="X75" s="9"/>
      <c r="Y75" s="22">
        <v>1.4526399999999999</v>
      </c>
      <c r="Z75" s="22">
        <v>15.1501</v>
      </c>
      <c r="AA75" s="22">
        <v>-1.26923E-2</v>
      </c>
      <c r="AB75" s="22">
        <v>65</v>
      </c>
      <c r="AC75" s="22">
        <v>1.4517199999999999</v>
      </c>
      <c r="AD75">
        <f t="shared" si="4"/>
        <v>15.669506172839506</v>
      </c>
      <c r="AE75">
        <f t="shared" si="5"/>
        <v>22.762151446913581</v>
      </c>
      <c r="AF75" s="9"/>
      <c r="AG75" s="22">
        <v>0.227356</v>
      </c>
      <c r="AH75" s="22">
        <v>18.928999999999998</v>
      </c>
      <c r="AI75" s="22">
        <v>-1.4175399999999999E-2</v>
      </c>
      <c r="AJ75" s="22">
        <v>65</v>
      </c>
      <c r="AK75" s="22">
        <v>0.22665399999999999</v>
      </c>
      <c r="AL75">
        <f t="shared" si="6"/>
        <v>17.500493827160494</v>
      </c>
      <c r="AM75">
        <f t="shared" si="7"/>
        <v>3.9788422745679011</v>
      </c>
      <c r="AP75" s="9"/>
      <c r="AQ75" s="22">
        <v>1.4526399999999999</v>
      </c>
      <c r="AR75" s="22">
        <v>24.371400000000001</v>
      </c>
      <c r="AS75" s="22">
        <v>-1.2811299999999999E-2</v>
      </c>
      <c r="AT75" s="22">
        <v>65</v>
      </c>
      <c r="AU75" s="22">
        <v>1.4517199999999999</v>
      </c>
      <c r="AV75">
        <f t="shared" si="8"/>
        <v>15.816419753086418</v>
      </c>
      <c r="AW75">
        <f t="shared" si="9"/>
        <v>22.975563990123455</v>
      </c>
      <c r="AX75" s="9"/>
      <c r="AY75" s="22">
        <v>0.227356</v>
      </c>
      <c r="AZ75" s="22">
        <v>28.150300000000001</v>
      </c>
      <c r="BA75" s="22">
        <v>-1.4157100000000001E-2</v>
      </c>
      <c r="BB75" s="22">
        <v>65</v>
      </c>
      <c r="BC75" s="22">
        <v>0.22659299999999999</v>
      </c>
      <c r="BD75">
        <f t="shared" si="10"/>
        <v>17.477901234567902</v>
      </c>
      <c r="BE75">
        <f t="shared" si="11"/>
        <v>3.97370571308642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1.4476</v>
      </c>
      <c r="H76" s="22">
        <v>5.9090100000000003</v>
      </c>
      <c r="I76" s="22">
        <v>-1.28326E-2</v>
      </c>
      <c r="J76" s="22">
        <v>66</v>
      </c>
      <c r="K76" s="22">
        <v>1.4465300000000001</v>
      </c>
      <c r="L76">
        <f t="shared" ref="L76:L139" si="12">-I76/$F$2*1000</f>
        <v>15.842716049382712</v>
      </c>
      <c r="M76">
        <f t="shared" ref="M76:M139" si="13">L76*G76</f>
        <v>22.933915753086414</v>
      </c>
      <c r="N76" s="9"/>
      <c r="O76" s="22">
        <v>0.23239099999999999</v>
      </c>
      <c r="P76" s="22">
        <v>9.6879200000000001</v>
      </c>
      <c r="Q76" s="22">
        <v>-1.4120499999999999E-2</v>
      </c>
      <c r="R76" s="22">
        <v>66</v>
      </c>
      <c r="S76" s="22">
        <v>0.23168900000000001</v>
      </c>
      <c r="T76">
        <f t="shared" ref="T76:T139" si="14">-Q76/$F$2*1000</f>
        <v>17.432716049382716</v>
      </c>
      <c r="U76">
        <f t="shared" ref="U76:U139" si="15">T76*O76</f>
        <v>4.0512063154320987</v>
      </c>
      <c r="X76" s="9"/>
      <c r="Y76" s="22">
        <v>1.4476</v>
      </c>
      <c r="Z76" s="22">
        <v>15.1602</v>
      </c>
      <c r="AA76" s="22">
        <v>-1.2737999999999999E-2</v>
      </c>
      <c r="AB76" s="22">
        <v>66</v>
      </c>
      <c r="AC76" s="22">
        <v>1.4468399999999999</v>
      </c>
      <c r="AD76">
        <f t="shared" ref="AD76:AD139" si="16">-AA76/$F$2*1000</f>
        <v>15.725925925925925</v>
      </c>
      <c r="AE76">
        <f t="shared" ref="AE76:AE139" si="17">AD76*Y76</f>
        <v>22.764850370370368</v>
      </c>
      <c r="AF76" s="9"/>
      <c r="AG76" s="22">
        <v>0.23239099999999999</v>
      </c>
      <c r="AH76" s="22">
        <v>18.9391</v>
      </c>
      <c r="AI76" s="22">
        <v>-1.4175399999999999E-2</v>
      </c>
      <c r="AJ76" s="22">
        <v>66</v>
      </c>
      <c r="AK76" s="22">
        <v>0.23178099999999999</v>
      </c>
      <c r="AL76">
        <f t="shared" ref="AL76:AL139" si="18">-AI76/$F$2*1000</f>
        <v>17.500493827160494</v>
      </c>
      <c r="AM76">
        <f t="shared" ref="AM76:AM139" si="19">AL76*AG76</f>
        <v>4.0669572609876541</v>
      </c>
      <c r="AP76" s="9"/>
      <c r="AQ76" s="22">
        <v>1.4476</v>
      </c>
      <c r="AR76" s="22">
        <v>24.381399999999999</v>
      </c>
      <c r="AS76" s="22">
        <v>-1.28448E-2</v>
      </c>
      <c r="AT76" s="22">
        <v>66</v>
      </c>
      <c r="AU76" s="22">
        <v>1.4462299999999999</v>
      </c>
      <c r="AV76">
        <f t="shared" ref="AV76:AV139" si="20">-AS76/$F$2*1000</f>
        <v>15.857777777777777</v>
      </c>
      <c r="AW76">
        <f t="shared" ref="AW76:AW139" si="21">AV76*AQ76</f>
        <v>22.955719111111108</v>
      </c>
      <c r="AX76" s="9"/>
      <c r="AY76" s="22">
        <v>0.23239099999999999</v>
      </c>
      <c r="AZ76" s="22">
        <v>28.160299999999999</v>
      </c>
      <c r="BA76" s="22">
        <v>-1.4154099999999999E-2</v>
      </c>
      <c r="BB76" s="22">
        <v>66</v>
      </c>
      <c r="BC76" s="22">
        <v>0.231628</v>
      </c>
      <c r="BD76">
        <f t="shared" ref="BD76:BD139" si="22">-BA76/$F$2*1000</f>
        <v>17.474197530864195</v>
      </c>
      <c r="BE76">
        <f t="shared" ref="BE76:BE139" si="23">BD76*AY76</f>
        <v>4.0608462383950608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1.4425699999999999</v>
      </c>
      <c r="H77" s="22">
        <v>5.9190800000000001</v>
      </c>
      <c r="I77" s="22">
        <v>-1.28632E-2</v>
      </c>
      <c r="J77" s="22">
        <v>67</v>
      </c>
      <c r="K77" s="22">
        <v>1.4416500000000001</v>
      </c>
      <c r="L77">
        <f t="shared" si="12"/>
        <v>15.880493827160493</v>
      </c>
      <c r="M77">
        <f t="shared" si="13"/>
        <v>22.908723980246911</v>
      </c>
      <c r="N77" s="9"/>
      <c r="O77" s="22">
        <v>0.237427</v>
      </c>
      <c r="P77" s="22">
        <v>9.6979900000000008</v>
      </c>
      <c r="Q77" s="22">
        <v>-1.41174E-2</v>
      </c>
      <c r="R77" s="22">
        <v>67</v>
      </c>
      <c r="S77" s="22">
        <v>0.23666400000000001</v>
      </c>
      <c r="T77">
        <f t="shared" si="14"/>
        <v>17.428888888888888</v>
      </c>
      <c r="U77">
        <f t="shared" si="15"/>
        <v>4.1380888022222218</v>
      </c>
      <c r="X77" s="9"/>
      <c r="Y77" s="22">
        <v>1.4425699999999999</v>
      </c>
      <c r="Z77" s="22">
        <v>15.170299999999999</v>
      </c>
      <c r="AA77" s="22">
        <v>-1.2771599999999999E-2</v>
      </c>
      <c r="AB77" s="22">
        <v>67</v>
      </c>
      <c r="AC77" s="22">
        <v>1.4410400000000001</v>
      </c>
      <c r="AD77">
        <f t="shared" si="16"/>
        <v>15.767407407407408</v>
      </c>
      <c r="AE77">
        <f t="shared" si="17"/>
        <v>22.745588903703702</v>
      </c>
      <c r="AF77" s="9"/>
      <c r="AG77" s="22">
        <v>0.237427</v>
      </c>
      <c r="AH77" s="22">
        <v>18.949200000000001</v>
      </c>
      <c r="AI77" s="22">
        <v>-1.41724E-2</v>
      </c>
      <c r="AJ77" s="22">
        <v>67</v>
      </c>
      <c r="AK77" s="22">
        <v>0.23672499999999999</v>
      </c>
      <c r="AL77">
        <f t="shared" si="18"/>
        <v>17.496790123456787</v>
      </c>
      <c r="AM77">
        <f t="shared" si="19"/>
        <v>4.1542103886419746</v>
      </c>
      <c r="AP77" s="9"/>
      <c r="AQ77" s="22">
        <v>1.4425699999999999</v>
      </c>
      <c r="AR77" s="22">
        <v>24.391500000000001</v>
      </c>
      <c r="AS77" s="22">
        <v>-1.28723E-2</v>
      </c>
      <c r="AT77" s="22">
        <v>67</v>
      </c>
      <c r="AU77" s="22">
        <v>1.4416500000000001</v>
      </c>
      <c r="AV77">
        <f t="shared" si="20"/>
        <v>15.891728395061728</v>
      </c>
      <c r="AW77">
        <f t="shared" si="21"/>
        <v>22.924930630864196</v>
      </c>
      <c r="AX77" s="9"/>
      <c r="AY77" s="22">
        <v>0.237427</v>
      </c>
      <c r="AZ77" s="22">
        <v>28.170400000000001</v>
      </c>
      <c r="BA77" s="22">
        <v>-1.41479E-2</v>
      </c>
      <c r="BB77" s="22">
        <v>67</v>
      </c>
      <c r="BC77" s="22">
        <v>0.23672499999999999</v>
      </c>
      <c r="BD77">
        <f t="shared" si="22"/>
        <v>17.466543209876541</v>
      </c>
      <c r="BE77">
        <f t="shared" si="23"/>
        <v>4.1470289546913577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1.43753</v>
      </c>
      <c r="H78" s="22">
        <v>5.9291499999999999</v>
      </c>
      <c r="I78" s="22">
        <v>-1.2899799999999999E-2</v>
      </c>
      <c r="J78" s="22">
        <v>68</v>
      </c>
      <c r="K78" s="22">
        <v>1.4364600000000001</v>
      </c>
      <c r="L78">
        <f t="shared" si="12"/>
        <v>15.925679012345679</v>
      </c>
      <c r="M78">
        <f t="shared" si="13"/>
        <v>22.893641350617283</v>
      </c>
      <c r="N78" s="9"/>
      <c r="O78" s="22">
        <v>0.24246200000000001</v>
      </c>
      <c r="P78" s="22">
        <v>9.7080599999999997</v>
      </c>
      <c r="Q78" s="22">
        <v>-1.41113E-2</v>
      </c>
      <c r="R78" s="22">
        <v>68</v>
      </c>
      <c r="S78" s="22">
        <v>0.24176</v>
      </c>
      <c r="T78">
        <f t="shared" si="14"/>
        <v>17.421358024691358</v>
      </c>
      <c r="U78">
        <f t="shared" si="15"/>
        <v>4.2240173093827158</v>
      </c>
      <c r="X78" s="9"/>
      <c r="Y78" s="22">
        <v>1.43753</v>
      </c>
      <c r="Z78" s="22">
        <v>15.180300000000001</v>
      </c>
      <c r="AA78" s="22">
        <v>-1.28021E-2</v>
      </c>
      <c r="AB78" s="22">
        <v>68</v>
      </c>
      <c r="AC78" s="22">
        <v>1.4364600000000001</v>
      </c>
      <c r="AD78">
        <f t="shared" si="16"/>
        <v>15.805061728395062</v>
      </c>
      <c r="AE78">
        <f t="shared" si="17"/>
        <v>22.720250386419753</v>
      </c>
      <c r="AF78" s="9"/>
      <c r="AG78" s="22">
        <v>0.24246200000000001</v>
      </c>
      <c r="AH78" s="22">
        <v>18.959199999999999</v>
      </c>
      <c r="AI78" s="22">
        <v>-1.41724E-2</v>
      </c>
      <c r="AJ78" s="22">
        <v>68</v>
      </c>
      <c r="AK78" s="22">
        <v>0.24197399999999999</v>
      </c>
      <c r="AL78">
        <f t="shared" si="18"/>
        <v>17.496790123456787</v>
      </c>
      <c r="AM78">
        <f t="shared" si="19"/>
        <v>4.2423067269135792</v>
      </c>
      <c r="AP78" s="9"/>
      <c r="AQ78" s="22">
        <v>1.43753</v>
      </c>
      <c r="AR78" s="22">
        <v>24.401599999999998</v>
      </c>
      <c r="AS78" s="22">
        <v>-1.2902800000000001E-2</v>
      </c>
      <c r="AT78" s="22">
        <v>68</v>
      </c>
      <c r="AU78" s="22">
        <v>1.4358500000000001</v>
      </c>
      <c r="AV78">
        <f t="shared" si="20"/>
        <v>15.929382716049382</v>
      </c>
      <c r="AW78">
        <f t="shared" si="21"/>
        <v>22.898965535802468</v>
      </c>
      <c r="AX78" s="9"/>
      <c r="AY78" s="22">
        <v>0.24246200000000001</v>
      </c>
      <c r="AZ78" s="22">
        <v>28.180499999999999</v>
      </c>
      <c r="BA78" s="22">
        <v>-1.41388E-2</v>
      </c>
      <c r="BB78" s="22">
        <v>68</v>
      </c>
      <c r="BC78" s="22">
        <v>0.24173</v>
      </c>
      <c r="BD78">
        <f t="shared" si="22"/>
        <v>17.455308641975307</v>
      </c>
      <c r="BE78">
        <f t="shared" si="23"/>
        <v>4.2322490439506169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1.4325000000000001</v>
      </c>
      <c r="H79" s="22">
        <v>5.9392199999999997</v>
      </c>
      <c r="I79" s="22">
        <v>-1.29272E-2</v>
      </c>
      <c r="J79" s="22">
        <v>69</v>
      </c>
      <c r="K79" s="22">
        <v>1.43188</v>
      </c>
      <c r="L79">
        <f t="shared" si="12"/>
        <v>15.959506172839506</v>
      </c>
      <c r="M79">
        <f t="shared" si="13"/>
        <v>22.861992592592593</v>
      </c>
      <c r="N79" s="9"/>
      <c r="O79" s="22">
        <v>0.247498</v>
      </c>
      <c r="P79" s="22">
        <v>9.7181300000000004</v>
      </c>
      <c r="Q79" s="22">
        <v>-1.41052E-2</v>
      </c>
      <c r="R79" s="22">
        <v>69</v>
      </c>
      <c r="S79" s="22">
        <v>0.24682599999999999</v>
      </c>
      <c r="T79">
        <f t="shared" si="14"/>
        <v>17.413827160493828</v>
      </c>
      <c r="U79">
        <f t="shared" si="15"/>
        <v>4.3098873945679008</v>
      </c>
      <c r="X79" s="9"/>
      <c r="Y79" s="22">
        <v>1.4325000000000001</v>
      </c>
      <c r="Z79" s="22">
        <v>15.1904</v>
      </c>
      <c r="AA79" s="22">
        <v>-1.28357E-2</v>
      </c>
      <c r="AB79" s="22">
        <v>69</v>
      </c>
      <c r="AC79" s="22">
        <v>1.43188</v>
      </c>
      <c r="AD79">
        <f t="shared" si="16"/>
        <v>15.846543209876542</v>
      </c>
      <c r="AE79">
        <f t="shared" si="17"/>
        <v>22.700173148148146</v>
      </c>
      <c r="AF79" s="9"/>
      <c r="AG79" s="22">
        <v>0.247498</v>
      </c>
      <c r="AH79" s="22">
        <v>18.9693</v>
      </c>
      <c r="AI79" s="22">
        <v>-1.41663E-2</v>
      </c>
      <c r="AJ79" s="22">
        <v>69</v>
      </c>
      <c r="AK79" s="22">
        <v>0.24682599999999999</v>
      </c>
      <c r="AL79">
        <f t="shared" si="18"/>
        <v>17.489259259259256</v>
      </c>
      <c r="AM79">
        <f t="shared" si="19"/>
        <v>4.3285566881481472</v>
      </c>
      <c r="AP79" s="9"/>
      <c r="AQ79" s="22">
        <v>1.4325000000000001</v>
      </c>
      <c r="AR79" s="22">
        <v>24.4116</v>
      </c>
      <c r="AS79" s="22">
        <v>-1.29303E-2</v>
      </c>
      <c r="AT79" s="22">
        <v>69</v>
      </c>
      <c r="AU79" s="22">
        <v>1.4315800000000001</v>
      </c>
      <c r="AV79">
        <f t="shared" si="20"/>
        <v>15.963333333333333</v>
      </c>
      <c r="AW79">
        <f t="shared" si="21"/>
        <v>22.867475000000002</v>
      </c>
      <c r="AX79" s="9"/>
      <c r="AY79" s="22">
        <v>0.247498</v>
      </c>
      <c r="AZ79" s="22">
        <v>28.1905</v>
      </c>
      <c r="BA79" s="22">
        <v>-1.41388E-2</v>
      </c>
      <c r="BB79" s="22">
        <v>69</v>
      </c>
      <c r="BC79" s="22">
        <v>0.24679599999999999</v>
      </c>
      <c r="BD79">
        <f t="shared" si="22"/>
        <v>17.455308641975307</v>
      </c>
      <c r="BE79">
        <f t="shared" si="23"/>
        <v>4.3201539782716045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1.42746</v>
      </c>
      <c r="H80" s="22">
        <v>5.9492900000000004</v>
      </c>
      <c r="I80" s="22">
        <v>-1.29517E-2</v>
      </c>
      <c r="J80" s="22">
        <v>70</v>
      </c>
      <c r="K80" s="22">
        <v>1.42639</v>
      </c>
      <c r="L80">
        <f t="shared" si="12"/>
        <v>15.989753086419752</v>
      </c>
      <c r="M80">
        <f t="shared" si="13"/>
        <v>22.824732940740738</v>
      </c>
      <c r="N80" s="9"/>
      <c r="O80" s="22">
        <v>0.25253300000000001</v>
      </c>
      <c r="P80" s="22">
        <v>9.7281999999999993</v>
      </c>
      <c r="Q80" s="22">
        <v>-1.41022E-2</v>
      </c>
      <c r="R80" s="22">
        <v>70</v>
      </c>
      <c r="S80" s="22">
        <v>0.25183100000000003</v>
      </c>
      <c r="T80">
        <f t="shared" si="14"/>
        <v>17.410123456790124</v>
      </c>
      <c r="U80">
        <f t="shared" si="15"/>
        <v>4.396630706913581</v>
      </c>
      <c r="X80" s="9"/>
      <c r="Y80" s="22">
        <v>1.42746</v>
      </c>
      <c r="Z80" s="22">
        <v>15.2005</v>
      </c>
      <c r="AA80" s="22">
        <v>-1.28693E-2</v>
      </c>
      <c r="AB80" s="22">
        <v>70</v>
      </c>
      <c r="AC80" s="22">
        <v>1.427</v>
      </c>
      <c r="AD80">
        <f t="shared" si="16"/>
        <v>15.888024691358023</v>
      </c>
      <c r="AE80">
        <f t="shared" si="17"/>
        <v>22.679519725925921</v>
      </c>
      <c r="AF80" s="9"/>
      <c r="AG80" s="22">
        <v>0.25253300000000001</v>
      </c>
      <c r="AH80" s="22">
        <v>18.979399999999998</v>
      </c>
      <c r="AI80" s="22">
        <v>-1.4163200000000001E-2</v>
      </c>
      <c r="AJ80" s="22">
        <v>70</v>
      </c>
      <c r="AK80" s="22">
        <v>0.25186199999999997</v>
      </c>
      <c r="AL80">
        <f t="shared" si="18"/>
        <v>17.485432098765433</v>
      </c>
      <c r="AM80">
        <f t="shared" si="19"/>
        <v>4.415648624197531</v>
      </c>
      <c r="AP80" s="9"/>
      <c r="AQ80" s="22">
        <v>1.42746</v>
      </c>
      <c r="AR80" s="22">
        <v>24.421700000000001</v>
      </c>
      <c r="AS80" s="22">
        <v>-1.29578E-2</v>
      </c>
      <c r="AT80" s="22">
        <v>70</v>
      </c>
      <c r="AU80" s="22">
        <v>1.42639</v>
      </c>
      <c r="AV80">
        <f t="shared" si="20"/>
        <v>15.997283950617284</v>
      </c>
      <c r="AW80">
        <f t="shared" si="21"/>
        <v>22.835482948148147</v>
      </c>
      <c r="AX80" s="9"/>
      <c r="AY80" s="22">
        <v>0.25253300000000001</v>
      </c>
      <c r="AZ80" s="22">
        <v>28.200600000000001</v>
      </c>
      <c r="BA80" s="22">
        <v>-1.41388E-2</v>
      </c>
      <c r="BB80" s="22">
        <v>70</v>
      </c>
      <c r="BC80" s="22">
        <v>0.251801</v>
      </c>
      <c r="BD80">
        <f t="shared" si="22"/>
        <v>17.455308641975307</v>
      </c>
      <c r="BE80">
        <f t="shared" si="23"/>
        <v>4.4080414572839501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1.42242</v>
      </c>
      <c r="H81" s="22">
        <v>5.9593699999999998</v>
      </c>
      <c r="I81" s="22">
        <v>-1.2982199999999999E-2</v>
      </c>
      <c r="J81" s="22">
        <v>71</v>
      </c>
      <c r="K81" s="22">
        <v>1.4221200000000001</v>
      </c>
      <c r="L81">
        <f t="shared" si="12"/>
        <v>16.027407407407406</v>
      </c>
      <c r="M81">
        <f t="shared" si="13"/>
        <v>22.797704844444443</v>
      </c>
      <c r="N81" s="9"/>
      <c r="O81" s="22">
        <v>0.25756800000000002</v>
      </c>
      <c r="P81" s="22">
        <v>9.73827</v>
      </c>
      <c r="Q81" s="22">
        <v>-1.40961E-2</v>
      </c>
      <c r="R81" s="22">
        <v>71</v>
      </c>
      <c r="S81" s="22">
        <v>0.25680500000000001</v>
      </c>
      <c r="T81">
        <f t="shared" si="14"/>
        <v>17.40259259259259</v>
      </c>
      <c r="U81">
        <f t="shared" si="15"/>
        <v>4.4823509688888885</v>
      </c>
      <c r="X81" s="9"/>
      <c r="Y81" s="22">
        <v>1.42242</v>
      </c>
      <c r="Z81" s="22">
        <v>15.2105</v>
      </c>
      <c r="AA81" s="22">
        <v>-1.29059E-2</v>
      </c>
      <c r="AB81" s="22">
        <v>71</v>
      </c>
      <c r="AC81" s="22">
        <v>1.4221200000000001</v>
      </c>
      <c r="AD81">
        <f t="shared" si="16"/>
        <v>15.933209876543209</v>
      </c>
      <c r="AE81">
        <f t="shared" si="17"/>
        <v>22.66371639259259</v>
      </c>
      <c r="AF81" s="9"/>
      <c r="AG81" s="22">
        <v>0.25756800000000002</v>
      </c>
      <c r="AH81" s="22">
        <v>18.9895</v>
      </c>
      <c r="AI81" s="22">
        <v>-1.4154099999999999E-2</v>
      </c>
      <c r="AJ81" s="22">
        <v>71</v>
      </c>
      <c r="AK81" s="22">
        <v>0.25683600000000001</v>
      </c>
      <c r="AL81">
        <f t="shared" si="18"/>
        <v>17.474197530864195</v>
      </c>
      <c r="AM81">
        <f t="shared" si="19"/>
        <v>4.5007941096296298</v>
      </c>
      <c r="AP81" s="9"/>
      <c r="AQ81" s="22">
        <v>1.42242</v>
      </c>
      <c r="AR81" s="22">
        <v>24.431799999999999</v>
      </c>
      <c r="AS81" s="22">
        <v>-1.2991300000000001E-2</v>
      </c>
      <c r="AT81" s="22">
        <v>71</v>
      </c>
      <c r="AU81" s="22">
        <v>1.42181</v>
      </c>
      <c r="AV81">
        <f t="shared" si="20"/>
        <v>16.038641975308643</v>
      </c>
      <c r="AW81">
        <f t="shared" si="21"/>
        <v>22.813685118518521</v>
      </c>
      <c r="AX81" s="9"/>
      <c r="AY81" s="22">
        <v>0.25756800000000002</v>
      </c>
      <c r="AZ81" s="22">
        <v>28.210699999999999</v>
      </c>
      <c r="BA81" s="22">
        <v>-1.4151E-2</v>
      </c>
      <c r="BB81" s="22">
        <v>71</v>
      </c>
      <c r="BC81" s="22">
        <v>0.25677499999999998</v>
      </c>
      <c r="BD81">
        <f t="shared" si="22"/>
        <v>17.470370370370368</v>
      </c>
      <c r="BE81">
        <f t="shared" si="23"/>
        <v>4.4998083555555555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1.4173899999999999</v>
      </c>
      <c r="H82" s="22">
        <v>5.9694399999999996</v>
      </c>
      <c r="I82" s="22">
        <v>-1.30157E-2</v>
      </c>
      <c r="J82" s="22">
        <v>72</v>
      </c>
      <c r="K82" s="22">
        <v>1.41632</v>
      </c>
      <c r="L82">
        <f t="shared" si="12"/>
        <v>16.068765432098765</v>
      </c>
      <c r="M82">
        <f t="shared" si="13"/>
        <v>22.775707435802467</v>
      </c>
      <c r="N82" s="9"/>
      <c r="O82" s="22">
        <v>0.262604</v>
      </c>
      <c r="P82" s="22">
        <v>9.7483400000000007</v>
      </c>
      <c r="Q82" s="22">
        <v>-1.40961E-2</v>
      </c>
      <c r="R82" s="22">
        <v>72</v>
      </c>
      <c r="S82" s="22">
        <v>0.26184099999999999</v>
      </c>
      <c r="T82">
        <f t="shared" si="14"/>
        <v>17.40259259259259</v>
      </c>
      <c r="U82">
        <f t="shared" si="15"/>
        <v>4.5699904251851846</v>
      </c>
      <c r="X82" s="9"/>
      <c r="Y82" s="22">
        <v>1.4173899999999999</v>
      </c>
      <c r="Z82" s="22">
        <v>15.220599999999999</v>
      </c>
      <c r="AA82" s="22">
        <v>-1.29333E-2</v>
      </c>
      <c r="AB82" s="22">
        <v>72</v>
      </c>
      <c r="AC82" s="22">
        <v>1.4166300000000001</v>
      </c>
      <c r="AD82">
        <f t="shared" si="16"/>
        <v>15.967037037037036</v>
      </c>
      <c r="AE82">
        <f t="shared" si="17"/>
        <v>22.631518625925924</v>
      </c>
      <c r="AF82" s="9"/>
      <c r="AG82" s="22">
        <v>0.262604</v>
      </c>
      <c r="AH82" s="22">
        <v>18.999500000000001</v>
      </c>
      <c r="AI82" s="22">
        <v>-1.4151E-2</v>
      </c>
      <c r="AJ82" s="22">
        <v>72</v>
      </c>
      <c r="AK82" s="22">
        <v>0.26180999999999999</v>
      </c>
      <c r="AL82">
        <f t="shared" si="18"/>
        <v>17.470370370370368</v>
      </c>
      <c r="AM82">
        <f t="shared" si="19"/>
        <v>4.5877891407407398</v>
      </c>
      <c r="AP82" s="9"/>
      <c r="AQ82" s="22">
        <v>1.4173899999999999</v>
      </c>
      <c r="AR82" s="22">
        <v>24.4419</v>
      </c>
      <c r="AS82" s="22">
        <v>-1.3018800000000001E-2</v>
      </c>
      <c r="AT82" s="22">
        <v>72</v>
      </c>
      <c r="AU82" s="22">
        <v>1.41632</v>
      </c>
      <c r="AV82">
        <f t="shared" si="20"/>
        <v>16.072592592592592</v>
      </c>
      <c r="AW82">
        <f t="shared" si="21"/>
        <v>22.781132014814812</v>
      </c>
      <c r="AX82" s="9"/>
      <c r="AY82" s="22">
        <v>0.262604</v>
      </c>
      <c r="AZ82" s="22">
        <v>28.220800000000001</v>
      </c>
      <c r="BA82" s="22">
        <v>-1.4157100000000001E-2</v>
      </c>
      <c r="BB82" s="22">
        <v>72</v>
      </c>
      <c r="BC82" s="22">
        <v>0.26174900000000001</v>
      </c>
      <c r="BD82">
        <f t="shared" si="22"/>
        <v>17.477901234567902</v>
      </c>
      <c r="BE82">
        <f t="shared" si="23"/>
        <v>4.5897667758024694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1.41235</v>
      </c>
      <c r="H83" s="22">
        <v>5.9795100000000003</v>
      </c>
      <c r="I83" s="22">
        <v>-1.30432E-2</v>
      </c>
      <c r="J83" s="22">
        <v>73</v>
      </c>
      <c r="K83" s="22">
        <v>1.41144</v>
      </c>
      <c r="L83">
        <f t="shared" si="12"/>
        <v>16.102716049382714</v>
      </c>
      <c r="M83">
        <f t="shared" si="13"/>
        <v>22.742671012345674</v>
      </c>
      <c r="N83" s="9"/>
      <c r="O83" s="22">
        <v>0.26763900000000002</v>
      </c>
      <c r="P83" s="22">
        <v>9.7584099999999996</v>
      </c>
      <c r="Q83" s="22">
        <v>-1.40961E-2</v>
      </c>
      <c r="R83" s="22">
        <v>73</v>
      </c>
      <c r="S83" s="22">
        <v>0.266876</v>
      </c>
      <c r="T83">
        <f t="shared" si="14"/>
        <v>17.40259259259259</v>
      </c>
      <c r="U83">
        <f t="shared" si="15"/>
        <v>4.6576124788888889</v>
      </c>
      <c r="X83" s="9"/>
      <c r="Y83" s="22">
        <v>1.41235</v>
      </c>
      <c r="Z83" s="22">
        <v>15.230700000000001</v>
      </c>
      <c r="AA83" s="22">
        <v>-1.29578E-2</v>
      </c>
      <c r="AB83" s="22">
        <v>73</v>
      </c>
      <c r="AC83" s="22">
        <v>1.41144</v>
      </c>
      <c r="AD83">
        <f t="shared" si="16"/>
        <v>15.997283950617284</v>
      </c>
      <c r="AE83">
        <f t="shared" si="17"/>
        <v>22.59376398765432</v>
      </c>
      <c r="AF83" s="9"/>
      <c r="AG83" s="22">
        <v>0.26763900000000002</v>
      </c>
      <c r="AH83" s="22">
        <v>19.009599999999999</v>
      </c>
      <c r="AI83" s="22">
        <v>-1.41479E-2</v>
      </c>
      <c r="AJ83" s="22">
        <v>73</v>
      </c>
      <c r="AK83" s="22">
        <v>0.26705899999999999</v>
      </c>
      <c r="AL83">
        <f t="shared" si="18"/>
        <v>17.466543209876541</v>
      </c>
      <c r="AM83">
        <f t="shared" si="19"/>
        <v>4.6747281581481479</v>
      </c>
      <c r="AP83" s="9"/>
      <c r="AQ83" s="22">
        <v>1.41235</v>
      </c>
      <c r="AR83" s="22">
        <v>24.451899999999998</v>
      </c>
      <c r="AS83" s="22">
        <v>-1.30524E-2</v>
      </c>
      <c r="AT83" s="22">
        <v>73</v>
      </c>
      <c r="AU83" s="22">
        <v>1.41113</v>
      </c>
      <c r="AV83">
        <f t="shared" si="20"/>
        <v>16.114074074074072</v>
      </c>
      <c r="AW83">
        <f t="shared" si="21"/>
        <v>22.758712518518514</v>
      </c>
      <c r="AX83" s="9"/>
      <c r="AY83" s="22">
        <v>0.26763900000000002</v>
      </c>
      <c r="AZ83" s="22">
        <v>28.230799999999999</v>
      </c>
      <c r="BA83" s="22">
        <v>-1.4157100000000001E-2</v>
      </c>
      <c r="BB83" s="22">
        <v>73</v>
      </c>
      <c r="BC83" s="22">
        <v>0.26693699999999998</v>
      </c>
      <c r="BD83">
        <f t="shared" si="22"/>
        <v>17.477901234567902</v>
      </c>
      <c r="BE83">
        <f t="shared" si="23"/>
        <v>4.6777680085185187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1.4073199999999999</v>
      </c>
      <c r="H84" s="22">
        <v>5.9895800000000001</v>
      </c>
      <c r="I84" s="22">
        <v>-1.30676E-2</v>
      </c>
      <c r="J84" s="22">
        <v>74</v>
      </c>
      <c r="K84" s="22">
        <v>1.40656</v>
      </c>
      <c r="L84">
        <f t="shared" si="12"/>
        <v>16.132839506172839</v>
      </c>
      <c r="M84">
        <f t="shared" si="13"/>
        <v>22.70406769382716</v>
      </c>
      <c r="N84" s="9"/>
      <c r="O84" s="22">
        <v>0.272675</v>
      </c>
      <c r="P84" s="22">
        <v>9.7684800000000003</v>
      </c>
      <c r="Q84" s="22">
        <v>-1.4093E-2</v>
      </c>
      <c r="R84" s="22">
        <v>74</v>
      </c>
      <c r="S84" s="22">
        <v>0.27191199999999999</v>
      </c>
      <c r="T84">
        <f t="shared" si="14"/>
        <v>17.398765432098763</v>
      </c>
      <c r="U84">
        <f t="shared" si="15"/>
        <v>4.7442083641975303</v>
      </c>
      <c r="X84" s="9"/>
      <c r="Y84" s="22">
        <v>1.4073199999999999</v>
      </c>
      <c r="Z84" s="22">
        <v>15.2408</v>
      </c>
      <c r="AA84" s="22">
        <v>-1.2982199999999999E-2</v>
      </c>
      <c r="AB84" s="22">
        <v>74</v>
      </c>
      <c r="AC84" s="22">
        <v>1.40656</v>
      </c>
      <c r="AD84">
        <f t="shared" si="16"/>
        <v>16.027407407407406</v>
      </c>
      <c r="AE84">
        <f t="shared" si="17"/>
        <v>22.555690992592588</v>
      </c>
      <c r="AF84" s="9"/>
      <c r="AG84" s="22">
        <v>0.272675</v>
      </c>
      <c r="AH84" s="22">
        <v>19.0197</v>
      </c>
      <c r="AI84" s="22">
        <v>-1.41388E-2</v>
      </c>
      <c r="AJ84" s="22">
        <v>74</v>
      </c>
      <c r="AK84" s="22">
        <v>0.27212500000000001</v>
      </c>
      <c r="AL84">
        <f t="shared" si="18"/>
        <v>17.455308641975307</v>
      </c>
      <c r="AM84">
        <f t="shared" si="19"/>
        <v>4.7596262839506167</v>
      </c>
      <c r="AP84" s="9"/>
      <c r="AQ84" s="22">
        <v>1.4073199999999999</v>
      </c>
      <c r="AR84" s="22">
        <v>24.462</v>
      </c>
      <c r="AS84" s="22">
        <v>-1.3079800000000001E-2</v>
      </c>
      <c r="AT84" s="22">
        <v>74</v>
      </c>
      <c r="AU84" s="22">
        <v>1.40656</v>
      </c>
      <c r="AV84">
        <f t="shared" si="20"/>
        <v>16.147901234567904</v>
      </c>
      <c r="AW84">
        <f t="shared" si="21"/>
        <v>22.7252643654321</v>
      </c>
      <c r="AX84" s="9"/>
      <c r="AY84" s="22">
        <v>0.272675</v>
      </c>
      <c r="AZ84" s="22">
        <v>28.2409</v>
      </c>
      <c r="BA84" s="22">
        <v>-1.4154099999999999E-2</v>
      </c>
      <c r="BB84" s="22">
        <v>74</v>
      </c>
      <c r="BC84" s="22">
        <v>0.27191199999999999</v>
      </c>
      <c r="BD84">
        <f t="shared" si="22"/>
        <v>17.474197530864195</v>
      </c>
      <c r="BE84">
        <f t="shared" si="23"/>
        <v>4.7647768117283942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1.40228</v>
      </c>
      <c r="H85" s="22">
        <v>5.9996499999999999</v>
      </c>
      <c r="I85" s="22">
        <v>-1.3091999999999999E-2</v>
      </c>
      <c r="J85" s="22">
        <v>75</v>
      </c>
      <c r="K85" s="22">
        <v>1.40167</v>
      </c>
      <c r="L85">
        <f t="shared" si="12"/>
        <v>16.162962962962961</v>
      </c>
      <c r="M85">
        <f t="shared" si="13"/>
        <v>22.6649997037037</v>
      </c>
      <c r="N85" s="9"/>
      <c r="O85" s="22">
        <v>0.27771000000000001</v>
      </c>
      <c r="P85" s="22">
        <v>9.7785499999999992</v>
      </c>
      <c r="Q85" s="22">
        <v>-1.40991E-2</v>
      </c>
      <c r="R85" s="22">
        <v>75</v>
      </c>
      <c r="S85" s="22">
        <v>0.27716099999999999</v>
      </c>
      <c r="T85">
        <f t="shared" si="14"/>
        <v>17.406296296296293</v>
      </c>
      <c r="U85">
        <f t="shared" si="15"/>
        <v>4.8339025444444434</v>
      </c>
      <c r="X85" s="9"/>
      <c r="Y85" s="22">
        <v>1.40228</v>
      </c>
      <c r="Z85" s="22">
        <v>15.2508</v>
      </c>
      <c r="AA85" s="22">
        <v>-1.30005E-2</v>
      </c>
      <c r="AB85" s="22">
        <v>75</v>
      </c>
      <c r="AC85" s="22">
        <v>1.40137</v>
      </c>
      <c r="AD85">
        <f t="shared" si="16"/>
        <v>16.049999999999997</v>
      </c>
      <c r="AE85">
        <f t="shared" si="17"/>
        <v>22.506593999999996</v>
      </c>
      <c r="AF85" s="9"/>
      <c r="AG85" s="22">
        <v>0.27771000000000001</v>
      </c>
      <c r="AH85" s="22">
        <v>19.029699999999998</v>
      </c>
      <c r="AI85" s="22">
        <v>-1.41388E-2</v>
      </c>
      <c r="AJ85" s="22">
        <v>75</v>
      </c>
      <c r="AK85" s="22">
        <v>0.27710000000000001</v>
      </c>
      <c r="AL85">
        <f t="shared" si="18"/>
        <v>17.455308641975307</v>
      </c>
      <c r="AM85">
        <f t="shared" si="19"/>
        <v>4.8475137629629632</v>
      </c>
      <c r="AP85" s="9"/>
      <c r="AQ85" s="22">
        <v>1.40228</v>
      </c>
      <c r="AR85" s="22">
        <v>24.472100000000001</v>
      </c>
      <c r="AS85" s="22">
        <v>-1.3110399999999999E-2</v>
      </c>
      <c r="AT85" s="22">
        <v>75</v>
      </c>
      <c r="AU85" s="22">
        <v>1.40106</v>
      </c>
      <c r="AV85">
        <f t="shared" si="20"/>
        <v>16.185679012345677</v>
      </c>
      <c r="AW85">
        <f t="shared" si="21"/>
        <v>22.696853965432094</v>
      </c>
      <c r="AX85" s="9"/>
      <c r="AY85" s="22">
        <v>0.27771000000000001</v>
      </c>
      <c r="AZ85" s="22">
        <v>28.251000000000001</v>
      </c>
      <c r="BA85" s="22">
        <v>-1.4154099999999999E-2</v>
      </c>
      <c r="BB85" s="22">
        <v>75</v>
      </c>
      <c r="BC85" s="22">
        <v>0.27716099999999999</v>
      </c>
      <c r="BD85">
        <f t="shared" si="22"/>
        <v>17.474197530864195</v>
      </c>
      <c r="BE85">
        <f t="shared" si="23"/>
        <v>4.852759396296296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1.3972500000000001</v>
      </c>
      <c r="H86" s="22">
        <v>6.0097199999999997</v>
      </c>
      <c r="I86" s="22">
        <v>-1.3119499999999999E-2</v>
      </c>
      <c r="J86" s="22">
        <v>76</v>
      </c>
      <c r="K86" s="22">
        <v>1.39618</v>
      </c>
      <c r="L86">
        <f t="shared" si="12"/>
        <v>16.19691358024691</v>
      </c>
      <c r="M86">
        <f t="shared" si="13"/>
        <v>22.631137499999998</v>
      </c>
      <c r="N86" s="9"/>
      <c r="O86" s="22">
        <v>0.28274500000000002</v>
      </c>
      <c r="P86" s="22">
        <v>9.7886299999999995</v>
      </c>
      <c r="Q86" s="22">
        <v>-1.40961E-2</v>
      </c>
      <c r="R86" s="22">
        <v>76</v>
      </c>
      <c r="S86" s="22">
        <v>0.28225699999999998</v>
      </c>
      <c r="T86">
        <f t="shared" si="14"/>
        <v>17.40259259259259</v>
      </c>
      <c r="U86">
        <f t="shared" si="15"/>
        <v>4.9204960425925925</v>
      </c>
      <c r="X86" s="9"/>
      <c r="Y86" s="22">
        <v>1.3972500000000001</v>
      </c>
      <c r="Z86" s="22">
        <v>15.260899999999999</v>
      </c>
      <c r="AA86" s="22">
        <v>-1.3024900000000001E-2</v>
      </c>
      <c r="AB86" s="22">
        <v>76</v>
      </c>
      <c r="AC86" s="22">
        <v>1.3958699999999999</v>
      </c>
      <c r="AD86">
        <f t="shared" si="16"/>
        <v>16.080123456790126</v>
      </c>
      <c r="AE86">
        <f t="shared" si="17"/>
        <v>22.467952500000006</v>
      </c>
      <c r="AF86" s="9"/>
      <c r="AG86" s="22">
        <v>0.28274500000000002</v>
      </c>
      <c r="AH86" s="22">
        <v>19.0398</v>
      </c>
      <c r="AI86" s="22">
        <v>-1.41266E-2</v>
      </c>
      <c r="AJ86" s="22">
        <v>76</v>
      </c>
      <c r="AK86" s="22">
        <v>0.28207399999999999</v>
      </c>
      <c r="AL86">
        <f t="shared" si="18"/>
        <v>17.440246913580246</v>
      </c>
      <c r="AM86">
        <f t="shared" si="19"/>
        <v>4.9311426135802474</v>
      </c>
      <c r="AP86" s="9"/>
      <c r="AQ86" s="22">
        <v>1.3972500000000001</v>
      </c>
      <c r="AR86" s="22">
        <v>24.482099999999999</v>
      </c>
      <c r="AS86" s="22">
        <v>-1.31409E-2</v>
      </c>
      <c r="AT86" s="22">
        <v>76</v>
      </c>
      <c r="AU86" s="22">
        <v>1.39618</v>
      </c>
      <c r="AV86">
        <f t="shared" si="20"/>
        <v>16.223333333333333</v>
      </c>
      <c r="AW86">
        <f t="shared" si="21"/>
        <v>22.668052500000002</v>
      </c>
      <c r="AX86" s="9"/>
      <c r="AY86" s="22">
        <v>0.28274500000000002</v>
      </c>
      <c r="AZ86" s="22">
        <v>28.260999999999999</v>
      </c>
      <c r="BA86" s="22">
        <v>-1.4157100000000001E-2</v>
      </c>
      <c r="BB86" s="22">
        <v>76</v>
      </c>
      <c r="BC86" s="22">
        <v>0.28207399999999999</v>
      </c>
      <c r="BD86">
        <f t="shared" si="22"/>
        <v>17.477901234567902</v>
      </c>
      <c r="BE86">
        <f t="shared" si="23"/>
        <v>4.9417891845679023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1.3922099999999999</v>
      </c>
      <c r="H87" s="22">
        <v>6.0197900000000004</v>
      </c>
      <c r="I87" s="22">
        <v>-1.3147000000000001E-2</v>
      </c>
      <c r="J87" s="22">
        <v>77</v>
      </c>
      <c r="K87" s="22">
        <v>1.39069</v>
      </c>
      <c r="L87">
        <f t="shared" si="12"/>
        <v>16.230864197530863</v>
      </c>
      <c r="M87">
        <f t="shared" si="13"/>
        <v>22.596771444444443</v>
      </c>
      <c r="N87" s="9"/>
      <c r="O87" s="22">
        <v>0.28778100000000001</v>
      </c>
      <c r="P87" s="22">
        <v>9.7987000000000002</v>
      </c>
      <c r="Q87" s="22">
        <v>-1.41022E-2</v>
      </c>
      <c r="R87" s="22">
        <v>77</v>
      </c>
      <c r="S87" s="22">
        <v>0.28707899999999997</v>
      </c>
      <c r="T87">
        <f t="shared" si="14"/>
        <v>17.410123456790124</v>
      </c>
      <c r="U87">
        <f t="shared" si="15"/>
        <v>5.0103027385185186</v>
      </c>
      <c r="X87" s="9"/>
      <c r="Y87" s="22">
        <v>1.3922099999999999</v>
      </c>
      <c r="Z87" s="22">
        <v>15.271000000000001</v>
      </c>
      <c r="AA87" s="22">
        <v>-1.30524E-2</v>
      </c>
      <c r="AB87" s="22">
        <v>77</v>
      </c>
      <c r="AC87" s="22">
        <v>1.3909899999999999</v>
      </c>
      <c r="AD87">
        <f t="shared" si="16"/>
        <v>16.114074074074072</v>
      </c>
      <c r="AE87">
        <f t="shared" si="17"/>
        <v>22.434175066666661</v>
      </c>
      <c r="AF87" s="9"/>
      <c r="AG87" s="22">
        <v>0.28778100000000001</v>
      </c>
      <c r="AH87" s="22">
        <v>19.049900000000001</v>
      </c>
      <c r="AI87" s="22">
        <v>-1.4114399999999999E-2</v>
      </c>
      <c r="AJ87" s="22">
        <v>77</v>
      </c>
      <c r="AK87" s="22">
        <v>0.28707899999999997</v>
      </c>
      <c r="AL87">
        <f t="shared" si="18"/>
        <v>17.425185185185182</v>
      </c>
      <c r="AM87">
        <f t="shared" si="19"/>
        <v>5.0146372177777767</v>
      </c>
      <c r="AP87" s="9"/>
      <c r="AQ87" s="22">
        <v>1.3922099999999999</v>
      </c>
      <c r="AR87" s="22">
        <v>24.4922</v>
      </c>
      <c r="AS87" s="22">
        <v>-1.31653E-2</v>
      </c>
      <c r="AT87" s="22">
        <v>77</v>
      </c>
      <c r="AU87" s="22">
        <v>1.3909899999999999</v>
      </c>
      <c r="AV87">
        <f t="shared" si="20"/>
        <v>16.253456790123455</v>
      </c>
      <c r="AW87">
        <f t="shared" si="21"/>
        <v>22.628225077777774</v>
      </c>
      <c r="AX87" s="9"/>
      <c r="AY87" s="22">
        <v>0.28778100000000001</v>
      </c>
      <c r="AZ87" s="22">
        <v>28.271100000000001</v>
      </c>
      <c r="BA87" s="22">
        <v>-1.4157100000000001E-2</v>
      </c>
      <c r="BB87" s="22">
        <v>77</v>
      </c>
      <c r="BC87" s="22">
        <v>0.28716999999999998</v>
      </c>
      <c r="BD87">
        <f t="shared" si="22"/>
        <v>17.477901234567902</v>
      </c>
      <c r="BE87">
        <f t="shared" si="23"/>
        <v>5.0298078951851855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1.3871800000000001</v>
      </c>
      <c r="H88" s="22">
        <v>6.0298600000000002</v>
      </c>
      <c r="I88" s="22">
        <v>-1.31714E-2</v>
      </c>
      <c r="J88" s="22">
        <v>78</v>
      </c>
      <c r="K88" s="22">
        <v>1.38611</v>
      </c>
      <c r="L88">
        <f t="shared" si="12"/>
        <v>16.260987654320989</v>
      </c>
      <c r="M88">
        <f t="shared" si="13"/>
        <v>22.556916854320992</v>
      </c>
      <c r="N88" s="9"/>
      <c r="O88" s="22">
        <v>0.29281600000000002</v>
      </c>
      <c r="P88" s="22">
        <v>9.8087700000000009</v>
      </c>
      <c r="Q88" s="22">
        <v>-1.40961E-2</v>
      </c>
      <c r="R88" s="22">
        <v>78</v>
      </c>
      <c r="S88" s="22">
        <v>0.29214499999999999</v>
      </c>
      <c r="T88">
        <f t="shared" si="14"/>
        <v>17.40259259259259</v>
      </c>
      <c r="U88">
        <f t="shared" si="15"/>
        <v>5.095757552592592</v>
      </c>
      <c r="X88" s="9"/>
      <c r="Y88" s="22">
        <v>1.3871800000000001</v>
      </c>
      <c r="Z88" s="22">
        <v>15.281000000000001</v>
      </c>
      <c r="AA88" s="22">
        <v>-1.3079800000000001E-2</v>
      </c>
      <c r="AB88" s="22">
        <v>78</v>
      </c>
      <c r="AC88" s="22">
        <v>1.3857999999999999</v>
      </c>
      <c r="AD88">
        <f t="shared" si="16"/>
        <v>16.147901234567904</v>
      </c>
      <c r="AE88">
        <f t="shared" si="17"/>
        <v>22.400045634567906</v>
      </c>
      <c r="AF88" s="9"/>
      <c r="AG88" s="22">
        <v>0.29281600000000002</v>
      </c>
      <c r="AH88" s="22">
        <v>19.059899999999999</v>
      </c>
      <c r="AI88" s="22">
        <v>-1.41113E-2</v>
      </c>
      <c r="AJ88" s="22">
        <v>78</v>
      </c>
      <c r="AK88" s="22">
        <v>0.29205300000000001</v>
      </c>
      <c r="AL88">
        <f t="shared" si="18"/>
        <v>17.421358024691358</v>
      </c>
      <c r="AM88">
        <f t="shared" si="19"/>
        <v>5.1012523713580249</v>
      </c>
      <c r="AP88" s="9"/>
      <c r="AQ88" s="22">
        <v>1.3871800000000001</v>
      </c>
      <c r="AR88" s="22">
        <v>24.502300000000002</v>
      </c>
      <c r="AS88" s="22">
        <v>-1.31805E-2</v>
      </c>
      <c r="AT88" s="22">
        <v>78</v>
      </c>
      <c r="AU88" s="22">
        <v>1.3864099999999999</v>
      </c>
      <c r="AV88">
        <f t="shared" si="20"/>
        <v>16.272222222222219</v>
      </c>
      <c r="AW88">
        <f t="shared" si="21"/>
        <v>22.572501222222218</v>
      </c>
      <c r="AX88" s="9"/>
      <c r="AY88" s="22">
        <v>0.29281600000000002</v>
      </c>
      <c r="AZ88" s="22">
        <v>28.281199999999998</v>
      </c>
      <c r="BA88" s="22">
        <v>-1.4163200000000001E-2</v>
      </c>
      <c r="BB88" s="22">
        <v>78</v>
      </c>
      <c r="BC88" s="22">
        <v>0.29205300000000001</v>
      </c>
      <c r="BD88">
        <f t="shared" si="22"/>
        <v>17.485432098765433</v>
      </c>
      <c r="BE88">
        <f t="shared" si="23"/>
        <v>5.1200142854320996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1.3821399999999999</v>
      </c>
      <c r="H89" s="22">
        <v>6.03993</v>
      </c>
      <c r="I89" s="22">
        <v>-1.31897E-2</v>
      </c>
      <c r="J89" s="22">
        <v>79</v>
      </c>
      <c r="K89" s="22">
        <v>1.3809199999999999</v>
      </c>
      <c r="L89">
        <f t="shared" si="12"/>
        <v>16.28358024691358</v>
      </c>
      <c r="M89">
        <f t="shared" si="13"/>
        <v>22.506187602469133</v>
      </c>
      <c r="N89" s="9"/>
      <c r="O89" s="22">
        <v>0.29785200000000001</v>
      </c>
      <c r="P89" s="22">
        <v>9.8188399999999998</v>
      </c>
      <c r="Q89" s="22">
        <v>-1.40961E-2</v>
      </c>
      <c r="R89" s="22">
        <v>79</v>
      </c>
      <c r="S89" s="22">
        <v>0.29724099999999998</v>
      </c>
      <c r="T89">
        <f t="shared" si="14"/>
        <v>17.40259259259259</v>
      </c>
      <c r="U89">
        <f t="shared" si="15"/>
        <v>5.1833970088888881</v>
      </c>
      <c r="X89" s="9"/>
      <c r="Y89" s="22">
        <v>1.3821399999999999</v>
      </c>
      <c r="Z89" s="22">
        <v>15.2911</v>
      </c>
      <c r="AA89" s="22">
        <v>-1.3107300000000001E-2</v>
      </c>
      <c r="AB89" s="22">
        <v>79</v>
      </c>
      <c r="AC89" s="22">
        <v>1.38062</v>
      </c>
      <c r="AD89">
        <f t="shared" si="16"/>
        <v>16.181851851851849</v>
      </c>
      <c r="AE89">
        <f t="shared" si="17"/>
        <v>22.365584718518512</v>
      </c>
      <c r="AF89" s="9"/>
      <c r="AG89" s="22">
        <v>0.29785200000000001</v>
      </c>
      <c r="AH89" s="22">
        <v>19.07</v>
      </c>
      <c r="AI89" s="22">
        <v>-1.41113E-2</v>
      </c>
      <c r="AJ89" s="22">
        <v>79</v>
      </c>
      <c r="AK89" s="22">
        <v>0.29718</v>
      </c>
      <c r="AL89">
        <f t="shared" si="18"/>
        <v>17.421358024691358</v>
      </c>
      <c r="AM89">
        <f t="shared" si="19"/>
        <v>5.18898633037037</v>
      </c>
      <c r="AP89" s="9"/>
      <c r="AQ89" s="22">
        <v>1.3821399999999999</v>
      </c>
      <c r="AR89" s="22">
        <v>24.5123</v>
      </c>
      <c r="AS89" s="22">
        <v>-1.3195800000000001E-2</v>
      </c>
      <c r="AT89" s="22">
        <v>79</v>
      </c>
      <c r="AU89" s="22">
        <v>1.38123</v>
      </c>
      <c r="AV89">
        <f t="shared" si="20"/>
        <v>16.29111111111111</v>
      </c>
      <c r="AW89">
        <f t="shared" si="21"/>
        <v>22.516596311111108</v>
      </c>
      <c r="AX89" s="9"/>
      <c r="AY89" s="22">
        <v>0.29785200000000001</v>
      </c>
      <c r="AZ89" s="22">
        <v>28.2913</v>
      </c>
      <c r="BA89" s="22">
        <v>-1.41663E-2</v>
      </c>
      <c r="BB89" s="22">
        <v>79</v>
      </c>
      <c r="BC89" s="22">
        <v>0.29715000000000003</v>
      </c>
      <c r="BD89">
        <f t="shared" si="22"/>
        <v>17.489259259259256</v>
      </c>
      <c r="BE89">
        <f t="shared" si="23"/>
        <v>5.2092108488888877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1.3771100000000001</v>
      </c>
      <c r="H90" s="22">
        <v>6.05</v>
      </c>
      <c r="I90" s="22">
        <v>-1.3214099999999999E-2</v>
      </c>
      <c r="J90" s="22">
        <v>80</v>
      </c>
      <c r="K90" s="22">
        <v>1.3763399999999999</v>
      </c>
      <c r="L90">
        <f t="shared" si="12"/>
        <v>16.313703703703702</v>
      </c>
      <c r="M90">
        <f t="shared" si="13"/>
        <v>22.465764507407407</v>
      </c>
      <c r="N90" s="9"/>
      <c r="O90" s="22">
        <v>0.30288700000000002</v>
      </c>
      <c r="P90" s="22">
        <v>9.8289100000000005</v>
      </c>
      <c r="Q90" s="22">
        <v>-1.40991E-2</v>
      </c>
      <c r="R90" s="22">
        <v>80</v>
      </c>
      <c r="S90" s="22">
        <v>0.30221599999999998</v>
      </c>
      <c r="T90">
        <f t="shared" si="14"/>
        <v>17.406296296296293</v>
      </c>
      <c r="U90">
        <f t="shared" si="15"/>
        <v>5.2721408662962954</v>
      </c>
      <c r="X90" s="9"/>
      <c r="Y90" s="22">
        <v>1.3771100000000001</v>
      </c>
      <c r="Z90" s="22">
        <v>15.3012</v>
      </c>
      <c r="AA90" s="22">
        <v>-1.31317E-2</v>
      </c>
      <c r="AB90" s="22">
        <v>80</v>
      </c>
      <c r="AC90" s="22">
        <v>1.3757299999999999</v>
      </c>
      <c r="AD90">
        <f t="shared" si="16"/>
        <v>16.211975308641971</v>
      </c>
      <c r="AE90">
        <f t="shared" si="17"/>
        <v>22.325673317283947</v>
      </c>
      <c r="AF90" s="9"/>
      <c r="AG90" s="22">
        <v>0.30288700000000002</v>
      </c>
      <c r="AH90" s="22">
        <v>19.080100000000002</v>
      </c>
      <c r="AI90" s="22">
        <v>-1.4120499999999999E-2</v>
      </c>
      <c r="AJ90" s="22">
        <v>80</v>
      </c>
      <c r="AK90" s="22">
        <v>0.30218499999999998</v>
      </c>
      <c r="AL90">
        <f t="shared" si="18"/>
        <v>17.432716049382716</v>
      </c>
      <c r="AM90">
        <f t="shared" si="19"/>
        <v>5.2801430660493827</v>
      </c>
      <c r="AP90" s="9"/>
      <c r="AQ90" s="22">
        <v>1.3771100000000001</v>
      </c>
      <c r="AR90" s="22">
        <v>24.522400000000001</v>
      </c>
      <c r="AS90" s="22">
        <v>-1.32172E-2</v>
      </c>
      <c r="AT90" s="22">
        <v>80</v>
      </c>
      <c r="AU90" s="22">
        <v>1.3763399999999999</v>
      </c>
      <c r="AV90">
        <f t="shared" si="20"/>
        <v>16.317530864197529</v>
      </c>
      <c r="AW90">
        <f t="shared" si="21"/>
        <v>22.47103492839506</v>
      </c>
      <c r="AX90" s="9"/>
      <c r="AY90" s="22">
        <v>0.30288700000000002</v>
      </c>
      <c r="AZ90" s="22">
        <v>28.301300000000001</v>
      </c>
      <c r="BA90" s="22">
        <v>-1.4169299999999999E-2</v>
      </c>
      <c r="BB90" s="22">
        <v>80</v>
      </c>
      <c r="BC90" s="22">
        <v>0.30221599999999998</v>
      </c>
      <c r="BD90">
        <f t="shared" si="22"/>
        <v>17.492962962962959</v>
      </c>
      <c r="BE90">
        <f t="shared" si="23"/>
        <v>5.2983910729629624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1.3720699999999999</v>
      </c>
      <c r="H91" s="22">
        <v>6.0600800000000001</v>
      </c>
      <c r="I91" s="22">
        <v>-1.32324E-2</v>
      </c>
      <c r="J91" s="22">
        <v>81</v>
      </c>
      <c r="K91" s="22">
        <v>1.3714599999999999</v>
      </c>
      <c r="L91">
        <f t="shared" si="12"/>
        <v>16.336296296296297</v>
      </c>
      <c r="M91">
        <f t="shared" si="13"/>
        <v>22.414542059259258</v>
      </c>
      <c r="N91" s="9"/>
      <c r="O91" s="22">
        <v>0.30792199999999997</v>
      </c>
      <c r="P91" s="22">
        <v>9.8389799999999994</v>
      </c>
      <c r="Q91" s="22">
        <v>-1.40991E-2</v>
      </c>
      <c r="R91" s="22">
        <v>81</v>
      </c>
      <c r="S91" s="22">
        <v>0.30709799999999998</v>
      </c>
      <c r="T91">
        <f t="shared" si="14"/>
        <v>17.406296296296293</v>
      </c>
      <c r="U91">
        <f t="shared" si="15"/>
        <v>5.3597815681481471</v>
      </c>
      <c r="X91" s="9"/>
      <c r="Y91" s="22">
        <v>1.3720699999999999</v>
      </c>
      <c r="Z91" s="22">
        <v>15.311299999999999</v>
      </c>
      <c r="AA91" s="22">
        <v>-1.3162200000000001E-2</v>
      </c>
      <c r="AB91" s="22">
        <v>81</v>
      </c>
      <c r="AC91" s="22">
        <v>1.3711500000000001</v>
      </c>
      <c r="AD91">
        <f t="shared" si="16"/>
        <v>16.249629629629627</v>
      </c>
      <c r="AE91">
        <f t="shared" si="17"/>
        <v>22.295629325925923</v>
      </c>
      <c r="AF91" s="9"/>
      <c r="AG91" s="22">
        <v>0.30792199999999997</v>
      </c>
      <c r="AH91" s="22">
        <v>19.090199999999999</v>
      </c>
      <c r="AI91" s="22">
        <v>-1.4120499999999999E-2</v>
      </c>
      <c r="AJ91" s="22">
        <v>81</v>
      </c>
      <c r="AK91" s="22">
        <v>0.30719000000000002</v>
      </c>
      <c r="AL91">
        <f t="shared" si="18"/>
        <v>17.432716049382716</v>
      </c>
      <c r="AM91">
        <f t="shared" si="19"/>
        <v>5.3679167913580246</v>
      </c>
      <c r="AP91" s="9"/>
      <c r="AQ91" s="22">
        <v>1.3720699999999999</v>
      </c>
      <c r="AR91" s="22">
        <v>24.532499999999999</v>
      </c>
      <c r="AS91" s="22">
        <v>-1.3241599999999999E-2</v>
      </c>
      <c r="AT91" s="22">
        <v>81</v>
      </c>
      <c r="AU91" s="22">
        <v>1.3708499999999999</v>
      </c>
      <c r="AV91">
        <f t="shared" si="20"/>
        <v>16.347654320987651</v>
      </c>
      <c r="AW91">
        <f t="shared" si="21"/>
        <v>22.430126064197523</v>
      </c>
      <c r="AX91" s="9"/>
      <c r="AY91" s="22">
        <v>0.30792199999999997</v>
      </c>
      <c r="AZ91" s="22">
        <v>28.311399999999999</v>
      </c>
      <c r="BA91" s="22">
        <v>-1.4163200000000001E-2</v>
      </c>
      <c r="BB91" s="22">
        <v>81</v>
      </c>
      <c r="BC91" s="22">
        <v>0.30731199999999997</v>
      </c>
      <c r="BD91">
        <f t="shared" si="22"/>
        <v>17.485432098765433</v>
      </c>
      <c r="BE91">
        <f t="shared" si="23"/>
        <v>5.384149222716049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1.36703</v>
      </c>
      <c r="H92" s="22">
        <v>6.0701499999999999</v>
      </c>
      <c r="I92" s="22">
        <v>-1.3250700000000001E-2</v>
      </c>
      <c r="J92" s="22">
        <v>82</v>
      </c>
      <c r="K92" s="22">
        <v>1.3665799999999999</v>
      </c>
      <c r="L92">
        <f t="shared" si="12"/>
        <v>16.358888888888888</v>
      </c>
      <c r="M92">
        <f t="shared" si="13"/>
        <v>22.363091877777777</v>
      </c>
      <c r="N92" s="9"/>
      <c r="O92" s="22">
        <v>0.31295800000000001</v>
      </c>
      <c r="P92" s="22">
        <v>9.8490500000000001</v>
      </c>
      <c r="Q92" s="22">
        <v>-1.40991E-2</v>
      </c>
      <c r="R92" s="22">
        <v>82</v>
      </c>
      <c r="S92" s="22">
        <v>0.31225599999999998</v>
      </c>
      <c r="T92">
        <f t="shared" si="14"/>
        <v>17.406296296296293</v>
      </c>
      <c r="U92">
        <f t="shared" si="15"/>
        <v>5.4474396762962956</v>
      </c>
      <c r="X92" s="9"/>
      <c r="Y92" s="22">
        <v>1.36703</v>
      </c>
      <c r="Z92" s="22">
        <v>15.321300000000001</v>
      </c>
      <c r="AA92" s="22">
        <v>-1.31836E-2</v>
      </c>
      <c r="AB92" s="22">
        <v>82</v>
      </c>
      <c r="AC92" s="22">
        <v>1.3662700000000001</v>
      </c>
      <c r="AD92">
        <f t="shared" si="16"/>
        <v>16.276049382716046</v>
      </c>
      <c r="AE92">
        <f t="shared" si="17"/>
        <v>22.249847787654314</v>
      </c>
      <c r="AF92" s="9"/>
      <c r="AG92" s="22">
        <v>0.31295800000000001</v>
      </c>
      <c r="AH92" s="22">
        <v>19.100200000000001</v>
      </c>
      <c r="AI92" s="22">
        <v>-1.4120499999999999E-2</v>
      </c>
      <c r="AJ92" s="22">
        <v>82</v>
      </c>
      <c r="AK92" s="22">
        <v>0.31234699999999999</v>
      </c>
      <c r="AL92">
        <f t="shared" si="18"/>
        <v>17.432716049382716</v>
      </c>
      <c r="AM92">
        <f t="shared" si="19"/>
        <v>5.4557079493827159</v>
      </c>
      <c r="AP92" s="9"/>
      <c r="AQ92" s="22">
        <v>1.36703</v>
      </c>
      <c r="AR92" s="22">
        <v>24.5426</v>
      </c>
      <c r="AS92" s="22">
        <v>-1.32599E-2</v>
      </c>
      <c r="AT92" s="22">
        <v>82</v>
      </c>
      <c r="AU92" s="22">
        <v>1.3665799999999999</v>
      </c>
      <c r="AV92">
        <f t="shared" si="20"/>
        <v>16.370246913580246</v>
      </c>
      <c r="AW92">
        <f t="shared" si="21"/>
        <v>22.378618638271604</v>
      </c>
      <c r="AX92" s="9"/>
      <c r="AY92" s="22">
        <v>0.31295800000000001</v>
      </c>
      <c r="AZ92" s="22">
        <v>28.3215</v>
      </c>
      <c r="BA92" s="22">
        <v>-1.4157100000000001E-2</v>
      </c>
      <c r="BB92" s="22">
        <v>82</v>
      </c>
      <c r="BC92" s="22">
        <v>0.31228600000000001</v>
      </c>
      <c r="BD92">
        <f t="shared" si="22"/>
        <v>17.477901234567902</v>
      </c>
      <c r="BE92">
        <f t="shared" si="23"/>
        <v>5.4698490145679015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1.3620000000000001</v>
      </c>
      <c r="H93" s="22">
        <v>6.0802199999999997</v>
      </c>
      <c r="I93" s="22">
        <v>-1.32599E-2</v>
      </c>
      <c r="J93" s="22">
        <v>83</v>
      </c>
      <c r="K93" s="22">
        <v>1.3613900000000001</v>
      </c>
      <c r="L93">
        <f t="shared" si="12"/>
        <v>16.370246913580246</v>
      </c>
      <c r="M93">
        <f t="shared" si="13"/>
        <v>22.296276296296298</v>
      </c>
      <c r="N93" s="9"/>
      <c r="O93" s="22">
        <v>0.31799300000000003</v>
      </c>
      <c r="P93" s="22">
        <v>9.8591200000000008</v>
      </c>
      <c r="Q93" s="22">
        <v>-1.40961E-2</v>
      </c>
      <c r="R93" s="22">
        <v>83</v>
      </c>
      <c r="S93" s="22">
        <v>0.31723000000000001</v>
      </c>
      <c r="T93">
        <f t="shared" si="14"/>
        <v>17.40259259259259</v>
      </c>
      <c r="U93">
        <f t="shared" si="15"/>
        <v>5.533902626296296</v>
      </c>
      <c r="X93" s="9"/>
      <c r="Y93" s="22">
        <v>1.3620000000000001</v>
      </c>
      <c r="Z93" s="22">
        <v>15.3314</v>
      </c>
      <c r="AA93" s="22">
        <v>-1.32111E-2</v>
      </c>
      <c r="AB93" s="22">
        <v>83</v>
      </c>
      <c r="AC93" s="22">
        <v>1.3610800000000001</v>
      </c>
      <c r="AD93">
        <f t="shared" si="16"/>
        <v>16.309999999999999</v>
      </c>
      <c r="AE93">
        <f t="shared" si="17"/>
        <v>22.214220000000001</v>
      </c>
      <c r="AF93" s="9"/>
      <c r="AG93" s="22">
        <v>0.31799300000000003</v>
      </c>
      <c r="AH93" s="22">
        <v>19.110299999999999</v>
      </c>
      <c r="AI93" s="22">
        <v>-1.4123500000000001E-2</v>
      </c>
      <c r="AJ93" s="22">
        <v>83</v>
      </c>
      <c r="AK93" s="22">
        <v>0.31723000000000001</v>
      </c>
      <c r="AL93">
        <f t="shared" si="18"/>
        <v>17.436419753086419</v>
      </c>
      <c r="AM93">
        <f t="shared" si="19"/>
        <v>5.5446594265432099</v>
      </c>
      <c r="AP93" s="9"/>
      <c r="AQ93" s="22">
        <v>1.3620000000000001</v>
      </c>
      <c r="AR93" s="22">
        <v>24.552600000000002</v>
      </c>
      <c r="AS93" s="22">
        <v>-1.32782E-2</v>
      </c>
      <c r="AT93" s="22">
        <v>83</v>
      </c>
      <c r="AU93" s="22">
        <v>1.3610800000000001</v>
      </c>
      <c r="AV93">
        <f t="shared" si="20"/>
        <v>16.392839506172837</v>
      </c>
      <c r="AW93">
        <f t="shared" si="21"/>
        <v>22.327047407407406</v>
      </c>
      <c r="AX93" s="9"/>
      <c r="AY93" s="22">
        <v>0.31799300000000003</v>
      </c>
      <c r="AZ93" s="22">
        <v>28.331499999999998</v>
      </c>
      <c r="BA93" s="22">
        <v>-1.41479E-2</v>
      </c>
      <c r="BB93" s="22">
        <v>83</v>
      </c>
      <c r="BC93" s="22">
        <v>0.31723000000000001</v>
      </c>
      <c r="BD93">
        <f t="shared" si="22"/>
        <v>17.466543209876541</v>
      </c>
      <c r="BE93">
        <f t="shared" si="23"/>
        <v>5.5542384749382716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1.3569599999999999</v>
      </c>
      <c r="H94" s="22">
        <v>6.0902900000000004</v>
      </c>
      <c r="I94" s="22">
        <v>-1.32751E-2</v>
      </c>
      <c r="J94" s="22">
        <v>84</v>
      </c>
      <c r="K94" s="22">
        <v>1.3565100000000001</v>
      </c>
      <c r="L94">
        <f t="shared" si="12"/>
        <v>16.38901234567901</v>
      </c>
      <c r="M94">
        <f t="shared" si="13"/>
        <v>22.239234192592587</v>
      </c>
      <c r="N94" s="9"/>
      <c r="O94" s="22">
        <v>0.32302900000000001</v>
      </c>
      <c r="P94" s="22">
        <v>9.8691899999999997</v>
      </c>
      <c r="Q94" s="22">
        <v>-1.4093E-2</v>
      </c>
      <c r="R94" s="22">
        <v>84</v>
      </c>
      <c r="S94" s="22">
        <v>0.32232699999999997</v>
      </c>
      <c r="T94">
        <f t="shared" si="14"/>
        <v>17.398765432098763</v>
      </c>
      <c r="U94">
        <f t="shared" si="15"/>
        <v>5.6203057987654317</v>
      </c>
      <c r="X94" s="9"/>
      <c r="Y94" s="22">
        <v>1.3569599999999999</v>
      </c>
      <c r="Z94" s="22">
        <v>15.3415</v>
      </c>
      <c r="AA94" s="22">
        <v>-1.32263E-2</v>
      </c>
      <c r="AB94" s="22">
        <v>84</v>
      </c>
      <c r="AC94" s="22">
        <v>1.3552900000000001</v>
      </c>
      <c r="AD94">
        <f t="shared" si="16"/>
        <v>16.328765432098766</v>
      </c>
      <c r="AE94">
        <f t="shared" si="17"/>
        <v>22.15748154074074</v>
      </c>
      <c r="AF94" s="9"/>
      <c r="AG94" s="22">
        <v>0.32302900000000001</v>
      </c>
      <c r="AH94" s="22">
        <v>19.1204</v>
      </c>
      <c r="AI94" s="22">
        <v>-1.4120499999999999E-2</v>
      </c>
      <c r="AJ94" s="22">
        <v>84</v>
      </c>
      <c r="AK94" s="22">
        <v>0.32232699999999997</v>
      </c>
      <c r="AL94">
        <f t="shared" si="18"/>
        <v>17.432716049382716</v>
      </c>
      <c r="AM94">
        <f t="shared" si="19"/>
        <v>5.6312728327160491</v>
      </c>
      <c r="AP94" s="9"/>
      <c r="AQ94" s="22">
        <v>1.3569599999999999</v>
      </c>
      <c r="AR94" s="22">
        <v>24.5627</v>
      </c>
      <c r="AS94" s="22">
        <v>-1.33057E-2</v>
      </c>
      <c r="AT94" s="22">
        <v>84</v>
      </c>
      <c r="AU94" s="22">
        <v>1.3562000000000001</v>
      </c>
      <c r="AV94">
        <f t="shared" si="20"/>
        <v>16.42679012345679</v>
      </c>
      <c r="AW94">
        <f t="shared" si="21"/>
        <v>22.290497125925924</v>
      </c>
      <c r="AX94" s="9"/>
      <c r="AY94" s="22">
        <v>0.32302900000000001</v>
      </c>
      <c r="AZ94" s="22">
        <v>28.3416</v>
      </c>
      <c r="BA94" s="22">
        <v>-1.41388E-2</v>
      </c>
      <c r="BB94" s="22">
        <v>84</v>
      </c>
      <c r="BC94" s="22">
        <v>0.32223499999999999</v>
      </c>
      <c r="BD94">
        <f t="shared" si="22"/>
        <v>17.455308641975307</v>
      </c>
      <c r="BE94">
        <f t="shared" si="23"/>
        <v>5.638570895308642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1.3519300000000001</v>
      </c>
      <c r="H95" s="22">
        <v>6.1003600000000002</v>
      </c>
      <c r="I95" s="22">
        <v>-1.3290400000000001E-2</v>
      </c>
      <c r="J95" s="22">
        <v>85</v>
      </c>
      <c r="K95" s="22">
        <v>1.3513200000000001</v>
      </c>
      <c r="L95">
        <f t="shared" si="12"/>
        <v>16.407901234567902</v>
      </c>
      <c r="M95">
        <f t="shared" si="13"/>
        <v>22.182333916049384</v>
      </c>
      <c r="N95" s="9"/>
      <c r="O95" s="22">
        <v>0.32806400000000002</v>
      </c>
      <c r="P95" s="22">
        <v>9.8792600000000004</v>
      </c>
      <c r="Q95" s="22">
        <v>-1.4086899999999999E-2</v>
      </c>
      <c r="R95" s="22">
        <v>85</v>
      </c>
      <c r="S95" s="22">
        <v>0.32727099999999998</v>
      </c>
      <c r="T95">
        <f t="shared" si="14"/>
        <v>17.391234567901233</v>
      </c>
      <c r="U95">
        <f t="shared" si="15"/>
        <v>5.7054379772839505</v>
      </c>
      <c r="X95" s="9"/>
      <c r="Y95" s="22">
        <v>1.3519300000000001</v>
      </c>
      <c r="Z95" s="22">
        <v>15.3515</v>
      </c>
      <c r="AA95" s="22">
        <v>-1.32446E-2</v>
      </c>
      <c r="AB95" s="22">
        <v>85</v>
      </c>
      <c r="AC95" s="22">
        <v>1.3513200000000001</v>
      </c>
      <c r="AD95">
        <f t="shared" si="16"/>
        <v>16.351358024691358</v>
      </c>
      <c r="AE95">
        <f t="shared" si="17"/>
        <v>22.105891454320989</v>
      </c>
      <c r="AF95" s="9"/>
      <c r="AG95" s="22">
        <v>0.32806400000000002</v>
      </c>
      <c r="AH95" s="22">
        <v>19.130400000000002</v>
      </c>
      <c r="AI95" s="22">
        <v>-1.41113E-2</v>
      </c>
      <c r="AJ95" s="22">
        <v>85</v>
      </c>
      <c r="AK95" s="22">
        <v>0.32736199999999999</v>
      </c>
      <c r="AL95">
        <f t="shared" si="18"/>
        <v>17.421358024691358</v>
      </c>
      <c r="AM95">
        <f t="shared" si="19"/>
        <v>5.715320399012346</v>
      </c>
      <c r="AP95" s="9"/>
      <c r="AQ95" s="22">
        <v>1.3519300000000001</v>
      </c>
      <c r="AR95" s="22">
        <v>24.572800000000001</v>
      </c>
      <c r="AS95" s="22">
        <v>-1.3330099999999999E-2</v>
      </c>
      <c r="AT95" s="22">
        <v>85</v>
      </c>
      <c r="AU95" s="22">
        <v>1.35101</v>
      </c>
      <c r="AV95">
        <f t="shared" si="20"/>
        <v>16.456913580246912</v>
      </c>
      <c r="AW95">
        <f t="shared" si="21"/>
        <v>22.248595176543208</v>
      </c>
      <c r="AX95" s="9"/>
      <c r="AY95" s="22">
        <v>0.32806400000000002</v>
      </c>
      <c r="AZ95" s="22">
        <v>28.351700000000001</v>
      </c>
      <c r="BA95" s="22">
        <v>-1.41266E-2</v>
      </c>
      <c r="BB95" s="22">
        <v>85</v>
      </c>
      <c r="BC95" s="22">
        <v>0.32730100000000001</v>
      </c>
      <c r="BD95">
        <f t="shared" si="22"/>
        <v>17.440246913580246</v>
      </c>
      <c r="BE95">
        <f t="shared" si="23"/>
        <v>5.7215171634567907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1.3468899999999999</v>
      </c>
      <c r="H96" s="22">
        <v>6.11043</v>
      </c>
      <c r="I96" s="22">
        <v>-1.33118E-2</v>
      </c>
      <c r="J96" s="22">
        <v>86</v>
      </c>
      <c r="K96" s="22">
        <v>1.34613</v>
      </c>
      <c r="L96">
        <f t="shared" si="12"/>
        <v>16.434320987654321</v>
      </c>
      <c r="M96">
        <f t="shared" si="13"/>
        <v>22.135222595061727</v>
      </c>
      <c r="N96" s="9"/>
      <c r="O96" s="22">
        <v>0.33309899999999998</v>
      </c>
      <c r="P96" s="22">
        <v>9.8893400000000007</v>
      </c>
      <c r="Q96" s="22">
        <v>-1.40839E-2</v>
      </c>
      <c r="R96" s="22">
        <v>86</v>
      </c>
      <c r="S96" s="22">
        <v>0.33221400000000001</v>
      </c>
      <c r="T96">
        <f t="shared" si="14"/>
        <v>17.387530864197529</v>
      </c>
      <c r="U96">
        <f t="shared" si="15"/>
        <v>5.7917691433333323</v>
      </c>
      <c r="X96" s="9"/>
      <c r="Y96" s="22">
        <v>1.3468899999999999</v>
      </c>
      <c r="Z96" s="22">
        <v>15.361599999999999</v>
      </c>
      <c r="AA96" s="22">
        <v>-1.3256799999999999E-2</v>
      </c>
      <c r="AB96" s="22">
        <v>86</v>
      </c>
      <c r="AC96" s="22">
        <v>1.34613</v>
      </c>
      <c r="AD96">
        <f t="shared" si="16"/>
        <v>16.366419753086415</v>
      </c>
      <c r="AE96">
        <f t="shared" si="17"/>
        <v>22.043767101234561</v>
      </c>
      <c r="AF96" s="9"/>
      <c r="AG96" s="22">
        <v>0.33309899999999998</v>
      </c>
      <c r="AH96" s="22">
        <v>19.140499999999999</v>
      </c>
      <c r="AI96" s="22">
        <v>-1.40991E-2</v>
      </c>
      <c r="AJ96" s="22">
        <v>86</v>
      </c>
      <c r="AK96" s="22">
        <v>0.33230599999999999</v>
      </c>
      <c r="AL96">
        <f t="shared" si="18"/>
        <v>17.406296296296293</v>
      </c>
      <c r="AM96">
        <f t="shared" si="19"/>
        <v>5.7980198899999991</v>
      </c>
      <c r="AP96" s="9"/>
      <c r="AQ96" s="22">
        <v>1.3468899999999999</v>
      </c>
      <c r="AR96" s="22">
        <v>24.582799999999999</v>
      </c>
      <c r="AS96" s="22">
        <v>-1.33484E-2</v>
      </c>
      <c r="AT96" s="22">
        <v>86</v>
      </c>
      <c r="AU96" s="22">
        <v>1.34552</v>
      </c>
      <c r="AV96">
        <f t="shared" si="20"/>
        <v>16.479506172839503</v>
      </c>
      <c r="AW96">
        <f t="shared" si="21"/>
        <v>22.196082069135798</v>
      </c>
      <c r="AX96" s="9"/>
      <c r="AY96" s="22">
        <v>0.33309899999999998</v>
      </c>
      <c r="AZ96" s="22">
        <v>28.361699999999999</v>
      </c>
      <c r="BA96" s="22">
        <v>-1.4114399999999999E-2</v>
      </c>
      <c r="BB96" s="22">
        <v>86</v>
      </c>
      <c r="BC96" s="22">
        <v>0.33227499999999999</v>
      </c>
      <c r="BD96">
        <f t="shared" si="22"/>
        <v>17.425185185185182</v>
      </c>
      <c r="BE96">
        <f t="shared" si="23"/>
        <v>5.8043117599999983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1.3418600000000001</v>
      </c>
      <c r="H97" s="22">
        <v>6.1204999999999998</v>
      </c>
      <c r="I97" s="22">
        <v>-1.3333100000000001E-2</v>
      </c>
      <c r="J97" s="22">
        <v>87</v>
      </c>
      <c r="K97" s="22">
        <v>1.34094</v>
      </c>
      <c r="L97">
        <f t="shared" si="12"/>
        <v>16.460617283950615</v>
      </c>
      <c r="M97">
        <f t="shared" si="13"/>
        <v>22.087843908641972</v>
      </c>
      <c r="N97" s="9"/>
      <c r="O97" s="22">
        <v>0.33813500000000002</v>
      </c>
      <c r="P97" s="22">
        <v>9.8994099999999996</v>
      </c>
      <c r="Q97" s="22">
        <v>-1.40778E-2</v>
      </c>
      <c r="R97" s="22">
        <v>87</v>
      </c>
      <c r="S97" s="22">
        <v>0.33749400000000002</v>
      </c>
      <c r="T97">
        <f t="shared" si="14"/>
        <v>17.38</v>
      </c>
      <c r="U97">
        <f t="shared" si="15"/>
        <v>5.8767863</v>
      </c>
      <c r="X97" s="9"/>
      <c r="Y97" s="22">
        <v>1.3418600000000001</v>
      </c>
      <c r="Z97" s="22">
        <v>15.371700000000001</v>
      </c>
      <c r="AA97" s="22">
        <v>-1.32751E-2</v>
      </c>
      <c r="AB97" s="22">
        <v>87</v>
      </c>
      <c r="AC97" s="22">
        <v>1.3406400000000001</v>
      </c>
      <c r="AD97">
        <f t="shared" si="16"/>
        <v>16.38901234567901</v>
      </c>
      <c r="AE97">
        <f t="shared" si="17"/>
        <v>21.991760106172837</v>
      </c>
      <c r="AF97" s="9"/>
      <c r="AG97" s="22">
        <v>0.33813500000000002</v>
      </c>
      <c r="AH97" s="22">
        <v>19.150600000000001</v>
      </c>
      <c r="AI97" s="22">
        <v>-1.409E-2</v>
      </c>
      <c r="AJ97" s="22">
        <v>87</v>
      </c>
      <c r="AK97" s="22">
        <v>0.33743299999999998</v>
      </c>
      <c r="AL97">
        <f t="shared" si="18"/>
        <v>17.39506172839506</v>
      </c>
      <c r="AM97">
        <f t="shared" si="19"/>
        <v>5.8818791975308642</v>
      </c>
      <c r="AP97" s="9"/>
      <c r="AQ97" s="22">
        <v>1.3418600000000001</v>
      </c>
      <c r="AR97" s="22">
        <v>24.5929</v>
      </c>
      <c r="AS97" s="22">
        <v>-1.33636E-2</v>
      </c>
      <c r="AT97" s="22">
        <v>87</v>
      </c>
      <c r="AU97" s="22">
        <v>1.34094</v>
      </c>
      <c r="AV97">
        <f t="shared" si="20"/>
        <v>16.498271604938271</v>
      </c>
      <c r="AW97">
        <f t="shared" si="21"/>
        <v>22.138370735802468</v>
      </c>
      <c r="AX97" s="9"/>
      <c r="AY97" s="22">
        <v>0.33813500000000002</v>
      </c>
      <c r="AZ97" s="22">
        <v>28.3718</v>
      </c>
      <c r="BA97" s="22">
        <v>-1.4108300000000001E-2</v>
      </c>
      <c r="BB97" s="22">
        <v>87</v>
      </c>
      <c r="BC97" s="22">
        <v>0.33743299999999998</v>
      </c>
      <c r="BD97">
        <f t="shared" si="22"/>
        <v>17.417654320987655</v>
      </c>
      <c r="BE97">
        <f t="shared" si="23"/>
        <v>5.8895185438271609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1.3368199999999999</v>
      </c>
      <c r="H98" s="22">
        <v>6.1305699999999996</v>
      </c>
      <c r="I98" s="22">
        <v>-1.33545E-2</v>
      </c>
      <c r="J98" s="22">
        <v>88</v>
      </c>
      <c r="K98" s="22">
        <v>1.33545</v>
      </c>
      <c r="L98">
        <f t="shared" si="12"/>
        <v>16.487037037037037</v>
      </c>
      <c r="M98">
        <f t="shared" si="13"/>
        <v>22.04020085185185</v>
      </c>
      <c r="N98" s="9"/>
      <c r="O98" s="22">
        <v>0.34316999999999998</v>
      </c>
      <c r="P98" s="22">
        <v>9.9094800000000003</v>
      </c>
      <c r="Q98" s="22">
        <v>-1.4080799999999999E-2</v>
      </c>
      <c r="R98" s="22">
        <v>88</v>
      </c>
      <c r="S98" s="22">
        <v>0.34246799999999999</v>
      </c>
      <c r="T98">
        <f t="shared" si="14"/>
        <v>17.383703703703702</v>
      </c>
      <c r="U98">
        <f t="shared" si="15"/>
        <v>5.9655655999999988</v>
      </c>
      <c r="X98" s="9"/>
      <c r="Y98" s="22">
        <v>1.3368199999999999</v>
      </c>
      <c r="Z98" s="22">
        <v>15.3818</v>
      </c>
      <c r="AA98" s="22">
        <v>-1.32874E-2</v>
      </c>
      <c r="AB98" s="22">
        <v>88</v>
      </c>
      <c r="AC98" s="22">
        <v>1.33606</v>
      </c>
      <c r="AD98">
        <f t="shared" si="16"/>
        <v>16.404197530864195</v>
      </c>
      <c r="AE98">
        <f t="shared" si="17"/>
        <v>21.929459343209871</v>
      </c>
      <c r="AF98" s="9"/>
      <c r="AG98" s="22">
        <v>0.34316999999999998</v>
      </c>
      <c r="AH98" s="22">
        <v>19.160699999999999</v>
      </c>
      <c r="AI98" s="22">
        <v>-1.4080799999999999E-2</v>
      </c>
      <c r="AJ98" s="22">
        <v>88</v>
      </c>
      <c r="AK98" s="22">
        <v>0.342499</v>
      </c>
      <c r="AL98">
        <f t="shared" si="18"/>
        <v>17.383703703703702</v>
      </c>
      <c r="AM98">
        <f t="shared" si="19"/>
        <v>5.9655655999999988</v>
      </c>
      <c r="AP98" s="9"/>
      <c r="AQ98" s="22">
        <v>1.3368199999999999</v>
      </c>
      <c r="AR98" s="22">
        <v>24.603000000000002</v>
      </c>
      <c r="AS98" s="22">
        <v>-1.33636E-2</v>
      </c>
      <c r="AT98" s="22">
        <v>88</v>
      </c>
      <c r="AU98" s="22">
        <v>1.33606</v>
      </c>
      <c r="AV98">
        <f t="shared" si="20"/>
        <v>16.498271604938271</v>
      </c>
      <c r="AW98">
        <f t="shared" si="21"/>
        <v>22.055219446913579</v>
      </c>
      <c r="AX98" s="9"/>
      <c r="AY98" s="22">
        <v>0.34316999999999998</v>
      </c>
      <c r="AZ98" s="22">
        <v>28.381900000000002</v>
      </c>
      <c r="BA98" s="22">
        <v>-1.4108300000000001E-2</v>
      </c>
      <c r="BB98" s="22">
        <v>88</v>
      </c>
      <c r="BC98" s="22">
        <v>0.34240700000000002</v>
      </c>
      <c r="BD98">
        <f t="shared" si="22"/>
        <v>17.417654320987655</v>
      </c>
      <c r="BE98">
        <f t="shared" si="23"/>
        <v>5.9772164333333331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1.33179</v>
      </c>
      <c r="H99" s="22">
        <v>6.1406400000000003</v>
      </c>
      <c r="I99" s="22">
        <v>-1.33667E-2</v>
      </c>
      <c r="J99" s="22">
        <v>89</v>
      </c>
      <c r="K99" s="22">
        <v>1.33026</v>
      </c>
      <c r="L99">
        <f t="shared" si="12"/>
        <v>16.502098765432098</v>
      </c>
      <c r="M99">
        <f t="shared" si="13"/>
        <v>21.977330114814816</v>
      </c>
      <c r="N99" s="9"/>
      <c r="O99" s="22">
        <v>0.34820600000000002</v>
      </c>
      <c r="P99" s="22">
        <v>9.9195499999999992</v>
      </c>
      <c r="Q99" s="22">
        <v>-1.40839E-2</v>
      </c>
      <c r="R99" s="22">
        <v>89</v>
      </c>
      <c r="S99" s="22">
        <v>0.34738200000000002</v>
      </c>
      <c r="T99">
        <f t="shared" si="14"/>
        <v>17.387530864197529</v>
      </c>
      <c r="U99">
        <f t="shared" si="15"/>
        <v>6.0544425720987656</v>
      </c>
      <c r="X99" s="9"/>
      <c r="Y99" s="22">
        <v>1.33179</v>
      </c>
      <c r="Z99" s="22">
        <v>15.3918</v>
      </c>
      <c r="AA99" s="22">
        <v>-1.3296499999999999E-2</v>
      </c>
      <c r="AB99" s="22">
        <v>89</v>
      </c>
      <c r="AC99" s="22">
        <v>1.33087</v>
      </c>
      <c r="AD99">
        <f t="shared" si="16"/>
        <v>16.415432098765429</v>
      </c>
      <c r="AE99">
        <f t="shared" si="17"/>
        <v>21.861908314814812</v>
      </c>
      <c r="AF99" s="9"/>
      <c r="AG99" s="22">
        <v>0.34820600000000002</v>
      </c>
      <c r="AH99" s="22">
        <v>19.1707</v>
      </c>
      <c r="AI99" s="22">
        <v>-1.40839E-2</v>
      </c>
      <c r="AJ99" s="22">
        <v>89</v>
      </c>
      <c r="AK99" s="22">
        <v>0.347443</v>
      </c>
      <c r="AL99">
        <f t="shared" si="18"/>
        <v>17.387530864197529</v>
      </c>
      <c r="AM99">
        <f t="shared" si="19"/>
        <v>6.0544425720987656</v>
      </c>
      <c r="AP99" s="9"/>
      <c r="AQ99" s="22">
        <v>1.33179</v>
      </c>
      <c r="AR99" s="22">
        <v>24.613099999999999</v>
      </c>
      <c r="AS99" s="22">
        <v>-1.3372800000000001E-2</v>
      </c>
      <c r="AT99" s="22">
        <v>89</v>
      </c>
      <c r="AU99" s="22">
        <v>1.33057</v>
      </c>
      <c r="AV99">
        <f t="shared" si="20"/>
        <v>16.509629629629632</v>
      </c>
      <c r="AW99">
        <f t="shared" si="21"/>
        <v>21.987359644444449</v>
      </c>
      <c r="AX99" s="9"/>
      <c r="AY99" s="22">
        <v>0.34820600000000002</v>
      </c>
      <c r="AZ99" s="22">
        <v>28.391999999999999</v>
      </c>
      <c r="BA99" s="22">
        <v>-1.4108300000000001E-2</v>
      </c>
      <c r="BB99" s="22">
        <v>89</v>
      </c>
      <c r="BC99" s="22">
        <v>0.347443</v>
      </c>
      <c r="BD99">
        <f t="shared" si="22"/>
        <v>17.417654320987655</v>
      </c>
      <c r="BE99">
        <f t="shared" si="23"/>
        <v>6.0649317404938277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1.3267500000000001</v>
      </c>
      <c r="H100" s="22">
        <v>6.1507100000000001</v>
      </c>
      <c r="I100" s="22">
        <v>-1.33881E-2</v>
      </c>
      <c r="J100" s="22">
        <v>90</v>
      </c>
      <c r="K100" s="22">
        <v>1.32599</v>
      </c>
      <c r="L100">
        <f t="shared" si="12"/>
        <v>16.528518518518517</v>
      </c>
      <c r="M100">
        <f t="shared" si="13"/>
        <v>21.929211944444443</v>
      </c>
      <c r="N100" s="9"/>
      <c r="O100" s="22">
        <v>0.35324100000000003</v>
      </c>
      <c r="P100" s="22">
        <v>9.9296199999999999</v>
      </c>
      <c r="Q100" s="22">
        <v>-1.4086899999999999E-2</v>
      </c>
      <c r="R100" s="22">
        <v>90</v>
      </c>
      <c r="S100" s="22">
        <v>0.35250900000000002</v>
      </c>
      <c r="T100">
        <f t="shared" si="14"/>
        <v>17.391234567901233</v>
      </c>
      <c r="U100">
        <f t="shared" si="15"/>
        <v>6.1432970899999999</v>
      </c>
      <c r="X100" s="9"/>
      <c r="Y100" s="22">
        <v>1.3267500000000001</v>
      </c>
      <c r="Z100" s="22">
        <v>15.401899999999999</v>
      </c>
      <c r="AA100" s="22">
        <v>-1.33148E-2</v>
      </c>
      <c r="AB100" s="22">
        <v>90</v>
      </c>
      <c r="AC100" s="22">
        <v>1.32477</v>
      </c>
      <c r="AD100">
        <f t="shared" si="16"/>
        <v>16.438024691358024</v>
      </c>
      <c r="AE100">
        <f t="shared" si="17"/>
        <v>21.809149259259261</v>
      </c>
      <c r="AF100" s="9"/>
      <c r="AG100" s="22">
        <v>0.35324100000000003</v>
      </c>
      <c r="AH100" s="22">
        <v>19.180800000000001</v>
      </c>
      <c r="AI100" s="22">
        <v>-1.4086899999999999E-2</v>
      </c>
      <c r="AJ100" s="22">
        <v>90</v>
      </c>
      <c r="AK100" s="22">
        <v>0.35260000000000002</v>
      </c>
      <c r="AL100">
        <f t="shared" si="18"/>
        <v>17.391234567901233</v>
      </c>
      <c r="AM100">
        <f t="shared" si="19"/>
        <v>6.1432970899999999</v>
      </c>
      <c r="AP100" s="9"/>
      <c r="AQ100" s="22">
        <v>1.3267500000000001</v>
      </c>
      <c r="AR100" s="22">
        <v>24.623100000000001</v>
      </c>
      <c r="AS100" s="22">
        <v>-1.3378900000000001E-2</v>
      </c>
      <c r="AT100" s="22">
        <v>90</v>
      </c>
      <c r="AU100" s="22">
        <v>1.3266</v>
      </c>
      <c r="AV100">
        <f t="shared" si="20"/>
        <v>16.517160493827159</v>
      </c>
      <c r="AW100">
        <f t="shared" si="21"/>
        <v>21.914142685185187</v>
      </c>
      <c r="AX100" s="9"/>
      <c r="AY100" s="22">
        <v>0.35324100000000003</v>
      </c>
      <c r="AZ100" s="22">
        <v>28.402000000000001</v>
      </c>
      <c r="BA100" s="22">
        <v>-1.41113E-2</v>
      </c>
      <c r="BB100" s="22">
        <v>90</v>
      </c>
      <c r="BC100" s="22">
        <v>0.35250900000000002</v>
      </c>
      <c r="BD100">
        <f t="shared" si="22"/>
        <v>17.421358024691358</v>
      </c>
      <c r="BE100">
        <f t="shared" si="23"/>
        <v>6.1539379300000006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1.32172</v>
      </c>
      <c r="H101" s="22">
        <v>6.1607900000000004</v>
      </c>
      <c r="I101" s="22">
        <v>-1.34033E-2</v>
      </c>
      <c r="J101" s="22">
        <v>91</v>
      </c>
      <c r="K101" s="22">
        <v>1.32019</v>
      </c>
      <c r="L101">
        <f t="shared" si="12"/>
        <v>16.547283950617281</v>
      </c>
      <c r="M101">
        <f t="shared" si="13"/>
        <v>21.870876143209873</v>
      </c>
      <c r="N101" s="9"/>
      <c r="O101" s="22">
        <v>0.35827599999999998</v>
      </c>
      <c r="P101" s="22">
        <v>9.9396900000000006</v>
      </c>
      <c r="Q101" s="22">
        <v>-1.40839E-2</v>
      </c>
      <c r="R101" s="22">
        <v>91</v>
      </c>
      <c r="S101" s="22">
        <v>0.35745199999999999</v>
      </c>
      <c r="T101">
        <f t="shared" si="14"/>
        <v>17.387530864197529</v>
      </c>
      <c r="U101">
        <f t="shared" si="15"/>
        <v>6.2295350079012337</v>
      </c>
      <c r="X101" s="9"/>
      <c r="Y101" s="22">
        <v>1.32172</v>
      </c>
      <c r="Z101" s="22">
        <v>15.412000000000001</v>
      </c>
      <c r="AA101" s="22">
        <v>-1.3330099999999999E-2</v>
      </c>
      <c r="AB101" s="22">
        <v>91</v>
      </c>
      <c r="AC101" s="22">
        <v>1.3205</v>
      </c>
      <c r="AD101">
        <f t="shared" si="16"/>
        <v>16.456913580246912</v>
      </c>
      <c r="AE101">
        <f t="shared" si="17"/>
        <v>21.751431817283947</v>
      </c>
      <c r="AF101" s="9"/>
      <c r="AG101" s="22">
        <v>0.35827599999999998</v>
      </c>
      <c r="AH101" s="22">
        <v>19.190899999999999</v>
      </c>
      <c r="AI101" s="22">
        <v>-1.409E-2</v>
      </c>
      <c r="AJ101" s="22">
        <v>91</v>
      </c>
      <c r="AK101" s="22">
        <v>0.35751300000000003</v>
      </c>
      <c r="AL101">
        <f t="shared" si="18"/>
        <v>17.39506172839506</v>
      </c>
      <c r="AM101">
        <f t="shared" si="19"/>
        <v>6.2322331358024678</v>
      </c>
      <c r="AP101" s="9"/>
      <c r="AQ101" s="22">
        <v>1.32172</v>
      </c>
      <c r="AR101" s="22">
        <v>24.633199999999999</v>
      </c>
      <c r="AS101" s="22">
        <v>-1.33881E-2</v>
      </c>
      <c r="AT101" s="22">
        <v>91</v>
      </c>
      <c r="AU101" s="22">
        <v>1.3208</v>
      </c>
      <c r="AV101">
        <f t="shared" si="20"/>
        <v>16.528518518518517</v>
      </c>
      <c r="AW101">
        <f t="shared" si="21"/>
        <v>21.846073496296295</v>
      </c>
      <c r="AX101" s="9"/>
      <c r="AY101" s="22">
        <v>0.35827599999999998</v>
      </c>
      <c r="AZ101" s="22">
        <v>28.412099999999999</v>
      </c>
      <c r="BA101" s="22">
        <v>-1.41113E-2</v>
      </c>
      <c r="BB101" s="22">
        <v>91</v>
      </c>
      <c r="BC101" s="22">
        <v>0.35739100000000001</v>
      </c>
      <c r="BD101">
        <f t="shared" si="22"/>
        <v>17.421358024691358</v>
      </c>
      <c r="BE101">
        <f t="shared" si="23"/>
        <v>6.2416544676543211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1.3166800000000001</v>
      </c>
      <c r="H102" s="22">
        <v>6.1708600000000002</v>
      </c>
      <c r="I102" s="22">
        <v>-1.3421600000000001E-2</v>
      </c>
      <c r="J102" s="22">
        <v>92</v>
      </c>
      <c r="K102" s="22">
        <v>1.3156099999999999</v>
      </c>
      <c r="L102">
        <f t="shared" si="12"/>
        <v>16.569876543209876</v>
      </c>
      <c r="M102">
        <f t="shared" si="13"/>
        <v>21.817225046913581</v>
      </c>
      <c r="N102" s="9"/>
      <c r="O102" s="22">
        <v>0.36331200000000002</v>
      </c>
      <c r="P102" s="22">
        <v>9.9497599999999995</v>
      </c>
      <c r="Q102" s="22">
        <v>-1.4086899999999999E-2</v>
      </c>
      <c r="R102" s="22">
        <v>92</v>
      </c>
      <c r="S102" s="22">
        <v>0.36264000000000002</v>
      </c>
      <c r="T102">
        <f t="shared" si="14"/>
        <v>17.391234567901233</v>
      </c>
      <c r="U102">
        <f t="shared" si="15"/>
        <v>6.3184442133333327</v>
      </c>
      <c r="X102" s="9"/>
      <c r="Y102" s="22">
        <v>1.3166800000000001</v>
      </c>
      <c r="Z102" s="22">
        <v>15.422000000000001</v>
      </c>
      <c r="AA102" s="22">
        <v>-1.3345299999999999E-2</v>
      </c>
      <c r="AB102" s="22">
        <v>92</v>
      </c>
      <c r="AC102" s="22">
        <v>1.31531</v>
      </c>
      <c r="AD102">
        <f t="shared" si="16"/>
        <v>16.475679012345676</v>
      </c>
      <c r="AE102">
        <f t="shared" si="17"/>
        <v>21.693197041975306</v>
      </c>
      <c r="AF102" s="9"/>
      <c r="AG102" s="22">
        <v>0.36331200000000002</v>
      </c>
      <c r="AH102" s="22">
        <v>19.200900000000001</v>
      </c>
      <c r="AI102" s="22">
        <v>-1.40991E-2</v>
      </c>
      <c r="AJ102" s="22">
        <v>92</v>
      </c>
      <c r="AK102" s="22">
        <v>0.36248799999999998</v>
      </c>
      <c r="AL102">
        <f t="shared" si="18"/>
        <v>17.406296296296293</v>
      </c>
      <c r="AM102">
        <f t="shared" si="19"/>
        <v>6.3239163199999995</v>
      </c>
      <c r="AP102" s="9"/>
      <c r="AQ102" s="22">
        <v>1.3166800000000001</v>
      </c>
      <c r="AR102" s="22">
        <v>24.6433</v>
      </c>
      <c r="AS102" s="22">
        <v>-1.34003E-2</v>
      </c>
      <c r="AT102" s="22">
        <v>92</v>
      </c>
      <c r="AU102" s="22">
        <v>1.3156099999999999</v>
      </c>
      <c r="AV102">
        <f t="shared" si="20"/>
        <v>16.543580246913578</v>
      </c>
      <c r="AW102">
        <f t="shared" si="21"/>
        <v>21.782601239506171</v>
      </c>
      <c r="AX102" s="9"/>
      <c r="AY102" s="22">
        <v>0.36331200000000002</v>
      </c>
      <c r="AZ102" s="22">
        <v>28.4222</v>
      </c>
      <c r="BA102" s="22">
        <v>-1.41052E-2</v>
      </c>
      <c r="BB102" s="22">
        <v>92</v>
      </c>
      <c r="BC102" s="22">
        <v>0.36248799999999998</v>
      </c>
      <c r="BD102">
        <f t="shared" si="22"/>
        <v>17.413827160493828</v>
      </c>
      <c r="BE102">
        <f t="shared" si="23"/>
        <v>6.3266523733333342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1.31165</v>
      </c>
      <c r="H103" s="22">
        <v>6.18093</v>
      </c>
      <c r="I103" s="22">
        <v>-1.3443E-2</v>
      </c>
      <c r="J103" s="22">
        <v>93</v>
      </c>
      <c r="K103" s="22">
        <v>1.31104</v>
      </c>
      <c r="L103">
        <f t="shared" si="12"/>
        <v>16.596296296296295</v>
      </c>
      <c r="M103">
        <f t="shared" si="13"/>
        <v>21.768532037037033</v>
      </c>
      <c r="N103" s="9"/>
      <c r="O103" s="22">
        <v>0.36834699999999998</v>
      </c>
      <c r="P103" s="22">
        <v>9.9598300000000002</v>
      </c>
      <c r="Q103" s="22">
        <v>-1.40778E-2</v>
      </c>
      <c r="R103" s="22">
        <v>93</v>
      </c>
      <c r="S103" s="22">
        <v>0.36755399999999999</v>
      </c>
      <c r="T103">
        <f t="shared" si="14"/>
        <v>17.38</v>
      </c>
      <c r="U103">
        <f t="shared" si="15"/>
        <v>6.4018708599999989</v>
      </c>
      <c r="X103" s="9"/>
      <c r="Y103" s="22">
        <v>1.31165</v>
      </c>
      <c r="Z103" s="22">
        <v>15.4321</v>
      </c>
      <c r="AA103" s="22">
        <v>-1.3372800000000001E-2</v>
      </c>
      <c r="AB103" s="22">
        <v>93</v>
      </c>
      <c r="AC103" s="22">
        <v>1.3104199999999999</v>
      </c>
      <c r="AD103">
        <f t="shared" si="16"/>
        <v>16.509629629629632</v>
      </c>
      <c r="AE103">
        <f t="shared" si="17"/>
        <v>21.654855703703706</v>
      </c>
      <c r="AF103" s="9"/>
      <c r="AG103" s="22">
        <v>0.36834699999999998</v>
      </c>
      <c r="AH103" s="22">
        <v>19.210999999999999</v>
      </c>
      <c r="AI103" s="22">
        <v>-1.40991E-2</v>
      </c>
      <c r="AJ103" s="22">
        <v>93</v>
      </c>
      <c r="AK103" s="22">
        <v>0.367645</v>
      </c>
      <c r="AL103">
        <f t="shared" si="18"/>
        <v>17.406296296296293</v>
      </c>
      <c r="AM103">
        <f t="shared" si="19"/>
        <v>6.4115570218518503</v>
      </c>
      <c r="AP103" s="9"/>
      <c r="AQ103" s="22">
        <v>1.31165</v>
      </c>
      <c r="AR103" s="22">
        <v>24.653300000000002</v>
      </c>
      <c r="AS103" s="22">
        <v>-1.3412500000000001E-2</v>
      </c>
      <c r="AT103" s="22">
        <v>93</v>
      </c>
      <c r="AU103" s="22">
        <v>1.31073</v>
      </c>
      <c r="AV103">
        <f t="shared" si="20"/>
        <v>16.558641975308642</v>
      </c>
      <c r="AW103">
        <f t="shared" si="21"/>
        <v>21.71914274691358</v>
      </c>
      <c r="AX103" s="9"/>
      <c r="AY103" s="22">
        <v>0.36834699999999998</v>
      </c>
      <c r="AZ103" s="22">
        <v>28.432200000000002</v>
      </c>
      <c r="BA103" s="22">
        <v>-1.41052E-2</v>
      </c>
      <c r="BB103" s="22">
        <v>93</v>
      </c>
      <c r="BC103" s="22">
        <v>0.36758400000000002</v>
      </c>
      <c r="BD103">
        <f t="shared" si="22"/>
        <v>17.413827160493828</v>
      </c>
      <c r="BE103">
        <f t="shared" si="23"/>
        <v>6.4143309930864199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1.30661</v>
      </c>
      <c r="H104" s="22">
        <v>6.1909999999999998</v>
      </c>
      <c r="I104" s="22">
        <v>-1.3461300000000001E-2</v>
      </c>
      <c r="J104" s="22">
        <v>94</v>
      </c>
      <c r="K104" s="22">
        <v>1.30585</v>
      </c>
      <c r="L104">
        <f t="shared" si="12"/>
        <v>16.618888888888886</v>
      </c>
      <c r="M104">
        <f t="shared" si="13"/>
        <v>21.71440641111111</v>
      </c>
      <c r="N104" s="9"/>
      <c r="O104" s="22">
        <v>0.37338300000000002</v>
      </c>
      <c r="P104" s="22">
        <v>9.9699000000000009</v>
      </c>
      <c r="Q104" s="22">
        <v>-1.4065599999999999E-2</v>
      </c>
      <c r="R104" s="22">
        <v>94</v>
      </c>
      <c r="S104" s="22">
        <v>0.37271100000000001</v>
      </c>
      <c r="T104">
        <f t="shared" si="14"/>
        <v>17.364938271604938</v>
      </c>
      <c r="U104">
        <f t="shared" si="15"/>
        <v>6.4837727466666673</v>
      </c>
      <c r="X104" s="9"/>
      <c r="Y104" s="22">
        <v>1.30661</v>
      </c>
      <c r="Z104" s="22">
        <v>15.4422</v>
      </c>
      <c r="AA104" s="22">
        <v>-1.33911E-2</v>
      </c>
      <c r="AB104" s="22">
        <v>94</v>
      </c>
      <c r="AC104" s="22">
        <v>1.30585</v>
      </c>
      <c r="AD104">
        <f t="shared" si="16"/>
        <v>16.53222222222222</v>
      </c>
      <c r="AE104">
        <f t="shared" si="17"/>
        <v>21.601166877777775</v>
      </c>
      <c r="AF104" s="9"/>
      <c r="AG104" s="22">
        <v>0.37338300000000002</v>
      </c>
      <c r="AH104" s="22">
        <v>19.2211</v>
      </c>
      <c r="AI104" s="22">
        <v>-1.40991E-2</v>
      </c>
      <c r="AJ104" s="22">
        <v>94</v>
      </c>
      <c r="AK104" s="22">
        <v>0.372589</v>
      </c>
      <c r="AL104">
        <f t="shared" si="18"/>
        <v>17.406296296296293</v>
      </c>
      <c r="AM104">
        <f t="shared" si="19"/>
        <v>6.4992151299999996</v>
      </c>
      <c r="AP104" s="9"/>
      <c r="AQ104" s="22">
        <v>1.30661</v>
      </c>
      <c r="AR104" s="22">
        <v>24.663399999999999</v>
      </c>
      <c r="AS104" s="22">
        <v>-1.3424699999999999E-2</v>
      </c>
      <c r="AT104" s="22">
        <v>94</v>
      </c>
      <c r="AU104" s="22">
        <v>1.30585</v>
      </c>
      <c r="AV104">
        <f t="shared" si="20"/>
        <v>16.5737037037037</v>
      </c>
      <c r="AW104">
        <f t="shared" si="21"/>
        <v>21.655366996296291</v>
      </c>
      <c r="AX104" s="9"/>
      <c r="AY104" s="22">
        <v>0.37338300000000002</v>
      </c>
      <c r="AZ104" s="22">
        <v>28.442299999999999</v>
      </c>
      <c r="BA104" s="22">
        <v>-1.41022E-2</v>
      </c>
      <c r="BB104" s="22">
        <v>94</v>
      </c>
      <c r="BC104" s="22">
        <v>0.37255899999999997</v>
      </c>
      <c r="BD104">
        <f t="shared" si="22"/>
        <v>17.410123456790124</v>
      </c>
      <c r="BE104">
        <f t="shared" si="23"/>
        <v>6.5006441266666677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1.3015699999999999</v>
      </c>
      <c r="H105" s="22">
        <v>6.2010699999999996</v>
      </c>
      <c r="I105" s="22">
        <v>-1.3473499999999999E-2</v>
      </c>
      <c r="J105" s="22">
        <v>95</v>
      </c>
      <c r="K105" s="22">
        <v>1.3003499999999999</v>
      </c>
      <c r="L105">
        <f t="shared" si="12"/>
        <v>16.633950617283947</v>
      </c>
      <c r="M105">
        <f t="shared" si="13"/>
        <v>21.650251104938267</v>
      </c>
      <c r="N105" s="9"/>
      <c r="O105" s="22">
        <v>0.37841799999999998</v>
      </c>
      <c r="P105" s="22">
        <v>9.9799699999999998</v>
      </c>
      <c r="Q105" s="22">
        <v>-1.40625E-2</v>
      </c>
      <c r="R105" s="22">
        <v>95</v>
      </c>
      <c r="S105" s="22">
        <v>0.377716</v>
      </c>
      <c r="T105">
        <f t="shared" si="14"/>
        <v>17.361111111111111</v>
      </c>
      <c r="U105">
        <f t="shared" si="15"/>
        <v>6.5697569444444435</v>
      </c>
      <c r="X105" s="9"/>
      <c r="Y105" s="22">
        <v>1.3015699999999999</v>
      </c>
      <c r="Z105" s="22">
        <v>15.452299999999999</v>
      </c>
      <c r="AA105" s="22">
        <v>-1.34094E-2</v>
      </c>
      <c r="AB105" s="22">
        <v>95</v>
      </c>
      <c r="AC105" s="22">
        <v>1.3003499999999999</v>
      </c>
      <c r="AD105">
        <f t="shared" si="16"/>
        <v>16.554814814814815</v>
      </c>
      <c r="AE105">
        <f t="shared" si="17"/>
        <v>21.547250318518518</v>
      </c>
      <c r="AF105" s="9"/>
      <c r="AG105" s="22">
        <v>0.37841799999999998</v>
      </c>
      <c r="AH105" s="22">
        <v>19.231200000000001</v>
      </c>
      <c r="AI105" s="22">
        <v>-1.40961E-2</v>
      </c>
      <c r="AJ105" s="22">
        <v>95</v>
      </c>
      <c r="AK105" s="22">
        <v>0.37768600000000002</v>
      </c>
      <c r="AL105">
        <f t="shared" si="18"/>
        <v>17.40259259259259</v>
      </c>
      <c r="AM105">
        <f t="shared" si="19"/>
        <v>6.5854542837037027</v>
      </c>
      <c r="AP105" s="9"/>
      <c r="AQ105" s="22">
        <v>1.3015699999999999</v>
      </c>
      <c r="AR105" s="22">
        <v>24.673500000000001</v>
      </c>
      <c r="AS105" s="22">
        <v>-1.3433799999999999E-2</v>
      </c>
      <c r="AT105" s="22">
        <v>95</v>
      </c>
      <c r="AU105" s="22">
        <v>1.3003499999999999</v>
      </c>
      <c r="AV105">
        <f t="shared" si="20"/>
        <v>16.584938271604937</v>
      </c>
      <c r="AW105">
        <f t="shared" si="21"/>
        <v>21.586458106172834</v>
      </c>
      <c r="AX105" s="9"/>
      <c r="AY105" s="22">
        <v>0.37841799999999998</v>
      </c>
      <c r="AZ105" s="22">
        <v>28.452400000000001</v>
      </c>
      <c r="BA105" s="22">
        <v>-1.40991E-2</v>
      </c>
      <c r="BB105" s="22">
        <v>95</v>
      </c>
      <c r="BC105" s="22">
        <v>0.37780799999999998</v>
      </c>
      <c r="BD105">
        <f t="shared" si="22"/>
        <v>17.406296296296293</v>
      </c>
      <c r="BE105">
        <f t="shared" si="23"/>
        <v>6.5868558318518504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1.29654</v>
      </c>
      <c r="H106" s="22">
        <v>6.2111400000000003</v>
      </c>
      <c r="I106" s="22">
        <v>-1.34796E-2</v>
      </c>
      <c r="J106" s="22">
        <v>96</v>
      </c>
      <c r="K106" s="22">
        <v>1.2951699999999999</v>
      </c>
      <c r="L106">
        <f t="shared" si="12"/>
        <v>16.641481481481478</v>
      </c>
      <c r="M106">
        <f t="shared" si="13"/>
        <v>21.576346399999995</v>
      </c>
      <c r="N106" s="9"/>
      <c r="O106" s="22">
        <v>0.38345299999999999</v>
      </c>
      <c r="P106" s="22">
        <v>9.9900500000000001</v>
      </c>
      <c r="Q106" s="22">
        <v>-1.40625E-2</v>
      </c>
      <c r="R106" s="22">
        <v>96</v>
      </c>
      <c r="S106" s="22">
        <v>0.38275100000000001</v>
      </c>
      <c r="T106">
        <f t="shared" si="14"/>
        <v>17.361111111111111</v>
      </c>
      <c r="U106">
        <f t="shared" si="15"/>
        <v>6.6571701388888886</v>
      </c>
      <c r="X106" s="9"/>
      <c r="Y106" s="22">
        <v>1.29654</v>
      </c>
      <c r="Z106" s="22">
        <v>15.462300000000001</v>
      </c>
      <c r="AA106" s="22">
        <v>-1.3424699999999999E-2</v>
      </c>
      <c r="AB106" s="22">
        <v>96</v>
      </c>
      <c r="AC106" s="22">
        <v>1.2954699999999999</v>
      </c>
      <c r="AD106">
        <f t="shared" si="16"/>
        <v>16.5737037037037</v>
      </c>
      <c r="AE106">
        <f t="shared" si="17"/>
        <v>21.488469799999997</v>
      </c>
      <c r="AF106" s="9"/>
      <c r="AG106" s="22">
        <v>0.38345299999999999</v>
      </c>
      <c r="AH106" s="22">
        <v>19.241199999999999</v>
      </c>
      <c r="AI106" s="22">
        <v>-1.40961E-2</v>
      </c>
      <c r="AJ106" s="22">
        <v>96</v>
      </c>
      <c r="AK106" s="22">
        <v>0.38259900000000002</v>
      </c>
      <c r="AL106">
        <f t="shared" si="18"/>
        <v>17.40259259259259</v>
      </c>
      <c r="AM106">
        <f t="shared" si="19"/>
        <v>6.673076337407406</v>
      </c>
      <c r="AP106" s="9"/>
      <c r="AQ106" s="22">
        <v>1.29654</v>
      </c>
      <c r="AR106" s="22">
        <v>24.683599999999998</v>
      </c>
      <c r="AS106" s="22">
        <v>-1.3446E-2</v>
      </c>
      <c r="AT106" s="22">
        <v>96</v>
      </c>
      <c r="AU106" s="22">
        <v>1.2957799999999999</v>
      </c>
      <c r="AV106">
        <f t="shared" si="20"/>
        <v>16.599999999999998</v>
      </c>
      <c r="AW106">
        <f t="shared" si="21"/>
        <v>21.522563999999999</v>
      </c>
      <c r="AX106" s="9"/>
      <c r="AY106" s="22">
        <v>0.38345299999999999</v>
      </c>
      <c r="AZ106" s="22">
        <v>28.462499999999999</v>
      </c>
      <c r="BA106" s="22">
        <v>-1.4093E-2</v>
      </c>
      <c r="BB106" s="22">
        <v>96</v>
      </c>
      <c r="BC106" s="22">
        <v>0.38287399999999999</v>
      </c>
      <c r="BD106">
        <f t="shared" si="22"/>
        <v>17.398765432098763</v>
      </c>
      <c r="BE106">
        <f t="shared" si="23"/>
        <v>6.6716088012345667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1.2915000000000001</v>
      </c>
      <c r="H107" s="22">
        <v>6.2212100000000001</v>
      </c>
      <c r="I107" s="22">
        <v>-1.34888E-2</v>
      </c>
      <c r="J107" s="22">
        <v>97</v>
      </c>
      <c r="K107" s="22">
        <v>1.2908900000000001</v>
      </c>
      <c r="L107">
        <f t="shared" si="12"/>
        <v>16.652839506172839</v>
      </c>
      <c r="M107">
        <f t="shared" si="13"/>
        <v>21.507142222222225</v>
      </c>
      <c r="N107" s="9"/>
      <c r="O107" s="22">
        <v>0.38848899999999997</v>
      </c>
      <c r="P107" s="22">
        <v>10.0001</v>
      </c>
      <c r="Q107" s="22">
        <v>-1.40594E-2</v>
      </c>
      <c r="R107" s="22">
        <v>97</v>
      </c>
      <c r="S107" s="22">
        <v>0.38778699999999999</v>
      </c>
      <c r="T107">
        <f t="shared" si="14"/>
        <v>17.357283950617283</v>
      </c>
      <c r="U107">
        <f t="shared" si="15"/>
        <v>6.7431138846913576</v>
      </c>
      <c r="X107" s="9"/>
      <c r="Y107" s="22">
        <v>1.2915000000000001</v>
      </c>
      <c r="Z107" s="22">
        <v>15.4724</v>
      </c>
      <c r="AA107" s="22">
        <v>-1.34369E-2</v>
      </c>
      <c r="AB107" s="22">
        <v>97</v>
      </c>
      <c r="AC107" s="22">
        <v>1.2911999999999999</v>
      </c>
      <c r="AD107">
        <f t="shared" si="16"/>
        <v>16.588765432098764</v>
      </c>
      <c r="AE107">
        <f t="shared" si="17"/>
        <v>21.424390555555554</v>
      </c>
      <c r="AF107" s="9"/>
      <c r="AG107" s="22">
        <v>0.38848899999999997</v>
      </c>
      <c r="AH107" s="22">
        <v>19.251300000000001</v>
      </c>
      <c r="AI107" s="22">
        <v>-1.409E-2</v>
      </c>
      <c r="AJ107" s="22">
        <v>97</v>
      </c>
      <c r="AK107" s="22">
        <v>0.38769500000000001</v>
      </c>
      <c r="AL107">
        <f t="shared" si="18"/>
        <v>17.39506172839506</v>
      </c>
      <c r="AM107">
        <f t="shared" si="19"/>
        <v>6.7577901358024679</v>
      </c>
      <c r="AP107" s="9"/>
      <c r="AQ107" s="22">
        <v>1.2915000000000001</v>
      </c>
      <c r="AR107" s="22">
        <v>24.6936</v>
      </c>
      <c r="AS107" s="22">
        <v>-1.3458299999999999E-2</v>
      </c>
      <c r="AT107" s="22">
        <v>97</v>
      </c>
      <c r="AU107" s="22">
        <v>1.2908900000000001</v>
      </c>
      <c r="AV107">
        <f t="shared" si="20"/>
        <v>16.615185185185183</v>
      </c>
      <c r="AW107">
        <f t="shared" si="21"/>
        <v>21.458511666666666</v>
      </c>
      <c r="AX107" s="9"/>
      <c r="AY107" s="22">
        <v>0.38848899999999997</v>
      </c>
      <c r="AZ107" s="22">
        <v>28.4725</v>
      </c>
      <c r="BA107" s="22">
        <v>-1.4080799999999999E-2</v>
      </c>
      <c r="BB107" s="22">
        <v>97</v>
      </c>
      <c r="BC107" s="22">
        <v>0.38781700000000002</v>
      </c>
      <c r="BD107">
        <f t="shared" si="22"/>
        <v>17.383703703703702</v>
      </c>
      <c r="BE107">
        <f t="shared" si="23"/>
        <v>6.753377668148147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1.28647</v>
      </c>
      <c r="H108" s="22">
        <v>6.2312799999999999</v>
      </c>
      <c r="I108" s="22">
        <v>-1.3501000000000001E-2</v>
      </c>
      <c r="J108" s="22">
        <v>98</v>
      </c>
      <c r="K108" s="22">
        <v>1.2860100000000001</v>
      </c>
      <c r="L108">
        <f t="shared" si="12"/>
        <v>16.667901234567903</v>
      </c>
      <c r="M108">
        <f t="shared" si="13"/>
        <v>21.442754901234572</v>
      </c>
      <c r="N108" s="9"/>
      <c r="O108" s="22">
        <v>0.39352399999999998</v>
      </c>
      <c r="P108" s="22">
        <v>10.010199999999999</v>
      </c>
      <c r="Q108" s="22">
        <v>-1.4053299999999999E-2</v>
      </c>
      <c r="R108" s="22">
        <v>98</v>
      </c>
      <c r="S108" s="22">
        <v>0.39279199999999997</v>
      </c>
      <c r="T108">
        <f t="shared" si="14"/>
        <v>17.349753086419753</v>
      </c>
      <c r="U108">
        <f t="shared" si="15"/>
        <v>6.8275442335802463</v>
      </c>
      <c r="X108" s="9"/>
      <c r="Y108" s="22">
        <v>1.28647</v>
      </c>
      <c r="Z108" s="22">
        <v>15.4825</v>
      </c>
      <c r="AA108" s="22">
        <v>-1.3446E-2</v>
      </c>
      <c r="AB108" s="22">
        <v>98</v>
      </c>
      <c r="AC108" s="22">
        <v>1.2854000000000001</v>
      </c>
      <c r="AD108">
        <f t="shared" si="16"/>
        <v>16.599999999999998</v>
      </c>
      <c r="AE108">
        <f t="shared" si="17"/>
        <v>21.355401999999998</v>
      </c>
      <c r="AF108" s="9"/>
      <c r="AG108" s="22">
        <v>0.39352399999999998</v>
      </c>
      <c r="AH108" s="22">
        <v>19.261399999999998</v>
      </c>
      <c r="AI108" s="22">
        <v>-1.4086899999999999E-2</v>
      </c>
      <c r="AJ108" s="22">
        <v>98</v>
      </c>
      <c r="AK108" s="22">
        <v>0.39291399999999999</v>
      </c>
      <c r="AL108">
        <f t="shared" si="18"/>
        <v>17.391234567901233</v>
      </c>
      <c r="AM108">
        <f t="shared" si="19"/>
        <v>6.8438681920987641</v>
      </c>
      <c r="AP108" s="9"/>
      <c r="AQ108" s="22">
        <v>1.28647</v>
      </c>
      <c r="AR108" s="22">
        <v>24.703700000000001</v>
      </c>
      <c r="AS108" s="22">
        <v>-1.3473499999999999E-2</v>
      </c>
      <c r="AT108" s="22">
        <v>98</v>
      </c>
      <c r="AU108" s="22">
        <v>1.2854000000000001</v>
      </c>
      <c r="AV108">
        <f t="shared" si="20"/>
        <v>16.633950617283947</v>
      </c>
      <c r="AW108">
        <f t="shared" si="21"/>
        <v>21.399078450617278</v>
      </c>
      <c r="AX108" s="9"/>
      <c r="AY108" s="22">
        <v>0.39352399999999998</v>
      </c>
      <c r="AZ108" s="22">
        <v>28.482600000000001</v>
      </c>
      <c r="BA108" s="22">
        <v>-1.4065599999999999E-2</v>
      </c>
      <c r="BB108" s="22">
        <v>98</v>
      </c>
      <c r="BC108" s="22">
        <v>0.39285300000000001</v>
      </c>
      <c r="BD108">
        <f t="shared" si="22"/>
        <v>17.364938271604938</v>
      </c>
      <c r="BE108">
        <f t="shared" si="23"/>
        <v>6.8335199683950618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1.2814300000000001</v>
      </c>
      <c r="H109" s="22">
        <v>6.2413499999999997</v>
      </c>
      <c r="I109" s="22">
        <v>-1.3516200000000001E-2</v>
      </c>
      <c r="J109" s="22">
        <v>99</v>
      </c>
      <c r="K109" s="22">
        <v>1.2802100000000001</v>
      </c>
      <c r="L109">
        <f t="shared" si="12"/>
        <v>16.686666666666664</v>
      </c>
      <c r="M109">
        <f t="shared" si="13"/>
        <v>21.382795266666665</v>
      </c>
      <c r="N109" s="9"/>
      <c r="O109" s="22">
        <v>0.39856000000000003</v>
      </c>
      <c r="P109" s="22">
        <v>10.020300000000001</v>
      </c>
      <c r="Q109" s="22">
        <v>-1.40503E-2</v>
      </c>
      <c r="R109" s="22">
        <v>99</v>
      </c>
      <c r="S109" s="22">
        <v>0.39782699999999999</v>
      </c>
      <c r="T109">
        <f t="shared" si="14"/>
        <v>17.34604938271605</v>
      </c>
      <c r="U109">
        <f t="shared" si="15"/>
        <v>6.9134414419753094</v>
      </c>
      <c r="X109" s="9"/>
      <c r="Y109" s="22">
        <v>1.2814300000000001</v>
      </c>
      <c r="Z109" s="22">
        <v>15.4925</v>
      </c>
      <c r="AA109" s="22">
        <v>-1.34521E-2</v>
      </c>
      <c r="AB109" s="22">
        <v>99</v>
      </c>
      <c r="AC109" s="22">
        <v>1.2802100000000001</v>
      </c>
      <c r="AD109">
        <f t="shared" si="16"/>
        <v>16.607530864197528</v>
      </c>
      <c r="AE109">
        <f t="shared" si="17"/>
        <v>21.28138827530864</v>
      </c>
      <c r="AF109" s="9"/>
      <c r="AG109" s="22">
        <v>0.39856000000000003</v>
      </c>
      <c r="AH109" s="22">
        <v>19.2714</v>
      </c>
      <c r="AI109" s="22">
        <v>-1.409E-2</v>
      </c>
      <c r="AJ109" s="22">
        <v>99</v>
      </c>
      <c r="AK109" s="22">
        <v>0.397949</v>
      </c>
      <c r="AL109">
        <f t="shared" si="18"/>
        <v>17.39506172839506</v>
      </c>
      <c r="AM109">
        <f t="shared" si="19"/>
        <v>6.9329758024691355</v>
      </c>
      <c r="AP109" s="9"/>
      <c r="AQ109" s="22">
        <v>1.2814300000000001</v>
      </c>
      <c r="AR109" s="22">
        <v>24.713799999999999</v>
      </c>
      <c r="AS109" s="22">
        <v>-1.34827E-2</v>
      </c>
      <c r="AT109" s="22">
        <v>99</v>
      </c>
      <c r="AU109" s="22">
        <v>1.2799100000000001</v>
      </c>
      <c r="AV109">
        <f t="shared" si="20"/>
        <v>16.645308641975308</v>
      </c>
      <c r="AW109">
        <f t="shared" si="21"/>
        <v>21.329797853086422</v>
      </c>
      <c r="AX109" s="9"/>
      <c r="AY109" s="22">
        <v>0.39856000000000003</v>
      </c>
      <c r="AZ109" s="22">
        <v>28.492699999999999</v>
      </c>
      <c r="BA109" s="22">
        <v>-1.40503E-2</v>
      </c>
      <c r="BB109" s="22">
        <v>99</v>
      </c>
      <c r="BC109" s="22">
        <v>0.39791900000000002</v>
      </c>
      <c r="BD109">
        <f t="shared" si="22"/>
        <v>17.34604938271605</v>
      </c>
      <c r="BE109">
        <f t="shared" si="23"/>
        <v>6.9134414419753094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1.2764</v>
      </c>
      <c r="H110" s="22">
        <v>6.2514200000000004</v>
      </c>
      <c r="I110" s="22">
        <v>-1.35315E-2</v>
      </c>
      <c r="J110" s="22">
        <v>100</v>
      </c>
      <c r="K110" s="22">
        <v>1.2753300000000001</v>
      </c>
      <c r="L110">
        <f t="shared" si="12"/>
        <v>16.705555555555552</v>
      </c>
      <c r="M110">
        <f t="shared" si="13"/>
        <v>21.322971111111105</v>
      </c>
      <c r="N110" s="9"/>
      <c r="O110" s="22">
        <v>0.40359499999999998</v>
      </c>
      <c r="P110" s="22">
        <v>10.0303</v>
      </c>
      <c r="Q110" s="22">
        <v>-1.40503E-2</v>
      </c>
      <c r="R110" s="22">
        <v>100</v>
      </c>
      <c r="S110" s="22">
        <v>0.402893</v>
      </c>
      <c r="T110">
        <f t="shared" si="14"/>
        <v>17.34604938271605</v>
      </c>
      <c r="U110">
        <f t="shared" si="15"/>
        <v>7.000778800617284</v>
      </c>
      <c r="X110" s="9"/>
      <c r="Y110" s="22">
        <v>1.2764</v>
      </c>
      <c r="Z110" s="22">
        <v>15.502599999999999</v>
      </c>
      <c r="AA110" s="22">
        <v>-1.34705E-2</v>
      </c>
      <c r="AB110" s="22">
        <v>100</v>
      </c>
      <c r="AC110" s="22">
        <v>1.27502</v>
      </c>
      <c r="AD110">
        <f t="shared" si="16"/>
        <v>16.630246913580244</v>
      </c>
      <c r="AE110">
        <f t="shared" si="17"/>
        <v>21.226847160493822</v>
      </c>
      <c r="AF110" s="9"/>
      <c r="AG110" s="22">
        <v>0.40359499999999998</v>
      </c>
      <c r="AH110" s="22">
        <v>19.281500000000001</v>
      </c>
      <c r="AI110" s="22">
        <v>-1.4093E-2</v>
      </c>
      <c r="AJ110" s="22">
        <v>100</v>
      </c>
      <c r="AK110" s="22">
        <v>0.40280199999999999</v>
      </c>
      <c r="AL110">
        <f t="shared" si="18"/>
        <v>17.398765432098763</v>
      </c>
      <c r="AM110">
        <f t="shared" si="19"/>
        <v>7.0220547345678996</v>
      </c>
      <c r="AP110" s="9"/>
      <c r="AQ110" s="22">
        <v>1.2764</v>
      </c>
      <c r="AR110" s="22">
        <v>24.723800000000001</v>
      </c>
      <c r="AS110" s="22">
        <v>-1.34979E-2</v>
      </c>
      <c r="AT110" s="22">
        <v>100</v>
      </c>
      <c r="AU110" s="22">
        <v>1.27563</v>
      </c>
      <c r="AV110">
        <f t="shared" si="20"/>
        <v>16.664074074074072</v>
      </c>
      <c r="AW110">
        <f t="shared" si="21"/>
        <v>21.270024148148146</v>
      </c>
      <c r="AX110" s="9"/>
      <c r="AY110" s="22">
        <v>0.40359499999999998</v>
      </c>
      <c r="AZ110" s="22">
        <v>28.502700000000001</v>
      </c>
      <c r="BA110" s="22">
        <v>-1.40442E-2</v>
      </c>
      <c r="BB110" s="22">
        <v>100</v>
      </c>
      <c r="BC110" s="22">
        <v>0.40283200000000002</v>
      </c>
      <c r="BD110">
        <f t="shared" si="22"/>
        <v>17.338518518518516</v>
      </c>
      <c r="BE110">
        <f t="shared" si="23"/>
        <v>6.9977393814814803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1.27136</v>
      </c>
      <c r="H111" s="22">
        <v>6.2614999999999998</v>
      </c>
      <c r="I111" s="22">
        <v>-1.35529E-2</v>
      </c>
      <c r="J111" s="22">
        <v>101</v>
      </c>
      <c r="K111" s="22">
        <v>1.2698400000000001</v>
      </c>
      <c r="L111">
        <f t="shared" si="12"/>
        <v>16.731975308641974</v>
      </c>
      <c r="M111">
        <f t="shared" si="13"/>
        <v>21.272364128395061</v>
      </c>
      <c r="N111" s="9"/>
      <c r="O111" s="22">
        <v>0.40862999999999999</v>
      </c>
      <c r="P111" s="22">
        <v>10.0404</v>
      </c>
      <c r="Q111" s="22">
        <v>-1.4053299999999999E-2</v>
      </c>
      <c r="R111" s="22">
        <v>101</v>
      </c>
      <c r="S111" s="22">
        <v>0.40789799999999998</v>
      </c>
      <c r="T111">
        <f t="shared" si="14"/>
        <v>17.349753086419753</v>
      </c>
      <c r="U111">
        <f t="shared" si="15"/>
        <v>7.0896296037037034</v>
      </c>
      <c r="X111" s="9"/>
      <c r="Y111" s="22">
        <v>1.27136</v>
      </c>
      <c r="Z111" s="22">
        <v>15.512700000000001</v>
      </c>
      <c r="AA111" s="22">
        <v>-1.34857E-2</v>
      </c>
      <c r="AB111" s="22">
        <v>101</v>
      </c>
      <c r="AC111" s="22">
        <v>1.2704500000000001</v>
      </c>
      <c r="AD111">
        <f t="shared" si="16"/>
        <v>16.649012345679012</v>
      </c>
      <c r="AE111">
        <f t="shared" si="17"/>
        <v>21.166888335802469</v>
      </c>
      <c r="AF111" s="9"/>
      <c r="AG111" s="22">
        <v>0.40862999999999999</v>
      </c>
      <c r="AH111" s="22">
        <v>19.291599999999999</v>
      </c>
      <c r="AI111" s="22">
        <v>-1.409E-2</v>
      </c>
      <c r="AJ111" s="22">
        <v>101</v>
      </c>
      <c r="AK111" s="22">
        <v>0.40786699999999998</v>
      </c>
      <c r="AL111">
        <f t="shared" si="18"/>
        <v>17.39506172839506</v>
      </c>
      <c r="AM111">
        <f t="shared" si="19"/>
        <v>7.1081440740740733</v>
      </c>
      <c r="AP111" s="9"/>
      <c r="AQ111" s="22">
        <v>1.27136</v>
      </c>
      <c r="AR111" s="22">
        <v>24.733899999999998</v>
      </c>
      <c r="AS111" s="22">
        <v>-1.3507099999999999E-2</v>
      </c>
      <c r="AT111" s="22">
        <v>101</v>
      </c>
      <c r="AU111" s="22">
        <v>1.27075</v>
      </c>
      <c r="AV111">
        <f t="shared" si="20"/>
        <v>16.67543209876543</v>
      </c>
      <c r="AW111">
        <f t="shared" si="21"/>
        <v>21.20047735308642</v>
      </c>
      <c r="AX111" s="9"/>
      <c r="AY111" s="22">
        <v>0.40862999999999999</v>
      </c>
      <c r="AZ111" s="22">
        <v>28.512799999999999</v>
      </c>
      <c r="BA111" s="22">
        <v>-1.40381E-2</v>
      </c>
      <c r="BB111" s="22">
        <v>101</v>
      </c>
      <c r="BC111" s="22">
        <v>0.40783700000000001</v>
      </c>
      <c r="BD111">
        <f t="shared" si="22"/>
        <v>17.330987654320985</v>
      </c>
      <c r="BE111">
        <f t="shared" si="23"/>
        <v>7.0819614851851842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1.26633</v>
      </c>
      <c r="H112" s="22">
        <v>6.2715699999999996</v>
      </c>
      <c r="I112" s="22">
        <v>-1.35712E-2</v>
      </c>
      <c r="J112" s="22">
        <v>102</v>
      </c>
      <c r="K112" s="22">
        <v>1.2652600000000001</v>
      </c>
      <c r="L112">
        <f t="shared" si="12"/>
        <v>16.754567901234566</v>
      </c>
      <c r="M112">
        <f t="shared" si="13"/>
        <v>21.216811970370365</v>
      </c>
      <c r="N112" s="9"/>
      <c r="O112" s="22">
        <v>0.41366599999999998</v>
      </c>
      <c r="P112" s="22">
        <v>10.0505</v>
      </c>
      <c r="Q112" s="22">
        <v>-1.40503E-2</v>
      </c>
      <c r="R112" s="22">
        <v>102</v>
      </c>
      <c r="S112" s="22">
        <v>0.41308600000000001</v>
      </c>
      <c r="T112">
        <f t="shared" si="14"/>
        <v>17.34604938271605</v>
      </c>
      <c r="U112">
        <f t="shared" si="15"/>
        <v>7.1754708639506175</v>
      </c>
      <c r="X112" s="9"/>
      <c r="Y112" s="22">
        <v>1.26633</v>
      </c>
      <c r="Z112" s="22">
        <v>15.5227</v>
      </c>
      <c r="AA112" s="22">
        <v>-1.3501000000000001E-2</v>
      </c>
      <c r="AB112" s="22">
        <v>102</v>
      </c>
      <c r="AC112" s="22">
        <v>1.2646500000000001</v>
      </c>
      <c r="AD112">
        <f t="shared" si="16"/>
        <v>16.667901234567903</v>
      </c>
      <c r="AE112">
        <f t="shared" si="17"/>
        <v>21.107063370370373</v>
      </c>
      <c r="AF112" s="9"/>
      <c r="AG112" s="22">
        <v>0.41366599999999998</v>
      </c>
      <c r="AH112" s="22">
        <v>19.3017</v>
      </c>
      <c r="AI112" s="22">
        <v>-1.409E-2</v>
      </c>
      <c r="AJ112" s="22">
        <v>102</v>
      </c>
      <c r="AK112" s="22">
        <v>0.41290300000000002</v>
      </c>
      <c r="AL112">
        <f t="shared" si="18"/>
        <v>17.39506172839506</v>
      </c>
      <c r="AM112">
        <f t="shared" si="19"/>
        <v>7.1957456049382706</v>
      </c>
      <c r="AP112" s="9"/>
      <c r="AQ112" s="22">
        <v>1.26633</v>
      </c>
      <c r="AR112" s="22">
        <v>24.744</v>
      </c>
      <c r="AS112" s="22">
        <v>-1.3516200000000001E-2</v>
      </c>
      <c r="AT112" s="22">
        <v>102</v>
      </c>
      <c r="AU112" s="22">
        <v>1.2652600000000001</v>
      </c>
      <c r="AV112">
        <f t="shared" si="20"/>
        <v>16.686666666666664</v>
      </c>
      <c r="AW112">
        <f t="shared" si="21"/>
        <v>21.130826599999995</v>
      </c>
      <c r="AX112" s="9"/>
      <c r="AY112" s="22">
        <v>0.41366599999999998</v>
      </c>
      <c r="AZ112" s="22">
        <v>28.5229</v>
      </c>
      <c r="BA112" s="22">
        <v>-1.40381E-2</v>
      </c>
      <c r="BB112" s="22">
        <v>102</v>
      </c>
      <c r="BC112" s="22">
        <v>0.41305500000000001</v>
      </c>
      <c r="BD112">
        <f t="shared" si="22"/>
        <v>17.330987654320985</v>
      </c>
      <c r="BE112">
        <f t="shared" si="23"/>
        <v>7.1692403390123447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1.26129</v>
      </c>
      <c r="H113" s="22">
        <v>6.2816400000000003</v>
      </c>
      <c r="I113" s="22">
        <v>-1.35803E-2</v>
      </c>
      <c r="J113" s="22">
        <v>103</v>
      </c>
      <c r="K113" s="22">
        <v>1.26068</v>
      </c>
      <c r="L113">
        <f t="shared" si="12"/>
        <v>16.765802469135803</v>
      </c>
      <c r="M113">
        <f t="shared" si="13"/>
        <v>21.146538996296297</v>
      </c>
      <c r="N113" s="9"/>
      <c r="O113" s="22">
        <v>0.41870099999999999</v>
      </c>
      <c r="P113" s="22">
        <v>10.060499999999999</v>
      </c>
      <c r="Q113" s="22">
        <v>-1.40442E-2</v>
      </c>
      <c r="R113" s="22">
        <v>103</v>
      </c>
      <c r="S113" s="22">
        <v>0.41799900000000001</v>
      </c>
      <c r="T113">
        <f t="shared" si="14"/>
        <v>17.338518518518516</v>
      </c>
      <c r="U113">
        <f t="shared" si="15"/>
        <v>7.2596550422222208</v>
      </c>
      <c r="X113" s="9"/>
      <c r="Y113" s="22">
        <v>1.26129</v>
      </c>
      <c r="Z113" s="22">
        <v>15.5328</v>
      </c>
      <c r="AA113" s="22">
        <v>-1.35132E-2</v>
      </c>
      <c r="AB113" s="22">
        <v>103</v>
      </c>
      <c r="AC113" s="22">
        <v>1.26068</v>
      </c>
      <c r="AD113">
        <f t="shared" si="16"/>
        <v>16.682962962962961</v>
      </c>
      <c r="AE113">
        <f t="shared" si="17"/>
        <v>21.042054355555553</v>
      </c>
      <c r="AF113" s="9"/>
      <c r="AG113" s="22">
        <v>0.41870099999999999</v>
      </c>
      <c r="AH113" s="22">
        <v>19.311699999999998</v>
      </c>
      <c r="AI113" s="22">
        <v>-1.4093E-2</v>
      </c>
      <c r="AJ113" s="22">
        <v>103</v>
      </c>
      <c r="AK113" s="22">
        <v>0.41796899999999998</v>
      </c>
      <c r="AL113">
        <f t="shared" si="18"/>
        <v>17.398765432098763</v>
      </c>
      <c r="AM113">
        <f t="shared" si="19"/>
        <v>7.2848804851851838</v>
      </c>
      <c r="AP113" s="9"/>
      <c r="AQ113" s="22">
        <v>1.26129</v>
      </c>
      <c r="AR113" s="22">
        <v>24.754100000000001</v>
      </c>
      <c r="AS113" s="22">
        <v>-1.35345E-2</v>
      </c>
      <c r="AT113" s="22">
        <v>103</v>
      </c>
      <c r="AU113" s="22">
        <v>1.25946</v>
      </c>
      <c r="AV113">
        <f t="shared" si="20"/>
        <v>16.709259259259255</v>
      </c>
      <c r="AW113">
        <f t="shared" si="21"/>
        <v>21.075221611111107</v>
      </c>
      <c r="AX113" s="9"/>
      <c r="AY113" s="22">
        <v>0.41870099999999999</v>
      </c>
      <c r="AZ113" s="22">
        <v>28.533000000000001</v>
      </c>
      <c r="BA113" s="22">
        <v>-1.4035000000000001E-2</v>
      </c>
      <c r="BB113" s="22">
        <v>103</v>
      </c>
      <c r="BC113" s="22">
        <v>0.41803000000000001</v>
      </c>
      <c r="BD113">
        <f t="shared" si="22"/>
        <v>17.327160493827162</v>
      </c>
      <c r="BE113">
        <f t="shared" si="23"/>
        <v>7.2548994259259265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1.2562599999999999</v>
      </c>
      <c r="H114" s="22">
        <v>6.2917100000000001</v>
      </c>
      <c r="I114" s="22">
        <v>-1.3583400000000001E-2</v>
      </c>
      <c r="J114" s="22">
        <v>104</v>
      </c>
      <c r="K114" s="22">
        <v>1.25519</v>
      </c>
      <c r="L114">
        <f t="shared" si="12"/>
        <v>16.76962962962963</v>
      </c>
      <c r="M114">
        <f t="shared" si="13"/>
        <v>21.067014918518517</v>
      </c>
      <c r="N114" s="9"/>
      <c r="O114" s="22">
        <v>0.42373699999999997</v>
      </c>
      <c r="P114" s="22">
        <v>10.070600000000001</v>
      </c>
      <c r="Q114" s="22">
        <v>-1.40381E-2</v>
      </c>
      <c r="R114" s="22">
        <v>104</v>
      </c>
      <c r="S114" s="22">
        <v>0.42297400000000002</v>
      </c>
      <c r="T114">
        <f t="shared" si="14"/>
        <v>17.330987654320985</v>
      </c>
      <c r="U114">
        <f t="shared" si="15"/>
        <v>7.3437807156790109</v>
      </c>
      <c r="X114" s="9"/>
      <c r="Y114" s="22">
        <v>1.2562599999999999</v>
      </c>
      <c r="Z114" s="22">
        <v>15.542899999999999</v>
      </c>
      <c r="AA114" s="22">
        <v>-1.3522299999999999E-2</v>
      </c>
      <c r="AB114" s="22">
        <v>104</v>
      </c>
      <c r="AC114" s="22">
        <v>1.25519</v>
      </c>
      <c r="AD114">
        <f t="shared" si="16"/>
        <v>16.694197530864194</v>
      </c>
      <c r="AE114">
        <f t="shared" si="17"/>
        <v>20.972252590123453</v>
      </c>
      <c r="AF114" s="9"/>
      <c r="AG114" s="22">
        <v>0.42373699999999997</v>
      </c>
      <c r="AH114" s="22">
        <v>19.3218</v>
      </c>
      <c r="AI114" s="22">
        <v>-1.4093E-2</v>
      </c>
      <c r="AJ114" s="22">
        <v>104</v>
      </c>
      <c r="AK114" s="22">
        <v>0.42303499999999999</v>
      </c>
      <c r="AL114">
        <f t="shared" si="18"/>
        <v>17.398765432098763</v>
      </c>
      <c r="AM114">
        <f t="shared" si="19"/>
        <v>7.3725006679012335</v>
      </c>
      <c r="AP114" s="9"/>
      <c r="AQ114" s="22">
        <v>1.2562599999999999</v>
      </c>
      <c r="AR114" s="22">
        <v>24.764099999999999</v>
      </c>
      <c r="AS114" s="22">
        <v>-1.35529E-2</v>
      </c>
      <c r="AT114" s="22">
        <v>104</v>
      </c>
      <c r="AU114" s="22">
        <v>1.2558</v>
      </c>
      <c r="AV114">
        <f t="shared" si="20"/>
        <v>16.731975308641974</v>
      </c>
      <c r="AW114">
        <f t="shared" si="21"/>
        <v>21.019711301234565</v>
      </c>
      <c r="AX114" s="9"/>
      <c r="AY114" s="22">
        <v>0.42373699999999997</v>
      </c>
      <c r="AZ114" s="22">
        <v>28.542999999999999</v>
      </c>
      <c r="BA114" s="22">
        <v>-1.4031999999999999E-2</v>
      </c>
      <c r="BB114" s="22">
        <v>104</v>
      </c>
      <c r="BC114" s="22">
        <v>0.42309600000000003</v>
      </c>
      <c r="BD114">
        <f t="shared" si="22"/>
        <v>17.323456790123455</v>
      </c>
      <c r="BE114">
        <f t="shared" si="23"/>
        <v>7.3405896098765417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1.25122</v>
      </c>
      <c r="H115" s="22">
        <v>6.3017799999999999</v>
      </c>
      <c r="I115" s="22">
        <v>-1.35925E-2</v>
      </c>
      <c r="J115" s="22">
        <v>105</v>
      </c>
      <c r="K115" s="22">
        <v>1.25061</v>
      </c>
      <c r="L115">
        <f t="shared" si="12"/>
        <v>16.780864197530864</v>
      </c>
      <c r="M115">
        <f t="shared" si="13"/>
        <v>20.996552901234569</v>
      </c>
      <c r="N115" s="9"/>
      <c r="O115" s="22">
        <v>0.42877199999999999</v>
      </c>
      <c r="P115" s="22">
        <v>10.0807</v>
      </c>
      <c r="Q115" s="22">
        <v>-1.4031999999999999E-2</v>
      </c>
      <c r="R115" s="22">
        <v>105</v>
      </c>
      <c r="S115" s="22">
        <v>0.42807000000000001</v>
      </c>
      <c r="T115">
        <f t="shared" si="14"/>
        <v>17.323456790123455</v>
      </c>
      <c r="U115">
        <f t="shared" si="15"/>
        <v>7.4278132148148135</v>
      </c>
      <c r="X115" s="9"/>
      <c r="Y115" s="22">
        <v>1.25122</v>
      </c>
      <c r="Z115" s="22">
        <v>15.553000000000001</v>
      </c>
      <c r="AA115" s="22">
        <v>-1.35315E-2</v>
      </c>
      <c r="AB115" s="22">
        <v>105</v>
      </c>
      <c r="AC115" s="22">
        <v>1.24969</v>
      </c>
      <c r="AD115">
        <f t="shared" si="16"/>
        <v>16.705555555555552</v>
      </c>
      <c r="AE115">
        <f t="shared" si="17"/>
        <v>20.902325222222217</v>
      </c>
      <c r="AF115" s="9"/>
      <c r="AG115" s="22">
        <v>0.42877199999999999</v>
      </c>
      <c r="AH115" s="22">
        <v>19.331900000000001</v>
      </c>
      <c r="AI115" s="22">
        <v>-1.409E-2</v>
      </c>
      <c r="AJ115" s="22">
        <v>105</v>
      </c>
      <c r="AK115" s="22">
        <v>0.427979</v>
      </c>
      <c r="AL115">
        <f t="shared" si="18"/>
        <v>17.39506172839506</v>
      </c>
      <c r="AM115">
        <f t="shared" si="19"/>
        <v>7.4585154074074067</v>
      </c>
      <c r="AP115" s="9"/>
      <c r="AQ115" s="22">
        <v>1.25122</v>
      </c>
      <c r="AR115" s="22">
        <v>24.7742</v>
      </c>
      <c r="AS115" s="22">
        <v>-1.3559E-2</v>
      </c>
      <c r="AT115" s="22">
        <v>105</v>
      </c>
      <c r="AU115" s="22">
        <v>1.24969</v>
      </c>
      <c r="AV115">
        <f t="shared" si="20"/>
        <v>16.739506172839505</v>
      </c>
      <c r="AW115">
        <f t="shared" si="21"/>
        <v>20.944804913580246</v>
      </c>
      <c r="AX115" s="9"/>
      <c r="AY115" s="22">
        <v>0.42877199999999999</v>
      </c>
      <c r="AZ115" s="22">
        <v>28.553100000000001</v>
      </c>
      <c r="BA115" s="22">
        <v>-1.40381E-2</v>
      </c>
      <c r="BB115" s="22">
        <v>105</v>
      </c>
      <c r="BC115" s="22">
        <v>0.42800899999999997</v>
      </c>
      <c r="BD115">
        <f t="shared" si="22"/>
        <v>17.330987654320985</v>
      </c>
      <c r="BE115">
        <f t="shared" si="23"/>
        <v>7.4310422385185175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1.2461899999999999</v>
      </c>
      <c r="H116" s="22">
        <v>6.3118499999999997</v>
      </c>
      <c r="I116" s="22">
        <v>-1.35925E-2</v>
      </c>
      <c r="J116" s="22">
        <v>106</v>
      </c>
      <c r="K116" s="22">
        <v>1.24512</v>
      </c>
      <c r="L116">
        <f t="shared" si="12"/>
        <v>16.780864197530864</v>
      </c>
      <c r="M116">
        <f t="shared" si="13"/>
        <v>20.912145154320985</v>
      </c>
      <c r="N116" s="9"/>
      <c r="O116" s="22">
        <v>0.433807</v>
      </c>
      <c r="P116" s="22">
        <v>10.0908</v>
      </c>
      <c r="Q116" s="22">
        <v>-1.4031999999999999E-2</v>
      </c>
      <c r="R116" s="22">
        <v>106</v>
      </c>
      <c r="S116" s="22">
        <v>0.43304399999999998</v>
      </c>
      <c r="T116">
        <f t="shared" si="14"/>
        <v>17.323456790123455</v>
      </c>
      <c r="U116">
        <f t="shared" si="15"/>
        <v>7.5150368197530852</v>
      </c>
      <c r="X116" s="9"/>
      <c r="Y116" s="22">
        <v>1.2461899999999999</v>
      </c>
      <c r="Z116" s="22">
        <v>15.563000000000001</v>
      </c>
      <c r="AA116" s="22">
        <v>-1.35345E-2</v>
      </c>
      <c r="AB116" s="22">
        <v>106</v>
      </c>
      <c r="AC116" s="22">
        <v>1.24542</v>
      </c>
      <c r="AD116">
        <f t="shared" si="16"/>
        <v>16.709259259259255</v>
      </c>
      <c r="AE116">
        <f t="shared" si="17"/>
        <v>20.822911796296289</v>
      </c>
      <c r="AF116" s="9"/>
      <c r="AG116" s="22">
        <v>0.433807</v>
      </c>
      <c r="AH116" s="22">
        <v>19.341899999999999</v>
      </c>
      <c r="AI116" s="22">
        <v>-1.4093E-2</v>
      </c>
      <c r="AJ116" s="22">
        <v>106</v>
      </c>
      <c r="AK116" s="22">
        <v>0.43307499999999999</v>
      </c>
      <c r="AL116">
        <f t="shared" si="18"/>
        <v>17.398765432098763</v>
      </c>
      <c r="AM116">
        <f t="shared" si="19"/>
        <v>7.547706235802468</v>
      </c>
      <c r="AP116" s="9"/>
      <c r="AQ116" s="22">
        <v>1.2461899999999999</v>
      </c>
      <c r="AR116" s="22">
        <v>24.784300000000002</v>
      </c>
      <c r="AS116" s="22">
        <v>-1.35681E-2</v>
      </c>
      <c r="AT116" s="22">
        <v>106</v>
      </c>
      <c r="AU116" s="22">
        <v>1.24481</v>
      </c>
      <c r="AV116">
        <f t="shared" si="20"/>
        <v>16.750740740740738</v>
      </c>
      <c r="AW116">
        <f t="shared" si="21"/>
        <v>20.874605603703699</v>
      </c>
      <c r="AX116" s="9"/>
      <c r="AY116" s="22">
        <v>0.433807</v>
      </c>
      <c r="AZ116" s="22">
        <v>28.563199999999998</v>
      </c>
      <c r="BA116" s="22">
        <v>-1.40381E-2</v>
      </c>
      <c r="BB116" s="22">
        <v>106</v>
      </c>
      <c r="BC116" s="22">
        <v>0.43310500000000002</v>
      </c>
      <c r="BD116">
        <f t="shared" si="22"/>
        <v>17.330987654320985</v>
      </c>
      <c r="BE116">
        <f t="shared" si="23"/>
        <v>7.5183037613580233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1.24115</v>
      </c>
      <c r="H117" s="22">
        <v>6.3219200000000004</v>
      </c>
      <c r="I117" s="22">
        <v>-1.3604700000000001E-2</v>
      </c>
      <c r="J117" s="22">
        <v>107</v>
      </c>
      <c r="K117" s="22">
        <v>1.23932</v>
      </c>
      <c r="L117">
        <f t="shared" si="12"/>
        <v>16.795925925925925</v>
      </c>
      <c r="M117">
        <f t="shared" si="13"/>
        <v>20.846263462962963</v>
      </c>
      <c r="N117" s="9"/>
      <c r="O117" s="22">
        <v>0.43884299999999998</v>
      </c>
      <c r="P117" s="22">
        <v>10.1008</v>
      </c>
      <c r="Q117" s="22">
        <v>-1.4031999999999999E-2</v>
      </c>
      <c r="R117" s="22">
        <v>107</v>
      </c>
      <c r="S117" s="22">
        <v>0.43811</v>
      </c>
      <c r="T117">
        <f t="shared" si="14"/>
        <v>17.323456790123455</v>
      </c>
      <c r="U117">
        <f t="shared" si="15"/>
        <v>7.6022777481481469</v>
      </c>
      <c r="X117" s="9"/>
      <c r="Y117" s="22">
        <v>1.24115</v>
      </c>
      <c r="Z117" s="22">
        <v>15.5731</v>
      </c>
      <c r="AA117" s="22">
        <v>-1.35376E-2</v>
      </c>
      <c r="AB117" s="22">
        <v>107</v>
      </c>
      <c r="AC117" s="22">
        <v>1.23993</v>
      </c>
      <c r="AD117">
        <f t="shared" si="16"/>
        <v>16.713086419753086</v>
      </c>
      <c r="AE117">
        <f t="shared" si="17"/>
        <v>20.743447209876543</v>
      </c>
      <c r="AF117" s="9"/>
      <c r="AG117" s="22">
        <v>0.43884299999999998</v>
      </c>
      <c r="AH117" s="22">
        <v>19.352</v>
      </c>
      <c r="AI117" s="22">
        <v>-1.4093E-2</v>
      </c>
      <c r="AJ117" s="22">
        <v>107</v>
      </c>
      <c r="AK117" s="22">
        <v>0.43823200000000001</v>
      </c>
      <c r="AL117">
        <f t="shared" si="18"/>
        <v>17.398765432098763</v>
      </c>
      <c r="AM117">
        <f t="shared" si="19"/>
        <v>7.6353264185185168</v>
      </c>
      <c r="AP117" s="9"/>
      <c r="AQ117" s="22">
        <v>1.24115</v>
      </c>
      <c r="AR117" s="22">
        <v>24.7943</v>
      </c>
      <c r="AS117" s="22">
        <v>-1.35712E-2</v>
      </c>
      <c r="AT117" s="22">
        <v>107</v>
      </c>
      <c r="AU117" s="22">
        <v>1.2402299999999999</v>
      </c>
      <c r="AV117">
        <f t="shared" si="20"/>
        <v>16.754567901234566</v>
      </c>
      <c r="AW117">
        <f t="shared" si="21"/>
        <v>20.794931950617283</v>
      </c>
      <c r="AX117" s="9"/>
      <c r="AY117" s="22">
        <v>0.43884299999999998</v>
      </c>
      <c r="AZ117" s="22">
        <v>28.5732</v>
      </c>
      <c r="BA117" s="22">
        <v>-1.40381E-2</v>
      </c>
      <c r="BB117" s="22">
        <v>107</v>
      </c>
      <c r="BC117" s="22">
        <v>0.438141</v>
      </c>
      <c r="BD117">
        <f t="shared" si="22"/>
        <v>17.330987654320985</v>
      </c>
      <c r="BE117">
        <f t="shared" si="23"/>
        <v>7.6055826151851837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1.23611</v>
      </c>
      <c r="H118" s="22">
        <v>6.3319900000000002</v>
      </c>
      <c r="I118" s="22">
        <v>-1.3616899999999999E-2</v>
      </c>
      <c r="J118" s="22">
        <v>108</v>
      </c>
      <c r="K118" s="22">
        <v>1.23505</v>
      </c>
      <c r="L118">
        <f t="shared" si="12"/>
        <v>16.810987654320986</v>
      </c>
      <c r="M118">
        <f t="shared" si="13"/>
        <v>20.780229949382715</v>
      </c>
      <c r="N118" s="9"/>
      <c r="O118" s="22">
        <v>0.44387799999999999</v>
      </c>
      <c r="P118" s="22">
        <v>10.110900000000001</v>
      </c>
      <c r="Q118" s="22">
        <v>-1.4031999999999999E-2</v>
      </c>
      <c r="R118" s="22">
        <v>108</v>
      </c>
      <c r="S118" s="22">
        <v>0.44302399999999997</v>
      </c>
      <c r="T118">
        <f t="shared" si="14"/>
        <v>17.323456790123455</v>
      </c>
      <c r="U118">
        <f t="shared" si="15"/>
        <v>7.6895013530864187</v>
      </c>
      <c r="X118" s="9"/>
      <c r="Y118" s="22">
        <v>1.23611</v>
      </c>
      <c r="Z118" s="22">
        <v>15.5832</v>
      </c>
      <c r="AA118" s="22">
        <v>-1.35376E-2</v>
      </c>
      <c r="AB118" s="22">
        <v>108</v>
      </c>
      <c r="AC118" s="22">
        <v>1.23505</v>
      </c>
      <c r="AD118">
        <f t="shared" si="16"/>
        <v>16.713086419753086</v>
      </c>
      <c r="AE118">
        <f t="shared" si="17"/>
        <v>20.659213254320989</v>
      </c>
      <c r="AF118" s="9"/>
      <c r="AG118" s="22">
        <v>0.44387799999999999</v>
      </c>
      <c r="AH118" s="22">
        <v>19.362100000000002</v>
      </c>
      <c r="AI118" s="22">
        <v>-1.4086899999999999E-2</v>
      </c>
      <c r="AJ118" s="22">
        <v>108</v>
      </c>
      <c r="AK118" s="22">
        <v>0.44317600000000001</v>
      </c>
      <c r="AL118">
        <f t="shared" si="18"/>
        <v>17.391234567901233</v>
      </c>
      <c r="AM118">
        <f t="shared" si="19"/>
        <v>7.7195864175308628</v>
      </c>
      <c r="AP118" s="9"/>
      <c r="AQ118" s="22">
        <v>1.23611</v>
      </c>
      <c r="AR118" s="22">
        <v>24.804400000000001</v>
      </c>
      <c r="AS118" s="22">
        <v>-1.3583400000000001E-2</v>
      </c>
      <c r="AT118" s="22">
        <v>108</v>
      </c>
      <c r="AU118" s="22">
        <v>1.2353499999999999</v>
      </c>
      <c r="AV118">
        <f t="shared" si="20"/>
        <v>16.76962962962963</v>
      </c>
      <c r="AW118">
        <f t="shared" si="21"/>
        <v>20.729106881481481</v>
      </c>
      <c r="AX118" s="9"/>
      <c r="AY118" s="22">
        <v>0.44387799999999999</v>
      </c>
      <c r="AZ118" s="22">
        <v>28.583300000000001</v>
      </c>
      <c r="BA118" s="22">
        <v>-1.40289E-2</v>
      </c>
      <c r="BB118" s="22">
        <v>108</v>
      </c>
      <c r="BC118" s="22">
        <v>0.443268</v>
      </c>
      <c r="BD118">
        <f t="shared" si="22"/>
        <v>17.319629629629631</v>
      </c>
      <c r="BE118">
        <f t="shared" si="23"/>
        <v>7.6878025607407414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1.23108</v>
      </c>
      <c r="H119" s="22">
        <v>6.34206</v>
      </c>
      <c r="I119" s="22">
        <v>-1.36353E-2</v>
      </c>
      <c r="J119" s="22">
        <v>109</v>
      </c>
      <c r="K119" s="22">
        <v>1.22986</v>
      </c>
      <c r="L119">
        <f t="shared" si="12"/>
        <v>16.833703703703701</v>
      </c>
      <c r="M119">
        <f t="shared" si="13"/>
        <v>20.723635955555551</v>
      </c>
      <c r="N119" s="9"/>
      <c r="O119" s="22">
        <v>0.44891399999999998</v>
      </c>
      <c r="P119" s="22">
        <v>10.121</v>
      </c>
      <c r="Q119" s="22">
        <v>-1.40381E-2</v>
      </c>
      <c r="R119" s="22">
        <v>109</v>
      </c>
      <c r="S119" s="22">
        <v>0.44812000000000002</v>
      </c>
      <c r="T119">
        <f t="shared" si="14"/>
        <v>17.330987654320985</v>
      </c>
      <c r="U119">
        <f t="shared" si="15"/>
        <v>7.7801229918518509</v>
      </c>
      <c r="X119" s="9"/>
      <c r="Y119" s="22">
        <v>1.23108</v>
      </c>
      <c r="Z119" s="22">
        <v>15.5932</v>
      </c>
      <c r="AA119" s="22">
        <v>-1.3546799999999999E-2</v>
      </c>
      <c r="AB119" s="22">
        <v>109</v>
      </c>
      <c r="AC119" s="22">
        <v>1.2295499999999999</v>
      </c>
      <c r="AD119">
        <f t="shared" si="16"/>
        <v>16.72444444444444</v>
      </c>
      <c r="AE119">
        <f t="shared" si="17"/>
        <v>20.589129066666661</v>
      </c>
      <c r="AF119" s="9"/>
      <c r="AG119" s="22">
        <v>0.44891399999999998</v>
      </c>
      <c r="AH119" s="22">
        <v>19.372199999999999</v>
      </c>
      <c r="AI119" s="22">
        <v>-1.4080799999999999E-2</v>
      </c>
      <c r="AJ119" s="22">
        <v>109</v>
      </c>
      <c r="AK119" s="22">
        <v>0.44827299999999998</v>
      </c>
      <c r="AL119">
        <f t="shared" si="18"/>
        <v>17.383703703703702</v>
      </c>
      <c r="AM119">
        <f t="shared" si="19"/>
        <v>7.8037879644444432</v>
      </c>
      <c r="AP119" s="9"/>
      <c r="AQ119" s="22">
        <v>1.23108</v>
      </c>
      <c r="AR119" s="22">
        <v>24.814499999999999</v>
      </c>
      <c r="AS119" s="22">
        <v>-1.3589499999999999E-2</v>
      </c>
      <c r="AT119" s="22">
        <v>109</v>
      </c>
      <c r="AU119" s="22">
        <v>1.23047</v>
      </c>
      <c r="AV119">
        <f t="shared" si="20"/>
        <v>16.777160493827161</v>
      </c>
      <c r="AW119">
        <f t="shared" si="21"/>
        <v>20.65402674074074</v>
      </c>
      <c r="AX119" s="9"/>
      <c r="AY119" s="22">
        <v>0.44891399999999998</v>
      </c>
      <c r="AZ119" s="22">
        <v>28.593399999999999</v>
      </c>
      <c r="BA119" s="22">
        <v>-1.4025900000000001E-2</v>
      </c>
      <c r="BB119" s="22">
        <v>109</v>
      </c>
      <c r="BC119" s="22">
        <v>0.44815100000000002</v>
      </c>
      <c r="BD119">
        <f t="shared" si="22"/>
        <v>17.315925925925924</v>
      </c>
      <c r="BE119">
        <f t="shared" si="23"/>
        <v>7.7733615711111099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1.22604</v>
      </c>
      <c r="H120" s="22">
        <v>6.3521299999999998</v>
      </c>
      <c r="I120" s="22">
        <v>-1.36414E-2</v>
      </c>
      <c r="J120" s="22">
        <v>110</v>
      </c>
      <c r="K120" s="22">
        <v>1.22498</v>
      </c>
      <c r="L120">
        <f t="shared" si="12"/>
        <v>16.841234567901232</v>
      </c>
      <c r="M120">
        <f t="shared" si="13"/>
        <v>20.648027229629626</v>
      </c>
      <c r="N120" s="9"/>
      <c r="O120" s="22">
        <v>0.45394899999999999</v>
      </c>
      <c r="P120" s="22">
        <v>10.131</v>
      </c>
      <c r="Q120" s="22">
        <v>-1.4041100000000001E-2</v>
      </c>
      <c r="R120" s="22">
        <v>110</v>
      </c>
      <c r="S120" s="22">
        <v>0.453156</v>
      </c>
      <c r="T120">
        <f t="shared" si="14"/>
        <v>17.334691358024692</v>
      </c>
      <c r="U120">
        <f t="shared" si="15"/>
        <v>7.8690658072839508</v>
      </c>
      <c r="X120" s="9"/>
      <c r="Y120" s="22">
        <v>1.22604</v>
      </c>
      <c r="Z120" s="22">
        <v>15.603300000000001</v>
      </c>
      <c r="AA120" s="22">
        <v>-1.3549800000000001E-2</v>
      </c>
      <c r="AB120" s="22">
        <v>110</v>
      </c>
      <c r="AC120" s="22">
        <v>1.2246699999999999</v>
      </c>
      <c r="AD120">
        <f t="shared" si="16"/>
        <v>16.728148148148147</v>
      </c>
      <c r="AE120">
        <f t="shared" si="17"/>
        <v>20.509378755555556</v>
      </c>
      <c r="AF120" s="9"/>
      <c r="AG120" s="22">
        <v>0.45394899999999999</v>
      </c>
      <c r="AH120" s="22">
        <v>19.382200000000001</v>
      </c>
      <c r="AI120" s="22">
        <v>-1.4071699999999999E-2</v>
      </c>
      <c r="AJ120" s="22">
        <v>110</v>
      </c>
      <c r="AK120" s="22">
        <v>0.45327800000000001</v>
      </c>
      <c r="AL120">
        <f t="shared" si="18"/>
        <v>17.372469135802469</v>
      </c>
      <c r="AM120">
        <f t="shared" si="19"/>
        <v>7.8862149917283944</v>
      </c>
      <c r="AP120" s="9"/>
      <c r="AQ120" s="22">
        <v>1.22604</v>
      </c>
      <c r="AR120" s="22">
        <v>24.8245</v>
      </c>
      <c r="AS120" s="22">
        <v>-1.36017E-2</v>
      </c>
      <c r="AT120" s="22">
        <v>110</v>
      </c>
      <c r="AU120" s="22">
        <v>1.2246699999999999</v>
      </c>
      <c r="AV120">
        <f t="shared" si="20"/>
        <v>16.792222222222222</v>
      </c>
      <c r="AW120">
        <f t="shared" si="21"/>
        <v>20.587936133333333</v>
      </c>
      <c r="AX120" s="9"/>
      <c r="AY120" s="22">
        <v>0.45394899999999999</v>
      </c>
      <c r="AZ120" s="22">
        <v>28.6035</v>
      </c>
      <c r="BA120" s="22">
        <v>-1.40228E-2</v>
      </c>
      <c r="BB120" s="22">
        <v>110</v>
      </c>
      <c r="BC120" s="22">
        <v>0.45324700000000001</v>
      </c>
      <c r="BD120">
        <f t="shared" si="22"/>
        <v>17.312098765432097</v>
      </c>
      <c r="BE120">
        <f t="shared" si="23"/>
        <v>7.8588099224691348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1.2210099999999999</v>
      </c>
      <c r="H121" s="22">
        <v>6.3622100000000001</v>
      </c>
      <c r="I121" s="22">
        <v>-1.36475E-2</v>
      </c>
      <c r="J121" s="22">
        <v>111</v>
      </c>
      <c r="K121" s="22">
        <v>1.2197899999999999</v>
      </c>
      <c r="L121">
        <f t="shared" si="12"/>
        <v>16.848765432098766</v>
      </c>
      <c r="M121">
        <f t="shared" si="13"/>
        <v>20.572511080246912</v>
      </c>
      <c r="N121" s="9"/>
      <c r="O121" s="22">
        <v>0.458984</v>
      </c>
      <c r="P121" s="22">
        <v>10.1411</v>
      </c>
      <c r="Q121" s="22">
        <v>-1.40442E-2</v>
      </c>
      <c r="R121" s="22">
        <v>111</v>
      </c>
      <c r="S121" s="22">
        <v>0.45828200000000002</v>
      </c>
      <c r="T121">
        <f t="shared" si="14"/>
        <v>17.338518518518516</v>
      </c>
      <c r="U121">
        <f t="shared" si="15"/>
        <v>7.9581025837037025</v>
      </c>
      <c r="X121" s="9"/>
      <c r="Y121" s="22">
        <v>1.2210099999999999</v>
      </c>
      <c r="Z121" s="22">
        <v>15.6134</v>
      </c>
      <c r="AA121" s="22">
        <v>-1.3555899999999999E-2</v>
      </c>
      <c r="AB121" s="22">
        <v>111</v>
      </c>
      <c r="AC121" s="22">
        <v>1.2203999999999999</v>
      </c>
      <c r="AD121">
        <f t="shared" si="16"/>
        <v>16.735679012345678</v>
      </c>
      <c r="AE121">
        <f t="shared" si="17"/>
        <v>20.434431430864194</v>
      </c>
      <c r="AF121" s="9"/>
      <c r="AG121" s="22">
        <v>0.458984</v>
      </c>
      <c r="AH121" s="22">
        <v>19.392299999999999</v>
      </c>
      <c r="AI121" s="22">
        <v>-1.4065599999999999E-2</v>
      </c>
      <c r="AJ121" s="22">
        <v>111</v>
      </c>
      <c r="AK121" s="22">
        <v>0.45819100000000001</v>
      </c>
      <c r="AL121">
        <f t="shared" si="18"/>
        <v>17.364938271604938</v>
      </c>
      <c r="AM121">
        <f t="shared" si="19"/>
        <v>7.9702288276543207</v>
      </c>
      <c r="AP121" s="9"/>
      <c r="AQ121" s="22">
        <v>1.2210099999999999</v>
      </c>
      <c r="AR121" s="22">
        <v>24.834599999999998</v>
      </c>
      <c r="AS121" s="22">
        <v>-1.3604700000000001E-2</v>
      </c>
      <c r="AT121" s="22">
        <v>111</v>
      </c>
      <c r="AU121" s="22">
        <v>1.2197899999999999</v>
      </c>
      <c r="AV121">
        <f t="shared" si="20"/>
        <v>16.795925925925925</v>
      </c>
      <c r="AW121">
        <f t="shared" si="21"/>
        <v>20.507993514814814</v>
      </c>
      <c r="AX121" s="9"/>
      <c r="AY121" s="22">
        <v>0.458984</v>
      </c>
      <c r="AZ121" s="22">
        <v>28.613499999999998</v>
      </c>
      <c r="BA121" s="22">
        <v>-1.4025900000000001E-2</v>
      </c>
      <c r="BB121" s="22">
        <v>111</v>
      </c>
      <c r="BC121" s="22">
        <v>0.45825199999999999</v>
      </c>
      <c r="BD121">
        <f t="shared" si="22"/>
        <v>17.315925925925924</v>
      </c>
      <c r="BE121">
        <f t="shared" si="23"/>
        <v>7.9477329451851846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1.21597</v>
      </c>
      <c r="H122" s="22">
        <v>6.3722799999999999</v>
      </c>
      <c r="I122" s="22">
        <v>-1.36566E-2</v>
      </c>
      <c r="J122" s="22">
        <v>112</v>
      </c>
      <c r="K122" s="22">
        <v>1.2152099999999999</v>
      </c>
      <c r="L122">
        <f t="shared" si="12"/>
        <v>16.86</v>
      </c>
      <c r="M122">
        <f t="shared" si="13"/>
        <v>20.501254199999998</v>
      </c>
      <c r="N122" s="9"/>
      <c r="O122" s="22">
        <v>0.46401999999999999</v>
      </c>
      <c r="P122" s="22">
        <v>10.151199999999999</v>
      </c>
      <c r="Q122" s="22">
        <v>-1.4035000000000001E-2</v>
      </c>
      <c r="R122" s="22">
        <v>112</v>
      </c>
      <c r="S122" s="22">
        <v>0.46316499999999999</v>
      </c>
      <c r="T122">
        <f t="shared" si="14"/>
        <v>17.327160493827162</v>
      </c>
      <c r="U122">
        <f t="shared" si="15"/>
        <v>8.0401490123456796</v>
      </c>
      <c r="X122" s="9"/>
      <c r="Y122" s="22">
        <v>1.21597</v>
      </c>
      <c r="Z122" s="22">
        <v>15.6235</v>
      </c>
      <c r="AA122" s="22">
        <v>-1.35712E-2</v>
      </c>
      <c r="AB122" s="22">
        <v>112</v>
      </c>
      <c r="AC122" s="22">
        <v>1.2149000000000001</v>
      </c>
      <c r="AD122">
        <f t="shared" si="16"/>
        <v>16.754567901234566</v>
      </c>
      <c r="AE122">
        <f t="shared" si="17"/>
        <v>20.373051930864197</v>
      </c>
      <c r="AF122" s="9"/>
      <c r="AG122" s="22">
        <v>0.46401999999999999</v>
      </c>
      <c r="AH122" s="22">
        <v>19.4024</v>
      </c>
      <c r="AI122" s="22">
        <v>-1.40625E-2</v>
      </c>
      <c r="AJ122" s="22">
        <v>112</v>
      </c>
      <c r="AK122" s="22">
        <v>0.463287</v>
      </c>
      <c r="AL122">
        <f t="shared" si="18"/>
        <v>17.361111111111111</v>
      </c>
      <c r="AM122">
        <f t="shared" si="19"/>
        <v>8.0559027777777779</v>
      </c>
      <c r="AP122" s="9"/>
      <c r="AQ122" s="22">
        <v>1.21597</v>
      </c>
      <c r="AR122" s="22">
        <v>24.8447</v>
      </c>
      <c r="AS122" s="22">
        <v>-1.3610799999999999E-2</v>
      </c>
      <c r="AT122" s="22">
        <v>112</v>
      </c>
      <c r="AU122" s="22">
        <v>1.2145999999999999</v>
      </c>
      <c r="AV122">
        <f t="shared" si="20"/>
        <v>16.803456790123455</v>
      </c>
      <c r="AW122">
        <f t="shared" si="21"/>
        <v>20.432499353086417</v>
      </c>
      <c r="AX122" s="9"/>
      <c r="AY122" s="22">
        <v>0.46401999999999999</v>
      </c>
      <c r="AZ122" s="22">
        <v>28.6236</v>
      </c>
      <c r="BA122" s="22">
        <v>-1.40289E-2</v>
      </c>
      <c r="BB122" s="22">
        <v>112</v>
      </c>
      <c r="BC122" s="22">
        <v>0.46322600000000003</v>
      </c>
      <c r="BD122">
        <f t="shared" si="22"/>
        <v>17.319629629629631</v>
      </c>
      <c r="BE122">
        <f t="shared" si="23"/>
        <v>8.0366545407407415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1.2109399999999999</v>
      </c>
      <c r="H123" s="22">
        <v>6.3823499999999997</v>
      </c>
      <c r="I123" s="22">
        <v>-1.36566E-2</v>
      </c>
      <c r="J123" s="22">
        <v>113</v>
      </c>
      <c r="K123" s="22">
        <v>1.2097199999999999</v>
      </c>
      <c r="L123">
        <f t="shared" si="12"/>
        <v>16.86</v>
      </c>
      <c r="M123">
        <f t="shared" si="13"/>
        <v>20.416448399999997</v>
      </c>
      <c r="N123" s="9"/>
      <c r="O123" s="22">
        <v>0.469055</v>
      </c>
      <c r="P123" s="22">
        <v>10.161300000000001</v>
      </c>
      <c r="Q123" s="22">
        <v>-1.4035000000000001E-2</v>
      </c>
      <c r="R123" s="22">
        <v>113</v>
      </c>
      <c r="S123" s="22">
        <v>0.46829199999999999</v>
      </c>
      <c r="T123">
        <f t="shared" si="14"/>
        <v>17.327160493827162</v>
      </c>
      <c r="U123">
        <f t="shared" si="15"/>
        <v>8.1273912654320988</v>
      </c>
      <c r="X123" s="9"/>
      <c r="Y123" s="22">
        <v>1.2109399999999999</v>
      </c>
      <c r="Z123" s="22">
        <v>15.6335</v>
      </c>
      <c r="AA123" s="22">
        <v>-1.35803E-2</v>
      </c>
      <c r="AB123" s="22">
        <v>113</v>
      </c>
      <c r="AC123" s="22">
        <v>1.2094100000000001</v>
      </c>
      <c r="AD123">
        <f t="shared" si="16"/>
        <v>16.765802469135803</v>
      </c>
      <c r="AE123">
        <f t="shared" si="17"/>
        <v>20.302380841975307</v>
      </c>
      <c r="AF123" s="9"/>
      <c r="AG123" s="22">
        <v>0.469055</v>
      </c>
      <c r="AH123" s="22">
        <v>19.412400000000002</v>
      </c>
      <c r="AI123" s="22">
        <v>-1.40625E-2</v>
      </c>
      <c r="AJ123" s="22">
        <v>113</v>
      </c>
      <c r="AK123" s="22">
        <v>0.46832299999999999</v>
      </c>
      <c r="AL123">
        <f t="shared" si="18"/>
        <v>17.361111111111111</v>
      </c>
      <c r="AM123">
        <f t="shared" si="19"/>
        <v>8.1433159722222221</v>
      </c>
      <c r="AP123" s="9"/>
      <c r="AQ123" s="22">
        <v>1.2109399999999999</v>
      </c>
      <c r="AR123" s="22">
        <v>24.854800000000001</v>
      </c>
      <c r="AS123" s="22">
        <v>-1.3616899999999999E-2</v>
      </c>
      <c r="AT123" s="22">
        <v>113</v>
      </c>
      <c r="AU123" s="22">
        <v>1.2094100000000001</v>
      </c>
      <c r="AV123">
        <f t="shared" si="20"/>
        <v>16.810987654320986</v>
      </c>
      <c r="AW123">
        <f t="shared" si="21"/>
        <v>20.357097390123453</v>
      </c>
      <c r="AX123" s="9"/>
      <c r="AY123" s="22">
        <v>0.469055</v>
      </c>
      <c r="AZ123" s="22">
        <v>28.633700000000001</v>
      </c>
      <c r="BA123" s="22">
        <v>-1.4031999999999999E-2</v>
      </c>
      <c r="BB123" s="22">
        <v>113</v>
      </c>
      <c r="BC123" s="22">
        <v>0.46829199999999999</v>
      </c>
      <c r="BD123">
        <f t="shared" si="22"/>
        <v>17.323456790123455</v>
      </c>
      <c r="BE123">
        <f t="shared" si="23"/>
        <v>8.1256540246913573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1.2059</v>
      </c>
      <c r="H124" s="22">
        <v>6.3924200000000004</v>
      </c>
      <c r="I124" s="22">
        <v>-1.36597E-2</v>
      </c>
      <c r="J124" s="22">
        <v>114</v>
      </c>
      <c r="K124" s="22">
        <v>1.2048300000000001</v>
      </c>
      <c r="L124">
        <f t="shared" si="12"/>
        <v>16.863827160493827</v>
      </c>
      <c r="M124">
        <f t="shared" si="13"/>
        <v>20.336089172839504</v>
      </c>
      <c r="N124" s="9"/>
      <c r="O124" s="22">
        <v>0.47409099999999998</v>
      </c>
      <c r="P124" s="22">
        <v>10.1713</v>
      </c>
      <c r="Q124" s="22">
        <v>-1.4035000000000001E-2</v>
      </c>
      <c r="R124" s="22">
        <v>114</v>
      </c>
      <c r="S124" s="22">
        <v>0.47348000000000001</v>
      </c>
      <c r="T124">
        <f t="shared" si="14"/>
        <v>17.327160493827162</v>
      </c>
      <c r="U124">
        <f t="shared" si="15"/>
        <v>8.2146508456790119</v>
      </c>
      <c r="X124" s="9"/>
      <c r="Y124" s="22">
        <v>1.2059</v>
      </c>
      <c r="Z124" s="22">
        <v>15.643599999999999</v>
      </c>
      <c r="AA124" s="22">
        <v>-1.35925E-2</v>
      </c>
      <c r="AB124" s="22">
        <v>114</v>
      </c>
      <c r="AC124" s="22">
        <v>1.2054400000000001</v>
      </c>
      <c r="AD124">
        <f t="shared" si="16"/>
        <v>16.780864197530864</v>
      </c>
      <c r="AE124">
        <f t="shared" si="17"/>
        <v>20.236044135802469</v>
      </c>
      <c r="AF124" s="9"/>
      <c r="AG124" s="22">
        <v>0.47409099999999998</v>
      </c>
      <c r="AH124" s="22">
        <v>19.422499999999999</v>
      </c>
      <c r="AI124" s="22">
        <v>-1.40625E-2</v>
      </c>
      <c r="AJ124" s="22">
        <v>114</v>
      </c>
      <c r="AK124" s="22">
        <v>0.47344999999999998</v>
      </c>
      <c r="AL124">
        <f t="shared" si="18"/>
        <v>17.361111111111111</v>
      </c>
      <c r="AM124">
        <f t="shared" si="19"/>
        <v>8.2307465277777769</v>
      </c>
      <c r="AP124" s="9"/>
      <c r="AQ124" s="22">
        <v>1.2059</v>
      </c>
      <c r="AR124" s="22">
        <v>24.864799999999999</v>
      </c>
      <c r="AS124" s="22">
        <v>-1.36261E-2</v>
      </c>
      <c r="AT124" s="22">
        <v>114</v>
      </c>
      <c r="AU124" s="22">
        <v>1.2048300000000001</v>
      </c>
      <c r="AV124">
        <f t="shared" si="20"/>
        <v>16.822345679012344</v>
      </c>
      <c r="AW124">
        <f t="shared" si="21"/>
        <v>20.286066654320983</v>
      </c>
      <c r="AX124" s="9"/>
      <c r="AY124" s="22">
        <v>0.47409099999999998</v>
      </c>
      <c r="AZ124" s="22">
        <v>28.643699999999999</v>
      </c>
      <c r="BA124" s="22">
        <v>-1.4031999999999999E-2</v>
      </c>
      <c r="BB124" s="22">
        <v>114</v>
      </c>
      <c r="BC124" s="22">
        <v>0.473358</v>
      </c>
      <c r="BD124">
        <f t="shared" si="22"/>
        <v>17.323456790123455</v>
      </c>
      <c r="BE124">
        <f t="shared" si="23"/>
        <v>8.212894953086419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1.2008700000000001</v>
      </c>
      <c r="H125" s="22">
        <v>6.4024900000000002</v>
      </c>
      <c r="I125" s="22">
        <v>-1.36566E-2</v>
      </c>
      <c r="J125" s="22">
        <v>115</v>
      </c>
      <c r="K125" s="22">
        <v>1.1996500000000001</v>
      </c>
      <c r="L125">
        <f t="shared" si="12"/>
        <v>16.86</v>
      </c>
      <c r="M125">
        <f t="shared" si="13"/>
        <v>20.246668200000002</v>
      </c>
      <c r="N125" s="9"/>
      <c r="O125" s="22">
        <v>0.479126</v>
      </c>
      <c r="P125" s="22">
        <v>10.1814</v>
      </c>
      <c r="Q125" s="22">
        <v>-1.4041100000000001E-2</v>
      </c>
      <c r="R125" s="22">
        <v>115</v>
      </c>
      <c r="S125" s="22">
        <v>0.47839399999999999</v>
      </c>
      <c r="T125">
        <f t="shared" si="14"/>
        <v>17.334691358024692</v>
      </c>
      <c r="U125">
        <f t="shared" si="15"/>
        <v>8.3055013316049386</v>
      </c>
      <c r="X125" s="9"/>
      <c r="Y125" s="22">
        <v>1.2008700000000001</v>
      </c>
      <c r="Z125" s="22">
        <v>15.653700000000001</v>
      </c>
      <c r="AA125" s="22">
        <v>-1.3610799999999999E-2</v>
      </c>
      <c r="AB125" s="22">
        <v>115</v>
      </c>
      <c r="AC125" s="22">
        <v>1.1996500000000001</v>
      </c>
      <c r="AD125">
        <f t="shared" si="16"/>
        <v>16.803456790123455</v>
      </c>
      <c r="AE125">
        <f t="shared" si="17"/>
        <v>20.178767155555555</v>
      </c>
      <c r="AF125" s="9"/>
      <c r="AG125" s="22">
        <v>0.479126</v>
      </c>
      <c r="AH125" s="22">
        <v>19.432600000000001</v>
      </c>
      <c r="AI125" s="22">
        <v>-1.40564E-2</v>
      </c>
      <c r="AJ125" s="22">
        <v>115</v>
      </c>
      <c r="AK125" s="22">
        <v>0.47839399999999999</v>
      </c>
      <c r="AL125">
        <f t="shared" si="18"/>
        <v>17.35358024691358</v>
      </c>
      <c r="AM125">
        <f t="shared" si="19"/>
        <v>8.3145514893827155</v>
      </c>
      <c r="AP125" s="9"/>
      <c r="AQ125" s="22">
        <v>1.2008700000000001</v>
      </c>
      <c r="AR125" s="22">
        <v>24.8749</v>
      </c>
      <c r="AS125" s="22">
        <v>-1.36353E-2</v>
      </c>
      <c r="AT125" s="22">
        <v>115</v>
      </c>
      <c r="AU125" s="22">
        <v>1.1999500000000001</v>
      </c>
      <c r="AV125">
        <f t="shared" si="20"/>
        <v>16.833703703703701</v>
      </c>
      <c r="AW125">
        <f t="shared" si="21"/>
        <v>20.215089766666665</v>
      </c>
      <c r="AX125" s="9"/>
      <c r="AY125" s="22">
        <v>0.479126</v>
      </c>
      <c r="AZ125" s="22">
        <v>28.6538</v>
      </c>
      <c r="BA125" s="22">
        <v>-1.40289E-2</v>
      </c>
      <c r="BB125" s="22">
        <v>115</v>
      </c>
      <c r="BC125" s="22">
        <v>0.478302</v>
      </c>
      <c r="BD125">
        <f t="shared" si="22"/>
        <v>17.319629629629631</v>
      </c>
      <c r="BE125">
        <f t="shared" si="23"/>
        <v>8.2982848659259272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1.1958299999999999</v>
      </c>
      <c r="H126" s="22">
        <v>6.41256</v>
      </c>
      <c r="I126" s="22">
        <v>-1.3665800000000001E-2</v>
      </c>
      <c r="J126" s="22">
        <v>116</v>
      </c>
      <c r="K126" s="22">
        <v>1.1950700000000001</v>
      </c>
      <c r="L126">
        <f t="shared" si="12"/>
        <v>16.871358024691357</v>
      </c>
      <c r="M126">
        <f t="shared" si="13"/>
        <v>20.175276066666665</v>
      </c>
      <c r="N126" s="9"/>
      <c r="O126" s="22">
        <v>0.48416100000000001</v>
      </c>
      <c r="P126" s="22">
        <v>10.1915</v>
      </c>
      <c r="Q126" s="22">
        <v>-1.4035000000000001E-2</v>
      </c>
      <c r="R126" s="22">
        <v>116</v>
      </c>
      <c r="S126" s="22">
        <v>0.48345900000000003</v>
      </c>
      <c r="T126">
        <f t="shared" si="14"/>
        <v>17.327160493827162</v>
      </c>
      <c r="U126">
        <f t="shared" si="15"/>
        <v>8.3891353518518521</v>
      </c>
      <c r="X126" s="9"/>
      <c r="Y126" s="22">
        <v>1.1958299999999999</v>
      </c>
      <c r="Z126" s="22">
        <v>15.6637</v>
      </c>
      <c r="AA126" s="22">
        <v>-1.362E-2</v>
      </c>
      <c r="AB126" s="22">
        <v>116</v>
      </c>
      <c r="AC126" s="22">
        <v>1.19415</v>
      </c>
      <c r="AD126">
        <f t="shared" si="16"/>
        <v>16.814814814814813</v>
      </c>
      <c r="AE126">
        <f t="shared" si="17"/>
        <v>20.107659999999996</v>
      </c>
      <c r="AF126" s="9"/>
      <c r="AG126" s="22">
        <v>0.48416100000000001</v>
      </c>
      <c r="AH126" s="22">
        <v>19.442599999999999</v>
      </c>
      <c r="AI126" s="22">
        <v>-1.4053299999999999E-2</v>
      </c>
      <c r="AJ126" s="22">
        <v>116</v>
      </c>
      <c r="AK126" s="22">
        <v>0.48330699999999999</v>
      </c>
      <c r="AL126">
        <f t="shared" si="18"/>
        <v>17.349753086419753</v>
      </c>
      <c r="AM126">
        <f t="shared" si="19"/>
        <v>8.4000738040740739</v>
      </c>
      <c r="AP126" s="9"/>
      <c r="AQ126" s="22">
        <v>1.1958299999999999</v>
      </c>
      <c r="AR126" s="22">
        <v>24.885000000000002</v>
      </c>
      <c r="AS126" s="22">
        <v>-1.36475E-2</v>
      </c>
      <c r="AT126" s="22">
        <v>116</v>
      </c>
      <c r="AU126" s="22">
        <v>1.1944600000000001</v>
      </c>
      <c r="AV126">
        <f t="shared" si="20"/>
        <v>16.848765432098766</v>
      </c>
      <c r="AW126">
        <f t="shared" si="21"/>
        <v>20.148259166666666</v>
      </c>
      <c r="AX126" s="9"/>
      <c r="AY126" s="22">
        <v>0.48416100000000001</v>
      </c>
      <c r="AZ126" s="22">
        <v>28.663900000000002</v>
      </c>
      <c r="BA126" s="22">
        <v>-1.4019800000000001E-2</v>
      </c>
      <c r="BB126" s="22">
        <v>116</v>
      </c>
      <c r="BC126" s="22">
        <v>0.48339799999999999</v>
      </c>
      <c r="BD126">
        <f t="shared" si="22"/>
        <v>17.308395061728394</v>
      </c>
      <c r="BE126">
        <f t="shared" si="23"/>
        <v>8.3800498614814813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1.1908000000000001</v>
      </c>
      <c r="H127" s="22">
        <v>6.4226299999999998</v>
      </c>
      <c r="I127" s="22">
        <v>-1.3671900000000001E-2</v>
      </c>
      <c r="J127" s="22">
        <v>117</v>
      </c>
      <c r="K127" s="22">
        <v>1.1895800000000001</v>
      </c>
      <c r="L127">
        <f t="shared" si="12"/>
        <v>16.878888888888888</v>
      </c>
      <c r="M127">
        <f t="shared" si="13"/>
        <v>20.099380888888888</v>
      </c>
      <c r="N127" s="9"/>
      <c r="O127" s="22">
        <v>0.48919699999999999</v>
      </c>
      <c r="P127" s="22">
        <v>10.201499999999999</v>
      </c>
      <c r="Q127" s="22">
        <v>-1.4025900000000001E-2</v>
      </c>
      <c r="R127" s="22">
        <v>117</v>
      </c>
      <c r="S127" s="22">
        <v>0.48849500000000001</v>
      </c>
      <c r="T127">
        <f t="shared" si="14"/>
        <v>17.315925925925924</v>
      </c>
      <c r="U127">
        <f t="shared" si="15"/>
        <v>8.470899015185184</v>
      </c>
      <c r="X127" s="9"/>
      <c r="Y127" s="22">
        <v>1.1908000000000001</v>
      </c>
      <c r="Z127" s="22">
        <v>15.6738</v>
      </c>
      <c r="AA127" s="22">
        <v>-1.36261E-2</v>
      </c>
      <c r="AB127" s="22">
        <v>117</v>
      </c>
      <c r="AC127" s="22">
        <v>1.18927</v>
      </c>
      <c r="AD127">
        <f t="shared" si="16"/>
        <v>16.822345679012344</v>
      </c>
      <c r="AE127">
        <f t="shared" si="17"/>
        <v>20.0320492345679</v>
      </c>
      <c r="AF127" s="9"/>
      <c r="AG127" s="22">
        <v>0.48919699999999999</v>
      </c>
      <c r="AH127" s="22">
        <v>19.4527</v>
      </c>
      <c r="AI127" s="22">
        <v>-1.40503E-2</v>
      </c>
      <c r="AJ127" s="22">
        <v>117</v>
      </c>
      <c r="AK127" s="22">
        <v>0.48843399999999998</v>
      </c>
      <c r="AL127">
        <f t="shared" si="18"/>
        <v>17.34604938271605</v>
      </c>
      <c r="AM127">
        <f t="shared" si="19"/>
        <v>8.4856353198765433</v>
      </c>
      <c r="AP127" s="9"/>
      <c r="AQ127" s="22">
        <v>1.1908000000000001</v>
      </c>
      <c r="AR127" s="22">
        <v>24.895</v>
      </c>
      <c r="AS127" s="22">
        <v>-1.36536E-2</v>
      </c>
      <c r="AT127" s="22">
        <v>117</v>
      </c>
      <c r="AU127" s="22">
        <v>1.18896</v>
      </c>
      <c r="AV127">
        <f t="shared" si="20"/>
        <v>16.856296296296296</v>
      </c>
      <c r="AW127">
        <f t="shared" si="21"/>
        <v>20.072477629629631</v>
      </c>
      <c r="AX127" s="9"/>
      <c r="AY127" s="22">
        <v>0.48919699999999999</v>
      </c>
      <c r="AZ127" s="22">
        <v>28.6739</v>
      </c>
      <c r="BA127" s="22">
        <v>-1.4019800000000001E-2</v>
      </c>
      <c r="BB127" s="22">
        <v>117</v>
      </c>
      <c r="BC127" s="22">
        <v>0.48852499999999999</v>
      </c>
      <c r="BD127">
        <f t="shared" si="22"/>
        <v>17.308395061728394</v>
      </c>
      <c r="BE127">
        <f t="shared" si="23"/>
        <v>8.4672149390123455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1.1857599999999999</v>
      </c>
      <c r="H128" s="22">
        <v>6.4326999999999996</v>
      </c>
      <c r="I128" s="22">
        <v>-1.3677999999999999E-2</v>
      </c>
      <c r="J128" s="22">
        <v>118</v>
      </c>
      <c r="K128" s="22">
        <v>1.18408</v>
      </c>
      <c r="L128">
        <f t="shared" si="12"/>
        <v>16.886419753086418</v>
      </c>
      <c r="M128">
        <f t="shared" si="13"/>
        <v>20.023241086419748</v>
      </c>
      <c r="N128" s="9"/>
      <c r="O128" s="22">
        <v>0.494232</v>
      </c>
      <c r="P128" s="22">
        <v>10.211600000000001</v>
      </c>
      <c r="Q128" s="22">
        <v>-1.40228E-2</v>
      </c>
      <c r="R128" s="22">
        <v>118</v>
      </c>
      <c r="S128" s="22">
        <v>0.49353000000000002</v>
      </c>
      <c r="T128">
        <f t="shared" si="14"/>
        <v>17.312098765432097</v>
      </c>
      <c r="U128">
        <f t="shared" si="15"/>
        <v>8.556193197037036</v>
      </c>
      <c r="X128" s="9"/>
      <c r="Y128" s="22">
        <v>1.1857599999999999</v>
      </c>
      <c r="Z128" s="22">
        <v>15.6839</v>
      </c>
      <c r="AA128" s="22">
        <v>-1.36353E-2</v>
      </c>
      <c r="AB128" s="22">
        <v>118</v>
      </c>
      <c r="AC128" s="22">
        <v>1.1850000000000001</v>
      </c>
      <c r="AD128">
        <f t="shared" si="16"/>
        <v>16.833703703703701</v>
      </c>
      <c r="AE128">
        <f t="shared" si="17"/>
        <v>19.960732503703699</v>
      </c>
      <c r="AF128" s="9"/>
      <c r="AG128" s="22">
        <v>0.494232</v>
      </c>
      <c r="AH128" s="22">
        <v>19.462800000000001</v>
      </c>
      <c r="AI128" s="22">
        <v>-1.40503E-2</v>
      </c>
      <c r="AJ128" s="22">
        <v>118</v>
      </c>
      <c r="AK128" s="22">
        <v>0.49349999999999999</v>
      </c>
      <c r="AL128">
        <f t="shared" si="18"/>
        <v>17.34604938271605</v>
      </c>
      <c r="AM128">
        <f t="shared" si="19"/>
        <v>8.5729726785185196</v>
      </c>
      <c r="AP128" s="9"/>
      <c r="AQ128" s="22">
        <v>1.1857599999999999</v>
      </c>
      <c r="AR128" s="22">
        <v>24.905100000000001</v>
      </c>
      <c r="AS128" s="22">
        <v>-1.3665800000000001E-2</v>
      </c>
      <c r="AT128" s="22">
        <v>118</v>
      </c>
      <c r="AU128" s="22">
        <v>1.1850000000000001</v>
      </c>
      <c r="AV128">
        <f t="shared" si="20"/>
        <v>16.871358024691357</v>
      </c>
      <c r="AW128">
        <f t="shared" si="21"/>
        <v>20.005381491358023</v>
      </c>
      <c r="AX128" s="9"/>
      <c r="AY128" s="22">
        <v>0.494232</v>
      </c>
      <c r="AZ128" s="22">
        <v>28.684000000000001</v>
      </c>
      <c r="BA128" s="22">
        <v>-1.4025900000000001E-2</v>
      </c>
      <c r="BB128" s="22">
        <v>118</v>
      </c>
      <c r="BC128" s="22">
        <v>0.49340800000000001</v>
      </c>
      <c r="BD128">
        <f t="shared" si="22"/>
        <v>17.315925925925924</v>
      </c>
      <c r="BE128">
        <f t="shared" si="23"/>
        <v>8.5580847022222208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1.1807300000000001</v>
      </c>
      <c r="H129" s="22">
        <v>6.4427700000000003</v>
      </c>
      <c r="I129" s="22">
        <v>-1.3677999999999999E-2</v>
      </c>
      <c r="J129" s="22">
        <v>119</v>
      </c>
      <c r="K129" s="22">
        <v>1.1795</v>
      </c>
      <c r="L129">
        <f t="shared" si="12"/>
        <v>16.886419753086418</v>
      </c>
      <c r="M129">
        <f t="shared" si="13"/>
        <v>19.938302395061726</v>
      </c>
      <c r="N129" s="9"/>
      <c r="O129" s="22">
        <v>0.49926799999999999</v>
      </c>
      <c r="P129" s="22">
        <v>10.2217</v>
      </c>
      <c r="Q129" s="22">
        <v>-1.40228E-2</v>
      </c>
      <c r="R129" s="22">
        <v>119</v>
      </c>
      <c r="S129" s="22">
        <v>0.49847399999999997</v>
      </c>
      <c r="T129">
        <f t="shared" si="14"/>
        <v>17.312098765432097</v>
      </c>
      <c r="U129">
        <f t="shared" si="15"/>
        <v>8.6433769264197515</v>
      </c>
      <c r="X129" s="9"/>
      <c r="Y129" s="22">
        <v>1.1807300000000001</v>
      </c>
      <c r="Z129" s="22">
        <v>15.694000000000001</v>
      </c>
      <c r="AA129" s="22">
        <v>-1.3650499999999999E-2</v>
      </c>
      <c r="AB129" s="22">
        <v>119</v>
      </c>
      <c r="AC129" s="22">
        <v>1.1792</v>
      </c>
      <c r="AD129">
        <f t="shared" si="16"/>
        <v>16.852469135802469</v>
      </c>
      <c r="AE129">
        <f t="shared" si="17"/>
        <v>19.898215882716052</v>
      </c>
      <c r="AF129" s="9"/>
      <c r="AG129" s="22">
        <v>0.49926799999999999</v>
      </c>
      <c r="AH129" s="22">
        <v>19.472899999999999</v>
      </c>
      <c r="AI129" s="22">
        <v>-1.40442E-2</v>
      </c>
      <c r="AJ129" s="22">
        <v>119</v>
      </c>
      <c r="AK129" s="22">
        <v>0.49859599999999998</v>
      </c>
      <c r="AL129">
        <f t="shared" si="18"/>
        <v>17.338518518518516</v>
      </c>
      <c r="AM129">
        <f t="shared" si="19"/>
        <v>8.656567463703702</v>
      </c>
      <c r="AP129" s="9"/>
      <c r="AQ129" s="22">
        <v>1.1807300000000001</v>
      </c>
      <c r="AR129" s="22">
        <v>24.915199999999999</v>
      </c>
      <c r="AS129" s="22">
        <v>-1.3671900000000001E-2</v>
      </c>
      <c r="AT129" s="22">
        <v>119</v>
      </c>
      <c r="AU129" s="22">
        <v>1.1807300000000001</v>
      </c>
      <c r="AV129">
        <f t="shared" si="20"/>
        <v>16.878888888888888</v>
      </c>
      <c r="AW129">
        <f t="shared" si="21"/>
        <v>19.929410477777779</v>
      </c>
      <c r="AX129" s="9"/>
      <c r="AY129" s="22">
        <v>0.49926799999999999</v>
      </c>
      <c r="AZ129" s="22">
        <v>28.694099999999999</v>
      </c>
      <c r="BA129" s="22">
        <v>-1.40289E-2</v>
      </c>
      <c r="BB129" s="22">
        <v>119</v>
      </c>
      <c r="BC129" s="22">
        <v>0.49856600000000001</v>
      </c>
      <c r="BD129">
        <f t="shared" si="22"/>
        <v>17.319629629629631</v>
      </c>
      <c r="BE129">
        <f t="shared" si="23"/>
        <v>8.6471368459259264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1.1756899999999999</v>
      </c>
      <c r="H130" s="22">
        <v>6.4528400000000001</v>
      </c>
      <c r="I130" s="22">
        <v>-1.36749E-2</v>
      </c>
      <c r="J130" s="22">
        <v>120</v>
      </c>
      <c r="K130" s="22">
        <v>1.17432</v>
      </c>
      <c r="L130">
        <f t="shared" si="12"/>
        <v>16.882592592592591</v>
      </c>
      <c r="M130">
        <f t="shared" si="13"/>
        <v>19.84869528518518</v>
      </c>
      <c r="N130" s="9"/>
      <c r="O130" s="22">
        <v>0.50430299999999995</v>
      </c>
      <c r="P130" s="22">
        <v>10.2317</v>
      </c>
      <c r="Q130" s="22">
        <v>-1.40137E-2</v>
      </c>
      <c r="R130" s="22">
        <v>120</v>
      </c>
      <c r="S130" s="22">
        <v>0.50353999999999999</v>
      </c>
      <c r="T130">
        <f t="shared" si="14"/>
        <v>17.300864197530863</v>
      </c>
      <c r="U130">
        <f t="shared" si="15"/>
        <v>8.7248777174074057</v>
      </c>
      <c r="X130" s="9"/>
      <c r="Y130" s="22">
        <v>1.1756899999999999</v>
      </c>
      <c r="Z130" s="22">
        <v>15.704000000000001</v>
      </c>
      <c r="AA130" s="22">
        <v>-1.3665800000000001E-2</v>
      </c>
      <c r="AB130" s="22">
        <v>120</v>
      </c>
      <c r="AC130" s="22">
        <v>1.17432</v>
      </c>
      <c r="AD130">
        <f t="shared" si="16"/>
        <v>16.871358024691357</v>
      </c>
      <c r="AE130">
        <f t="shared" si="17"/>
        <v>19.83548691604938</v>
      </c>
      <c r="AF130" s="9"/>
      <c r="AG130" s="22">
        <v>0.50430299999999995</v>
      </c>
      <c r="AH130" s="22">
        <v>19.482900000000001</v>
      </c>
      <c r="AI130" s="22">
        <v>-1.40381E-2</v>
      </c>
      <c r="AJ130" s="22">
        <v>120</v>
      </c>
      <c r="AK130" s="22">
        <v>0.50351000000000001</v>
      </c>
      <c r="AL130">
        <f t="shared" si="18"/>
        <v>17.330987654320985</v>
      </c>
      <c r="AM130">
        <f t="shared" si="19"/>
        <v>8.7400690670370356</v>
      </c>
      <c r="AP130" s="9"/>
      <c r="AQ130" s="22">
        <v>1.1756899999999999</v>
      </c>
      <c r="AR130" s="22">
        <v>24.9253</v>
      </c>
      <c r="AS130" s="22">
        <v>-1.3687100000000001E-2</v>
      </c>
      <c r="AT130" s="22">
        <v>120</v>
      </c>
      <c r="AU130" s="22">
        <v>1.17462</v>
      </c>
      <c r="AV130">
        <f t="shared" si="20"/>
        <v>16.897654320987655</v>
      </c>
      <c r="AW130">
        <f t="shared" si="21"/>
        <v>19.866403208641973</v>
      </c>
      <c r="AX130" s="9"/>
      <c r="AY130" s="22">
        <v>0.50430299999999995</v>
      </c>
      <c r="AZ130" s="22">
        <v>28.7042</v>
      </c>
      <c r="BA130" s="22">
        <v>-1.40228E-2</v>
      </c>
      <c r="BB130" s="22">
        <v>120</v>
      </c>
      <c r="BC130" s="22">
        <v>0.50357099999999999</v>
      </c>
      <c r="BD130">
        <f t="shared" si="22"/>
        <v>17.312098765432097</v>
      </c>
      <c r="BE130">
        <f t="shared" si="23"/>
        <v>8.7305433437037028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1.17065</v>
      </c>
      <c r="H131" s="22">
        <v>6.4629200000000004</v>
      </c>
      <c r="I131" s="22">
        <v>-1.36902E-2</v>
      </c>
      <c r="J131" s="22">
        <v>121</v>
      </c>
      <c r="K131" s="22">
        <v>1.16943</v>
      </c>
      <c r="L131">
        <f t="shared" si="12"/>
        <v>16.901481481481479</v>
      </c>
      <c r="M131">
        <f t="shared" si="13"/>
        <v>19.785719296296293</v>
      </c>
      <c r="N131" s="9"/>
      <c r="O131" s="22">
        <v>0.50933799999999996</v>
      </c>
      <c r="P131" s="22">
        <v>10.2418</v>
      </c>
      <c r="Q131" s="22">
        <v>-1.40045E-2</v>
      </c>
      <c r="R131" s="22">
        <v>121</v>
      </c>
      <c r="S131" s="22">
        <v>0.50851400000000002</v>
      </c>
      <c r="T131">
        <f t="shared" si="14"/>
        <v>17.289506172839506</v>
      </c>
      <c r="U131">
        <f t="shared" si="15"/>
        <v>8.8062024950617275</v>
      </c>
      <c r="X131" s="9"/>
      <c r="Y131" s="22">
        <v>1.17065</v>
      </c>
      <c r="Z131" s="22">
        <v>15.7141</v>
      </c>
      <c r="AA131" s="22">
        <v>-1.3665800000000001E-2</v>
      </c>
      <c r="AB131" s="22">
        <v>121</v>
      </c>
      <c r="AC131" s="22">
        <v>1.17004</v>
      </c>
      <c r="AD131">
        <f t="shared" si="16"/>
        <v>16.871358024691357</v>
      </c>
      <c r="AE131">
        <f t="shared" si="17"/>
        <v>19.750455271604938</v>
      </c>
      <c r="AF131" s="9"/>
      <c r="AG131" s="22">
        <v>0.50933799999999996</v>
      </c>
      <c r="AH131" s="22">
        <v>19.492999999999999</v>
      </c>
      <c r="AI131" s="22">
        <v>-1.4035000000000001E-2</v>
      </c>
      <c r="AJ131" s="22">
        <v>121</v>
      </c>
      <c r="AK131" s="22">
        <v>0.50854500000000002</v>
      </c>
      <c r="AL131">
        <f t="shared" si="18"/>
        <v>17.327160493827162</v>
      </c>
      <c r="AM131">
        <f t="shared" si="19"/>
        <v>8.8253812716049378</v>
      </c>
      <c r="AP131" s="9"/>
      <c r="AQ131" s="22">
        <v>1.17065</v>
      </c>
      <c r="AR131" s="22">
        <v>24.935300000000002</v>
      </c>
      <c r="AS131" s="22">
        <v>-1.36963E-2</v>
      </c>
      <c r="AT131" s="22">
        <v>121</v>
      </c>
      <c r="AU131" s="22">
        <v>1.16943</v>
      </c>
      <c r="AV131">
        <f t="shared" si="20"/>
        <v>16.90901234567901</v>
      </c>
      <c r="AW131">
        <f t="shared" si="21"/>
        <v>19.794535302469132</v>
      </c>
      <c r="AX131" s="9"/>
      <c r="AY131" s="22">
        <v>0.50933799999999996</v>
      </c>
      <c r="AZ131" s="22">
        <v>28.714200000000002</v>
      </c>
      <c r="BA131" s="22">
        <v>-1.40228E-2</v>
      </c>
      <c r="BB131" s="22">
        <v>121</v>
      </c>
      <c r="BC131" s="22">
        <v>0.508606</v>
      </c>
      <c r="BD131">
        <f t="shared" si="22"/>
        <v>17.312098765432097</v>
      </c>
      <c r="BE131">
        <f t="shared" si="23"/>
        <v>8.8177097609876522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1.1656200000000001</v>
      </c>
      <c r="H132" s="22">
        <v>6.4729900000000002</v>
      </c>
      <c r="I132" s="22">
        <v>-1.3699299999999999E-2</v>
      </c>
      <c r="J132" s="22">
        <v>122</v>
      </c>
      <c r="K132" s="22">
        <v>1.16455</v>
      </c>
      <c r="L132">
        <f t="shared" si="12"/>
        <v>16.912716049382716</v>
      </c>
      <c r="M132">
        <f t="shared" si="13"/>
        <v>19.713800081481484</v>
      </c>
      <c r="N132" s="9"/>
      <c r="O132" s="22">
        <v>0.514374</v>
      </c>
      <c r="P132" s="22">
        <v>10.251899999999999</v>
      </c>
      <c r="Q132" s="22">
        <v>-1.39954E-2</v>
      </c>
      <c r="R132" s="22">
        <v>122</v>
      </c>
      <c r="S132" s="22">
        <v>0.51361100000000004</v>
      </c>
      <c r="T132">
        <f t="shared" si="14"/>
        <v>17.278271604938272</v>
      </c>
      <c r="U132">
        <f t="shared" si="15"/>
        <v>8.8874936785185188</v>
      </c>
      <c r="X132" s="9"/>
      <c r="Y132" s="22">
        <v>1.1656200000000001</v>
      </c>
      <c r="Z132" s="22">
        <v>15.7242</v>
      </c>
      <c r="AA132" s="22">
        <v>-1.36749E-2</v>
      </c>
      <c r="AB132" s="22">
        <v>122</v>
      </c>
      <c r="AC132" s="22">
        <v>1.16547</v>
      </c>
      <c r="AD132">
        <f t="shared" si="16"/>
        <v>16.882592592592591</v>
      </c>
      <c r="AE132">
        <f t="shared" si="17"/>
        <v>19.678687577777776</v>
      </c>
      <c r="AF132" s="9"/>
      <c r="AG132" s="22">
        <v>0.514374</v>
      </c>
      <c r="AH132" s="22">
        <v>19.5031</v>
      </c>
      <c r="AI132" s="22">
        <v>-1.4025900000000001E-2</v>
      </c>
      <c r="AJ132" s="22">
        <v>122</v>
      </c>
      <c r="AK132" s="22">
        <v>0.51354999999999995</v>
      </c>
      <c r="AL132">
        <f t="shared" si="18"/>
        <v>17.315925925925924</v>
      </c>
      <c r="AM132">
        <f t="shared" si="19"/>
        <v>8.9068620822222222</v>
      </c>
      <c r="AP132" s="9"/>
      <c r="AQ132" s="22">
        <v>1.1656200000000001</v>
      </c>
      <c r="AR132" s="22">
        <v>24.945399999999999</v>
      </c>
      <c r="AS132" s="22">
        <v>-1.37115E-2</v>
      </c>
      <c r="AT132" s="22">
        <v>122</v>
      </c>
      <c r="AU132" s="22">
        <v>1.16455</v>
      </c>
      <c r="AV132">
        <f t="shared" si="20"/>
        <v>16.927777777777777</v>
      </c>
      <c r="AW132">
        <f t="shared" si="21"/>
        <v>19.731356333333334</v>
      </c>
      <c r="AX132" s="9"/>
      <c r="AY132" s="22">
        <v>0.514374</v>
      </c>
      <c r="AZ132" s="22">
        <v>28.724299999999999</v>
      </c>
      <c r="BA132" s="22">
        <v>-1.4025900000000001E-2</v>
      </c>
      <c r="BB132" s="22">
        <v>122</v>
      </c>
      <c r="BC132" s="22">
        <v>0.51348899999999997</v>
      </c>
      <c r="BD132">
        <f t="shared" si="22"/>
        <v>17.315925925925924</v>
      </c>
      <c r="BE132">
        <f t="shared" si="23"/>
        <v>8.9068620822222222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1.1605799999999999</v>
      </c>
      <c r="H133" s="22">
        <v>6.48306</v>
      </c>
      <c r="I133" s="22">
        <v>-1.37085E-2</v>
      </c>
      <c r="J133" s="22">
        <v>123</v>
      </c>
      <c r="K133" s="22">
        <v>1.15967</v>
      </c>
      <c r="L133">
        <f t="shared" si="12"/>
        <v>16.924074074074074</v>
      </c>
      <c r="M133">
        <f t="shared" si="13"/>
        <v>19.641741888888888</v>
      </c>
      <c r="N133" s="9"/>
      <c r="O133" s="22">
        <v>0.51940900000000001</v>
      </c>
      <c r="P133" s="22">
        <v>10.262</v>
      </c>
      <c r="Q133" s="22">
        <v>-1.39954E-2</v>
      </c>
      <c r="R133" s="22">
        <v>123</v>
      </c>
      <c r="S133" s="22">
        <v>0.51852399999999998</v>
      </c>
      <c r="T133">
        <f t="shared" si="14"/>
        <v>17.278271604938272</v>
      </c>
      <c r="U133">
        <f t="shared" si="15"/>
        <v>8.9744897760493831</v>
      </c>
      <c r="X133" s="9"/>
      <c r="Y133" s="22">
        <v>1.1605799999999999</v>
      </c>
      <c r="Z133" s="22">
        <v>15.7342</v>
      </c>
      <c r="AA133" s="22">
        <v>-1.3677999999999999E-2</v>
      </c>
      <c r="AB133" s="22">
        <v>123</v>
      </c>
      <c r="AC133" s="22">
        <v>1.15906</v>
      </c>
      <c r="AD133">
        <f t="shared" si="16"/>
        <v>16.886419753086418</v>
      </c>
      <c r="AE133">
        <f t="shared" si="17"/>
        <v>19.598041037037035</v>
      </c>
      <c r="AF133" s="9"/>
      <c r="AG133" s="22">
        <v>0.51940900000000001</v>
      </c>
      <c r="AH133" s="22">
        <v>19.513100000000001</v>
      </c>
      <c r="AI133" s="22">
        <v>-1.40228E-2</v>
      </c>
      <c r="AJ133" s="22">
        <v>123</v>
      </c>
      <c r="AK133" s="22">
        <v>0.51864600000000005</v>
      </c>
      <c r="AL133">
        <f t="shared" si="18"/>
        <v>17.312098765432097</v>
      </c>
      <c r="AM133">
        <f t="shared" si="19"/>
        <v>8.9920599076543208</v>
      </c>
      <c r="AP133" s="9"/>
      <c r="AQ133" s="22">
        <v>1.1605799999999999</v>
      </c>
      <c r="AR133" s="22">
        <v>24.955500000000001</v>
      </c>
      <c r="AS133" s="22">
        <v>-1.37146E-2</v>
      </c>
      <c r="AT133" s="22">
        <v>123</v>
      </c>
      <c r="AU133" s="22">
        <v>1.1593599999999999</v>
      </c>
      <c r="AV133">
        <f t="shared" si="20"/>
        <v>16.931604938271605</v>
      </c>
      <c r="AW133">
        <f t="shared" si="21"/>
        <v>19.650482059259257</v>
      </c>
      <c r="AX133" s="9"/>
      <c r="AY133" s="22">
        <v>0.51940900000000001</v>
      </c>
      <c r="AZ133" s="22">
        <v>28.734400000000001</v>
      </c>
      <c r="BA133" s="22">
        <v>-1.4025900000000001E-2</v>
      </c>
      <c r="BB133" s="22">
        <v>123</v>
      </c>
      <c r="BC133" s="22">
        <v>0.51861599999999997</v>
      </c>
      <c r="BD133">
        <f t="shared" si="22"/>
        <v>17.315925925925924</v>
      </c>
      <c r="BE133">
        <f t="shared" si="23"/>
        <v>8.9940477692592591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1.1555500000000001</v>
      </c>
      <c r="H134" s="22">
        <v>6.4931299999999998</v>
      </c>
      <c r="I134" s="22">
        <v>-1.3720700000000001E-2</v>
      </c>
      <c r="J134" s="22">
        <v>124</v>
      </c>
      <c r="K134" s="22">
        <v>1.15448</v>
      </c>
      <c r="L134">
        <f t="shared" si="12"/>
        <v>16.939135802469135</v>
      </c>
      <c r="M134">
        <f t="shared" si="13"/>
        <v>19.574018376543211</v>
      </c>
      <c r="N134" s="9"/>
      <c r="O134" s="22">
        <v>0.52444500000000005</v>
      </c>
      <c r="P134" s="22">
        <v>10.272</v>
      </c>
      <c r="Q134" s="22">
        <v>-1.40045E-2</v>
      </c>
      <c r="R134" s="22">
        <v>124</v>
      </c>
      <c r="S134" s="22">
        <v>0.523621</v>
      </c>
      <c r="T134">
        <f t="shared" si="14"/>
        <v>17.289506172839506</v>
      </c>
      <c r="U134">
        <f t="shared" si="15"/>
        <v>9.0673950648148161</v>
      </c>
      <c r="X134" s="9"/>
      <c r="Y134" s="22">
        <v>1.1555500000000001</v>
      </c>
      <c r="Z134" s="22">
        <v>15.744300000000001</v>
      </c>
      <c r="AA134" s="22">
        <v>-1.3681E-2</v>
      </c>
      <c r="AB134" s="22">
        <v>124</v>
      </c>
      <c r="AC134" s="22">
        <v>1.15479</v>
      </c>
      <c r="AD134">
        <f t="shared" si="16"/>
        <v>16.890123456790121</v>
      </c>
      <c r="AE134">
        <f t="shared" si="17"/>
        <v>19.517382160493828</v>
      </c>
      <c r="AF134" s="9"/>
      <c r="AG134" s="22">
        <v>0.52444500000000005</v>
      </c>
      <c r="AH134" s="22">
        <v>19.523199999999999</v>
      </c>
      <c r="AI134" s="22">
        <v>-1.40137E-2</v>
      </c>
      <c r="AJ134" s="22">
        <v>124</v>
      </c>
      <c r="AK134" s="22">
        <v>0.52365099999999998</v>
      </c>
      <c r="AL134">
        <f t="shared" si="18"/>
        <v>17.300864197530863</v>
      </c>
      <c r="AM134">
        <f t="shared" si="19"/>
        <v>9.0733517240740742</v>
      </c>
      <c r="AP134" s="9"/>
      <c r="AQ134" s="22">
        <v>1.1555500000000001</v>
      </c>
      <c r="AR134" s="22">
        <v>24.965499999999999</v>
      </c>
      <c r="AS134" s="22">
        <v>-1.3726800000000001E-2</v>
      </c>
      <c r="AT134" s="22">
        <v>124</v>
      </c>
      <c r="AU134" s="22">
        <v>1.15448</v>
      </c>
      <c r="AV134">
        <f t="shared" si="20"/>
        <v>16.946666666666665</v>
      </c>
      <c r="AW134">
        <f t="shared" si="21"/>
        <v>19.582720666666667</v>
      </c>
      <c r="AX134" s="9"/>
      <c r="AY134" s="22">
        <v>0.52444500000000005</v>
      </c>
      <c r="AZ134" s="22">
        <v>28.744399999999999</v>
      </c>
      <c r="BA134" s="22">
        <v>-1.40137E-2</v>
      </c>
      <c r="BB134" s="22">
        <v>124</v>
      </c>
      <c r="BC134" s="22">
        <v>0.52359</v>
      </c>
      <c r="BD134">
        <f t="shared" si="22"/>
        <v>17.300864197530863</v>
      </c>
      <c r="BE134">
        <f t="shared" si="23"/>
        <v>9.0733517240740742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1.1505099999999999</v>
      </c>
      <c r="H135" s="22">
        <v>6.5031999999999996</v>
      </c>
      <c r="I135" s="22">
        <v>-1.37299E-2</v>
      </c>
      <c r="J135" s="22">
        <v>125</v>
      </c>
      <c r="K135" s="22">
        <v>1.1492899999999999</v>
      </c>
      <c r="L135">
        <f t="shared" si="12"/>
        <v>16.950493827160493</v>
      </c>
      <c r="M135">
        <f t="shared" si="13"/>
        <v>19.501712653086418</v>
      </c>
      <c r="N135" s="9"/>
      <c r="O135" s="22">
        <v>0.52947999999999995</v>
      </c>
      <c r="P135" s="22">
        <v>10.2821</v>
      </c>
      <c r="Q135" s="22">
        <v>-1.40167E-2</v>
      </c>
      <c r="R135" s="22">
        <v>125</v>
      </c>
      <c r="S135" s="22">
        <v>0.52868700000000002</v>
      </c>
      <c r="T135">
        <f t="shared" si="14"/>
        <v>17.304567901234567</v>
      </c>
      <c r="U135">
        <f t="shared" si="15"/>
        <v>9.1624226123456776</v>
      </c>
      <c r="X135" s="9"/>
      <c r="Y135" s="22">
        <v>1.1505099999999999</v>
      </c>
      <c r="Z135" s="22">
        <v>15.7544</v>
      </c>
      <c r="AA135" s="22">
        <v>-1.36902E-2</v>
      </c>
      <c r="AB135" s="22">
        <v>125</v>
      </c>
      <c r="AC135" s="22">
        <v>1.1492899999999999</v>
      </c>
      <c r="AD135">
        <f t="shared" si="16"/>
        <v>16.901481481481479</v>
      </c>
      <c r="AE135">
        <f t="shared" si="17"/>
        <v>19.445323459259257</v>
      </c>
      <c r="AF135" s="9"/>
      <c r="AG135" s="22">
        <v>0.52947999999999995</v>
      </c>
      <c r="AH135" s="22">
        <v>19.533300000000001</v>
      </c>
      <c r="AI135" s="22">
        <v>-1.40015E-2</v>
      </c>
      <c r="AJ135" s="22">
        <v>125</v>
      </c>
      <c r="AK135" s="22">
        <v>0.52877799999999997</v>
      </c>
      <c r="AL135">
        <f t="shared" si="18"/>
        <v>17.285802469135803</v>
      </c>
      <c r="AM135">
        <f t="shared" si="19"/>
        <v>9.1524866913580247</v>
      </c>
      <c r="AP135" s="9"/>
      <c r="AQ135" s="22">
        <v>1.1505099999999999</v>
      </c>
      <c r="AR135" s="22">
        <v>24.9756</v>
      </c>
      <c r="AS135" s="22">
        <v>-1.3738999999999999E-2</v>
      </c>
      <c r="AT135" s="22">
        <v>125</v>
      </c>
      <c r="AU135" s="22">
        <v>1.1492899999999999</v>
      </c>
      <c r="AV135">
        <f t="shared" si="20"/>
        <v>16.961728395061726</v>
      </c>
      <c r="AW135">
        <f t="shared" si="21"/>
        <v>19.514638135802464</v>
      </c>
      <c r="AX135" s="9"/>
      <c r="AY135" s="22">
        <v>0.52947999999999995</v>
      </c>
      <c r="AZ135" s="22">
        <v>28.7545</v>
      </c>
      <c r="BA135" s="22">
        <v>-1.40015E-2</v>
      </c>
      <c r="BB135" s="22">
        <v>125</v>
      </c>
      <c r="BC135" s="22">
        <v>0.52868700000000002</v>
      </c>
      <c r="BD135">
        <f t="shared" si="22"/>
        <v>17.285802469135803</v>
      </c>
      <c r="BE135">
        <f t="shared" si="23"/>
        <v>9.1524866913580247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1.1454800000000001</v>
      </c>
      <c r="H136" s="22">
        <v>6.5132700000000003</v>
      </c>
      <c r="I136" s="22">
        <v>-1.3732899999999999E-2</v>
      </c>
      <c r="J136" s="22">
        <v>126</v>
      </c>
      <c r="K136" s="22">
        <v>1.1447099999999999</v>
      </c>
      <c r="L136">
        <f t="shared" si="12"/>
        <v>16.954197530864196</v>
      </c>
      <c r="M136">
        <f t="shared" si="13"/>
        <v>19.42069418765432</v>
      </c>
      <c r="N136" s="9"/>
      <c r="O136" s="22">
        <v>0.53451499999999996</v>
      </c>
      <c r="P136" s="22">
        <v>10.292199999999999</v>
      </c>
      <c r="Q136" s="22">
        <v>-1.40106E-2</v>
      </c>
      <c r="R136" s="22">
        <v>126</v>
      </c>
      <c r="S136" s="22">
        <v>0.53369100000000003</v>
      </c>
      <c r="T136">
        <f t="shared" si="14"/>
        <v>17.297037037037036</v>
      </c>
      <c r="U136">
        <f t="shared" si="15"/>
        <v>9.2455257518518508</v>
      </c>
      <c r="X136" s="9"/>
      <c r="Y136" s="22">
        <v>1.1454800000000001</v>
      </c>
      <c r="Z136" s="22">
        <v>15.7645</v>
      </c>
      <c r="AA136" s="22">
        <v>-1.36902E-2</v>
      </c>
      <c r="AB136" s="22">
        <v>126</v>
      </c>
      <c r="AC136" s="22">
        <v>1.1444099999999999</v>
      </c>
      <c r="AD136">
        <f t="shared" si="16"/>
        <v>16.901481481481479</v>
      </c>
      <c r="AE136">
        <f t="shared" si="17"/>
        <v>19.360309007407405</v>
      </c>
      <c r="AF136" s="9"/>
      <c r="AG136" s="22">
        <v>0.53451499999999996</v>
      </c>
      <c r="AH136" s="22">
        <v>19.543399999999998</v>
      </c>
      <c r="AI136" s="22">
        <v>-1.3992299999999999E-2</v>
      </c>
      <c r="AJ136" s="22">
        <v>126</v>
      </c>
      <c r="AK136" s="22">
        <v>0.53369100000000003</v>
      </c>
      <c r="AL136">
        <f t="shared" si="18"/>
        <v>17.274444444444445</v>
      </c>
      <c r="AM136">
        <f t="shared" si="19"/>
        <v>9.2334496722222212</v>
      </c>
      <c r="AP136" s="9"/>
      <c r="AQ136" s="22">
        <v>1.1454800000000001</v>
      </c>
      <c r="AR136" s="22">
        <v>24.985700000000001</v>
      </c>
      <c r="AS136" s="22">
        <v>-1.37482E-2</v>
      </c>
      <c r="AT136" s="22">
        <v>126</v>
      </c>
      <c r="AU136" s="22">
        <v>1.1447099999999999</v>
      </c>
      <c r="AV136">
        <f t="shared" si="20"/>
        <v>16.973086419753084</v>
      </c>
      <c r="AW136">
        <f t="shared" si="21"/>
        <v>19.442331032098764</v>
      </c>
      <c r="AX136" s="9"/>
      <c r="AY136" s="22">
        <v>0.53451499999999996</v>
      </c>
      <c r="AZ136" s="22">
        <v>28.764600000000002</v>
      </c>
      <c r="BA136" s="22">
        <v>-1.39954E-2</v>
      </c>
      <c r="BB136" s="22">
        <v>126</v>
      </c>
      <c r="BC136" s="22">
        <v>0.533752</v>
      </c>
      <c r="BD136">
        <f t="shared" si="22"/>
        <v>17.278271604938272</v>
      </c>
      <c r="BE136">
        <f t="shared" si="23"/>
        <v>9.235495346913579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1.1404399999999999</v>
      </c>
      <c r="H137" s="22">
        <v>6.5233400000000001</v>
      </c>
      <c r="I137" s="22">
        <v>-1.3720700000000001E-2</v>
      </c>
      <c r="J137" s="22">
        <v>127</v>
      </c>
      <c r="K137" s="22">
        <v>1.1392199999999999</v>
      </c>
      <c r="L137">
        <f t="shared" si="12"/>
        <v>16.939135802469135</v>
      </c>
      <c r="M137">
        <f t="shared" si="13"/>
        <v>19.318068034567897</v>
      </c>
      <c r="N137" s="9"/>
      <c r="O137" s="22">
        <v>0.539551</v>
      </c>
      <c r="P137" s="22">
        <v>10.302199999999999</v>
      </c>
      <c r="Q137" s="22">
        <v>-1.40015E-2</v>
      </c>
      <c r="R137" s="22">
        <v>127</v>
      </c>
      <c r="S137" s="22">
        <v>0.53875700000000004</v>
      </c>
      <c r="T137">
        <f t="shared" si="14"/>
        <v>17.285802469135803</v>
      </c>
      <c r="U137">
        <f t="shared" si="15"/>
        <v>9.3265720080246908</v>
      </c>
      <c r="X137" s="9"/>
      <c r="Y137" s="22">
        <v>1.1404399999999999</v>
      </c>
      <c r="Z137" s="22">
        <v>15.7745</v>
      </c>
      <c r="AA137" s="22">
        <v>-1.36963E-2</v>
      </c>
      <c r="AB137" s="22">
        <v>127</v>
      </c>
      <c r="AC137" s="22">
        <v>1.1398299999999999</v>
      </c>
      <c r="AD137">
        <f t="shared" si="16"/>
        <v>16.90901234567901</v>
      </c>
      <c r="AE137">
        <f t="shared" si="17"/>
        <v>19.283714039506169</v>
      </c>
      <c r="AF137" s="9"/>
      <c r="AG137" s="22">
        <v>0.539551</v>
      </c>
      <c r="AH137" s="22">
        <v>19.5534</v>
      </c>
      <c r="AI137" s="22">
        <v>-1.3980100000000001E-2</v>
      </c>
      <c r="AJ137" s="22">
        <v>127</v>
      </c>
      <c r="AK137" s="22">
        <v>0.53878800000000004</v>
      </c>
      <c r="AL137">
        <f t="shared" si="18"/>
        <v>17.259382716049384</v>
      </c>
      <c r="AM137">
        <f t="shared" si="19"/>
        <v>9.3123172038271615</v>
      </c>
      <c r="AP137" s="9"/>
      <c r="AQ137" s="22">
        <v>1.1404399999999999</v>
      </c>
      <c r="AR137" s="22">
        <v>24.995799999999999</v>
      </c>
      <c r="AS137" s="22">
        <v>-1.37634E-2</v>
      </c>
      <c r="AT137" s="22">
        <v>127</v>
      </c>
      <c r="AU137" s="22">
        <v>1.1392199999999999</v>
      </c>
      <c r="AV137">
        <f t="shared" si="20"/>
        <v>16.991851851851852</v>
      </c>
      <c r="AW137">
        <f t="shared" si="21"/>
        <v>19.378187525925924</v>
      </c>
      <c r="AX137" s="9"/>
      <c r="AY137" s="22">
        <v>0.539551</v>
      </c>
      <c r="AZ137" s="22">
        <v>28.774699999999999</v>
      </c>
      <c r="BA137" s="22">
        <v>-1.3980100000000001E-2</v>
      </c>
      <c r="BB137" s="22">
        <v>127</v>
      </c>
      <c r="BC137" s="22">
        <v>0.53872699999999996</v>
      </c>
      <c r="BD137">
        <f t="shared" si="22"/>
        <v>17.259382716049384</v>
      </c>
      <c r="BE137">
        <f t="shared" si="23"/>
        <v>9.3123172038271615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1.13541</v>
      </c>
      <c r="H138" s="22">
        <v>6.5334099999999999</v>
      </c>
      <c r="I138" s="22">
        <v>-1.3720700000000001E-2</v>
      </c>
      <c r="J138" s="22">
        <v>128</v>
      </c>
      <c r="K138" s="22">
        <v>1.1346400000000001</v>
      </c>
      <c r="L138">
        <f t="shared" si="12"/>
        <v>16.939135802469135</v>
      </c>
      <c r="M138">
        <f t="shared" si="13"/>
        <v>19.232864181481482</v>
      </c>
      <c r="N138" s="9"/>
      <c r="O138" s="22">
        <v>0.54458600000000001</v>
      </c>
      <c r="P138" s="22">
        <v>10.3123</v>
      </c>
      <c r="Q138" s="22">
        <v>-1.3992299999999999E-2</v>
      </c>
      <c r="R138" s="22">
        <v>128</v>
      </c>
      <c r="S138" s="22">
        <v>0.54370099999999999</v>
      </c>
      <c r="T138">
        <f t="shared" si="14"/>
        <v>17.274444444444445</v>
      </c>
      <c r="U138">
        <f t="shared" si="15"/>
        <v>9.4074206022222224</v>
      </c>
      <c r="X138" s="9"/>
      <c r="Y138" s="22">
        <v>1.13541</v>
      </c>
      <c r="Z138" s="22">
        <v>15.784599999999999</v>
      </c>
      <c r="AA138" s="22">
        <v>-1.37115E-2</v>
      </c>
      <c r="AB138" s="22">
        <v>128</v>
      </c>
      <c r="AC138" s="22">
        <v>1.1340300000000001</v>
      </c>
      <c r="AD138">
        <f t="shared" si="16"/>
        <v>16.927777777777777</v>
      </c>
      <c r="AE138">
        <f t="shared" si="17"/>
        <v>19.219968166666668</v>
      </c>
      <c r="AF138" s="9"/>
      <c r="AG138" s="22">
        <v>0.54458600000000001</v>
      </c>
      <c r="AH138" s="22">
        <v>19.563500000000001</v>
      </c>
      <c r="AI138" s="22">
        <v>-1.3977099999999999E-2</v>
      </c>
      <c r="AJ138" s="22">
        <v>128</v>
      </c>
      <c r="AK138" s="22">
        <v>0.54373199999999999</v>
      </c>
      <c r="AL138">
        <f t="shared" si="18"/>
        <v>17.255679012345677</v>
      </c>
      <c r="AM138">
        <f t="shared" si="19"/>
        <v>9.3972012106172826</v>
      </c>
      <c r="AP138" s="9"/>
      <c r="AQ138" s="22">
        <v>1.13541</v>
      </c>
      <c r="AR138" s="22">
        <v>25.005800000000001</v>
      </c>
      <c r="AS138" s="22">
        <v>-1.37695E-2</v>
      </c>
      <c r="AT138" s="22">
        <v>128</v>
      </c>
      <c r="AU138" s="22">
        <v>1.1349499999999999</v>
      </c>
      <c r="AV138">
        <f t="shared" si="20"/>
        <v>16.999382716049382</v>
      </c>
      <c r="AW138">
        <f t="shared" si="21"/>
        <v>19.301269129629631</v>
      </c>
      <c r="AX138" s="9"/>
      <c r="AY138" s="22">
        <v>0.54458600000000001</v>
      </c>
      <c r="AZ138" s="22">
        <v>28.784700000000001</v>
      </c>
      <c r="BA138" s="22">
        <v>-1.3983199999999999E-2</v>
      </c>
      <c r="BB138" s="22">
        <v>128</v>
      </c>
      <c r="BC138" s="22">
        <v>0.54379299999999997</v>
      </c>
      <c r="BD138">
        <f t="shared" si="22"/>
        <v>17.263209876543208</v>
      </c>
      <c r="BE138">
        <f t="shared" si="23"/>
        <v>9.4013024138271604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1.1303700000000001</v>
      </c>
      <c r="H139" s="22">
        <v>6.5434799999999997</v>
      </c>
      <c r="I139" s="22">
        <v>-1.37238E-2</v>
      </c>
      <c r="J139" s="22">
        <v>129</v>
      </c>
      <c r="K139" s="22">
        <v>1.1294599999999999</v>
      </c>
      <c r="L139">
        <f t="shared" si="12"/>
        <v>16.942962962962962</v>
      </c>
      <c r="M139">
        <f t="shared" si="13"/>
        <v>19.151817044444446</v>
      </c>
      <c r="N139" s="9"/>
      <c r="O139" s="22">
        <v>0.54962200000000005</v>
      </c>
      <c r="P139" s="22">
        <v>10.3224</v>
      </c>
      <c r="Q139" s="22">
        <v>-1.3992299999999999E-2</v>
      </c>
      <c r="R139" s="22">
        <v>129</v>
      </c>
      <c r="S139" s="22">
        <v>0.54888899999999996</v>
      </c>
      <c r="T139">
        <f t="shared" si="14"/>
        <v>17.274444444444445</v>
      </c>
      <c r="U139">
        <f t="shared" si="15"/>
        <v>9.4944147044444449</v>
      </c>
      <c r="X139" s="9"/>
      <c r="Y139" s="22">
        <v>1.1303700000000001</v>
      </c>
      <c r="Z139" s="22">
        <v>15.794700000000001</v>
      </c>
      <c r="AA139" s="22">
        <v>-1.3717699999999999E-2</v>
      </c>
      <c r="AB139" s="22">
        <v>129</v>
      </c>
      <c r="AC139" s="22">
        <v>1.1291500000000001</v>
      </c>
      <c r="AD139">
        <f t="shared" si="16"/>
        <v>16.935432098765432</v>
      </c>
      <c r="AE139">
        <f t="shared" si="17"/>
        <v>19.143304381481482</v>
      </c>
      <c r="AF139" s="9"/>
      <c r="AG139" s="22">
        <v>0.54962200000000005</v>
      </c>
      <c r="AH139" s="22">
        <v>19.573599999999999</v>
      </c>
      <c r="AI139" s="22">
        <v>-1.39709E-2</v>
      </c>
      <c r="AJ139" s="22">
        <v>129</v>
      </c>
      <c r="AK139" s="22">
        <v>0.54879800000000001</v>
      </c>
      <c r="AL139">
        <f t="shared" si="18"/>
        <v>17.248024691358022</v>
      </c>
      <c r="AM139">
        <f t="shared" si="19"/>
        <v>9.47989382691358</v>
      </c>
      <c r="AP139" s="9"/>
      <c r="AQ139" s="22">
        <v>1.1303700000000001</v>
      </c>
      <c r="AR139" s="22">
        <v>25.015899999999998</v>
      </c>
      <c r="AS139" s="22">
        <v>-1.37695E-2</v>
      </c>
      <c r="AT139" s="22">
        <v>129</v>
      </c>
      <c r="AU139" s="22">
        <v>1.1288499999999999</v>
      </c>
      <c r="AV139">
        <f t="shared" si="20"/>
        <v>16.999382716049382</v>
      </c>
      <c r="AW139">
        <f t="shared" si="21"/>
        <v>19.21559224074074</v>
      </c>
      <c r="AX139" s="9"/>
      <c r="AY139" s="22">
        <v>0.54962200000000005</v>
      </c>
      <c r="AZ139" s="22">
        <v>28.794799999999999</v>
      </c>
      <c r="BA139" s="22">
        <v>-1.3983199999999999E-2</v>
      </c>
      <c r="BB139" s="22">
        <v>129</v>
      </c>
      <c r="BC139" s="22">
        <v>0.548767</v>
      </c>
      <c r="BD139">
        <f t="shared" si="22"/>
        <v>17.263209876543208</v>
      </c>
      <c r="BE139">
        <f t="shared" si="23"/>
        <v>9.4882399387654317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1.12534</v>
      </c>
      <c r="H140" s="22">
        <v>6.5535500000000004</v>
      </c>
      <c r="I140" s="22">
        <v>-1.3732899999999999E-2</v>
      </c>
      <c r="J140" s="22">
        <v>130</v>
      </c>
      <c r="K140" s="22">
        <v>1.1236600000000001</v>
      </c>
      <c r="L140">
        <f t="shared" ref="L140:L203" si="24">-I140/$F$2*1000</f>
        <v>16.954197530864196</v>
      </c>
      <c r="M140">
        <f t="shared" ref="M140:M203" si="25">L140*G140</f>
        <v>19.079236649382715</v>
      </c>
      <c r="N140" s="9"/>
      <c r="O140" s="22">
        <v>0.55465699999999996</v>
      </c>
      <c r="P140" s="22">
        <v>10.3325</v>
      </c>
      <c r="Q140" s="22">
        <v>-1.3986200000000001E-2</v>
      </c>
      <c r="R140" s="22">
        <v>130</v>
      </c>
      <c r="S140" s="22">
        <v>0.55380200000000002</v>
      </c>
      <c r="T140">
        <f t="shared" ref="T140:T203" si="26">-Q140/$F$2*1000</f>
        <v>17.266913580246914</v>
      </c>
      <c r="U140">
        <f t="shared" ref="U140:U203" si="27">T140*O140</f>
        <v>9.5772144856790113</v>
      </c>
      <c r="X140" s="9"/>
      <c r="Y140" s="22">
        <v>1.12534</v>
      </c>
      <c r="Z140" s="22">
        <v>15.8047</v>
      </c>
      <c r="AA140" s="22">
        <v>-1.3720700000000001E-2</v>
      </c>
      <c r="AB140" s="22">
        <v>130</v>
      </c>
      <c r="AC140" s="22">
        <v>1.1239600000000001</v>
      </c>
      <c r="AD140">
        <f t="shared" ref="AD140:AD203" si="28">-AA140/$F$2*1000</f>
        <v>16.939135802469135</v>
      </c>
      <c r="AE140">
        <f t="shared" ref="AE140:AE203" si="29">AD140*Y140</f>
        <v>19.062287083950615</v>
      </c>
      <c r="AF140" s="9"/>
      <c r="AG140" s="22">
        <v>0.55465699999999996</v>
      </c>
      <c r="AH140" s="22">
        <v>19.583600000000001</v>
      </c>
      <c r="AI140" s="22">
        <v>-1.3974E-2</v>
      </c>
      <c r="AJ140" s="22">
        <v>130</v>
      </c>
      <c r="AK140" s="22">
        <v>0.55386400000000002</v>
      </c>
      <c r="AL140">
        <f t="shared" ref="AL140:AL203" si="30">-AI140/$F$2*1000</f>
        <v>17.251851851851853</v>
      </c>
      <c r="AM140">
        <f t="shared" ref="AM140:AM203" si="31">AL140*AG140</f>
        <v>9.5688603925925921</v>
      </c>
      <c r="AP140" s="9"/>
      <c r="AQ140" s="22">
        <v>1.12534</v>
      </c>
      <c r="AR140" s="22">
        <v>25.026</v>
      </c>
      <c r="AS140" s="22">
        <v>-1.3772599999999999E-2</v>
      </c>
      <c r="AT140" s="22">
        <v>130</v>
      </c>
      <c r="AU140" s="22">
        <v>1.1239600000000001</v>
      </c>
      <c r="AV140">
        <f t="shared" ref="AV140:AV203" si="32">-AS140/$F$2*1000</f>
        <v>17.00320987654321</v>
      </c>
      <c r="AW140">
        <f t="shared" ref="AW140:AW203" si="33">AV140*AQ140</f>
        <v>19.134392202469137</v>
      </c>
      <c r="AX140" s="9"/>
      <c r="AY140" s="22">
        <v>0.55465699999999996</v>
      </c>
      <c r="AZ140" s="22">
        <v>28.8049</v>
      </c>
      <c r="BA140" s="22">
        <v>-1.3986200000000001E-2</v>
      </c>
      <c r="BB140" s="22">
        <v>130</v>
      </c>
      <c r="BC140" s="22">
        <v>0.55380200000000002</v>
      </c>
      <c r="BD140">
        <f t="shared" ref="BD140:BD203" si="34">-BA140/$F$2*1000</f>
        <v>17.266913580246914</v>
      </c>
      <c r="BE140">
        <f t="shared" ref="BE140:BE203" si="35">BD140*AY140</f>
        <v>9.5772144856790113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1.1203000000000001</v>
      </c>
      <c r="H141" s="22">
        <v>6.5636299999999999</v>
      </c>
      <c r="I141" s="22">
        <v>-1.37482E-2</v>
      </c>
      <c r="J141" s="22">
        <v>131</v>
      </c>
      <c r="K141" s="22">
        <v>1.11938</v>
      </c>
      <c r="L141">
        <f t="shared" si="24"/>
        <v>16.973086419753084</v>
      </c>
      <c r="M141">
        <f t="shared" si="25"/>
        <v>19.014948716049382</v>
      </c>
      <c r="N141" s="9"/>
      <c r="O141" s="22">
        <v>0.55969199999999997</v>
      </c>
      <c r="P141" s="22">
        <v>10.342499999999999</v>
      </c>
      <c r="Q141" s="22">
        <v>-1.3974E-2</v>
      </c>
      <c r="R141" s="22">
        <v>131</v>
      </c>
      <c r="S141" s="22">
        <v>0.55892900000000001</v>
      </c>
      <c r="T141">
        <f t="shared" si="26"/>
        <v>17.251851851851853</v>
      </c>
      <c r="U141">
        <f t="shared" si="27"/>
        <v>9.6557234666666663</v>
      </c>
      <c r="X141" s="9"/>
      <c r="Y141" s="22">
        <v>1.1203000000000001</v>
      </c>
      <c r="Z141" s="22">
        <v>15.8148</v>
      </c>
      <c r="AA141" s="22">
        <v>-1.3726800000000001E-2</v>
      </c>
      <c r="AB141" s="22">
        <v>131</v>
      </c>
      <c r="AC141" s="22">
        <v>1.11816</v>
      </c>
      <c r="AD141">
        <f t="shared" si="28"/>
        <v>16.946666666666665</v>
      </c>
      <c r="AE141">
        <f t="shared" si="29"/>
        <v>18.985350666666665</v>
      </c>
      <c r="AF141" s="9"/>
      <c r="AG141" s="22">
        <v>0.55969199999999997</v>
      </c>
      <c r="AH141" s="22">
        <v>19.593699999999998</v>
      </c>
      <c r="AI141" s="22">
        <v>-1.3977099999999999E-2</v>
      </c>
      <c r="AJ141" s="22">
        <v>131</v>
      </c>
      <c r="AK141" s="22">
        <v>0.55892900000000001</v>
      </c>
      <c r="AL141">
        <f t="shared" si="30"/>
        <v>17.255679012345677</v>
      </c>
      <c r="AM141">
        <f t="shared" si="31"/>
        <v>9.6578654977777756</v>
      </c>
      <c r="AP141" s="9"/>
      <c r="AQ141" s="22">
        <v>1.1203000000000001</v>
      </c>
      <c r="AR141" s="22">
        <v>25.036000000000001</v>
      </c>
      <c r="AS141" s="22">
        <v>-1.3775600000000001E-2</v>
      </c>
      <c r="AT141" s="22">
        <v>131</v>
      </c>
      <c r="AU141" s="22">
        <v>1.1190800000000001</v>
      </c>
      <c r="AV141">
        <f t="shared" si="32"/>
        <v>17.006913580246916</v>
      </c>
      <c r="AW141">
        <f t="shared" si="33"/>
        <v>19.052845283950621</v>
      </c>
      <c r="AX141" s="9"/>
      <c r="AY141" s="22">
        <v>0.55969199999999997</v>
      </c>
      <c r="AZ141" s="22">
        <v>28.814900000000002</v>
      </c>
      <c r="BA141" s="22">
        <v>-1.39954E-2</v>
      </c>
      <c r="BB141" s="22">
        <v>131</v>
      </c>
      <c r="BC141" s="22">
        <v>0.55886800000000003</v>
      </c>
      <c r="BD141">
        <f t="shared" si="34"/>
        <v>17.278271604938272</v>
      </c>
      <c r="BE141">
        <f t="shared" si="35"/>
        <v>9.6705103911111117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1.1152599999999999</v>
      </c>
      <c r="H142" s="22">
        <v>6.5736999999999997</v>
      </c>
      <c r="I142" s="22">
        <v>-1.37573E-2</v>
      </c>
      <c r="J142" s="22">
        <v>132</v>
      </c>
      <c r="K142" s="22">
        <v>1.1142000000000001</v>
      </c>
      <c r="L142">
        <f t="shared" si="24"/>
        <v>16.984320987654321</v>
      </c>
      <c r="M142">
        <f t="shared" si="25"/>
        <v>18.941933824691358</v>
      </c>
      <c r="N142" s="9"/>
      <c r="O142" s="22">
        <v>0.56472800000000001</v>
      </c>
      <c r="P142" s="22">
        <v>10.352600000000001</v>
      </c>
      <c r="Q142" s="22">
        <v>-1.39679E-2</v>
      </c>
      <c r="R142" s="22">
        <v>132</v>
      </c>
      <c r="S142" s="22">
        <v>0.56387299999999996</v>
      </c>
      <c r="T142">
        <f t="shared" si="26"/>
        <v>17.244320987654319</v>
      </c>
      <c r="U142">
        <f t="shared" si="27"/>
        <v>9.7383509027160482</v>
      </c>
      <c r="X142" s="9"/>
      <c r="Y142" s="22">
        <v>1.1152599999999999</v>
      </c>
      <c r="Z142" s="22">
        <v>15.8249</v>
      </c>
      <c r="AA142" s="22">
        <v>-1.37299E-2</v>
      </c>
      <c r="AB142" s="22">
        <v>132</v>
      </c>
      <c r="AC142" s="22">
        <v>1.1142000000000001</v>
      </c>
      <c r="AD142">
        <f t="shared" si="28"/>
        <v>16.950493827160493</v>
      </c>
      <c r="AE142">
        <f t="shared" si="29"/>
        <v>18.90420774567901</v>
      </c>
      <c r="AF142" s="9"/>
      <c r="AG142" s="22">
        <v>0.56472800000000001</v>
      </c>
      <c r="AH142" s="22">
        <v>19.6038</v>
      </c>
      <c r="AI142" s="22">
        <v>-1.39709E-2</v>
      </c>
      <c r="AJ142" s="22">
        <v>132</v>
      </c>
      <c r="AK142" s="22">
        <v>0.56384299999999998</v>
      </c>
      <c r="AL142">
        <f t="shared" si="30"/>
        <v>17.248024691358022</v>
      </c>
      <c r="AM142">
        <f t="shared" si="31"/>
        <v>9.7404424879012339</v>
      </c>
      <c r="AP142" s="9"/>
      <c r="AQ142" s="22">
        <v>1.1152599999999999</v>
      </c>
      <c r="AR142" s="22">
        <v>25.046099999999999</v>
      </c>
      <c r="AS142" s="22">
        <v>-1.37848E-2</v>
      </c>
      <c r="AT142" s="22">
        <v>132</v>
      </c>
      <c r="AU142" s="22">
        <v>1.11389</v>
      </c>
      <c r="AV142">
        <f t="shared" si="32"/>
        <v>17.018271604938271</v>
      </c>
      <c r="AW142">
        <f t="shared" si="33"/>
        <v>18.979797590123454</v>
      </c>
      <c r="AX142" s="9"/>
      <c r="AY142" s="22">
        <v>0.56472800000000001</v>
      </c>
      <c r="AZ142" s="22">
        <v>28.824999999999999</v>
      </c>
      <c r="BA142" s="22">
        <v>-1.39954E-2</v>
      </c>
      <c r="BB142" s="22">
        <v>132</v>
      </c>
      <c r="BC142" s="22">
        <v>0.56390399999999996</v>
      </c>
      <c r="BD142">
        <f t="shared" si="34"/>
        <v>17.278271604938272</v>
      </c>
      <c r="BE142">
        <f t="shared" si="35"/>
        <v>9.7575237669135806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1.1102300000000001</v>
      </c>
      <c r="H143" s="22">
        <v>6.5837700000000003</v>
      </c>
      <c r="I143" s="22">
        <v>-1.37634E-2</v>
      </c>
      <c r="J143" s="22">
        <v>133</v>
      </c>
      <c r="K143" s="22">
        <v>1.10931</v>
      </c>
      <c r="L143">
        <f t="shared" si="24"/>
        <v>16.991851851851852</v>
      </c>
      <c r="M143">
        <f t="shared" si="25"/>
        <v>18.864863681481481</v>
      </c>
      <c r="N143" s="9"/>
      <c r="O143" s="22">
        <v>0.56976300000000002</v>
      </c>
      <c r="P143" s="22">
        <v>10.3627</v>
      </c>
      <c r="Q143" s="22">
        <v>-1.3958699999999999E-2</v>
      </c>
      <c r="R143" s="22">
        <v>133</v>
      </c>
      <c r="S143" s="22">
        <v>0.56899999999999995</v>
      </c>
      <c r="T143">
        <f t="shared" si="26"/>
        <v>17.232962962962961</v>
      </c>
      <c r="U143">
        <f t="shared" si="27"/>
        <v>9.8187046766666661</v>
      </c>
      <c r="X143" s="9"/>
      <c r="Y143" s="22">
        <v>1.1102300000000001</v>
      </c>
      <c r="Z143" s="22">
        <v>15.835000000000001</v>
      </c>
      <c r="AA143" s="22">
        <v>-1.3736E-2</v>
      </c>
      <c r="AB143" s="22">
        <v>133</v>
      </c>
      <c r="AC143" s="22">
        <v>1.1090100000000001</v>
      </c>
      <c r="AD143">
        <f t="shared" si="28"/>
        <v>16.958024691358023</v>
      </c>
      <c r="AE143">
        <f t="shared" si="29"/>
        <v>18.827307753086419</v>
      </c>
      <c r="AF143" s="9"/>
      <c r="AG143" s="22">
        <v>0.56976300000000002</v>
      </c>
      <c r="AH143" s="22">
        <v>19.613900000000001</v>
      </c>
      <c r="AI143" s="22">
        <v>-1.3977099999999999E-2</v>
      </c>
      <c r="AJ143" s="22">
        <v>133</v>
      </c>
      <c r="AK143" s="22">
        <v>0.56899999999999995</v>
      </c>
      <c r="AL143">
        <f t="shared" si="30"/>
        <v>17.255679012345677</v>
      </c>
      <c r="AM143">
        <f t="shared" si="31"/>
        <v>9.8316474411111106</v>
      </c>
      <c r="AP143" s="9"/>
      <c r="AQ143" s="22">
        <v>1.1102300000000001</v>
      </c>
      <c r="AR143" s="22">
        <v>25.0562</v>
      </c>
      <c r="AS143" s="22">
        <v>-1.3787799999999999E-2</v>
      </c>
      <c r="AT143" s="22">
        <v>133</v>
      </c>
      <c r="AU143" s="22">
        <v>1.1087</v>
      </c>
      <c r="AV143">
        <f t="shared" si="32"/>
        <v>17.021975308641974</v>
      </c>
      <c r="AW143">
        <f t="shared" si="33"/>
        <v>18.89830764691358</v>
      </c>
      <c r="AX143" s="9"/>
      <c r="AY143" s="22">
        <v>0.56976300000000002</v>
      </c>
      <c r="AZ143" s="22">
        <v>28.835100000000001</v>
      </c>
      <c r="BA143" s="22">
        <v>-1.40015E-2</v>
      </c>
      <c r="BB143" s="22">
        <v>133</v>
      </c>
      <c r="BC143" s="22">
        <v>0.56903099999999995</v>
      </c>
      <c r="BD143">
        <f t="shared" si="34"/>
        <v>17.285802469135803</v>
      </c>
      <c r="BE143">
        <f t="shared" si="35"/>
        <v>9.8488106722222231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1.1051899999999999</v>
      </c>
      <c r="H144" s="22">
        <v>6.5938400000000001</v>
      </c>
      <c r="I144" s="22">
        <v>-1.3766499999999999E-2</v>
      </c>
      <c r="J144" s="22">
        <v>134</v>
      </c>
      <c r="K144" s="22">
        <v>1.10443</v>
      </c>
      <c r="L144">
        <f t="shared" si="24"/>
        <v>16.995679012345676</v>
      </c>
      <c r="M144">
        <f t="shared" si="25"/>
        <v>18.783454487654314</v>
      </c>
      <c r="N144" s="9"/>
      <c r="O144" s="22">
        <v>0.57479899999999995</v>
      </c>
      <c r="P144" s="22">
        <v>10.3727</v>
      </c>
      <c r="Q144" s="22">
        <v>-1.3952600000000001E-2</v>
      </c>
      <c r="R144" s="22">
        <v>134</v>
      </c>
      <c r="S144" s="22">
        <v>0.57403599999999999</v>
      </c>
      <c r="T144">
        <f t="shared" si="26"/>
        <v>17.225432098765431</v>
      </c>
      <c r="U144">
        <f t="shared" si="27"/>
        <v>9.9011611449382695</v>
      </c>
      <c r="X144" s="9"/>
      <c r="Y144" s="22">
        <v>1.1051899999999999</v>
      </c>
      <c r="Z144" s="22">
        <v>15.845000000000001</v>
      </c>
      <c r="AA144" s="22">
        <v>-1.37451E-2</v>
      </c>
      <c r="AB144" s="22">
        <v>134</v>
      </c>
      <c r="AC144" s="22">
        <v>1.10443</v>
      </c>
      <c r="AD144">
        <f t="shared" si="28"/>
        <v>16.969259259259257</v>
      </c>
      <c r="AE144">
        <f t="shared" si="29"/>
        <v>18.754255640740737</v>
      </c>
      <c r="AF144" s="9"/>
      <c r="AG144" s="22">
        <v>0.57479899999999995</v>
      </c>
      <c r="AH144" s="22">
        <v>19.623899999999999</v>
      </c>
      <c r="AI144" s="22">
        <v>-1.39709E-2</v>
      </c>
      <c r="AJ144" s="22">
        <v>134</v>
      </c>
      <c r="AK144" s="22">
        <v>0.57397500000000001</v>
      </c>
      <c r="AL144">
        <f t="shared" si="30"/>
        <v>17.248024691358022</v>
      </c>
      <c r="AM144">
        <f t="shared" si="31"/>
        <v>9.9141473445678994</v>
      </c>
      <c r="AP144" s="9"/>
      <c r="AQ144" s="22">
        <v>1.1051899999999999</v>
      </c>
      <c r="AR144" s="22">
        <v>25.066299999999998</v>
      </c>
      <c r="AS144" s="22">
        <v>-1.3797E-2</v>
      </c>
      <c r="AT144" s="22">
        <v>134</v>
      </c>
      <c r="AU144" s="22">
        <v>1.1041300000000001</v>
      </c>
      <c r="AV144">
        <f t="shared" si="32"/>
        <v>17.033333333333331</v>
      </c>
      <c r="AW144">
        <f t="shared" si="33"/>
        <v>18.825069666666664</v>
      </c>
      <c r="AX144" s="9"/>
      <c r="AY144" s="22">
        <v>0.57479899999999995</v>
      </c>
      <c r="AZ144" s="22">
        <v>28.845199999999998</v>
      </c>
      <c r="BA144" s="22">
        <v>-1.3998399999999999E-2</v>
      </c>
      <c r="BB144" s="22">
        <v>134</v>
      </c>
      <c r="BC144" s="22">
        <v>0.57394400000000001</v>
      </c>
      <c r="BD144">
        <f t="shared" si="34"/>
        <v>17.281975308641975</v>
      </c>
      <c r="BE144">
        <f t="shared" si="35"/>
        <v>9.9336621254320985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1.10016</v>
      </c>
      <c r="H145" s="22">
        <v>6.6039099999999999</v>
      </c>
      <c r="I145" s="22">
        <v>-1.3772599999999999E-2</v>
      </c>
      <c r="J145" s="22">
        <v>135</v>
      </c>
      <c r="K145" s="22">
        <v>1.09955</v>
      </c>
      <c r="L145">
        <f t="shared" si="24"/>
        <v>17.00320987654321</v>
      </c>
      <c r="M145">
        <f t="shared" si="25"/>
        <v>18.706251377777779</v>
      </c>
      <c r="N145" s="9"/>
      <c r="O145" s="22">
        <v>0.57983399999999996</v>
      </c>
      <c r="P145" s="22">
        <v>10.3828</v>
      </c>
      <c r="Q145" s="22">
        <v>-1.39496E-2</v>
      </c>
      <c r="R145" s="22">
        <v>135</v>
      </c>
      <c r="S145" s="22">
        <v>0.57894900000000005</v>
      </c>
      <c r="T145">
        <f t="shared" si="26"/>
        <v>17.221728395061724</v>
      </c>
      <c r="U145">
        <f t="shared" si="27"/>
        <v>9.9857436622222195</v>
      </c>
      <c r="X145" s="9"/>
      <c r="Y145" s="22">
        <v>1.10016</v>
      </c>
      <c r="Z145" s="22">
        <v>15.8551</v>
      </c>
      <c r="AA145" s="22">
        <v>-1.37512E-2</v>
      </c>
      <c r="AB145" s="22">
        <v>135</v>
      </c>
      <c r="AC145" s="22">
        <v>1.09894</v>
      </c>
      <c r="AD145">
        <f t="shared" si="28"/>
        <v>16.976790123456787</v>
      </c>
      <c r="AE145">
        <f t="shared" si="29"/>
        <v>18.67718542222222</v>
      </c>
      <c r="AF145" s="9"/>
      <c r="AG145" s="22">
        <v>0.57983399999999996</v>
      </c>
      <c r="AH145" s="22">
        <v>19.634</v>
      </c>
      <c r="AI145" s="22">
        <v>-1.39557E-2</v>
      </c>
      <c r="AJ145" s="22">
        <v>135</v>
      </c>
      <c r="AK145" s="22">
        <v>0.57910200000000001</v>
      </c>
      <c r="AL145">
        <f t="shared" si="30"/>
        <v>17.229259259259258</v>
      </c>
      <c r="AM145">
        <f t="shared" si="31"/>
        <v>9.9901103133333322</v>
      </c>
      <c r="AP145" s="9"/>
      <c r="AQ145" s="22">
        <v>1.10016</v>
      </c>
      <c r="AR145" s="22">
        <v>25.0763</v>
      </c>
      <c r="AS145" s="22">
        <v>-1.3797E-2</v>
      </c>
      <c r="AT145" s="22">
        <v>135</v>
      </c>
      <c r="AU145" s="22">
        <v>1.09894</v>
      </c>
      <c r="AV145">
        <f t="shared" si="32"/>
        <v>17.033333333333331</v>
      </c>
      <c r="AW145">
        <f t="shared" si="33"/>
        <v>18.739391999999999</v>
      </c>
      <c r="AX145" s="9"/>
      <c r="AY145" s="22">
        <v>0.57983399999999996</v>
      </c>
      <c r="AZ145" s="22">
        <v>28.8552</v>
      </c>
      <c r="BA145" s="22">
        <v>-1.39954E-2</v>
      </c>
      <c r="BB145" s="22">
        <v>135</v>
      </c>
      <c r="BC145" s="22">
        <v>0.57910200000000001</v>
      </c>
      <c r="BD145">
        <f t="shared" si="34"/>
        <v>17.278271604938272</v>
      </c>
      <c r="BE145">
        <f t="shared" si="35"/>
        <v>10.018529337777778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1.0951200000000001</v>
      </c>
      <c r="H146" s="22">
        <v>6.6139799999999997</v>
      </c>
      <c r="I146" s="22">
        <v>-1.37787E-2</v>
      </c>
      <c r="J146" s="22">
        <v>136</v>
      </c>
      <c r="K146" s="22">
        <v>1.09467</v>
      </c>
      <c r="L146">
        <f t="shared" si="24"/>
        <v>17.01074074074074</v>
      </c>
      <c r="M146">
        <f t="shared" si="25"/>
        <v>18.628802400000001</v>
      </c>
      <c r="N146" s="9"/>
      <c r="O146" s="22">
        <v>0.58486899999999997</v>
      </c>
      <c r="P146" s="22">
        <v>10.392899999999999</v>
      </c>
      <c r="Q146" s="22">
        <v>-1.3946500000000001E-2</v>
      </c>
      <c r="R146" s="22">
        <v>136</v>
      </c>
      <c r="S146" s="22">
        <v>0.584229</v>
      </c>
      <c r="T146">
        <f t="shared" si="26"/>
        <v>17.217901234567901</v>
      </c>
      <c r="U146">
        <f t="shared" si="27"/>
        <v>10.070216677160493</v>
      </c>
      <c r="X146" s="9"/>
      <c r="Y146" s="22">
        <v>1.0951200000000001</v>
      </c>
      <c r="Z146" s="22">
        <v>15.8652</v>
      </c>
      <c r="AA146" s="22">
        <v>-1.37634E-2</v>
      </c>
      <c r="AB146" s="22">
        <v>136</v>
      </c>
      <c r="AC146" s="22">
        <v>1.09406</v>
      </c>
      <c r="AD146">
        <f t="shared" si="28"/>
        <v>16.991851851851852</v>
      </c>
      <c r="AE146">
        <f t="shared" si="29"/>
        <v>18.608116800000001</v>
      </c>
      <c r="AF146" s="9"/>
      <c r="AG146" s="22">
        <v>0.58486899999999997</v>
      </c>
      <c r="AH146" s="22">
        <v>19.644100000000002</v>
      </c>
      <c r="AI146" s="22">
        <v>-1.3946500000000001E-2</v>
      </c>
      <c r="AJ146" s="22">
        <v>136</v>
      </c>
      <c r="AK146" s="22">
        <v>0.58404500000000004</v>
      </c>
      <c r="AL146">
        <f t="shared" si="30"/>
        <v>17.217901234567901</v>
      </c>
      <c r="AM146">
        <f t="shared" si="31"/>
        <v>10.070216677160493</v>
      </c>
      <c r="AP146" s="9"/>
      <c r="AQ146" s="22">
        <v>1.0951200000000001</v>
      </c>
      <c r="AR146" s="22">
        <v>25.086400000000001</v>
      </c>
      <c r="AS146" s="22">
        <v>-1.37909E-2</v>
      </c>
      <c r="AT146" s="22">
        <v>136</v>
      </c>
      <c r="AU146" s="22">
        <v>1.09406</v>
      </c>
      <c r="AV146">
        <f t="shared" si="32"/>
        <v>17.025802469135801</v>
      </c>
      <c r="AW146">
        <f t="shared" si="33"/>
        <v>18.645296800000001</v>
      </c>
      <c r="AX146" s="9"/>
      <c r="AY146" s="22">
        <v>0.58486899999999997</v>
      </c>
      <c r="AZ146" s="22">
        <v>28.865300000000001</v>
      </c>
      <c r="BA146" s="22">
        <v>-1.3986200000000001E-2</v>
      </c>
      <c r="BB146" s="22">
        <v>136</v>
      </c>
      <c r="BC146" s="22">
        <v>0.58410600000000001</v>
      </c>
      <c r="BD146">
        <f t="shared" si="34"/>
        <v>17.266913580246914</v>
      </c>
      <c r="BE146">
        <f t="shared" si="35"/>
        <v>10.098882478765432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1.09009</v>
      </c>
      <c r="H147" s="22">
        <v>6.6240500000000004</v>
      </c>
      <c r="I147" s="22">
        <v>-1.37909E-2</v>
      </c>
      <c r="J147" s="22">
        <v>137</v>
      </c>
      <c r="K147" s="22">
        <v>1.08917</v>
      </c>
      <c r="L147">
        <f t="shared" si="24"/>
        <v>17.025802469135801</v>
      </c>
      <c r="M147">
        <f t="shared" si="25"/>
        <v>18.559657013580246</v>
      </c>
      <c r="N147" s="9"/>
      <c r="O147" s="22">
        <v>0.58990500000000001</v>
      </c>
      <c r="P147" s="22">
        <v>10.403</v>
      </c>
      <c r="Q147" s="22">
        <v>-1.39404E-2</v>
      </c>
      <c r="R147" s="22">
        <v>137</v>
      </c>
      <c r="S147" s="22">
        <v>0.58920300000000003</v>
      </c>
      <c r="T147">
        <f t="shared" si="26"/>
        <v>17.21037037037037</v>
      </c>
      <c r="U147">
        <f t="shared" si="27"/>
        <v>10.152483533333333</v>
      </c>
      <c r="X147" s="9"/>
      <c r="Y147" s="22">
        <v>1.09009</v>
      </c>
      <c r="Z147" s="22">
        <v>15.8752</v>
      </c>
      <c r="AA147" s="22">
        <v>-1.37634E-2</v>
      </c>
      <c r="AB147" s="22">
        <v>137</v>
      </c>
      <c r="AC147" s="22">
        <v>1.08917</v>
      </c>
      <c r="AD147">
        <f t="shared" si="28"/>
        <v>16.991851851851852</v>
      </c>
      <c r="AE147">
        <f t="shared" si="29"/>
        <v>18.522647785185185</v>
      </c>
      <c r="AF147" s="9"/>
      <c r="AG147" s="22">
        <v>0.58990500000000001</v>
      </c>
      <c r="AH147" s="22">
        <v>19.6541</v>
      </c>
      <c r="AI147" s="22">
        <v>-1.39496E-2</v>
      </c>
      <c r="AJ147" s="22">
        <v>137</v>
      </c>
      <c r="AK147" s="22">
        <v>0.58908099999999997</v>
      </c>
      <c r="AL147">
        <f t="shared" si="30"/>
        <v>17.221728395061724</v>
      </c>
      <c r="AM147">
        <f t="shared" si="31"/>
        <v>10.159183688888886</v>
      </c>
      <c r="AP147" s="9"/>
      <c r="AQ147" s="22">
        <v>1.09009</v>
      </c>
      <c r="AR147" s="22">
        <v>25.096499999999999</v>
      </c>
      <c r="AS147" s="22">
        <v>-1.37939E-2</v>
      </c>
      <c r="AT147" s="22">
        <v>137</v>
      </c>
      <c r="AU147" s="22">
        <v>1.08856</v>
      </c>
      <c r="AV147">
        <f t="shared" si="32"/>
        <v>17.029506172839504</v>
      </c>
      <c r="AW147">
        <f t="shared" si="33"/>
        <v>18.563694383950615</v>
      </c>
      <c r="AX147" s="9"/>
      <c r="AY147" s="22">
        <v>0.58990500000000001</v>
      </c>
      <c r="AZ147" s="22">
        <v>28.875399999999999</v>
      </c>
      <c r="BA147" s="22">
        <v>-1.3980100000000001E-2</v>
      </c>
      <c r="BB147" s="22">
        <v>137</v>
      </c>
      <c r="BC147" s="22">
        <v>0.58914200000000005</v>
      </c>
      <c r="BD147">
        <f t="shared" si="34"/>
        <v>17.259382716049384</v>
      </c>
      <c r="BE147">
        <f t="shared" si="35"/>
        <v>10.181396161111111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1.0850500000000001</v>
      </c>
      <c r="H148" s="22">
        <v>6.6341200000000002</v>
      </c>
      <c r="I148" s="22">
        <v>-1.3809200000000001E-2</v>
      </c>
      <c r="J148" s="22">
        <v>138</v>
      </c>
      <c r="K148" s="22">
        <v>1.08429</v>
      </c>
      <c r="L148">
        <f t="shared" si="24"/>
        <v>17.048395061728392</v>
      </c>
      <c r="M148">
        <f t="shared" si="25"/>
        <v>18.498361061728392</v>
      </c>
      <c r="N148" s="9"/>
      <c r="O148" s="22">
        <v>0.59494000000000002</v>
      </c>
      <c r="P148" s="22">
        <v>10.413</v>
      </c>
      <c r="Q148" s="22">
        <v>-1.3937400000000001E-2</v>
      </c>
      <c r="R148" s="22">
        <v>138</v>
      </c>
      <c r="S148" s="22">
        <v>0.59414699999999998</v>
      </c>
      <c r="T148">
        <f t="shared" si="26"/>
        <v>17.206666666666667</v>
      </c>
      <c r="U148">
        <f t="shared" si="27"/>
        <v>10.236934266666667</v>
      </c>
      <c r="X148" s="9"/>
      <c r="Y148" s="22">
        <v>1.0850500000000001</v>
      </c>
      <c r="Z148" s="22">
        <v>15.885300000000001</v>
      </c>
      <c r="AA148" s="22">
        <v>-1.37634E-2</v>
      </c>
      <c r="AB148" s="22">
        <v>138</v>
      </c>
      <c r="AC148" s="22">
        <v>1.08429</v>
      </c>
      <c r="AD148">
        <f t="shared" si="28"/>
        <v>16.991851851851852</v>
      </c>
      <c r="AE148">
        <f t="shared" si="29"/>
        <v>18.437008851851854</v>
      </c>
      <c r="AF148" s="9"/>
      <c r="AG148" s="22">
        <v>0.59494000000000002</v>
      </c>
      <c r="AH148" s="22">
        <v>19.664200000000001</v>
      </c>
      <c r="AI148" s="22">
        <v>-1.3952600000000001E-2</v>
      </c>
      <c r="AJ148" s="22">
        <v>138</v>
      </c>
      <c r="AK148" s="22">
        <v>0.59411599999999998</v>
      </c>
      <c r="AL148">
        <f t="shared" si="30"/>
        <v>17.225432098765431</v>
      </c>
      <c r="AM148">
        <f t="shared" si="31"/>
        <v>10.248098572839506</v>
      </c>
      <c r="AP148" s="9"/>
      <c r="AQ148" s="22">
        <v>1.0850500000000001</v>
      </c>
      <c r="AR148" s="22">
        <v>25.1065</v>
      </c>
      <c r="AS148" s="22">
        <v>-1.38031E-2</v>
      </c>
      <c r="AT148" s="22">
        <v>138</v>
      </c>
      <c r="AU148" s="22">
        <v>1.08368</v>
      </c>
      <c r="AV148">
        <f t="shared" si="32"/>
        <v>17.040864197530862</v>
      </c>
      <c r="AW148">
        <f t="shared" si="33"/>
        <v>18.490189697530862</v>
      </c>
      <c r="AX148" s="9"/>
      <c r="AY148" s="22">
        <v>0.59494000000000002</v>
      </c>
      <c r="AZ148" s="22">
        <v>28.885400000000001</v>
      </c>
      <c r="BA148" s="22">
        <v>-1.3977099999999999E-2</v>
      </c>
      <c r="BB148" s="22">
        <v>138</v>
      </c>
      <c r="BC148" s="22">
        <v>0.59414699999999998</v>
      </c>
      <c r="BD148">
        <f t="shared" si="34"/>
        <v>17.255679012345677</v>
      </c>
      <c r="BE148">
        <f t="shared" si="35"/>
        <v>10.266093671604938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1.08002</v>
      </c>
      <c r="H149" s="22">
        <v>6.64419</v>
      </c>
      <c r="I149" s="22">
        <v>-1.38184E-2</v>
      </c>
      <c r="J149" s="22">
        <v>139</v>
      </c>
      <c r="K149" s="22">
        <v>1.0790999999999999</v>
      </c>
      <c r="L149">
        <f t="shared" si="24"/>
        <v>17.05975308641975</v>
      </c>
      <c r="M149">
        <f t="shared" si="25"/>
        <v>18.424874528395058</v>
      </c>
      <c r="N149" s="9"/>
      <c r="O149" s="22">
        <v>0.59997599999999995</v>
      </c>
      <c r="P149" s="22">
        <v>10.4231</v>
      </c>
      <c r="Q149" s="22">
        <v>-1.39282E-2</v>
      </c>
      <c r="R149" s="22">
        <v>139</v>
      </c>
      <c r="S149" s="22">
        <v>0.599213</v>
      </c>
      <c r="T149">
        <f t="shared" si="26"/>
        <v>17.195308641975309</v>
      </c>
      <c r="U149">
        <f t="shared" si="27"/>
        <v>10.316772497777777</v>
      </c>
      <c r="X149" s="9"/>
      <c r="Y149" s="22">
        <v>1.08002</v>
      </c>
      <c r="Z149" s="22">
        <v>15.8954</v>
      </c>
      <c r="AA149" s="22">
        <v>-1.3760400000000001E-2</v>
      </c>
      <c r="AB149" s="22">
        <v>139</v>
      </c>
      <c r="AC149" s="22">
        <v>1.0784899999999999</v>
      </c>
      <c r="AD149">
        <f t="shared" si="28"/>
        <v>16.988148148148149</v>
      </c>
      <c r="AE149">
        <f t="shared" si="29"/>
        <v>18.347539762962963</v>
      </c>
      <c r="AF149" s="9"/>
      <c r="AG149" s="22">
        <v>0.59997599999999995</v>
      </c>
      <c r="AH149" s="22">
        <v>19.674299999999999</v>
      </c>
      <c r="AI149" s="22">
        <v>-1.3952600000000001E-2</v>
      </c>
      <c r="AJ149" s="22">
        <v>139</v>
      </c>
      <c r="AK149" s="22">
        <v>0.599213</v>
      </c>
      <c r="AL149">
        <f t="shared" si="30"/>
        <v>17.225432098765431</v>
      </c>
      <c r="AM149">
        <f t="shared" si="31"/>
        <v>10.334845848888888</v>
      </c>
      <c r="AP149" s="9"/>
      <c r="AQ149" s="22">
        <v>1.08002</v>
      </c>
      <c r="AR149" s="22">
        <v>25.116599999999998</v>
      </c>
      <c r="AS149" s="22">
        <v>-1.38123E-2</v>
      </c>
      <c r="AT149" s="22">
        <v>139</v>
      </c>
      <c r="AU149" s="22">
        <v>1.0790999999999999</v>
      </c>
      <c r="AV149">
        <f t="shared" si="32"/>
        <v>17.052222222222223</v>
      </c>
      <c r="AW149">
        <f t="shared" si="33"/>
        <v>18.416741044444446</v>
      </c>
      <c r="AX149" s="9"/>
      <c r="AY149" s="22">
        <v>0.59997599999999995</v>
      </c>
      <c r="AZ149" s="22">
        <v>28.895499999999998</v>
      </c>
      <c r="BA149" s="22">
        <v>-1.3980100000000001E-2</v>
      </c>
      <c r="BB149" s="22">
        <v>139</v>
      </c>
      <c r="BC149" s="22">
        <v>0.59930399999999995</v>
      </c>
      <c r="BD149">
        <f t="shared" si="34"/>
        <v>17.259382716049384</v>
      </c>
      <c r="BE149">
        <f t="shared" si="35"/>
        <v>10.355215404444444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1.07498</v>
      </c>
      <c r="H150" s="22">
        <v>6.6542599999999998</v>
      </c>
      <c r="I150" s="22">
        <v>-1.3821399999999999E-2</v>
      </c>
      <c r="J150" s="22">
        <v>140</v>
      </c>
      <c r="K150" s="22">
        <v>1.0739099999999999</v>
      </c>
      <c r="L150">
        <f t="shared" si="24"/>
        <v>17.063456790123453</v>
      </c>
      <c r="M150">
        <f t="shared" si="25"/>
        <v>18.342874780246909</v>
      </c>
      <c r="N150" s="9"/>
      <c r="O150" s="22">
        <v>0.60501099999999997</v>
      </c>
      <c r="P150" s="22">
        <v>10.433199999999999</v>
      </c>
      <c r="Q150" s="22">
        <v>-1.3931300000000001E-2</v>
      </c>
      <c r="R150" s="22">
        <v>140</v>
      </c>
      <c r="S150" s="22">
        <v>0.60430899999999999</v>
      </c>
      <c r="T150">
        <f t="shared" si="26"/>
        <v>17.199135802469137</v>
      </c>
      <c r="U150">
        <f t="shared" si="27"/>
        <v>10.405666350987655</v>
      </c>
      <c r="X150" s="9"/>
      <c r="Y150" s="22">
        <v>1.07498</v>
      </c>
      <c r="Z150" s="22">
        <v>15.9054</v>
      </c>
      <c r="AA150" s="22">
        <v>-1.37695E-2</v>
      </c>
      <c r="AB150" s="22">
        <v>140</v>
      </c>
      <c r="AC150" s="22">
        <v>1.0732999999999999</v>
      </c>
      <c r="AD150">
        <f t="shared" si="28"/>
        <v>16.999382716049382</v>
      </c>
      <c r="AE150">
        <f t="shared" si="29"/>
        <v>18.273996432098766</v>
      </c>
      <c r="AF150" s="9"/>
      <c r="AG150" s="22">
        <v>0.60501099999999997</v>
      </c>
      <c r="AH150" s="22">
        <v>19.6844</v>
      </c>
      <c r="AI150" s="22">
        <v>-1.3952600000000001E-2</v>
      </c>
      <c r="AJ150" s="22">
        <v>140</v>
      </c>
      <c r="AK150" s="22">
        <v>0.60433999999999999</v>
      </c>
      <c r="AL150">
        <f t="shared" si="30"/>
        <v>17.225432098765431</v>
      </c>
      <c r="AM150">
        <f t="shared" si="31"/>
        <v>10.421575899506172</v>
      </c>
      <c r="AP150" s="9"/>
      <c r="AQ150" s="22">
        <v>1.07498</v>
      </c>
      <c r="AR150" s="22">
        <v>25.1267</v>
      </c>
      <c r="AS150" s="22">
        <v>-1.38123E-2</v>
      </c>
      <c r="AT150" s="22">
        <v>140</v>
      </c>
      <c r="AU150" s="22">
        <v>1.07422</v>
      </c>
      <c r="AV150">
        <f t="shared" si="32"/>
        <v>17.052222222222223</v>
      </c>
      <c r="AW150">
        <f t="shared" si="33"/>
        <v>18.330797844444447</v>
      </c>
      <c r="AX150" s="9"/>
      <c r="AY150" s="22">
        <v>0.60501099999999997</v>
      </c>
      <c r="AZ150" s="22">
        <v>28.9056</v>
      </c>
      <c r="BA150" s="22">
        <v>-1.3986200000000001E-2</v>
      </c>
      <c r="BB150" s="22">
        <v>140</v>
      </c>
      <c r="BC150" s="22">
        <v>0.60415600000000003</v>
      </c>
      <c r="BD150">
        <f t="shared" si="34"/>
        <v>17.266913580246914</v>
      </c>
      <c r="BE150">
        <f t="shared" si="35"/>
        <v>10.446672652098766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1.06995</v>
      </c>
      <c r="H151" s="22">
        <v>6.6643400000000002</v>
      </c>
      <c r="I151" s="22">
        <v>-1.38184E-2</v>
      </c>
      <c r="J151" s="22">
        <v>141</v>
      </c>
      <c r="K151" s="22">
        <v>1.06873</v>
      </c>
      <c r="L151">
        <f t="shared" si="24"/>
        <v>17.05975308641975</v>
      </c>
      <c r="M151">
        <f t="shared" si="25"/>
        <v>18.25308281481481</v>
      </c>
      <c r="N151" s="9"/>
      <c r="O151" s="22">
        <v>0.61004599999999998</v>
      </c>
      <c r="P151" s="22">
        <v>10.443199999999999</v>
      </c>
      <c r="Q151" s="22">
        <v>-1.39404E-2</v>
      </c>
      <c r="R151" s="22">
        <v>141</v>
      </c>
      <c r="S151" s="22">
        <v>0.60928300000000002</v>
      </c>
      <c r="T151">
        <f t="shared" si="26"/>
        <v>17.21037037037037</v>
      </c>
      <c r="U151">
        <f t="shared" si="27"/>
        <v>10.499117602962963</v>
      </c>
      <c r="X151" s="9"/>
      <c r="Y151" s="22">
        <v>1.06995</v>
      </c>
      <c r="Z151" s="22">
        <v>15.9155</v>
      </c>
      <c r="AA151" s="22">
        <v>-1.3781699999999999E-2</v>
      </c>
      <c r="AB151" s="22">
        <v>141</v>
      </c>
      <c r="AC151" s="22">
        <v>1.0684199999999999</v>
      </c>
      <c r="AD151">
        <f t="shared" si="28"/>
        <v>17.014444444444443</v>
      </c>
      <c r="AE151">
        <f t="shared" si="29"/>
        <v>18.204604833333331</v>
      </c>
      <c r="AF151" s="9"/>
      <c r="AG151" s="22">
        <v>0.61004599999999998</v>
      </c>
      <c r="AH151" s="22">
        <v>19.694400000000002</v>
      </c>
      <c r="AI151" s="22">
        <v>-1.3952600000000001E-2</v>
      </c>
      <c r="AJ151" s="22">
        <v>141</v>
      </c>
      <c r="AK151" s="22">
        <v>0.60925300000000004</v>
      </c>
      <c r="AL151">
        <f t="shared" si="30"/>
        <v>17.225432098765431</v>
      </c>
      <c r="AM151">
        <f t="shared" si="31"/>
        <v>10.508305950123455</v>
      </c>
      <c r="AP151" s="9"/>
      <c r="AQ151" s="22">
        <v>1.06995</v>
      </c>
      <c r="AR151" s="22">
        <v>25.136700000000001</v>
      </c>
      <c r="AS151" s="22">
        <v>-1.3806199999999999E-2</v>
      </c>
      <c r="AT151" s="22">
        <v>141</v>
      </c>
      <c r="AU151" s="22">
        <v>1.06873</v>
      </c>
      <c r="AV151">
        <f t="shared" si="32"/>
        <v>17.044691358024689</v>
      </c>
      <c r="AW151">
        <f t="shared" si="33"/>
        <v>18.236967518518515</v>
      </c>
      <c r="AX151" s="9"/>
      <c r="AY151" s="22">
        <v>0.61004599999999998</v>
      </c>
      <c r="AZ151" s="22">
        <v>28.915700000000001</v>
      </c>
      <c r="BA151" s="22">
        <v>-1.3992299999999999E-2</v>
      </c>
      <c r="BB151" s="22">
        <v>141</v>
      </c>
      <c r="BC151" s="22">
        <v>0.60922200000000004</v>
      </c>
      <c r="BD151">
        <f t="shared" si="34"/>
        <v>17.274444444444445</v>
      </c>
      <c r="BE151">
        <f t="shared" si="35"/>
        <v>10.538205735555556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1.06491</v>
      </c>
      <c r="H152" s="22">
        <v>6.67441</v>
      </c>
      <c r="I152" s="22">
        <v>-1.3821399999999999E-2</v>
      </c>
      <c r="J152" s="22">
        <v>142</v>
      </c>
      <c r="K152" s="22">
        <v>1.0638399999999999</v>
      </c>
      <c r="L152">
        <f t="shared" si="24"/>
        <v>17.063456790123453</v>
      </c>
      <c r="M152">
        <f t="shared" si="25"/>
        <v>18.171045770370366</v>
      </c>
      <c r="N152" s="9"/>
      <c r="O152" s="22">
        <v>0.61508200000000002</v>
      </c>
      <c r="P152" s="22">
        <v>10.4533</v>
      </c>
      <c r="Q152" s="22">
        <v>-1.3952600000000001E-2</v>
      </c>
      <c r="R152" s="22">
        <v>142</v>
      </c>
      <c r="S152" s="22">
        <v>0.61434900000000003</v>
      </c>
      <c r="T152">
        <f t="shared" si="26"/>
        <v>17.225432098765431</v>
      </c>
      <c r="U152">
        <f t="shared" si="27"/>
        <v>10.595053226172839</v>
      </c>
      <c r="X152" s="9"/>
      <c r="Y152" s="22">
        <v>1.06491</v>
      </c>
      <c r="Z152" s="22">
        <v>15.925599999999999</v>
      </c>
      <c r="AA152" s="22">
        <v>-1.3787799999999999E-2</v>
      </c>
      <c r="AB152" s="22">
        <v>142</v>
      </c>
      <c r="AC152" s="22">
        <v>1.0635399999999999</v>
      </c>
      <c r="AD152">
        <f t="shared" si="28"/>
        <v>17.021975308641974</v>
      </c>
      <c r="AE152">
        <f t="shared" si="29"/>
        <v>18.126871725925923</v>
      </c>
      <c r="AF152" s="9"/>
      <c r="AG152" s="22">
        <v>0.61508200000000002</v>
      </c>
      <c r="AH152" s="22">
        <v>19.704499999999999</v>
      </c>
      <c r="AI152" s="22">
        <v>-1.39557E-2</v>
      </c>
      <c r="AJ152" s="22">
        <v>142</v>
      </c>
      <c r="AK152" s="22">
        <v>0.61422699999999997</v>
      </c>
      <c r="AL152">
        <f t="shared" si="30"/>
        <v>17.229259259259258</v>
      </c>
      <c r="AM152">
        <f t="shared" si="31"/>
        <v>10.597407243703703</v>
      </c>
      <c r="AP152" s="9"/>
      <c r="AQ152" s="22">
        <v>1.06491</v>
      </c>
      <c r="AR152" s="22">
        <v>25.146799999999999</v>
      </c>
      <c r="AS152" s="22">
        <v>-1.3809200000000001E-2</v>
      </c>
      <c r="AT152" s="22">
        <v>142</v>
      </c>
      <c r="AU152" s="22">
        <v>1.0638399999999999</v>
      </c>
      <c r="AV152">
        <f t="shared" si="32"/>
        <v>17.048395061728392</v>
      </c>
      <c r="AW152">
        <f t="shared" si="33"/>
        <v>18.155006385185182</v>
      </c>
      <c r="AX152" s="9"/>
      <c r="AY152" s="22">
        <v>0.61508200000000002</v>
      </c>
      <c r="AZ152" s="22">
        <v>28.925699999999999</v>
      </c>
      <c r="BA152" s="22">
        <v>-1.3992299999999999E-2</v>
      </c>
      <c r="BB152" s="22">
        <v>142</v>
      </c>
      <c r="BC152" s="22">
        <v>0.61428799999999995</v>
      </c>
      <c r="BD152">
        <f t="shared" si="34"/>
        <v>17.274444444444445</v>
      </c>
      <c r="BE152">
        <f t="shared" si="35"/>
        <v>10.625199837777778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1.0598799999999999</v>
      </c>
      <c r="H153" s="22">
        <v>6.6844799999999998</v>
      </c>
      <c r="I153" s="22">
        <v>-1.38275E-2</v>
      </c>
      <c r="J153" s="22">
        <v>143</v>
      </c>
      <c r="K153" s="22">
        <v>1.0586500000000001</v>
      </c>
      <c r="L153">
        <f t="shared" si="24"/>
        <v>17.070987654320987</v>
      </c>
      <c r="M153">
        <f t="shared" si="25"/>
        <v>18.093198395061727</v>
      </c>
      <c r="N153" s="9"/>
      <c r="O153" s="22">
        <v>0.62011700000000003</v>
      </c>
      <c r="P153" s="22">
        <v>10.4634</v>
      </c>
      <c r="Q153" s="22">
        <v>-1.39618E-2</v>
      </c>
      <c r="R153" s="22">
        <v>143</v>
      </c>
      <c r="S153" s="22">
        <v>0.61932399999999999</v>
      </c>
      <c r="T153">
        <f t="shared" si="26"/>
        <v>17.236790123456789</v>
      </c>
      <c r="U153">
        <f t="shared" si="27"/>
        <v>10.688826580987653</v>
      </c>
      <c r="X153" s="9"/>
      <c r="Y153" s="22">
        <v>1.0598799999999999</v>
      </c>
      <c r="Z153" s="22">
        <v>15.935700000000001</v>
      </c>
      <c r="AA153" s="22">
        <v>-1.38E-2</v>
      </c>
      <c r="AB153" s="22">
        <v>143</v>
      </c>
      <c r="AC153" s="22">
        <v>1.0586500000000001</v>
      </c>
      <c r="AD153">
        <f t="shared" si="28"/>
        <v>17.037037037037035</v>
      </c>
      <c r="AE153">
        <f t="shared" si="29"/>
        <v>18.05721481481481</v>
      </c>
      <c r="AF153" s="9"/>
      <c r="AG153" s="22">
        <v>0.62011700000000003</v>
      </c>
      <c r="AH153" s="22">
        <v>19.714600000000001</v>
      </c>
      <c r="AI153" s="22">
        <v>-1.3964799999999999E-2</v>
      </c>
      <c r="AJ153" s="22">
        <v>143</v>
      </c>
      <c r="AK153" s="22">
        <v>0.61932399999999999</v>
      </c>
      <c r="AL153">
        <f t="shared" si="30"/>
        <v>17.240493827160492</v>
      </c>
      <c r="AM153">
        <f t="shared" si="31"/>
        <v>10.691123310617284</v>
      </c>
      <c r="AP153" s="9"/>
      <c r="AQ153" s="22">
        <v>1.0598799999999999</v>
      </c>
      <c r="AR153" s="22">
        <v>25.1569</v>
      </c>
      <c r="AS153" s="22">
        <v>-1.3815300000000001E-2</v>
      </c>
      <c r="AT153" s="22">
        <v>143</v>
      </c>
      <c r="AU153" s="22">
        <v>1.0592699999999999</v>
      </c>
      <c r="AV153">
        <f t="shared" si="32"/>
        <v>17.055925925925926</v>
      </c>
      <c r="AW153">
        <f t="shared" si="33"/>
        <v>18.077234770370371</v>
      </c>
      <c r="AX153" s="9"/>
      <c r="AY153" s="22">
        <v>0.62011700000000003</v>
      </c>
      <c r="AZ153" s="22">
        <v>28.9358</v>
      </c>
      <c r="BA153" s="22">
        <v>-1.3986200000000001E-2</v>
      </c>
      <c r="BB153" s="22">
        <v>143</v>
      </c>
      <c r="BC153" s="22">
        <v>0.61932399999999999</v>
      </c>
      <c r="BD153">
        <f t="shared" si="34"/>
        <v>17.266913580246914</v>
      </c>
      <c r="BE153">
        <f t="shared" si="35"/>
        <v>10.707506648641976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1.05484</v>
      </c>
      <c r="H154" s="22">
        <v>6.6945499999999996</v>
      </c>
      <c r="I154" s="22">
        <v>-1.38275E-2</v>
      </c>
      <c r="J154" s="22">
        <v>144</v>
      </c>
      <c r="K154" s="22">
        <v>1.0534699999999999</v>
      </c>
      <c r="L154">
        <f t="shared" si="24"/>
        <v>17.070987654320987</v>
      </c>
      <c r="M154">
        <f t="shared" si="25"/>
        <v>18.007160617283951</v>
      </c>
      <c r="N154" s="9"/>
      <c r="O154" s="22">
        <v>0.62515299999999996</v>
      </c>
      <c r="P154" s="22">
        <v>10.4735</v>
      </c>
      <c r="Q154" s="22">
        <v>-1.3964799999999999E-2</v>
      </c>
      <c r="R154" s="22">
        <v>144</v>
      </c>
      <c r="S154" s="22">
        <v>0.62432900000000002</v>
      </c>
      <c r="T154">
        <f t="shared" si="26"/>
        <v>17.240493827160492</v>
      </c>
      <c r="U154">
        <f t="shared" si="27"/>
        <v>10.777946437530863</v>
      </c>
      <c r="X154" s="9"/>
      <c r="Y154" s="22">
        <v>1.05484</v>
      </c>
      <c r="Z154" s="22">
        <v>15.9457</v>
      </c>
      <c r="AA154" s="22">
        <v>-1.38123E-2</v>
      </c>
      <c r="AB154" s="22">
        <v>144</v>
      </c>
      <c r="AC154" s="22">
        <v>1.0537700000000001</v>
      </c>
      <c r="AD154">
        <f t="shared" si="28"/>
        <v>17.052222222222223</v>
      </c>
      <c r="AE154">
        <f t="shared" si="29"/>
        <v>17.987366088888891</v>
      </c>
      <c r="AF154" s="9"/>
      <c r="AG154" s="22">
        <v>0.62515299999999996</v>
      </c>
      <c r="AH154" s="22">
        <v>19.724599999999999</v>
      </c>
      <c r="AI154" s="22">
        <v>-1.39709E-2</v>
      </c>
      <c r="AJ154" s="22">
        <v>144</v>
      </c>
      <c r="AK154" s="22">
        <v>0.62429800000000002</v>
      </c>
      <c r="AL154">
        <f t="shared" si="30"/>
        <v>17.248024691358022</v>
      </c>
      <c r="AM154">
        <f t="shared" si="31"/>
        <v>10.782654379876542</v>
      </c>
      <c r="AP154" s="9"/>
      <c r="AQ154" s="22">
        <v>1.05484</v>
      </c>
      <c r="AR154" s="22">
        <v>25.167000000000002</v>
      </c>
      <c r="AS154" s="22">
        <v>-1.38184E-2</v>
      </c>
      <c r="AT154" s="22">
        <v>144</v>
      </c>
      <c r="AU154" s="22">
        <v>1.0537700000000001</v>
      </c>
      <c r="AV154">
        <f t="shared" si="32"/>
        <v>17.05975308641975</v>
      </c>
      <c r="AW154">
        <f t="shared" si="33"/>
        <v>17.995309945679008</v>
      </c>
      <c r="AX154" s="9"/>
      <c r="AY154" s="22">
        <v>0.62515299999999996</v>
      </c>
      <c r="AZ154" s="22">
        <v>28.945900000000002</v>
      </c>
      <c r="BA154" s="22">
        <v>-1.3983199999999999E-2</v>
      </c>
      <c r="BB154" s="22">
        <v>144</v>
      </c>
      <c r="BC154" s="22">
        <v>0.624359</v>
      </c>
      <c r="BD154">
        <f t="shared" si="34"/>
        <v>17.263209876543208</v>
      </c>
      <c r="BE154">
        <f t="shared" si="35"/>
        <v>10.792147443950615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1.0498000000000001</v>
      </c>
      <c r="H155" s="22">
        <v>6.7046200000000002</v>
      </c>
      <c r="I155" s="22">
        <v>-1.38306E-2</v>
      </c>
      <c r="J155" s="22">
        <v>145</v>
      </c>
      <c r="K155" s="22">
        <v>1.0482800000000001</v>
      </c>
      <c r="L155">
        <f t="shared" si="24"/>
        <v>17.074814814814815</v>
      </c>
      <c r="M155">
        <f t="shared" si="25"/>
        <v>17.925140592592594</v>
      </c>
      <c r="N155" s="9"/>
      <c r="O155" s="22">
        <v>0.63018799999999997</v>
      </c>
      <c r="P155" s="22">
        <v>10.483499999999999</v>
      </c>
      <c r="Q155" s="22">
        <v>-1.39679E-2</v>
      </c>
      <c r="R155" s="22">
        <v>145</v>
      </c>
      <c r="S155" s="22">
        <v>0.62939500000000004</v>
      </c>
      <c r="T155">
        <f t="shared" si="26"/>
        <v>17.244320987654319</v>
      </c>
      <c r="U155">
        <f t="shared" si="27"/>
        <v>10.867164154567901</v>
      </c>
      <c r="X155" s="9"/>
      <c r="Y155" s="22">
        <v>1.0498000000000001</v>
      </c>
      <c r="Z155" s="22">
        <v>15.9558</v>
      </c>
      <c r="AA155" s="22">
        <v>-1.38245E-2</v>
      </c>
      <c r="AB155" s="22">
        <v>145</v>
      </c>
      <c r="AC155" s="22">
        <v>1.0485800000000001</v>
      </c>
      <c r="AD155">
        <f t="shared" si="28"/>
        <v>17.067283950617281</v>
      </c>
      <c r="AE155">
        <f t="shared" si="29"/>
        <v>17.917234691358022</v>
      </c>
      <c r="AF155" s="9"/>
      <c r="AG155" s="22">
        <v>0.63018799999999997</v>
      </c>
      <c r="AH155" s="22">
        <v>19.7347</v>
      </c>
      <c r="AI155" s="22">
        <v>-1.39679E-2</v>
      </c>
      <c r="AJ155" s="22">
        <v>145</v>
      </c>
      <c r="AK155" s="22">
        <v>0.62942500000000001</v>
      </c>
      <c r="AL155">
        <f t="shared" si="30"/>
        <v>17.244320987654319</v>
      </c>
      <c r="AM155">
        <f t="shared" si="31"/>
        <v>10.867164154567901</v>
      </c>
      <c r="AP155" s="9"/>
      <c r="AQ155" s="22">
        <v>1.0498000000000001</v>
      </c>
      <c r="AR155" s="22">
        <v>25.177</v>
      </c>
      <c r="AS155" s="22">
        <v>-1.3821399999999999E-2</v>
      </c>
      <c r="AT155" s="22">
        <v>145</v>
      </c>
      <c r="AU155" s="22">
        <v>1.0488900000000001</v>
      </c>
      <c r="AV155">
        <f t="shared" si="32"/>
        <v>17.063456790123453</v>
      </c>
      <c r="AW155">
        <f t="shared" si="33"/>
        <v>17.913216938271603</v>
      </c>
      <c r="AX155" s="9"/>
      <c r="AY155" s="22">
        <v>0.63018799999999997</v>
      </c>
      <c r="AZ155" s="22">
        <v>28.9559</v>
      </c>
      <c r="BA155" s="22">
        <v>-1.3983199999999999E-2</v>
      </c>
      <c r="BB155" s="22">
        <v>145</v>
      </c>
      <c r="BC155" s="22">
        <v>0.62945600000000002</v>
      </c>
      <c r="BD155">
        <f t="shared" si="34"/>
        <v>17.263209876543208</v>
      </c>
      <c r="BE155">
        <f t="shared" si="35"/>
        <v>10.879067705679011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1.04477</v>
      </c>
      <c r="H156" s="22">
        <v>6.71469</v>
      </c>
      <c r="I156" s="22">
        <v>-1.38367E-2</v>
      </c>
      <c r="J156" s="22">
        <v>146</v>
      </c>
      <c r="K156" s="22">
        <v>1.0430900000000001</v>
      </c>
      <c r="L156">
        <f t="shared" si="24"/>
        <v>17.082345679012345</v>
      </c>
      <c r="M156">
        <f t="shared" si="25"/>
        <v>17.847122295061727</v>
      </c>
      <c r="N156" s="9"/>
      <c r="O156" s="22">
        <v>0.63522299999999998</v>
      </c>
      <c r="P156" s="22">
        <v>10.493600000000001</v>
      </c>
      <c r="Q156" s="22">
        <v>-1.3964799999999999E-2</v>
      </c>
      <c r="R156" s="22">
        <v>146</v>
      </c>
      <c r="S156" s="22">
        <v>0.63436899999999996</v>
      </c>
      <c r="T156">
        <f t="shared" si="26"/>
        <v>17.240493827160492</v>
      </c>
      <c r="U156">
        <f t="shared" si="27"/>
        <v>10.951558210370369</v>
      </c>
      <c r="X156" s="9"/>
      <c r="Y156" s="22">
        <v>1.04477</v>
      </c>
      <c r="Z156" s="22">
        <v>15.9659</v>
      </c>
      <c r="AA156" s="22">
        <v>-1.38275E-2</v>
      </c>
      <c r="AB156" s="22">
        <v>146</v>
      </c>
      <c r="AC156" s="22">
        <v>1.0434000000000001</v>
      </c>
      <c r="AD156">
        <f t="shared" si="28"/>
        <v>17.070987654320987</v>
      </c>
      <c r="AE156">
        <f t="shared" si="29"/>
        <v>17.835255771604938</v>
      </c>
      <c r="AF156" s="9"/>
      <c r="AG156" s="22">
        <v>0.63522299999999998</v>
      </c>
      <c r="AH156" s="22">
        <v>19.744800000000001</v>
      </c>
      <c r="AI156" s="22">
        <v>-1.39679E-2</v>
      </c>
      <c r="AJ156" s="22">
        <v>146</v>
      </c>
      <c r="AK156" s="22">
        <v>0.63443000000000005</v>
      </c>
      <c r="AL156">
        <f t="shared" si="30"/>
        <v>17.244320987654319</v>
      </c>
      <c r="AM156">
        <f t="shared" si="31"/>
        <v>10.95398931074074</v>
      </c>
      <c r="AP156" s="9"/>
      <c r="AQ156" s="22">
        <v>1.04477</v>
      </c>
      <c r="AR156" s="22">
        <v>25.187100000000001</v>
      </c>
      <c r="AS156" s="22">
        <v>-1.38306E-2</v>
      </c>
      <c r="AT156" s="22">
        <v>146</v>
      </c>
      <c r="AU156" s="22">
        <v>1.0440100000000001</v>
      </c>
      <c r="AV156">
        <f t="shared" si="32"/>
        <v>17.074814814814815</v>
      </c>
      <c r="AW156">
        <f t="shared" si="33"/>
        <v>17.839254274074072</v>
      </c>
      <c r="AX156" s="9"/>
      <c r="AY156" s="22">
        <v>0.63522299999999998</v>
      </c>
      <c r="AZ156" s="22">
        <v>28.966000000000001</v>
      </c>
      <c r="BA156" s="22">
        <v>-1.3980100000000001E-2</v>
      </c>
      <c r="BB156" s="22">
        <v>146</v>
      </c>
      <c r="BC156" s="22">
        <v>0.63443000000000005</v>
      </c>
      <c r="BD156">
        <f t="shared" si="34"/>
        <v>17.259382716049384</v>
      </c>
      <c r="BE156">
        <f t="shared" si="35"/>
        <v>10.963556867037038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1.03973</v>
      </c>
      <c r="H157" s="22">
        <v>6.7247599999999998</v>
      </c>
      <c r="I157" s="22">
        <v>-1.38367E-2</v>
      </c>
      <c r="J157" s="22">
        <v>147</v>
      </c>
      <c r="K157" s="22">
        <v>1.0388200000000001</v>
      </c>
      <c r="L157">
        <f t="shared" si="24"/>
        <v>17.082345679012345</v>
      </c>
      <c r="M157">
        <f t="shared" si="25"/>
        <v>17.761027272839506</v>
      </c>
      <c r="N157" s="9"/>
      <c r="O157" s="22">
        <v>0.64025900000000002</v>
      </c>
      <c r="P157" s="22">
        <v>10.5037</v>
      </c>
      <c r="Q157" s="22">
        <v>-1.3958699999999999E-2</v>
      </c>
      <c r="R157" s="22">
        <v>147</v>
      </c>
      <c r="S157" s="22">
        <v>0.63931300000000002</v>
      </c>
      <c r="T157">
        <f t="shared" si="26"/>
        <v>17.232962962962961</v>
      </c>
      <c r="U157">
        <f t="shared" si="27"/>
        <v>11.033559633703703</v>
      </c>
      <c r="X157" s="9"/>
      <c r="Y157" s="22">
        <v>1.03973</v>
      </c>
      <c r="Z157" s="22">
        <v>15.975899999999999</v>
      </c>
      <c r="AA157" s="22">
        <v>-1.38245E-2</v>
      </c>
      <c r="AB157" s="22">
        <v>147</v>
      </c>
      <c r="AC157" s="22">
        <v>1.0388200000000001</v>
      </c>
      <c r="AD157">
        <f t="shared" si="28"/>
        <v>17.067283950617281</v>
      </c>
      <c r="AE157">
        <f t="shared" si="29"/>
        <v>17.745367141975304</v>
      </c>
      <c r="AF157" s="9"/>
      <c r="AG157" s="22">
        <v>0.64025900000000002</v>
      </c>
      <c r="AH157" s="22">
        <v>19.754799999999999</v>
      </c>
      <c r="AI157" s="22">
        <v>-1.39679E-2</v>
      </c>
      <c r="AJ157" s="22">
        <v>147</v>
      </c>
      <c r="AK157" s="22">
        <v>0.63946499999999995</v>
      </c>
      <c r="AL157">
        <f t="shared" si="30"/>
        <v>17.244320987654319</v>
      </c>
      <c r="AM157">
        <f t="shared" si="31"/>
        <v>11.040831711234567</v>
      </c>
      <c r="AP157" s="9"/>
      <c r="AQ157" s="22">
        <v>1.03973</v>
      </c>
      <c r="AR157" s="22">
        <v>25.197199999999999</v>
      </c>
      <c r="AS157" s="22">
        <v>-1.38397E-2</v>
      </c>
      <c r="AT157" s="22">
        <v>147</v>
      </c>
      <c r="AU157" s="22">
        <v>1.0382100000000001</v>
      </c>
      <c r="AV157">
        <f t="shared" si="32"/>
        <v>17.086049382716048</v>
      </c>
      <c r="AW157">
        <f t="shared" si="33"/>
        <v>17.764878124691357</v>
      </c>
      <c r="AX157" s="9"/>
      <c r="AY157" s="22">
        <v>0.64025900000000002</v>
      </c>
      <c r="AZ157" s="22">
        <v>28.976099999999999</v>
      </c>
      <c r="BA157" s="22">
        <v>-1.3983199999999999E-2</v>
      </c>
      <c r="BB157" s="22">
        <v>147</v>
      </c>
      <c r="BC157" s="22">
        <v>0.63952600000000004</v>
      </c>
      <c r="BD157">
        <f t="shared" si="34"/>
        <v>17.263209876543208</v>
      </c>
      <c r="BE157">
        <f t="shared" si="35"/>
        <v>11.052925492345677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1.0347</v>
      </c>
      <c r="H158" s="22">
        <v>6.7348299999999997</v>
      </c>
      <c r="I158" s="22">
        <v>-1.38367E-2</v>
      </c>
      <c r="J158" s="22">
        <v>148</v>
      </c>
      <c r="K158" s="22">
        <v>1.0339400000000001</v>
      </c>
      <c r="L158">
        <f t="shared" si="24"/>
        <v>17.082345679012345</v>
      </c>
      <c r="M158">
        <f t="shared" si="25"/>
        <v>17.675103074074073</v>
      </c>
      <c r="N158" s="9"/>
      <c r="O158" s="22">
        <v>0.64529400000000003</v>
      </c>
      <c r="P158" s="22">
        <v>10.5137</v>
      </c>
      <c r="Q158" s="22">
        <v>-1.3952600000000001E-2</v>
      </c>
      <c r="R158" s="22">
        <v>148</v>
      </c>
      <c r="S158" s="22">
        <v>0.64459200000000005</v>
      </c>
      <c r="T158">
        <f t="shared" si="26"/>
        <v>17.225432098765431</v>
      </c>
      <c r="U158">
        <f t="shared" si="27"/>
        <v>11.115467980740741</v>
      </c>
      <c r="X158" s="9"/>
      <c r="Y158" s="22">
        <v>1.0347</v>
      </c>
      <c r="Z158" s="22">
        <v>15.986000000000001</v>
      </c>
      <c r="AA158" s="22">
        <v>-1.38245E-2</v>
      </c>
      <c r="AB158" s="22">
        <v>148</v>
      </c>
      <c r="AC158" s="22">
        <v>1.0333300000000001</v>
      </c>
      <c r="AD158">
        <f t="shared" si="28"/>
        <v>17.067283950617281</v>
      </c>
      <c r="AE158">
        <f t="shared" si="29"/>
        <v>17.6595187037037</v>
      </c>
      <c r="AF158" s="9"/>
      <c r="AG158" s="22">
        <v>0.64529400000000003</v>
      </c>
      <c r="AH158" s="22">
        <v>19.764900000000001</v>
      </c>
      <c r="AI158" s="22">
        <v>-1.39679E-2</v>
      </c>
      <c r="AJ158" s="22">
        <v>148</v>
      </c>
      <c r="AK158" s="22">
        <v>0.64446999999999999</v>
      </c>
      <c r="AL158">
        <f t="shared" si="30"/>
        <v>17.244320987654319</v>
      </c>
      <c r="AM158">
        <f t="shared" si="31"/>
        <v>11.127656867407406</v>
      </c>
      <c r="AP158" s="9"/>
      <c r="AQ158" s="22">
        <v>1.0347</v>
      </c>
      <c r="AR158" s="22">
        <v>25.2072</v>
      </c>
      <c r="AS158" s="22">
        <v>-1.38458E-2</v>
      </c>
      <c r="AT158" s="22">
        <v>148</v>
      </c>
      <c r="AU158" s="22">
        <v>1.0339400000000001</v>
      </c>
      <c r="AV158">
        <f t="shared" si="32"/>
        <v>17.093580246913579</v>
      </c>
      <c r="AW158">
        <f t="shared" si="33"/>
        <v>17.68672748148148</v>
      </c>
      <c r="AX158" s="9"/>
      <c r="AY158" s="22">
        <v>0.64529400000000003</v>
      </c>
      <c r="AZ158" s="22">
        <v>28.9862</v>
      </c>
      <c r="BA158" s="22">
        <v>-1.3980100000000001E-2</v>
      </c>
      <c r="BB158" s="22">
        <v>148</v>
      </c>
      <c r="BC158" s="22">
        <v>0.64444000000000001</v>
      </c>
      <c r="BD158">
        <f t="shared" si="34"/>
        <v>17.259382716049384</v>
      </c>
      <c r="BE158">
        <f t="shared" si="35"/>
        <v>11.137376110370372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1.02966</v>
      </c>
      <c r="H159" s="22">
        <v>6.7449000000000003</v>
      </c>
      <c r="I159" s="22">
        <v>-1.38458E-2</v>
      </c>
      <c r="J159" s="22">
        <v>149</v>
      </c>
      <c r="K159" s="22">
        <v>1.02783</v>
      </c>
      <c r="L159">
        <f t="shared" si="24"/>
        <v>17.093580246913579</v>
      </c>
      <c r="M159">
        <f t="shared" si="25"/>
        <v>17.600575837037034</v>
      </c>
      <c r="N159" s="9"/>
      <c r="O159" s="22">
        <v>0.65032999999999996</v>
      </c>
      <c r="P159" s="22">
        <v>10.5238</v>
      </c>
      <c r="Q159" s="22">
        <v>-1.3943499999999999E-2</v>
      </c>
      <c r="R159" s="22">
        <v>149</v>
      </c>
      <c r="S159" s="22">
        <v>0.649536</v>
      </c>
      <c r="T159">
        <f t="shared" si="26"/>
        <v>17.214197530864197</v>
      </c>
      <c r="U159">
        <f t="shared" si="27"/>
        <v>11.194909080246912</v>
      </c>
      <c r="X159" s="9"/>
      <c r="Y159" s="22">
        <v>1.02966</v>
      </c>
      <c r="Z159" s="22">
        <v>15.9961</v>
      </c>
      <c r="AA159" s="22">
        <v>-1.38245E-2</v>
      </c>
      <c r="AB159" s="22">
        <v>149</v>
      </c>
      <c r="AC159" s="22">
        <v>1.02844</v>
      </c>
      <c r="AD159">
        <f t="shared" si="28"/>
        <v>17.067283950617281</v>
      </c>
      <c r="AE159">
        <f t="shared" si="29"/>
        <v>17.57349959259259</v>
      </c>
      <c r="AF159" s="9"/>
      <c r="AG159" s="22">
        <v>0.65032999999999996</v>
      </c>
      <c r="AH159" s="22">
        <v>19.774999999999999</v>
      </c>
      <c r="AI159" s="22">
        <v>-1.39618E-2</v>
      </c>
      <c r="AJ159" s="22">
        <v>149</v>
      </c>
      <c r="AK159" s="22">
        <v>0.649536</v>
      </c>
      <c r="AL159">
        <f t="shared" si="30"/>
        <v>17.236790123456789</v>
      </c>
      <c r="AM159">
        <f t="shared" si="31"/>
        <v>11.209601720987653</v>
      </c>
      <c r="AP159" s="9"/>
      <c r="AQ159" s="22">
        <v>1.02966</v>
      </c>
      <c r="AR159" s="22">
        <v>25.217300000000002</v>
      </c>
      <c r="AS159" s="22">
        <v>-1.3854999999999999E-2</v>
      </c>
      <c r="AT159" s="22">
        <v>149</v>
      </c>
      <c r="AU159" s="22">
        <v>1.0287500000000001</v>
      </c>
      <c r="AV159">
        <f t="shared" si="32"/>
        <v>17.104938271604937</v>
      </c>
      <c r="AW159">
        <f t="shared" si="33"/>
        <v>17.61227074074074</v>
      </c>
      <c r="AX159" s="9"/>
      <c r="AY159" s="22">
        <v>0.65032999999999996</v>
      </c>
      <c r="AZ159" s="22">
        <v>28.996200000000002</v>
      </c>
      <c r="BA159" s="22">
        <v>-1.3974E-2</v>
      </c>
      <c r="BB159" s="22">
        <v>149</v>
      </c>
      <c r="BC159" s="22">
        <v>0.64956700000000001</v>
      </c>
      <c r="BD159">
        <f t="shared" si="34"/>
        <v>17.251851851851853</v>
      </c>
      <c r="BE159">
        <f t="shared" si="35"/>
        <v>11.219396814814814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1.0246299999999999</v>
      </c>
      <c r="H160" s="22">
        <v>6.7549700000000001</v>
      </c>
      <c r="I160" s="22">
        <v>-1.3854999999999999E-2</v>
      </c>
      <c r="J160" s="22">
        <v>150</v>
      </c>
      <c r="K160" s="22">
        <v>1.02386</v>
      </c>
      <c r="L160">
        <f t="shared" si="24"/>
        <v>17.104938271604937</v>
      </c>
      <c r="M160">
        <f t="shared" si="25"/>
        <v>17.526232901234565</v>
      </c>
      <c r="N160" s="9"/>
      <c r="O160" s="22">
        <v>0.65536499999999998</v>
      </c>
      <c r="P160" s="22">
        <v>10.533899999999999</v>
      </c>
      <c r="Q160" s="22">
        <v>-1.3931300000000001E-2</v>
      </c>
      <c r="R160" s="22">
        <v>150</v>
      </c>
      <c r="S160" s="22">
        <v>0.65466299999999999</v>
      </c>
      <c r="T160">
        <f t="shared" si="26"/>
        <v>17.199135802469137</v>
      </c>
      <c r="U160">
        <f t="shared" si="27"/>
        <v>11.271711635185186</v>
      </c>
      <c r="X160" s="9"/>
      <c r="Y160" s="22">
        <v>1.0246299999999999</v>
      </c>
      <c r="Z160" s="22">
        <v>16.0062</v>
      </c>
      <c r="AA160" s="22">
        <v>-1.38306E-2</v>
      </c>
      <c r="AB160" s="22">
        <v>150</v>
      </c>
      <c r="AC160" s="22">
        <v>1.02356</v>
      </c>
      <c r="AD160">
        <f t="shared" si="28"/>
        <v>17.074814814814815</v>
      </c>
      <c r="AE160">
        <f t="shared" si="29"/>
        <v>17.495367503703701</v>
      </c>
      <c r="AF160" s="9"/>
      <c r="AG160" s="22">
        <v>0.65536499999999998</v>
      </c>
      <c r="AH160" s="22">
        <v>19.7851</v>
      </c>
      <c r="AI160" s="22">
        <v>-1.3952600000000001E-2</v>
      </c>
      <c r="AJ160" s="22">
        <v>150</v>
      </c>
      <c r="AK160" s="22">
        <v>0.65460200000000002</v>
      </c>
      <c r="AL160">
        <f t="shared" si="30"/>
        <v>17.225432098765431</v>
      </c>
      <c r="AM160">
        <f t="shared" si="31"/>
        <v>11.288945307407406</v>
      </c>
      <c r="AP160" s="9"/>
      <c r="AQ160" s="22">
        <v>1.0246299999999999</v>
      </c>
      <c r="AR160" s="22">
        <v>25.227399999999999</v>
      </c>
      <c r="AS160" s="22">
        <v>-1.3854999999999999E-2</v>
      </c>
      <c r="AT160" s="22">
        <v>150</v>
      </c>
      <c r="AU160" s="22">
        <v>1.02386</v>
      </c>
      <c r="AV160">
        <f t="shared" si="32"/>
        <v>17.104938271604937</v>
      </c>
      <c r="AW160">
        <f t="shared" si="33"/>
        <v>17.526232901234565</v>
      </c>
      <c r="AX160" s="9"/>
      <c r="AY160" s="22">
        <v>0.65536499999999998</v>
      </c>
      <c r="AZ160" s="22">
        <v>29.0063</v>
      </c>
      <c r="BA160" s="22">
        <v>-1.39709E-2</v>
      </c>
      <c r="BB160" s="22">
        <v>150</v>
      </c>
      <c r="BC160" s="22">
        <v>0.65457200000000004</v>
      </c>
      <c r="BD160">
        <f t="shared" si="34"/>
        <v>17.248024691358022</v>
      </c>
      <c r="BE160">
        <f t="shared" si="35"/>
        <v>11.30375170185185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1.01959</v>
      </c>
      <c r="H161" s="22">
        <v>6.7650499999999996</v>
      </c>
      <c r="I161" s="22">
        <v>-1.3858000000000001E-2</v>
      </c>
      <c r="J161" s="22">
        <v>151</v>
      </c>
      <c r="K161" s="22">
        <v>1.01837</v>
      </c>
      <c r="L161">
        <f t="shared" si="24"/>
        <v>17.10864197530864</v>
      </c>
      <c r="M161">
        <f t="shared" si="25"/>
        <v>17.443800271604935</v>
      </c>
      <c r="N161" s="9"/>
      <c r="O161" s="22">
        <v>0.66039999999999999</v>
      </c>
      <c r="P161" s="22">
        <v>10.544</v>
      </c>
      <c r="Q161" s="22">
        <v>-1.39282E-2</v>
      </c>
      <c r="R161" s="22">
        <v>151</v>
      </c>
      <c r="S161" s="22">
        <v>0.65966800000000003</v>
      </c>
      <c r="T161">
        <f t="shared" si="26"/>
        <v>17.195308641975309</v>
      </c>
      <c r="U161">
        <f t="shared" si="27"/>
        <v>11.355781827160493</v>
      </c>
      <c r="X161" s="9"/>
      <c r="Y161" s="22">
        <v>1.01959</v>
      </c>
      <c r="Z161" s="22">
        <v>16.016200000000001</v>
      </c>
      <c r="AA161" s="22">
        <v>-1.38336E-2</v>
      </c>
      <c r="AB161" s="22">
        <v>151</v>
      </c>
      <c r="AC161" s="22">
        <v>1.01868</v>
      </c>
      <c r="AD161">
        <f t="shared" si="28"/>
        <v>17.078518518518518</v>
      </c>
      <c r="AE161">
        <f t="shared" si="29"/>
        <v>17.413086696296297</v>
      </c>
      <c r="AF161" s="9"/>
      <c r="AG161" s="22">
        <v>0.66039999999999999</v>
      </c>
      <c r="AH161" s="22">
        <v>19.795100000000001</v>
      </c>
      <c r="AI161" s="22">
        <v>-1.3946500000000001E-2</v>
      </c>
      <c r="AJ161" s="22">
        <v>151</v>
      </c>
      <c r="AK161" s="22">
        <v>0.65957600000000005</v>
      </c>
      <c r="AL161">
        <f t="shared" si="30"/>
        <v>17.217901234567901</v>
      </c>
      <c r="AM161">
        <f t="shared" si="31"/>
        <v>11.370701975308641</v>
      </c>
      <c r="AP161" s="9"/>
      <c r="AQ161" s="22">
        <v>1.01959</v>
      </c>
      <c r="AR161" s="22">
        <v>25.237500000000001</v>
      </c>
      <c r="AS161" s="22">
        <v>-1.3858000000000001E-2</v>
      </c>
      <c r="AT161" s="22">
        <v>151</v>
      </c>
      <c r="AU161" s="22">
        <v>1.01807</v>
      </c>
      <c r="AV161">
        <f t="shared" si="32"/>
        <v>17.10864197530864</v>
      </c>
      <c r="AW161">
        <f t="shared" si="33"/>
        <v>17.443800271604935</v>
      </c>
      <c r="AX161" s="9"/>
      <c r="AY161" s="22">
        <v>0.66039999999999999</v>
      </c>
      <c r="AZ161" s="22">
        <v>29.016400000000001</v>
      </c>
      <c r="BA161" s="22">
        <v>-1.39618E-2</v>
      </c>
      <c r="BB161" s="22">
        <v>151</v>
      </c>
      <c r="BC161" s="22">
        <v>0.65963700000000003</v>
      </c>
      <c r="BD161">
        <f t="shared" si="34"/>
        <v>17.236790123456789</v>
      </c>
      <c r="BE161">
        <f t="shared" si="35"/>
        <v>11.383176197530863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1.0145599999999999</v>
      </c>
      <c r="H162" s="22">
        <v>6.7751200000000003</v>
      </c>
      <c r="I162" s="22">
        <v>-1.3854999999999999E-2</v>
      </c>
      <c r="J162" s="22">
        <v>152</v>
      </c>
      <c r="K162" s="22">
        <v>1.01318</v>
      </c>
      <c r="L162">
        <f t="shared" si="24"/>
        <v>17.104938271604937</v>
      </c>
      <c r="M162">
        <f t="shared" si="25"/>
        <v>17.353986172839502</v>
      </c>
      <c r="N162" s="9"/>
      <c r="O162" s="22">
        <v>0.66543600000000003</v>
      </c>
      <c r="P162" s="22">
        <v>10.554</v>
      </c>
      <c r="Q162" s="22">
        <v>-1.3931300000000001E-2</v>
      </c>
      <c r="R162" s="22">
        <v>152</v>
      </c>
      <c r="S162" s="22">
        <v>0.66464199999999996</v>
      </c>
      <c r="T162">
        <f t="shared" si="26"/>
        <v>17.199135802469137</v>
      </c>
      <c r="U162">
        <f t="shared" si="27"/>
        <v>11.444924131851852</v>
      </c>
      <c r="X162" s="9"/>
      <c r="Y162" s="22">
        <v>1.0145599999999999</v>
      </c>
      <c r="Z162" s="22">
        <v>16.026299999999999</v>
      </c>
      <c r="AA162" s="22">
        <v>-1.38336E-2</v>
      </c>
      <c r="AB162" s="22">
        <v>152</v>
      </c>
      <c r="AC162" s="22">
        <v>1.01379</v>
      </c>
      <c r="AD162">
        <f t="shared" si="28"/>
        <v>17.078518518518518</v>
      </c>
      <c r="AE162">
        <f t="shared" si="29"/>
        <v>17.327181748148146</v>
      </c>
      <c r="AF162" s="9"/>
      <c r="AG162" s="22">
        <v>0.66543600000000003</v>
      </c>
      <c r="AH162" s="22">
        <v>19.805199999999999</v>
      </c>
      <c r="AI162" s="22">
        <v>-1.39343E-2</v>
      </c>
      <c r="AJ162" s="22">
        <v>152</v>
      </c>
      <c r="AK162" s="22">
        <v>0.66461199999999998</v>
      </c>
      <c r="AL162">
        <f t="shared" si="30"/>
        <v>17.202839506172836</v>
      </c>
      <c r="AM162">
        <f t="shared" si="31"/>
        <v>11.447388709629628</v>
      </c>
      <c r="AP162" s="9"/>
      <c r="AQ162" s="22">
        <v>1.0145599999999999</v>
      </c>
      <c r="AR162" s="22">
        <v>25.247499999999999</v>
      </c>
      <c r="AS162" s="22">
        <v>-1.3861099999999999E-2</v>
      </c>
      <c r="AT162" s="22">
        <v>152</v>
      </c>
      <c r="AU162" s="22">
        <v>1.01349</v>
      </c>
      <c r="AV162">
        <f t="shared" si="32"/>
        <v>17.112469135802467</v>
      </c>
      <c r="AW162">
        <f t="shared" si="33"/>
        <v>17.361626686419751</v>
      </c>
      <c r="AX162" s="9"/>
      <c r="AY162" s="22">
        <v>0.66543600000000003</v>
      </c>
      <c r="AZ162" s="22">
        <v>29.026399999999999</v>
      </c>
      <c r="BA162" s="22">
        <v>-1.3964799999999999E-2</v>
      </c>
      <c r="BB162" s="22">
        <v>152</v>
      </c>
      <c r="BC162" s="22">
        <v>0.66464199999999996</v>
      </c>
      <c r="BD162">
        <f t="shared" si="34"/>
        <v>17.240493827160492</v>
      </c>
      <c r="BE162">
        <f t="shared" si="35"/>
        <v>11.47244525037037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1.00952</v>
      </c>
      <c r="H163" s="22">
        <v>6.7851900000000001</v>
      </c>
      <c r="I163" s="22">
        <v>-1.38519E-2</v>
      </c>
      <c r="J163" s="22">
        <v>153</v>
      </c>
      <c r="K163" s="22">
        <v>1.0083</v>
      </c>
      <c r="L163">
        <f t="shared" si="24"/>
        <v>17.101111111111113</v>
      </c>
      <c r="M163">
        <f t="shared" si="25"/>
        <v>17.263913688888891</v>
      </c>
      <c r="N163" s="9"/>
      <c r="O163" s="22">
        <v>0.67047100000000004</v>
      </c>
      <c r="P163" s="22">
        <v>10.5641</v>
      </c>
      <c r="Q163" s="22">
        <v>-1.39343E-2</v>
      </c>
      <c r="R163" s="22">
        <v>153</v>
      </c>
      <c r="S163" s="22">
        <v>0.66976899999999995</v>
      </c>
      <c r="T163">
        <f t="shared" si="26"/>
        <v>17.202839506172836</v>
      </c>
      <c r="U163">
        <f t="shared" si="27"/>
        <v>11.534005006543207</v>
      </c>
      <c r="X163" s="9"/>
      <c r="Y163" s="22">
        <v>1.00952</v>
      </c>
      <c r="Z163" s="22">
        <v>16.0364</v>
      </c>
      <c r="AA163" s="22">
        <v>-1.38397E-2</v>
      </c>
      <c r="AB163" s="22">
        <v>153</v>
      </c>
      <c r="AC163" s="22">
        <v>1.00861</v>
      </c>
      <c r="AD163">
        <f t="shared" si="28"/>
        <v>17.086049382716048</v>
      </c>
      <c r="AE163">
        <f t="shared" si="29"/>
        <v>17.248708572839504</v>
      </c>
      <c r="AF163" s="9"/>
      <c r="AG163" s="22">
        <v>0.67047100000000004</v>
      </c>
      <c r="AH163" s="22">
        <v>19.815300000000001</v>
      </c>
      <c r="AI163" s="22">
        <v>-1.3931300000000001E-2</v>
      </c>
      <c r="AJ163" s="22">
        <v>153</v>
      </c>
      <c r="AK163" s="22">
        <v>0.66958600000000001</v>
      </c>
      <c r="AL163">
        <f t="shared" si="30"/>
        <v>17.199135802469137</v>
      </c>
      <c r="AM163">
        <f t="shared" si="31"/>
        <v>11.531521780617284</v>
      </c>
      <c r="AP163" s="9"/>
      <c r="AQ163" s="22">
        <v>1.00952</v>
      </c>
      <c r="AR163" s="22">
        <v>25.2576</v>
      </c>
      <c r="AS163" s="22">
        <v>-1.38672E-2</v>
      </c>
      <c r="AT163" s="22">
        <v>153</v>
      </c>
      <c r="AU163" s="22">
        <v>1.008</v>
      </c>
      <c r="AV163">
        <f t="shared" si="32"/>
        <v>17.12</v>
      </c>
      <c r="AW163">
        <f t="shared" si="33"/>
        <v>17.282982400000002</v>
      </c>
      <c r="AX163" s="9"/>
      <c r="AY163" s="22">
        <v>0.67047100000000004</v>
      </c>
      <c r="AZ163" s="22">
        <v>29.0365</v>
      </c>
      <c r="BA163" s="22">
        <v>-1.39557E-2</v>
      </c>
      <c r="BB163" s="22">
        <v>153</v>
      </c>
      <c r="BC163" s="22">
        <v>0.669678</v>
      </c>
      <c r="BD163">
        <f t="shared" si="34"/>
        <v>17.229259259259258</v>
      </c>
      <c r="BE163">
        <f t="shared" si="35"/>
        <v>11.551718684814816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1.0044900000000001</v>
      </c>
      <c r="H164" s="22">
        <v>6.7952599999999999</v>
      </c>
      <c r="I164" s="22">
        <v>-1.38458E-2</v>
      </c>
      <c r="J164" s="22">
        <v>154</v>
      </c>
      <c r="K164" s="22">
        <v>1.0037199999999999</v>
      </c>
      <c r="L164">
        <f t="shared" si="24"/>
        <v>17.093580246913579</v>
      </c>
      <c r="M164">
        <f t="shared" si="25"/>
        <v>17.170330422222222</v>
      </c>
      <c r="N164" s="9"/>
      <c r="O164" s="22">
        <v>0.67550699999999997</v>
      </c>
      <c r="P164" s="22">
        <v>10.574199999999999</v>
      </c>
      <c r="Q164" s="22">
        <v>-1.3937400000000001E-2</v>
      </c>
      <c r="R164" s="22">
        <v>154</v>
      </c>
      <c r="S164" s="22">
        <v>0.67465200000000003</v>
      </c>
      <c r="T164">
        <f t="shared" si="26"/>
        <v>17.206666666666667</v>
      </c>
      <c r="U164">
        <f t="shared" si="27"/>
        <v>11.62322378</v>
      </c>
      <c r="X164" s="9"/>
      <c r="Y164" s="22">
        <v>1.0044900000000001</v>
      </c>
      <c r="Z164" s="22">
        <v>16.046399999999998</v>
      </c>
      <c r="AA164" s="22">
        <v>-1.3848900000000001E-2</v>
      </c>
      <c r="AB164" s="22">
        <v>154</v>
      </c>
      <c r="AC164" s="22">
        <v>1.00281</v>
      </c>
      <c r="AD164">
        <f t="shared" si="28"/>
        <v>17.09740740740741</v>
      </c>
      <c r="AE164">
        <f t="shared" si="29"/>
        <v>17.17417476666667</v>
      </c>
      <c r="AF164" s="9"/>
      <c r="AG164" s="22">
        <v>0.67550699999999997</v>
      </c>
      <c r="AH164" s="22">
        <v>19.825299999999999</v>
      </c>
      <c r="AI164" s="22">
        <v>-1.39221E-2</v>
      </c>
      <c r="AJ164" s="22">
        <v>154</v>
      </c>
      <c r="AK164" s="22">
        <v>0.67471300000000001</v>
      </c>
      <c r="AL164">
        <f t="shared" si="30"/>
        <v>17.187777777777779</v>
      </c>
      <c r="AM164">
        <f t="shared" si="31"/>
        <v>11.610464203333333</v>
      </c>
      <c r="AP164" s="9"/>
      <c r="AQ164" s="22">
        <v>1.0044900000000001</v>
      </c>
      <c r="AR164" s="22">
        <v>25.267700000000001</v>
      </c>
      <c r="AS164" s="22">
        <v>-1.3864100000000001E-2</v>
      </c>
      <c r="AT164" s="22">
        <v>154</v>
      </c>
      <c r="AU164" s="22">
        <v>1.0037199999999999</v>
      </c>
      <c r="AV164">
        <f t="shared" si="32"/>
        <v>17.11617283950617</v>
      </c>
      <c r="AW164">
        <f t="shared" si="33"/>
        <v>17.193024455555555</v>
      </c>
      <c r="AX164" s="9"/>
      <c r="AY164" s="22">
        <v>0.67550699999999997</v>
      </c>
      <c r="AZ164" s="22">
        <v>29.046600000000002</v>
      </c>
      <c r="BA164" s="22">
        <v>-1.3958699999999999E-2</v>
      </c>
      <c r="BB164" s="22">
        <v>154</v>
      </c>
      <c r="BC164" s="22">
        <v>0.67465200000000003</v>
      </c>
      <c r="BD164">
        <f t="shared" si="34"/>
        <v>17.232962962962961</v>
      </c>
      <c r="BE164">
        <f t="shared" si="35"/>
        <v>11.64098711222222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0.99945099999999998</v>
      </c>
      <c r="H165" s="22">
        <v>6.8053299999999997</v>
      </c>
      <c r="I165" s="22">
        <v>-1.3854999999999999E-2</v>
      </c>
      <c r="J165" s="22">
        <v>155</v>
      </c>
      <c r="K165" s="22">
        <v>0.99883999999999995</v>
      </c>
      <c r="L165">
        <f t="shared" si="24"/>
        <v>17.104938271604937</v>
      </c>
      <c r="M165">
        <f t="shared" si="25"/>
        <v>17.095547660493825</v>
      </c>
      <c r="N165" s="9"/>
      <c r="O165" s="22">
        <v>0.68054199999999998</v>
      </c>
      <c r="P165" s="22">
        <v>10.584199999999999</v>
      </c>
      <c r="Q165" s="22">
        <v>-1.39343E-2</v>
      </c>
      <c r="R165" s="22">
        <v>155</v>
      </c>
      <c r="S165" s="22">
        <v>0.67971800000000004</v>
      </c>
      <c r="T165">
        <f t="shared" si="26"/>
        <v>17.202839506172836</v>
      </c>
      <c r="U165">
        <f t="shared" si="27"/>
        <v>11.707254803209874</v>
      </c>
      <c r="X165" s="9"/>
      <c r="Y165" s="22">
        <v>0.99945099999999998</v>
      </c>
      <c r="Z165" s="22">
        <v>16.0565</v>
      </c>
      <c r="AA165" s="22">
        <v>-1.3858000000000001E-2</v>
      </c>
      <c r="AB165" s="22">
        <v>155</v>
      </c>
      <c r="AC165" s="22">
        <v>0.99853499999999995</v>
      </c>
      <c r="AD165">
        <f t="shared" si="28"/>
        <v>17.10864197530864</v>
      </c>
      <c r="AE165">
        <f t="shared" si="29"/>
        <v>17.099249330864193</v>
      </c>
      <c r="AF165" s="9"/>
      <c r="AG165" s="22">
        <v>0.68054199999999998</v>
      </c>
      <c r="AH165" s="22">
        <v>19.8354</v>
      </c>
      <c r="AI165" s="22">
        <v>-1.39191E-2</v>
      </c>
      <c r="AJ165" s="22">
        <v>155</v>
      </c>
      <c r="AK165" s="22">
        <v>0.67971800000000004</v>
      </c>
      <c r="AL165">
        <f t="shared" si="30"/>
        <v>17.184074074074076</v>
      </c>
      <c r="AM165">
        <f t="shared" si="31"/>
        <v>11.694484138518519</v>
      </c>
      <c r="AP165" s="9"/>
      <c r="AQ165" s="22">
        <v>0.99945099999999998</v>
      </c>
      <c r="AR165" s="22">
        <v>25.277699999999999</v>
      </c>
      <c r="AS165" s="22">
        <v>-1.3858000000000001E-2</v>
      </c>
      <c r="AT165" s="22">
        <v>155</v>
      </c>
      <c r="AU165" s="22">
        <v>0.99853499999999995</v>
      </c>
      <c r="AV165">
        <f t="shared" si="32"/>
        <v>17.10864197530864</v>
      </c>
      <c r="AW165">
        <f t="shared" si="33"/>
        <v>17.099249330864193</v>
      </c>
      <c r="AX165" s="9"/>
      <c r="AY165" s="22">
        <v>0.68054199999999998</v>
      </c>
      <c r="AZ165" s="22">
        <v>29.0566</v>
      </c>
      <c r="BA165" s="22">
        <v>-1.39496E-2</v>
      </c>
      <c r="BB165" s="22">
        <v>155</v>
      </c>
      <c r="BC165" s="22">
        <v>0.67968799999999996</v>
      </c>
      <c r="BD165">
        <f t="shared" si="34"/>
        <v>17.221728395061724</v>
      </c>
      <c r="BE165">
        <f t="shared" si="35"/>
        <v>11.720109485432095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0.99441500000000005</v>
      </c>
      <c r="H166" s="22">
        <v>6.8154000000000003</v>
      </c>
      <c r="I166" s="22">
        <v>-1.3861099999999999E-2</v>
      </c>
      <c r="J166" s="22">
        <v>156</v>
      </c>
      <c r="K166" s="22">
        <v>0.99304199999999998</v>
      </c>
      <c r="L166">
        <f t="shared" si="24"/>
        <v>17.112469135802467</v>
      </c>
      <c r="M166">
        <f t="shared" si="25"/>
        <v>17.016895995679011</v>
      </c>
      <c r="N166" s="9"/>
      <c r="O166" s="22">
        <v>0.68557699999999999</v>
      </c>
      <c r="P166" s="22">
        <v>10.5943</v>
      </c>
      <c r="Q166" s="22">
        <v>-1.39343E-2</v>
      </c>
      <c r="R166" s="22">
        <v>156</v>
      </c>
      <c r="S166" s="22">
        <v>0.68478399999999995</v>
      </c>
      <c r="T166">
        <f t="shared" si="26"/>
        <v>17.202839506172836</v>
      </c>
      <c r="U166">
        <f t="shared" si="27"/>
        <v>11.793871100123454</v>
      </c>
      <c r="X166" s="9"/>
      <c r="Y166" s="22">
        <v>0.99441500000000005</v>
      </c>
      <c r="Z166" s="22">
        <v>16.066600000000001</v>
      </c>
      <c r="AA166" s="22">
        <v>-1.38672E-2</v>
      </c>
      <c r="AB166" s="22">
        <v>156</v>
      </c>
      <c r="AC166" s="22">
        <v>0.99334699999999998</v>
      </c>
      <c r="AD166">
        <f t="shared" si="28"/>
        <v>17.12</v>
      </c>
      <c r="AE166">
        <f t="shared" si="29"/>
        <v>17.024384800000004</v>
      </c>
      <c r="AF166" s="9"/>
      <c r="AG166" s="22">
        <v>0.68557699999999999</v>
      </c>
      <c r="AH166" s="22">
        <v>19.845500000000001</v>
      </c>
      <c r="AI166" s="22">
        <v>-1.39191E-2</v>
      </c>
      <c r="AJ166" s="22">
        <v>156</v>
      </c>
      <c r="AK166" s="22">
        <v>0.68481400000000003</v>
      </c>
      <c r="AL166">
        <f t="shared" si="30"/>
        <v>17.184074074074076</v>
      </c>
      <c r="AM166">
        <f t="shared" si="31"/>
        <v>11.781005951481482</v>
      </c>
      <c r="AP166" s="9"/>
      <c r="AQ166" s="22">
        <v>0.99441500000000005</v>
      </c>
      <c r="AR166" s="22">
        <v>25.287800000000001</v>
      </c>
      <c r="AS166" s="22">
        <v>-1.3858000000000001E-2</v>
      </c>
      <c r="AT166" s="22">
        <v>156</v>
      </c>
      <c r="AU166" s="22">
        <v>0.99334699999999998</v>
      </c>
      <c r="AV166">
        <f t="shared" si="32"/>
        <v>17.10864197530864</v>
      </c>
      <c r="AW166">
        <f t="shared" si="33"/>
        <v>17.013090209876541</v>
      </c>
      <c r="AX166" s="9"/>
      <c r="AY166" s="22">
        <v>0.68557699999999999</v>
      </c>
      <c r="AZ166" s="22">
        <v>29.066700000000001</v>
      </c>
      <c r="BA166" s="22">
        <v>-1.3937400000000001E-2</v>
      </c>
      <c r="BB166" s="22">
        <v>156</v>
      </c>
      <c r="BC166" s="22">
        <v>0.68475299999999995</v>
      </c>
      <c r="BD166">
        <f t="shared" si="34"/>
        <v>17.206666666666667</v>
      </c>
      <c r="BE166">
        <f t="shared" si="35"/>
        <v>11.796494913333333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0.98938000000000004</v>
      </c>
      <c r="H167" s="22">
        <v>6.8254700000000001</v>
      </c>
      <c r="I167" s="22">
        <v>-1.3864100000000001E-2</v>
      </c>
      <c r="J167" s="22">
        <v>157</v>
      </c>
      <c r="K167" s="22">
        <v>0.98877000000000004</v>
      </c>
      <c r="L167">
        <f t="shared" si="24"/>
        <v>17.11617283950617</v>
      </c>
      <c r="M167">
        <f t="shared" si="25"/>
        <v>16.934399083950616</v>
      </c>
      <c r="N167" s="9"/>
      <c r="O167" s="22">
        <v>0.69061300000000003</v>
      </c>
      <c r="P167" s="22">
        <v>10.6044</v>
      </c>
      <c r="Q167" s="22">
        <v>-1.39282E-2</v>
      </c>
      <c r="R167" s="22">
        <v>157</v>
      </c>
      <c r="S167" s="22">
        <v>0.68981899999999996</v>
      </c>
      <c r="T167">
        <f t="shared" si="26"/>
        <v>17.195308641975309</v>
      </c>
      <c r="U167">
        <f t="shared" si="27"/>
        <v>11.875303687160494</v>
      </c>
      <c r="X167" s="9"/>
      <c r="Y167" s="22">
        <v>0.98938000000000004</v>
      </c>
      <c r="Z167" s="22">
        <v>16.076699999999999</v>
      </c>
      <c r="AA167" s="22">
        <v>-1.38733E-2</v>
      </c>
      <c r="AB167" s="22">
        <v>157</v>
      </c>
      <c r="AC167" s="22">
        <v>0.98785400000000001</v>
      </c>
      <c r="AD167">
        <f t="shared" si="28"/>
        <v>17.127530864197528</v>
      </c>
      <c r="AE167">
        <f t="shared" si="29"/>
        <v>16.945636486419751</v>
      </c>
      <c r="AF167" s="9"/>
      <c r="AG167" s="22">
        <v>0.69061300000000003</v>
      </c>
      <c r="AH167" s="22">
        <v>19.855599999999999</v>
      </c>
      <c r="AI167" s="22">
        <v>-1.39191E-2</v>
      </c>
      <c r="AJ167" s="22">
        <v>157</v>
      </c>
      <c r="AK167" s="22">
        <v>0.68972800000000001</v>
      </c>
      <c r="AL167">
        <f t="shared" si="30"/>
        <v>17.184074074074076</v>
      </c>
      <c r="AM167">
        <f t="shared" si="31"/>
        <v>11.867544948518519</v>
      </c>
      <c r="AP167" s="9"/>
      <c r="AQ167" s="22">
        <v>0.98938000000000004</v>
      </c>
      <c r="AR167" s="22">
        <v>25.297899999999998</v>
      </c>
      <c r="AS167" s="22">
        <v>-1.3854999999999999E-2</v>
      </c>
      <c r="AT167" s="22">
        <v>157</v>
      </c>
      <c r="AU167" s="22">
        <v>0.98846400000000001</v>
      </c>
      <c r="AV167">
        <f t="shared" si="32"/>
        <v>17.104938271604937</v>
      </c>
      <c r="AW167">
        <f t="shared" si="33"/>
        <v>16.923283827160493</v>
      </c>
      <c r="AX167" s="9"/>
      <c r="AY167" s="22">
        <v>0.69061300000000003</v>
      </c>
      <c r="AZ167" s="22">
        <v>29.076799999999999</v>
      </c>
      <c r="BA167" s="22">
        <v>-1.39282E-2</v>
      </c>
      <c r="BB167" s="22">
        <v>157</v>
      </c>
      <c r="BC167" s="22">
        <v>0.68978899999999999</v>
      </c>
      <c r="BD167">
        <f t="shared" si="34"/>
        <v>17.195308641975309</v>
      </c>
      <c r="BE167">
        <f t="shared" si="35"/>
        <v>11.875303687160494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0.984344</v>
      </c>
      <c r="H168" s="22">
        <v>6.8355399999999999</v>
      </c>
      <c r="I168" s="22">
        <v>-1.38672E-2</v>
      </c>
      <c r="J168" s="22">
        <v>158</v>
      </c>
      <c r="K168" s="22">
        <v>0.98297100000000004</v>
      </c>
      <c r="L168">
        <f t="shared" si="24"/>
        <v>17.12</v>
      </c>
      <c r="M168">
        <f t="shared" si="25"/>
        <v>16.851969280000002</v>
      </c>
      <c r="N168" s="9"/>
      <c r="O168" s="22">
        <v>0.69564800000000004</v>
      </c>
      <c r="P168" s="22">
        <v>10.6144</v>
      </c>
      <c r="Q168" s="22">
        <v>-1.39191E-2</v>
      </c>
      <c r="R168" s="22">
        <v>158</v>
      </c>
      <c r="S168" s="22">
        <v>0.69473300000000004</v>
      </c>
      <c r="T168">
        <f t="shared" si="26"/>
        <v>17.184074074074076</v>
      </c>
      <c r="U168">
        <f t="shared" si="27"/>
        <v>11.954066761481483</v>
      </c>
      <c r="X168" s="9"/>
      <c r="Y168" s="22">
        <v>0.984344</v>
      </c>
      <c r="Z168" s="22">
        <v>16.0867</v>
      </c>
      <c r="AA168" s="22">
        <v>-1.3870199999999999E-2</v>
      </c>
      <c r="AB168" s="22">
        <v>158</v>
      </c>
      <c r="AC168" s="22">
        <v>0.98358199999999996</v>
      </c>
      <c r="AD168">
        <f t="shared" si="28"/>
        <v>17.123703703703701</v>
      </c>
      <c r="AE168">
        <f t="shared" si="29"/>
        <v>16.855614998518515</v>
      </c>
      <c r="AF168" s="9"/>
      <c r="AG168" s="22">
        <v>0.69564800000000004</v>
      </c>
      <c r="AH168" s="22">
        <v>19.865600000000001</v>
      </c>
      <c r="AI168" s="22">
        <v>-1.39191E-2</v>
      </c>
      <c r="AJ168" s="22">
        <v>158</v>
      </c>
      <c r="AK168" s="22">
        <v>0.694855</v>
      </c>
      <c r="AL168">
        <f t="shared" si="30"/>
        <v>17.184074074074076</v>
      </c>
      <c r="AM168">
        <f t="shared" si="31"/>
        <v>11.954066761481483</v>
      </c>
      <c r="AP168" s="9"/>
      <c r="AQ168" s="22">
        <v>0.984344</v>
      </c>
      <c r="AR168" s="22">
        <v>25.308</v>
      </c>
      <c r="AS168" s="22">
        <v>-1.3858000000000001E-2</v>
      </c>
      <c r="AT168" s="22">
        <v>158</v>
      </c>
      <c r="AU168" s="22">
        <v>0.98327600000000004</v>
      </c>
      <c r="AV168">
        <f t="shared" si="32"/>
        <v>17.10864197530864</v>
      </c>
      <c r="AW168">
        <f t="shared" si="33"/>
        <v>16.840789076543206</v>
      </c>
      <c r="AX168" s="9"/>
      <c r="AY168" s="22">
        <v>0.69564800000000004</v>
      </c>
      <c r="AZ168" s="22">
        <v>29.0869</v>
      </c>
      <c r="BA168" s="22">
        <v>-1.39252E-2</v>
      </c>
      <c r="BB168" s="22">
        <v>158</v>
      </c>
      <c r="BC168" s="22">
        <v>0.69497699999999996</v>
      </c>
      <c r="BD168">
        <f t="shared" si="34"/>
        <v>17.191604938271606</v>
      </c>
      <c r="BE168">
        <f t="shared" si="35"/>
        <v>11.959305592098767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0.97930899999999999</v>
      </c>
      <c r="H169" s="22">
        <v>6.8456099999999998</v>
      </c>
      <c r="I169" s="22">
        <v>-1.38733E-2</v>
      </c>
      <c r="J169" s="22">
        <v>159</v>
      </c>
      <c r="K169" s="22">
        <v>0.97869899999999999</v>
      </c>
      <c r="L169">
        <f t="shared" si="24"/>
        <v>17.127530864197528</v>
      </c>
      <c r="M169">
        <f t="shared" si="25"/>
        <v>16.773145123086415</v>
      </c>
      <c r="N169" s="9"/>
      <c r="O169" s="22">
        <v>0.70068399999999997</v>
      </c>
      <c r="P169" s="22">
        <v>10.624499999999999</v>
      </c>
      <c r="Q169" s="22">
        <v>-1.3916E-2</v>
      </c>
      <c r="R169" s="22">
        <v>159</v>
      </c>
      <c r="S169" s="22">
        <v>0.69989000000000001</v>
      </c>
      <c r="T169">
        <f t="shared" si="26"/>
        <v>17.180246913580245</v>
      </c>
      <c r="U169">
        <f t="shared" si="27"/>
        <v>12.03792412839506</v>
      </c>
      <c r="X169" s="9"/>
      <c r="Y169" s="22">
        <v>0.97930899999999999</v>
      </c>
      <c r="Z169" s="22">
        <v>16.096800000000002</v>
      </c>
      <c r="AA169" s="22">
        <v>-1.3870199999999999E-2</v>
      </c>
      <c r="AB169" s="22">
        <v>159</v>
      </c>
      <c r="AC169" s="22">
        <v>0.97808799999999996</v>
      </c>
      <c r="AD169">
        <f t="shared" si="28"/>
        <v>17.123703703703701</v>
      </c>
      <c r="AE169">
        <f t="shared" si="29"/>
        <v>16.769397150370366</v>
      </c>
      <c r="AF169" s="9"/>
      <c r="AG169" s="22">
        <v>0.70068399999999997</v>
      </c>
      <c r="AH169" s="22">
        <v>19.875699999999998</v>
      </c>
      <c r="AI169" s="22">
        <v>-1.39252E-2</v>
      </c>
      <c r="AJ169" s="22">
        <v>159</v>
      </c>
      <c r="AK169" s="22">
        <v>0.69992100000000002</v>
      </c>
      <c r="AL169">
        <f t="shared" si="30"/>
        <v>17.191604938271606</v>
      </c>
      <c r="AM169">
        <f t="shared" si="31"/>
        <v>12.045882514567902</v>
      </c>
      <c r="AP169" s="9"/>
      <c r="AQ169" s="22">
        <v>0.97930899999999999</v>
      </c>
      <c r="AR169" s="22">
        <v>25.318000000000001</v>
      </c>
      <c r="AS169" s="22">
        <v>-1.3864100000000001E-2</v>
      </c>
      <c r="AT169" s="22">
        <v>159</v>
      </c>
      <c r="AU169" s="22">
        <v>0.97778299999999996</v>
      </c>
      <c r="AV169">
        <f t="shared" si="32"/>
        <v>17.11617283950617</v>
      </c>
      <c r="AW169">
        <f t="shared" si="33"/>
        <v>16.762022107283947</v>
      </c>
      <c r="AX169" s="9"/>
      <c r="AY169" s="22">
        <v>0.70068399999999997</v>
      </c>
      <c r="AZ169" s="22">
        <v>29.096900000000002</v>
      </c>
      <c r="BA169" s="22">
        <v>-1.3916E-2</v>
      </c>
      <c r="BB169" s="22">
        <v>159</v>
      </c>
      <c r="BC169" s="22">
        <v>0.69986000000000004</v>
      </c>
      <c r="BD169">
        <f t="shared" si="34"/>
        <v>17.180246913580245</v>
      </c>
      <c r="BE169">
        <f t="shared" si="35"/>
        <v>12.03792412839506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0.97427399999999997</v>
      </c>
      <c r="H170" s="22">
        <v>6.8556800000000004</v>
      </c>
      <c r="I170" s="22">
        <v>-1.38916E-2</v>
      </c>
      <c r="J170" s="22">
        <v>160</v>
      </c>
      <c r="K170" s="22">
        <v>0.97320600000000002</v>
      </c>
      <c r="L170">
        <f t="shared" si="24"/>
        <v>17.150123456790123</v>
      </c>
      <c r="M170">
        <f t="shared" si="25"/>
        <v>16.708919380740738</v>
      </c>
      <c r="N170" s="9"/>
      <c r="O170" s="22">
        <v>0.70571899999999999</v>
      </c>
      <c r="P170" s="22">
        <v>10.634600000000001</v>
      </c>
      <c r="Q170" s="22">
        <v>-1.3903799999999999E-2</v>
      </c>
      <c r="R170" s="22">
        <v>160</v>
      </c>
      <c r="S170" s="22">
        <v>0.70492600000000005</v>
      </c>
      <c r="T170">
        <f t="shared" si="26"/>
        <v>17.165185185185184</v>
      </c>
      <c r="U170">
        <f t="shared" si="27"/>
        <v>12.113797323703702</v>
      </c>
      <c r="X170" s="9"/>
      <c r="Y170" s="22">
        <v>0.97427399999999997</v>
      </c>
      <c r="Z170" s="22">
        <v>16.1069</v>
      </c>
      <c r="AA170" s="22">
        <v>-1.3876299999999999E-2</v>
      </c>
      <c r="AB170" s="22">
        <v>160</v>
      </c>
      <c r="AC170" s="22">
        <v>0.97259499999999999</v>
      </c>
      <c r="AD170">
        <f t="shared" si="28"/>
        <v>17.131234567901231</v>
      </c>
      <c r="AE170">
        <f t="shared" si="29"/>
        <v>16.690516427407402</v>
      </c>
      <c r="AF170" s="9"/>
      <c r="AG170" s="22">
        <v>0.70571899999999999</v>
      </c>
      <c r="AH170" s="22">
        <v>19.8858</v>
      </c>
      <c r="AI170" s="22">
        <v>-1.39221E-2</v>
      </c>
      <c r="AJ170" s="22">
        <v>160</v>
      </c>
      <c r="AK170" s="22">
        <v>0.70492600000000005</v>
      </c>
      <c r="AL170">
        <f t="shared" si="30"/>
        <v>17.187777777777779</v>
      </c>
      <c r="AM170">
        <f t="shared" si="31"/>
        <v>12.129741345555557</v>
      </c>
      <c r="AP170" s="9"/>
      <c r="AQ170" s="22">
        <v>0.97427399999999997</v>
      </c>
      <c r="AR170" s="22">
        <v>25.328099999999999</v>
      </c>
      <c r="AS170" s="22">
        <v>-1.3864100000000001E-2</v>
      </c>
      <c r="AT170" s="22">
        <v>160</v>
      </c>
      <c r="AU170" s="22">
        <v>0.97320600000000002</v>
      </c>
      <c r="AV170">
        <f t="shared" si="32"/>
        <v>17.11617283950617</v>
      </c>
      <c r="AW170">
        <f t="shared" si="33"/>
        <v>16.675842177037033</v>
      </c>
      <c r="AX170" s="9"/>
      <c r="AY170" s="22">
        <v>0.70571899999999999</v>
      </c>
      <c r="AZ170" s="22">
        <v>29.106999999999999</v>
      </c>
      <c r="BA170" s="22">
        <v>-1.3913E-2</v>
      </c>
      <c r="BB170" s="22">
        <v>160</v>
      </c>
      <c r="BC170" s="22">
        <v>0.70507799999999998</v>
      </c>
      <c r="BD170">
        <f t="shared" si="34"/>
        <v>17.176543209876542</v>
      </c>
      <c r="BE170">
        <f t="shared" si="35"/>
        <v>12.121812897530862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0.96923800000000004</v>
      </c>
      <c r="H171" s="22">
        <v>6.8657599999999999</v>
      </c>
      <c r="I171" s="22">
        <v>-1.3903799999999999E-2</v>
      </c>
      <c r="J171" s="22">
        <v>161</v>
      </c>
      <c r="K171" s="22">
        <v>0.96832300000000004</v>
      </c>
      <c r="L171">
        <f t="shared" si="24"/>
        <v>17.165185185185184</v>
      </c>
      <c r="M171">
        <f t="shared" si="25"/>
        <v>16.637149758518518</v>
      </c>
      <c r="N171" s="9"/>
      <c r="O171" s="22">
        <v>0.710754</v>
      </c>
      <c r="P171" s="22">
        <v>10.6447</v>
      </c>
      <c r="Q171" s="22">
        <v>-1.39008E-2</v>
      </c>
      <c r="R171" s="22">
        <v>161</v>
      </c>
      <c r="S171" s="22">
        <v>0.70996099999999995</v>
      </c>
      <c r="T171">
        <f t="shared" si="26"/>
        <v>17.161481481481481</v>
      </c>
      <c r="U171">
        <f t="shared" si="27"/>
        <v>12.197591608888889</v>
      </c>
      <c r="X171" s="9"/>
      <c r="Y171" s="22">
        <v>0.96923800000000004</v>
      </c>
      <c r="Z171" s="22">
        <v>16.116900000000001</v>
      </c>
      <c r="AA171" s="22">
        <v>-1.38794E-2</v>
      </c>
      <c r="AB171" s="22">
        <v>161</v>
      </c>
      <c r="AC171" s="22">
        <v>0.96832300000000004</v>
      </c>
      <c r="AD171">
        <f t="shared" si="28"/>
        <v>17.135061728395058</v>
      </c>
      <c r="AE171">
        <f t="shared" si="29"/>
        <v>16.607952959506171</v>
      </c>
      <c r="AF171" s="9"/>
      <c r="AG171" s="22">
        <v>0.710754</v>
      </c>
      <c r="AH171" s="22">
        <v>19.895800000000001</v>
      </c>
      <c r="AI171" s="22">
        <v>-1.3913E-2</v>
      </c>
      <c r="AJ171" s="22">
        <v>161</v>
      </c>
      <c r="AK171" s="22">
        <v>0.70996099999999995</v>
      </c>
      <c r="AL171">
        <f t="shared" si="30"/>
        <v>17.176543209876542</v>
      </c>
      <c r="AM171">
        <f t="shared" si="31"/>
        <v>12.208296792592591</v>
      </c>
      <c r="AP171" s="9"/>
      <c r="AQ171" s="22">
        <v>0.96923800000000004</v>
      </c>
      <c r="AR171" s="22">
        <v>25.338200000000001</v>
      </c>
      <c r="AS171" s="22">
        <v>-1.38733E-2</v>
      </c>
      <c r="AT171" s="22">
        <v>161</v>
      </c>
      <c r="AU171" s="22">
        <v>0.96771200000000002</v>
      </c>
      <c r="AV171">
        <f t="shared" si="32"/>
        <v>17.127530864197528</v>
      </c>
      <c r="AW171">
        <f t="shared" si="33"/>
        <v>16.600653759753083</v>
      </c>
      <c r="AX171" s="9"/>
      <c r="AY171" s="22">
        <v>0.710754</v>
      </c>
      <c r="AZ171" s="22">
        <v>29.117100000000001</v>
      </c>
      <c r="BA171" s="22">
        <v>-1.3909899999999999E-2</v>
      </c>
      <c r="BB171" s="22">
        <v>161</v>
      </c>
      <c r="BC171" s="22">
        <v>0.70996099999999995</v>
      </c>
      <c r="BD171">
        <f t="shared" si="34"/>
        <v>17.172716049382714</v>
      </c>
      <c r="BE171">
        <f t="shared" si="35"/>
        <v>12.205576622962962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0.96420300000000003</v>
      </c>
      <c r="H172" s="22">
        <v>6.8758299999999997</v>
      </c>
      <c r="I172" s="22">
        <v>-1.39069E-2</v>
      </c>
      <c r="J172" s="22">
        <v>162</v>
      </c>
      <c r="K172" s="22">
        <v>0.96282999999999996</v>
      </c>
      <c r="L172">
        <f t="shared" si="24"/>
        <v>17.169012345679011</v>
      </c>
      <c r="M172">
        <f t="shared" si="25"/>
        <v>16.554413210740741</v>
      </c>
      <c r="N172" s="9"/>
      <c r="O172" s="22">
        <v>0.71579000000000004</v>
      </c>
      <c r="P172" s="22">
        <v>10.6547</v>
      </c>
      <c r="Q172" s="22">
        <v>-1.3897700000000001E-2</v>
      </c>
      <c r="R172" s="22">
        <v>162</v>
      </c>
      <c r="S172" s="22">
        <v>0.71508799999999995</v>
      </c>
      <c r="T172">
        <f t="shared" si="26"/>
        <v>17.157654320987653</v>
      </c>
      <c r="U172">
        <f t="shared" si="27"/>
        <v>12.281277386419752</v>
      </c>
      <c r="X172" s="9"/>
      <c r="Y172" s="22">
        <v>0.96420300000000003</v>
      </c>
      <c r="Z172" s="22">
        <v>16.126999999999999</v>
      </c>
      <c r="AA172" s="22">
        <v>-1.38916E-2</v>
      </c>
      <c r="AB172" s="22">
        <v>162</v>
      </c>
      <c r="AC172" s="22">
        <v>0.96343999999999996</v>
      </c>
      <c r="AD172">
        <f t="shared" si="28"/>
        <v>17.150123456790123</v>
      </c>
      <c r="AE172">
        <f t="shared" si="29"/>
        <v>16.536200487407406</v>
      </c>
      <c r="AF172" s="9"/>
      <c r="AG172" s="22">
        <v>0.71579000000000004</v>
      </c>
      <c r="AH172" s="22">
        <v>19.905899999999999</v>
      </c>
      <c r="AI172" s="22">
        <v>-1.3903799999999999E-2</v>
      </c>
      <c r="AJ172" s="22">
        <v>162</v>
      </c>
      <c r="AK172" s="22">
        <v>0.71505700000000005</v>
      </c>
      <c r="AL172">
        <f t="shared" si="30"/>
        <v>17.165185185185184</v>
      </c>
      <c r="AM172">
        <f t="shared" si="31"/>
        <v>12.286667903703703</v>
      </c>
      <c r="AP172" s="9"/>
      <c r="AQ172" s="22">
        <v>0.96420300000000003</v>
      </c>
      <c r="AR172" s="22">
        <v>25.348199999999999</v>
      </c>
      <c r="AS172" s="22">
        <v>-1.38885E-2</v>
      </c>
      <c r="AT172" s="22">
        <v>162</v>
      </c>
      <c r="AU172" s="22">
        <v>0.96313499999999996</v>
      </c>
      <c r="AV172">
        <f t="shared" si="32"/>
        <v>17.146296296296295</v>
      </c>
      <c r="AW172">
        <f t="shared" si="33"/>
        <v>16.532510327777779</v>
      </c>
      <c r="AX172" s="9"/>
      <c r="AY172" s="22">
        <v>0.71579000000000004</v>
      </c>
      <c r="AZ172" s="22">
        <v>29.127099999999999</v>
      </c>
      <c r="BA172" s="22">
        <v>-1.3903799999999999E-2</v>
      </c>
      <c r="BB172" s="22">
        <v>162</v>
      </c>
      <c r="BC172" s="22">
        <v>0.71499599999999996</v>
      </c>
      <c r="BD172">
        <f t="shared" si="34"/>
        <v>17.165185185185184</v>
      </c>
      <c r="BE172">
        <f t="shared" si="35"/>
        <v>12.286667903703703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0.95916699999999999</v>
      </c>
      <c r="H173" s="22">
        <v>6.8859000000000004</v>
      </c>
      <c r="I173" s="22">
        <v>-1.3909899999999999E-2</v>
      </c>
      <c r="J173" s="22">
        <v>163</v>
      </c>
      <c r="K173" s="22">
        <v>0.95825199999999999</v>
      </c>
      <c r="L173">
        <f t="shared" si="24"/>
        <v>17.172716049382714</v>
      </c>
      <c r="M173">
        <f t="shared" si="25"/>
        <v>16.471502534938271</v>
      </c>
      <c r="N173" s="9"/>
      <c r="O173" s="22">
        <v>0.72082500000000005</v>
      </c>
      <c r="P173" s="22">
        <v>10.6648</v>
      </c>
      <c r="Q173" s="22">
        <v>-1.3894699999999999E-2</v>
      </c>
      <c r="R173" s="22">
        <v>163</v>
      </c>
      <c r="S173" s="22">
        <v>0.72009299999999998</v>
      </c>
      <c r="T173">
        <f t="shared" si="26"/>
        <v>17.153950617283947</v>
      </c>
      <c r="U173">
        <f t="shared" si="27"/>
        <v>12.364996453703702</v>
      </c>
      <c r="X173" s="9"/>
      <c r="Y173" s="22">
        <v>0.95916699999999999</v>
      </c>
      <c r="Z173" s="22">
        <v>16.1371</v>
      </c>
      <c r="AA173" s="22">
        <v>-1.38916E-2</v>
      </c>
      <c r="AB173" s="22">
        <v>163</v>
      </c>
      <c r="AC173" s="22">
        <v>0.95794699999999999</v>
      </c>
      <c r="AD173">
        <f t="shared" si="28"/>
        <v>17.150123456790123</v>
      </c>
      <c r="AE173">
        <f t="shared" si="29"/>
        <v>16.449832465679012</v>
      </c>
      <c r="AF173" s="9"/>
      <c r="AG173" s="22">
        <v>0.72082500000000005</v>
      </c>
      <c r="AH173" s="22">
        <v>19.916</v>
      </c>
      <c r="AI173" s="22">
        <v>-1.38916E-2</v>
      </c>
      <c r="AJ173" s="22">
        <v>163</v>
      </c>
      <c r="AK173" s="22">
        <v>0.72006199999999998</v>
      </c>
      <c r="AL173">
        <f t="shared" si="30"/>
        <v>17.150123456790123</v>
      </c>
      <c r="AM173">
        <f t="shared" si="31"/>
        <v>12.362237740740742</v>
      </c>
      <c r="AP173" s="9"/>
      <c r="AQ173" s="22">
        <v>0.95916699999999999</v>
      </c>
      <c r="AR173" s="22">
        <v>25.3583</v>
      </c>
      <c r="AS173" s="22">
        <v>-1.3897700000000001E-2</v>
      </c>
      <c r="AT173" s="22">
        <v>163</v>
      </c>
      <c r="AU173" s="22">
        <v>0.95855699999999999</v>
      </c>
      <c r="AV173">
        <f t="shared" si="32"/>
        <v>17.157654320987653</v>
      </c>
      <c r="AW173">
        <f t="shared" si="33"/>
        <v>16.457055822098763</v>
      </c>
      <c r="AX173" s="9"/>
      <c r="AY173" s="22">
        <v>0.72082500000000005</v>
      </c>
      <c r="AZ173" s="22">
        <v>29.1372</v>
      </c>
      <c r="BA173" s="22">
        <v>-1.3894699999999999E-2</v>
      </c>
      <c r="BB173" s="22">
        <v>163</v>
      </c>
      <c r="BC173" s="22">
        <v>0.71997100000000003</v>
      </c>
      <c r="BD173">
        <f t="shared" si="34"/>
        <v>17.153950617283947</v>
      </c>
      <c r="BE173">
        <f t="shared" si="35"/>
        <v>12.364996453703702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0.95413199999999998</v>
      </c>
      <c r="H174" s="22">
        <v>6.8959700000000002</v>
      </c>
      <c r="I174" s="22">
        <v>-1.3916E-2</v>
      </c>
      <c r="J174" s="22">
        <v>164</v>
      </c>
      <c r="K174" s="22">
        <v>0.95275900000000002</v>
      </c>
      <c r="L174">
        <f t="shared" si="24"/>
        <v>17.180246913580245</v>
      </c>
      <c r="M174">
        <f t="shared" si="25"/>
        <v>16.392223348148146</v>
      </c>
      <c r="N174" s="9"/>
      <c r="O174" s="22">
        <v>0.72586099999999998</v>
      </c>
      <c r="P174" s="22">
        <v>10.674899999999999</v>
      </c>
      <c r="Q174" s="22">
        <v>-1.38885E-2</v>
      </c>
      <c r="R174" s="22">
        <v>164</v>
      </c>
      <c r="S174" s="22">
        <v>0.72518899999999997</v>
      </c>
      <c r="T174">
        <f t="shared" si="26"/>
        <v>17.146296296296295</v>
      </c>
      <c r="U174">
        <f t="shared" si="27"/>
        <v>12.445827775925926</v>
      </c>
      <c r="X174" s="9"/>
      <c r="Y174" s="22">
        <v>0.95413199999999998</v>
      </c>
      <c r="Z174" s="22">
        <v>16.147200000000002</v>
      </c>
      <c r="AA174" s="22">
        <v>-1.38916E-2</v>
      </c>
      <c r="AB174" s="22">
        <v>164</v>
      </c>
      <c r="AC174" s="22">
        <v>0.95336900000000002</v>
      </c>
      <c r="AD174">
        <f t="shared" si="28"/>
        <v>17.150123456790123</v>
      </c>
      <c r="AE174">
        <f t="shared" si="29"/>
        <v>16.363481594074074</v>
      </c>
      <c r="AF174" s="9"/>
      <c r="AG174" s="22">
        <v>0.72586099999999998</v>
      </c>
      <c r="AH174" s="22">
        <v>19.926100000000002</v>
      </c>
      <c r="AI174" s="22">
        <v>-1.38885E-2</v>
      </c>
      <c r="AJ174" s="22">
        <v>164</v>
      </c>
      <c r="AK174" s="22">
        <v>0.72506700000000002</v>
      </c>
      <c r="AL174">
        <f t="shared" si="30"/>
        <v>17.146296296296295</v>
      </c>
      <c r="AM174">
        <f t="shared" si="31"/>
        <v>12.445827775925926</v>
      </c>
      <c r="AP174" s="9"/>
      <c r="AQ174" s="22">
        <v>0.95413199999999998</v>
      </c>
      <c r="AR174" s="22">
        <v>25.368400000000001</v>
      </c>
      <c r="AS174" s="22">
        <v>-1.3894699999999999E-2</v>
      </c>
      <c r="AT174" s="22">
        <v>164</v>
      </c>
      <c r="AU174" s="22">
        <v>0.95275900000000002</v>
      </c>
      <c r="AV174">
        <f t="shared" si="32"/>
        <v>17.153950617283947</v>
      </c>
      <c r="AW174">
        <f t="shared" si="33"/>
        <v>16.367133210370366</v>
      </c>
      <c r="AX174" s="9"/>
      <c r="AY174" s="22">
        <v>0.72586099999999998</v>
      </c>
      <c r="AZ174" s="22">
        <v>29.147300000000001</v>
      </c>
      <c r="BA174" s="22">
        <v>-1.3894699999999999E-2</v>
      </c>
      <c r="BB174" s="22">
        <v>164</v>
      </c>
      <c r="BC174" s="22">
        <v>0.72503700000000004</v>
      </c>
      <c r="BD174">
        <f t="shared" si="34"/>
        <v>17.153950617283947</v>
      </c>
      <c r="BE174">
        <f t="shared" si="35"/>
        <v>12.451383749012342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0.94909699999999997</v>
      </c>
      <c r="H175" s="22">
        <v>6.90604</v>
      </c>
      <c r="I175" s="22">
        <v>-1.39191E-2</v>
      </c>
      <c r="J175" s="22">
        <v>165</v>
      </c>
      <c r="K175" s="22">
        <v>0.94848600000000005</v>
      </c>
      <c r="L175">
        <f t="shared" si="24"/>
        <v>17.184074074074076</v>
      </c>
      <c r="M175">
        <f t="shared" si="25"/>
        <v>16.309353151481481</v>
      </c>
      <c r="N175" s="9"/>
      <c r="O175" s="22">
        <v>0.73089599999999999</v>
      </c>
      <c r="P175" s="22">
        <v>10.684900000000001</v>
      </c>
      <c r="Q175" s="22">
        <v>-1.38885E-2</v>
      </c>
      <c r="R175" s="22">
        <v>165</v>
      </c>
      <c r="S175" s="22">
        <v>0.73007200000000005</v>
      </c>
      <c r="T175">
        <f t="shared" si="26"/>
        <v>17.146296296296295</v>
      </c>
      <c r="U175">
        <f t="shared" si="27"/>
        <v>12.532159377777777</v>
      </c>
      <c r="X175" s="9"/>
      <c r="Y175" s="22">
        <v>0.94909699999999997</v>
      </c>
      <c r="Z175" s="22">
        <v>16.1572</v>
      </c>
      <c r="AA175" s="22">
        <v>-1.38916E-2</v>
      </c>
      <c r="AB175" s="22">
        <v>165</v>
      </c>
      <c r="AC175" s="22">
        <v>0.94818100000000005</v>
      </c>
      <c r="AD175">
        <f t="shared" si="28"/>
        <v>17.150123456790123</v>
      </c>
      <c r="AE175">
        <f t="shared" si="29"/>
        <v>16.277130722469135</v>
      </c>
      <c r="AF175" s="9"/>
      <c r="AG175" s="22">
        <v>0.73089599999999999</v>
      </c>
      <c r="AH175" s="22">
        <v>19.9361</v>
      </c>
      <c r="AI175" s="22">
        <v>-1.38855E-2</v>
      </c>
      <c r="AJ175" s="22">
        <v>165</v>
      </c>
      <c r="AK175" s="22">
        <v>0.73007200000000005</v>
      </c>
      <c r="AL175">
        <f t="shared" si="30"/>
        <v>17.142592592592592</v>
      </c>
      <c r="AM175">
        <f t="shared" si="31"/>
        <v>12.529452355555556</v>
      </c>
      <c r="AP175" s="9"/>
      <c r="AQ175" s="22">
        <v>0.94909699999999997</v>
      </c>
      <c r="AR175" s="22">
        <v>25.378499999999999</v>
      </c>
      <c r="AS175" s="22">
        <v>-1.3894699999999999E-2</v>
      </c>
      <c r="AT175" s="22">
        <v>165</v>
      </c>
      <c r="AU175" s="22">
        <v>0.94787600000000005</v>
      </c>
      <c r="AV175">
        <f t="shared" si="32"/>
        <v>17.153950617283947</v>
      </c>
      <c r="AW175">
        <f t="shared" si="33"/>
        <v>16.280763069012341</v>
      </c>
      <c r="AX175" s="9"/>
      <c r="AY175" s="22">
        <v>0.73089599999999999</v>
      </c>
      <c r="AZ175" s="22">
        <v>29.157399999999999</v>
      </c>
      <c r="BA175" s="22">
        <v>-1.39008E-2</v>
      </c>
      <c r="BB175" s="22">
        <v>165</v>
      </c>
      <c r="BC175" s="22">
        <v>0.73010299999999995</v>
      </c>
      <c r="BD175">
        <f t="shared" si="34"/>
        <v>17.161481481481481</v>
      </c>
      <c r="BE175">
        <f t="shared" si="35"/>
        <v>12.543258168888888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0.94406100000000004</v>
      </c>
      <c r="H176" s="22">
        <v>6.9161099999999998</v>
      </c>
      <c r="I176" s="22">
        <v>-1.39252E-2</v>
      </c>
      <c r="J176" s="22">
        <v>166</v>
      </c>
      <c r="K176" s="22">
        <v>0.94299299999999997</v>
      </c>
      <c r="L176">
        <f t="shared" si="24"/>
        <v>17.191604938271606</v>
      </c>
      <c r="M176">
        <f t="shared" si="25"/>
        <v>16.229923749629631</v>
      </c>
      <c r="N176" s="9"/>
      <c r="O176" s="22">
        <v>0.735931</v>
      </c>
      <c r="P176" s="22">
        <v>10.695</v>
      </c>
      <c r="Q176" s="22">
        <v>-1.38916E-2</v>
      </c>
      <c r="R176" s="22">
        <v>166</v>
      </c>
      <c r="S176" s="22">
        <v>0.73510699999999995</v>
      </c>
      <c r="T176">
        <f t="shared" si="26"/>
        <v>17.150123456790123</v>
      </c>
      <c r="U176">
        <f t="shared" si="27"/>
        <v>12.621307505679011</v>
      </c>
      <c r="X176" s="9"/>
      <c r="Y176" s="22">
        <v>0.94406100000000004</v>
      </c>
      <c r="Z176" s="22">
        <v>16.167300000000001</v>
      </c>
      <c r="AA176" s="22">
        <v>-1.38855E-2</v>
      </c>
      <c r="AB176" s="22">
        <v>166</v>
      </c>
      <c r="AC176" s="22">
        <v>0.94329799999999997</v>
      </c>
      <c r="AD176">
        <f t="shared" si="28"/>
        <v>17.142592592592592</v>
      </c>
      <c r="AE176">
        <f t="shared" si="29"/>
        <v>16.183653105555557</v>
      </c>
      <c r="AF176" s="9"/>
      <c r="AG176" s="22">
        <v>0.735931</v>
      </c>
      <c r="AH176" s="22">
        <v>19.946200000000001</v>
      </c>
      <c r="AI176" s="22">
        <v>-1.38855E-2</v>
      </c>
      <c r="AJ176" s="22">
        <v>166</v>
      </c>
      <c r="AK176" s="22">
        <v>0.73510699999999995</v>
      </c>
      <c r="AL176">
        <f t="shared" si="30"/>
        <v>17.142592592592592</v>
      </c>
      <c r="AM176">
        <f t="shared" si="31"/>
        <v>12.61576530925926</v>
      </c>
      <c r="AP176" s="9"/>
      <c r="AQ176" s="22">
        <v>0.94406100000000004</v>
      </c>
      <c r="AR176" s="22">
        <v>25.388500000000001</v>
      </c>
      <c r="AS176" s="22">
        <v>-1.3897700000000001E-2</v>
      </c>
      <c r="AT176" s="22">
        <v>166</v>
      </c>
      <c r="AU176" s="22">
        <v>0.94329799999999997</v>
      </c>
      <c r="AV176">
        <f t="shared" si="32"/>
        <v>17.157654320987653</v>
      </c>
      <c r="AW176">
        <f t="shared" si="33"/>
        <v>16.197872295925926</v>
      </c>
      <c r="AX176" s="9"/>
      <c r="AY176" s="22">
        <v>0.735931</v>
      </c>
      <c r="AZ176" s="22">
        <v>29.167400000000001</v>
      </c>
      <c r="BA176" s="22">
        <v>-1.3894699999999999E-2</v>
      </c>
      <c r="BB176" s="22">
        <v>166</v>
      </c>
      <c r="BC176" s="22">
        <v>0.73510699999999995</v>
      </c>
      <c r="BD176">
        <f t="shared" si="34"/>
        <v>17.153950617283947</v>
      </c>
      <c r="BE176">
        <f t="shared" si="35"/>
        <v>12.624124031728392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0.93902600000000003</v>
      </c>
      <c r="H177" s="22">
        <v>6.9261799999999996</v>
      </c>
      <c r="I177" s="22">
        <v>-1.39404E-2</v>
      </c>
      <c r="J177" s="22">
        <v>167</v>
      </c>
      <c r="K177" s="22">
        <v>0.93841600000000003</v>
      </c>
      <c r="L177">
        <f t="shared" si="24"/>
        <v>17.21037037037037</v>
      </c>
      <c r="M177">
        <f t="shared" si="25"/>
        <v>16.160985247407407</v>
      </c>
      <c r="N177" s="9"/>
      <c r="O177" s="22">
        <v>0.74096700000000004</v>
      </c>
      <c r="P177" s="22">
        <v>10.7051</v>
      </c>
      <c r="Q177" s="22">
        <v>-1.38916E-2</v>
      </c>
      <c r="R177" s="22">
        <v>167</v>
      </c>
      <c r="S177" s="22">
        <v>0.74023399999999995</v>
      </c>
      <c r="T177">
        <f t="shared" si="26"/>
        <v>17.150123456790123</v>
      </c>
      <c r="U177">
        <f t="shared" si="27"/>
        <v>12.707675527407408</v>
      </c>
      <c r="X177" s="9"/>
      <c r="Y177" s="22">
        <v>0.93902600000000003</v>
      </c>
      <c r="Z177" s="22">
        <v>16.177399999999999</v>
      </c>
      <c r="AA177" s="22">
        <v>-1.38733E-2</v>
      </c>
      <c r="AB177" s="22">
        <v>167</v>
      </c>
      <c r="AC177" s="22">
        <v>0.937805</v>
      </c>
      <c r="AD177">
        <f t="shared" si="28"/>
        <v>17.127530864197528</v>
      </c>
      <c r="AE177">
        <f t="shared" si="29"/>
        <v>16.08319679728395</v>
      </c>
      <c r="AF177" s="9"/>
      <c r="AG177" s="22">
        <v>0.74096700000000004</v>
      </c>
      <c r="AH177" s="22">
        <v>19.956299999999999</v>
      </c>
      <c r="AI177" s="22">
        <v>-1.38733E-2</v>
      </c>
      <c r="AJ177" s="22">
        <v>167</v>
      </c>
      <c r="AK177" s="22">
        <v>0.74023399999999995</v>
      </c>
      <c r="AL177">
        <f t="shared" si="30"/>
        <v>17.127530864197528</v>
      </c>
      <c r="AM177">
        <f t="shared" si="31"/>
        <v>12.690935161851851</v>
      </c>
      <c r="AP177" s="9"/>
      <c r="AQ177" s="22">
        <v>0.93902600000000003</v>
      </c>
      <c r="AR177" s="22">
        <v>25.398599999999998</v>
      </c>
      <c r="AS177" s="22">
        <v>-1.3903799999999999E-2</v>
      </c>
      <c r="AT177" s="22">
        <v>167</v>
      </c>
      <c r="AU177" s="22">
        <v>0.9375</v>
      </c>
      <c r="AV177">
        <f t="shared" si="32"/>
        <v>17.165185185185184</v>
      </c>
      <c r="AW177">
        <f t="shared" si="33"/>
        <v>16.118555183703702</v>
      </c>
      <c r="AX177" s="9"/>
      <c r="AY177" s="22">
        <v>0.74096700000000004</v>
      </c>
      <c r="AZ177" s="22">
        <v>29.177499999999998</v>
      </c>
      <c r="BA177" s="22">
        <v>-1.3894699999999999E-2</v>
      </c>
      <c r="BB177" s="22">
        <v>167</v>
      </c>
      <c r="BC177" s="22">
        <v>0.74005100000000001</v>
      </c>
      <c r="BD177">
        <f t="shared" si="34"/>
        <v>17.153950617283947</v>
      </c>
      <c r="BE177">
        <f t="shared" si="35"/>
        <v>12.710511327037034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0.93398999999999999</v>
      </c>
      <c r="H178" s="22">
        <v>6.9362500000000002</v>
      </c>
      <c r="I178" s="22">
        <v>-1.39404E-2</v>
      </c>
      <c r="J178" s="22">
        <v>168</v>
      </c>
      <c r="K178" s="22">
        <v>0.93322799999999995</v>
      </c>
      <c r="L178">
        <f t="shared" si="24"/>
        <v>17.21037037037037</v>
      </c>
      <c r="M178">
        <f t="shared" si="25"/>
        <v>16.074313822222223</v>
      </c>
      <c r="N178" s="9"/>
      <c r="O178" s="22">
        <v>0.74600200000000005</v>
      </c>
      <c r="P178" s="22">
        <v>10.715199999999999</v>
      </c>
      <c r="Q178" s="22">
        <v>-1.38885E-2</v>
      </c>
      <c r="R178" s="22">
        <v>168</v>
      </c>
      <c r="S178" s="22">
        <v>0.74517800000000001</v>
      </c>
      <c r="T178">
        <f t="shared" si="26"/>
        <v>17.146296296296295</v>
      </c>
      <c r="U178">
        <f t="shared" si="27"/>
        <v>12.791171329629631</v>
      </c>
      <c r="X178" s="9"/>
      <c r="Y178" s="22">
        <v>0.93398999999999999</v>
      </c>
      <c r="Z178" s="22">
        <v>16.1874</v>
      </c>
      <c r="AA178" s="22">
        <v>-1.38733E-2</v>
      </c>
      <c r="AB178" s="22">
        <v>168</v>
      </c>
      <c r="AC178" s="22">
        <v>0.93322799999999995</v>
      </c>
      <c r="AD178">
        <f t="shared" si="28"/>
        <v>17.127530864197528</v>
      </c>
      <c r="AE178">
        <f t="shared" si="29"/>
        <v>15.996942551851848</v>
      </c>
      <c r="AF178" s="9"/>
      <c r="AG178" s="22">
        <v>0.74600200000000005</v>
      </c>
      <c r="AH178" s="22">
        <v>19.9663</v>
      </c>
      <c r="AI178" s="22">
        <v>-1.38733E-2</v>
      </c>
      <c r="AJ178" s="22">
        <v>168</v>
      </c>
      <c r="AK178" s="22">
        <v>0.74517800000000001</v>
      </c>
      <c r="AL178">
        <f t="shared" si="30"/>
        <v>17.127530864197528</v>
      </c>
      <c r="AM178">
        <f t="shared" si="31"/>
        <v>12.777172279753085</v>
      </c>
      <c r="AP178" s="9"/>
      <c r="AQ178" s="22">
        <v>0.93398999999999999</v>
      </c>
      <c r="AR178" s="22">
        <v>25.4087</v>
      </c>
      <c r="AS178" s="22">
        <v>-1.3913E-2</v>
      </c>
      <c r="AT178" s="22">
        <v>168</v>
      </c>
      <c r="AU178" s="22">
        <v>0.93322799999999995</v>
      </c>
      <c r="AV178">
        <f t="shared" si="32"/>
        <v>17.176543209876542</v>
      </c>
      <c r="AW178">
        <f t="shared" si="33"/>
        <v>16.04271959259259</v>
      </c>
      <c r="AX178" s="9"/>
      <c r="AY178" s="22">
        <v>0.74600200000000005</v>
      </c>
      <c r="AZ178" s="22">
        <v>29.1876</v>
      </c>
      <c r="BA178" s="22">
        <v>-1.3894699999999999E-2</v>
      </c>
      <c r="BB178" s="22">
        <v>168</v>
      </c>
      <c r="BC178" s="22">
        <v>0.74520900000000001</v>
      </c>
      <c r="BD178">
        <f t="shared" si="34"/>
        <v>17.153950617283947</v>
      </c>
      <c r="BE178">
        <f t="shared" si="35"/>
        <v>12.79688146839506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0.92895499999999998</v>
      </c>
      <c r="H179" s="22">
        <v>6.9463200000000001</v>
      </c>
      <c r="I179" s="22">
        <v>-1.39404E-2</v>
      </c>
      <c r="J179" s="22">
        <v>169</v>
      </c>
      <c r="K179" s="22">
        <v>0.92773399999999995</v>
      </c>
      <c r="L179">
        <f t="shared" si="24"/>
        <v>17.21037037037037</v>
      </c>
      <c r="M179">
        <f t="shared" si="25"/>
        <v>15.987659607407407</v>
      </c>
      <c r="N179" s="9"/>
      <c r="O179" s="22">
        <v>0.75103799999999998</v>
      </c>
      <c r="P179" s="22">
        <v>10.725199999999999</v>
      </c>
      <c r="Q179" s="22">
        <v>-1.38855E-2</v>
      </c>
      <c r="R179" s="22">
        <v>169</v>
      </c>
      <c r="S179" s="22">
        <v>0.75015299999999996</v>
      </c>
      <c r="T179">
        <f t="shared" si="26"/>
        <v>17.142592592592592</v>
      </c>
      <c r="U179">
        <f t="shared" si="27"/>
        <v>12.874738455555555</v>
      </c>
      <c r="X179" s="9"/>
      <c r="Y179" s="22">
        <v>0.92895499999999998</v>
      </c>
      <c r="Z179" s="22">
        <v>16.197500000000002</v>
      </c>
      <c r="AA179" s="22">
        <v>-1.38794E-2</v>
      </c>
      <c r="AB179" s="22">
        <v>169</v>
      </c>
      <c r="AC179" s="22">
        <v>0.92834499999999998</v>
      </c>
      <c r="AD179">
        <f t="shared" si="28"/>
        <v>17.135061728395058</v>
      </c>
      <c r="AE179">
        <f t="shared" si="29"/>
        <v>15.917701267901231</v>
      </c>
      <c r="AF179" s="9"/>
      <c r="AG179" s="22">
        <v>0.75103799999999998</v>
      </c>
      <c r="AH179" s="22">
        <v>19.976400000000002</v>
      </c>
      <c r="AI179" s="22">
        <v>-1.38733E-2</v>
      </c>
      <c r="AJ179" s="22">
        <v>169</v>
      </c>
      <c r="AK179" s="22">
        <v>0.75015299999999996</v>
      </c>
      <c r="AL179">
        <f t="shared" si="30"/>
        <v>17.127530864197528</v>
      </c>
      <c r="AM179">
        <f t="shared" si="31"/>
        <v>12.863426525185183</v>
      </c>
      <c r="AP179" s="9"/>
      <c r="AQ179" s="22">
        <v>0.92895499999999998</v>
      </c>
      <c r="AR179" s="22">
        <v>25.418700000000001</v>
      </c>
      <c r="AS179" s="22">
        <v>-1.39191E-2</v>
      </c>
      <c r="AT179" s="22">
        <v>169</v>
      </c>
      <c r="AU179" s="22">
        <v>0.92742899999999995</v>
      </c>
      <c r="AV179">
        <f t="shared" si="32"/>
        <v>17.184074074074076</v>
      </c>
      <c r="AW179">
        <f t="shared" si="33"/>
        <v>15.963231531481483</v>
      </c>
      <c r="AX179" s="9"/>
      <c r="AY179" s="22">
        <v>0.75103799999999998</v>
      </c>
      <c r="AZ179" s="22">
        <v>29.197600000000001</v>
      </c>
      <c r="BA179" s="22">
        <v>-1.38885E-2</v>
      </c>
      <c r="BB179" s="22">
        <v>169</v>
      </c>
      <c r="BC179" s="22">
        <v>0.75021400000000005</v>
      </c>
      <c r="BD179">
        <f t="shared" si="34"/>
        <v>17.146296296296295</v>
      </c>
      <c r="BE179">
        <f t="shared" si="35"/>
        <v>12.877520077777778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0.92391999999999996</v>
      </c>
      <c r="H180" s="22">
        <v>6.9563899999999999</v>
      </c>
      <c r="I180" s="22">
        <v>-1.3943499999999999E-2</v>
      </c>
      <c r="J180" s="22">
        <v>170</v>
      </c>
      <c r="K180" s="22">
        <v>0.92315700000000001</v>
      </c>
      <c r="L180">
        <f t="shared" si="24"/>
        <v>17.214197530864197</v>
      </c>
      <c r="M180">
        <f t="shared" si="25"/>
        <v>15.904541382716049</v>
      </c>
      <c r="N180" s="9"/>
      <c r="O180" s="22">
        <v>0.756073</v>
      </c>
      <c r="P180" s="22">
        <v>10.735300000000001</v>
      </c>
      <c r="Q180" s="22">
        <v>-1.38824E-2</v>
      </c>
      <c r="R180" s="22">
        <v>170</v>
      </c>
      <c r="S180" s="22">
        <v>0.75500500000000004</v>
      </c>
      <c r="T180">
        <f t="shared" si="26"/>
        <v>17.138765432098765</v>
      </c>
      <c r="U180">
        <f t="shared" si="27"/>
        <v>12.95815779654321</v>
      </c>
      <c r="X180" s="9"/>
      <c r="Y180" s="22">
        <v>0.92391999999999996</v>
      </c>
      <c r="Z180" s="22">
        <v>16.207599999999999</v>
      </c>
      <c r="AA180" s="22">
        <v>-1.38855E-2</v>
      </c>
      <c r="AB180" s="22">
        <v>170</v>
      </c>
      <c r="AC180" s="22">
        <v>0.92285200000000001</v>
      </c>
      <c r="AD180">
        <f t="shared" si="28"/>
        <v>17.142592592592592</v>
      </c>
      <c r="AE180">
        <f t="shared" si="29"/>
        <v>15.838384148148148</v>
      </c>
      <c r="AF180" s="9"/>
      <c r="AG180" s="22">
        <v>0.756073</v>
      </c>
      <c r="AH180" s="22">
        <v>19.986499999999999</v>
      </c>
      <c r="AI180" s="22">
        <v>-1.3870199999999999E-2</v>
      </c>
      <c r="AJ180" s="22">
        <v>170</v>
      </c>
      <c r="AK180" s="22">
        <v>0.75500500000000004</v>
      </c>
      <c r="AL180">
        <f t="shared" si="30"/>
        <v>17.123703703703701</v>
      </c>
      <c r="AM180">
        <f t="shared" si="31"/>
        <v>12.946770030370368</v>
      </c>
      <c r="AP180" s="9"/>
      <c r="AQ180" s="22">
        <v>0.92391999999999996</v>
      </c>
      <c r="AR180" s="22">
        <v>25.428799999999999</v>
      </c>
      <c r="AS180" s="22">
        <v>-1.39282E-2</v>
      </c>
      <c r="AT180" s="22">
        <v>170</v>
      </c>
      <c r="AU180" s="22">
        <v>0.92254599999999998</v>
      </c>
      <c r="AV180">
        <f t="shared" si="32"/>
        <v>17.195308641975309</v>
      </c>
      <c r="AW180">
        <f t="shared" si="33"/>
        <v>15.887089560493827</v>
      </c>
      <c r="AX180" s="9"/>
      <c r="AY180" s="22">
        <v>0.756073</v>
      </c>
      <c r="AZ180" s="22">
        <v>29.207699999999999</v>
      </c>
      <c r="BA180" s="22">
        <v>-1.38824E-2</v>
      </c>
      <c r="BB180" s="22">
        <v>170</v>
      </c>
      <c r="BC180" s="22">
        <v>0.75500500000000004</v>
      </c>
      <c r="BD180">
        <f t="shared" si="34"/>
        <v>17.138765432098765</v>
      </c>
      <c r="BE180">
        <f t="shared" si="35"/>
        <v>12.95815779654321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0.91888400000000003</v>
      </c>
      <c r="H181" s="22">
        <v>6.9664700000000002</v>
      </c>
      <c r="I181" s="22">
        <v>-1.3943499999999999E-2</v>
      </c>
      <c r="J181" s="22">
        <v>171</v>
      </c>
      <c r="K181" s="22">
        <v>0.91766400000000004</v>
      </c>
      <c r="L181">
        <f t="shared" si="24"/>
        <v>17.214197530864197</v>
      </c>
      <c r="M181">
        <f t="shared" si="25"/>
        <v>15.817850683950617</v>
      </c>
      <c r="N181" s="9"/>
      <c r="O181" s="22">
        <v>0.76110800000000001</v>
      </c>
      <c r="P181" s="22">
        <v>10.7454</v>
      </c>
      <c r="Q181" s="22">
        <v>-1.38794E-2</v>
      </c>
      <c r="R181" s="22">
        <v>171</v>
      </c>
      <c r="S181" s="22">
        <v>0.76019300000000001</v>
      </c>
      <c r="T181">
        <f t="shared" si="26"/>
        <v>17.135061728395058</v>
      </c>
      <c r="U181">
        <f t="shared" si="27"/>
        <v>13.041632561975307</v>
      </c>
      <c r="X181" s="9"/>
      <c r="Y181" s="22">
        <v>0.91888400000000003</v>
      </c>
      <c r="Z181" s="22">
        <v>16.217600000000001</v>
      </c>
      <c r="AA181" s="22">
        <v>-1.38916E-2</v>
      </c>
      <c r="AB181" s="22">
        <v>171</v>
      </c>
      <c r="AC181" s="22">
        <v>0.91735800000000001</v>
      </c>
      <c r="AD181">
        <f t="shared" si="28"/>
        <v>17.150123456790123</v>
      </c>
      <c r="AE181">
        <f t="shared" si="29"/>
        <v>15.758974042469136</v>
      </c>
      <c r="AF181" s="9"/>
      <c r="AG181" s="22">
        <v>0.76110800000000001</v>
      </c>
      <c r="AH181" s="22">
        <v>19.996600000000001</v>
      </c>
      <c r="AI181" s="22">
        <v>-1.3864100000000001E-2</v>
      </c>
      <c r="AJ181" s="22">
        <v>171</v>
      </c>
      <c r="AK181" s="22">
        <v>0.76049800000000001</v>
      </c>
      <c r="AL181">
        <f t="shared" si="30"/>
        <v>17.11617283950617</v>
      </c>
      <c r="AM181">
        <f t="shared" si="31"/>
        <v>13.027256077530863</v>
      </c>
      <c r="AP181" s="9"/>
      <c r="AQ181" s="22">
        <v>0.91888400000000003</v>
      </c>
      <c r="AR181" s="22">
        <v>25.4389</v>
      </c>
      <c r="AS181" s="22">
        <v>-1.3931300000000001E-2</v>
      </c>
      <c r="AT181" s="22">
        <v>171</v>
      </c>
      <c r="AU181" s="22">
        <v>0.91766400000000004</v>
      </c>
      <c r="AV181">
        <f t="shared" si="32"/>
        <v>17.199135802469137</v>
      </c>
      <c r="AW181">
        <f t="shared" si="33"/>
        <v>15.804010702716051</v>
      </c>
      <c r="AX181" s="9"/>
      <c r="AY181" s="22">
        <v>0.76110800000000001</v>
      </c>
      <c r="AZ181" s="22">
        <v>29.2178</v>
      </c>
      <c r="BA181" s="22">
        <v>-1.38824E-2</v>
      </c>
      <c r="BB181" s="22">
        <v>171</v>
      </c>
      <c r="BC181" s="22">
        <v>0.76019300000000001</v>
      </c>
      <c r="BD181">
        <f t="shared" si="34"/>
        <v>17.138765432098765</v>
      </c>
      <c r="BE181">
        <f t="shared" si="35"/>
        <v>13.044451480493827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0.91384900000000002</v>
      </c>
      <c r="H182" s="22">
        <v>6.97654</v>
      </c>
      <c r="I182" s="22">
        <v>-1.3946500000000001E-2</v>
      </c>
      <c r="J182" s="22">
        <v>172</v>
      </c>
      <c r="K182" s="22">
        <v>0.91308599999999995</v>
      </c>
      <c r="L182">
        <f t="shared" si="24"/>
        <v>17.217901234567901</v>
      </c>
      <c r="M182">
        <f t="shared" si="25"/>
        <v>15.734561825308642</v>
      </c>
      <c r="N182" s="9"/>
      <c r="O182" s="22">
        <v>0.76614400000000005</v>
      </c>
      <c r="P182" s="22">
        <v>10.7554</v>
      </c>
      <c r="Q182" s="22">
        <v>-1.38733E-2</v>
      </c>
      <c r="R182" s="22">
        <v>172</v>
      </c>
      <c r="S182" s="22">
        <v>0.76507599999999998</v>
      </c>
      <c r="T182">
        <f t="shared" si="26"/>
        <v>17.127530864197528</v>
      </c>
      <c r="U182">
        <f t="shared" si="27"/>
        <v>13.122155006419751</v>
      </c>
      <c r="X182" s="9"/>
      <c r="Y182" s="22">
        <v>0.91384900000000002</v>
      </c>
      <c r="Z182" s="22">
        <v>16.227699999999999</v>
      </c>
      <c r="AA182" s="22">
        <v>-1.39008E-2</v>
      </c>
      <c r="AB182" s="22">
        <v>172</v>
      </c>
      <c r="AC182" s="22">
        <v>0.91339099999999995</v>
      </c>
      <c r="AD182">
        <f t="shared" si="28"/>
        <v>17.161481481481481</v>
      </c>
      <c r="AE182">
        <f t="shared" si="29"/>
        <v>15.683002690370371</v>
      </c>
      <c r="AF182" s="9"/>
      <c r="AG182" s="22">
        <v>0.76614400000000005</v>
      </c>
      <c r="AH182" s="22">
        <v>20.006599999999999</v>
      </c>
      <c r="AI182" s="22">
        <v>-1.3854999999999999E-2</v>
      </c>
      <c r="AJ182" s="22">
        <v>172</v>
      </c>
      <c r="AK182" s="22">
        <v>0.76568599999999998</v>
      </c>
      <c r="AL182">
        <f t="shared" si="30"/>
        <v>17.104938271604937</v>
      </c>
      <c r="AM182">
        <f t="shared" si="31"/>
        <v>13.104845827160494</v>
      </c>
      <c r="AP182" s="9"/>
      <c r="AQ182" s="22">
        <v>0.91384900000000002</v>
      </c>
      <c r="AR182" s="22">
        <v>25.449000000000002</v>
      </c>
      <c r="AS182" s="22">
        <v>-1.3937400000000001E-2</v>
      </c>
      <c r="AT182" s="22">
        <v>172</v>
      </c>
      <c r="AU182" s="22">
        <v>0.91247599999999995</v>
      </c>
      <c r="AV182">
        <f t="shared" si="32"/>
        <v>17.206666666666667</v>
      </c>
      <c r="AW182">
        <f t="shared" si="33"/>
        <v>15.724295126666668</v>
      </c>
      <c r="AX182" s="9"/>
      <c r="AY182" s="22">
        <v>0.76614400000000005</v>
      </c>
      <c r="AZ182" s="22">
        <v>29.227900000000002</v>
      </c>
      <c r="BA182" s="22">
        <v>-1.3876299999999999E-2</v>
      </c>
      <c r="BB182" s="22">
        <v>172</v>
      </c>
      <c r="BC182" s="22">
        <v>0.76538099999999998</v>
      </c>
      <c r="BD182">
        <f t="shared" si="34"/>
        <v>17.131234567901231</v>
      </c>
      <c r="BE182">
        <f t="shared" si="35"/>
        <v>13.124992576790122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0.90881299999999998</v>
      </c>
      <c r="H183" s="22">
        <v>6.9866099999999998</v>
      </c>
      <c r="I183" s="22">
        <v>-1.39496E-2</v>
      </c>
      <c r="J183" s="22">
        <v>173</v>
      </c>
      <c r="K183" s="22">
        <v>0.90789799999999998</v>
      </c>
      <c r="L183">
        <f t="shared" si="24"/>
        <v>17.221728395061724</v>
      </c>
      <c r="M183">
        <f t="shared" si="25"/>
        <v>15.651330647901231</v>
      </c>
      <c r="N183" s="9"/>
      <c r="O183" s="22">
        <v>0.77117899999999995</v>
      </c>
      <c r="P183" s="22">
        <v>10.765499999999999</v>
      </c>
      <c r="Q183" s="22">
        <v>-1.38733E-2</v>
      </c>
      <c r="R183" s="22">
        <v>173</v>
      </c>
      <c r="S183" s="22">
        <v>0.77026399999999995</v>
      </c>
      <c r="T183">
        <f t="shared" si="26"/>
        <v>17.127530864197528</v>
      </c>
      <c r="U183">
        <f t="shared" si="27"/>
        <v>13.208392124320984</v>
      </c>
      <c r="X183" s="9"/>
      <c r="Y183" s="22">
        <v>0.90881299999999998</v>
      </c>
      <c r="Z183" s="22">
        <v>16.2378</v>
      </c>
      <c r="AA183" s="22">
        <v>-1.3909899999999999E-2</v>
      </c>
      <c r="AB183" s="22">
        <v>173</v>
      </c>
      <c r="AC183" s="22">
        <v>0.90759299999999998</v>
      </c>
      <c r="AD183">
        <f t="shared" si="28"/>
        <v>17.172716049382714</v>
      </c>
      <c r="AE183">
        <f t="shared" si="29"/>
        <v>15.606787590987652</v>
      </c>
      <c r="AF183" s="9"/>
      <c r="AG183" s="22">
        <v>0.77117899999999995</v>
      </c>
      <c r="AH183" s="22">
        <v>20.0167</v>
      </c>
      <c r="AI183" s="22">
        <v>-1.38458E-2</v>
      </c>
      <c r="AJ183" s="22">
        <v>173</v>
      </c>
      <c r="AK183" s="22">
        <v>0.76965300000000003</v>
      </c>
      <c r="AL183">
        <f t="shared" si="30"/>
        <v>17.093580246913579</v>
      </c>
      <c r="AM183">
        <f t="shared" si="31"/>
        <v>13.182210121234565</v>
      </c>
      <c r="AP183" s="9"/>
      <c r="AQ183" s="22">
        <v>0.90881299999999998</v>
      </c>
      <c r="AR183" s="22">
        <v>25.459</v>
      </c>
      <c r="AS183" s="22">
        <v>-1.3946500000000001E-2</v>
      </c>
      <c r="AT183" s="22">
        <v>173</v>
      </c>
      <c r="AU183" s="22">
        <v>0.90820299999999998</v>
      </c>
      <c r="AV183">
        <f t="shared" si="32"/>
        <v>17.217901234567901</v>
      </c>
      <c r="AW183">
        <f t="shared" si="33"/>
        <v>15.647852474691357</v>
      </c>
      <c r="AX183" s="9"/>
      <c r="AY183" s="22">
        <v>0.77117899999999995</v>
      </c>
      <c r="AZ183" s="22">
        <v>29.2379</v>
      </c>
      <c r="BA183" s="22">
        <v>-1.3864100000000001E-2</v>
      </c>
      <c r="BB183" s="22">
        <v>173</v>
      </c>
      <c r="BC183" s="22">
        <v>0.77026399999999995</v>
      </c>
      <c r="BD183">
        <f t="shared" si="34"/>
        <v>17.11617283950617</v>
      </c>
      <c r="BE183">
        <f t="shared" si="35"/>
        <v>13.199633054197529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0.90377799999999997</v>
      </c>
      <c r="H184" s="22">
        <v>6.9966799999999996</v>
      </c>
      <c r="I184" s="22">
        <v>-1.3958699999999999E-2</v>
      </c>
      <c r="J184" s="22">
        <v>174</v>
      </c>
      <c r="K184" s="22">
        <v>0.90271000000000001</v>
      </c>
      <c r="L184">
        <f t="shared" si="24"/>
        <v>17.232962962962961</v>
      </c>
      <c r="M184">
        <f t="shared" si="25"/>
        <v>15.574772800740739</v>
      </c>
      <c r="N184" s="9"/>
      <c r="O184" s="22">
        <v>0.77621499999999999</v>
      </c>
      <c r="P184" s="22">
        <v>10.775600000000001</v>
      </c>
      <c r="Q184" s="22">
        <v>-1.38672E-2</v>
      </c>
      <c r="R184" s="22">
        <v>174</v>
      </c>
      <c r="S184" s="22">
        <v>0.774841</v>
      </c>
      <c r="T184">
        <f t="shared" si="26"/>
        <v>17.12</v>
      </c>
      <c r="U184">
        <f t="shared" si="27"/>
        <v>13.288800800000001</v>
      </c>
      <c r="X184" s="9"/>
      <c r="Y184" s="22">
        <v>0.90377799999999997</v>
      </c>
      <c r="Z184" s="22">
        <v>16.247900000000001</v>
      </c>
      <c r="AA184" s="22">
        <v>-1.3909899999999999E-2</v>
      </c>
      <c r="AB184" s="22">
        <v>174</v>
      </c>
      <c r="AC184" s="22">
        <v>0.90271000000000001</v>
      </c>
      <c r="AD184">
        <f t="shared" si="28"/>
        <v>17.172716049382714</v>
      </c>
      <c r="AE184">
        <f t="shared" si="29"/>
        <v>15.520322965679011</v>
      </c>
      <c r="AF184" s="9"/>
      <c r="AG184" s="22">
        <v>0.77621499999999999</v>
      </c>
      <c r="AH184" s="22">
        <v>20.026800000000001</v>
      </c>
      <c r="AI184" s="22">
        <v>-1.38397E-2</v>
      </c>
      <c r="AJ184" s="22">
        <v>174</v>
      </c>
      <c r="AK184" s="22">
        <v>0.77545200000000003</v>
      </c>
      <c r="AL184">
        <f t="shared" si="30"/>
        <v>17.086049382716048</v>
      </c>
      <c r="AM184">
        <f t="shared" si="31"/>
        <v>13.262447821604937</v>
      </c>
      <c r="AP184" s="9"/>
      <c r="AQ184" s="22">
        <v>0.90377799999999997</v>
      </c>
      <c r="AR184" s="22">
        <v>25.469100000000001</v>
      </c>
      <c r="AS184" s="22">
        <v>-1.3946500000000001E-2</v>
      </c>
      <c r="AT184" s="22">
        <v>174</v>
      </c>
      <c r="AU184" s="22">
        <v>0.90271000000000001</v>
      </c>
      <c r="AV184">
        <f t="shared" si="32"/>
        <v>17.217901234567901</v>
      </c>
      <c r="AW184">
        <f t="shared" si="33"/>
        <v>15.561160341975308</v>
      </c>
      <c r="AX184" s="9"/>
      <c r="AY184" s="22">
        <v>0.77621499999999999</v>
      </c>
      <c r="AZ184" s="22">
        <v>29.248000000000001</v>
      </c>
      <c r="BA184" s="22">
        <v>-1.3864100000000001E-2</v>
      </c>
      <c r="BB184" s="22">
        <v>174</v>
      </c>
      <c r="BC184" s="22">
        <v>0.775146</v>
      </c>
      <c r="BD184">
        <f t="shared" si="34"/>
        <v>17.11617283950617</v>
      </c>
      <c r="BE184">
        <f t="shared" si="35"/>
        <v>13.285830100617282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0.89874299999999996</v>
      </c>
      <c r="H185" s="22">
        <v>7.0067500000000003</v>
      </c>
      <c r="I185" s="22">
        <v>-1.3952600000000001E-2</v>
      </c>
      <c r="J185" s="22">
        <v>175</v>
      </c>
      <c r="K185" s="22">
        <v>0.89813200000000004</v>
      </c>
      <c r="L185">
        <f t="shared" si="24"/>
        <v>17.225432098765431</v>
      </c>
      <c r="M185">
        <f t="shared" si="25"/>
        <v>15.481236520740739</v>
      </c>
      <c r="N185" s="9"/>
      <c r="O185" s="22">
        <v>0.78125</v>
      </c>
      <c r="P185" s="22">
        <v>10.7857</v>
      </c>
      <c r="Q185" s="22">
        <v>-1.3861099999999999E-2</v>
      </c>
      <c r="R185" s="22">
        <v>175</v>
      </c>
      <c r="S185" s="22">
        <v>0.78033399999999997</v>
      </c>
      <c r="T185">
        <f t="shared" si="26"/>
        <v>17.112469135802467</v>
      </c>
      <c r="U185">
        <f t="shared" si="27"/>
        <v>13.369116512345677</v>
      </c>
      <c r="X185" s="9"/>
      <c r="Y185" s="22">
        <v>0.89874299999999996</v>
      </c>
      <c r="Z185" s="22">
        <v>16.257899999999999</v>
      </c>
      <c r="AA185" s="22">
        <v>-1.3913E-2</v>
      </c>
      <c r="AB185" s="22">
        <v>175</v>
      </c>
      <c r="AC185" s="22">
        <v>0.89813200000000004</v>
      </c>
      <c r="AD185">
        <f t="shared" si="28"/>
        <v>17.176543209876542</v>
      </c>
      <c r="AE185">
        <f t="shared" si="29"/>
        <v>15.437297974074072</v>
      </c>
      <c r="AF185" s="9"/>
      <c r="AG185" s="22">
        <v>0.78125</v>
      </c>
      <c r="AH185" s="22">
        <v>20.036799999999999</v>
      </c>
      <c r="AI185" s="22">
        <v>-1.3848900000000001E-2</v>
      </c>
      <c r="AJ185" s="22">
        <v>175</v>
      </c>
      <c r="AK185" s="22">
        <v>0.78033399999999997</v>
      </c>
      <c r="AL185">
        <f t="shared" si="30"/>
        <v>17.09740740740741</v>
      </c>
      <c r="AM185">
        <f t="shared" si="31"/>
        <v>13.357349537037038</v>
      </c>
      <c r="AP185" s="9"/>
      <c r="AQ185" s="22">
        <v>0.89874299999999996</v>
      </c>
      <c r="AR185" s="22">
        <v>25.479199999999999</v>
      </c>
      <c r="AS185" s="22">
        <v>-1.3952600000000001E-2</v>
      </c>
      <c r="AT185" s="22">
        <v>175</v>
      </c>
      <c r="AU185" s="22">
        <v>0.89752200000000004</v>
      </c>
      <c r="AV185">
        <f t="shared" si="32"/>
        <v>17.225432098765431</v>
      </c>
      <c r="AW185">
        <f t="shared" si="33"/>
        <v>15.481236520740739</v>
      </c>
      <c r="AX185" s="9"/>
      <c r="AY185" s="22">
        <v>0.78125</v>
      </c>
      <c r="AZ185" s="22">
        <v>29.258099999999999</v>
      </c>
      <c r="BA185" s="22">
        <v>-1.38519E-2</v>
      </c>
      <c r="BB185" s="22">
        <v>175</v>
      </c>
      <c r="BC185" s="22">
        <v>0.78064</v>
      </c>
      <c r="BD185">
        <f t="shared" si="34"/>
        <v>17.101111111111113</v>
      </c>
      <c r="BE185">
        <f t="shared" si="35"/>
        <v>13.360243055555557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0.89370700000000003</v>
      </c>
      <c r="H186" s="22">
        <v>7.0168200000000001</v>
      </c>
      <c r="I186" s="22">
        <v>-1.39496E-2</v>
      </c>
      <c r="J186" s="22">
        <v>176</v>
      </c>
      <c r="K186" s="22">
        <v>0.89294399999999996</v>
      </c>
      <c r="L186">
        <f t="shared" si="24"/>
        <v>17.221728395061724</v>
      </c>
      <c r="M186">
        <f t="shared" si="25"/>
        <v>15.391179218765428</v>
      </c>
      <c r="N186" s="9"/>
      <c r="O186" s="22">
        <v>0.78628500000000001</v>
      </c>
      <c r="P186" s="22">
        <v>10.7957</v>
      </c>
      <c r="Q186" s="22">
        <v>-1.38672E-2</v>
      </c>
      <c r="R186" s="22">
        <v>176</v>
      </c>
      <c r="S186" s="22">
        <v>0.78491200000000005</v>
      </c>
      <c r="T186">
        <f t="shared" si="26"/>
        <v>17.12</v>
      </c>
      <c r="U186">
        <f t="shared" si="27"/>
        <v>13.461199200000001</v>
      </c>
      <c r="X186" s="9"/>
      <c r="Y186" s="22">
        <v>0.89370700000000003</v>
      </c>
      <c r="Z186" s="22">
        <v>16.268000000000001</v>
      </c>
      <c r="AA186" s="22">
        <v>-1.3916E-2</v>
      </c>
      <c r="AB186" s="22">
        <v>176</v>
      </c>
      <c r="AC186" s="22">
        <v>0.89263899999999996</v>
      </c>
      <c r="AD186">
        <f t="shared" si="28"/>
        <v>17.180246913580245</v>
      </c>
      <c r="AE186">
        <f t="shared" si="29"/>
        <v>15.35410692839506</v>
      </c>
      <c r="AF186" s="9"/>
      <c r="AG186" s="22">
        <v>0.78628500000000001</v>
      </c>
      <c r="AH186" s="22">
        <v>20.046900000000001</v>
      </c>
      <c r="AI186" s="22">
        <v>-1.3848900000000001E-2</v>
      </c>
      <c r="AJ186" s="22">
        <v>176</v>
      </c>
      <c r="AK186" s="22">
        <v>0.78521700000000005</v>
      </c>
      <c r="AL186">
        <f t="shared" si="30"/>
        <v>17.09740740740741</v>
      </c>
      <c r="AM186">
        <f t="shared" si="31"/>
        <v>13.443434983333335</v>
      </c>
      <c r="AP186" s="9"/>
      <c r="AQ186" s="22">
        <v>0.89370700000000003</v>
      </c>
      <c r="AR186" s="22">
        <v>25.4892</v>
      </c>
      <c r="AS186" s="22">
        <v>-1.39618E-2</v>
      </c>
      <c r="AT186" s="22">
        <v>176</v>
      </c>
      <c r="AU186" s="22">
        <v>0.89202899999999996</v>
      </c>
      <c r="AV186">
        <f t="shared" si="32"/>
        <v>17.236790123456789</v>
      </c>
      <c r="AW186">
        <f t="shared" si="33"/>
        <v>15.404639990864197</v>
      </c>
      <c r="AX186" s="9"/>
      <c r="AY186" s="22">
        <v>0.78628500000000001</v>
      </c>
      <c r="AZ186" s="22">
        <v>29.2681</v>
      </c>
      <c r="BA186" s="22">
        <v>-1.38397E-2</v>
      </c>
      <c r="BB186" s="22">
        <v>176</v>
      </c>
      <c r="BC186" s="22">
        <v>0.78491200000000005</v>
      </c>
      <c r="BD186">
        <f t="shared" si="34"/>
        <v>17.086049382716048</v>
      </c>
      <c r="BE186">
        <f t="shared" si="35"/>
        <v>13.434504338888889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0.88867200000000002</v>
      </c>
      <c r="H187" s="22">
        <v>7.0268899999999999</v>
      </c>
      <c r="I187" s="22">
        <v>-1.39557E-2</v>
      </c>
      <c r="J187" s="22">
        <v>177</v>
      </c>
      <c r="K187" s="22">
        <v>0.88745099999999999</v>
      </c>
      <c r="L187">
        <f t="shared" si="24"/>
        <v>17.229259259259258</v>
      </c>
      <c r="M187">
        <f t="shared" si="25"/>
        <v>15.311160284444444</v>
      </c>
      <c r="N187" s="9"/>
      <c r="O187" s="22">
        <v>0.79132100000000005</v>
      </c>
      <c r="P187" s="22">
        <v>10.8058</v>
      </c>
      <c r="Q187" s="22">
        <v>-1.3858000000000001E-2</v>
      </c>
      <c r="R187" s="22">
        <v>177</v>
      </c>
      <c r="S187" s="22">
        <v>0.78979500000000002</v>
      </c>
      <c r="T187">
        <f t="shared" si="26"/>
        <v>17.10864197530864</v>
      </c>
      <c r="U187">
        <f t="shared" si="27"/>
        <v>13.538427676543209</v>
      </c>
      <c r="X187" s="9"/>
      <c r="Y187" s="22">
        <v>0.88867200000000002</v>
      </c>
      <c r="Z187" s="22">
        <v>16.278099999999998</v>
      </c>
      <c r="AA187" s="22">
        <v>-1.39221E-2</v>
      </c>
      <c r="AB187" s="22">
        <v>177</v>
      </c>
      <c r="AC187" s="22">
        <v>0.88775599999999999</v>
      </c>
      <c r="AD187">
        <f t="shared" si="28"/>
        <v>17.187777777777779</v>
      </c>
      <c r="AE187">
        <f t="shared" si="29"/>
        <v>15.274296853333334</v>
      </c>
      <c r="AF187" s="9"/>
      <c r="AG187" s="22">
        <v>0.79132100000000005</v>
      </c>
      <c r="AH187" s="22">
        <v>20.056999999999999</v>
      </c>
      <c r="AI187" s="22">
        <v>-1.3842800000000001E-2</v>
      </c>
      <c r="AJ187" s="22">
        <v>177</v>
      </c>
      <c r="AK187" s="22">
        <v>0.79040500000000002</v>
      </c>
      <c r="AL187">
        <f t="shared" si="30"/>
        <v>17.089876543209876</v>
      </c>
      <c r="AM187">
        <f t="shared" si="31"/>
        <v>13.523578196049383</v>
      </c>
      <c r="AP187" s="9"/>
      <c r="AQ187" s="22">
        <v>0.88867200000000002</v>
      </c>
      <c r="AR187" s="22">
        <v>25.499300000000002</v>
      </c>
      <c r="AS187" s="22">
        <v>-1.39679E-2</v>
      </c>
      <c r="AT187" s="22">
        <v>177</v>
      </c>
      <c r="AU187" s="22">
        <v>0.88745099999999999</v>
      </c>
      <c r="AV187">
        <f t="shared" si="32"/>
        <v>17.244320987654319</v>
      </c>
      <c r="AW187">
        <f t="shared" si="33"/>
        <v>15.32454522074074</v>
      </c>
      <c r="AX187" s="9"/>
      <c r="AY187" s="22">
        <v>0.79132100000000005</v>
      </c>
      <c r="AZ187" s="22">
        <v>29.278199999999998</v>
      </c>
      <c r="BA187" s="22">
        <v>-1.38367E-2</v>
      </c>
      <c r="BB187" s="22">
        <v>177</v>
      </c>
      <c r="BC187" s="22">
        <v>0.79010000000000002</v>
      </c>
      <c r="BD187">
        <f t="shared" si="34"/>
        <v>17.082345679012345</v>
      </c>
      <c r="BE187">
        <f t="shared" si="35"/>
        <v>13.517618865061729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0.88363599999999998</v>
      </c>
      <c r="H188" s="22">
        <v>7.0369599999999997</v>
      </c>
      <c r="I188" s="22">
        <v>-1.39496E-2</v>
      </c>
      <c r="J188" s="22">
        <v>178</v>
      </c>
      <c r="K188" s="22">
        <v>0.88195800000000002</v>
      </c>
      <c r="L188">
        <f t="shared" si="24"/>
        <v>17.221728395061724</v>
      </c>
      <c r="M188">
        <f t="shared" si="25"/>
        <v>15.217739192098762</v>
      </c>
      <c r="N188" s="9"/>
      <c r="O188" s="22">
        <v>0.79635599999999995</v>
      </c>
      <c r="P188" s="22">
        <v>10.815899999999999</v>
      </c>
      <c r="Q188" s="22">
        <v>-1.3858000000000001E-2</v>
      </c>
      <c r="R188" s="22">
        <v>178</v>
      </c>
      <c r="S188" s="22">
        <v>0.79589799999999999</v>
      </c>
      <c r="T188">
        <f t="shared" si="26"/>
        <v>17.10864197530864</v>
      </c>
      <c r="U188">
        <f t="shared" si="27"/>
        <v>13.624569688888887</v>
      </c>
      <c r="X188" s="9"/>
      <c r="Y188" s="22">
        <v>0.88363599999999998</v>
      </c>
      <c r="Z188" s="22">
        <v>16.2881</v>
      </c>
      <c r="AA188" s="22">
        <v>-1.39252E-2</v>
      </c>
      <c r="AB188" s="22">
        <v>178</v>
      </c>
      <c r="AC188" s="22">
        <v>0.88226300000000002</v>
      </c>
      <c r="AD188">
        <f t="shared" si="28"/>
        <v>17.191604938271606</v>
      </c>
      <c r="AE188">
        <f t="shared" si="29"/>
        <v>15.191121021234569</v>
      </c>
      <c r="AF188" s="9"/>
      <c r="AG188" s="22">
        <v>0.79635599999999995</v>
      </c>
      <c r="AH188" s="22">
        <v>20.067</v>
      </c>
      <c r="AI188" s="22">
        <v>-1.38336E-2</v>
      </c>
      <c r="AJ188" s="22">
        <v>178</v>
      </c>
      <c r="AK188" s="22">
        <v>0.79528799999999999</v>
      </c>
      <c r="AL188">
        <f t="shared" si="30"/>
        <v>17.078518518518518</v>
      </c>
      <c r="AM188">
        <f t="shared" si="31"/>
        <v>13.600580693333331</v>
      </c>
      <c r="AP188" s="9"/>
      <c r="AQ188" s="22">
        <v>0.88363599999999998</v>
      </c>
      <c r="AR188" s="22">
        <v>25.509399999999999</v>
      </c>
      <c r="AS188" s="22">
        <v>-1.39709E-2</v>
      </c>
      <c r="AT188" s="22">
        <v>178</v>
      </c>
      <c r="AU188" s="22">
        <v>0.88287400000000005</v>
      </c>
      <c r="AV188">
        <f t="shared" si="32"/>
        <v>17.248024691358022</v>
      </c>
      <c r="AW188">
        <f t="shared" si="33"/>
        <v>15.240975546172837</v>
      </c>
      <c r="AX188" s="9"/>
      <c r="AY188" s="22">
        <v>0.79635599999999995</v>
      </c>
      <c r="AZ188" s="22">
        <v>29.2883</v>
      </c>
      <c r="BA188" s="22">
        <v>-1.38367E-2</v>
      </c>
      <c r="BB188" s="22">
        <v>178</v>
      </c>
      <c r="BC188" s="22">
        <v>0.79559299999999999</v>
      </c>
      <c r="BD188">
        <f t="shared" si="34"/>
        <v>17.082345679012345</v>
      </c>
      <c r="BE188">
        <f t="shared" si="35"/>
        <v>13.603628475555555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0.87860099999999997</v>
      </c>
      <c r="H189" s="22">
        <v>7.0470300000000003</v>
      </c>
      <c r="I189" s="22">
        <v>-1.3952600000000001E-2</v>
      </c>
      <c r="J189" s="22">
        <v>179</v>
      </c>
      <c r="K189" s="22">
        <v>0.87738000000000005</v>
      </c>
      <c r="L189">
        <f t="shared" si="24"/>
        <v>17.225432098765431</v>
      </c>
      <c r="M189">
        <f t="shared" si="25"/>
        <v>15.134281867407406</v>
      </c>
      <c r="N189" s="9"/>
      <c r="O189" s="22">
        <v>0.80139199999999999</v>
      </c>
      <c r="P189" s="22">
        <v>10.825900000000001</v>
      </c>
      <c r="Q189" s="22">
        <v>-1.38519E-2</v>
      </c>
      <c r="R189" s="22">
        <v>179</v>
      </c>
      <c r="S189" s="22">
        <v>0.80017099999999997</v>
      </c>
      <c r="T189">
        <f t="shared" si="26"/>
        <v>17.101111111111113</v>
      </c>
      <c r="U189">
        <f t="shared" si="27"/>
        <v>13.704693635555557</v>
      </c>
      <c r="X189" s="9"/>
      <c r="Y189" s="22">
        <v>0.87860099999999997</v>
      </c>
      <c r="Z189" s="22">
        <v>16.298200000000001</v>
      </c>
      <c r="AA189" s="22">
        <v>-1.39191E-2</v>
      </c>
      <c r="AB189" s="22">
        <v>179</v>
      </c>
      <c r="AC189" s="22">
        <v>0.87707500000000005</v>
      </c>
      <c r="AD189">
        <f t="shared" si="28"/>
        <v>17.184074074074076</v>
      </c>
      <c r="AE189">
        <f t="shared" si="29"/>
        <v>15.097944665555556</v>
      </c>
      <c r="AF189" s="9"/>
      <c r="AG189" s="22">
        <v>0.80139199999999999</v>
      </c>
      <c r="AH189" s="22">
        <v>20.077100000000002</v>
      </c>
      <c r="AI189" s="22">
        <v>-1.38275E-2</v>
      </c>
      <c r="AJ189" s="22">
        <v>179</v>
      </c>
      <c r="AK189" s="22">
        <v>0.80017099999999997</v>
      </c>
      <c r="AL189">
        <f t="shared" si="30"/>
        <v>17.070987654320987</v>
      </c>
      <c r="AM189">
        <f t="shared" si="31"/>
        <v>13.680552938271605</v>
      </c>
      <c r="AP189" s="9"/>
      <c r="AQ189" s="22">
        <v>0.87860099999999997</v>
      </c>
      <c r="AR189" s="22">
        <v>25.519400000000001</v>
      </c>
      <c r="AS189" s="22">
        <v>-1.39709E-2</v>
      </c>
      <c r="AT189" s="22">
        <v>179</v>
      </c>
      <c r="AU189" s="22">
        <v>0.87768599999999997</v>
      </c>
      <c r="AV189">
        <f t="shared" si="32"/>
        <v>17.248024691358022</v>
      </c>
      <c r="AW189">
        <f t="shared" si="33"/>
        <v>15.154131741851849</v>
      </c>
      <c r="AX189" s="9"/>
      <c r="AY189" s="22">
        <v>0.80139199999999999</v>
      </c>
      <c r="AZ189" s="22">
        <v>29.298400000000001</v>
      </c>
      <c r="BA189" s="22">
        <v>-1.3842800000000001E-2</v>
      </c>
      <c r="BB189" s="22">
        <v>179</v>
      </c>
      <c r="BC189" s="22">
        <v>0.80078099999999997</v>
      </c>
      <c r="BD189">
        <f t="shared" si="34"/>
        <v>17.089876543209876</v>
      </c>
      <c r="BE189">
        <f t="shared" si="35"/>
        <v>13.695690342716048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0.87356599999999995</v>
      </c>
      <c r="H190" s="22">
        <v>7.0571000000000002</v>
      </c>
      <c r="I190" s="22">
        <v>-1.39496E-2</v>
      </c>
      <c r="J190" s="22">
        <v>180</v>
      </c>
      <c r="K190" s="22">
        <v>0.87188699999999997</v>
      </c>
      <c r="L190">
        <f t="shared" si="24"/>
        <v>17.221728395061724</v>
      </c>
      <c r="M190">
        <f t="shared" si="25"/>
        <v>15.044316387160489</v>
      </c>
      <c r="N190" s="9"/>
      <c r="O190" s="22">
        <v>0.806427</v>
      </c>
      <c r="P190" s="22">
        <v>10.836</v>
      </c>
      <c r="Q190" s="22">
        <v>-1.3848900000000001E-2</v>
      </c>
      <c r="R190" s="22">
        <v>180</v>
      </c>
      <c r="S190" s="22">
        <v>0.80566400000000005</v>
      </c>
      <c r="T190">
        <f t="shared" si="26"/>
        <v>17.09740740740741</v>
      </c>
      <c r="U190">
        <f t="shared" si="27"/>
        <v>13.787810963333335</v>
      </c>
      <c r="X190" s="9"/>
      <c r="Y190" s="22">
        <v>0.87356599999999995</v>
      </c>
      <c r="Z190" s="22">
        <v>16.308299999999999</v>
      </c>
      <c r="AA190" s="22">
        <v>-1.3913E-2</v>
      </c>
      <c r="AB190" s="22">
        <v>180</v>
      </c>
      <c r="AC190" s="22">
        <v>0.872498</v>
      </c>
      <c r="AD190">
        <f t="shared" si="28"/>
        <v>17.176543209876542</v>
      </c>
      <c r="AE190">
        <f t="shared" si="29"/>
        <v>15.00484414567901</v>
      </c>
      <c r="AF190" s="9"/>
      <c r="AG190" s="22">
        <v>0.806427</v>
      </c>
      <c r="AH190" s="22">
        <v>20.087199999999999</v>
      </c>
      <c r="AI190" s="22">
        <v>-1.38184E-2</v>
      </c>
      <c r="AJ190" s="22">
        <v>180</v>
      </c>
      <c r="AK190" s="22">
        <v>0.80535900000000005</v>
      </c>
      <c r="AL190">
        <f t="shared" si="30"/>
        <v>17.05975308641975</v>
      </c>
      <c r="AM190">
        <f t="shared" si="31"/>
        <v>13.75744550222222</v>
      </c>
      <c r="AP190" s="9"/>
      <c r="AQ190" s="22">
        <v>0.87356599999999995</v>
      </c>
      <c r="AR190" s="22">
        <v>25.529499999999999</v>
      </c>
      <c r="AS190" s="22">
        <v>-1.3974E-2</v>
      </c>
      <c r="AT190" s="22">
        <v>180</v>
      </c>
      <c r="AU190" s="22">
        <v>0.872803</v>
      </c>
      <c r="AV190">
        <f t="shared" si="32"/>
        <v>17.251851851851853</v>
      </c>
      <c r="AW190">
        <f t="shared" si="33"/>
        <v>15.070631214814815</v>
      </c>
      <c r="AX190" s="9"/>
      <c r="AY190" s="22">
        <v>0.806427</v>
      </c>
      <c r="AZ190" s="22">
        <v>29.308399999999999</v>
      </c>
      <c r="BA190" s="22">
        <v>-1.3842800000000001E-2</v>
      </c>
      <c r="BB190" s="22">
        <v>180</v>
      </c>
      <c r="BC190" s="22">
        <v>0.80505400000000005</v>
      </c>
      <c r="BD190">
        <f t="shared" si="34"/>
        <v>17.089876543209876</v>
      </c>
      <c r="BE190">
        <f t="shared" si="35"/>
        <v>13.78173787111111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0.86853000000000002</v>
      </c>
      <c r="H191" s="22">
        <v>7.0671799999999996</v>
      </c>
      <c r="I191" s="22">
        <v>-1.3952600000000001E-2</v>
      </c>
      <c r="J191" s="22">
        <v>181</v>
      </c>
      <c r="K191" s="22">
        <v>0.86761500000000003</v>
      </c>
      <c r="L191">
        <f t="shared" si="24"/>
        <v>17.225432098765431</v>
      </c>
      <c r="M191">
        <f t="shared" si="25"/>
        <v>14.960804540740741</v>
      </c>
      <c r="N191" s="9"/>
      <c r="O191" s="22">
        <v>0.81146200000000002</v>
      </c>
      <c r="P191" s="22">
        <v>10.8461</v>
      </c>
      <c r="Q191" s="22">
        <v>-1.3848900000000001E-2</v>
      </c>
      <c r="R191" s="22">
        <v>181</v>
      </c>
      <c r="S191" s="22">
        <v>0.81024200000000002</v>
      </c>
      <c r="T191">
        <f t="shared" si="26"/>
        <v>17.09740740740741</v>
      </c>
      <c r="U191">
        <f t="shared" si="27"/>
        <v>13.873896409629632</v>
      </c>
      <c r="X191" s="9"/>
      <c r="Y191" s="22">
        <v>0.86853000000000002</v>
      </c>
      <c r="Z191" s="22">
        <v>16.3184</v>
      </c>
      <c r="AA191" s="22">
        <v>-1.3909899999999999E-2</v>
      </c>
      <c r="AB191" s="22">
        <v>181</v>
      </c>
      <c r="AC191" s="22">
        <v>0.86731000000000003</v>
      </c>
      <c r="AD191">
        <f t="shared" si="28"/>
        <v>17.172716049382714</v>
      </c>
      <c r="AE191">
        <f t="shared" si="29"/>
        <v>14.91501907037037</v>
      </c>
      <c r="AF191" s="9"/>
      <c r="AG191" s="22">
        <v>0.81146200000000002</v>
      </c>
      <c r="AH191" s="22">
        <v>20.097300000000001</v>
      </c>
      <c r="AI191" s="22">
        <v>-1.3806199999999999E-2</v>
      </c>
      <c r="AJ191" s="22">
        <v>181</v>
      </c>
      <c r="AK191" s="22">
        <v>0.81024200000000002</v>
      </c>
      <c r="AL191">
        <f t="shared" si="30"/>
        <v>17.044691358024689</v>
      </c>
      <c r="AM191">
        <f t="shared" si="31"/>
        <v>13.831119338765431</v>
      </c>
      <c r="AP191" s="9"/>
      <c r="AQ191" s="22">
        <v>0.86853000000000002</v>
      </c>
      <c r="AR191" s="22">
        <v>25.5396</v>
      </c>
      <c r="AS191" s="22">
        <v>-1.3977099999999999E-2</v>
      </c>
      <c r="AT191" s="22">
        <v>181</v>
      </c>
      <c r="AU191" s="22">
        <v>0.86792000000000002</v>
      </c>
      <c r="AV191">
        <f t="shared" si="32"/>
        <v>17.255679012345677</v>
      </c>
      <c r="AW191">
        <f t="shared" si="33"/>
        <v>14.987074892592592</v>
      </c>
      <c r="AX191" s="9"/>
      <c r="AY191" s="22">
        <v>0.81146200000000002</v>
      </c>
      <c r="AZ191" s="22">
        <v>29.3185</v>
      </c>
      <c r="BA191" s="22">
        <v>-1.38397E-2</v>
      </c>
      <c r="BB191" s="22">
        <v>181</v>
      </c>
      <c r="BC191" s="22">
        <v>0.81024200000000002</v>
      </c>
      <c r="BD191">
        <f t="shared" si="34"/>
        <v>17.086049382716048</v>
      </c>
      <c r="BE191">
        <f t="shared" si="35"/>
        <v>13.864679804197531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0.86349500000000001</v>
      </c>
      <c r="H192" s="22">
        <v>7.0772500000000003</v>
      </c>
      <c r="I192" s="22">
        <v>-1.3952600000000001E-2</v>
      </c>
      <c r="J192" s="22">
        <v>182</v>
      </c>
      <c r="K192" s="22">
        <v>0.86273200000000005</v>
      </c>
      <c r="L192">
        <f t="shared" si="24"/>
        <v>17.225432098765431</v>
      </c>
      <c r="M192">
        <f t="shared" si="25"/>
        <v>14.874074490123457</v>
      </c>
      <c r="N192" s="9"/>
      <c r="O192" s="22">
        <v>0.81649799999999995</v>
      </c>
      <c r="P192" s="22">
        <v>10.856199999999999</v>
      </c>
      <c r="Q192" s="22">
        <v>-1.38367E-2</v>
      </c>
      <c r="R192" s="22">
        <v>182</v>
      </c>
      <c r="S192" s="22">
        <v>0.81573499999999999</v>
      </c>
      <c r="T192">
        <f t="shared" si="26"/>
        <v>17.082345679012345</v>
      </c>
      <c r="U192">
        <f t="shared" si="27"/>
        <v>13.94770108222222</v>
      </c>
      <c r="X192" s="9"/>
      <c r="Y192" s="22">
        <v>0.86349500000000001</v>
      </c>
      <c r="Z192" s="22">
        <v>16.328399999999998</v>
      </c>
      <c r="AA192" s="22">
        <v>-1.3909899999999999E-2</v>
      </c>
      <c r="AB192" s="22">
        <v>182</v>
      </c>
      <c r="AC192" s="22">
        <v>0.86242700000000005</v>
      </c>
      <c r="AD192">
        <f t="shared" si="28"/>
        <v>17.172716049382714</v>
      </c>
      <c r="AE192">
        <f t="shared" si="29"/>
        <v>14.828554445061727</v>
      </c>
      <c r="AF192" s="9"/>
      <c r="AG192" s="22">
        <v>0.81649799999999995</v>
      </c>
      <c r="AH192" s="22">
        <v>20.107299999999999</v>
      </c>
      <c r="AI192" s="22">
        <v>-1.37909E-2</v>
      </c>
      <c r="AJ192" s="22">
        <v>182</v>
      </c>
      <c r="AK192" s="22">
        <v>0.81573499999999999</v>
      </c>
      <c r="AL192">
        <f t="shared" si="30"/>
        <v>17.025802469135801</v>
      </c>
      <c r="AM192">
        <f t="shared" si="31"/>
        <v>13.901533664444443</v>
      </c>
      <c r="AP192" s="9"/>
      <c r="AQ192" s="22">
        <v>0.86349500000000001</v>
      </c>
      <c r="AR192" s="22">
        <v>25.549700000000001</v>
      </c>
      <c r="AS192" s="22">
        <v>-1.3986200000000001E-2</v>
      </c>
      <c r="AT192" s="22">
        <v>182</v>
      </c>
      <c r="AU192" s="22">
        <v>0.86242700000000005</v>
      </c>
      <c r="AV192">
        <f t="shared" si="32"/>
        <v>17.266913580246914</v>
      </c>
      <c r="AW192">
        <f t="shared" si="33"/>
        <v>14.909893541975309</v>
      </c>
      <c r="AX192" s="9"/>
      <c r="AY192" s="22">
        <v>0.81649799999999995</v>
      </c>
      <c r="AZ192" s="22">
        <v>29.328600000000002</v>
      </c>
      <c r="BA192" s="22">
        <v>-1.38397E-2</v>
      </c>
      <c r="BB192" s="22">
        <v>182</v>
      </c>
      <c r="BC192" s="22">
        <v>0.81542999999999999</v>
      </c>
      <c r="BD192">
        <f t="shared" si="34"/>
        <v>17.086049382716048</v>
      </c>
      <c r="BE192">
        <f t="shared" si="35"/>
        <v>13.950725148888887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0.85845899999999997</v>
      </c>
      <c r="H193" s="22">
        <v>7.0873200000000001</v>
      </c>
      <c r="I193" s="22">
        <v>-1.3946500000000001E-2</v>
      </c>
      <c r="J193" s="22">
        <v>183</v>
      </c>
      <c r="K193" s="22">
        <v>0.85723899999999997</v>
      </c>
      <c r="L193">
        <f t="shared" si="24"/>
        <v>17.217901234567901</v>
      </c>
      <c r="M193">
        <f t="shared" si="25"/>
        <v>14.780862275925925</v>
      </c>
      <c r="N193" s="9"/>
      <c r="O193" s="22">
        <v>0.82153299999999996</v>
      </c>
      <c r="P193" s="22">
        <v>10.866199999999999</v>
      </c>
      <c r="Q193" s="22">
        <v>-1.38306E-2</v>
      </c>
      <c r="R193" s="22">
        <v>183</v>
      </c>
      <c r="S193" s="22">
        <v>0.82000700000000004</v>
      </c>
      <c r="T193">
        <f t="shared" si="26"/>
        <v>17.074814814814815</v>
      </c>
      <c r="U193">
        <f t="shared" si="27"/>
        <v>14.027523839259258</v>
      </c>
      <c r="X193" s="9"/>
      <c r="Y193" s="22">
        <v>0.85845899999999997</v>
      </c>
      <c r="Z193" s="22">
        <v>16.3385</v>
      </c>
      <c r="AA193" s="22">
        <v>-1.39069E-2</v>
      </c>
      <c r="AB193" s="22">
        <v>183</v>
      </c>
      <c r="AC193" s="22">
        <v>0.85815399999999997</v>
      </c>
      <c r="AD193">
        <f t="shared" si="28"/>
        <v>17.169012345679011</v>
      </c>
      <c r="AE193">
        <f t="shared" si="29"/>
        <v>14.738893169259258</v>
      </c>
      <c r="AF193" s="9"/>
      <c r="AG193" s="22">
        <v>0.82153299999999996</v>
      </c>
      <c r="AH193" s="22">
        <v>20.1174</v>
      </c>
      <c r="AI193" s="22">
        <v>-1.3781699999999999E-2</v>
      </c>
      <c r="AJ193" s="22">
        <v>183</v>
      </c>
      <c r="AK193" s="22">
        <v>0.82061799999999996</v>
      </c>
      <c r="AL193">
        <f t="shared" si="30"/>
        <v>17.014444444444443</v>
      </c>
      <c r="AM193">
        <f t="shared" si="31"/>
        <v>13.977927587777776</v>
      </c>
      <c r="AP193" s="9"/>
      <c r="AQ193" s="22">
        <v>0.85845899999999997</v>
      </c>
      <c r="AR193" s="22">
        <v>25.559699999999999</v>
      </c>
      <c r="AS193" s="22">
        <v>-1.3986200000000001E-2</v>
      </c>
      <c r="AT193" s="22">
        <v>183</v>
      </c>
      <c r="AU193" s="22">
        <v>0.85784899999999997</v>
      </c>
      <c r="AV193">
        <f t="shared" si="32"/>
        <v>17.266913580246914</v>
      </c>
      <c r="AW193">
        <f t="shared" si="33"/>
        <v>14.822937365185185</v>
      </c>
      <c r="AX193" s="9"/>
      <c r="AY193" s="22">
        <v>0.82153299999999996</v>
      </c>
      <c r="AZ193" s="22">
        <v>29.3386</v>
      </c>
      <c r="BA193" s="22">
        <v>-1.38458E-2</v>
      </c>
      <c r="BB193" s="22">
        <v>183</v>
      </c>
      <c r="BC193" s="22">
        <v>0.82061799999999996</v>
      </c>
      <c r="BD193">
        <f t="shared" si="34"/>
        <v>17.093580246913579</v>
      </c>
      <c r="BE193">
        <f t="shared" si="35"/>
        <v>14.042940260987653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0.85342399999999996</v>
      </c>
      <c r="H194" s="22">
        <v>7.0973899999999999</v>
      </c>
      <c r="I194" s="22">
        <v>-1.39404E-2</v>
      </c>
      <c r="J194" s="22">
        <v>184</v>
      </c>
      <c r="K194" s="22">
        <v>0.852966</v>
      </c>
      <c r="L194">
        <f t="shared" si="24"/>
        <v>17.21037037037037</v>
      </c>
      <c r="M194">
        <f t="shared" si="25"/>
        <v>14.687743122962962</v>
      </c>
      <c r="N194" s="9"/>
      <c r="O194" s="22">
        <v>0.826569</v>
      </c>
      <c r="P194" s="22">
        <v>10.876300000000001</v>
      </c>
      <c r="Q194" s="22">
        <v>-1.38245E-2</v>
      </c>
      <c r="R194" s="22">
        <v>184</v>
      </c>
      <c r="S194" s="22">
        <v>0.82550000000000001</v>
      </c>
      <c r="T194">
        <f t="shared" si="26"/>
        <v>17.067283950617281</v>
      </c>
      <c r="U194">
        <f t="shared" si="27"/>
        <v>14.107287827777775</v>
      </c>
      <c r="X194" s="9"/>
      <c r="Y194" s="22">
        <v>0.85342399999999996</v>
      </c>
      <c r="Z194" s="22">
        <v>16.348600000000001</v>
      </c>
      <c r="AA194" s="22">
        <v>-1.39069E-2</v>
      </c>
      <c r="AB194" s="22">
        <v>184</v>
      </c>
      <c r="AC194" s="22">
        <v>0.852356</v>
      </c>
      <c r="AD194">
        <f t="shared" si="28"/>
        <v>17.169012345679011</v>
      </c>
      <c r="AE194">
        <f t="shared" si="29"/>
        <v>14.652447192098764</v>
      </c>
      <c r="AF194" s="9"/>
      <c r="AG194" s="22">
        <v>0.826569</v>
      </c>
      <c r="AH194" s="22">
        <v>20.127500000000001</v>
      </c>
      <c r="AI194" s="22">
        <v>-1.3781699999999999E-2</v>
      </c>
      <c r="AJ194" s="22">
        <v>184</v>
      </c>
      <c r="AK194" s="22">
        <v>0.82519500000000001</v>
      </c>
      <c r="AL194">
        <f t="shared" si="30"/>
        <v>17.014444444444443</v>
      </c>
      <c r="AM194">
        <f t="shared" si="31"/>
        <v>14.06361233</v>
      </c>
      <c r="AP194" s="9"/>
      <c r="AQ194" s="22">
        <v>0.85342399999999996</v>
      </c>
      <c r="AR194" s="22">
        <v>25.569800000000001</v>
      </c>
      <c r="AS194" s="22">
        <v>-1.39893E-2</v>
      </c>
      <c r="AT194" s="22">
        <v>184</v>
      </c>
      <c r="AU194" s="22">
        <v>0.852356</v>
      </c>
      <c r="AV194">
        <f t="shared" si="32"/>
        <v>17.270740740740738</v>
      </c>
      <c r="AW194">
        <f t="shared" si="33"/>
        <v>14.739264645925923</v>
      </c>
      <c r="AX194" s="9"/>
      <c r="AY194" s="22">
        <v>0.826569</v>
      </c>
      <c r="AZ194" s="22">
        <v>29.348700000000001</v>
      </c>
      <c r="BA194" s="22">
        <v>-1.3848900000000001E-2</v>
      </c>
      <c r="BB194" s="22">
        <v>184</v>
      </c>
      <c r="BC194" s="22">
        <v>0.82580600000000004</v>
      </c>
      <c r="BD194">
        <f t="shared" si="34"/>
        <v>17.09740740740741</v>
      </c>
      <c r="BE194">
        <f t="shared" si="35"/>
        <v>14.132186943333336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0.84838899999999995</v>
      </c>
      <c r="H195" s="22">
        <v>7.1074599999999997</v>
      </c>
      <c r="I195" s="22">
        <v>-1.39404E-2</v>
      </c>
      <c r="J195" s="22">
        <v>185</v>
      </c>
      <c r="K195" s="22">
        <v>0.84777800000000003</v>
      </c>
      <c r="L195">
        <f t="shared" si="24"/>
        <v>17.21037037037037</v>
      </c>
      <c r="M195">
        <f t="shared" si="25"/>
        <v>14.601088908148148</v>
      </c>
      <c r="N195" s="9"/>
      <c r="O195" s="22">
        <v>0.83160400000000001</v>
      </c>
      <c r="P195" s="22">
        <v>10.8864</v>
      </c>
      <c r="Q195" s="22">
        <v>-1.38184E-2</v>
      </c>
      <c r="R195" s="22">
        <v>185</v>
      </c>
      <c r="S195" s="22">
        <v>0.83038299999999998</v>
      </c>
      <c r="T195">
        <f t="shared" si="26"/>
        <v>17.05975308641975</v>
      </c>
      <c r="U195">
        <f t="shared" si="27"/>
        <v>14.18695890567901</v>
      </c>
      <c r="X195" s="9"/>
      <c r="Y195" s="22">
        <v>0.84838899999999995</v>
      </c>
      <c r="Z195" s="22">
        <v>16.358599999999999</v>
      </c>
      <c r="AA195" s="22">
        <v>-1.3909899999999999E-2</v>
      </c>
      <c r="AB195" s="22">
        <v>185</v>
      </c>
      <c r="AC195" s="22">
        <v>0.84747300000000003</v>
      </c>
      <c r="AD195">
        <f t="shared" si="28"/>
        <v>17.172716049382714</v>
      </c>
      <c r="AE195">
        <f t="shared" si="29"/>
        <v>14.569143396419751</v>
      </c>
      <c r="AF195" s="9"/>
      <c r="AG195" s="22">
        <v>0.83160400000000001</v>
      </c>
      <c r="AH195" s="22">
        <v>20.137499999999999</v>
      </c>
      <c r="AI195" s="22">
        <v>-1.3775600000000001E-2</v>
      </c>
      <c r="AJ195" s="22">
        <v>185</v>
      </c>
      <c r="AK195" s="22">
        <v>0.83068799999999998</v>
      </c>
      <c r="AL195">
        <f t="shared" si="30"/>
        <v>17.006913580246916</v>
      </c>
      <c r="AM195">
        <f t="shared" si="31"/>
        <v>14.143017360987656</v>
      </c>
      <c r="AP195" s="9"/>
      <c r="AQ195" s="22">
        <v>0.84838899999999995</v>
      </c>
      <c r="AR195" s="22">
        <v>25.579899999999999</v>
      </c>
      <c r="AS195" s="22">
        <v>-1.3986200000000001E-2</v>
      </c>
      <c r="AT195" s="22">
        <v>185</v>
      </c>
      <c r="AU195" s="22">
        <v>0.84808300000000003</v>
      </c>
      <c r="AV195">
        <f t="shared" si="32"/>
        <v>17.266913580246914</v>
      </c>
      <c r="AW195">
        <f t="shared" si="33"/>
        <v>14.649059545432099</v>
      </c>
      <c r="AX195" s="9"/>
      <c r="AY195" s="22">
        <v>0.83160400000000001</v>
      </c>
      <c r="AZ195" s="22">
        <v>29.358799999999999</v>
      </c>
      <c r="BA195" s="22">
        <v>-1.38397E-2</v>
      </c>
      <c r="BB195" s="22">
        <v>185</v>
      </c>
      <c r="BC195" s="22">
        <v>0.83007799999999998</v>
      </c>
      <c r="BD195">
        <f t="shared" si="34"/>
        <v>17.086049382716048</v>
      </c>
      <c r="BE195">
        <f t="shared" si="35"/>
        <v>14.208827010864196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0.84335300000000002</v>
      </c>
      <c r="H196" s="22">
        <v>7.1175300000000004</v>
      </c>
      <c r="I196" s="22">
        <v>-1.3937400000000001E-2</v>
      </c>
      <c r="J196" s="22">
        <v>186</v>
      </c>
      <c r="K196" s="22">
        <v>0.84258999999999995</v>
      </c>
      <c r="L196">
        <f t="shared" si="24"/>
        <v>17.206666666666667</v>
      </c>
      <c r="M196">
        <f t="shared" si="25"/>
        <v>14.511293953333334</v>
      </c>
      <c r="N196" s="9"/>
      <c r="O196" s="22">
        <v>0.83663900000000002</v>
      </c>
      <c r="P196" s="22">
        <v>10.8964</v>
      </c>
      <c r="Q196" s="22">
        <v>-1.3809200000000001E-2</v>
      </c>
      <c r="R196" s="22">
        <v>186</v>
      </c>
      <c r="S196" s="22">
        <v>0.83618199999999998</v>
      </c>
      <c r="T196">
        <f t="shared" si="26"/>
        <v>17.048395061728392</v>
      </c>
      <c r="U196">
        <f t="shared" si="27"/>
        <v>14.263352196049381</v>
      </c>
      <c r="X196" s="9"/>
      <c r="Y196" s="22">
        <v>0.84335300000000002</v>
      </c>
      <c r="Z196" s="22">
        <v>16.3687</v>
      </c>
      <c r="AA196" s="22">
        <v>-1.3913E-2</v>
      </c>
      <c r="AB196" s="22">
        <v>186</v>
      </c>
      <c r="AC196" s="22">
        <v>0.84228499999999995</v>
      </c>
      <c r="AD196">
        <f t="shared" si="28"/>
        <v>17.176543209876542</v>
      </c>
      <c r="AE196">
        <f t="shared" si="29"/>
        <v>14.485889245679012</v>
      </c>
      <c r="AF196" s="9"/>
      <c r="AG196" s="22">
        <v>0.83663900000000002</v>
      </c>
      <c r="AH196" s="22">
        <v>20.147600000000001</v>
      </c>
      <c r="AI196" s="22">
        <v>-1.37695E-2</v>
      </c>
      <c r="AJ196" s="22">
        <v>186</v>
      </c>
      <c r="AK196" s="22">
        <v>0.83587599999999995</v>
      </c>
      <c r="AL196">
        <f t="shared" si="30"/>
        <v>16.999382716049382</v>
      </c>
      <c r="AM196">
        <f t="shared" si="31"/>
        <v>14.222346556172839</v>
      </c>
      <c r="AP196" s="9"/>
      <c r="AQ196" s="22">
        <v>0.84335300000000002</v>
      </c>
      <c r="AR196" s="22">
        <v>25.5899</v>
      </c>
      <c r="AS196" s="22">
        <v>-1.3980100000000001E-2</v>
      </c>
      <c r="AT196" s="22">
        <v>186</v>
      </c>
      <c r="AU196" s="22">
        <v>0.84258999999999995</v>
      </c>
      <c r="AV196">
        <f t="shared" si="32"/>
        <v>17.259382716049384</v>
      </c>
      <c r="AW196">
        <f t="shared" si="33"/>
        <v>14.555752191728397</v>
      </c>
      <c r="AX196" s="9"/>
      <c r="AY196" s="22">
        <v>0.83663900000000002</v>
      </c>
      <c r="AZ196" s="22">
        <v>29.3688</v>
      </c>
      <c r="BA196" s="22">
        <v>-1.38336E-2</v>
      </c>
      <c r="BB196" s="22">
        <v>186</v>
      </c>
      <c r="BC196" s="22">
        <v>0.83587599999999995</v>
      </c>
      <c r="BD196">
        <f t="shared" si="34"/>
        <v>17.078518518518518</v>
      </c>
      <c r="BE196">
        <f t="shared" si="35"/>
        <v>14.288554654814815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0.83831800000000001</v>
      </c>
      <c r="H197" s="22">
        <v>7.1276000000000002</v>
      </c>
      <c r="I197" s="22">
        <v>-1.39343E-2</v>
      </c>
      <c r="J197" s="22">
        <v>187</v>
      </c>
      <c r="K197" s="22">
        <v>0.83770800000000001</v>
      </c>
      <c r="L197">
        <f t="shared" si="24"/>
        <v>17.202839506172836</v>
      </c>
      <c r="M197">
        <f t="shared" si="25"/>
        <v>14.4214500091358</v>
      </c>
      <c r="N197" s="9"/>
      <c r="O197" s="22">
        <v>0.84167499999999995</v>
      </c>
      <c r="P197" s="22">
        <v>10.906499999999999</v>
      </c>
      <c r="Q197" s="22">
        <v>-1.38E-2</v>
      </c>
      <c r="R197" s="22">
        <v>187</v>
      </c>
      <c r="S197" s="22">
        <v>0.84075900000000003</v>
      </c>
      <c r="T197">
        <f t="shared" si="26"/>
        <v>17.037037037037035</v>
      </c>
      <c r="U197">
        <f t="shared" si="27"/>
        <v>14.339648148148145</v>
      </c>
      <c r="X197" s="9"/>
      <c r="Y197" s="22">
        <v>0.83831800000000001</v>
      </c>
      <c r="Z197" s="22">
        <v>16.378799999999998</v>
      </c>
      <c r="AA197" s="22">
        <v>-1.39282E-2</v>
      </c>
      <c r="AB197" s="22">
        <v>187</v>
      </c>
      <c r="AC197" s="22">
        <v>0.83709699999999998</v>
      </c>
      <c r="AD197">
        <f t="shared" si="28"/>
        <v>17.195308641975309</v>
      </c>
      <c r="AE197">
        <f t="shared" si="29"/>
        <v>14.415136750123457</v>
      </c>
      <c r="AF197" s="9"/>
      <c r="AG197" s="22">
        <v>0.84167499999999995</v>
      </c>
      <c r="AH197" s="22">
        <v>20.157699999999998</v>
      </c>
      <c r="AI197" s="22">
        <v>-1.3760400000000001E-2</v>
      </c>
      <c r="AJ197" s="22">
        <v>187</v>
      </c>
      <c r="AK197" s="22">
        <v>0.84136999999999995</v>
      </c>
      <c r="AL197">
        <f t="shared" si="30"/>
        <v>16.988148148148149</v>
      </c>
      <c r="AM197">
        <f t="shared" si="31"/>
        <v>14.298499592592592</v>
      </c>
      <c r="AP197" s="9"/>
      <c r="AQ197" s="22">
        <v>0.83831800000000001</v>
      </c>
      <c r="AR197" s="22">
        <v>25.6</v>
      </c>
      <c r="AS197" s="22">
        <v>-1.3977099999999999E-2</v>
      </c>
      <c r="AT197" s="22">
        <v>187</v>
      </c>
      <c r="AU197" s="22">
        <v>0.83709699999999998</v>
      </c>
      <c r="AV197">
        <f t="shared" si="32"/>
        <v>17.255679012345677</v>
      </c>
      <c r="AW197">
        <f t="shared" si="33"/>
        <v>14.465746318271604</v>
      </c>
      <c r="AX197" s="9"/>
      <c r="AY197" s="22">
        <v>0.84167499999999995</v>
      </c>
      <c r="AZ197" s="22">
        <v>29.378900000000002</v>
      </c>
      <c r="BA197" s="22">
        <v>-1.38275E-2</v>
      </c>
      <c r="BB197" s="22">
        <v>187</v>
      </c>
      <c r="BC197" s="22">
        <v>0.84045400000000003</v>
      </c>
      <c r="BD197">
        <f t="shared" si="34"/>
        <v>17.070987654320987</v>
      </c>
      <c r="BE197">
        <f t="shared" si="35"/>
        <v>14.368223533950616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0.83328199999999997</v>
      </c>
      <c r="H198" s="22">
        <v>7.13767</v>
      </c>
      <c r="I198" s="22">
        <v>-1.39404E-2</v>
      </c>
      <c r="J198" s="22">
        <v>188</v>
      </c>
      <c r="K198" s="22">
        <v>0.83252000000000004</v>
      </c>
      <c r="L198">
        <f t="shared" si="24"/>
        <v>17.21037037037037</v>
      </c>
      <c r="M198">
        <f t="shared" si="25"/>
        <v>14.341091842962962</v>
      </c>
      <c r="N198" s="9"/>
      <c r="O198" s="22">
        <v>0.84670999999999996</v>
      </c>
      <c r="P198" s="22">
        <v>10.916600000000001</v>
      </c>
      <c r="Q198" s="22">
        <v>-1.37939E-2</v>
      </c>
      <c r="R198" s="22">
        <v>188</v>
      </c>
      <c r="S198" s="22">
        <v>0.846252</v>
      </c>
      <c r="T198">
        <f t="shared" si="26"/>
        <v>17.029506172839504</v>
      </c>
      <c r="U198">
        <f t="shared" si="27"/>
        <v>14.419053171604936</v>
      </c>
      <c r="X198" s="9"/>
      <c r="Y198" s="22">
        <v>0.83328199999999997</v>
      </c>
      <c r="Z198" s="22">
        <v>16.3889</v>
      </c>
      <c r="AA198" s="22">
        <v>-1.3937400000000001E-2</v>
      </c>
      <c r="AB198" s="22">
        <v>188</v>
      </c>
      <c r="AC198" s="22">
        <v>0.83190900000000001</v>
      </c>
      <c r="AD198">
        <f t="shared" si="28"/>
        <v>17.206666666666667</v>
      </c>
      <c r="AE198">
        <f t="shared" si="29"/>
        <v>14.338005613333333</v>
      </c>
      <c r="AF198" s="9"/>
      <c r="AG198" s="22">
        <v>0.84670999999999996</v>
      </c>
      <c r="AH198" s="22">
        <v>20.1678</v>
      </c>
      <c r="AI198" s="22">
        <v>-1.37634E-2</v>
      </c>
      <c r="AJ198" s="22">
        <v>188</v>
      </c>
      <c r="AK198" s="22">
        <v>0.84533700000000001</v>
      </c>
      <c r="AL198">
        <f t="shared" si="30"/>
        <v>16.991851851851852</v>
      </c>
      <c r="AM198">
        <f t="shared" si="31"/>
        <v>14.387170881481481</v>
      </c>
      <c r="AP198" s="9"/>
      <c r="AQ198" s="22">
        <v>0.83328199999999997</v>
      </c>
      <c r="AR198" s="22">
        <v>25.610099999999999</v>
      </c>
      <c r="AS198" s="22">
        <v>-1.39709E-2</v>
      </c>
      <c r="AT198" s="22">
        <v>188</v>
      </c>
      <c r="AU198" s="22">
        <v>0.83221400000000001</v>
      </c>
      <c r="AV198">
        <f t="shared" si="32"/>
        <v>17.248024691358022</v>
      </c>
      <c r="AW198">
        <f t="shared" si="33"/>
        <v>14.372468510864195</v>
      </c>
      <c r="AX198" s="9"/>
      <c r="AY198" s="22">
        <v>0.84670999999999996</v>
      </c>
      <c r="AZ198" s="22">
        <v>29.388999999999999</v>
      </c>
      <c r="BA198" s="22">
        <v>-1.3821399999999999E-2</v>
      </c>
      <c r="BB198" s="22">
        <v>188</v>
      </c>
      <c r="BC198" s="22">
        <v>0.845947</v>
      </c>
      <c r="BD198">
        <f t="shared" si="34"/>
        <v>17.063456790123453</v>
      </c>
      <c r="BE198">
        <f t="shared" si="35"/>
        <v>14.447799498765429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0.82824699999999996</v>
      </c>
      <c r="H199" s="22">
        <v>7.1477399999999998</v>
      </c>
      <c r="I199" s="22">
        <v>-1.3943499999999999E-2</v>
      </c>
      <c r="J199" s="22">
        <v>189</v>
      </c>
      <c r="K199" s="22">
        <v>0.82733199999999996</v>
      </c>
      <c r="L199">
        <f t="shared" si="24"/>
        <v>17.214197530864197</v>
      </c>
      <c r="M199">
        <f t="shared" si="25"/>
        <v>14.257607462345678</v>
      </c>
      <c r="N199" s="9"/>
      <c r="O199" s="22">
        <v>0.851746</v>
      </c>
      <c r="P199" s="22">
        <v>10.926600000000001</v>
      </c>
      <c r="Q199" s="22">
        <v>-1.3787799999999999E-2</v>
      </c>
      <c r="R199" s="22">
        <v>189</v>
      </c>
      <c r="S199" s="22">
        <v>0.85052499999999998</v>
      </c>
      <c r="T199">
        <f t="shared" si="26"/>
        <v>17.021975308641974</v>
      </c>
      <c r="U199">
        <f t="shared" si="27"/>
        <v>14.498399381234567</v>
      </c>
      <c r="X199" s="9"/>
      <c r="Y199" s="22">
        <v>0.82824699999999996</v>
      </c>
      <c r="Z199" s="22">
        <v>16.398900000000001</v>
      </c>
      <c r="AA199" s="22">
        <v>-1.3943499999999999E-2</v>
      </c>
      <c r="AB199" s="22">
        <v>189</v>
      </c>
      <c r="AC199" s="22">
        <v>0.82702600000000004</v>
      </c>
      <c r="AD199">
        <f t="shared" si="28"/>
        <v>17.214197530864197</v>
      </c>
      <c r="AE199">
        <f t="shared" si="29"/>
        <v>14.257607462345678</v>
      </c>
      <c r="AF199" s="9"/>
      <c r="AG199" s="22">
        <v>0.851746</v>
      </c>
      <c r="AH199" s="22">
        <v>20.177800000000001</v>
      </c>
      <c r="AI199" s="22">
        <v>-1.3766499999999999E-2</v>
      </c>
      <c r="AJ199" s="22">
        <v>189</v>
      </c>
      <c r="AK199" s="22">
        <v>0.85021999999999998</v>
      </c>
      <c r="AL199">
        <f t="shared" si="30"/>
        <v>16.995679012345676</v>
      </c>
      <c r="AM199">
        <f t="shared" si="31"/>
        <v>14.476001616049381</v>
      </c>
      <c r="AP199" s="9"/>
      <c r="AQ199" s="22">
        <v>0.82824699999999996</v>
      </c>
      <c r="AR199" s="22">
        <v>25.620200000000001</v>
      </c>
      <c r="AS199" s="22">
        <v>-1.39618E-2</v>
      </c>
      <c r="AT199" s="22">
        <v>189</v>
      </c>
      <c r="AU199" s="22">
        <v>0.82702600000000004</v>
      </c>
      <c r="AV199">
        <f t="shared" si="32"/>
        <v>17.236790123456789</v>
      </c>
      <c r="AW199">
        <f t="shared" si="33"/>
        <v>14.276319709382713</v>
      </c>
      <c r="AX199" s="9"/>
      <c r="AY199" s="22">
        <v>0.851746</v>
      </c>
      <c r="AZ199" s="22">
        <v>29.399100000000001</v>
      </c>
      <c r="BA199" s="22">
        <v>-1.38184E-2</v>
      </c>
      <c r="BB199" s="22">
        <v>189</v>
      </c>
      <c r="BC199" s="22">
        <v>0.85082999999999998</v>
      </c>
      <c r="BD199">
        <f t="shared" si="34"/>
        <v>17.05975308641975</v>
      </c>
      <c r="BE199">
        <f t="shared" si="35"/>
        <v>14.530576452345677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0.82321200000000005</v>
      </c>
      <c r="H200" s="22">
        <v>7.1578099999999996</v>
      </c>
      <c r="I200" s="22">
        <v>-1.3943499999999999E-2</v>
      </c>
      <c r="J200" s="22">
        <v>190</v>
      </c>
      <c r="K200" s="22">
        <v>0.82244899999999999</v>
      </c>
      <c r="L200">
        <f t="shared" si="24"/>
        <v>17.214197530864197</v>
      </c>
      <c r="M200">
        <f t="shared" si="25"/>
        <v>14.170933977777779</v>
      </c>
      <c r="N200" s="9"/>
      <c r="O200" s="22">
        <v>0.85678100000000001</v>
      </c>
      <c r="P200" s="22">
        <v>10.9367</v>
      </c>
      <c r="Q200" s="22">
        <v>-1.37909E-2</v>
      </c>
      <c r="R200" s="22">
        <v>190</v>
      </c>
      <c r="S200" s="22">
        <v>0.85510299999999995</v>
      </c>
      <c r="T200">
        <f t="shared" si="26"/>
        <v>17.025802469135801</v>
      </c>
      <c r="U200">
        <f t="shared" si="27"/>
        <v>14.58738406530864</v>
      </c>
      <c r="X200" s="9"/>
      <c r="Y200" s="22">
        <v>0.82321200000000005</v>
      </c>
      <c r="Z200" s="22">
        <v>16.408999999999999</v>
      </c>
      <c r="AA200" s="22">
        <v>-1.39404E-2</v>
      </c>
      <c r="AB200" s="22">
        <v>190</v>
      </c>
      <c r="AC200" s="22">
        <v>0.82214399999999999</v>
      </c>
      <c r="AD200">
        <f t="shared" si="28"/>
        <v>17.21037037037037</v>
      </c>
      <c r="AE200">
        <f t="shared" si="29"/>
        <v>14.167783413333334</v>
      </c>
      <c r="AF200" s="9"/>
      <c r="AG200" s="22">
        <v>0.85678100000000001</v>
      </c>
      <c r="AH200" s="22">
        <v>20.187899999999999</v>
      </c>
      <c r="AI200" s="22">
        <v>-1.3766499999999999E-2</v>
      </c>
      <c r="AJ200" s="22">
        <v>190</v>
      </c>
      <c r="AK200" s="22">
        <v>0.85571299999999995</v>
      </c>
      <c r="AL200">
        <f t="shared" si="30"/>
        <v>16.995679012345676</v>
      </c>
      <c r="AM200">
        <f t="shared" si="31"/>
        <v>14.56157485987654</v>
      </c>
      <c r="AP200" s="9"/>
      <c r="AQ200" s="22">
        <v>0.82321200000000005</v>
      </c>
      <c r="AR200" s="22">
        <v>25.630199999999999</v>
      </c>
      <c r="AS200" s="22">
        <v>-1.39557E-2</v>
      </c>
      <c r="AT200" s="22">
        <v>190</v>
      </c>
      <c r="AU200" s="22">
        <v>0.82244899999999999</v>
      </c>
      <c r="AV200">
        <f t="shared" si="32"/>
        <v>17.229259259259258</v>
      </c>
      <c r="AW200">
        <f t="shared" si="33"/>
        <v>14.183332973333334</v>
      </c>
      <c r="AX200" s="9"/>
      <c r="AY200" s="22">
        <v>0.85678100000000001</v>
      </c>
      <c r="AZ200" s="22">
        <v>29.409099999999999</v>
      </c>
      <c r="BA200" s="22">
        <v>-1.3815300000000001E-2</v>
      </c>
      <c r="BB200" s="22">
        <v>190</v>
      </c>
      <c r="BC200" s="22">
        <v>0.85632299999999995</v>
      </c>
      <c r="BD200">
        <f t="shared" si="34"/>
        <v>17.055925925925926</v>
      </c>
      <c r="BE200">
        <f t="shared" si="35"/>
        <v>14.613193270740741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0.81817600000000001</v>
      </c>
      <c r="H201" s="22">
        <v>7.1678899999999999</v>
      </c>
      <c r="I201" s="22">
        <v>-1.3946500000000001E-2</v>
      </c>
      <c r="J201" s="22">
        <v>191</v>
      </c>
      <c r="K201" s="22">
        <v>0.81695600000000002</v>
      </c>
      <c r="L201">
        <f t="shared" si="24"/>
        <v>17.217901234567901</v>
      </c>
      <c r="M201">
        <f t="shared" si="25"/>
        <v>14.087273560493827</v>
      </c>
      <c r="N201" s="9"/>
      <c r="O201" s="22">
        <v>0.86181600000000003</v>
      </c>
      <c r="P201" s="22">
        <v>10.9468</v>
      </c>
      <c r="Q201" s="22">
        <v>-1.37848E-2</v>
      </c>
      <c r="R201" s="22">
        <v>191</v>
      </c>
      <c r="S201" s="22">
        <v>0.859985</v>
      </c>
      <c r="T201">
        <f t="shared" si="26"/>
        <v>17.018271604938271</v>
      </c>
      <c r="U201">
        <f t="shared" si="27"/>
        <v>14.66661876148148</v>
      </c>
      <c r="X201" s="9"/>
      <c r="Y201" s="22">
        <v>0.81817600000000001</v>
      </c>
      <c r="Z201" s="22">
        <v>16.4191</v>
      </c>
      <c r="AA201" s="22">
        <v>-1.39404E-2</v>
      </c>
      <c r="AB201" s="22">
        <v>191</v>
      </c>
      <c r="AC201" s="22">
        <v>0.81726100000000002</v>
      </c>
      <c r="AD201">
        <f t="shared" si="28"/>
        <v>17.21037037037037</v>
      </c>
      <c r="AE201">
        <f t="shared" si="29"/>
        <v>14.081111988148148</v>
      </c>
      <c r="AF201" s="9"/>
      <c r="AG201" s="22">
        <v>0.86181600000000003</v>
      </c>
      <c r="AH201" s="22">
        <v>20.198</v>
      </c>
      <c r="AI201" s="22">
        <v>-1.37634E-2</v>
      </c>
      <c r="AJ201" s="22">
        <v>191</v>
      </c>
      <c r="AK201" s="22">
        <v>0.86059600000000003</v>
      </c>
      <c r="AL201">
        <f t="shared" si="30"/>
        <v>16.991851851851852</v>
      </c>
      <c r="AM201">
        <f t="shared" si="31"/>
        <v>14.643849795555555</v>
      </c>
      <c r="AP201" s="9"/>
      <c r="AQ201" s="22">
        <v>0.81817600000000001</v>
      </c>
      <c r="AR201" s="22">
        <v>25.6403</v>
      </c>
      <c r="AS201" s="22">
        <v>-1.3952600000000001E-2</v>
      </c>
      <c r="AT201" s="22">
        <v>191</v>
      </c>
      <c r="AU201" s="22">
        <v>0.81756600000000001</v>
      </c>
      <c r="AV201">
        <f t="shared" si="32"/>
        <v>17.225432098765431</v>
      </c>
      <c r="AW201">
        <f t="shared" si="33"/>
        <v>14.093435132839506</v>
      </c>
      <c r="AX201" s="9"/>
      <c r="AY201" s="22">
        <v>0.86181600000000003</v>
      </c>
      <c r="AZ201" s="22">
        <v>29.4192</v>
      </c>
      <c r="BA201" s="22">
        <v>-1.3809200000000001E-2</v>
      </c>
      <c r="BB201" s="22">
        <v>191</v>
      </c>
      <c r="BC201" s="22">
        <v>0.86120600000000003</v>
      </c>
      <c r="BD201">
        <f t="shared" si="34"/>
        <v>17.048395061728392</v>
      </c>
      <c r="BE201">
        <f t="shared" si="35"/>
        <v>14.692579638518517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0.813141</v>
      </c>
      <c r="H202" s="22">
        <v>7.1779599999999997</v>
      </c>
      <c r="I202" s="22">
        <v>-1.3943499999999999E-2</v>
      </c>
      <c r="J202" s="22">
        <v>192</v>
      </c>
      <c r="K202" s="22">
        <v>0.81237800000000004</v>
      </c>
      <c r="L202">
        <f t="shared" si="24"/>
        <v>17.214197530864197</v>
      </c>
      <c r="M202">
        <f t="shared" si="25"/>
        <v>13.997569794444445</v>
      </c>
      <c r="N202" s="9"/>
      <c r="O202" s="22">
        <v>0.86685199999999996</v>
      </c>
      <c r="P202" s="22">
        <v>10.956899999999999</v>
      </c>
      <c r="Q202" s="22">
        <v>-1.37787E-2</v>
      </c>
      <c r="R202" s="22">
        <v>192</v>
      </c>
      <c r="S202" s="22">
        <v>0.865784</v>
      </c>
      <c r="T202">
        <f t="shared" si="26"/>
        <v>17.01074074074074</v>
      </c>
      <c r="U202">
        <f t="shared" si="27"/>
        <v>14.745794632592592</v>
      </c>
      <c r="X202" s="9"/>
      <c r="Y202" s="22">
        <v>0.813141</v>
      </c>
      <c r="Z202" s="22">
        <v>16.429099999999998</v>
      </c>
      <c r="AA202" s="22">
        <v>-1.39404E-2</v>
      </c>
      <c r="AB202" s="22">
        <v>192</v>
      </c>
      <c r="AC202" s="22">
        <v>0.81237800000000004</v>
      </c>
      <c r="AD202">
        <f t="shared" si="28"/>
        <v>17.21037037037037</v>
      </c>
      <c r="AE202">
        <f t="shared" si="29"/>
        <v>13.994457773333334</v>
      </c>
      <c r="AF202" s="9"/>
      <c r="AG202" s="22">
        <v>0.86685199999999996</v>
      </c>
      <c r="AH202" s="22">
        <v>20.207999999999998</v>
      </c>
      <c r="AI202" s="22">
        <v>-1.37634E-2</v>
      </c>
      <c r="AJ202" s="22">
        <v>192</v>
      </c>
      <c r="AK202" s="22">
        <v>0.866089</v>
      </c>
      <c r="AL202">
        <f t="shared" si="30"/>
        <v>16.991851851851852</v>
      </c>
      <c r="AM202">
        <f t="shared" si="31"/>
        <v>14.72942076148148</v>
      </c>
      <c r="AP202" s="9"/>
      <c r="AQ202" s="22">
        <v>0.813141</v>
      </c>
      <c r="AR202" s="22">
        <v>25.650400000000001</v>
      </c>
      <c r="AS202" s="22">
        <v>-1.3952600000000001E-2</v>
      </c>
      <c r="AT202" s="22">
        <v>192</v>
      </c>
      <c r="AU202" s="22">
        <v>0.81207300000000004</v>
      </c>
      <c r="AV202">
        <f t="shared" si="32"/>
        <v>17.225432098765431</v>
      </c>
      <c r="AW202">
        <f t="shared" si="33"/>
        <v>14.006705082222222</v>
      </c>
      <c r="AX202" s="9"/>
      <c r="AY202" s="22">
        <v>0.86685199999999996</v>
      </c>
      <c r="AZ202" s="22">
        <v>29.429300000000001</v>
      </c>
      <c r="BA202" s="22">
        <v>-1.38E-2</v>
      </c>
      <c r="BB202" s="22">
        <v>192</v>
      </c>
      <c r="BC202" s="22">
        <v>0.866394</v>
      </c>
      <c r="BD202">
        <f t="shared" si="34"/>
        <v>17.037037037037035</v>
      </c>
      <c r="BE202">
        <f t="shared" si="35"/>
        <v>14.768589629629627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0.80810499999999996</v>
      </c>
      <c r="H203" s="22">
        <v>7.1880300000000004</v>
      </c>
      <c r="I203" s="22">
        <v>-1.39404E-2</v>
      </c>
      <c r="J203" s="22">
        <v>193</v>
      </c>
      <c r="K203" s="22">
        <v>0.80688499999999996</v>
      </c>
      <c r="L203">
        <f t="shared" si="24"/>
        <v>17.21037037037037</v>
      </c>
      <c r="M203">
        <f t="shared" si="25"/>
        <v>13.907786348148147</v>
      </c>
      <c r="N203" s="9"/>
      <c r="O203" s="22">
        <v>0.87188699999999997</v>
      </c>
      <c r="P203" s="22">
        <v>10.966900000000001</v>
      </c>
      <c r="Q203" s="22">
        <v>-1.3775600000000001E-2</v>
      </c>
      <c r="R203" s="22">
        <v>193</v>
      </c>
      <c r="S203" s="22">
        <v>0.87097199999999997</v>
      </c>
      <c r="T203">
        <f t="shared" si="26"/>
        <v>17.006913580246916</v>
      </c>
      <c r="U203">
        <f t="shared" si="27"/>
        <v>14.828106860740743</v>
      </c>
      <c r="X203" s="9"/>
      <c r="Y203" s="22">
        <v>0.80810499999999996</v>
      </c>
      <c r="Z203" s="22">
        <v>16.4392</v>
      </c>
      <c r="AA203" s="22">
        <v>-1.39496E-2</v>
      </c>
      <c r="AB203" s="22">
        <v>193</v>
      </c>
      <c r="AC203" s="22">
        <v>0.80749499999999996</v>
      </c>
      <c r="AD203">
        <f t="shared" si="28"/>
        <v>17.221728395061724</v>
      </c>
      <c r="AE203">
        <f t="shared" si="29"/>
        <v>13.916964824691354</v>
      </c>
      <c r="AF203" s="9"/>
      <c r="AG203" s="22">
        <v>0.87188699999999997</v>
      </c>
      <c r="AH203" s="22">
        <v>20.2181</v>
      </c>
      <c r="AI203" s="22">
        <v>-1.3766499999999999E-2</v>
      </c>
      <c r="AJ203" s="22">
        <v>193</v>
      </c>
      <c r="AK203" s="22">
        <v>0.87066699999999997</v>
      </c>
      <c r="AL203">
        <f t="shared" si="30"/>
        <v>16.995679012345676</v>
      </c>
      <c r="AM203">
        <f t="shared" si="31"/>
        <v>14.818311587037034</v>
      </c>
      <c r="AP203" s="9"/>
      <c r="AQ203" s="22">
        <v>0.80810499999999996</v>
      </c>
      <c r="AR203" s="22">
        <v>25.660399999999999</v>
      </c>
      <c r="AS203" s="22">
        <v>-1.3952600000000001E-2</v>
      </c>
      <c r="AT203" s="22">
        <v>193</v>
      </c>
      <c r="AU203" s="22">
        <v>0.80657999999999996</v>
      </c>
      <c r="AV203">
        <f t="shared" si="32"/>
        <v>17.225432098765431</v>
      </c>
      <c r="AW203">
        <f t="shared" si="33"/>
        <v>13.919957806172839</v>
      </c>
      <c r="AX203" s="9"/>
      <c r="AY203" s="22">
        <v>0.87188699999999997</v>
      </c>
      <c r="AZ203" s="22">
        <v>29.439299999999999</v>
      </c>
      <c r="BA203" s="22">
        <v>-1.3797E-2</v>
      </c>
      <c r="BB203" s="22">
        <v>193</v>
      </c>
      <c r="BC203" s="22">
        <v>0.87097199999999997</v>
      </c>
      <c r="BD203">
        <f t="shared" si="34"/>
        <v>17.033333333333331</v>
      </c>
      <c r="BE203">
        <f t="shared" si="35"/>
        <v>14.851141899999998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0.80306999999999995</v>
      </c>
      <c r="H204" s="22">
        <v>7.1981000000000002</v>
      </c>
      <c r="I204" s="22">
        <v>-1.3943499999999999E-2</v>
      </c>
      <c r="J204" s="22">
        <v>194</v>
      </c>
      <c r="K204" s="22">
        <v>0.80230699999999999</v>
      </c>
      <c r="L204">
        <f t="shared" ref="L204:L267" si="36">-I204/$F$2*1000</f>
        <v>17.214197530864197</v>
      </c>
      <c r="M204">
        <f t="shared" ref="M204:M267" si="37">L204*G204</f>
        <v>13.824205611111109</v>
      </c>
      <c r="N204" s="9"/>
      <c r="O204" s="22">
        <v>0.87692300000000001</v>
      </c>
      <c r="P204" s="22">
        <v>10.977</v>
      </c>
      <c r="Q204" s="22">
        <v>-1.37695E-2</v>
      </c>
      <c r="R204" s="22">
        <v>194</v>
      </c>
      <c r="S204" s="22">
        <v>0.87616000000000005</v>
      </c>
      <c r="T204">
        <f t="shared" ref="T204:T267" si="38">-Q204/$F$2*1000</f>
        <v>16.999382716049382</v>
      </c>
      <c r="U204">
        <f t="shared" ref="U204:U267" si="39">T204*O204</f>
        <v>14.907149689506172</v>
      </c>
      <c r="X204" s="9"/>
      <c r="Y204" s="22">
        <v>0.80306999999999995</v>
      </c>
      <c r="Z204" s="22">
        <v>16.449300000000001</v>
      </c>
      <c r="AA204" s="22">
        <v>-1.3958699999999999E-2</v>
      </c>
      <c r="AB204" s="22">
        <v>194</v>
      </c>
      <c r="AC204" s="22">
        <v>0.80139199999999999</v>
      </c>
      <c r="AD204">
        <f t="shared" ref="AD204:AD267" si="40">-AA204/$F$2*1000</f>
        <v>17.232962962962961</v>
      </c>
      <c r="AE204">
        <f t="shared" ref="AE204:AE267" si="41">AD204*Y204</f>
        <v>13.839275566666664</v>
      </c>
      <c r="AF204" s="9"/>
      <c r="AG204" s="22">
        <v>0.87692300000000001</v>
      </c>
      <c r="AH204" s="22">
        <v>20.228200000000001</v>
      </c>
      <c r="AI204" s="22">
        <v>-1.37634E-2</v>
      </c>
      <c r="AJ204" s="22">
        <v>194</v>
      </c>
      <c r="AK204" s="22">
        <v>0.87554900000000002</v>
      </c>
      <c r="AL204">
        <f t="shared" ref="AL204:AL267" si="42">-AI204/$F$2*1000</f>
        <v>16.991851851851852</v>
      </c>
      <c r="AM204">
        <f t="shared" ref="AM204:AM267" si="43">AL204*AG204</f>
        <v>14.900545701481482</v>
      </c>
      <c r="AP204" s="9"/>
      <c r="AQ204" s="22">
        <v>0.80306999999999995</v>
      </c>
      <c r="AR204" s="22">
        <v>25.670500000000001</v>
      </c>
      <c r="AS204" s="22">
        <v>-1.39557E-2</v>
      </c>
      <c r="AT204" s="22">
        <v>194</v>
      </c>
      <c r="AU204" s="22">
        <v>0.80230699999999999</v>
      </c>
      <c r="AV204">
        <f t="shared" ref="AV204:AV267" si="44">-AS204/$F$2*1000</f>
        <v>17.229259259259258</v>
      </c>
      <c r="AW204">
        <f t="shared" ref="AW204:AW267" si="45">AV204*AQ204</f>
        <v>13.836301233333332</v>
      </c>
      <c r="AX204" s="9"/>
      <c r="AY204" s="22">
        <v>0.87692300000000001</v>
      </c>
      <c r="AZ204" s="22">
        <v>29.449400000000001</v>
      </c>
      <c r="BA204" s="22">
        <v>-1.37909E-2</v>
      </c>
      <c r="BB204" s="22">
        <v>194</v>
      </c>
      <c r="BC204" s="22">
        <v>0.87616000000000005</v>
      </c>
      <c r="BD204">
        <f t="shared" ref="BD204:BD267" si="46">-BA204/$F$2*1000</f>
        <v>17.025802469135801</v>
      </c>
      <c r="BE204">
        <f t="shared" ref="BE204:BE267" si="47">BD204*AY204</f>
        <v>14.930317778641975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0.79803500000000005</v>
      </c>
      <c r="H205" s="22">
        <v>7.20817</v>
      </c>
      <c r="I205" s="22">
        <v>-1.39557E-2</v>
      </c>
      <c r="J205" s="22">
        <v>195</v>
      </c>
      <c r="K205" s="22">
        <v>0.79711900000000002</v>
      </c>
      <c r="L205">
        <f t="shared" si="36"/>
        <v>17.229259259259258</v>
      </c>
      <c r="M205">
        <f t="shared" si="37"/>
        <v>13.749551912962962</v>
      </c>
      <c r="N205" s="9"/>
      <c r="O205" s="22">
        <v>0.88195800000000002</v>
      </c>
      <c r="P205" s="22">
        <v>10.9871</v>
      </c>
      <c r="Q205" s="22">
        <v>-1.3760400000000001E-2</v>
      </c>
      <c r="R205" s="22">
        <v>195</v>
      </c>
      <c r="S205" s="22">
        <v>0.88073699999999999</v>
      </c>
      <c r="T205">
        <f t="shared" si="38"/>
        <v>16.988148148148149</v>
      </c>
      <c r="U205">
        <f t="shared" si="39"/>
        <v>14.982833164444445</v>
      </c>
      <c r="X205" s="9"/>
      <c r="Y205" s="22">
        <v>0.79803500000000005</v>
      </c>
      <c r="Z205" s="22">
        <v>16.459399999999999</v>
      </c>
      <c r="AA205" s="22">
        <v>-1.39709E-2</v>
      </c>
      <c r="AB205" s="22">
        <v>195</v>
      </c>
      <c r="AC205" s="22">
        <v>0.79711900000000002</v>
      </c>
      <c r="AD205">
        <f t="shared" si="40"/>
        <v>17.248024691358022</v>
      </c>
      <c r="AE205">
        <f t="shared" si="41"/>
        <v>13.7645273845679</v>
      </c>
      <c r="AF205" s="9"/>
      <c r="AG205" s="22">
        <v>0.88195800000000002</v>
      </c>
      <c r="AH205" s="22">
        <v>20.238299999999999</v>
      </c>
      <c r="AI205" s="22">
        <v>-1.37573E-2</v>
      </c>
      <c r="AJ205" s="22">
        <v>195</v>
      </c>
      <c r="AK205" s="22">
        <v>0.88073699999999999</v>
      </c>
      <c r="AL205">
        <f t="shared" si="42"/>
        <v>16.984320987654321</v>
      </c>
      <c r="AM205">
        <f t="shared" si="43"/>
        <v>14.979457769629629</v>
      </c>
      <c r="AP205" s="9"/>
      <c r="AQ205" s="22">
        <v>0.79803500000000005</v>
      </c>
      <c r="AR205" s="22">
        <v>25.680599999999998</v>
      </c>
      <c r="AS205" s="22">
        <v>-1.3964799999999999E-2</v>
      </c>
      <c r="AT205" s="22">
        <v>195</v>
      </c>
      <c r="AU205" s="22">
        <v>0.79742400000000002</v>
      </c>
      <c r="AV205">
        <f t="shared" si="44"/>
        <v>17.240493827160492</v>
      </c>
      <c r="AW205">
        <f t="shared" si="45"/>
        <v>13.758517491358024</v>
      </c>
      <c r="AX205" s="9"/>
      <c r="AY205" s="22">
        <v>0.88195800000000002</v>
      </c>
      <c r="AZ205" s="22">
        <v>29.459499999999998</v>
      </c>
      <c r="BA205" s="22">
        <v>-1.37848E-2</v>
      </c>
      <c r="BB205" s="22">
        <v>195</v>
      </c>
      <c r="BC205" s="22">
        <v>0.88043199999999999</v>
      </c>
      <c r="BD205">
        <f t="shared" si="46"/>
        <v>17.018271604938271</v>
      </c>
      <c r="BE205">
        <f t="shared" si="47"/>
        <v>15.009400788148147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0.79299900000000001</v>
      </c>
      <c r="H206" s="22">
        <v>7.2182399999999998</v>
      </c>
      <c r="I206" s="22">
        <v>-1.3964799999999999E-2</v>
      </c>
      <c r="J206" s="22">
        <v>196</v>
      </c>
      <c r="K206" s="22">
        <v>0.79162600000000005</v>
      </c>
      <c r="L206">
        <f t="shared" si="36"/>
        <v>17.240493827160492</v>
      </c>
      <c r="M206">
        <f t="shared" si="37"/>
        <v>13.671694364444443</v>
      </c>
      <c r="N206" s="9"/>
      <c r="O206" s="22">
        <v>0.88699300000000003</v>
      </c>
      <c r="P206" s="22">
        <v>10.9971</v>
      </c>
      <c r="Q206" s="22">
        <v>-1.37512E-2</v>
      </c>
      <c r="R206" s="22">
        <v>196</v>
      </c>
      <c r="S206" s="22">
        <v>0.88622999999999996</v>
      </c>
      <c r="T206">
        <f t="shared" si="38"/>
        <v>16.976790123456787</v>
      </c>
      <c r="U206">
        <f t="shared" si="39"/>
        <v>15.058294001975307</v>
      </c>
      <c r="X206" s="9"/>
      <c r="Y206" s="22">
        <v>0.79299900000000001</v>
      </c>
      <c r="Z206" s="22">
        <v>16.4694</v>
      </c>
      <c r="AA206" s="22">
        <v>-1.3986200000000001E-2</v>
      </c>
      <c r="AB206" s="22">
        <v>196</v>
      </c>
      <c r="AC206" s="22">
        <v>0.79193100000000005</v>
      </c>
      <c r="AD206">
        <f t="shared" si="40"/>
        <v>17.266913580246914</v>
      </c>
      <c r="AE206">
        <f t="shared" si="41"/>
        <v>13.692645202222224</v>
      </c>
      <c r="AF206" s="9"/>
      <c r="AG206" s="22">
        <v>0.88699300000000003</v>
      </c>
      <c r="AH206" s="22">
        <v>20.2483</v>
      </c>
      <c r="AI206" s="22">
        <v>-1.3754300000000001E-2</v>
      </c>
      <c r="AJ206" s="22">
        <v>196</v>
      </c>
      <c r="AK206" s="22">
        <v>0.88561999999999996</v>
      </c>
      <c r="AL206">
        <f t="shared" si="42"/>
        <v>16.980617283950615</v>
      </c>
      <c r="AM206">
        <f t="shared" si="43"/>
        <v>15.061688666543208</v>
      </c>
      <c r="AP206" s="9"/>
      <c r="AQ206" s="22">
        <v>0.79299900000000001</v>
      </c>
      <c r="AR206" s="22">
        <v>25.6907</v>
      </c>
      <c r="AS206" s="22">
        <v>-1.3974E-2</v>
      </c>
      <c r="AT206" s="22">
        <v>196</v>
      </c>
      <c r="AU206" s="22">
        <v>0.79193100000000005</v>
      </c>
      <c r="AV206">
        <f t="shared" si="44"/>
        <v>17.251851851851853</v>
      </c>
      <c r="AW206">
        <f t="shared" si="45"/>
        <v>13.680701266666668</v>
      </c>
      <c r="AX206" s="9"/>
      <c r="AY206" s="22">
        <v>0.88699300000000003</v>
      </c>
      <c r="AZ206" s="22">
        <v>29.4696</v>
      </c>
      <c r="BA206" s="22">
        <v>-1.37787E-2</v>
      </c>
      <c r="BB206" s="22">
        <v>196</v>
      </c>
      <c r="BC206" s="22">
        <v>0.88622999999999996</v>
      </c>
      <c r="BD206">
        <f t="shared" si="46"/>
        <v>17.01074074074074</v>
      </c>
      <c r="BE206">
        <f t="shared" si="47"/>
        <v>15.088407961851852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0.787964</v>
      </c>
      <c r="H207" s="22">
        <v>7.2283099999999996</v>
      </c>
      <c r="I207" s="22">
        <v>-1.39709E-2</v>
      </c>
      <c r="J207" s="22">
        <v>197</v>
      </c>
      <c r="K207" s="22">
        <v>0.78704799999999997</v>
      </c>
      <c r="L207">
        <f t="shared" si="36"/>
        <v>17.248024691358022</v>
      </c>
      <c r="M207">
        <f t="shared" si="37"/>
        <v>13.590822527901233</v>
      </c>
      <c r="N207" s="9"/>
      <c r="O207" s="22">
        <v>0.89202899999999996</v>
      </c>
      <c r="P207" s="22">
        <v>11.007199999999999</v>
      </c>
      <c r="Q207" s="22">
        <v>-1.37451E-2</v>
      </c>
      <c r="R207" s="22">
        <v>197</v>
      </c>
      <c r="S207" s="22">
        <v>0.89080800000000004</v>
      </c>
      <c r="T207">
        <f t="shared" si="38"/>
        <v>16.969259259259257</v>
      </c>
      <c r="U207">
        <f t="shared" si="39"/>
        <v>15.137071367777775</v>
      </c>
      <c r="X207" s="9"/>
      <c r="Y207" s="22">
        <v>0.787964</v>
      </c>
      <c r="Z207" s="22">
        <v>16.479500000000002</v>
      </c>
      <c r="AA207" s="22">
        <v>-1.3998399999999999E-2</v>
      </c>
      <c r="AB207" s="22">
        <v>197</v>
      </c>
      <c r="AC207" s="22">
        <v>0.78674299999999997</v>
      </c>
      <c r="AD207">
        <f t="shared" si="40"/>
        <v>17.281975308641975</v>
      </c>
      <c r="AE207">
        <f t="shared" si="41"/>
        <v>13.617574392098765</v>
      </c>
      <c r="AF207" s="9"/>
      <c r="AG207" s="22">
        <v>0.89202899999999996</v>
      </c>
      <c r="AH207" s="22">
        <v>20.258400000000002</v>
      </c>
      <c r="AI207" s="22">
        <v>-1.3754300000000001E-2</v>
      </c>
      <c r="AJ207" s="22">
        <v>197</v>
      </c>
      <c r="AK207" s="22">
        <v>0.89080800000000004</v>
      </c>
      <c r="AL207">
        <f t="shared" si="42"/>
        <v>16.980617283950615</v>
      </c>
      <c r="AM207">
        <f t="shared" si="43"/>
        <v>15.147203055185182</v>
      </c>
      <c r="AP207" s="9"/>
      <c r="AQ207" s="22">
        <v>0.787964</v>
      </c>
      <c r="AR207" s="22">
        <v>25.700700000000001</v>
      </c>
      <c r="AS207" s="22">
        <v>-1.3986200000000001E-2</v>
      </c>
      <c r="AT207" s="22">
        <v>197</v>
      </c>
      <c r="AU207" s="22">
        <v>0.787354</v>
      </c>
      <c r="AV207">
        <f t="shared" si="44"/>
        <v>17.266913580246914</v>
      </c>
      <c r="AW207">
        <f t="shared" si="45"/>
        <v>13.60570629234568</v>
      </c>
      <c r="AX207" s="9"/>
      <c r="AY207" s="22">
        <v>0.89202899999999996</v>
      </c>
      <c r="AZ207" s="22">
        <v>29.479600000000001</v>
      </c>
      <c r="BA207" s="22">
        <v>-1.37695E-2</v>
      </c>
      <c r="BB207" s="22">
        <v>197</v>
      </c>
      <c r="BC207" s="22">
        <v>0.89080800000000004</v>
      </c>
      <c r="BD207">
        <f t="shared" si="46"/>
        <v>16.999382716049382</v>
      </c>
      <c r="BE207">
        <f t="shared" si="47"/>
        <v>15.163942364814814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0.78292799999999996</v>
      </c>
      <c r="H208" s="22">
        <v>7.2383800000000003</v>
      </c>
      <c r="I208" s="22">
        <v>-1.3977099999999999E-2</v>
      </c>
      <c r="J208" s="22">
        <v>198</v>
      </c>
      <c r="K208" s="22">
        <v>0.781555</v>
      </c>
      <c r="L208">
        <f t="shared" si="36"/>
        <v>17.255679012345677</v>
      </c>
      <c r="M208">
        <f t="shared" si="37"/>
        <v>13.509954257777775</v>
      </c>
      <c r="N208" s="9"/>
      <c r="O208" s="22">
        <v>0.89706399999999997</v>
      </c>
      <c r="P208" s="22">
        <v>11.017300000000001</v>
      </c>
      <c r="Q208" s="22">
        <v>-1.3738999999999999E-2</v>
      </c>
      <c r="R208" s="22">
        <v>198</v>
      </c>
      <c r="S208" s="22">
        <v>0.89599600000000001</v>
      </c>
      <c r="T208">
        <f t="shared" si="38"/>
        <v>16.961728395061726</v>
      </c>
      <c r="U208">
        <f t="shared" si="39"/>
        <v>15.215755920987652</v>
      </c>
      <c r="X208" s="9"/>
      <c r="Y208" s="22">
        <v>0.78292799999999996</v>
      </c>
      <c r="Z208" s="22">
        <v>16.489599999999999</v>
      </c>
      <c r="AA208" s="22">
        <v>-1.40106E-2</v>
      </c>
      <c r="AB208" s="22">
        <v>198</v>
      </c>
      <c r="AC208" s="22">
        <v>0.78186</v>
      </c>
      <c r="AD208">
        <f t="shared" si="40"/>
        <v>17.297037037037036</v>
      </c>
      <c r="AE208">
        <f t="shared" si="41"/>
        <v>13.542334613333331</v>
      </c>
      <c r="AF208" s="9"/>
      <c r="AG208" s="22">
        <v>0.89706399999999997</v>
      </c>
      <c r="AH208" s="22">
        <v>20.2685</v>
      </c>
      <c r="AI208" s="22">
        <v>-1.3754300000000001E-2</v>
      </c>
      <c r="AJ208" s="22">
        <v>198</v>
      </c>
      <c r="AK208" s="22">
        <v>0.89569100000000001</v>
      </c>
      <c r="AL208">
        <f t="shared" si="42"/>
        <v>16.980617283950615</v>
      </c>
      <c r="AM208">
        <f t="shared" si="43"/>
        <v>15.232700463209873</v>
      </c>
      <c r="AP208" s="9"/>
      <c r="AQ208" s="22">
        <v>0.78292799999999996</v>
      </c>
      <c r="AR208" s="22">
        <v>25.710799999999999</v>
      </c>
      <c r="AS208" s="22">
        <v>-1.40015E-2</v>
      </c>
      <c r="AT208" s="22">
        <v>198</v>
      </c>
      <c r="AU208" s="22">
        <v>0.78216600000000003</v>
      </c>
      <c r="AV208">
        <f t="shared" si="44"/>
        <v>17.285802469135803</v>
      </c>
      <c r="AW208">
        <f t="shared" si="45"/>
        <v>13.533538755555554</v>
      </c>
      <c r="AX208" s="9"/>
      <c r="AY208" s="22">
        <v>0.89706399999999997</v>
      </c>
      <c r="AZ208" s="22">
        <v>29.489699999999999</v>
      </c>
      <c r="BA208" s="22">
        <v>-1.37695E-2</v>
      </c>
      <c r="BB208" s="22">
        <v>198</v>
      </c>
      <c r="BC208" s="22">
        <v>0.89630100000000001</v>
      </c>
      <c r="BD208">
        <f t="shared" si="46"/>
        <v>16.999382716049382</v>
      </c>
      <c r="BE208">
        <f t="shared" si="47"/>
        <v>15.249534256790122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0.77789299999999995</v>
      </c>
      <c r="H209" s="22">
        <v>7.2484500000000001</v>
      </c>
      <c r="I209" s="22">
        <v>-1.3983199999999999E-2</v>
      </c>
      <c r="J209" s="22">
        <v>199</v>
      </c>
      <c r="K209" s="22">
        <v>0.77667200000000003</v>
      </c>
      <c r="L209">
        <f t="shared" si="36"/>
        <v>17.263209876543208</v>
      </c>
      <c r="M209">
        <f t="shared" si="37"/>
        <v>13.428930120493824</v>
      </c>
      <c r="N209" s="9"/>
      <c r="O209" s="22">
        <v>0.90210000000000001</v>
      </c>
      <c r="P209" s="22">
        <v>11.0274</v>
      </c>
      <c r="Q209" s="22">
        <v>-1.3726800000000001E-2</v>
      </c>
      <c r="R209" s="22">
        <v>199</v>
      </c>
      <c r="S209" s="22">
        <v>0.90148899999999998</v>
      </c>
      <c r="T209">
        <f t="shared" si="38"/>
        <v>16.946666666666665</v>
      </c>
      <c r="U209">
        <f t="shared" si="39"/>
        <v>15.287588</v>
      </c>
      <c r="X209" s="9"/>
      <c r="Y209" s="22">
        <v>0.77789299999999995</v>
      </c>
      <c r="Z209" s="22">
        <v>16.499600000000001</v>
      </c>
      <c r="AA209" s="22">
        <v>-1.40167E-2</v>
      </c>
      <c r="AB209" s="22">
        <v>199</v>
      </c>
      <c r="AC209" s="22">
        <v>0.77667200000000003</v>
      </c>
      <c r="AD209">
        <f t="shared" si="40"/>
        <v>17.304567901234567</v>
      </c>
      <c r="AE209">
        <f t="shared" si="41"/>
        <v>13.46110223839506</v>
      </c>
      <c r="AF209" s="9"/>
      <c r="AG209" s="22">
        <v>0.90210000000000001</v>
      </c>
      <c r="AH209" s="22">
        <v>20.278500000000001</v>
      </c>
      <c r="AI209" s="22">
        <v>-1.37482E-2</v>
      </c>
      <c r="AJ209" s="22">
        <v>199</v>
      </c>
      <c r="AK209" s="22">
        <v>0.90118399999999999</v>
      </c>
      <c r="AL209">
        <f t="shared" si="42"/>
        <v>16.973086419753084</v>
      </c>
      <c r="AM209">
        <f t="shared" si="43"/>
        <v>15.311421259259257</v>
      </c>
      <c r="AP209" s="9"/>
      <c r="AQ209" s="22">
        <v>0.77789299999999995</v>
      </c>
      <c r="AR209" s="22">
        <v>25.7209</v>
      </c>
      <c r="AS209" s="22">
        <v>-1.40106E-2</v>
      </c>
      <c r="AT209" s="22">
        <v>199</v>
      </c>
      <c r="AU209" s="22">
        <v>0.77728299999999995</v>
      </c>
      <c r="AV209">
        <f t="shared" si="44"/>
        <v>17.297037037037036</v>
      </c>
      <c r="AW209">
        <f t="shared" si="45"/>
        <v>13.45524403185185</v>
      </c>
      <c r="AX209" s="9"/>
      <c r="AY209" s="22">
        <v>0.90210000000000001</v>
      </c>
      <c r="AZ209" s="22">
        <v>29.4998</v>
      </c>
      <c r="BA209" s="22">
        <v>-1.3766499999999999E-2</v>
      </c>
      <c r="BB209" s="22">
        <v>199</v>
      </c>
      <c r="BC209" s="22">
        <v>0.90087899999999999</v>
      </c>
      <c r="BD209">
        <f t="shared" si="46"/>
        <v>16.995679012345676</v>
      </c>
      <c r="BE209">
        <f t="shared" si="47"/>
        <v>15.331802037037034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0.77285800000000004</v>
      </c>
      <c r="H210" s="22">
        <v>7.2585199999999999</v>
      </c>
      <c r="I210" s="22">
        <v>-1.39893E-2</v>
      </c>
      <c r="J210" s="22">
        <v>200</v>
      </c>
      <c r="K210" s="22">
        <v>0.77148399999999995</v>
      </c>
      <c r="L210">
        <f t="shared" si="36"/>
        <v>17.270740740740738</v>
      </c>
      <c r="M210">
        <f t="shared" si="37"/>
        <v>13.347830147407405</v>
      </c>
      <c r="N210" s="9"/>
      <c r="O210" s="22">
        <v>0.90713500000000002</v>
      </c>
      <c r="P210" s="22">
        <v>11.0374</v>
      </c>
      <c r="Q210" s="22">
        <v>-1.3717699999999999E-2</v>
      </c>
      <c r="R210" s="22">
        <v>200</v>
      </c>
      <c r="S210" s="22">
        <v>0.90606699999999996</v>
      </c>
      <c r="T210">
        <f t="shared" si="38"/>
        <v>16.935432098765432</v>
      </c>
      <c r="U210">
        <f t="shared" si="39"/>
        <v>15.362723196913581</v>
      </c>
      <c r="X210" s="9"/>
      <c r="Y210" s="22">
        <v>0.77285800000000004</v>
      </c>
      <c r="Z210" s="22">
        <v>16.509699999999999</v>
      </c>
      <c r="AA210" s="22">
        <v>-1.40137E-2</v>
      </c>
      <c r="AB210" s="22">
        <v>200</v>
      </c>
      <c r="AC210" s="22">
        <v>0.77148399999999995</v>
      </c>
      <c r="AD210">
        <f t="shared" si="40"/>
        <v>17.300864197530863</v>
      </c>
      <c r="AE210">
        <f t="shared" si="41"/>
        <v>13.37111130197531</v>
      </c>
      <c r="AF210" s="9"/>
      <c r="AG210" s="22">
        <v>0.90713500000000002</v>
      </c>
      <c r="AH210" s="22">
        <v>20.288599999999999</v>
      </c>
      <c r="AI210" s="22">
        <v>-1.37421E-2</v>
      </c>
      <c r="AJ210" s="22">
        <v>200</v>
      </c>
      <c r="AK210" s="22">
        <v>0.90576199999999996</v>
      </c>
      <c r="AL210">
        <f t="shared" si="42"/>
        <v>16.965555555555554</v>
      </c>
      <c r="AM210">
        <f t="shared" si="43"/>
        <v>15.390049238888887</v>
      </c>
      <c r="AP210" s="9"/>
      <c r="AQ210" s="22">
        <v>0.77285800000000004</v>
      </c>
      <c r="AR210" s="22">
        <v>25.730899999999998</v>
      </c>
      <c r="AS210" s="22">
        <v>-1.40106E-2</v>
      </c>
      <c r="AT210" s="22">
        <v>200</v>
      </c>
      <c r="AU210" s="22">
        <v>0.77148399999999995</v>
      </c>
      <c r="AV210">
        <f t="shared" si="44"/>
        <v>17.297037037037036</v>
      </c>
      <c r="AW210">
        <f t="shared" si="45"/>
        <v>13.36815345037037</v>
      </c>
      <c r="AX210" s="9"/>
      <c r="AY210" s="22">
        <v>0.90713500000000002</v>
      </c>
      <c r="AZ210" s="22">
        <v>29.509799999999998</v>
      </c>
      <c r="BA210" s="22">
        <v>-1.37573E-2</v>
      </c>
      <c r="BB210" s="22">
        <v>200</v>
      </c>
      <c r="BC210" s="22">
        <v>0.90637199999999996</v>
      </c>
      <c r="BD210">
        <f t="shared" si="46"/>
        <v>16.984320987654321</v>
      </c>
      <c r="BE210">
        <f t="shared" si="47"/>
        <v>15.407072019135803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0.767822</v>
      </c>
      <c r="H211" s="22">
        <v>7.2686000000000002</v>
      </c>
      <c r="I211" s="22">
        <v>-1.3986200000000001E-2</v>
      </c>
      <c r="J211" s="22">
        <v>201</v>
      </c>
      <c r="K211" s="22">
        <v>0.76690700000000001</v>
      </c>
      <c r="L211">
        <f t="shared" si="36"/>
        <v>17.266913580246914</v>
      </c>
      <c r="M211">
        <f t="shared" si="37"/>
        <v>13.257916119012346</v>
      </c>
      <c r="N211" s="9"/>
      <c r="O211" s="22">
        <v>0.91217000000000004</v>
      </c>
      <c r="P211" s="22">
        <v>11.047499999999999</v>
      </c>
      <c r="Q211" s="22">
        <v>-1.37054E-2</v>
      </c>
      <c r="R211" s="22">
        <v>201</v>
      </c>
      <c r="S211" s="22">
        <v>0.91095000000000004</v>
      </c>
      <c r="T211">
        <f t="shared" si="38"/>
        <v>16.920246913580247</v>
      </c>
      <c r="U211">
        <f t="shared" si="39"/>
        <v>15.434141627160495</v>
      </c>
      <c r="X211" s="9"/>
      <c r="Y211" s="22">
        <v>0.767822</v>
      </c>
      <c r="Z211" s="22">
        <v>16.5198</v>
      </c>
      <c r="AA211" s="22">
        <v>-1.40076E-2</v>
      </c>
      <c r="AB211" s="22">
        <v>201</v>
      </c>
      <c r="AC211" s="22">
        <v>0.76660200000000001</v>
      </c>
      <c r="AD211">
        <f t="shared" si="40"/>
        <v>17.293333333333333</v>
      </c>
      <c r="AE211">
        <f t="shared" si="41"/>
        <v>13.278201786666667</v>
      </c>
      <c r="AF211" s="9"/>
      <c r="AG211" s="22">
        <v>0.91217000000000004</v>
      </c>
      <c r="AH211" s="22">
        <v>20.2987</v>
      </c>
      <c r="AI211" s="22">
        <v>-1.3732899999999999E-2</v>
      </c>
      <c r="AJ211" s="22">
        <v>201</v>
      </c>
      <c r="AK211" s="22">
        <v>0.91125500000000004</v>
      </c>
      <c r="AL211">
        <f t="shared" si="42"/>
        <v>16.954197530864196</v>
      </c>
      <c r="AM211">
        <f t="shared" si="43"/>
        <v>15.465110361728394</v>
      </c>
      <c r="AP211" s="9"/>
      <c r="AQ211" s="22">
        <v>0.767822</v>
      </c>
      <c r="AR211" s="22">
        <v>25.741</v>
      </c>
      <c r="AS211" s="22">
        <v>-1.40015E-2</v>
      </c>
      <c r="AT211" s="22">
        <v>201</v>
      </c>
      <c r="AU211" s="22">
        <v>0.76690700000000001</v>
      </c>
      <c r="AV211">
        <f t="shared" si="44"/>
        <v>17.285802469135803</v>
      </c>
      <c r="AW211">
        <f t="shared" si="45"/>
        <v>13.272419423456791</v>
      </c>
      <c r="AX211" s="9"/>
      <c r="AY211" s="22">
        <v>0.91217000000000004</v>
      </c>
      <c r="AZ211" s="22">
        <v>29.5199</v>
      </c>
      <c r="BA211" s="22">
        <v>-1.37512E-2</v>
      </c>
      <c r="BB211" s="22">
        <v>201</v>
      </c>
      <c r="BC211" s="22">
        <v>0.91095000000000004</v>
      </c>
      <c r="BD211">
        <f t="shared" si="46"/>
        <v>16.976790123456787</v>
      </c>
      <c r="BE211">
        <f t="shared" si="47"/>
        <v>15.485718646913579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0.76278699999999999</v>
      </c>
      <c r="H212" s="22">
        <v>7.27867</v>
      </c>
      <c r="I212" s="22">
        <v>-1.3977099999999999E-2</v>
      </c>
      <c r="J212" s="22">
        <v>202</v>
      </c>
      <c r="K212" s="22">
        <v>0.76171900000000003</v>
      </c>
      <c r="L212">
        <f t="shared" si="36"/>
        <v>17.255679012345677</v>
      </c>
      <c r="M212">
        <f t="shared" si="37"/>
        <v>13.162407626790122</v>
      </c>
      <c r="N212" s="9"/>
      <c r="O212" s="22">
        <v>0.91720599999999997</v>
      </c>
      <c r="P212" s="22">
        <v>11.057600000000001</v>
      </c>
      <c r="Q212" s="22">
        <v>-1.3699299999999999E-2</v>
      </c>
      <c r="R212" s="22">
        <v>202</v>
      </c>
      <c r="S212" s="22">
        <v>0.91613800000000001</v>
      </c>
      <c r="T212">
        <f t="shared" si="38"/>
        <v>16.912716049382716</v>
      </c>
      <c r="U212">
        <f t="shared" si="39"/>
        <v>15.512444636790123</v>
      </c>
      <c r="X212" s="9"/>
      <c r="Y212" s="22">
        <v>0.76278699999999999</v>
      </c>
      <c r="Z212" s="22">
        <v>16.529800000000002</v>
      </c>
      <c r="AA212" s="22">
        <v>-1.40015E-2</v>
      </c>
      <c r="AB212" s="22">
        <v>202</v>
      </c>
      <c r="AC212" s="22">
        <v>0.76202400000000003</v>
      </c>
      <c r="AD212">
        <f t="shared" si="40"/>
        <v>17.285802469135803</v>
      </c>
      <c r="AE212">
        <f t="shared" si="41"/>
        <v>13.185385408024692</v>
      </c>
      <c r="AF212" s="9"/>
      <c r="AG212" s="22">
        <v>0.91720599999999997</v>
      </c>
      <c r="AH212" s="22">
        <v>20.308800000000002</v>
      </c>
      <c r="AI212" s="22">
        <v>-1.37299E-2</v>
      </c>
      <c r="AJ212" s="22">
        <v>202</v>
      </c>
      <c r="AK212" s="22">
        <v>0.91613800000000001</v>
      </c>
      <c r="AL212">
        <f t="shared" si="42"/>
        <v>16.950493827160493</v>
      </c>
      <c r="AM212">
        <f t="shared" si="43"/>
        <v>15.547094641234567</v>
      </c>
      <c r="AP212" s="9"/>
      <c r="AQ212" s="22">
        <v>0.76278699999999999</v>
      </c>
      <c r="AR212" s="22">
        <v>25.751100000000001</v>
      </c>
      <c r="AS212" s="22">
        <v>-1.3992299999999999E-2</v>
      </c>
      <c r="AT212" s="22">
        <v>202</v>
      </c>
      <c r="AU212" s="22">
        <v>0.76232900000000003</v>
      </c>
      <c r="AV212">
        <f t="shared" si="44"/>
        <v>17.274444444444445</v>
      </c>
      <c r="AW212">
        <f t="shared" si="45"/>
        <v>13.176721654444444</v>
      </c>
      <c r="AX212" s="9"/>
      <c r="AY212" s="22">
        <v>0.91720599999999997</v>
      </c>
      <c r="AZ212" s="22">
        <v>29.53</v>
      </c>
      <c r="BA212" s="22">
        <v>-1.37421E-2</v>
      </c>
      <c r="BB212" s="22">
        <v>202</v>
      </c>
      <c r="BC212" s="22">
        <v>0.91583300000000001</v>
      </c>
      <c r="BD212">
        <f t="shared" si="46"/>
        <v>16.965555555555554</v>
      </c>
      <c r="BE212">
        <f t="shared" si="47"/>
        <v>15.560909348888886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0.75775099999999995</v>
      </c>
      <c r="H213" s="22">
        <v>7.2887399999999998</v>
      </c>
      <c r="I213" s="22">
        <v>-1.39709E-2</v>
      </c>
      <c r="J213" s="22">
        <v>203</v>
      </c>
      <c r="K213" s="22">
        <v>0.75683599999999995</v>
      </c>
      <c r="L213">
        <f t="shared" si="36"/>
        <v>17.248024691358022</v>
      </c>
      <c r="M213">
        <f t="shared" si="37"/>
        <v>13.069707957901231</v>
      </c>
      <c r="N213" s="9"/>
      <c r="O213" s="22">
        <v>0.92224099999999998</v>
      </c>
      <c r="P213" s="22">
        <v>11.067600000000001</v>
      </c>
      <c r="Q213" s="22">
        <v>-1.3687100000000001E-2</v>
      </c>
      <c r="R213" s="22">
        <v>203</v>
      </c>
      <c r="S213" s="22">
        <v>0.92102099999999998</v>
      </c>
      <c r="T213">
        <f t="shared" si="38"/>
        <v>16.897654320987655</v>
      </c>
      <c r="U213">
        <f t="shared" si="39"/>
        <v>15.583709618641976</v>
      </c>
      <c r="X213" s="9"/>
      <c r="Y213" s="22">
        <v>0.75775099999999995</v>
      </c>
      <c r="Z213" s="22">
        <v>16.539899999999999</v>
      </c>
      <c r="AA213" s="22">
        <v>-1.40076E-2</v>
      </c>
      <c r="AB213" s="22">
        <v>203</v>
      </c>
      <c r="AC213" s="22">
        <v>0.75653099999999995</v>
      </c>
      <c r="AD213">
        <f t="shared" si="40"/>
        <v>17.293333333333333</v>
      </c>
      <c r="AE213">
        <f t="shared" si="41"/>
        <v>13.104040626666666</v>
      </c>
      <c r="AF213" s="9"/>
      <c r="AG213" s="22">
        <v>0.92224099999999998</v>
      </c>
      <c r="AH213" s="22">
        <v>20.3188</v>
      </c>
      <c r="AI213" s="22">
        <v>-1.37146E-2</v>
      </c>
      <c r="AJ213" s="22">
        <v>203</v>
      </c>
      <c r="AK213" s="22">
        <v>0.92132599999999998</v>
      </c>
      <c r="AL213">
        <f t="shared" si="42"/>
        <v>16.931604938271605</v>
      </c>
      <c r="AM213">
        <f t="shared" si="43"/>
        <v>15.615020269876542</v>
      </c>
      <c r="AP213" s="9"/>
      <c r="AQ213" s="22">
        <v>0.75775099999999995</v>
      </c>
      <c r="AR213" s="22">
        <v>25.761199999999999</v>
      </c>
      <c r="AS213" s="22">
        <v>-1.3986200000000001E-2</v>
      </c>
      <c r="AT213" s="22">
        <v>203</v>
      </c>
      <c r="AU213" s="22">
        <v>0.75714099999999995</v>
      </c>
      <c r="AV213">
        <f t="shared" si="44"/>
        <v>17.266913580246914</v>
      </c>
      <c r="AW213">
        <f t="shared" si="45"/>
        <v>13.084021032345678</v>
      </c>
      <c r="AX213" s="9"/>
      <c r="AY213" s="22">
        <v>0.92224099999999998</v>
      </c>
      <c r="AZ213" s="22">
        <v>29.540099999999999</v>
      </c>
      <c r="BA213" s="22">
        <v>-1.3736E-2</v>
      </c>
      <c r="BB213" s="22">
        <v>203</v>
      </c>
      <c r="BC213" s="22">
        <v>0.92102099999999998</v>
      </c>
      <c r="BD213">
        <f t="shared" si="46"/>
        <v>16.958024691358023</v>
      </c>
      <c r="BE213">
        <f t="shared" si="47"/>
        <v>15.639385649382714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0.75271600000000005</v>
      </c>
      <c r="H214" s="22">
        <v>7.2988099999999996</v>
      </c>
      <c r="I214" s="22">
        <v>-1.3964799999999999E-2</v>
      </c>
      <c r="J214" s="22">
        <v>204</v>
      </c>
      <c r="K214" s="22">
        <v>0.75195299999999998</v>
      </c>
      <c r="L214">
        <f t="shared" si="36"/>
        <v>17.240493827160492</v>
      </c>
      <c r="M214">
        <f t="shared" si="37"/>
        <v>12.977195551604938</v>
      </c>
      <c r="N214" s="9"/>
      <c r="O214" s="22">
        <v>0.92727700000000002</v>
      </c>
      <c r="P214" s="22">
        <v>11.0777</v>
      </c>
      <c r="Q214" s="22">
        <v>-1.3687100000000001E-2</v>
      </c>
      <c r="R214" s="22">
        <v>204</v>
      </c>
      <c r="S214" s="22">
        <v>0.92651399999999995</v>
      </c>
      <c r="T214">
        <f t="shared" si="38"/>
        <v>16.897654320987655</v>
      </c>
      <c r="U214">
        <f t="shared" si="39"/>
        <v>15.66880620580247</v>
      </c>
      <c r="X214" s="9"/>
      <c r="Y214" s="22">
        <v>0.75271600000000005</v>
      </c>
      <c r="Z214" s="22">
        <v>16.55</v>
      </c>
      <c r="AA214" s="22">
        <v>-1.4019800000000001E-2</v>
      </c>
      <c r="AB214" s="22">
        <v>204</v>
      </c>
      <c r="AC214" s="22">
        <v>0.75164799999999998</v>
      </c>
      <c r="AD214">
        <f t="shared" si="40"/>
        <v>17.308395061728394</v>
      </c>
      <c r="AE214">
        <f t="shared" si="41"/>
        <v>13.02830589728395</v>
      </c>
      <c r="AF214" s="9"/>
      <c r="AG214" s="22">
        <v>0.92727700000000002</v>
      </c>
      <c r="AH214" s="22">
        <v>20.328900000000001</v>
      </c>
      <c r="AI214" s="22">
        <v>-1.37085E-2</v>
      </c>
      <c r="AJ214" s="22">
        <v>204</v>
      </c>
      <c r="AK214" s="22">
        <v>0.92651399999999995</v>
      </c>
      <c r="AL214">
        <f t="shared" si="42"/>
        <v>16.924074074074074</v>
      </c>
      <c r="AM214">
        <f t="shared" si="43"/>
        <v>15.693304635185186</v>
      </c>
      <c r="AP214" s="9"/>
      <c r="AQ214" s="22">
        <v>0.75271600000000005</v>
      </c>
      <c r="AR214" s="22">
        <v>25.7712</v>
      </c>
      <c r="AS214" s="22">
        <v>-1.3986200000000001E-2</v>
      </c>
      <c r="AT214" s="22">
        <v>204</v>
      </c>
      <c r="AU214" s="22">
        <v>0.75195299999999998</v>
      </c>
      <c r="AV214">
        <f t="shared" si="44"/>
        <v>17.266913580246914</v>
      </c>
      <c r="AW214">
        <f t="shared" si="45"/>
        <v>12.997082122469138</v>
      </c>
      <c r="AX214" s="9"/>
      <c r="AY214" s="22">
        <v>0.92727700000000002</v>
      </c>
      <c r="AZ214" s="22">
        <v>29.5501</v>
      </c>
      <c r="BA214" s="22">
        <v>-1.3732899999999999E-2</v>
      </c>
      <c r="BB214" s="22">
        <v>204</v>
      </c>
      <c r="BC214" s="22">
        <v>0.92620800000000003</v>
      </c>
      <c r="BD214">
        <f t="shared" si="46"/>
        <v>16.954197530864196</v>
      </c>
      <c r="BE214">
        <f t="shared" si="47"/>
        <v>15.721237423827159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0.74768100000000004</v>
      </c>
      <c r="H215" s="22">
        <v>7.3088800000000003</v>
      </c>
      <c r="I215" s="22">
        <v>-1.3964799999999999E-2</v>
      </c>
      <c r="J215" s="22">
        <v>205</v>
      </c>
      <c r="K215" s="22">
        <v>0.74694799999999995</v>
      </c>
      <c r="L215">
        <f t="shared" si="36"/>
        <v>17.240493827160492</v>
      </c>
      <c r="M215">
        <f t="shared" si="37"/>
        <v>12.890389665185184</v>
      </c>
      <c r="N215" s="9"/>
      <c r="O215" s="22">
        <v>0.93231200000000003</v>
      </c>
      <c r="P215" s="22">
        <v>11.0878</v>
      </c>
      <c r="Q215" s="22">
        <v>-1.3681E-2</v>
      </c>
      <c r="R215" s="22">
        <v>205</v>
      </c>
      <c r="S215" s="22">
        <v>0.931091</v>
      </c>
      <c r="T215">
        <f t="shared" si="38"/>
        <v>16.890123456790121</v>
      </c>
      <c r="U215">
        <f t="shared" si="39"/>
        <v>15.746864780246913</v>
      </c>
      <c r="X215" s="9"/>
      <c r="Y215" s="22">
        <v>0.74768100000000004</v>
      </c>
      <c r="Z215" s="22">
        <v>16.560099999999998</v>
      </c>
      <c r="AA215" s="22">
        <v>-1.4019800000000001E-2</v>
      </c>
      <c r="AB215" s="22">
        <v>205</v>
      </c>
      <c r="AC215" s="22">
        <v>0.74688699999999997</v>
      </c>
      <c r="AD215">
        <f t="shared" si="40"/>
        <v>17.308395061728394</v>
      </c>
      <c r="AE215">
        <f t="shared" si="41"/>
        <v>12.941158128148148</v>
      </c>
      <c r="AF215" s="9"/>
      <c r="AG215" s="22">
        <v>0.93231200000000003</v>
      </c>
      <c r="AH215" s="22">
        <v>20.338999999999999</v>
      </c>
      <c r="AI215" s="22">
        <v>-1.37024E-2</v>
      </c>
      <c r="AJ215" s="22">
        <v>205</v>
      </c>
      <c r="AK215" s="22">
        <v>0.931091</v>
      </c>
      <c r="AL215">
        <f t="shared" si="42"/>
        <v>16.916543209876544</v>
      </c>
      <c r="AM215">
        <f t="shared" si="43"/>
        <v>15.77149623308642</v>
      </c>
      <c r="AP215" s="9"/>
      <c r="AQ215" s="22">
        <v>0.74768100000000004</v>
      </c>
      <c r="AR215" s="22">
        <v>25.781300000000002</v>
      </c>
      <c r="AS215" s="22">
        <v>-1.39893E-2</v>
      </c>
      <c r="AT215" s="22">
        <v>205</v>
      </c>
      <c r="AU215" s="22">
        <v>0.74685699999999999</v>
      </c>
      <c r="AV215">
        <f t="shared" si="44"/>
        <v>17.270740740740738</v>
      </c>
      <c r="AW215">
        <f t="shared" si="45"/>
        <v>12.913004707777777</v>
      </c>
      <c r="AX215" s="9"/>
      <c r="AY215" s="22">
        <v>0.93231200000000003</v>
      </c>
      <c r="AZ215" s="22">
        <v>29.560199999999998</v>
      </c>
      <c r="BA215" s="22">
        <v>-1.3732899999999999E-2</v>
      </c>
      <c r="BB215" s="22">
        <v>205</v>
      </c>
      <c r="BC215" s="22">
        <v>0.931396</v>
      </c>
      <c r="BD215">
        <f t="shared" si="46"/>
        <v>16.954197530864196</v>
      </c>
      <c r="BE215">
        <f t="shared" si="47"/>
        <v>15.80660180839506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0.742645</v>
      </c>
      <c r="H216" s="22">
        <v>7.3189500000000001</v>
      </c>
      <c r="I216" s="22">
        <v>-1.3964799999999999E-2</v>
      </c>
      <c r="J216" s="22">
        <v>206</v>
      </c>
      <c r="K216" s="22">
        <v>0.74179099999999998</v>
      </c>
      <c r="L216">
        <f t="shared" si="36"/>
        <v>17.240493827160492</v>
      </c>
      <c r="M216">
        <f t="shared" si="37"/>
        <v>12.803566538271603</v>
      </c>
      <c r="N216" s="9"/>
      <c r="O216" s="22">
        <v>0.93734700000000004</v>
      </c>
      <c r="P216" s="22">
        <v>11.097899999999999</v>
      </c>
      <c r="Q216" s="22">
        <v>-1.3681E-2</v>
      </c>
      <c r="R216" s="22">
        <v>206</v>
      </c>
      <c r="S216" s="22">
        <v>0.93627899999999997</v>
      </c>
      <c r="T216">
        <f t="shared" si="38"/>
        <v>16.890123456790121</v>
      </c>
      <c r="U216">
        <f t="shared" si="39"/>
        <v>15.831906551851851</v>
      </c>
      <c r="X216" s="9"/>
      <c r="Y216" s="22">
        <v>0.742645</v>
      </c>
      <c r="Z216" s="22">
        <v>16.5701</v>
      </c>
      <c r="AA216" s="22">
        <v>-1.40228E-2</v>
      </c>
      <c r="AB216" s="22">
        <v>206</v>
      </c>
      <c r="AC216" s="22">
        <v>0.74173</v>
      </c>
      <c r="AD216">
        <f t="shared" si="40"/>
        <v>17.312098765432097</v>
      </c>
      <c r="AE216">
        <f t="shared" si="41"/>
        <v>12.85674358765432</v>
      </c>
      <c r="AF216" s="9"/>
      <c r="AG216" s="22">
        <v>0.93734700000000004</v>
      </c>
      <c r="AH216" s="22">
        <v>20.349</v>
      </c>
      <c r="AI216" s="22">
        <v>-1.36963E-2</v>
      </c>
      <c r="AJ216" s="22">
        <v>206</v>
      </c>
      <c r="AK216" s="22">
        <v>0.93689</v>
      </c>
      <c r="AL216">
        <f t="shared" si="42"/>
        <v>16.90901234567901</v>
      </c>
      <c r="AM216">
        <f t="shared" si="43"/>
        <v>15.849611995185183</v>
      </c>
      <c r="AP216" s="9"/>
      <c r="AQ216" s="22">
        <v>0.742645</v>
      </c>
      <c r="AR216" s="22">
        <v>25.791399999999999</v>
      </c>
      <c r="AS216" s="22">
        <v>-1.3998399999999999E-2</v>
      </c>
      <c r="AT216" s="22">
        <v>206</v>
      </c>
      <c r="AU216" s="22">
        <v>0.74188200000000004</v>
      </c>
      <c r="AV216">
        <f t="shared" si="44"/>
        <v>17.281975308641975</v>
      </c>
      <c r="AW216">
        <f t="shared" si="45"/>
        <v>12.834372553086419</v>
      </c>
      <c r="AX216" s="9"/>
      <c r="AY216" s="22">
        <v>0.93734700000000004</v>
      </c>
      <c r="AZ216" s="22">
        <v>29.5703</v>
      </c>
      <c r="BA216" s="22">
        <v>-1.3726800000000001E-2</v>
      </c>
      <c r="BB216" s="22">
        <v>206</v>
      </c>
      <c r="BC216" s="22">
        <v>0.93597399999999997</v>
      </c>
      <c r="BD216">
        <f t="shared" si="46"/>
        <v>16.946666666666665</v>
      </c>
      <c r="BE216">
        <f t="shared" si="47"/>
        <v>15.884907159999999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0.73760999999999999</v>
      </c>
      <c r="H217" s="22">
        <v>7.3290199999999999</v>
      </c>
      <c r="I217" s="22">
        <v>-1.3964799999999999E-2</v>
      </c>
      <c r="J217" s="22">
        <v>207</v>
      </c>
      <c r="K217" s="22">
        <v>0.73684700000000003</v>
      </c>
      <c r="L217">
        <f t="shared" si="36"/>
        <v>17.240493827160492</v>
      </c>
      <c r="M217">
        <f t="shared" si="37"/>
        <v>12.71676065185185</v>
      </c>
      <c r="N217" s="9"/>
      <c r="O217" s="22">
        <v>0.94238299999999997</v>
      </c>
      <c r="P217" s="22">
        <v>11.107900000000001</v>
      </c>
      <c r="Q217" s="22">
        <v>-1.3684099999999999E-2</v>
      </c>
      <c r="R217" s="22">
        <v>207</v>
      </c>
      <c r="S217" s="22">
        <v>0.94085700000000005</v>
      </c>
      <c r="T217">
        <f t="shared" si="38"/>
        <v>16.893950617283949</v>
      </c>
      <c r="U217">
        <f t="shared" si="39"/>
        <v>15.920571864567899</v>
      </c>
      <c r="X217" s="9"/>
      <c r="Y217" s="22">
        <v>0.73760999999999999</v>
      </c>
      <c r="Z217" s="22">
        <v>16.580200000000001</v>
      </c>
      <c r="AA217" s="22">
        <v>-1.40289E-2</v>
      </c>
      <c r="AB217" s="22">
        <v>207</v>
      </c>
      <c r="AC217" s="22">
        <v>0.73672499999999996</v>
      </c>
      <c r="AD217">
        <f t="shared" si="40"/>
        <v>17.319629629629631</v>
      </c>
      <c r="AE217">
        <f t="shared" si="41"/>
        <v>12.775132011111111</v>
      </c>
      <c r="AF217" s="9"/>
      <c r="AG217" s="22">
        <v>0.94238299999999997</v>
      </c>
      <c r="AH217" s="22">
        <v>20.359100000000002</v>
      </c>
      <c r="AI217" s="22">
        <v>-1.36902E-2</v>
      </c>
      <c r="AJ217" s="22">
        <v>207</v>
      </c>
      <c r="AK217" s="22">
        <v>0.94177200000000005</v>
      </c>
      <c r="AL217">
        <f t="shared" si="42"/>
        <v>16.901481481481479</v>
      </c>
      <c r="AM217">
        <f t="shared" si="43"/>
        <v>15.927668822962961</v>
      </c>
      <c r="AP217" s="9"/>
      <c r="AQ217" s="22">
        <v>0.73760999999999999</v>
      </c>
      <c r="AR217" s="22">
        <v>25.801400000000001</v>
      </c>
      <c r="AS217" s="22">
        <v>-1.40076E-2</v>
      </c>
      <c r="AT217" s="22">
        <v>207</v>
      </c>
      <c r="AU217" s="22">
        <v>0.73675500000000005</v>
      </c>
      <c r="AV217">
        <f t="shared" si="44"/>
        <v>17.293333333333333</v>
      </c>
      <c r="AW217">
        <f t="shared" si="45"/>
        <v>12.7557356</v>
      </c>
      <c r="AX217" s="9"/>
      <c r="AY217" s="22">
        <v>0.94238299999999997</v>
      </c>
      <c r="AZ217" s="22">
        <v>29.580300000000001</v>
      </c>
      <c r="BA217" s="22">
        <v>-1.37115E-2</v>
      </c>
      <c r="BB217" s="22">
        <v>207</v>
      </c>
      <c r="BC217" s="22">
        <v>0.94116200000000005</v>
      </c>
      <c r="BD217">
        <f t="shared" si="46"/>
        <v>16.927777777777777</v>
      </c>
      <c r="BE217">
        <f t="shared" si="47"/>
        <v>15.952450005555555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0.73257399999999995</v>
      </c>
      <c r="H218" s="22">
        <v>7.3390899999999997</v>
      </c>
      <c r="I218" s="22">
        <v>-1.3958699999999999E-2</v>
      </c>
      <c r="J218" s="22">
        <v>208</v>
      </c>
      <c r="K218" s="22">
        <v>0.73175000000000001</v>
      </c>
      <c r="L218">
        <f t="shared" si="36"/>
        <v>17.232962962962961</v>
      </c>
      <c r="M218">
        <f t="shared" si="37"/>
        <v>12.624420609629627</v>
      </c>
      <c r="N218" s="9"/>
      <c r="O218" s="22">
        <v>0.94741799999999998</v>
      </c>
      <c r="P218" s="22">
        <v>11.118</v>
      </c>
      <c r="Q218" s="22">
        <v>-1.3684099999999999E-2</v>
      </c>
      <c r="R218" s="22">
        <v>208</v>
      </c>
      <c r="S218" s="22">
        <v>0.94665500000000002</v>
      </c>
      <c r="T218">
        <f t="shared" si="38"/>
        <v>16.893950617283949</v>
      </c>
      <c r="U218">
        <f t="shared" si="39"/>
        <v>16.005632905925925</v>
      </c>
      <c r="X218" s="9"/>
      <c r="Y218" s="22">
        <v>0.73257399999999995</v>
      </c>
      <c r="Z218" s="22">
        <v>16.590299999999999</v>
      </c>
      <c r="AA218" s="22">
        <v>-1.4035000000000001E-2</v>
      </c>
      <c r="AB218" s="22">
        <v>208</v>
      </c>
      <c r="AC218" s="22">
        <v>0.73172000000000004</v>
      </c>
      <c r="AD218">
        <f t="shared" si="40"/>
        <v>17.327160493827162</v>
      </c>
      <c r="AE218">
        <f t="shared" si="41"/>
        <v>12.693427271604937</v>
      </c>
      <c r="AF218" s="9"/>
      <c r="AG218" s="22">
        <v>0.94741799999999998</v>
      </c>
      <c r="AH218" s="22">
        <v>20.369199999999999</v>
      </c>
      <c r="AI218" s="22">
        <v>-1.3687100000000001E-2</v>
      </c>
      <c r="AJ218" s="22">
        <v>208</v>
      </c>
      <c r="AK218" s="22">
        <v>0.94665500000000002</v>
      </c>
      <c r="AL218">
        <f t="shared" si="42"/>
        <v>16.897654320987655</v>
      </c>
      <c r="AM218">
        <f t="shared" si="43"/>
        <v>16.009141861481481</v>
      </c>
      <c r="AP218" s="9"/>
      <c r="AQ218" s="22">
        <v>0.73257399999999995</v>
      </c>
      <c r="AR218" s="22">
        <v>25.811499999999999</v>
      </c>
      <c r="AS218" s="22">
        <v>-1.4019800000000001E-2</v>
      </c>
      <c r="AT218" s="22">
        <v>208</v>
      </c>
      <c r="AU218" s="22">
        <v>0.73178100000000001</v>
      </c>
      <c r="AV218">
        <f t="shared" si="44"/>
        <v>17.308395061728394</v>
      </c>
      <c r="AW218">
        <f t="shared" si="45"/>
        <v>12.679680203950616</v>
      </c>
      <c r="AX218" s="9"/>
      <c r="AY218" s="22">
        <v>0.94741799999999998</v>
      </c>
      <c r="AZ218" s="22">
        <v>29.590399999999999</v>
      </c>
      <c r="BA218" s="22">
        <v>-1.3699299999999999E-2</v>
      </c>
      <c r="BB218" s="22">
        <v>208</v>
      </c>
      <c r="BC218" s="22">
        <v>0.94635000000000002</v>
      </c>
      <c r="BD218">
        <f t="shared" si="46"/>
        <v>16.912716049382716</v>
      </c>
      <c r="BE218">
        <f t="shared" si="47"/>
        <v>16.023411614074075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0.72753900000000005</v>
      </c>
      <c r="H219" s="22">
        <v>7.3491600000000004</v>
      </c>
      <c r="I219" s="22">
        <v>-1.3958699999999999E-2</v>
      </c>
      <c r="J219" s="22">
        <v>209</v>
      </c>
      <c r="K219" s="22">
        <v>0.726746</v>
      </c>
      <c r="L219">
        <f t="shared" si="36"/>
        <v>17.232962962962961</v>
      </c>
      <c r="M219">
        <f t="shared" si="37"/>
        <v>12.53765264111111</v>
      </c>
      <c r="N219" s="9"/>
      <c r="O219" s="22">
        <v>0.95245400000000002</v>
      </c>
      <c r="P219" s="22">
        <v>11.1281</v>
      </c>
      <c r="Q219" s="22">
        <v>-1.3681E-2</v>
      </c>
      <c r="R219" s="22">
        <v>209</v>
      </c>
      <c r="S219" s="22">
        <v>0.95184299999999999</v>
      </c>
      <c r="T219">
        <f t="shared" si="38"/>
        <v>16.890123456790121</v>
      </c>
      <c r="U219">
        <f t="shared" si="39"/>
        <v>16.08706564691358</v>
      </c>
      <c r="X219" s="9"/>
      <c r="Y219" s="22">
        <v>0.72753900000000005</v>
      </c>
      <c r="Z219" s="22">
        <v>16.600300000000001</v>
      </c>
      <c r="AA219" s="22">
        <v>-1.4035000000000001E-2</v>
      </c>
      <c r="AB219" s="22">
        <v>209</v>
      </c>
      <c r="AC219" s="22">
        <v>0.726715</v>
      </c>
      <c r="AD219">
        <f t="shared" si="40"/>
        <v>17.327160493827162</v>
      </c>
      <c r="AE219">
        <f t="shared" si="41"/>
        <v>12.60618501851852</v>
      </c>
      <c r="AF219" s="9"/>
      <c r="AG219" s="22">
        <v>0.95245400000000002</v>
      </c>
      <c r="AH219" s="22">
        <v>20.379300000000001</v>
      </c>
      <c r="AI219" s="22">
        <v>-1.3684099999999999E-2</v>
      </c>
      <c r="AJ219" s="22">
        <v>209</v>
      </c>
      <c r="AK219" s="22">
        <v>0.951233</v>
      </c>
      <c r="AL219">
        <f t="shared" si="42"/>
        <v>16.893950617283949</v>
      </c>
      <c r="AM219">
        <f t="shared" si="43"/>
        <v>16.090710841234568</v>
      </c>
      <c r="AP219" s="9"/>
      <c r="AQ219" s="22">
        <v>0.72753900000000005</v>
      </c>
      <c r="AR219" s="22">
        <v>25.8216</v>
      </c>
      <c r="AS219" s="22">
        <v>-1.4035000000000001E-2</v>
      </c>
      <c r="AT219" s="22">
        <v>209</v>
      </c>
      <c r="AU219" s="22">
        <v>0.72662400000000005</v>
      </c>
      <c r="AV219">
        <f t="shared" si="44"/>
        <v>17.327160493827162</v>
      </c>
      <c r="AW219">
        <f t="shared" si="45"/>
        <v>12.60618501851852</v>
      </c>
      <c r="AX219" s="9"/>
      <c r="AY219" s="22">
        <v>0.95245400000000002</v>
      </c>
      <c r="AZ219" s="22">
        <v>29.6005</v>
      </c>
      <c r="BA219" s="22">
        <v>-1.3687100000000001E-2</v>
      </c>
      <c r="BB219" s="22">
        <v>209</v>
      </c>
      <c r="BC219" s="22">
        <v>0.95153799999999999</v>
      </c>
      <c r="BD219">
        <f t="shared" si="46"/>
        <v>16.897654320987655</v>
      </c>
      <c r="BE219">
        <f t="shared" si="47"/>
        <v>16.094238448641978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0.72250400000000004</v>
      </c>
      <c r="H220" s="22">
        <v>7.3592300000000002</v>
      </c>
      <c r="I220" s="22">
        <v>-1.39618E-2</v>
      </c>
      <c r="J220" s="22">
        <v>210</v>
      </c>
      <c r="K220" s="22">
        <v>0.72167999999999999</v>
      </c>
      <c r="L220">
        <f t="shared" si="36"/>
        <v>17.236790123456789</v>
      </c>
      <c r="M220">
        <f t="shared" si="37"/>
        <v>12.453649811358025</v>
      </c>
      <c r="N220" s="9"/>
      <c r="O220" s="22">
        <v>0.95748900000000003</v>
      </c>
      <c r="P220" s="22">
        <v>11.1381</v>
      </c>
      <c r="Q220" s="22">
        <v>-1.36749E-2</v>
      </c>
      <c r="R220" s="22">
        <v>210</v>
      </c>
      <c r="S220" s="22">
        <v>0.95642099999999997</v>
      </c>
      <c r="T220">
        <f t="shared" si="38"/>
        <v>16.882592592592591</v>
      </c>
      <c r="U220">
        <f t="shared" si="39"/>
        <v>16.164896698888889</v>
      </c>
      <c r="X220" s="9"/>
      <c r="Y220" s="22">
        <v>0.72250400000000004</v>
      </c>
      <c r="Z220" s="22">
        <v>16.610399999999998</v>
      </c>
      <c r="AA220" s="22">
        <v>-1.40381E-2</v>
      </c>
      <c r="AB220" s="22">
        <v>210</v>
      </c>
      <c r="AC220" s="22">
        <v>0.72174099999999997</v>
      </c>
      <c r="AD220">
        <f t="shared" si="40"/>
        <v>17.330987654320985</v>
      </c>
      <c r="AE220">
        <f t="shared" si="41"/>
        <v>12.52170790419753</v>
      </c>
      <c r="AF220" s="9"/>
      <c r="AG220" s="22">
        <v>0.95748900000000003</v>
      </c>
      <c r="AH220" s="22">
        <v>20.389299999999999</v>
      </c>
      <c r="AI220" s="22">
        <v>-1.3681E-2</v>
      </c>
      <c r="AJ220" s="22">
        <v>210</v>
      </c>
      <c r="AK220" s="22">
        <v>0.95611599999999997</v>
      </c>
      <c r="AL220">
        <f t="shared" si="42"/>
        <v>16.890123456790121</v>
      </c>
      <c r="AM220">
        <f t="shared" si="43"/>
        <v>16.172107418518518</v>
      </c>
      <c r="AP220" s="9"/>
      <c r="AQ220" s="22">
        <v>0.72250400000000004</v>
      </c>
      <c r="AR220" s="22">
        <v>25.831600000000002</v>
      </c>
      <c r="AS220" s="22">
        <v>-1.40381E-2</v>
      </c>
      <c r="AT220" s="22">
        <v>210</v>
      </c>
      <c r="AU220" s="22">
        <v>0.72158800000000001</v>
      </c>
      <c r="AV220">
        <f t="shared" si="44"/>
        <v>17.330987654320985</v>
      </c>
      <c r="AW220">
        <f t="shared" si="45"/>
        <v>12.52170790419753</v>
      </c>
      <c r="AX220" s="9"/>
      <c r="AY220" s="22">
        <v>0.95748900000000003</v>
      </c>
      <c r="AZ220" s="22">
        <v>29.610600000000002</v>
      </c>
      <c r="BA220" s="22">
        <v>-1.3684099999999999E-2</v>
      </c>
      <c r="BB220" s="22">
        <v>210</v>
      </c>
      <c r="BC220" s="22">
        <v>0.95672599999999997</v>
      </c>
      <c r="BD220">
        <f t="shared" si="46"/>
        <v>16.893950617283949</v>
      </c>
      <c r="BE220">
        <f t="shared" si="47"/>
        <v>16.175771882592592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0.71746799999999999</v>
      </c>
      <c r="H221" s="22">
        <v>7.3693099999999996</v>
      </c>
      <c r="I221" s="22">
        <v>-1.3974E-2</v>
      </c>
      <c r="J221" s="22">
        <v>211</v>
      </c>
      <c r="K221" s="22">
        <v>0.71667499999999995</v>
      </c>
      <c r="L221">
        <f t="shared" si="36"/>
        <v>17.251851851851853</v>
      </c>
      <c r="M221">
        <f t="shared" si="37"/>
        <v>12.377651644444445</v>
      </c>
      <c r="N221" s="9"/>
      <c r="O221" s="22">
        <v>0.96252400000000005</v>
      </c>
      <c r="P221" s="22">
        <v>11.148199999999999</v>
      </c>
      <c r="Q221" s="22">
        <v>-1.3665800000000001E-2</v>
      </c>
      <c r="R221" s="22">
        <v>211</v>
      </c>
      <c r="S221" s="22">
        <v>0.96160900000000005</v>
      </c>
      <c r="T221">
        <f t="shared" si="38"/>
        <v>16.871358024691357</v>
      </c>
      <c r="U221">
        <f t="shared" si="39"/>
        <v>16.239087011358023</v>
      </c>
      <c r="X221" s="9"/>
      <c r="Y221" s="22">
        <v>0.71746799999999999</v>
      </c>
      <c r="Z221" s="22">
        <v>16.6205</v>
      </c>
      <c r="AA221" s="22">
        <v>-1.40442E-2</v>
      </c>
      <c r="AB221" s="22">
        <v>211</v>
      </c>
      <c r="AC221" s="22">
        <v>0.71676600000000001</v>
      </c>
      <c r="AD221">
        <f t="shared" si="40"/>
        <v>17.338518518518516</v>
      </c>
      <c r="AE221">
        <f t="shared" si="41"/>
        <v>12.439832204444443</v>
      </c>
      <c r="AF221" s="9"/>
      <c r="AG221" s="22">
        <v>0.96252400000000005</v>
      </c>
      <c r="AH221" s="22">
        <v>20.3994</v>
      </c>
      <c r="AI221" s="22">
        <v>-1.3677999999999999E-2</v>
      </c>
      <c r="AJ221" s="22">
        <v>211</v>
      </c>
      <c r="AK221" s="22">
        <v>0.96099900000000005</v>
      </c>
      <c r="AL221">
        <f t="shared" si="42"/>
        <v>16.886419753086418</v>
      </c>
      <c r="AM221">
        <f t="shared" si="43"/>
        <v>16.253584286419752</v>
      </c>
      <c r="AP221" s="9"/>
      <c r="AQ221" s="22">
        <v>0.71746799999999999</v>
      </c>
      <c r="AR221" s="22">
        <v>25.841699999999999</v>
      </c>
      <c r="AS221" s="22">
        <v>-1.40442E-2</v>
      </c>
      <c r="AT221" s="22">
        <v>211</v>
      </c>
      <c r="AU221" s="22">
        <v>0.71664399999999995</v>
      </c>
      <c r="AV221">
        <f t="shared" si="44"/>
        <v>17.338518518518516</v>
      </c>
      <c r="AW221">
        <f t="shared" si="45"/>
        <v>12.439832204444443</v>
      </c>
      <c r="AX221" s="9"/>
      <c r="AY221" s="22">
        <v>0.96252400000000005</v>
      </c>
      <c r="AZ221" s="22">
        <v>29.6206</v>
      </c>
      <c r="BA221" s="22">
        <v>-1.36749E-2</v>
      </c>
      <c r="BB221" s="22">
        <v>211</v>
      </c>
      <c r="BC221" s="22">
        <v>0.96099900000000005</v>
      </c>
      <c r="BD221">
        <f t="shared" si="46"/>
        <v>16.882592592592591</v>
      </c>
      <c r="BE221">
        <f t="shared" si="47"/>
        <v>16.249900552592592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0.71243299999999998</v>
      </c>
      <c r="H222" s="22">
        <v>7.3793800000000003</v>
      </c>
      <c r="I222" s="22">
        <v>-1.3986200000000001E-2</v>
      </c>
      <c r="J222" s="22">
        <v>212</v>
      </c>
      <c r="K222" s="22">
        <v>0.71157800000000004</v>
      </c>
      <c r="L222">
        <f t="shared" si="36"/>
        <v>17.266913580246914</v>
      </c>
      <c r="M222">
        <f t="shared" si="37"/>
        <v>12.30151904271605</v>
      </c>
      <c r="N222" s="9"/>
      <c r="O222" s="22">
        <v>0.96755999999999998</v>
      </c>
      <c r="P222" s="22">
        <v>11.158300000000001</v>
      </c>
      <c r="Q222" s="22">
        <v>-1.36597E-2</v>
      </c>
      <c r="R222" s="22">
        <v>212</v>
      </c>
      <c r="S222" s="22">
        <v>0.96649200000000002</v>
      </c>
      <c r="T222">
        <f t="shared" si="38"/>
        <v>16.863827160493827</v>
      </c>
      <c r="U222">
        <f t="shared" si="39"/>
        <v>16.316764607407407</v>
      </c>
      <c r="X222" s="9"/>
      <c r="Y222" s="22">
        <v>0.71243299999999998</v>
      </c>
      <c r="Z222" s="22">
        <v>16.630600000000001</v>
      </c>
      <c r="AA222" s="22">
        <v>-1.4041100000000001E-2</v>
      </c>
      <c r="AB222" s="22">
        <v>212</v>
      </c>
      <c r="AC222" s="22">
        <v>0.71160900000000005</v>
      </c>
      <c r="AD222">
        <f t="shared" si="40"/>
        <v>17.334691358024692</v>
      </c>
      <c r="AE222">
        <f t="shared" si="41"/>
        <v>12.349806168271606</v>
      </c>
      <c r="AF222" s="9"/>
      <c r="AG222" s="22">
        <v>0.96755999999999998</v>
      </c>
      <c r="AH222" s="22">
        <v>20.409500000000001</v>
      </c>
      <c r="AI222" s="22">
        <v>-1.3677999999999999E-2</v>
      </c>
      <c r="AJ222" s="22">
        <v>212</v>
      </c>
      <c r="AK222" s="22">
        <v>0.96618700000000002</v>
      </c>
      <c r="AL222">
        <f t="shared" si="42"/>
        <v>16.886419753086418</v>
      </c>
      <c r="AM222">
        <f t="shared" si="43"/>
        <v>16.338624296296295</v>
      </c>
      <c r="AP222" s="9"/>
      <c r="AQ222" s="22">
        <v>0.71243299999999998</v>
      </c>
      <c r="AR222" s="22">
        <v>25.851800000000001</v>
      </c>
      <c r="AS222" s="22">
        <v>-1.40442E-2</v>
      </c>
      <c r="AT222" s="22">
        <v>212</v>
      </c>
      <c r="AU222" s="22">
        <v>0.71160900000000005</v>
      </c>
      <c r="AV222">
        <f t="shared" si="44"/>
        <v>17.338518518518516</v>
      </c>
      <c r="AW222">
        <f t="shared" si="45"/>
        <v>12.352532763703701</v>
      </c>
      <c r="AX222" s="9"/>
      <c r="AY222" s="22">
        <v>0.96755999999999998</v>
      </c>
      <c r="AZ222" s="22">
        <v>29.630700000000001</v>
      </c>
      <c r="BA222" s="22">
        <v>-1.3671900000000001E-2</v>
      </c>
      <c r="BB222" s="22">
        <v>212</v>
      </c>
      <c r="BC222" s="22">
        <v>0.96649200000000002</v>
      </c>
      <c r="BD222">
        <f t="shared" si="46"/>
        <v>16.878888888888888</v>
      </c>
      <c r="BE222">
        <f t="shared" si="47"/>
        <v>16.331337733333331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0.70739700000000005</v>
      </c>
      <c r="H223" s="22">
        <v>7.3894500000000001</v>
      </c>
      <c r="I223" s="22">
        <v>-1.39954E-2</v>
      </c>
      <c r="J223" s="22">
        <v>213</v>
      </c>
      <c r="K223" s="22">
        <v>0.70660400000000001</v>
      </c>
      <c r="L223">
        <f t="shared" si="36"/>
        <v>17.278271604938272</v>
      </c>
      <c r="M223">
        <f t="shared" si="37"/>
        <v>12.222597498518519</v>
      </c>
      <c r="N223" s="9"/>
      <c r="O223" s="22">
        <v>0.97259499999999999</v>
      </c>
      <c r="P223" s="22">
        <v>11.1684</v>
      </c>
      <c r="Q223" s="22">
        <v>-1.3650499999999999E-2</v>
      </c>
      <c r="R223" s="22">
        <v>213</v>
      </c>
      <c r="S223" s="22">
        <v>0.97167999999999999</v>
      </c>
      <c r="T223">
        <f t="shared" si="38"/>
        <v>16.852469135802469</v>
      </c>
      <c r="U223">
        <f t="shared" si="39"/>
        <v>16.390627219135801</v>
      </c>
      <c r="X223" s="9"/>
      <c r="Y223" s="22">
        <v>0.70739700000000005</v>
      </c>
      <c r="Z223" s="22">
        <v>16.640599999999999</v>
      </c>
      <c r="AA223" s="22">
        <v>-1.40503E-2</v>
      </c>
      <c r="AB223" s="22">
        <v>213</v>
      </c>
      <c r="AC223" s="22">
        <v>0.70654300000000003</v>
      </c>
      <c r="AD223">
        <f t="shared" si="40"/>
        <v>17.34604938271605</v>
      </c>
      <c r="AE223">
        <f t="shared" si="41"/>
        <v>12.270543295185186</v>
      </c>
      <c r="AF223" s="9"/>
      <c r="AG223" s="22">
        <v>0.97259499999999999</v>
      </c>
      <c r="AH223" s="22">
        <v>20.419499999999999</v>
      </c>
      <c r="AI223" s="22">
        <v>-1.3671900000000001E-2</v>
      </c>
      <c r="AJ223" s="22">
        <v>213</v>
      </c>
      <c r="AK223" s="22">
        <v>0.97167999999999999</v>
      </c>
      <c r="AL223">
        <f t="shared" si="42"/>
        <v>16.878888888888888</v>
      </c>
      <c r="AM223">
        <f t="shared" si="43"/>
        <v>16.416322938888886</v>
      </c>
      <c r="AP223" s="9"/>
      <c r="AQ223" s="22">
        <v>0.70739700000000005</v>
      </c>
      <c r="AR223" s="22">
        <v>25.861899999999999</v>
      </c>
      <c r="AS223" s="22">
        <v>-1.40442E-2</v>
      </c>
      <c r="AT223" s="22">
        <v>213</v>
      </c>
      <c r="AU223" s="22">
        <v>0.70657300000000001</v>
      </c>
      <c r="AV223">
        <f t="shared" si="44"/>
        <v>17.338518518518516</v>
      </c>
      <c r="AW223">
        <f t="shared" si="45"/>
        <v>12.265215984444444</v>
      </c>
      <c r="AX223" s="9"/>
      <c r="AY223" s="22">
        <v>0.97259499999999999</v>
      </c>
      <c r="AZ223" s="22">
        <v>29.640799999999999</v>
      </c>
      <c r="BA223" s="22">
        <v>-1.36627E-2</v>
      </c>
      <c r="BB223" s="22">
        <v>213</v>
      </c>
      <c r="BC223" s="22">
        <v>0.97137499999999999</v>
      </c>
      <c r="BD223">
        <f t="shared" si="46"/>
        <v>16.86753086419753</v>
      </c>
      <c r="BE223">
        <f t="shared" si="47"/>
        <v>16.405276180864195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0.70236200000000004</v>
      </c>
      <c r="H224" s="22">
        <v>7.3995199999999999</v>
      </c>
      <c r="I224" s="22">
        <v>-1.40015E-2</v>
      </c>
      <c r="J224" s="22">
        <v>214</v>
      </c>
      <c r="K224" s="22">
        <v>0.70153799999999999</v>
      </c>
      <c r="L224">
        <f t="shared" si="36"/>
        <v>17.285802469135803</v>
      </c>
      <c r="M224">
        <f t="shared" si="37"/>
        <v>12.140890793827161</v>
      </c>
      <c r="N224" s="9"/>
      <c r="O224" s="22">
        <v>0.97763100000000003</v>
      </c>
      <c r="P224" s="22">
        <v>11.1784</v>
      </c>
      <c r="Q224" s="22">
        <v>-1.3644399999999999E-2</v>
      </c>
      <c r="R224" s="22">
        <v>214</v>
      </c>
      <c r="S224" s="22">
        <v>0.97625700000000004</v>
      </c>
      <c r="T224">
        <f t="shared" si="38"/>
        <v>16.844938271604939</v>
      </c>
      <c r="U224">
        <f t="shared" si="39"/>
        <v>16.468133847407408</v>
      </c>
      <c r="X224" s="9"/>
      <c r="Y224" s="22">
        <v>0.70236200000000004</v>
      </c>
      <c r="Z224" s="22">
        <v>16.650700000000001</v>
      </c>
      <c r="AA224" s="22">
        <v>-1.40594E-2</v>
      </c>
      <c r="AB224" s="22">
        <v>214</v>
      </c>
      <c r="AC224" s="22">
        <v>0.701569</v>
      </c>
      <c r="AD224">
        <f t="shared" si="40"/>
        <v>17.357283950617283</v>
      </c>
      <c r="AE224">
        <f t="shared" si="41"/>
        <v>12.191096670123457</v>
      </c>
      <c r="AF224" s="9"/>
      <c r="AG224" s="22">
        <v>0.97763100000000003</v>
      </c>
      <c r="AH224" s="22">
        <v>20.429600000000001</v>
      </c>
      <c r="AI224" s="22">
        <v>-1.3665800000000001E-2</v>
      </c>
      <c r="AJ224" s="22">
        <v>214</v>
      </c>
      <c r="AK224" s="22">
        <v>0.97595200000000004</v>
      </c>
      <c r="AL224">
        <f t="shared" si="42"/>
        <v>16.871358024691357</v>
      </c>
      <c r="AM224">
        <f t="shared" si="43"/>
        <v>16.493962617037038</v>
      </c>
      <c r="AP224" s="9"/>
      <c r="AQ224" s="22">
        <v>0.70236200000000004</v>
      </c>
      <c r="AR224" s="22">
        <v>25.8719</v>
      </c>
      <c r="AS224" s="22">
        <v>-1.4041100000000001E-2</v>
      </c>
      <c r="AT224" s="22">
        <v>214</v>
      </c>
      <c r="AU224" s="22">
        <v>0.70144700000000004</v>
      </c>
      <c r="AV224">
        <f t="shared" si="44"/>
        <v>17.334691358024692</v>
      </c>
      <c r="AW224">
        <f t="shared" si="45"/>
        <v>12.175228491604939</v>
      </c>
      <c r="AX224" s="9"/>
      <c r="AY224" s="22">
        <v>0.97763100000000003</v>
      </c>
      <c r="AZ224" s="22">
        <v>29.6508</v>
      </c>
      <c r="BA224" s="22">
        <v>-1.3650499999999999E-2</v>
      </c>
      <c r="BB224" s="22">
        <v>214</v>
      </c>
      <c r="BC224" s="22">
        <v>0.97656299999999996</v>
      </c>
      <c r="BD224">
        <f t="shared" si="46"/>
        <v>16.852469135802469</v>
      </c>
      <c r="BE224">
        <f t="shared" si="47"/>
        <v>16.475496253703703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0.69732700000000003</v>
      </c>
      <c r="H225" s="22">
        <v>7.4095899999999997</v>
      </c>
      <c r="I225" s="22">
        <v>-1.40015E-2</v>
      </c>
      <c r="J225" s="22">
        <v>215</v>
      </c>
      <c r="K225" s="22">
        <v>0.69647199999999998</v>
      </c>
      <c r="L225">
        <f t="shared" si="36"/>
        <v>17.285802469135803</v>
      </c>
      <c r="M225">
        <f t="shared" si="37"/>
        <v>12.053856778395062</v>
      </c>
      <c r="N225" s="9"/>
      <c r="O225" s="22">
        <v>0.98266600000000004</v>
      </c>
      <c r="P225" s="22">
        <v>11.188499999999999</v>
      </c>
      <c r="Q225" s="22">
        <v>-1.36414E-2</v>
      </c>
      <c r="R225" s="22">
        <v>215</v>
      </c>
      <c r="S225" s="22">
        <v>0.98175000000000001</v>
      </c>
      <c r="T225">
        <f t="shared" si="38"/>
        <v>16.841234567901232</v>
      </c>
      <c r="U225">
        <f t="shared" si="39"/>
        <v>16.549308607901231</v>
      </c>
      <c r="X225" s="9"/>
      <c r="Y225" s="22">
        <v>0.69732700000000003</v>
      </c>
      <c r="Z225" s="22">
        <v>16.660799999999998</v>
      </c>
      <c r="AA225" s="22">
        <v>-1.40778E-2</v>
      </c>
      <c r="AB225" s="22">
        <v>215</v>
      </c>
      <c r="AC225" s="22">
        <v>0.69647199999999998</v>
      </c>
      <c r="AD225">
        <f t="shared" si="40"/>
        <v>17.38</v>
      </c>
      <c r="AE225">
        <f t="shared" si="41"/>
        <v>12.11954326</v>
      </c>
      <c r="AF225" s="9"/>
      <c r="AG225" s="22">
        <v>0.98266600000000004</v>
      </c>
      <c r="AH225" s="22">
        <v>20.439699999999998</v>
      </c>
      <c r="AI225" s="22">
        <v>-1.36627E-2</v>
      </c>
      <c r="AJ225" s="22">
        <v>215</v>
      </c>
      <c r="AK225" s="22">
        <v>0.98175000000000001</v>
      </c>
      <c r="AL225">
        <f t="shared" si="42"/>
        <v>16.86753086419753</v>
      </c>
      <c r="AM225">
        <f t="shared" si="43"/>
        <v>16.57514908419753</v>
      </c>
      <c r="AP225" s="9"/>
      <c r="AQ225" s="22">
        <v>0.69732700000000003</v>
      </c>
      <c r="AR225" s="22">
        <v>25.882000000000001</v>
      </c>
      <c r="AS225" s="22">
        <v>-1.4041100000000001E-2</v>
      </c>
      <c r="AT225" s="22">
        <v>215</v>
      </c>
      <c r="AU225" s="22">
        <v>0.69644200000000001</v>
      </c>
      <c r="AV225">
        <f t="shared" si="44"/>
        <v>17.334691358024692</v>
      </c>
      <c r="AW225">
        <f t="shared" si="45"/>
        <v>12.087948320617285</v>
      </c>
      <c r="AX225" s="9"/>
      <c r="AY225" s="22">
        <v>0.98266600000000004</v>
      </c>
      <c r="AZ225" s="22">
        <v>29.660900000000002</v>
      </c>
      <c r="BA225" s="22">
        <v>-1.3650499999999999E-2</v>
      </c>
      <c r="BB225" s="22">
        <v>215</v>
      </c>
      <c r="BC225" s="22">
        <v>0.98205600000000004</v>
      </c>
      <c r="BD225">
        <f t="shared" si="46"/>
        <v>16.852469135802469</v>
      </c>
      <c r="BE225">
        <f t="shared" si="47"/>
        <v>16.560348435802471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0.69229099999999999</v>
      </c>
      <c r="H226" s="22">
        <v>7.4196600000000004</v>
      </c>
      <c r="I226" s="22">
        <v>-1.40076E-2</v>
      </c>
      <c r="J226" s="22">
        <v>216</v>
      </c>
      <c r="K226" s="22">
        <v>0.69149799999999995</v>
      </c>
      <c r="L226">
        <f t="shared" si="36"/>
        <v>17.293333333333333</v>
      </c>
      <c r="M226">
        <f t="shared" si="37"/>
        <v>11.972019026666667</v>
      </c>
      <c r="N226" s="9"/>
      <c r="O226" s="22">
        <v>0.98770100000000005</v>
      </c>
      <c r="P226" s="22">
        <v>11.198600000000001</v>
      </c>
      <c r="Q226" s="22">
        <v>-1.3632200000000001E-2</v>
      </c>
      <c r="R226" s="22">
        <v>216</v>
      </c>
      <c r="S226" s="22">
        <v>0.98663299999999998</v>
      </c>
      <c r="T226">
        <f t="shared" si="38"/>
        <v>16.829876543209878</v>
      </c>
      <c r="U226">
        <f t="shared" si="39"/>
        <v>16.622885891604941</v>
      </c>
      <c r="X226" s="9"/>
      <c r="Y226" s="22">
        <v>0.69229099999999999</v>
      </c>
      <c r="Z226" s="22">
        <v>16.6708</v>
      </c>
      <c r="AA226" s="22">
        <v>-1.40839E-2</v>
      </c>
      <c r="AB226" s="22">
        <v>216</v>
      </c>
      <c r="AC226" s="22">
        <v>0.69155900000000003</v>
      </c>
      <c r="AD226">
        <f t="shared" si="40"/>
        <v>17.387530864197529</v>
      </c>
      <c r="AE226">
        <f t="shared" si="41"/>
        <v>12.037231129506171</v>
      </c>
      <c r="AF226" s="9"/>
      <c r="AG226" s="22">
        <v>0.98770100000000005</v>
      </c>
      <c r="AH226" s="22">
        <v>20.4497</v>
      </c>
      <c r="AI226" s="22">
        <v>-1.36627E-2</v>
      </c>
      <c r="AJ226" s="22">
        <v>216</v>
      </c>
      <c r="AK226" s="22">
        <v>0.98663299999999998</v>
      </c>
      <c r="AL226">
        <f t="shared" si="42"/>
        <v>16.86753086419753</v>
      </c>
      <c r="AM226">
        <f t="shared" si="43"/>
        <v>16.660077102098764</v>
      </c>
      <c r="AP226" s="9"/>
      <c r="AQ226" s="22">
        <v>0.69229099999999999</v>
      </c>
      <c r="AR226" s="22">
        <v>25.892099999999999</v>
      </c>
      <c r="AS226" s="22">
        <v>-1.4035000000000001E-2</v>
      </c>
      <c r="AT226" s="22">
        <v>216</v>
      </c>
      <c r="AU226" s="22">
        <v>0.69155900000000003</v>
      </c>
      <c r="AV226">
        <f t="shared" si="44"/>
        <v>17.327160493827162</v>
      </c>
      <c r="AW226">
        <f t="shared" si="45"/>
        <v>11.995437265432098</v>
      </c>
      <c r="AX226" s="9"/>
      <c r="AY226" s="22">
        <v>0.98770100000000005</v>
      </c>
      <c r="AZ226" s="22">
        <v>29.670999999999999</v>
      </c>
      <c r="BA226" s="22">
        <v>-1.36414E-2</v>
      </c>
      <c r="BB226" s="22">
        <v>216</v>
      </c>
      <c r="BC226" s="22">
        <v>0.98663299999999998</v>
      </c>
      <c r="BD226">
        <f t="shared" si="46"/>
        <v>16.841234567901232</v>
      </c>
      <c r="BE226">
        <f t="shared" si="47"/>
        <v>16.634104223950615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0.68725599999999998</v>
      </c>
      <c r="H227" s="22">
        <v>7.4297300000000002</v>
      </c>
      <c r="I227" s="22">
        <v>-1.40076E-2</v>
      </c>
      <c r="J227" s="22">
        <v>217</v>
      </c>
      <c r="K227" s="22">
        <v>0.68652299999999999</v>
      </c>
      <c r="L227">
        <f t="shared" si="36"/>
        <v>17.293333333333333</v>
      </c>
      <c r="M227">
        <f t="shared" si="37"/>
        <v>11.884947093333333</v>
      </c>
      <c r="N227" s="9"/>
      <c r="O227" s="22">
        <v>0.99273699999999998</v>
      </c>
      <c r="P227" s="22">
        <v>11.208600000000001</v>
      </c>
      <c r="Q227" s="22">
        <v>-1.36261E-2</v>
      </c>
      <c r="R227" s="22">
        <v>217</v>
      </c>
      <c r="S227" s="22">
        <v>0.99121099999999995</v>
      </c>
      <c r="T227">
        <f t="shared" si="38"/>
        <v>16.822345679012344</v>
      </c>
      <c r="U227">
        <f t="shared" si="39"/>
        <v>16.700164982345676</v>
      </c>
      <c r="X227" s="9"/>
      <c r="Y227" s="22">
        <v>0.68725599999999998</v>
      </c>
      <c r="Z227" s="22">
        <v>16.680900000000001</v>
      </c>
      <c r="AA227" s="22">
        <v>-1.40839E-2</v>
      </c>
      <c r="AB227" s="22">
        <v>217</v>
      </c>
      <c r="AC227" s="22">
        <v>0.68646200000000002</v>
      </c>
      <c r="AD227">
        <f t="shared" si="40"/>
        <v>17.387530864197529</v>
      </c>
      <c r="AE227">
        <f t="shared" si="41"/>
        <v>11.949684911604937</v>
      </c>
      <c r="AF227" s="9"/>
      <c r="AG227" s="22">
        <v>0.99273699999999998</v>
      </c>
      <c r="AH227" s="22">
        <v>20.459800000000001</v>
      </c>
      <c r="AI227" s="22">
        <v>-1.36536E-2</v>
      </c>
      <c r="AJ227" s="22">
        <v>217</v>
      </c>
      <c r="AK227" s="22">
        <v>0.99182099999999995</v>
      </c>
      <c r="AL227">
        <f t="shared" si="42"/>
        <v>16.856296296296296</v>
      </c>
      <c r="AM227">
        <f t="shared" si="43"/>
        <v>16.733869016296296</v>
      </c>
      <c r="AP227" s="9"/>
      <c r="AQ227" s="22">
        <v>0.68725599999999998</v>
      </c>
      <c r="AR227" s="22">
        <v>25.902100000000001</v>
      </c>
      <c r="AS227" s="22">
        <v>-1.40228E-2</v>
      </c>
      <c r="AT227" s="22">
        <v>217</v>
      </c>
      <c r="AU227" s="22">
        <v>0.68640100000000004</v>
      </c>
      <c r="AV227">
        <f t="shared" si="44"/>
        <v>17.312098765432097</v>
      </c>
      <c r="AW227">
        <f t="shared" si="45"/>
        <v>11.8978437491358</v>
      </c>
      <c r="AX227" s="9"/>
      <c r="AY227" s="22">
        <v>0.99273699999999998</v>
      </c>
      <c r="AZ227" s="22">
        <v>29.681000000000001</v>
      </c>
      <c r="BA227" s="22">
        <v>-1.36353E-2</v>
      </c>
      <c r="BB227" s="22">
        <v>217</v>
      </c>
      <c r="BC227" s="22">
        <v>0.99182099999999995</v>
      </c>
      <c r="BD227">
        <f t="shared" si="46"/>
        <v>16.833703703703701</v>
      </c>
      <c r="BE227">
        <f t="shared" si="47"/>
        <v>16.7114405137037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0.68222000000000005</v>
      </c>
      <c r="H228" s="22">
        <v>7.4398</v>
      </c>
      <c r="I228" s="22">
        <v>-1.4019800000000001E-2</v>
      </c>
      <c r="J228" s="22">
        <v>218</v>
      </c>
      <c r="K228" s="22">
        <v>0.68151899999999999</v>
      </c>
      <c r="L228">
        <f t="shared" si="36"/>
        <v>17.308395061728394</v>
      </c>
      <c r="M228">
        <f t="shared" si="37"/>
        <v>11.808133279012345</v>
      </c>
      <c r="N228" s="9"/>
      <c r="O228" s="22">
        <v>0.99777199999999999</v>
      </c>
      <c r="P228" s="22">
        <v>11.2187</v>
      </c>
      <c r="Q228" s="22">
        <v>-1.362E-2</v>
      </c>
      <c r="R228" s="22">
        <v>218</v>
      </c>
      <c r="S228" s="22">
        <v>0.99670400000000003</v>
      </c>
      <c r="T228">
        <f t="shared" si="38"/>
        <v>16.814814814814813</v>
      </c>
      <c r="U228">
        <f t="shared" si="39"/>
        <v>16.777351407407405</v>
      </c>
      <c r="X228" s="9"/>
      <c r="Y228" s="22">
        <v>0.68222000000000005</v>
      </c>
      <c r="Z228" s="22">
        <v>16.690999999999999</v>
      </c>
      <c r="AA228" s="22">
        <v>-1.4093E-2</v>
      </c>
      <c r="AB228" s="22">
        <v>218</v>
      </c>
      <c r="AC228" s="22">
        <v>0.68145800000000001</v>
      </c>
      <c r="AD228">
        <f t="shared" si="40"/>
        <v>17.398765432098763</v>
      </c>
      <c r="AE228">
        <f t="shared" si="41"/>
        <v>11.869785753086418</v>
      </c>
      <c r="AF228" s="9"/>
      <c r="AG228" s="22">
        <v>0.99777199999999999</v>
      </c>
      <c r="AH228" s="22">
        <v>20.469899999999999</v>
      </c>
      <c r="AI228" s="22">
        <v>-1.3650499999999999E-2</v>
      </c>
      <c r="AJ228" s="22">
        <v>218</v>
      </c>
      <c r="AK228" s="22">
        <v>0.99700900000000003</v>
      </c>
      <c r="AL228">
        <f t="shared" si="42"/>
        <v>16.852469135802469</v>
      </c>
      <c r="AM228">
        <f t="shared" si="43"/>
        <v>16.814921834567901</v>
      </c>
      <c r="AP228" s="9"/>
      <c r="AQ228" s="22">
        <v>0.68222000000000005</v>
      </c>
      <c r="AR228" s="22">
        <v>25.912199999999999</v>
      </c>
      <c r="AS228" s="22">
        <v>-1.4019800000000001E-2</v>
      </c>
      <c r="AT228" s="22">
        <v>218</v>
      </c>
      <c r="AU228" s="22">
        <v>0.681427</v>
      </c>
      <c r="AV228">
        <f t="shared" si="44"/>
        <v>17.308395061728394</v>
      </c>
      <c r="AW228">
        <f t="shared" si="45"/>
        <v>11.808133279012345</v>
      </c>
      <c r="AX228" s="9"/>
      <c r="AY228" s="22">
        <v>0.99777199999999999</v>
      </c>
      <c r="AZ228" s="22">
        <v>29.691099999999999</v>
      </c>
      <c r="BA228" s="22">
        <v>-1.3638300000000001E-2</v>
      </c>
      <c r="BB228" s="22">
        <v>218</v>
      </c>
      <c r="BC228" s="22">
        <v>0.99670400000000003</v>
      </c>
      <c r="BD228">
        <f t="shared" si="46"/>
        <v>16.837407407407408</v>
      </c>
      <c r="BE228">
        <f t="shared" si="47"/>
        <v>16.799893663703703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0.67718500000000004</v>
      </c>
      <c r="H229" s="22">
        <v>7.4498699999999998</v>
      </c>
      <c r="I229" s="22">
        <v>-1.40228E-2</v>
      </c>
      <c r="J229" s="22">
        <v>219</v>
      </c>
      <c r="K229" s="22">
        <v>0.67642199999999997</v>
      </c>
      <c r="L229">
        <f t="shared" si="36"/>
        <v>17.312098765432097</v>
      </c>
      <c r="M229">
        <f t="shared" si="37"/>
        <v>11.723493602469135</v>
      </c>
      <c r="N229" s="9"/>
      <c r="O229" s="22">
        <v>1.00281</v>
      </c>
      <c r="P229" s="22">
        <v>11.2288</v>
      </c>
      <c r="Q229" s="22">
        <v>-1.3616899999999999E-2</v>
      </c>
      <c r="R229" s="22">
        <v>219</v>
      </c>
      <c r="S229" s="22">
        <v>1.00159</v>
      </c>
      <c r="T229">
        <f t="shared" si="38"/>
        <v>16.810987654320986</v>
      </c>
      <c r="U229">
        <f t="shared" si="39"/>
        <v>16.858226529629626</v>
      </c>
      <c r="X229" s="9"/>
      <c r="Y229" s="22">
        <v>0.67718500000000004</v>
      </c>
      <c r="Z229" s="22">
        <v>16.7011</v>
      </c>
      <c r="AA229" s="22">
        <v>-1.409E-2</v>
      </c>
      <c r="AB229" s="22">
        <v>219</v>
      </c>
      <c r="AC229" s="22">
        <v>0.67636099999999999</v>
      </c>
      <c r="AD229">
        <f t="shared" si="40"/>
        <v>17.39506172839506</v>
      </c>
      <c r="AE229">
        <f t="shared" si="41"/>
        <v>11.77967487654321</v>
      </c>
      <c r="AF229" s="9"/>
      <c r="AG229" s="22">
        <v>1.00281</v>
      </c>
      <c r="AH229" s="22">
        <v>20.48</v>
      </c>
      <c r="AI229" s="22">
        <v>-1.36475E-2</v>
      </c>
      <c r="AJ229" s="22">
        <v>219</v>
      </c>
      <c r="AK229" s="22">
        <v>1.0018899999999999</v>
      </c>
      <c r="AL229">
        <f t="shared" si="42"/>
        <v>16.848765432098766</v>
      </c>
      <c r="AM229">
        <f t="shared" si="43"/>
        <v>16.896110462962962</v>
      </c>
      <c r="AP229" s="9"/>
      <c r="AQ229" s="22">
        <v>0.67718500000000004</v>
      </c>
      <c r="AR229" s="22">
        <v>25.9223</v>
      </c>
      <c r="AS229" s="22">
        <v>-1.40289E-2</v>
      </c>
      <c r="AT229" s="22">
        <v>219</v>
      </c>
      <c r="AU229" s="22">
        <v>0.67648299999999995</v>
      </c>
      <c r="AV229">
        <f t="shared" si="44"/>
        <v>17.319629629629631</v>
      </c>
      <c r="AW229">
        <f t="shared" si="45"/>
        <v>11.728593390740743</v>
      </c>
      <c r="AX229" s="9"/>
      <c r="AY229" s="22">
        <v>1.00281</v>
      </c>
      <c r="AZ229" s="22">
        <v>29.7012</v>
      </c>
      <c r="BA229" s="22">
        <v>-1.3638300000000001E-2</v>
      </c>
      <c r="BB229" s="22">
        <v>219</v>
      </c>
      <c r="BC229" s="22">
        <v>1.0018899999999999</v>
      </c>
      <c r="BD229">
        <f t="shared" si="46"/>
        <v>16.837407407407408</v>
      </c>
      <c r="BE229">
        <f t="shared" si="47"/>
        <v>16.884720522222221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0.67215000000000003</v>
      </c>
      <c r="H230" s="22">
        <v>7.4599399999999996</v>
      </c>
      <c r="I230" s="22">
        <v>-1.4025900000000001E-2</v>
      </c>
      <c r="J230" s="22">
        <v>220</v>
      </c>
      <c r="K230" s="22">
        <v>0.67138699999999996</v>
      </c>
      <c r="L230">
        <f t="shared" si="36"/>
        <v>17.315925925925924</v>
      </c>
      <c r="M230">
        <f t="shared" si="37"/>
        <v>11.63889961111111</v>
      </c>
      <c r="N230" s="9"/>
      <c r="O230" s="22">
        <v>1.0078400000000001</v>
      </c>
      <c r="P230" s="22">
        <v>11.238799999999999</v>
      </c>
      <c r="Q230" s="22">
        <v>-1.3604700000000001E-2</v>
      </c>
      <c r="R230" s="22">
        <v>220</v>
      </c>
      <c r="S230" s="22">
        <v>1.0067699999999999</v>
      </c>
      <c r="T230">
        <f t="shared" si="38"/>
        <v>16.795925925925925</v>
      </c>
      <c r="U230">
        <f t="shared" si="39"/>
        <v>16.927605985185185</v>
      </c>
      <c r="X230" s="9"/>
      <c r="Y230" s="22">
        <v>0.67215000000000003</v>
      </c>
      <c r="Z230" s="22">
        <v>16.711099999999998</v>
      </c>
      <c r="AA230" s="22">
        <v>-1.4086899999999999E-2</v>
      </c>
      <c r="AB230" s="22">
        <v>220</v>
      </c>
      <c r="AC230" s="22">
        <v>0.67135599999999995</v>
      </c>
      <c r="AD230">
        <f t="shared" si="40"/>
        <v>17.391234567901233</v>
      </c>
      <c r="AE230">
        <f t="shared" si="41"/>
        <v>11.689518314814814</v>
      </c>
      <c r="AF230" s="9"/>
      <c r="AG230" s="22">
        <v>1.0078400000000001</v>
      </c>
      <c r="AH230" s="22">
        <v>20.49</v>
      </c>
      <c r="AI230" s="22">
        <v>-1.3638300000000001E-2</v>
      </c>
      <c r="AJ230" s="22">
        <v>220</v>
      </c>
      <c r="AK230" s="22">
        <v>1.00739</v>
      </c>
      <c r="AL230">
        <f t="shared" si="42"/>
        <v>16.837407407407408</v>
      </c>
      <c r="AM230">
        <f t="shared" si="43"/>
        <v>16.969412681481483</v>
      </c>
      <c r="AP230" s="9"/>
      <c r="AQ230" s="22">
        <v>0.67215000000000003</v>
      </c>
      <c r="AR230" s="22">
        <v>25.932400000000001</v>
      </c>
      <c r="AS230" s="22">
        <v>-1.4041100000000001E-2</v>
      </c>
      <c r="AT230" s="22">
        <v>220</v>
      </c>
      <c r="AU230" s="22">
        <v>0.671234</v>
      </c>
      <c r="AV230">
        <f t="shared" si="44"/>
        <v>17.334691358024692</v>
      </c>
      <c r="AW230">
        <f t="shared" si="45"/>
        <v>11.651512796296297</v>
      </c>
      <c r="AX230" s="9"/>
      <c r="AY230" s="22">
        <v>1.0078400000000001</v>
      </c>
      <c r="AZ230" s="22">
        <v>29.711300000000001</v>
      </c>
      <c r="BA230" s="22">
        <v>-1.3638300000000001E-2</v>
      </c>
      <c r="BB230" s="22">
        <v>220</v>
      </c>
      <c r="BC230" s="22">
        <v>1.0061599999999999</v>
      </c>
      <c r="BD230">
        <f t="shared" si="46"/>
        <v>16.837407407407408</v>
      </c>
      <c r="BE230">
        <f t="shared" si="47"/>
        <v>16.969412681481483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0.66711399999999998</v>
      </c>
      <c r="H231" s="22">
        <v>7.4700199999999999</v>
      </c>
      <c r="I231" s="22">
        <v>-1.4031999999999999E-2</v>
      </c>
      <c r="J231" s="22">
        <v>221</v>
      </c>
      <c r="K231" s="22">
        <v>0.66635100000000003</v>
      </c>
      <c r="L231">
        <f t="shared" si="36"/>
        <v>17.323456790123455</v>
      </c>
      <c r="M231">
        <f t="shared" si="37"/>
        <v>11.556720553086418</v>
      </c>
      <c r="N231" s="9"/>
      <c r="O231" s="22">
        <v>1.01288</v>
      </c>
      <c r="P231" s="22">
        <v>11.248900000000001</v>
      </c>
      <c r="Q231" s="22">
        <v>-1.36017E-2</v>
      </c>
      <c r="R231" s="22">
        <v>221</v>
      </c>
      <c r="S231" s="22">
        <v>1.01135</v>
      </c>
      <c r="T231">
        <f t="shared" si="38"/>
        <v>16.792222222222222</v>
      </c>
      <c r="U231">
        <f t="shared" si="39"/>
        <v>17.008506044444445</v>
      </c>
      <c r="X231" s="9"/>
      <c r="Y231" s="22">
        <v>0.66711399999999998</v>
      </c>
      <c r="Z231" s="22">
        <v>16.7212</v>
      </c>
      <c r="AA231" s="22">
        <v>-1.4086899999999999E-2</v>
      </c>
      <c r="AB231" s="22">
        <v>221</v>
      </c>
      <c r="AC231" s="22">
        <v>0.66629000000000005</v>
      </c>
      <c r="AD231">
        <f t="shared" si="40"/>
        <v>17.391234567901233</v>
      </c>
      <c r="AE231">
        <f t="shared" si="41"/>
        <v>11.601936057530862</v>
      </c>
      <c r="AF231" s="9"/>
      <c r="AG231" s="22">
        <v>1.01288</v>
      </c>
      <c r="AH231" s="22">
        <v>20.5001</v>
      </c>
      <c r="AI231" s="22">
        <v>-1.3638300000000001E-2</v>
      </c>
      <c r="AJ231" s="22">
        <v>221</v>
      </c>
      <c r="AK231" s="22">
        <v>1.01227</v>
      </c>
      <c r="AL231">
        <f t="shared" si="42"/>
        <v>16.837407407407408</v>
      </c>
      <c r="AM231">
        <f t="shared" si="43"/>
        <v>17.054273214814817</v>
      </c>
      <c r="AP231" s="9"/>
      <c r="AQ231" s="22">
        <v>0.66711399999999998</v>
      </c>
      <c r="AR231" s="22">
        <v>25.942399999999999</v>
      </c>
      <c r="AS231" s="22">
        <v>-1.4047199999999999E-2</v>
      </c>
      <c r="AT231" s="22">
        <v>221</v>
      </c>
      <c r="AU231" s="22">
        <v>0.66629000000000005</v>
      </c>
      <c r="AV231">
        <f t="shared" si="44"/>
        <v>17.342222222222222</v>
      </c>
      <c r="AW231">
        <f t="shared" si="45"/>
        <v>11.569239235555555</v>
      </c>
      <c r="AX231" s="9"/>
      <c r="AY231" s="22">
        <v>1.01288</v>
      </c>
      <c r="AZ231" s="22">
        <v>29.721299999999999</v>
      </c>
      <c r="BA231" s="22">
        <v>-1.3629199999999999E-2</v>
      </c>
      <c r="BB231" s="22">
        <v>221</v>
      </c>
      <c r="BC231" s="22">
        <v>1.01135</v>
      </c>
      <c r="BD231">
        <f t="shared" si="46"/>
        <v>16.826172839506171</v>
      </c>
      <c r="BE231">
        <f t="shared" si="47"/>
        <v>17.042893945679012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0.66207899999999997</v>
      </c>
      <c r="H232" s="22">
        <v>7.4800899999999997</v>
      </c>
      <c r="I232" s="22">
        <v>-1.40228E-2</v>
      </c>
      <c r="J232" s="22">
        <v>222</v>
      </c>
      <c r="K232" s="22">
        <v>0.66128500000000001</v>
      </c>
      <c r="L232">
        <f t="shared" si="36"/>
        <v>17.312098765432097</v>
      </c>
      <c r="M232">
        <f t="shared" si="37"/>
        <v>11.461977038518517</v>
      </c>
      <c r="N232" s="9"/>
      <c r="O232" s="22">
        <v>1.0179100000000001</v>
      </c>
      <c r="P232" s="22">
        <v>11.259</v>
      </c>
      <c r="Q232" s="22">
        <v>-1.3595599999999999E-2</v>
      </c>
      <c r="R232" s="22">
        <v>222</v>
      </c>
      <c r="S232" s="22">
        <v>1.01654</v>
      </c>
      <c r="T232">
        <f t="shared" si="38"/>
        <v>16.784691358024691</v>
      </c>
      <c r="U232">
        <f t="shared" si="39"/>
        <v>17.085305180246916</v>
      </c>
      <c r="X232" s="9"/>
      <c r="Y232" s="22">
        <v>0.66207899999999997</v>
      </c>
      <c r="Z232" s="22">
        <v>16.731300000000001</v>
      </c>
      <c r="AA232" s="22">
        <v>-1.4093E-2</v>
      </c>
      <c r="AB232" s="22">
        <v>222</v>
      </c>
      <c r="AC232" s="22">
        <v>0.66137699999999999</v>
      </c>
      <c r="AD232">
        <f t="shared" si="40"/>
        <v>17.398765432098763</v>
      </c>
      <c r="AE232">
        <f t="shared" si="41"/>
        <v>11.519357218518516</v>
      </c>
      <c r="AF232" s="9"/>
      <c r="AG232" s="22">
        <v>1.0179100000000001</v>
      </c>
      <c r="AH232" s="22">
        <v>20.510200000000001</v>
      </c>
      <c r="AI232" s="22">
        <v>-1.3638300000000001E-2</v>
      </c>
      <c r="AJ232" s="22">
        <v>222</v>
      </c>
      <c r="AK232" s="22">
        <v>1.01654</v>
      </c>
      <c r="AL232">
        <f t="shared" si="42"/>
        <v>16.837407407407408</v>
      </c>
      <c r="AM232">
        <f t="shared" si="43"/>
        <v>17.138965374074075</v>
      </c>
      <c r="AP232" s="9"/>
      <c r="AQ232" s="22">
        <v>0.66207899999999997</v>
      </c>
      <c r="AR232" s="22">
        <v>25.952500000000001</v>
      </c>
      <c r="AS232" s="22">
        <v>-1.40503E-2</v>
      </c>
      <c r="AT232" s="22">
        <v>222</v>
      </c>
      <c r="AU232" s="22">
        <v>0.66134599999999999</v>
      </c>
      <c r="AV232">
        <f t="shared" si="44"/>
        <v>17.34604938271605</v>
      </c>
      <c r="AW232">
        <f t="shared" si="45"/>
        <v>11.484455029259259</v>
      </c>
      <c r="AX232" s="9"/>
      <c r="AY232" s="22">
        <v>1.0179100000000001</v>
      </c>
      <c r="AZ232" s="22">
        <v>29.731400000000001</v>
      </c>
      <c r="BA232" s="22">
        <v>-1.3616899999999999E-2</v>
      </c>
      <c r="BB232" s="22">
        <v>222</v>
      </c>
      <c r="BC232" s="22">
        <v>1.01654</v>
      </c>
      <c r="BD232">
        <f t="shared" si="46"/>
        <v>16.810987654320986</v>
      </c>
      <c r="BE232">
        <f t="shared" si="47"/>
        <v>17.112072443209875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0.65704300000000004</v>
      </c>
      <c r="H233" s="22">
        <v>7.4901600000000004</v>
      </c>
      <c r="I233" s="22">
        <v>-1.4019800000000001E-2</v>
      </c>
      <c r="J233" s="22">
        <v>223</v>
      </c>
      <c r="K233" s="22">
        <v>0.65618900000000002</v>
      </c>
      <c r="L233">
        <f t="shared" si="36"/>
        <v>17.308395061728394</v>
      </c>
      <c r="M233">
        <f t="shared" si="37"/>
        <v>11.372359816543209</v>
      </c>
      <c r="N233" s="9"/>
      <c r="O233" s="22">
        <v>1.02295</v>
      </c>
      <c r="P233" s="22">
        <v>11.2691</v>
      </c>
      <c r="Q233" s="22">
        <v>-1.35864E-2</v>
      </c>
      <c r="R233" s="22">
        <v>223</v>
      </c>
      <c r="S233" s="22">
        <v>1.02142</v>
      </c>
      <c r="T233">
        <f t="shared" si="38"/>
        <v>16.77333333333333</v>
      </c>
      <c r="U233">
        <f t="shared" si="39"/>
        <v>17.158281333333331</v>
      </c>
      <c r="X233" s="9"/>
      <c r="Y233" s="22">
        <v>0.65704300000000004</v>
      </c>
      <c r="Z233" s="22">
        <v>16.741299999999999</v>
      </c>
      <c r="AA233" s="22">
        <v>-1.40991E-2</v>
      </c>
      <c r="AB233" s="22">
        <v>223</v>
      </c>
      <c r="AC233" s="22">
        <v>0.656219</v>
      </c>
      <c r="AD233">
        <f t="shared" si="40"/>
        <v>17.406296296296293</v>
      </c>
      <c r="AE233">
        <f t="shared" si="41"/>
        <v>11.436685137407407</v>
      </c>
      <c r="AF233" s="9"/>
      <c r="AG233" s="22">
        <v>1.02295</v>
      </c>
      <c r="AH233" s="22">
        <v>20.520199999999999</v>
      </c>
      <c r="AI233" s="22">
        <v>-1.36261E-2</v>
      </c>
      <c r="AJ233" s="22">
        <v>223</v>
      </c>
      <c r="AK233" s="22">
        <v>1.02203</v>
      </c>
      <c r="AL233">
        <f t="shared" si="42"/>
        <v>16.822345679012344</v>
      </c>
      <c r="AM233">
        <f t="shared" si="43"/>
        <v>17.208418512345677</v>
      </c>
      <c r="AP233" s="9"/>
      <c r="AQ233" s="22">
        <v>0.65704300000000004</v>
      </c>
      <c r="AR233" s="22">
        <v>25.962599999999998</v>
      </c>
      <c r="AS233" s="22">
        <v>-1.4047199999999999E-2</v>
      </c>
      <c r="AT233" s="22">
        <v>223</v>
      </c>
      <c r="AU233" s="22">
        <v>0.65612800000000004</v>
      </c>
      <c r="AV233">
        <f t="shared" si="44"/>
        <v>17.342222222222222</v>
      </c>
      <c r="AW233">
        <f t="shared" si="45"/>
        <v>11.394585715555557</v>
      </c>
      <c r="AX233" s="9"/>
      <c r="AY233" s="22">
        <v>1.02295</v>
      </c>
      <c r="AZ233" s="22">
        <v>29.741499999999998</v>
      </c>
      <c r="BA233" s="22">
        <v>-1.36139E-2</v>
      </c>
      <c r="BB233" s="22">
        <v>223</v>
      </c>
      <c r="BC233" s="22">
        <v>1.02173</v>
      </c>
      <c r="BD233">
        <f t="shared" si="46"/>
        <v>16.807283950617283</v>
      </c>
      <c r="BE233">
        <f t="shared" si="47"/>
        <v>17.193011117283948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0.65200800000000003</v>
      </c>
      <c r="H234" s="22">
        <v>7.5002300000000002</v>
      </c>
      <c r="I234" s="22">
        <v>-1.40228E-2</v>
      </c>
      <c r="J234" s="22">
        <v>224</v>
      </c>
      <c r="K234" s="22">
        <v>0.65127599999999997</v>
      </c>
      <c r="L234">
        <f t="shared" si="36"/>
        <v>17.312098765432097</v>
      </c>
      <c r="M234">
        <f t="shared" si="37"/>
        <v>11.287626891851851</v>
      </c>
      <c r="N234" s="9"/>
      <c r="O234" s="22">
        <v>1.0279799999999999</v>
      </c>
      <c r="P234" s="22">
        <v>11.2791</v>
      </c>
      <c r="Q234" s="22">
        <v>-1.35773E-2</v>
      </c>
      <c r="R234" s="22">
        <v>224</v>
      </c>
      <c r="S234" s="22">
        <v>1.0269200000000001</v>
      </c>
      <c r="T234">
        <f t="shared" si="38"/>
        <v>16.7620987654321</v>
      </c>
      <c r="U234">
        <f t="shared" si="39"/>
        <v>17.231102288888888</v>
      </c>
      <c r="X234" s="9"/>
      <c r="Y234" s="22">
        <v>0.65200800000000003</v>
      </c>
      <c r="Z234" s="22">
        <v>16.7514</v>
      </c>
      <c r="AA234" s="22">
        <v>-1.40991E-2</v>
      </c>
      <c r="AB234" s="22">
        <v>224</v>
      </c>
      <c r="AC234" s="22">
        <v>0.65112300000000001</v>
      </c>
      <c r="AD234">
        <f t="shared" si="40"/>
        <v>17.406296296296293</v>
      </c>
      <c r="AE234">
        <f t="shared" si="41"/>
        <v>11.349044435555554</v>
      </c>
      <c r="AF234" s="9"/>
      <c r="AG234" s="22">
        <v>1.0279799999999999</v>
      </c>
      <c r="AH234" s="22">
        <v>20.5303</v>
      </c>
      <c r="AI234" s="22">
        <v>-1.3616899999999999E-2</v>
      </c>
      <c r="AJ234" s="22">
        <v>224</v>
      </c>
      <c r="AK234" s="22">
        <v>1.0269200000000001</v>
      </c>
      <c r="AL234">
        <f t="shared" si="42"/>
        <v>16.810987654320986</v>
      </c>
      <c r="AM234">
        <f t="shared" si="43"/>
        <v>17.281359088888884</v>
      </c>
      <c r="AP234" s="9"/>
      <c r="AQ234" s="22">
        <v>0.65200800000000003</v>
      </c>
      <c r="AR234" s="22">
        <v>25.9726</v>
      </c>
      <c r="AS234" s="22">
        <v>-1.4041100000000001E-2</v>
      </c>
      <c r="AT234" s="22">
        <v>224</v>
      </c>
      <c r="AU234" s="22">
        <v>0.65127599999999997</v>
      </c>
      <c r="AV234">
        <f t="shared" si="44"/>
        <v>17.334691358024692</v>
      </c>
      <c r="AW234">
        <f t="shared" si="45"/>
        <v>11.302357442962965</v>
      </c>
      <c r="AX234" s="9"/>
      <c r="AY234" s="22">
        <v>1.0279799999999999</v>
      </c>
      <c r="AZ234" s="22">
        <v>29.7515</v>
      </c>
      <c r="BA234" s="22">
        <v>-1.3616899999999999E-2</v>
      </c>
      <c r="BB234" s="22">
        <v>224</v>
      </c>
      <c r="BC234" s="22">
        <v>1.02722</v>
      </c>
      <c r="BD234">
        <f t="shared" si="46"/>
        <v>16.810987654320986</v>
      </c>
      <c r="BE234">
        <f t="shared" si="47"/>
        <v>17.281359088888884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0.64697300000000002</v>
      </c>
      <c r="H235" s="22">
        <v>7.5103</v>
      </c>
      <c r="I235" s="22">
        <v>-1.40289E-2</v>
      </c>
      <c r="J235" s="22">
        <v>225</v>
      </c>
      <c r="K235" s="22">
        <v>0.64617899999999995</v>
      </c>
      <c r="L235">
        <f t="shared" si="36"/>
        <v>17.319629629629631</v>
      </c>
      <c r="M235">
        <f t="shared" si="37"/>
        <v>11.205332740370372</v>
      </c>
      <c r="N235" s="9"/>
      <c r="O235" s="22">
        <v>1.03302</v>
      </c>
      <c r="P235" s="22">
        <v>11.289199999999999</v>
      </c>
      <c r="Q235" s="22">
        <v>-1.35712E-2</v>
      </c>
      <c r="R235" s="22">
        <v>225</v>
      </c>
      <c r="S235" s="22">
        <v>1.0318000000000001</v>
      </c>
      <c r="T235">
        <f t="shared" si="38"/>
        <v>16.754567901234566</v>
      </c>
      <c r="U235">
        <f t="shared" si="39"/>
        <v>17.307803733333333</v>
      </c>
      <c r="X235" s="9"/>
      <c r="Y235" s="22">
        <v>0.64697300000000002</v>
      </c>
      <c r="Z235" s="22">
        <v>16.761500000000002</v>
      </c>
      <c r="AA235" s="22">
        <v>-1.40961E-2</v>
      </c>
      <c r="AB235" s="22">
        <v>225</v>
      </c>
      <c r="AC235" s="22">
        <v>0.64627100000000004</v>
      </c>
      <c r="AD235">
        <f t="shared" si="40"/>
        <v>17.40259259259259</v>
      </c>
      <c r="AE235">
        <f t="shared" si="41"/>
        <v>11.259007537407406</v>
      </c>
      <c r="AF235" s="9"/>
      <c r="AG235" s="22">
        <v>1.03302</v>
      </c>
      <c r="AH235" s="22">
        <v>20.540400000000002</v>
      </c>
      <c r="AI235" s="22">
        <v>-1.3604700000000001E-2</v>
      </c>
      <c r="AJ235" s="22">
        <v>225</v>
      </c>
      <c r="AK235" s="22">
        <v>1.03149</v>
      </c>
      <c r="AL235">
        <f t="shared" si="42"/>
        <v>16.795925925925925</v>
      </c>
      <c r="AM235">
        <f t="shared" si="43"/>
        <v>17.350527400000001</v>
      </c>
      <c r="AP235" s="9"/>
      <c r="AQ235" s="22">
        <v>0.64697300000000002</v>
      </c>
      <c r="AR235" s="22">
        <v>25.982700000000001</v>
      </c>
      <c r="AS235" s="22">
        <v>-1.4031999999999999E-2</v>
      </c>
      <c r="AT235" s="22">
        <v>225</v>
      </c>
      <c r="AU235" s="22">
        <v>0.646393</v>
      </c>
      <c r="AV235">
        <f t="shared" si="44"/>
        <v>17.323456790123455</v>
      </c>
      <c r="AW235">
        <f t="shared" si="45"/>
        <v>11.207808809876543</v>
      </c>
      <c r="AX235" s="9"/>
      <c r="AY235" s="22">
        <v>1.03302</v>
      </c>
      <c r="AZ235" s="22">
        <v>29.761600000000001</v>
      </c>
      <c r="BA235" s="22">
        <v>-1.36139E-2</v>
      </c>
      <c r="BB235" s="22">
        <v>225</v>
      </c>
      <c r="BC235" s="22">
        <v>1.0318000000000001</v>
      </c>
      <c r="BD235">
        <f t="shared" si="46"/>
        <v>16.807283950617283</v>
      </c>
      <c r="BE235">
        <f t="shared" si="47"/>
        <v>17.362260466666665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0.64193699999999998</v>
      </c>
      <c r="H236" s="22">
        <v>7.5203699999999998</v>
      </c>
      <c r="I236" s="22">
        <v>-1.4031999999999999E-2</v>
      </c>
      <c r="J236" s="22">
        <v>226</v>
      </c>
      <c r="K236" s="22">
        <v>0.641235</v>
      </c>
      <c r="L236">
        <f t="shared" si="36"/>
        <v>17.323456790123455</v>
      </c>
      <c r="M236">
        <f t="shared" si="37"/>
        <v>11.120567881481479</v>
      </c>
      <c r="N236" s="9"/>
      <c r="O236" s="22">
        <v>1.03806</v>
      </c>
      <c r="P236" s="22">
        <v>11.299300000000001</v>
      </c>
      <c r="Q236" s="22">
        <v>-1.35651E-2</v>
      </c>
      <c r="R236" s="22">
        <v>226</v>
      </c>
      <c r="S236" s="22">
        <v>1.0369900000000001</v>
      </c>
      <c r="T236">
        <f t="shared" si="38"/>
        <v>16.747037037037035</v>
      </c>
      <c r="U236">
        <f t="shared" si="39"/>
        <v>17.384429266666665</v>
      </c>
      <c r="X236" s="9"/>
      <c r="Y236" s="22">
        <v>0.64193699999999998</v>
      </c>
      <c r="Z236" s="22">
        <v>16.771599999999999</v>
      </c>
      <c r="AA236" s="22">
        <v>-1.40991E-2</v>
      </c>
      <c r="AB236" s="22">
        <v>226</v>
      </c>
      <c r="AC236" s="22">
        <v>0.64114400000000005</v>
      </c>
      <c r="AD236">
        <f t="shared" si="40"/>
        <v>17.406296296296293</v>
      </c>
      <c r="AE236">
        <f t="shared" si="41"/>
        <v>11.173745625555554</v>
      </c>
      <c r="AF236" s="9"/>
      <c r="AG236" s="22">
        <v>1.03806</v>
      </c>
      <c r="AH236" s="22">
        <v>20.5505</v>
      </c>
      <c r="AI236" s="22">
        <v>-1.3604700000000001E-2</v>
      </c>
      <c r="AJ236" s="22">
        <v>226</v>
      </c>
      <c r="AK236" s="22">
        <v>1.0369900000000001</v>
      </c>
      <c r="AL236">
        <f t="shared" si="42"/>
        <v>16.795925925925925</v>
      </c>
      <c r="AM236">
        <f t="shared" si="43"/>
        <v>17.435178866666664</v>
      </c>
      <c r="AP236" s="9"/>
      <c r="AQ236" s="22">
        <v>0.64193699999999998</v>
      </c>
      <c r="AR236" s="22">
        <v>25.992799999999999</v>
      </c>
      <c r="AS236" s="22">
        <v>-1.40289E-2</v>
      </c>
      <c r="AT236" s="22">
        <v>226</v>
      </c>
      <c r="AU236" s="22">
        <v>0.64117400000000002</v>
      </c>
      <c r="AV236">
        <f t="shared" si="44"/>
        <v>17.319629629629631</v>
      </c>
      <c r="AW236">
        <f t="shared" si="45"/>
        <v>11.118111085555556</v>
      </c>
      <c r="AX236" s="9"/>
      <c r="AY236" s="22">
        <v>1.03806</v>
      </c>
      <c r="AZ236" s="22">
        <v>29.771699999999999</v>
      </c>
      <c r="BA236" s="22">
        <v>-1.3604700000000001E-2</v>
      </c>
      <c r="BB236" s="22">
        <v>226</v>
      </c>
      <c r="BC236" s="22">
        <v>1.03668</v>
      </c>
      <c r="BD236">
        <f t="shared" si="46"/>
        <v>16.795925925925925</v>
      </c>
      <c r="BE236">
        <f t="shared" si="47"/>
        <v>17.435178866666664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0.63690199999999997</v>
      </c>
      <c r="H237" s="22">
        <v>7.5304399999999996</v>
      </c>
      <c r="I237" s="22">
        <v>-1.40381E-2</v>
      </c>
      <c r="J237" s="22">
        <v>227</v>
      </c>
      <c r="K237" s="22">
        <v>0.63610800000000001</v>
      </c>
      <c r="L237">
        <f t="shared" si="36"/>
        <v>17.330987654320985</v>
      </c>
      <c r="M237">
        <f t="shared" si="37"/>
        <v>11.038140699012343</v>
      </c>
      <c r="N237" s="9"/>
      <c r="O237" s="22">
        <v>1.0430900000000001</v>
      </c>
      <c r="P237" s="22">
        <v>11.3093</v>
      </c>
      <c r="Q237" s="22">
        <v>-1.3555899999999999E-2</v>
      </c>
      <c r="R237" s="22">
        <v>227</v>
      </c>
      <c r="S237" s="22">
        <v>1.0421800000000001</v>
      </c>
      <c r="T237">
        <f t="shared" si="38"/>
        <v>16.735679012345678</v>
      </c>
      <c r="U237">
        <f t="shared" si="39"/>
        <v>17.456819420987653</v>
      </c>
      <c r="X237" s="9"/>
      <c r="Y237" s="22">
        <v>0.63690199999999997</v>
      </c>
      <c r="Z237" s="22">
        <v>16.781600000000001</v>
      </c>
      <c r="AA237" s="22">
        <v>-1.41052E-2</v>
      </c>
      <c r="AB237" s="22">
        <v>227</v>
      </c>
      <c r="AC237" s="22">
        <v>0.63586399999999998</v>
      </c>
      <c r="AD237">
        <f t="shared" si="40"/>
        <v>17.413827160493828</v>
      </c>
      <c r="AE237">
        <f t="shared" si="41"/>
        <v>11.090901346172839</v>
      </c>
      <c r="AF237" s="9"/>
      <c r="AG237" s="22">
        <v>1.0430900000000001</v>
      </c>
      <c r="AH237" s="22">
        <v>20.560500000000001</v>
      </c>
      <c r="AI237" s="22">
        <v>-1.3595599999999999E-2</v>
      </c>
      <c r="AJ237" s="22">
        <v>227</v>
      </c>
      <c r="AK237" s="22">
        <v>1.0421800000000001</v>
      </c>
      <c r="AL237">
        <f t="shared" si="42"/>
        <v>16.784691358024691</v>
      </c>
      <c r="AM237">
        <f t="shared" si="43"/>
        <v>17.507943708641978</v>
      </c>
      <c r="AP237" s="9"/>
      <c r="AQ237" s="22">
        <v>0.63690199999999997</v>
      </c>
      <c r="AR237" s="22">
        <v>26.0029</v>
      </c>
      <c r="AS237" s="22">
        <v>-1.40289E-2</v>
      </c>
      <c r="AT237" s="22">
        <v>227</v>
      </c>
      <c r="AU237" s="22">
        <v>0.63619999999999999</v>
      </c>
      <c r="AV237">
        <f t="shared" si="44"/>
        <v>17.319629629629631</v>
      </c>
      <c r="AW237">
        <f t="shared" si="45"/>
        <v>11.03090675037037</v>
      </c>
      <c r="AX237" s="9"/>
      <c r="AY237" s="22">
        <v>1.0430900000000001</v>
      </c>
      <c r="AZ237" s="22">
        <v>29.7818</v>
      </c>
      <c r="BA237" s="22">
        <v>-1.3604700000000001E-2</v>
      </c>
      <c r="BB237" s="22">
        <v>227</v>
      </c>
      <c r="BC237" s="22">
        <v>1.0418700000000001</v>
      </c>
      <c r="BD237">
        <f t="shared" si="46"/>
        <v>16.795925925925925</v>
      </c>
      <c r="BE237">
        <f t="shared" si="47"/>
        <v>17.519662374074073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0.63186600000000004</v>
      </c>
      <c r="H238" s="22">
        <v>7.5405100000000003</v>
      </c>
      <c r="I238" s="22">
        <v>-1.40381E-2</v>
      </c>
      <c r="J238" s="22">
        <v>228</v>
      </c>
      <c r="K238" s="22">
        <v>0.63104199999999999</v>
      </c>
      <c r="L238">
        <f t="shared" si="36"/>
        <v>17.330987654320985</v>
      </c>
      <c r="M238">
        <f t="shared" si="37"/>
        <v>10.950861845185184</v>
      </c>
      <c r="N238" s="9"/>
      <c r="O238" s="22">
        <v>1.04813</v>
      </c>
      <c r="P238" s="22">
        <v>11.3194</v>
      </c>
      <c r="Q238" s="22">
        <v>-1.3543700000000001E-2</v>
      </c>
      <c r="R238" s="22">
        <v>228</v>
      </c>
      <c r="S238" s="22">
        <v>1.0470600000000001</v>
      </c>
      <c r="T238">
        <f t="shared" si="38"/>
        <v>16.720617283950617</v>
      </c>
      <c r="U238">
        <f t="shared" si="39"/>
        <v>17.525380593827158</v>
      </c>
      <c r="X238" s="9"/>
      <c r="Y238" s="22">
        <v>0.63186600000000004</v>
      </c>
      <c r="Z238" s="22">
        <v>16.791699999999999</v>
      </c>
      <c r="AA238" s="22">
        <v>-1.41052E-2</v>
      </c>
      <c r="AB238" s="22">
        <v>228</v>
      </c>
      <c r="AC238" s="22">
        <v>0.63104199999999999</v>
      </c>
      <c r="AD238">
        <f t="shared" si="40"/>
        <v>17.413827160493828</v>
      </c>
      <c r="AE238">
        <f t="shared" si="41"/>
        <v>11.003205312592593</v>
      </c>
      <c r="AF238" s="9"/>
      <c r="AG238" s="22">
        <v>1.04813</v>
      </c>
      <c r="AH238" s="22">
        <v>20.570599999999999</v>
      </c>
      <c r="AI238" s="22">
        <v>-1.3589499999999999E-2</v>
      </c>
      <c r="AJ238" s="22">
        <v>228</v>
      </c>
      <c r="AK238" s="22">
        <v>1.0473600000000001</v>
      </c>
      <c r="AL238">
        <f t="shared" si="42"/>
        <v>16.777160493827161</v>
      </c>
      <c r="AM238">
        <f t="shared" si="43"/>
        <v>17.584645228395061</v>
      </c>
      <c r="AP238" s="9"/>
      <c r="AQ238" s="22">
        <v>0.63186600000000004</v>
      </c>
      <c r="AR238" s="22">
        <v>26.012899999999998</v>
      </c>
      <c r="AS238" s="22">
        <v>-1.4035000000000001E-2</v>
      </c>
      <c r="AT238" s="22">
        <v>228</v>
      </c>
      <c r="AU238" s="22">
        <v>0.631073</v>
      </c>
      <c r="AV238">
        <f t="shared" si="44"/>
        <v>17.327160493827162</v>
      </c>
      <c r="AW238">
        <f t="shared" si="45"/>
        <v>10.948443592592595</v>
      </c>
      <c r="AX238" s="9"/>
      <c r="AY238" s="22">
        <v>1.04813</v>
      </c>
      <c r="AZ238" s="22">
        <v>29.791799999999999</v>
      </c>
      <c r="BA238" s="22">
        <v>-1.35864E-2</v>
      </c>
      <c r="BB238" s="22">
        <v>228</v>
      </c>
      <c r="BC238" s="22">
        <v>1.0464500000000001</v>
      </c>
      <c r="BD238">
        <f t="shared" si="46"/>
        <v>16.77333333333333</v>
      </c>
      <c r="BE238">
        <f t="shared" si="47"/>
        <v>17.580633866666663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0.62683100000000003</v>
      </c>
      <c r="H239" s="22">
        <v>7.5505800000000001</v>
      </c>
      <c r="I239" s="22">
        <v>-1.4035000000000001E-2</v>
      </c>
      <c r="J239" s="22">
        <v>229</v>
      </c>
      <c r="K239" s="22">
        <v>0.62619000000000002</v>
      </c>
      <c r="L239">
        <f t="shared" si="36"/>
        <v>17.327160493827162</v>
      </c>
      <c r="M239">
        <f t="shared" si="37"/>
        <v>10.861201339506174</v>
      </c>
      <c r="N239" s="9"/>
      <c r="O239" s="22">
        <v>1.0531600000000001</v>
      </c>
      <c r="P239" s="22">
        <v>11.329499999999999</v>
      </c>
      <c r="Q239" s="22">
        <v>-1.3528399999999999E-2</v>
      </c>
      <c r="R239" s="22">
        <v>229</v>
      </c>
      <c r="S239" s="22">
        <v>1.0522499999999999</v>
      </c>
      <c r="T239">
        <f t="shared" si="38"/>
        <v>16.701728395061725</v>
      </c>
      <c r="U239">
        <f t="shared" si="39"/>
        <v>17.589592276543208</v>
      </c>
      <c r="X239" s="9"/>
      <c r="Y239" s="22">
        <v>0.62683100000000003</v>
      </c>
      <c r="Z239" s="22">
        <v>16.8018</v>
      </c>
      <c r="AA239" s="22">
        <v>-1.4108300000000001E-2</v>
      </c>
      <c r="AB239" s="22">
        <v>229</v>
      </c>
      <c r="AC239" s="22">
        <v>0.62606799999999996</v>
      </c>
      <c r="AD239">
        <f t="shared" si="40"/>
        <v>17.417654320987655</v>
      </c>
      <c r="AE239">
        <f t="shared" si="41"/>
        <v>10.917925675679014</v>
      </c>
      <c r="AF239" s="9"/>
      <c r="AG239" s="22">
        <v>1.0531600000000001</v>
      </c>
      <c r="AH239" s="22">
        <v>20.5807</v>
      </c>
      <c r="AI239" s="22">
        <v>-1.3583400000000001E-2</v>
      </c>
      <c r="AJ239" s="22">
        <v>229</v>
      </c>
      <c r="AK239" s="22">
        <v>1.0519400000000001</v>
      </c>
      <c r="AL239">
        <f t="shared" si="42"/>
        <v>16.76962962962963</v>
      </c>
      <c r="AM239">
        <f t="shared" si="43"/>
        <v>17.661103140740742</v>
      </c>
      <c r="AP239" s="9"/>
      <c r="AQ239" s="22">
        <v>0.62683100000000003</v>
      </c>
      <c r="AR239" s="22">
        <v>26.023</v>
      </c>
      <c r="AS239" s="22">
        <v>-1.40442E-2</v>
      </c>
      <c r="AT239" s="22">
        <v>229</v>
      </c>
      <c r="AU239" s="22">
        <v>0.62600699999999998</v>
      </c>
      <c r="AV239">
        <f t="shared" si="44"/>
        <v>17.338518518518516</v>
      </c>
      <c r="AW239">
        <f t="shared" si="45"/>
        <v>10.86832090148148</v>
      </c>
      <c r="AX239" s="9"/>
      <c r="AY239" s="22">
        <v>1.0531600000000001</v>
      </c>
      <c r="AZ239" s="22">
        <v>29.8019</v>
      </c>
      <c r="BA239" s="22">
        <v>-1.35712E-2</v>
      </c>
      <c r="BB239" s="22">
        <v>229</v>
      </c>
      <c r="BC239" s="22">
        <v>1.0522499999999999</v>
      </c>
      <c r="BD239">
        <f t="shared" si="46"/>
        <v>16.754567901234566</v>
      </c>
      <c r="BE239">
        <f t="shared" si="47"/>
        <v>17.645240730864199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0.62179600000000002</v>
      </c>
      <c r="H240" s="22">
        <v>7.5606499999999999</v>
      </c>
      <c r="I240" s="22">
        <v>-1.40381E-2</v>
      </c>
      <c r="J240" s="22">
        <v>230</v>
      </c>
      <c r="K240" s="22">
        <v>0.62103299999999995</v>
      </c>
      <c r="L240">
        <f t="shared" si="36"/>
        <v>17.330987654320985</v>
      </c>
      <c r="M240">
        <f t="shared" si="37"/>
        <v>10.776338799506172</v>
      </c>
      <c r="N240" s="9"/>
      <c r="O240" s="22">
        <v>1.0582</v>
      </c>
      <c r="P240" s="22">
        <v>11.339600000000001</v>
      </c>
      <c r="Q240" s="22">
        <v>-1.3516200000000001E-2</v>
      </c>
      <c r="R240" s="22">
        <v>230</v>
      </c>
      <c r="S240" s="22">
        <v>1.0571299999999999</v>
      </c>
      <c r="T240">
        <f t="shared" si="38"/>
        <v>16.686666666666664</v>
      </c>
      <c r="U240">
        <f t="shared" si="39"/>
        <v>17.657830666666666</v>
      </c>
      <c r="X240" s="9"/>
      <c r="Y240" s="22">
        <v>0.62179600000000002</v>
      </c>
      <c r="Z240" s="22">
        <v>16.811800000000002</v>
      </c>
      <c r="AA240" s="22">
        <v>-1.4114399999999999E-2</v>
      </c>
      <c r="AB240" s="22">
        <v>230</v>
      </c>
      <c r="AC240" s="22">
        <v>0.62097199999999997</v>
      </c>
      <c r="AD240">
        <f t="shared" si="40"/>
        <v>17.425185185185182</v>
      </c>
      <c r="AE240">
        <f t="shared" si="41"/>
        <v>10.834910447407406</v>
      </c>
      <c r="AF240" s="9"/>
      <c r="AG240" s="22">
        <v>1.0582</v>
      </c>
      <c r="AH240" s="22">
        <v>20.590699999999998</v>
      </c>
      <c r="AI240" s="22">
        <v>-1.35681E-2</v>
      </c>
      <c r="AJ240" s="22">
        <v>230</v>
      </c>
      <c r="AK240" s="22">
        <v>1.0568200000000001</v>
      </c>
      <c r="AL240">
        <f t="shared" si="42"/>
        <v>16.750740740740738</v>
      </c>
      <c r="AM240">
        <f t="shared" si="43"/>
        <v>17.72563385185185</v>
      </c>
      <c r="AP240" s="9"/>
      <c r="AQ240" s="22">
        <v>0.62179600000000002</v>
      </c>
      <c r="AR240" s="22">
        <v>26.033100000000001</v>
      </c>
      <c r="AS240" s="22">
        <v>-1.4053299999999999E-2</v>
      </c>
      <c r="AT240" s="22">
        <v>230</v>
      </c>
      <c r="AU240" s="22">
        <v>0.62115500000000001</v>
      </c>
      <c r="AV240">
        <f t="shared" si="44"/>
        <v>17.349753086419753</v>
      </c>
      <c r="AW240">
        <f t="shared" si="45"/>
        <v>10.788007070123458</v>
      </c>
      <c r="AX240" s="9"/>
      <c r="AY240" s="22">
        <v>1.0582</v>
      </c>
      <c r="AZ240" s="22">
        <v>29.812000000000001</v>
      </c>
      <c r="BA240" s="22">
        <v>-1.3555899999999999E-2</v>
      </c>
      <c r="BB240" s="22">
        <v>230</v>
      </c>
      <c r="BC240" s="22">
        <v>1.0571299999999999</v>
      </c>
      <c r="BD240">
        <f t="shared" si="46"/>
        <v>16.735679012345678</v>
      </c>
      <c r="BE240">
        <f t="shared" si="47"/>
        <v>17.709695530864195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0.61675999999999997</v>
      </c>
      <c r="H241" s="22">
        <v>7.5707300000000002</v>
      </c>
      <c r="I241" s="22">
        <v>-1.4041100000000001E-2</v>
      </c>
      <c r="J241" s="22">
        <v>231</v>
      </c>
      <c r="K241" s="22">
        <v>0.61581399999999997</v>
      </c>
      <c r="L241">
        <f t="shared" si="36"/>
        <v>17.334691358024692</v>
      </c>
      <c r="M241">
        <f t="shared" si="37"/>
        <v>10.691344241975308</v>
      </c>
      <c r="N241" s="9"/>
      <c r="O241" s="22">
        <v>1.0632299999999999</v>
      </c>
      <c r="P241" s="22">
        <v>11.349600000000001</v>
      </c>
      <c r="Q241" s="22">
        <v>-1.3504E-2</v>
      </c>
      <c r="R241" s="22">
        <v>231</v>
      </c>
      <c r="S241" s="22">
        <v>1.0617099999999999</v>
      </c>
      <c r="T241">
        <f t="shared" si="38"/>
        <v>16.671604938271606</v>
      </c>
      <c r="U241">
        <f t="shared" si="39"/>
        <v>17.72575051851852</v>
      </c>
      <c r="X241" s="9"/>
      <c r="Y241" s="22">
        <v>0.61675999999999997</v>
      </c>
      <c r="Z241" s="22">
        <v>16.821899999999999</v>
      </c>
      <c r="AA241" s="22">
        <v>-1.4120499999999999E-2</v>
      </c>
      <c r="AB241" s="22">
        <v>231</v>
      </c>
      <c r="AC241" s="22">
        <v>0.61590599999999995</v>
      </c>
      <c r="AD241">
        <f t="shared" si="40"/>
        <v>17.432716049382716</v>
      </c>
      <c r="AE241">
        <f t="shared" si="41"/>
        <v>10.751801950617283</v>
      </c>
      <c r="AF241" s="9"/>
      <c r="AG241" s="22">
        <v>1.0632299999999999</v>
      </c>
      <c r="AH241" s="22">
        <v>20.6008</v>
      </c>
      <c r="AI241" s="22">
        <v>-1.3559E-2</v>
      </c>
      <c r="AJ241" s="22">
        <v>231</v>
      </c>
      <c r="AK241" s="22">
        <v>1.0623199999999999</v>
      </c>
      <c r="AL241">
        <f t="shared" si="42"/>
        <v>16.739506172839505</v>
      </c>
      <c r="AM241">
        <f t="shared" si="43"/>
        <v>17.797945148148145</v>
      </c>
      <c r="AP241" s="9"/>
      <c r="AQ241" s="22">
        <v>0.61675999999999997</v>
      </c>
      <c r="AR241" s="22">
        <v>26.043099999999999</v>
      </c>
      <c r="AS241" s="22">
        <v>-1.40594E-2</v>
      </c>
      <c r="AT241" s="22">
        <v>231</v>
      </c>
      <c r="AU241" s="22">
        <v>0.61584499999999998</v>
      </c>
      <c r="AV241">
        <f t="shared" si="44"/>
        <v>17.357283950617283</v>
      </c>
      <c r="AW241">
        <f t="shared" si="45"/>
        <v>10.705278449382716</v>
      </c>
      <c r="AX241" s="9"/>
      <c r="AY241" s="22">
        <v>1.0632299999999999</v>
      </c>
      <c r="AZ241" s="22">
        <v>29.821999999999999</v>
      </c>
      <c r="BA241" s="22">
        <v>-1.3546799999999999E-2</v>
      </c>
      <c r="BB241" s="22">
        <v>231</v>
      </c>
      <c r="BC241" s="22">
        <v>1.0623199999999999</v>
      </c>
      <c r="BD241">
        <f t="shared" si="46"/>
        <v>16.72444444444444</v>
      </c>
      <c r="BE241">
        <f t="shared" si="47"/>
        <v>17.781931066666662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0.61172499999999996</v>
      </c>
      <c r="H242" s="22">
        <v>7.5808</v>
      </c>
      <c r="I242" s="22">
        <v>-1.40442E-2</v>
      </c>
      <c r="J242" s="22">
        <v>232</v>
      </c>
      <c r="K242" s="22">
        <v>0.61090100000000003</v>
      </c>
      <c r="L242">
        <f t="shared" si="36"/>
        <v>17.338518518518516</v>
      </c>
      <c r="M242">
        <f t="shared" si="37"/>
        <v>10.606405240740738</v>
      </c>
      <c r="N242" s="9"/>
      <c r="O242" s="22">
        <v>1.0682700000000001</v>
      </c>
      <c r="P242" s="22">
        <v>11.3597</v>
      </c>
      <c r="Q242" s="22">
        <v>-1.34888E-2</v>
      </c>
      <c r="R242" s="22">
        <v>232</v>
      </c>
      <c r="S242" s="22">
        <v>1.0671999999999999</v>
      </c>
      <c r="T242">
        <f t="shared" si="38"/>
        <v>16.652839506172839</v>
      </c>
      <c r="U242">
        <f t="shared" si="39"/>
        <v>17.78972885925926</v>
      </c>
      <c r="X242" s="9"/>
      <c r="Y242" s="22">
        <v>0.61172499999999996</v>
      </c>
      <c r="Z242" s="22">
        <v>16.832000000000001</v>
      </c>
      <c r="AA242" s="22">
        <v>-1.4129600000000001E-2</v>
      </c>
      <c r="AB242" s="22">
        <v>232</v>
      </c>
      <c r="AC242" s="22">
        <v>0.61099199999999998</v>
      </c>
      <c r="AD242">
        <f t="shared" si="40"/>
        <v>17.443950617283949</v>
      </c>
      <c r="AE242">
        <f t="shared" si="41"/>
        <v>10.670900691358023</v>
      </c>
      <c r="AF242" s="9"/>
      <c r="AG242" s="22">
        <v>1.0682700000000001</v>
      </c>
      <c r="AH242" s="22">
        <v>20.610900000000001</v>
      </c>
      <c r="AI242" s="22">
        <v>-1.3559E-2</v>
      </c>
      <c r="AJ242" s="22">
        <v>232</v>
      </c>
      <c r="AK242" s="22">
        <v>1.0668899999999999</v>
      </c>
      <c r="AL242">
        <f t="shared" si="42"/>
        <v>16.739506172839505</v>
      </c>
      <c r="AM242">
        <f t="shared" si="43"/>
        <v>17.882312259259258</v>
      </c>
      <c r="AP242" s="9"/>
      <c r="AQ242" s="22">
        <v>0.61172499999999996</v>
      </c>
      <c r="AR242" s="22">
        <v>26.0532</v>
      </c>
      <c r="AS242" s="22">
        <v>-1.40564E-2</v>
      </c>
      <c r="AT242" s="22">
        <v>232</v>
      </c>
      <c r="AU242" s="22">
        <v>0.610931</v>
      </c>
      <c r="AV242">
        <f t="shared" si="44"/>
        <v>17.35358024691358</v>
      </c>
      <c r="AW242">
        <f t="shared" si="45"/>
        <v>10.615618876543209</v>
      </c>
      <c r="AX242" s="9"/>
      <c r="AY242" s="22">
        <v>1.0682700000000001</v>
      </c>
      <c r="AZ242" s="22">
        <v>29.832100000000001</v>
      </c>
      <c r="BA242" s="22">
        <v>-1.35345E-2</v>
      </c>
      <c r="BB242" s="22">
        <v>232</v>
      </c>
      <c r="BC242" s="22">
        <v>1.0671999999999999</v>
      </c>
      <c r="BD242">
        <f t="shared" si="46"/>
        <v>16.709259259259255</v>
      </c>
      <c r="BE242">
        <f t="shared" si="47"/>
        <v>17.850000388888887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0.60668900000000003</v>
      </c>
      <c r="H243" s="22">
        <v>7.5908699999999998</v>
      </c>
      <c r="I243" s="22">
        <v>-1.40442E-2</v>
      </c>
      <c r="J243" s="22">
        <v>233</v>
      </c>
      <c r="K243" s="22">
        <v>0.60586499999999999</v>
      </c>
      <c r="L243">
        <f t="shared" si="36"/>
        <v>17.338518518518516</v>
      </c>
      <c r="M243">
        <f t="shared" si="37"/>
        <v>10.519088461481481</v>
      </c>
      <c r="N243" s="9"/>
      <c r="O243" s="22">
        <v>1.0732999999999999</v>
      </c>
      <c r="P243" s="22">
        <v>11.3698</v>
      </c>
      <c r="Q243" s="22">
        <v>-1.34796E-2</v>
      </c>
      <c r="R243" s="22">
        <v>233</v>
      </c>
      <c r="S243" s="22">
        <v>1.0726899999999999</v>
      </c>
      <c r="T243">
        <f t="shared" si="38"/>
        <v>16.641481481481478</v>
      </c>
      <c r="U243">
        <f t="shared" si="39"/>
        <v>17.861302074074068</v>
      </c>
      <c r="X243" s="9"/>
      <c r="Y243" s="22">
        <v>0.60668900000000003</v>
      </c>
      <c r="Z243" s="22">
        <v>16.842099999999999</v>
      </c>
      <c r="AA243" s="22">
        <v>-1.41418E-2</v>
      </c>
      <c r="AB243" s="22">
        <v>233</v>
      </c>
      <c r="AC243" s="22">
        <v>0.60586499999999999</v>
      </c>
      <c r="AD243">
        <f t="shared" si="40"/>
        <v>17.45901234567901</v>
      </c>
      <c r="AE243">
        <f t="shared" si="41"/>
        <v>10.592190740987654</v>
      </c>
      <c r="AF243" s="9"/>
      <c r="AG243" s="22">
        <v>1.0732999999999999</v>
      </c>
      <c r="AH243" s="22">
        <v>20.620999999999999</v>
      </c>
      <c r="AI243" s="22">
        <v>-1.35529E-2</v>
      </c>
      <c r="AJ243" s="22">
        <v>233</v>
      </c>
      <c r="AK243" s="22">
        <v>1.0720799999999999</v>
      </c>
      <c r="AL243">
        <f t="shared" si="42"/>
        <v>16.731975308641974</v>
      </c>
      <c r="AM243">
        <f t="shared" si="43"/>
        <v>17.958429098765428</v>
      </c>
      <c r="AP243" s="9"/>
      <c r="AQ243" s="22">
        <v>0.60668900000000003</v>
      </c>
      <c r="AR243" s="22">
        <v>26.063300000000002</v>
      </c>
      <c r="AS243" s="22">
        <v>-1.4065599999999999E-2</v>
      </c>
      <c r="AT243" s="22">
        <v>233</v>
      </c>
      <c r="AU243" s="22">
        <v>0.60598799999999997</v>
      </c>
      <c r="AV243">
        <f t="shared" si="44"/>
        <v>17.364938271604938</v>
      </c>
      <c r="AW243">
        <f t="shared" si="45"/>
        <v>10.535117035061729</v>
      </c>
      <c r="AX243" s="9"/>
      <c r="AY243" s="22">
        <v>1.0732999999999999</v>
      </c>
      <c r="AZ243" s="22">
        <v>29.842199999999998</v>
      </c>
      <c r="BA243" s="22">
        <v>-1.3528399999999999E-2</v>
      </c>
      <c r="BB243" s="22">
        <v>233</v>
      </c>
      <c r="BC243" s="22">
        <v>1.0720799999999999</v>
      </c>
      <c r="BD243">
        <f t="shared" si="46"/>
        <v>16.701728395061725</v>
      </c>
      <c r="BE243">
        <f t="shared" si="47"/>
        <v>17.925965086419748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0.60165400000000002</v>
      </c>
      <c r="H244" s="22">
        <v>7.6009399999999996</v>
      </c>
      <c r="I244" s="22">
        <v>-1.4047199999999999E-2</v>
      </c>
      <c r="J244" s="22">
        <v>234</v>
      </c>
      <c r="K244" s="22">
        <v>0.60082999999999998</v>
      </c>
      <c r="L244">
        <f t="shared" si="36"/>
        <v>17.342222222222222</v>
      </c>
      <c r="M244">
        <f t="shared" si="37"/>
        <v>10.43401736888889</v>
      </c>
      <c r="N244" s="9"/>
      <c r="O244" s="22">
        <v>1.0783400000000001</v>
      </c>
      <c r="P244" s="22">
        <v>11.379799999999999</v>
      </c>
      <c r="Q244" s="22">
        <v>-1.3473499999999999E-2</v>
      </c>
      <c r="R244" s="22">
        <v>234</v>
      </c>
      <c r="S244" s="22">
        <v>1.0772699999999999</v>
      </c>
      <c r="T244">
        <f t="shared" si="38"/>
        <v>16.633950617283947</v>
      </c>
      <c r="U244">
        <f t="shared" si="39"/>
        <v>17.937054308641972</v>
      </c>
      <c r="X244" s="9"/>
      <c r="Y244" s="22">
        <v>0.60165400000000002</v>
      </c>
      <c r="Z244" s="22">
        <v>16.8521</v>
      </c>
      <c r="AA244" s="22">
        <v>-1.41479E-2</v>
      </c>
      <c r="AB244" s="22">
        <v>234</v>
      </c>
      <c r="AC244" s="22">
        <v>0.60092199999999996</v>
      </c>
      <c r="AD244">
        <f t="shared" si="40"/>
        <v>17.466543209876541</v>
      </c>
      <c r="AE244">
        <f t="shared" si="41"/>
        <v>10.508815588395061</v>
      </c>
      <c r="AF244" s="9"/>
      <c r="AG244" s="22">
        <v>1.0783400000000001</v>
      </c>
      <c r="AH244" s="22">
        <v>20.631</v>
      </c>
      <c r="AI244" s="22">
        <v>-1.35345E-2</v>
      </c>
      <c r="AJ244" s="22">
        <v>234</v>
      </c>
      <c r="AK244" s="22">
        <v>1.0772699999999999</v>
      </c>
      <c r="AL244">
        <f t="shared" si="42"/>
        <v>16.709259259259255</v>
      </c>
      <c r="AM244">
        <f t="shared" si="43"/>
        <v>18.018262629629625</v>
      </c>
      <c r="AP244" s="9"/>
      <c r="AQ244" s="22">
        <v>0.60165400000000002</v>
      </c>
      <c r="AR244" s="22">
        <v>26.073399999999999</v>
      </c>
      <c r="AS244" s="22">
        <v>-1.40778E-2</v>
      </c>
      <c r="AT244" s="22">
        <v>234</v>
      </c>
      <c r="AU244" s="22">
        <v>0.6008</v>
      </c>
      <c r="AV244">
        <f t="shared" si="44"/>
        <v>17.38</v>
      </c>
      <c r="AW244">
        <f t="shared" si="45"/>
        <v>10.456746519999999</v>
      </c>
      <c r="AX244" s="9"/>
      <c r="AY244" s="22">
        <v>1.0783400000000001</v>
      </c>
      <c r="AZ244" s="22">
        <v>29.8523</v>
      </c>
      <c r="BA244" s="22">
        <v>-1.35193E-2</v>
      </c>
      <c r="BB244" s="22">
        <v>234</v>
      </c>
      <c r="BC244" s="22">
        <v>1.07697</v>
      </c>
      <c r="BD244">
        <f t="shared" si="46"/>
        <v>16.690493827160495</v>
      </c>
      <c r="BE244">
        <f t="shared" si="47"/>
        <v>17.99802711358025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0.59661900000000001</v>
      </c>
      <c r="H245" s="22">
        <v>7.6110100000000003</v>
      </c>
      <c r="I245" s="22">
        <v>-1.40442E-2</v>
      </c>
      <c r="J245" s="22">
        <v>235</v>
      </c>
      <c r="K245" s="22">
        <v>0.59585600000000005</v>
      </c>
      <c r="L245">
        <f t="shared" si="36"/>
        <v>17.338518518518516</v>
      </c>
      <c r="M245">
        <f t="shared" si="37"/>
        <v>10.344489579999999</v>
      </c>
      <c r="N245" s="9"/>
      <c r="O245" s="22">
        <v>1.0833699999999999</v>
      </c>
      <c r="P245" s="22">
        <v>11.389900000000001</v>
      </c>
      <c r="Q245" s="22">
        <v>-1.34705E-2</v>
      </c>
      <c r="R245" s="22">
        <v>235</v>
      </c>
      <c r="S245" s="22">
        <v>1.08185</v>
      </c>
      <c r="T245">
        <f t="shared" si="38"/>
        <v>16.630246913580244</v>
      </c>
      <c r="U245">
        <f t="shared" si="39"/>
        <v>18.016710598765428</v>
      </c>
      <c r="X245" s="9"/>
      <c r="Y245" s="22">
        <v>0.59661900000000001</v>
      </c>
      <c r="Z245" s="22">
        <v>16.862200000000001</v>
      </c>
      <c r="AA245" s="22">
        <v>-1.41449E-2</v>
      </c>
      <c r="AB245" s="22">
        <v>235</v>
      </c>
      <c r="AC245" s="22">
        <v>0.59588600000000003</v>
      </c>
      <c r="AD245">
        <f t="shared" si="40"/>
        <v>17.462839506172838</v>
      </c>
      <c r="AE245">
        <f t="shared" si="41"/>
        <v>10.418661843333332</v>
      </c>
      <c r="AF245" s="9"/>
      <c r="AG245" s="22">
        <v>1.0833699999999999</v>
      </c>
      <c r="AH245" s="22">
        <v>20.641100000000002</v>
      </c>
      <c r="AI245" s="22">
        <v>-1.3507099999999999E-2</v>
      </c>
      <c r="AJ245" s="22">
        <v>235</v>
      </c>
      <c r="AK245" s="22">
        <v>1.0821499999999999</v>
      </c>
      <c r="AL245">
        <f t="shared" si="42"/>
        <v>16.67543209876543</v>
      </c>
      <c r="AM245">
        <f t="shared" si="43"/>
        <v>18.065662872839503</v>
      </c>
      <c r="AP245" s="9"/>
      <c r="AQ245" s="22">
        <v>0.59661900000000001</v>
      </c>
      <c r="AR245" s="22">
        <v>26.083400000000001</v>
      </c>
      <c r="AS245" s="22">
        <v>-1.409E-2</v>
      </c>
      <c r="AT245" s="22">
        <v>235</v>
      </c>
      <c r="AU245" s="22">
        <v>0.59585600000000005</v>
      </c>
      <c r="AV245">
        <f t="shared" si="44"/>
        <v>17.39506172839506</v>
      </c>
      <c r="AW245">
        <f t="shared" si="45"/>
        <v>10.378224333333332</v>
      </c>
      <c r="AX245" s="9"/>
      <c r="AY245" s="22">
        <v>1.0833699999999999</v>
      </c>
      <c r="AZ245" s="22">
        <v>29.862300000000001</v>
      </c>
      <c r="BA245" s="22">
        <v>-1.3516200000000001E-2</v>
      </c>
      <c r="BB245" s="22">
        <v>235</v>
      </c>
      <c r="BC245" s="22">
        <v>1.0821499999999999</v>
      </c>
      <c r="BD245">
        <f t="shared" si="46"/>
        <v>16.686666666666664</v>
      </c>
      <c r="BE245">
        <f t="shared" si="47"/>
        <v>18.077834066666664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0.59158299999999997</v>
      </c>
      <c r="H246" s="22">
        <v>7.6210800000000001</v>
      </c>
      <c r="I246" s="22">
        <v>-1.40503E-2</v>
      </c>
      <c r="J246" s="22">
        <v>236</v>
      </c>
      <c r="K246" s="22">
        <v>0.59079000000000004</v>
      </c>
      <c r="L246">
        <f t="shared" si="36"/>
        <v>17.34604938271605</v>
      </c>
      <c r="M246">
        <f t="shared" si="37"/>
        <v>10.261627931975308</v>
      </c>
      <c r="N246" s="9"/>
      <c r="O246" s="22">
        <v>1.0884100000000001</v>
      </c>
      <c r="P246" s="22">
        <v>11.4</v>
      </c>
      <c r="Q246" s="22">
        <v>-1.34705E-2</v>
      </c>
      <c r="R246" s="22">
        <v>236</v>
      </c>
      <c r="S246" s="22">
        <v>1.08704</v>
      </c>
      <c r="T246">
        <f t="shared" si="38"/>
        <v>16.630246913580244</v>
      </c>
      <c r="U246">
        <f t="shared" si="39"/>
        <v>18.100527043209876</v>
      </c>
      <c r="X246" s="9"/>
      <c r="Y246" s="22">
        <v>0.59158299999999997</v>
      </c>
      <c r="Z246" s="22">
        <v>16.872299999999999</v>
      </c>
      <c r="AA246" s="22">
        <v>-1.4151E-2</v>
      </c>
      <c r="AB246" s="22">
        <v>236</v>
      </c>
      <c r="AC246" s="22">
        <v>0.59079000000000004</v>
      </c>
      <c r="AD246">
        <f t="shared" si="40"/>
        <v>17.470370370370368</v>
      </c>
      <c r="AE246">
        <f t="shared" si="41"/>
        <v>10.335174114814812</v>
      </c>
      <c r="AF246" s="9"/>
      <c r="AG246" s="22">
        <v>1.0884100000000001</v>
      </c>
      <c r="AH246" s="22">
        <v>20.651199999999999</v>
      </c>
      <c r="AI246" s="22">
        <v>-1.3494900000000001E-2</v>
      </c>
      <c r="AJ246" s="22">
        <v>236</v>
      </c>
      <c r="AK246" s="22">
        <v>1.08704</v>
      </c>
      <c r="AL246">
        <f t="shared" si="42"/>
        <v>16.660370370370369</v>
      </c>
      <c r="AM246">
        <f t="shared" si="43"/>
        <v>18.133313714814815</v>
      </c>
      <c r="AP246" s="9"/>
      <c r="AQ246" s="22">
        <v>0.59158299999999997</v>
      </c>
      <c r="AR246" s="22">
        <v>26.093499999999999</v>
      </c>
      <c r="AS246" s="22">
        <v>-1.40991E-2</v>
      </c>
      <c r="AT246" s="22">
        <v>236</v>
      </c>
      <c r="AU246" s="22">
        <v>0.59066799999999997</v>
      </c>
      <c r="AV246">
        <f t="shared" si="44"/>
        <v>17.406296296296293</v>
      </c>
      <c r="AW246">
        <f t="shared" si="45"/>
        <v>10.29726898185185</v>
      </c>
      <c r="AX246" s="9"/>
      <c r="AY246" s="22">
        <v>1.0884100000000001</v>
      </c>
      <c r="AZ246" s="22">
        <v>29.872399999999999</v>
      </c>
      <c r="BA246" s="22">
        <v>-1.3507099999999999E-2</v>
      </c>
      <c r="BB246" s="22">
        <v>236</v>
      </c>
      <c r="BC246" s="22">
        <v>1.08704</v>
      </c>
      <c r="BD246">
        <f t="shared" si="46"/>
        <v>16.67543209876543</v>
      </c>
      <c r="BE246">
        <f t="shared" si="47"/>
        <v>18.149707050617284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0.58654799999999996</v>
      </c>
      <c r="H247" s="22">
        <v>7.6311499999999999</v>
      </c>
      <c r="I247" s="22">
        <v>-1.4047199999999999E-2</v>
      </c>
      <c r="J247" s="22">
        <v>237</v>
      </c>
      <c r="K247" s="22">
        <v>0.585754</v>
      </c>
      <c r="L247">
        <f t="shared" si="36"/>
        <v>17.342222222222222</v>
      </c>
      <c r="M247">
        <f t="shared" si="37"/>
        <v>10.17204576</v>
      </c>
      <c r="N247" s="9"/>
      <c r="O247" s="22">
        <v>1.09344</v>
      </c>
      <c r="P247" s="22">
        <v>11.4101</v>
      </c>
      <c r="Q247" s="22">
        <v>-1.34705E-2</v>
      </c>
      <c r="R247" s="22">
        <v>237</v>
      </c>
      <c r="S247" s="22">
        <v>1.09283</v>
      </c>
      <c r="T247">
        <f t="shared" si="38"/>
        <v>16.630246913580244</v>
      </c>
      <c r="U247">
        <f t="shared" si="39"/>
        <v>18.184177185185181</v>
      </c>
      <c r="X247" s="9"/>
      <c r="Y247" s="22">
        <v>0.58654799999999996</v>
      </c>
      <c r="Z247" s="22">
        <v>16.882300000000001</v>
      </c>
      <c r="AA247" s="22">
        <v>-1.41602E-2</v>
      </c>
      <c r="AB247" s="22">
        <v>237</v>
      </c>
      <c r="AC247" s="22">
        <v>0.58581499999999997</v>
      </c>
      <c r="AD247">
        <f t="shared" si="40"/>
        <v>17.481728395061729</v>
      </c>
      <c r="AE247">
        <f t="shared" si="41"/>
        <v>10.253872826666667</v>
      </c>
      <c r="AF247" s="9"/>
      <c r="AG247" s="22">
        <v>1.09344</v>
      </c>
      <c r="AH247" s="22">
        <v>20.661200000000001</v>
      </c>
      <c r="AI247" s="22">
        <v>-1.34857E-2</v>
      </c>
      <c r="AJ247" s="22">
        <v>237</v>
      </c>
      <c r="AK247" s="22">
        <v>1.09222</v>
      </c>
      <c r="AL247">
        <f t="shared" si="42"/>
        <v>16.649012345679012</v>
      </c>
      <c r="AM247">
        <f t="shared" si="43"/>
        <v>18.204696059259259</v>
      </c>
      <c r="AP247" s="9"/>
      <c r="AQ247" s="22">
        <v>0.58654799999999996</v>
      </c>
      <c r="AR247" s="22">
        <v>26.1036</v>
      </c>
      <c r="AS247" s="22">
        <v>-1.4108300000000001E-2</v>
      </c>
      <c r="AT247" s="22">
        <v>237</v>
      </c>
      <c r="AU247" s="22">
        <v>0.585754</v>
      </c>
      <c r="AV247">
        <f t="shared" si="44"/>
        <v>17.417654320987655</v>
      </c>
      <c r="AW247">
        <f t="shared" si="45"/>
        <v>10.216290306666666</v>
      </c>
      <c r="AX247" s="9"/>
      <c r="AY247" s="22">
        <v>1.09344</v>
      </c>
      <c r="AZ247" s="22">
        <v>29.8825</v>
      </c>
      <c r="BA247" s="22">
        <v>-1.3501000000000001E-2</v>
      </c>
      <c r="BB247" s="22">
        <v>237</v>
      </c>
      <c r="BC247" s="22">
        <v>1.09222</v>
      </c>
      <c r="BD247">
        <f t="shared" si="46"/>
        <v>16.667901234567903</v>
      </c>
      <c r="BE247">
        <f t="shared" si="47"/>
        <v>18.225349925925929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0.58151200000000003</v>
      </c>
      <c r="H248" s="22">
        <v>7.6412199999999997</v>
      </c>
      <c r="I248" s="22">
        <v>-1.4047199999999999E-2</v>
      </c>
      <c r="J248" s="22">
        <v>238</v>
      </c>
      <c r="K248" s="22">
        <v>0.58071899999999999</v>
      </c>
      <c r="L248">
        <f t="shared" si="36"/>
        <v>17.342222222222222</v>
      </c>
      <c r="M248">
        <f t="shared" si="37"/>
        <v>10.084710328888889</v>
      </c>
      <c r="N248" s="9"/>
      <c r="O248" s="22">
        <v>1.0984799999999999</v>
      </c>
      <c r="P248" s="22">
        <v>11.4201</v>
      </c>
      <c r="Q248" s="22">
        <v>-1.34644E-2</v>
      </c>
      <c r="R248" s="22">
        <v>238</v>
      </c>
      <c r="S248" s="22">
        <v>1.09741</v>
      </c>
      <c r="T248">
        <f t="shared" si="38"/>
        <v>16.622716049382717</v>
      </c>
      <c r="U248">
        <f t="shared" si="39"/>
        <v>18.259721125925925</v>
      </c>
      <c r="X248" s="9"/>
      <c r="Y248" s="22">
        <v>0.58151200000000003</v>
      </c>
      <c r="Z248" s="22">
        <v>16.892399999999999</v>
      </c>
      <c r="AA248" s="22">
        <v>-1.41663E-2</v>
      </c>
      <c r="AB248" s="22">
        <v>238</v>
      </c>
      <c r="AC248" s="22">
        <v>0.58068799999999998</v>
      </c>
      <c r="AD248">
        <f t="shared" si="40"/>
        <v>17.489259259259256</v>
      </c>
      <c r="AE248">
        <f t="shared" si="41"/>
        <v>10.170214130370368</v>
      </c>
      <c r="AF248" s="9"/>
      <c r="AG248" s="22">
        <v>1.0984799999999999</v>
      </c>
      <c r="AH248" s="22">
        <v>20.671299999999999</v>
      </c>
      <c r="AI248" s="22">
        <v>-1.34827E-2</v>
      </c>
      <c r="AJ248" s="22">
        <v>238</v>
      </c>
      <c r="AK248" s="22">
        <v>1.09772</v>
      </c>
      <c r="AL248">
        <f t="shared" si="42"/>
        <v>16.645308641975308</v>
      </c>
      <c r="AM248">
        <f t="shared" si="43"/>
        <v>18.284538637037034</v>
      </c>
      <c r="AP248" s="9"/>
      <c r="AQ248" s="22">
        <v>0.58151200000000003</v>
      </c>
      <c r="AR248" s="22">
        <v>26.113600000000002</v>
      </c>
      <c r="AS248" s="22">
        <v>-1.41174E-2</v>
      </c>
      <c r="AT248" s="22">
        <v>238</v>
      </c>
      <c r="AU248" s="22">
        <v>0.58074999999999999</v>
      </c>
      <c r="AV248">
        <f t="shared" si="44"/>
        <v>17.428888888888888</v>
      </c>
      <c r="AW248">
        <f t="shared" si="45"/>
        <v>10.135108035555556</v>
      </c>
      <c r="AX248" s="9"/>
      <c r="AY248" s="22">
        <v>1.0984799999999999</v>
      </c>
      <c r="AZ248" s="22">
        <v>29.892499999999998</v>
      </c>
      <c r="BA248" s="22">
        <v>-1.3501000000000001E-2</v>
      </c>
      <c r="BB248" s="22">
        <v>238</v>
      </c>
      <c r="BC248" s="22">
        <v>1.09772</v>
      </c>
      <c r="BD248">
        <f t="shared" si="46"/>
        <v>16.667901234567903</v>
      </c>
      <c r="BE248">
        <f t="shared" si="47"/>
        <v>18.309356148148147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0.57647700000000002</v>
      </c>
      <c r="H249" s="22">
        <v>7.6512900000000004</v>
      </c>
      <c r="I249" s="22">
        <v>-1.4047199999999999E-2</v>
      </c>
      <c r="J249" s="22">
        <v>239</v>
      </c>
      <c r="K249" s="22">
        <v>0.57553100000000001</v>
      </c>
      <c r="L249">
        <f t="shared" si="36"/>
        <v>17.342222222222222</v>
      </c>
      <c r="M249">
        <f t="shared" si="37"/>
        <v>9.9973922399999999</v>
      </c>
      <c r="N249" s="9"/>
      <c r="O249" s="22">
        <v>1.1035200000000001</v>
      </c>
      <c r="P249" s="22">
        <v>11.430199999999999</v>
      </c>
      <c r="Q249" s="22">
        <v>-1.34552E-2</v>
      </c>
      <c r="R249" s="22">
        <v>239</v>
      </c>
      <c r="S249" s="22">
        <v>1.10229</v>
      </c>
      <c r="T249">
        <f t="shared" si="38"/>
        <v>16.611358024691356</v>
      </c>
      <c r="U249">
        <f t="shared" si="39"/>
        <v>18.330965807407406</v>
      </c>
      <c r="X249" s="9"/>
      <c r="Y249" s="22">
        <v>0.57647700000000002</v>
      </c>
      <c r="Z249" s="22">
        <v>16.9025</v>
      </c>
      <c r="AA249" s="22">
        <v>-1.41663E-2</v>
      </c>
      <c r="AB249" s="22">
        <v>239</v>
      </c>
      <c r="AC249" s="22">
        <v>0.575623</v>
      </c>
      <c r="AD249">
        <f t="shared" si="40"/>
        <v>17.489259259259256</v>
      </c>
      <c r="AE249">
        <f t="shared" si="41"/>
        <v>10.082155709999999</v>
      </c>
      <c r="AF249" s="9"/>
      <c r="AG249" s="22">
        <v>1.1035200000000001</v>
      </c>
      <c r="AH249" s="22">
        <v>20.6814</v>
      </c>
      <c r="AI249" s="22">
        <v>-1.34766E-2</v>
      </c>
      <c r="AJ249" s="22">
        <v>239</v>
      </c>
      <c r="AK249" s="22">
        <v>1.10229</v>
      </c>
      <c r="AL249">
        <f t="shared" si="42"/>
        <v>16.637777777777774</v>
      </c>
      <c r="AM249">
        <f t="shared" si="43"/>
        <v>18.36012053333333</v>
      </c>
      <c r="AP249" s="9"/>
      <c r="AQ249" s="22">
        <v>0.57647700000000002</v>
      </c>
      <c r="AR249" s="22">
        <v>26.123699999999999</v>
      </c>
      <c r="AS249" s="22">
        <v>-1.4108300000000001E-2</v>
      </c>
      <c r="AT249" s="22">
        <v>239</v>
      </c>
      <c r="AU249" s="22">
        <v>0.57556200000000002</v>
      </c>
      <c r="AV249">
        <f t="shared" si="44"/>
        <v>17.417654320987655</v>
      </c>
      <c r="AW249">
        <f t="shared" si="45"/>
        <v>10.04087711</v>
      </c>
      <c r="AX249" s="9"/>
      <c r="AY249" s="22">
        <v>1.1035200000000001</v>
      </c>
      <c r="AZ249" s="22">
        <v>29.9026</v>
      </c>
      <c r="BA249" s="22">
        <v>-1.34918E-2</v>
      </c>
      <c r="BB249" s="22">
        <v>239</v>
      </c>
      <c r="BC249" s="22">
        <v>1.1026</v>
      </c>
      <c r="BD249">
        <f t="shared" si="46"/>
        <v>16.656543209876542</v>
      </c>
      <c r="BE249">
        <f t="shared" si="47"/>
        <v>18.380828562962961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0.57144200000000001</v>
      </c>
      <c r="H250" s="22">
        <v>7.6613600000000002</v>
      </c>
      <c r="I250" s="22">
        <v>-1.40503E-2</v>
      </c>
      <c r="J250" s="22">
        <v>240</v>
      </c>
      <c r="K250" s="22">
        <v>0.57055699999999998</v>
      </c>
      <c r="L250">
        <f t="shared" si="36"/>
        <v>17.34604938271605</v>
      </c>
      <c r="M250">
        <f t="shared" si="37"/>
        <v>9.9122611513580257</v>
      </c>
      <c r="N250" s="9"/>
      <c r="O250" s="22">
        <v>1.1085499999999999</v>
      </c>
      <c r="P250" s="22">
        <v>11.440300000000001</v>
      </c>
      <c r="Q250" s="22">
        <v>-1.34521E-2</v>
      </c>
      <c r="R250" s="22">
        <v>240</v>
      </c>
      <c r="S250" s="22">
        <v>1.10748</v>
      </c>
      <c r="T250">
        <f t="shared" si="38"/>
        <v>16.607530864197528</v>
      </c>
      <c r="U250">
        <f t="shared" si="39"/>
        <v>18.410278339506167</v>
      </c>
      <c r="X250" s="9"/>
      <c r="Y250" s="22">
        <v>0.57144200000000001</v>
      </c>
      <c r="Z250" s="22">
        <v>16.912500000000001</v>
      </c>
      <c r="AA250" s="22">
        <v>-1.4154099999999999E-2</v>
      </c>
      <c r="AB250" s="22">
        <v>240</v>
      </c>
      <c r="AC250" s="22">
        <v>0.57067900000000005</v>
      </c>
      <c r="AD250">
        <f t="shared" si="40"/>
        <v>17.474197530864195</v>
      </c>
      <c r="AE250">
        <f t="shared" si="41"/>
        <v>9.9854903854320973</v>
      </c>
      <c r="AF250" s="9"/>
      <c r="AG250" s="22">
        <v>1.1085499999999999</v>
      </c>
      <c r="AH250" s="22">
        <v>20.691500000000001</v>
      </c>
      <c r="AI250" s="22">
        <v>-1.34705E-2</v>
      </c>
      <c r="AJ250" s="22">
        <v>240</v>
      </c>
      <c r="AK250" s="22">
        <v>1.10748</v>
      </c>
      <c r="AL250">
        <f t="shared" si="42"/>
        <v>16.630246913580244</v>
      </c>
      <c r="AM250">
        <f t="shared" si="43"/>
        <v>18.435460216049378</v>
      </c>
      <c r="AP250" s="9"/>
      <c r="AQ250" s="22">
        <v>0.57144200000000001</v>
      </c>
      <c r="AR250" s="22">
        <v>26.133800000000001</v>
      </c>
      <c r="AS250" s="22">
        <v>-1.41022E-2</v>
      </c>
      <c r="AT250" s="22">
        <v>240</v>
      </c>
      <c r="AU250" s="22">
        <v>0.57074000000000003</v>
      </c>
      <c r="AV250">
        <f t="shared" si="44"/>
        <v>17.410123456790124</v>
      </c>
      <c r="AW250">
        <f t="shared" si="45"/>
        <v>9.9488757683950624</v>
      </c>
      <c r="AX250" s="9"/>
      <c r="AY250" s="22">
        <v>1.1085499999999999</v>
      </c>
      <c r="AZ250" s="22">
        <v>29.912700000000001</v>
      </c>
      <c r="BA250" s="22">
        <v>-1.34827E-2</v>
      </c>
      <c r="BB250" s="22">
        <v>240</v>
      </c>
      <c r="BC250" s="22">
        <v>1.1077900000000001</v>
      </c>
      <c r="BD250">
        <f t="shared" si="46"/>
        <v>16.645308641975308</v>
      </c>
      <c r="BE250">
        <f t="shared" si="47"/>
        <v>18.452156895061727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0.56640599999999997</v>
      </c>
      <c r="H251" s="22">
        <v>7.6714399999999996</v>
      </c>
      <c r="I251" s="22">
        <v>-1.4053299999999999E-2</v>
      </c>
      <c r="J251" s="22">
        <v>241</v>
      </c>
      <c r="K251" s="22">
        <v>0.56561300000000003</v>
      </c>
      <c r="L251">
        <f t="shared" si="36"/>
        <v>17.349753086419753</v>
      </c>
      <c r="M251">
        <f t="shared" si="37"/>
        <v>9.8270042466666663</v>
      </c>
      <c r="N251" s="9"/>
      <c r="O251" s="22">
        <v>1.1135900000000001</v>
      </c>
      <c r="P251" s="22">
        <v>11.4503</v>
      </c>
      <c r="Q251" s="22">
        <v>-1.34491E-2</v>
      </c>
      <c r="R251" s="22">
        <v>241</v>
      </c>
      <c r="S251" s="22">
        <v>1.11267</v>
      </c>
      <c r="T251">
        <f t="shared" si="38"/>
        <v>16.603827160493829</v>
      </c>
      <c r="U251">
        <f t="shared" si="39"/>
        <v>18.489855887654326</v>
      </c>
      <c r="X251" s="9"/>
      <c r="Y251" s="22">
        <v>0.56640599999999997</v>
      </c>
      <c r="Z251" s="22">
        <v>16.922599999999999</v>
      </c>
      <c r="AA251" s="22">
        <v>-1.41388E-2</v>
      </c>
      <c r="AB251" s="22">
        <v>241</v>
      </c>
      <c r="AC251" s="22">
        <v>0.56564300000000001</v>
      </c>
      <c r="AD251">
        <f t="shared" si="40"/>
        <v>17.455308641975307</v>
      </c>
      <c r="AE251">
        <f t="shared" si="41"/>
        <v>9.8867915466666645</v>
      </c>
      <c r="AF251" s="9"/>
      <c r="AG251" s="22">
        <v>1.1135900000000001</v>
      </c>
      <c r="AH251" s="22">
        <v>20.701499999999999</v>
      </c>
      <c r="AI251" s="22">
        <v>-1.3467399999999999E-2</v>
      </c>
      <c r="AJ251" s="22">
        <v>241</v>
      </c>
      <c r="AK251" s="22">
        <v>1.1129800000000001</v>
      </c>
      <c r="AL251">
        <f t="shared" si="42"/>
        <v>16.626419753086417</v>
      </c>
      <c r="AM251">
        <f t="shared" si="43"/>
        <v>18.515014772839503</v>
      </c>
      <c r="AP251" s="9"/>
      <c r="AQ251" s="22">
        <v>0.56640599999999997</v>
      </c>
      <c r="AR251" s="22">
        <v>26.143799999999999</v>
      </c>
      <c r="AS251" s="22">
        <v>-1.41052E-2</v>
      </c>
      <c r="AT251" s="22">
        <v>241</v>
      </c>
      <c r="AU251" s="22">
        <v>0.56561300000000003</v>
      </c>
      <c r="AV251">
        <f t="shared" si="44"/>
        <v>17.413827160493828</v>
      </c>
      <c r="AW251">
        <f t="shared" si="45"/>
        <v>9.8632961866666662</v>
      </c>
      <c r="AX251" s="9"/>
      <c r="AY251" s="22">
        <v>1.1135900000000001</v>
      </c>
      <c r="AZ251" s="22">
        <v>29.922799999999999</v>
      </c>
      <c r="BA251" s="22">
        <v>-1.34705E-2</v>
      </c>
      <c r="BB251" s="22">
        <v>241</v>
      </c>
      <c r="BC251" s="22">
        <v>1.11267</v>
      </c>
      <c r="BD251">
        <f t="shared" si="46"/>
        <v>16.630246913580244</v>
      </c>
      <c r="BE251">
        <f t="shared" si="47"/>
        <v>18.519276660493826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0.56137099999999995</v>
      </c>
      <c r="H252" s="22">
        <v>7.6815100000000003</v>
      </c>
      <c r="I252" s="22">
        <v>-1.4053299999999999E-2</v>
      </c>
      <c r="J252" s="22">
        <v>242</v>
      </c>
      <c r="K252" s="22">
        <v>0.560608</v>
      </c>
      <c r="L252">
        <f t="shared" si="36"/>
        <v>17.349753086419753</v>
      </c>
      <c r="M252">
        <f t="shared" si="37"/>
        <v>9.7396482398765425</v>
      </c>
      <c r="N252" s="9"/>
      <c r="O252" s="22">
        <v>1.1186199999999999</v>
      </c>
      <c r="P252" s="22">
        <v>11.4604</v>
      </c>
      <c r="Q252" s="22">
        <v>-1.3439899999999999E-2</v>
      </c>
      <c r="R252" s="22">
        <v>242</v>
      </c>
      <c r="S252" s="22">
        <v>1.1172500000000001</v>
      </c>
      <c r="T252">
        <f t="shared" si="38"/>
        <v>16.592469135802467</v>
      </c>
      <c r="U252">
        <f t="shared" si="39"/>
        <v>18.560667824691354</v>
      </c>
      <c r="X252" s="9"/>
      <c r="Y252" s="22">
        <v>0.56137099999999995</v>
      </c>
      <c r="Z252" s="22">
        <v>16.932700000000001</v>
      </c>
      <c r="AA252" s="22">
        <v>-1.41418E-2</v>
      </c>
      <c r="AB252" s="22">
        <v>242</v>
      </c>
      <c r="AC252" s="22">
        <v>0.560608</v>
      </c>
      <c r="AD252">
        <f t="shared" si="40"/>
        <v>17.45901234567901</v>
      </c>
      <c r="AE252">
        <f t="shared" si="41"/>
        <v>9.8009832195061701</v>
      </c>
      <c r="AF252" s="9"/>
      <c r="AG252" s="22">
        <v>1.1186199999999999</v>
      </c>
      <c r="AH252" s="22">
        <v>20.711600000000001</v>
      </c>
      <c r="AI252" s="22">
        <v>-1.34644E-2</v>
      </c>
      <c r="AJ252" s="22">
        <v>242</v>
      </c>
      <c r="AK252" s="22">
        <v>1.1172500000000001</v>
      </c>
      <c r="AL252">
        <f t="shared" si="42"/>
        <v>16.622716049382717</v>
      </c>
      <c r="AM252">
        <f t="shared" si="43"/>
        <v>18.594502627160495</v>
      </c>
      <c r="AP252" s="9"/>
      <c r="AQ252" s="22">
        <v>0.56137099999999995</v>
      </c>
      <c r="AR252" s="22">
        <v>26.1539</v>
      </c>
      <c r="AS252" s="22">
        <v>-1.4108300000000001E-2</v>
      </c>
      <c r="AT252" s="22">
        <v>242</v>
      </c>
      <c r="AU252" s="22">
        <v>0.560608</v>
      </c>
      <c r="AV252">
        <f t="shared" si="44"/>
        <v>17.417654320987655</v>
      </c>
      <c r="AW252">
        <f t="shared" si="45"/>
        <v>9.7777660238271604</v>
      </c>
      <c r="AX252" s="9"/>
      <c r="AY252" s="22">
        <v>1.1186199999999999</v>
      </c>
      <c r="AZ252" s="22">
        <v>29.9328</v>
      </c>
      <c r="BA252" s="22">
        <v>-1.3458299999999999E-2</v>
      </c>
      <c r="BB252" s="22">
        <v>242</v>
      </c>
      <c r="BC252" s="22">
        <v>1.11755</v>
      </c>
      <c r="BD252">
        <f t="shared" si="46"/>
        <v>16.615185185185183</v>
      </c>
      <c r="BE252">
        <f t="shared" si="47"/>
        <v>18.586078451851847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0.55633500000000002</v>
      </c>
      <c r="H253" s="22">
        <v>7.6915800000000001</v>
      </c>
      <c r="I253" s="22">
        <v>-1.40564E-2</v>
      </c>
      <c r="J253" s="22">
        <v>243</v>
      </c>
      <c r="K253" s="22">
        <v>0.55551099999999998</v>
      </c>
      <c r="L253">
        <f t="shared" si="36"/>
        <v>17.35358024691358</v>
      </c>
      <c r="M253">
        <f t="shared" si="37"/>
        <v>9.6544040666666664</v>
      </c>
      <c r="N253" s="9"/>
      <c r="O253" s="22">
        <v>1.1236600000000001</v>
      </c>
      <c r="P253" s="22">
        <v>11.470499999999999</v>
      </c>
      <c r="Q253" s="22">
        <v>-1.34308E-2</v>
      </c>
      <c r="R253" s="22">
        <v>243</v>
      </c>
      <c r="S253" s="22">
        <v>1.1227400000000001</v>
      </c>
      <c r="T253">
        <f t="shared" si="38"/>
        <v>16.581234567901234</v>
      </c>
      <c r="U253">
        <f t="shared" si="39"/>
        <v>18.631670034567904</v>
      </c>
      <c r="X253" s="9"/>
      <c r="Y253" s="22">
        <v>0.55633500000000002</v>
      </c>
      <c r="Z253" s="22">
        <v>16.942799999999998</v>
      </c>
      <c r="AA253" s="22">
        <v>-1.41449E-2</v>
      </c>
      <c r="AB253" s="22">
        <v>243</v>
      </c>
      <c r="AC253" s="22">
        <v>0.55557299999999998</v>
      </c>
      <c r="AD253">
        <f t="shared" si="40"/>
        <v>17.462839506172838</v>
      </c>
      <c r="AE253">
        <f t="shared" si="41"/>
        <v>9.7151888166666662</v>
      </c>
      <c r="AF253" s="9"/>
      <c r="AG253" s="22">
        <v>1.1236600000000001</v>
      </c>
      <c r="AH253" s="22">
        <v>20.721699999999998</v>
      </c>
      <c r="AI253" s="22">
        <v>-1.3458299999999999E-2</v>
      </c>
      <c r="AJ253" s="22">
        <v>243</v>
      </c>
      <c r="AK253" s="22">
        <v>1.1230500000000001</v>
      </c>
      <c r="AL253">
        <f t="shared" si="42"/>
        <v>16.615185185185183</v>
      </c>
      <c r="AM253">
        <f t="shared" si="43"/>
        <v>18.669818985185184</v>
      </c>
      <c r="AP253" s="9"/>
      <c r="AQ253" s="22">
        <v>0.55633500000000002</v>
      </c>
      <c r="AR253" s="22">
        <v>26.164000000000001</v>
      </c>
      <c r="AS253" s="22">
        <v>-1.4108300000000001E-2</v>
      </c>
      <c r="AT253" s="22">
        <v>243</v>
      </c>
      <c r="AU253" s="22">
        <v>0.55563399999999996</v>
      </c>
      <c r="AV253">
        <f t="shared" si="44"/>
        <v>17.417654320987655</v>
      </c>
      <c r="AW253">
        <f t="shared" si="45"/>
        <v>9.6900507166666667</v>
      </c>
      <c r="AX253" s="9"/>
      <c r="AY253" s="22">
        <v>1.1236600000000001</v>
      </c>
      <c r="AZ253" s="22">
        <v>29.942900000000002</v>
      </c>
      <c r="BA253" s="22">
        <v>-1.34521E-2</v>
      </c>
      <c r="BB253" s="22">
        <v>243</v>
      </c>
      <c r="BC253" s="22">
        <v>1.1224400000000001</v>
      </c>
      <c r="BD253">
        <f t="shared" si="46"/>
        <v>16.607530864197528</v>
      </c>
      <c r="BE253">
        <f t="shared" si="47"/>
        <v>18.661218130864196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0.55130000000000001</v>
      </c>
      <c r="H254" s="22">
        <v>7.7016499999999999</v>
      </c>
      <c r="I254" s="22">
        <v>-1.4053299999999999E-2</v>
      </c>
      <c r="J254" s="22">
        <v>244</v>
      </c>
      <c r="K254" s="22">
        <v>0.55050699999999997</v>
      </c>
      <c r="L254">
        <f t="shared" si="36"/>
        <v>17.349753086419753</v>
      </c>
      <c r="M254">
        <f t="shared" si="37"/>
        <v>9.56491887654321</v>
      </c>
      <c r="N254" s="9"/>
      <c r="O254" s="22">
        <v>1.12869</v>
      </c>
      <c r="P254" s="22">
        <v>11.480600000000001</v>
      </c>
      <c r="Q254" s="22">
        <v>-1.3424699999999999E-2</v>
      </c>
      <c r="R254" s="22">
        <v>244</v>
      </c>
      <c r="S254" s="22">
        <v>1.1276200000000001</v>
      </c>
      <c r="T254">
        <f t="shared" si="38"/>
        <v>16.5737037037037</v>
      </c>
      <c r="U254">
        <f t="shared" si="39"/>
        <v>18.706573633333328</v>
      </c>
      <c r="X254" s="9"/>
      <c r="Y254" s="22">
        <v>0.55130000000000001</v>
      </c>
      <c r="Z254" s="22">
        <v>16.9528</v>
      </c>
      <c r="AA254" s="22">
        <v>-1.41418E-2</v>
      </c>
      <c r="AB254" s="22">
        <v>244</v>
      </c>
      <c r="AC254" s="22">
        <v>0.55056799999999995</v>
      </c>
      <c r="AD254">
        <f t="shared" si="40"/>
        <v>17.45901234567901</v>
      </c>
      <c r="AE254">
        <f t="shared" si="41"/>
        <v>9.6251535061728379</v>
      </c>
      <c r="AF254" s="9"/>
      <c r="AG254" s="22">
        <v>1.12869</v>
      </c>
      <c r="AH254" s="22">
        <v>20.7317</v>
      </c>
      <c r="AI254" s="22">
        <v>-1.3446E-2</v>
      </c>
      <c r="AJ254" s="22">
        <v>244</v>
      </c>
      <c r="AK254" s="22">
        <v>1.1273200000000001</v>
      </c>
      <c r="AL254">
        <f t="shared" si="42"/>
        <v>16.599999999999998</v>
      </c>
      <c r="AM254">
        <f t="shared" si="43"/>
        <v>18.736253999999999</v>
      </c>
      <c r="AP254" s="9"/>
      <c r="AQ254" s="22">
        <v>0.55130000000000001</v>
      </c>
      <c r="AR254" s="22">
        <v>26.174099999999999</v>
      </c>
      <c r="AS254" s="22">
        <v>-1.40961E-2</v>
      </c>
      <c r="AT254" s="22">
        <v>244</v>
      </c>
      <c r="AU254" s="22">
        <v>0.55062900000000004</v>
      </c>
      <c r="AV254">
        <f t="shared" si="44"/>
        <v>17.40259259259259</v>
      </c>
      <c r="AW254">
        <f t="shared" si="45"/>
        <v>9.594049296296296</v>
      </c>
      <c r="AX254" s="9"/>
      <c r="AY254" s="22">
        <v>1.12869</v>
      </c>
      <c r="AZ254" s="22">
        <v>29.952999999999999</v>
      </c>
      <c r="BA254" s="22">
        <v>-1.34491E-2</v>
      </c>
      <c r="BB254" s="22">
        <v>244</v>
      </c>
      <c r="BC254" s="22">
        <v>1.1273200000000001</v>
      </c>
      <c r="BD254">
        <f t="shared" si="46"/>
        <v>16.603827160493829</v>
      </c>
      <c r="BE254">
        <f t="shared" si="47"/>
        <v>18.740573677777778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0.546265</v>
      </c>
      <c r="H255" s="22">
        <v>7.7117199999999997</v>
      </c>
      <c r="I255" s="22">
        <v>-1.40503E-2</v>
      </c>
      <c r="J255" s="22">
        <v>245</v>
      </c>
      <c r="K255" s="22">
        <v>0.54544099999999995</v>
      </c>
      <c r="L255">
        <f t="shared" si="36"/>
        <v>17.34604938271605</v>
      </c>
      <c r="M255">
        <f t="shared" si="37"/>
        <v>9.4755396660493822</v>
      </c>
      <c r="N255" s="9"/>
      <c r="O255" s="22">
        <v>1.1337299999999999</v>
      </c>
      <c r="P255" s="22">
        <v>11.490600000000001</v>
      </c>
      <c r="Q255" s="22">
        <v>-1.34155E-2</v>
      </c>
      <c r="R255" s="22">
        <v>245</v>
      </c>
      <c r="S255" s="22">
        <v>1.1328100000000001</v>
      </c>
      <c r="T255">
        <f t="shared" si="38"/>
        <v>16.562345679012346</v>
      </c>
      <c r="U255">
        <f t="shared" si="39"/>
        <v>18.777228166666664</v>
      </c>
      <c r="X255" s="9"/>
      <c r="Y255" s="22">
        <v>0.546265</v>
      </c>
      <c r="Z255" s="22">
        <v>16.962900000000001</v>
      </c>
      <c r="AA255" s="22">
        <v>-1.41388E-2</v>
      </c>
      <c r="AB255" s="22">
        <v>245</v>
      </c>
      <c r="AC255" s="22">
        <v>0.54540999999999995</v>
      </c>
      <c r="AD255">
        <f t="shared" si="40"/>
        <v>17.455308641975307</v>
      </c>
      <c r="AE255">
        <f t="shared" si="41"/>
        <v>9.5352241753086417</v>
      </c>
      <c r="AF255" s="9"/>
      <c r="AG255" s="22">
        <v>1.1337299999999999</v>
      </c>
      <c r="AH255" s="22">
        <v>20.741800000000001</v>
      </c>
      <c r="AI255" s="22">
        <v>-1.34308E-2</v>
      </c>
      <c r="AJ255" s="22">
        <v>245</v>
      </c>
      <c r="AK255" s="22">
        <v>1.1325099999999999</v>
      </c>
      <c r="AL255">
        <f t="shared" si="42"/>
        <v>16.581234567901234</v>
      </c>
      <c r="AM255">
        <f t="shared" si="43"/>
        <v>18.798643066666664</v>
      </c>
      <c r="AP255" s="9"/>
      <c r="AQ255" s="22">
        <v>0.546265</v>
      </c>
      <c r="AR255" s="22">
        <v>26.184100000000001</v>
      </c>
      <c r="AS255" s="22">
        <v>-1.41052E-2</v>
      </c>
      <c r="AT255" s="22">
        <v>245</v>
      </c>
      <c r="AU255" s="22">
        <v>0.54550200000000004</v>
      </c>
      <c r="AV255">
        <f t="shared" si="44"/>
        <v>17.413827160493828</v>
      </c>
      <c r="AW255">
        <f t="shared" si="45"/>
        <v>9.5125642938271611</v>
      </c>
      <c r="AX255" s="9"/>
      <c r="AY255" s="22">
        <v>1.1337299999999999</v>
      </c>
      <c r="AZ255" s="22">
        <v>29.963000000000001</v>
      </c>
      <c r="BA255" s="22">
        <v>-1.3443E-2</v>
      </c>
      <c r="BB255" s="22">
        <v>245</v>
      </c>
      <c r="BC255" s="22">
        <v>1.1328100000000001</v>
      </c>
      <c r="BD255">
        <f t="shared" si="46"/>
        <v>16.596296296296295</v>
      </c>
      <c r="BE255">
        <f t="shared" si="47"/>
        <v>18.815718999999998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0.54122899999999996</v>
      </c>
      <c r="H256" s="22">
        <v>7.7217900000000004</v>
      </c>
      <c r="I256" s="22">
        <v>-1.40564E-2</v>
      </c>
      <c r="J256" s="22">
        <v>246</v>
      </c>
      <c r="K256" s="22">
        <v>0.540466</v>
      </c>
      <c r="L256">
        <f t="shared" si="36"/>
        <v>17.35358024691358</v>
      </c>
      <c r="M256">
        <f t="shared" si="37"/>
        <v>9.3922608834567889</v>
      </c>
      <c r="N256" s="9"/>
      <c r="O256" s="22">
        <v>1.13876</v>
      </c>
      <c r="P256" s="22">
        <v>11.5007</v>
      </c>
      <c r="Q256" s="22">
        <v>-1.3406400000000001E-2</v>
      </c>
      <c r="R256" s="22">
        <v>246</v>
      </c>
      <c r="S256" s="22">
        <v>1.1379999999999999</v>
      </c>
      <c r="T256">
        <f t="shared" si="38"/>
        <v>16.551111111111108</v>
      </c>
      <c r="U256">
        <f t="shared" si="39"/>
        <v>18.847743288888886</v>
      </c>
      <c r="X256" s="9"/>
      <c r="Y256" s="22">
        <v>0.54122899999999996</v>
      </c>
      <c r="Z256" s="22">
        <v>16.972999999999999</v>
      </c>
      <c r="AA256" s="22">
        <v>-1.41388E-2</v>
      </c>
      <c r="AB256" s="22">
        <v>246</v>
      </c>
      <c r="AC256" s="22">
        <v>0.540466</v>
      </c>
      <c r="AD256">
        <f t="shared" si="40"/>
        <v>17.455308641975307</v>
      </c>
      <c r="AE256">
        <f t="shared" si="41"/>
        <v>9.4473192409876532</v>
      </c>
      <c r="AF256" s="9"/>
      <c r="AG256" s="22">
        <v>1.13876</v>
      </c>
      <c r="AH256" s="22">
        <v>20.751899999999999</v>
      </c>
      <c r="AI256" s="22">
        <v>-1.3412500000000001E-2</v>
      </c>
      <c r="AJ256" s="22">
        <v>246</v>
      </c>
      <c r="AK256" s="22">
        <v>1.1376999999999999</v>
      </c>
      <c r="AL256">
        <f t="shared" si="42"/>
        <v>16.558641975308642</v>
      </c>
      <c r="AM256">
        <f t="shared" si="43"/>
        <v>18.856319135802469</v>
      </c>
      <c r="AP256" s="9"/>
      <c r="AQ256" s="22">
        <v>0.54122899999999996</v>
      </c>
      <c r="AR256" s="22">
        <v>26.194199999999999</v>
      </c>
      <c r="AS256" s="22">
        <v>-1.4108300000000001E-2</v>
      </c>
      <c r="AT256" s="22">
        <v>246</v>
      </c>
      <c r="AU256" s="22">
        <v>0.540466</v>
      </c>
      <c r="AV256">
        <f t="shared" si="44"/>
        <v>17.417654320987655</v>
      </c>
      <c r="AW256">
        <f t="shared" si="45"/>
        <v>9.4269396304938269</v>
      </c>
      <c r="AX256" s="9"/>
      <c r="AY256" s="22">
        <v>1.13876</v>
      </c>
      <c r="AZ256" s="22">
        <v>29.973099999999999</v>
      </c>
      <c r="BA256" s="22">
        <v>-1.3446E-2</v>
      </c>
      <c r="BB256" s="22">
        <v>246</v>
      </c>
      <c r="BC256" s="22">
        <v>1.1370800000000001</v>
      </c>
      <c r="BD256">
        <f t="shared" si="46"/>
        <v>16.599999999999998</v>
      </c>
      <c r="BE256">
        <f t="shared" si="47"/>
        <v>18.903415999999996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0.53619399999999995</v>
      </c>
      <c r="H257" s="22">
        <v>7.7318600000000002</v>
      </c>
      <c r="I257" s="22">
        <v>-1.40564E-2</v>
      </c>
      <c r="J257" s="22">
        <v>247</v>
      </c>
      <c r="K257" s="22">
        <v>0.53543099999999999</v>
      </c>
      <c r="L257">
        <f t="shared" si="36"/>
        <v>17.35358024691358</v>
      </c>
      <c r="M257">
        <f t="shared" si="37"/>
        <v>9.3048856069135795</v>
      </c>
      <c r="N257" s="9"/>
      <c r="O257" s="22">
        <v>1.1437999999999999</v>
      </c>
      <c r="P257" s="22">
        <v>11.5108</v>
      </c>
      <c r="Q257" s="22">
        <v>-1.33972E-2</v>
      </c>
      <c r="R257" s="22">
        <v>247</v>
      </c>
      <c r="S257" s="22">
        <v>1.1431899999999999</v>
      </c>
      <c r="T257">
        <f t="shared" si="38"/>
        <v>16.539753086419751</v>
      </c>
      <c r="U257">
        <f t="shared" si="39"/>
        <v>18.918169580246911</v>
      </c>
      <c r="X257" s="9"/>
      <c r="Y257" s="22">
        <v>0.53619399999999995</v>
      </c>
      <c r="Z257" s="22">
        <v>16.983000000000001</v>
      </c>
      <c r="AA257" s="22">
        <v>-1.41388E-2</v>
      </c>
      <c r="AB257" s="22">
        <v>247</v>
      </c>
      <c r="AC257" s="22">
        <v>0.53546099999999996</v>
      </c>
      <c r="AD257">
        <f t="shared" si="40"/>
        <v>17.455308641975307</v>
      </c>
      <c r="AE257">
        <f t="shared" si="41"/>
        <v>9.3594317619753067</v>
      </c>
      <c r="AF257" s="9"/>
      <c r="AG257" s="22">
        <v>1.1437999999999999</v>
      </c>
      <c r="AH257" s="22">
        <v>20.761900000000001</v>
      </c>
      <c r="AI257" s="22">
        <v>-1.33881E-2</v>
      </c>
      <c r="AJ257" s="22">
        <v>247</v>
      </c>
      <c r="AK257" s="22">
        <v>1.1428799999999999</v>
      </c>
      <c r="AL257">
        <f t="shared" si="42"/>
        <v>16.528518518518517</v>
      </c>
      <c r="AM257">
        <f t="shared" si="43"/>
        <v>18.905319481481477</v>
      </c>
      <c r="AP257" s="9"/>
      <c r="AQ257" s="22">
        <v>0.53619399999999995</v>
      </c>
      <c r="AR257" s="22">
        <v>26.2043</v>
      </c>
      <c r="AS257" s="22">
        <v>-1.4120499999999999E-2</v>
      </c>
      <c r="AT257" s="22">
        <v>247</v>
      </c>
      <c r="AU257" s="22">
        <v>0.53537000000000001</v>
      </c>
      <c r="AV257">
        <f t="shared" si="44"/>
        <v>17.432716049382716</v>
      </c>
      <c r="AW257">
        <f t="shared" si="45"/>
        <v>9.3473177493827144</v>
      </c>
      <c r="AX257" s="9"/>
      <c r="AY257" s="22">
        <v>1.1437999999999999</v>
      </c>
      <c r="AZ257" s="22">
        <v>29.9832</v>
      </c>
      <c r="BA257" s="22">
        <v>-1.3439899999999999E-2</v>
      </c>
      <c r="BB257" s="22">
        <v>247</v>
      </c>
      <c r="BC257" s="22">
        <v>1.1428799999999999</v>
      </c>
      <c r="BD257">
        <f t="shared" si="46"/>
        <v>16.592469135802467</v>
      </c>
      <c r="BE257">
        <f t="shared" si="47"/>
        <v>18.97846619753086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0.53115800000000002</v>
      </c>
      <c r="H258" s="22">
        <v>7.74193</v>
      </c>
      <c r="I258" s="22">
        <v>-1.40625E-2</v>
      </c>
      <c r="J258" s="22">
        <v>248</v>
      </c>
      <c r="K258" s="22">
        <v>0.53036499999999998</v>
      </c>
      <c r="L258">
        <f t="shared" si="36"/>
        <v>17.361111111111111</v>
      </c>
      <c r="M258">
        <f t="shared" si="37"/>
        <v>9.2214930555555554</v>
      </c>
      <c r="N258" s="9"/>
      <c r="O258" s="22">
        <v>1.14883</v>
      </c>
      <c r="P258" s="22">
        <v>11.520799999999999</v>
      </c>
      <c r="Q258" s="22">
        <v>-1.3384999999999999E-2</v>
      </c>
      <c r="R258" s="22">
        <v>248</v>
      </c>
      <c r="S258" s="22">
        <v>1.14838</v>
      </c>
      <c r="T258">
        <f t="shared" si="38"/>
        <v>16.52469135802469</v>
      </c>
      <c r="U258">
        <f t="shared" si="39"/>
        <v>18.984061172839503</v>
      </c>
      <c r="X258" s="9"/>
      <c r="Y258" s="22">
        <v>0.53115800000000002</v>
      </c>
      <c r="Z258" s="22">
        <v>16.993099999999998</v>
      </c>
      <c r="AA258" s="22">
        <v>-1.41418E-2</v>
      </c>
      <c r="AB258" s="22">
        <v>248</v>
      </c>
      <c r="AC258" s="22">
        <v>0.53039599999999998</v>
      </c>
      <c r="AD258">
        <f t="shared" si="40"/>
        <v>17.45901234567901</v>
      </c>
      <c r="AE258">
        <f t="shared" si="41"/>
        <v>9.2734940795061718</v>
      </c>
      <c r="AF258" s="9"/>
      <c r="AG258" s="22">
        <v>1.14883</v>
      </c>
      <c r="AH258" s="22">
        <v>20.771999999999998</v>
      </c>
      <c r="AI258" s="22">
        <v>-1.3372800000000001E-2</v>
      </c>
      <c r="AJ258" s="22">
        <v>248</v>
      </c>
      <c r="AK258" s="22">
        <v>1.14777</v>
      </c>
      <c r="AL258">
        <f t="shared" si="42"/>
        <v>16.509629629629632</v>
      </c>
      <c r="AM258">
        <f t="shared" si="43"/>
        <v>18.966757807407411</v>
      </c>
      <c r="AP258" s="9"/>
      <c r="AQ258" s="22">
        <v>0.53115800000000002</v>
      </c>
      <c r="AR258" s="22">
        <v>26.214300000000001</v>
      </c>
      <c r="AS258" s="22">
        <v>-1.41266E-2</v>
      </c>
      <c r="AT258" s="22">
        <v>248</v>
      </c>
      <c r="AU258" s="22">
        <v>0.53018200000000004</v>
      </c>
      <c r="AV258">
        <f t="shared" si="44"/>
        <v>17.440246913580246</v>
      </c>
      <c r="AW258">
        <f t="shared" si="45"/>
        <v>9.263526670123456</v>
      </c>
      <c r="AX258" s="9"/>
      <c r="AY258" s="22">
        <v>1.14883</v>
      </c>
      <c r="AZ258" s="22">
        <v>29.993300000000001</v>
      </c>
      <c r="BA258" s="22">
        <v>-1.34369E-2</v>
      </c>
      <c r="BB258" s="22">
        <v>248</v>
      </c>
      <c r="BC258" s="22">
        <v>1.14777</v>
      </c>
      <c r="BD258">
        <f t="shared" si="46"/>
        <v>16.588765432098764</v>
      </c>
      <c r="BE258">
        <f t="shared" si="47"/>
        <v>19.057671391358024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0.52612300000000001</v>
      </c>
      <c r="H259" s="22">
        <v>7.7519999999999998</v>
      </c>
      <c r="I259" s="22">
        <v>-1.4068600000000001E-2</v>
      </c>
      <c r="J259" s="22">
        <v>249</v>
      </c>
      <c r="K259" s="22">
        <v>0.52542100000000003</v>
      </c>
      <c r="L259">
        <f t="shared" si="36"/>
        <v>17.368641975308641</v>
      </c>
      <c r="M259">
        <f t="shared" si="37"/>
        <v>9.1380420219753091</v>
      </c>
      <c r="N259" s="9"/>
      <c r="O259" s="22">
        <v>1.15387</v>
      </c>
      <c r="P259" s="22">
        <v>11.530900000000001</v>
      </c>
      <c r="Q259" s="22">
        <v>-1.3369799999999999E-2</v>
      </c>
      <c r="R259" s="22">
        <v>249</v>
      </c>
      <c r="S259" s="22">
        <v>1.15326</v>
      </c>
      <c r="T259">
        <f t="shared" si="38"/>
        <v>16.505925925925922</v>
      </c>
      <c r="U259">
        <f t="shared" si="39"/>
        <v>19.045692748148142</v>
      </c>
      <c r="X259" s="9"/>
      <c r="Y259" s="22">
        <v>0.52612300000000001</v>
      </c>
      <c r="Z259" s="22">
        <v>17.0032</v>
      </c>
      <c r="AA259" s="22">
        <v>-1.41418E-2</v>
      </c>
      <c r="AB259" s="22">
        <v>249</v>
      </c>
      <c r="AC259" s="22">
        <v>0.525482</v>
      </c>
      <c r="AD259">
        <f t="shared" si="40"/>
        <v>17.45901234567901</v>
      </c>
      <c r="AE259">
        <f t="shared" si="41"/>
        <v>9.1855879523456778</v>
      </c>
      <c r="AF259" s="9"/>
      <c r="AG259" s="22">
        <v>1.15387</v>
      </c>
      <c r="AH259" s="22">
        <v>20.7821</v>
      </c>
      <c r="AI259" s="22">
        <v>-1.3369799999999999E-2</v>
      </c>
      <c r="AJ259" s="22">
        <v>249</v>
      </c>
      <c r="AK259" s="22">
        <v>1.15326</v>
      </c>
      <c r="AL259">
        <f t="shared" si="42"/>
        <v>16.505925925925922</v>
      </c>
      <c r="AM259">
        <f t="shared" si="43"/>
        <v>19.045692748148142</v>
      </c>
      <c r="AP259" s="9"/>
      <c r="AQ259" s="22">
        <v>0.52612300000000001</v>
      </c>
      <c r="AR259" s="22">
        <v>26.224399999999999</v>
      </c>
      <c r="AS259" s="22">
        <v>-1.41327E-2</v>
      </c>
      <c r="AT259" s="22">
        <v>249</v>
      </c>
      <c r="AU259" s="22">
        <v>0.52536000000000005</v>
      </c>
      <c r="AV259">
        <f t="shared" si="44"/>
        <v>17.447777777777777</v>
      </c>
      <c r="AW259">
        <f t="shared" si="45"/>
        <v>9.1796771877777772</v>
      </c>
      <c r="AX259" s="9"/>
      <c r="AY259" s="22">
        <v>1.15387</v>
      </c>
      <c r="AZ259" s="22">
        <v>30.003299999999999</v>
      </c>
      <c r="BA259" s="22">
        <v>-1.3433799999999999E-2</v>
      </c>
      <c r="BB259" s="22">
        <v>249</v>
      </c>
      <c r="BC259" s="22">
        <v>1.1529499999999999</v>
      </c>
      <c r="BD259">
        <f t="shared" si="46"/>
        <v>16.584938271604937</v>
      </c>
      <c r="BE259">
        <f t="shared" si="47"/>
        <v>19.136862723456787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0.521088</v>
      </c>
      <c r="H260" s="22">
        <v>7.7620699999999996</v>
      </c>
      <c r="I260" s="22">
        <v>-1.40778E-2</v>
      </c>
      <c r="J260" s="22">
        <v>250</v>
      </c>
      <c r="K260" s="22">
        <v>0.52035500000000001</v>
      </c>
      <c r="L260">
        <f t="shared" si="36"/>
        <v>17.38</v>
      </c>
      <c r="M260">
        <f t="shared" si="37"/>
        <v>9.0565094399999992</v>
      </c>
      <c r="N260" s="9"/>
      <c r="O260" s="22">
        <v>1.1589100000000001</v>
      </c>
      <c r="P260" s="22">
        <v>11.541</v>
      </c>
      <c r="Q260" s="22">
        <v>-1.33667E-2</v>
      </c>
      <c r="R260" s="22">
        <v>250</v>
      </c>
      <c r="S260" s="22">
        <v>1.15784</v>
      </c>
      <c r="T260">
        <f t="shared" si="38"/>
        <v>16.502098765432098</v>
      </c>
      <c r="U260">
        <f t="shared" si="39"/>
        <v>19.124447280246915</v>
      </c>
      <c r="X260" s="9"/>
      <c r="Y260" s="22">
        <v>0.521088</v>
      </c>
      <c r="Z260" s="22">
        <v>17.013300000000001</v>
      </c>
      <c r="AA260" s="22">
        <v>-1.41418E-2</v>
      </c>
      <c r="AB260" s="22">
        <v>250</v>
      </c>
      <c r="AC260" s="22">
        <v>0.52041599999999999</v>
      </c>
      <c r="AD260">
        <f t="shared" si="40"/>
        <v>17.45901234567901</v>
      </c>
      <c r="AE260">
        <f t="shared" si="41"/>
        <v>9.0976818251851839</v>
      </c>
      <c r="AF260" s="9"/>
      <c r="AG260" s="22">
        <v>1.1589100000000001</v>
      </c>
      <c r="AH260" s="22">
        <v>20.792200000000001</v>
      </c>
      <c r="AI260" s="22">
        <v>-1.33636E-2</v>
      </c>
      <c r="AJ260" s="22">
        <v>250</v>
      </c>
      <c r="AK260" s="22">
        <v>1.1581399999999999</v>
      </c>
      <c r="AL260">
        <f t="shared" si="42"/>
        <v>16.498271604938271</v>
      </c>
      <c r="AM260">
        <f t="shared" si="43"/>
        <v>19.120011945679014</v>
      </c>
      <c r="AP260" s="9"/>
      <c r="AQ260" s="22">
        <v>0.521088</v>
      </c>
      <c r="AR260" s="22">
        <v>26.234500000000001</v>
      </c>
      <c r="AS260" s="22">
        <v>-1.41327E-2</v>
      </c>
      <c r="AT260" s="22">
        <v>250</v>
      </c>
      <c r="AU260" s="22">
        <v>0.52032500000000004</v>
      </c>
      <c r="AV260">
        <f t="shared" si="44"/>
        <v>17.447777777777777</v>
      </c>
      <c r="AW260">
        <f t="shared" si="45"/>
        <v>9.0918276266666656</v>
      </c>
      <c r="AX260" s="9"/>
      <c r="AY260" s="22">
        <v>1.1589100000000001</v>
      </c>
      <c r="AZ260" s="22">
        <v>30.013400000000001</v>
      </c>
      <c r="BA260" s="22">
        <v>-1.3424699999999999E-2</v>
      </c>
      <c r="BB260" s="22">
        <v>250</v>
      </c>
      <c r="BC260" s="22">
        <v>1.1575299999999999</v>
      </c>
      <c r="BD260">
        <f t="shared" si="46"/>
        <v>16.5737037037037</v>
      </c>
      <c r="BE260">
        <f t="shared" si="47"/>
        <v>19.207430959259256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0.51605199999999996</v>
      </c>
      <c r="H261" s="22">
        <v>7.7721499999999999</v>
      </c>
      <c r="I261" s="22">
        <v>-1.40839E-2</v>
      </c>
      <c r="J261" s="22">
        <v>251</v>
      </c>
      <c r="K261" s="22">
        <v>0.51522800000000002</v>
      </c>
      <c r="L261">
        <f t="shared" si="36"/>
        <v>17.387530864197529</v>
      </c>
      <c r="M261">
        <f t="shared" si="37"/>
        <v>8.9728700775308621</v>
      </c>
      <c r="N261" s="9"/>
      <c r="O261" s="22">
        <v>1.16394</v>
      </c>
      <c r="P261" s="22">
        <v>11.5511</v>
      </c>
      <c r="Q261" s="22">
        <v>-1.33545E-2</v>
      </c>
      <c r="R261" s="22">
        <v>251</v>
      </c>
      <c r="S261" s="22">
        <v>1.16333</v>
      </c>
      <c r="T261">
        <f t="shared" si="38"/>
        <v>16.487037037037037</v>
      </c>
      <c r="U261">
        <f t="shared" si="39"/>
        <v>19.18992188888889</v>
      </c>
      <c r="X261" s="9"/>
      <c r="Y261" s="22">
        <v>0.51605199999999996</v>
      </c>
      <c r="Z261" s="22">
        <v>17.023299999999999</v>
      </c>
      <c r="AA261" s="22">
        <v>-1.41388E-2</v>
      </c>
      <c r="AB261" s="22">
        <v>251</v>
      </c>
      <c r="AC261" s="22">
        <v>0.51522800000000002</v>
      </c>
      <c r="AD261">
        <f t="shared" si="40"/>
        <v>17.455308641975307</v>
      </c>
      <c r="AE261">
        <f t="shared" si="41"/>
        <v>9.0078469353086401</v>
      </c>
      <c r="AF261" s="9"/>
      <c r="AG261" s="22">
        <v>1.16394</v>
      </c>
      <c r="AH261" s="22">
        <v>20.802199999999999</v>
      </c>
      <c r="AI261" s="22">
        <v>-1.33575E-2</v>
      </c>
      <c r="AJ261" s="22">
        <v>251</v>
      </c>
      <c r="AK261" s="22">
        <v>1.16272</v>
      </c>
      <c r="AL261">
        <f t="shared" si="42"/>
        <v>16.49074074074074</v>
      </c>
      <c r="AM261">
        <f t="shared" si="43"/>
        <v>19.194232777777778</v>
      </c>
      <c r="AP261" s="9"/>
      <c r="AQ261" s="22">
        <v>0.51605199999999996</v>
      </c>
      <c r="AR261" s="22">
        <v>26.244599999999998</v>
      </c>
      <c r="AS261" s="22">
        <v>-1.4129600000000001E-2</v>
      </c>
      <c r="AT261" s="22">
        <v>251</v>
      </c>
      <c r="AU261" s="22">
        <v>0.51519800000000004</v>
      </c>
      <c r="AV261">
        <f t="shared" si="44"/>
        <v>17.443950617283949</v>
      </c>
      <c r="AW261">
        <f t="shared" si="45"/>
        <v>9.0019856039506152</v>
      </c>
      <c r="AX261" s="9"/>
      <c r="AY261" s="22">
        <v>1.16394</v>
      </c>
      <c r="AZ261" s="22">
        <v>30.023499999999999</v>
      </c>
      <c r="BA261" s="22">
        <v>-1.3421600000000001E-2</v>
      </c>
      <c r="BB261" s="22">
        <v>251</v>
      </c>
      <c r="BC261" s="22">
        <v>1.1624099999999999</v>
      </c>
      <c r="BD261">
        <f t="shared" si="46"/>
        <v>16.569876543209876</v>
      </c>
      <c r="BE261">
        <f t="shared" si="47"/>
        <v>19.286342103703703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0.51101700000000005</v>
      </c>
      <c r="H262" s="22">
        <v>7.7822199999999997</v>
      </c>
      <c r="I262" s="22">
        <v>-1.40778E-2</v>
      </c>
      <c r="J262" s="22">
        <v>252</v>
      </c>
      <c r="K262" s="22">
        <v>0.51025399999999999</v>
      </c>
      <c r="L262">
        <f t="shared" si="36"/>
        <v>17.38</v>
      </c>
      <c r="M262">
        <f t="shared" si="37"/>
        <v>8.8814754600000008</v>
      </c>
      <c r="N262" s="9"/>
      <c r="O262" s="22">
        <v>1.1689799999999999</v>
      </c>
      <c r="P262" s="22">
        <v>11.5611</v>
      </c>
      <c r="Q262" s="22">
        <v>-1.3345299999999999E-2</v>
      </c>
      <c r="R262" s="22">
        <v>252</v>
      </c>
      <c r="S262" s="22">
        <v>1.16791</v>
      </c>
      <c r="T262">
        <f t="shared" si="38"/>
        <v>16.475679012345676</v>
      </c>
      <c r="U262">
        <f t="shared" si="39"/>
        <v>19.259739251851848</v>
      </c>
      <c r="X262" s="9"/>
      <c r="Y262" s="22">
        <v>0.51101700000000005</v>
      </c>
      <c r="Z262" s="22">
        <v>17.0334</v>
      </c>
      <c r="AA262" s="22">
        <v>-1.41449E-2</v>
      </c>
      <c r="AB262" s="22">
        <v>252</v>
      </c>
      <c r="AC262" s="22">
        <v>0.51037600000000005</v>
      </c>
      <c r="AD262">
        <f t="shared" si="40"/>
        <v>17.462839506172838</v>
      </c>
      <c r="AE262">
        <f t="shared" si="41"/>
        <v>8.9238078559259257</v>
      </c>
      <c r="AF262" s="9"/>
      <c r="AG262" s="22">
        <v>1.1689799999999999</v>
      </c>
      <c r="AH262" s="22">
        <v>20.8123</v>
      </c>
      <c r="AI262" s="22">
        <v>-1.33545E-2</v>
      </c>
      <c r="AJ262" s="22">
        <v>252</v>
      </c>
      <c r="AK262" s="22">
        <v>1.16821</v>
      </c>
      <c r="AL262">
        <f t="shared" si="42"/>
        <v>16.487037037037037</v>
      </c>
      <c r="AM262">
        <f t="shared" si="43"/>
        <v>19.273016555555554</v>
      </c>
      <c r="AP262" s="9"/>
      <c r="AQ262" s="22">
        <v>0.51101700000000005</v>
      </c>
      <c r="AR262" s="22">
        <v>26.2546</v>
      </c>
      <c r="AS262" s="22">
        <v>-1.41327E-2</v>
      </c>
      <c r="AT262" s="22">
        <v>252</v>
      </c>
      <c r="AU262" s="22">
        <v>0.51019300000000001</v>
      </c>
      <c r="AV262">
        <f t="shared" si="44"/>
        <v>17.447777777777777</v>
      </c>
      <c r="AW262">
        <f t="shared" si="45"/>
        <v>8.9161110566666668</v>
      </c>
      <c r="AX262" s="9"/>
      <c r="AY262" s="22">
        <v>1.1689799999999999</v>
      </c>
      <c r="AZ262" s="22">
        <v>30.0335</v>
      </c>
      <c r="BA262" s="22">
        <v>-1.34155E-2</v>
      </c>
      <c r="BB262" s="22">
        <v>252</v>
      </c>
      <c r="BC262" s="22">
        <v>1.16791</v>
      </c>
      <c r="BD262">
        <f t="shared" si="46"/>
        <v>16.562345679012346</v>
      </c>
      <c r="BE262">
        <f t="shared" si="47"/>
        <v>19.36105085185185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0.50598100000000001</v>
      </c>
      <c r="H263" s="22">
        <v>7.7922900000000004</v>
      </c>
      <c r="I263" s="22">
        <v>-1.4080799999999999E-2</v>
      </c>
      <c r="J263" s="22">
        <v>253</v>
      </c>
      <c r="K263" s="22">
        <v>0.50515699999999997</v>
      </c>
      <c r="L263">
        <f t="shared" si="36"/>
        <v>17.383703703703702</v>
      </c>
      <c r="M263">
        <f t="shared" si="37"/>
        <v>8.7958237837037032</v>
      </c>
      <c r="N263" s="9"/>
      <c r="O263" s="22">
        <v>1.17401</v>
      </c>
      <c r="P263" s="22">
        <v>11.571199999999999</v>
      </c>
      <c r="Q263" s="22">
        <v>-1.3339200000000001E-2</v>
      </c>
      <c r="R263" s="22">
        <v>253</v>
      </c>
      <c r="S263" s="22">
        <v>1.1731</v>
      </c>
      <c r="T263">
        <f t="shared" si="38"/>
        <v>16.468148148148149</v>
      </c>
      <c r="U263">
        <f t="shared" si="39"/>
        <v>19.333770607407409</v>
      </c>
      <c r="X263" s="9"/>
      <c r="Y263" s="22">
        <v>0.50598100000000001</v>
      </c>
      <c r="Z263" s="22">
        <v>17.043500000000002</v>
      </c>
      <c r="AA263" s="22">
        <v>-1.4154099999999999E-2</v>
      </c>
      <c r="AB263" s="22">
        <v>253</v>
      </c>
      <c r="AC263" s="22">
        <v>0.50512699999999999</v>
      </c>
      <c r="AD263">
        <f t="shared" si="40"/>
        <v>17.474197530864195</v>
      </c>
      <c r="AE263">
        <f t="shared" si="41"/>
        <v>8.8416119408641975</v>
      </c>
      <c r="AF263" s="9"/>
      <c r="AG263" s="22">
        <v>1.17401</v>
      </c>
      <c r="AH263" s="22">
        <v>20.822399999999998</v>
      </c>
      <c r="AI263" s="22">
        <v>-1.33423E-2</v>
      </c>
      <c r="AJ263" s="22">
        <v>253</v>
      </c>
      <c r="AK263" s="22">
        <v>1.1731</v>
      </c>
      <c r="AL263">
        <f t="shared" si="42"/>
        <v>16.471975308641973</v>
      </c>
      <c r="AM263">
        <f t="shared" si="43"/>
        <v>19.338263732098763</v>
      </c>
      <c r="AP263" s="9"/>
      <c r="AQ263" s="22">
        <v>0.50598100000000001</v>
      </c>
      <c r="AR263" s="22">
        <v>26.264700000000001</v>
      </c>
      <c r="AS263" s="22">
        <v>-1.41266E-2</v>
      </c>
      <c r="AT263" s="22">
        <v>253</v>
      </c>
      <c r="AU263" s="22">
        <v>0.50524899999999995</v>
      </c>
      <c r="AV263">
        <f t="shared" si="44"/>
        <v>17.440246913580246</v>
      </c>
      <c r="AW263">
        <f t="shared" si="45"/>
        <v>8.8244335735802473</v>
      </c>
      <c r="AX263" s="9"/>
      <c r="AY263" s="22">
        <v>1.17401</v>
      </c>
      <c r="AZ263" s="22">
        <v>30.043600000000001</v>
      </c>
      <c r="BA263" s="22">
        <v>-1.3412500000000001E-2</v>
      </c>
      <c r="BB263" s="22">
        <v>253</v>
      </c>
      <c r="BC263" s="22">
        <v>1.1734</v>
      </c>
      <c r="BD263">
        <f t="shared" si="46"/>
        <v>16.558641975308642</v>
      </c>
      <c r="BE263">
        <f t="shared" si="47"/>
        <v>19.440011265432098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0.500946</v>
      </c>
      <c r="H264" s="22">
        <v>7.8023600000000002</v>
      </c>
      <c r="I264" s="22">
        <v>-1.4080799999999999E-2</v>
      </c>
      <c r="J264" s="22">
        <v>254</v>
      </c>
      <c r="K264" s="22">
        <v>0.50018300000000004</v>
      </c>
      <c r="L264">
        <f t="shared" si="36"/>
        <v>17.383703703703702</v>
      </c>
      <c r="M264">
        <f t="shared" si="37"/>
        <v>8.7082968355555543</v>
      </c>
      <c r="N264" s="9"/>
      <c r="O264" s="22">
        <v>1.1790499999999999</v>
      </c>
      <c r="P264" s="22">
        <v>11.581300000000001</v>
      </c>
      <c r="Q264" s="22">
        <v>-1.3330099999999999E-2</v>
      </c>
      <c r="R264" s="22">
        <v>254</v>
      </c>
      <c r="S264" s="22">
        <v>1.17767</v>
      </c>
      <c r="T264">
        <f t="shared" si="38"/>
        <v>16.456913580246912</v>
      </c>
      <c r="U264">
        <f t="shared" si="39"/>
        <v>19.403523956790121</v>
      </c>
      <c r="X264" s="9"/>
      <c r="Y264" s="22">
        <v>0.500946</v>
      </c>
      <c r="Z264" s="22">
        <v>17.0535</v>
      </c>
      <c r="AA264" s="22">
        <v>-1.41602E-2</v>
      </c>
      <c r="AB264" s="22">
        <v>254</v>
      </c>
      <c r="AC264" s="22">
        <v>0.50018300000000004</v>
      </c>
      <c r="AD264">
        <f t="shared" si="40"/>
        <v>17.481728395061729</v>
      </c>
      <c r="AE264">
        <f t="shared" si="41"/>
        <v>8.7574019125925933</v>
      </c>
      <c r="AF264" s="9"/>
      <c r="AG264" s="22">
        <v>1.1790499999999999</v>
      </c>
      <c r="AH264" s="22">
        <v>20.8324</v>
      </c>
      <c r="AI264" s="22">
        <v>-1.3333100000000001E-2</v>
      </c>
      <c r="AJ264" s="22">
        <v>254</v>
      </c>
      <c r="AK264" s="22">
        <v>1.17798</v>
      </c>
      <c r="AL264">
        <f t="shared" si="42"/>
        <v>16.460617283950615</v>
      </c>
      <c r="AM264">
        <f t="shared" si="43"/>
        <v>19.407890808641973</v>
      </c>
      <c r="AP264" s="9"/>
      <c r="AQ264" s="22">
        <v>0.500946</v>
      </c>
      <c r="AR264" s="22">
        <v>26.274799999999999</v>
      </c>
      <c r="AS264" s="22">
        <v>-1.4120499999999999E-2</v>
      </c>
      <c r="AT264" s="22">
        <v>254</v>
      </c>
      <c r="AU264" s="22">
        <v>0.50009199999999998</v>
      </c>
      <c r="AV264">
        <f t="shared" si="44"/>
        <v>17.432716049382716</v>
      </c>
      <c r="AW264">
        <f t="shared" si="45"/>
        <v>8.7328493740740747</v>
      </c>
      <c r="AX264" s="9"/>
      <c r="AY264" s="22">
        <v>1.1790499999999999</v>
      </c>
      <c r="AZ264" s="22">
        <v>30.053699999999999</v>
      </c>
      <c r="BA264" s="22">
        <v>-1.34003E-2</v>
      </c>
      <c r="BB264" s="22">
        <v>254</v>
      </c>
      <c r="BC264" s="22">
        <v>1.17798</v>
      </c>
      <c r="BD264">
        <f t="shared" si="46"/>
        <v>16.543580246913578</v>
      </c>
      <c r="BE264">
        <f t="shared" si="47"/>
        <v>19.505708290123454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0.49591099999999999</v>
      </c>
      <c r="H265" s="22">
        <v>7.81243</v>
      </c>
      <c r="I265" s="22">
        <v>-1.40839E-2</v>
      </c>
      <c r="J265" s="22">
        <v>255</v>
      </c>
      <c r="K265" s="22">
        <v>0.49514799999999998</v>
      </c>
      <c r="L265">
        <f t="shared" si="36"/>
        <v>17.387530864197529</v>
      </c>
      <c r="M265">
        <f t="shared" si="37"/>
        <v>8.62266781839506</v>
      </c>
      <c r="N265" s="9"/>
      <c r="O265" s="22">
        <v>1.18408</v>
      </c>
      <c r="P265" s="22">
        <v>11.5913</v>
      </c>
      <c r="Q265" s="22">
        <v>-1.33148E-2</v>
      </c>
      <c r="R265" s="22">
        <v>255</v>
      </c>
      <c r="S265" s="22">
        <v>1.1825600000000001</v>
      </c>
      <c r="T265">
        <f t="shared" si="38"/>
        <v>16.438024691358024</v>
      </c>
      <c r="U265">
        <f t="shared" si="39"/>
        <v>19.463936276543208</v>
      </c>
      <c r="X265" s="9"/>
      <c r="Y265" s="22">
        <v>0.49591099999999999</v>
      </c>
      <c r="Z265" s="22">
        <v>17.063600000000001</v>
      </c>
      <c r="AA265" s="22">
        <v>-1.41663E-2</v>
      </c>
      <c r="AB265" s="22">
        <v>255</v>
      </c>
      <c r="AC265" s="22">
        <v>0.49514799999999998</v>
      </c>
      <c r="AD265">
        <f t="shared" si="40"/>
        <v>17.489259259259256</v>
      </c>
      <c r="AE265">
        <f t="shared" si="41"/>
        <v>8.6731160485185175</v>
      </c>
      <c r="AF265" s="9"/>
      <c r="AG265" s="22">
        <v>1.18408</v>
      </c>
      <c r="AH265" s="22">
        <v>20.842500000000001</v>
      </c>
      <c r="AI265" s="22">
        <v>-1.3324000000000001E-2</v>
      </c>
      <c r="AJ265" s="22">
        <v>255</v>
      </c>
      <c r="AK265" s="22">
        <v>1.18286</v>
      </c>
      <c r="AL265">
        <f t="shared" si="42"/>
        <v>16.449382716049382</v>
      </c>
      <c r="AM265">
        <f t="shared" si="43"/>
        <v>19.477385086419751</v>
      </c>
      <c r="AP265" s="9"/>
      <c r="AQ265" s="22">
        <v>0.49591099999999999</v>
      </c>
      <c r="AR265" s="22">
        <v>26.284800000000001</v>
      </c>
      <c r="AS265" s="22">
        <v>-1.4114399999999999E-2</v>
      </c>
      <c r="AT265" s="22">
        <v>255</v>
      </c>
      <c r="AU265" s="22">
        <v>0.49514799999999998</v>
      </c>
      <c r="AV265">
        <f t="shared" si="44"/>
        <v>17.425185185185182</v>
      </c>
      <c r="AW265">
        <f t="shared" si="45"/>
        <v>8.6413410103703683</v>
      </c>
      <c r="AX265" s="9"/>
      <c r="AY265" s="22">
        <v>1.18408</v>
      </c>
      <c r="AZ265" s="22">
        <v>30.063700000000001</v>
      </c>
      <c r="BA265" s="22">
        <v>-1.33911E-2</v>
      </c>
      <c r="BB265" s="22">
        <v>255</v>
      </c>
      <c r="BC265" s="22">
        <v>1.1825600000000001</v>
      </c>
      <c r="BD265">
        <f t="shared" si="46"/>
        <v>16.53222222222222</v>
      </c>
      <c r="BE265">
        <f t="shared" si="47"/>
        <v>19.575473688888888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0.49087500000000001</v>
      </c>
      <c r="H266" s="22">
        <v>7.8224999999999998</v>
      </c>
      <c r="I266" s="22">
        <v>-1.40839E-2</v>
      </c>
      <c r="J266" s="22">
        <v>256</v>
      </c>
      <c r="K266" s="22">
        <v>0.49011199999999999</v>
      </c>
      <c r="L266">
        <f t="shared" si="36"/>
        <v>17.387530864197529</v>
      </c>
      <c r="M266">
        <f t="shared" si="37"/>
        <v>8.5351042129629615</v>
      </c>
      <c r="N266" s="9"/>
      <c r="O266" s="22">
        <v>1.18912</v>
      </c>
      <c r="P266" s="22">
        <v>11.6014</v>
      </c>
      <c r="Q266" s="22">
        <v>-1.3302599999999999E-2</v>
      </c>
      <c r="R266" s="22">
        <v>256</v>
      </c>
      <c r="S266" s="22">
        <v>1.1880500000000001</v>
      </c>
      <c r="T266">
        <f t="shared" si="38"/>
        <v>16.422962962962963</v>
      </c>
      <c r="U266">
        <f t="shared" si="39"/>
        <v>19.528873718518518</v>
      </c>
      <c r="X266" s="9"/>
      <c r="Y266" s="22">
        <v>0.49087500000000001</v>
      </c>
      <c r="Z266" s="22">
        <v>17.073699999999999</v>
      </c>
      <c r="AA266" s="22">
        <v>-1.41663E-2</v>
      </c>
      <c r="AB266" s="22">
        <v>256</v>
      </c>
      <c r="AC266" s="22">
        <v>0.49005100000000001</v>
      </c>
      <c r="AD266">
        <f t="shared" si="40"/>
        <v>17.489259259259256</v>
      </c>
      <c r="AE266">
        <f t="shared" si="41"/>
        <v>8.5850401388888873</v>
      </c>
      <c r="AF266" s="9"/>
      <c r="AG266" s="22">
        <v>1.18912</v>
      </c>
      <c r="AH266" s="22">
        <v>20.852599999999999</v>
      </c>
      <c r="AI266" s="22">
        <v>-1.3317900000000001E-2</v>
      </c>
      <c r="AJ266" s="22">
        <v>256</v>
      </c>
      <c r="AK266" s="22">
        <v>1.1880500000000001</v>
      </c>
      <c r="AL266">
        <f t="shared" si="42"/>
        <v>16.441851851851851</v>
      </c>
      <c r="AM266">
        <f t="shared" si="43"/>
        <v>19.551334874074072</v>
      </c>
      <c r="AP266" s="9"/>
      <c r="AQ266" s="22">
        <v>0.49087500000000001</v>
      </c>
      <c r="AR266" s="22">
        <v>26.294899999999998</v>
      </c>
      <c r="AS266" s="22">
        <v>-1.4114399999999999E-2</v>
      </c>
      <c r="AT266" s="22">
        <v>256</v>
      </c>
      <c r="AU266" s="22">
        <v>0.49017300000000003</v>
      </c>
      <c r="AV266">
        <f t="shared" si="44"/>
        <v>17.425185185185182</v>
      </c>
      <c r="AW266">
        <f t="shared" si="45"/>
        <v>8.5535877777777767</v>
      </c>
      <c r="AX266" s="9"/>
      <c r="AY266" s="22">
        <v>1.18912</v>
      </c>
      <c r="AZ266" s="22">
        <v>30.073799999999999</v>
      </c>
      <c r="BA266" s="22">
        <v>-1.3382E-2</v>
      </c>
      <c r="BB266" s="22">
        <v>256</v>
      </c>
      <c r="BC266" s="22">
        <v>1.18774</v>
      </c>
      <c r="BD266">
        <f t="shared" si="46"/>
        <v>16.520987654320987</v>
      </c>
      <c r="BE266">
        <f t="shared" si="47"/>
        <v>19.645436839506171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0.48583999999999999</v>
      </c>
      <c r="H267" s="22">
        <v>7.8325699999999996</v>
      </c>
      <c r="I267" s="22">
        <v>-1.40839E-2</v>
      </c>
      <c r="J267" s="22">
        <v>257</v>
      </c>
      <c r="K267" s="22">
        <v>0.48507699999999998</v>
      </c>
      <c r="L267">
        <f t="shared" si="36"/>
        <v>17.387530864197529</v>
      </c>
      <c r="M267">
        <f t="shared" si="37"/>
        <v>8.447557995061727</v>
      </c>
      <c r="N267" s="9"/>
      <c r="O267" s="22">
        <v>1.19415</v>
      </c>
      <c r="P267" s="22">
        <v>11.611499999999999</v>
      </c>
      <c r="Q267" s="22">
        <v>-1.3290400000000001E-2</v>
      </c>
      <c r="R267" s="22">
        <v>257</v>
      </c>
      <c r="S267" s="22">
        <v>1.1926300000000001</v>
      </c>
      <c r="T267">
        <f t="shared" si="38"/>
        <v>16.407901234567902</v>
      </c>
      <c r="U267">
        <f t="shared" si="39"/>
        <v>19.59349525925926</v>
      </c>
      <c r="X267" s="9"/>
      <c r="Y267" s="22">
        <v>0.48583999999999999</v>
      </c>
      <c r="Z267" s="22">
        <v>17.0838</v>
      </c>
      <c r="AA267" s="22">
        <v>-1.41663E-2</v>
      </c>
      <c r="AB267" s="22">
        <v>257</v>
      </c>
      <c r="AC267" s="22">
        <v>0.48519899999999999</v>
      </c>
      <c r="AD267">
        <f t="shared" si="40"/>
        <v>17.489259259259256</v>
      </c>
      <c r="AE267">
        <f t="shared" si="41"/>
        <v>8.4969817185185175</v>
      </c>
      <c r="AF267" s="9"/>
      <c r="AG267" s="22">
        <v>1.19415</v>
      </c>
      <c r="AH267" s="22">
        <v>20.8627</v>
      </c>
      <c r="AI267" s="22">
        <v>-1.33148E-2</v>
      </c>
      <c r="AJ267" s="22">
        <v>257</v>
      </c>
      <c r="AK267" s="22">
        <v>1.19293</v>
      </c>
      <c r="AL267">
        <f t="shared" si="42"/>
        <v>16.438024691358024</v>
      </c>
      <c r="AM267">
        <f t="shared" si="43"/>
        <v>19.629467185185185</v>
      </c>
      <c r="AP267" s="9"/>
      <c r="AQ267" s="22">
        <v>0.48583999999999999</v>
      </c>
      <c r="AR267" s="22">
        <v>26.305</v>
      </c>
      <c r="AS267" s="22">
        <v>-1.41174E-2</v>
      </c>
      <c r="AT267" s="22">
        <v>257</v>
      </c>
      <c r="AU267" s="22">
        <v>0.48507699999999998</v>
      </c>
      <c r="AV267">
        <f t="shared" si="44"/>
        <v>17.428888888888888</v>
      </c>
      <c r="AW267">
        <f t="shared" si="45"/>
        <v>8.4676513777777771</v>
      </c>
      <c r="AX267" s="9"/>
      <c r="AY267" s="22">
        <v>1.19415</v>
      </c>
      <c r="AZ267" s="22">
        <v>30.0839</v>
      </c>
      <c r="BA267" s="22">
        <v>-1.3369799999999999E-2</v>
      </c>
      <c r="BB267" s="22">
        <v>257</v>
      </c>
      <c r="BC267" s="22">
        <v>1.1932400000000001</v>
      </c>
      <c r="BD267">
        <f t="shared" si="46"/>
        <v>16.505925925925922</v>
      </c>
      <c r="BE267">
        <f t="shared" si="47"/>
        <v>19.710551444444441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0.48080400000000001</v>
      </c>
      <c r="H268" s="22">
        <v>7.8426400000000003</v>
      </c>
      <c r="I268" s="22">
        <v>-1.40961E-2</v>
      </c>
      <c r="J268" s="22">
        <v>258</v>
      </c>
      <c r="K268" s="22">
        <v>0.48004200000000002</v>
      </c>
      <c r="L268">
        <f t="shared" ref="L268:L331" si="48">-I268/$F$2*1000</f>
        <v>17.40259259259259</v>
      </c>
      <c r="M268">
        <f t="shared" ref="M268:M331" si="49">L268*G268</f>
        <v>8.3672361288888872</v>
      </c>
      <c r="N268" s="9"/>
      <c r="O268" s="22">
        <v>1.19919</v>
      </c>
      <c r="P268" s="22">
        <v>11.621499999999999</v>
      </c>
      <c r="Q268" s="22">
        <v>-1.32721E-2</v>
      </c>
      <c r="R268" s="22">
        <v>258</v>
      </c>
      <c r="S268" s="22">
        <v>1.19781</v>
      </c>
      <c r="T268">
        <f t="shared" ref="T268:T331" si="50">-Q268/$F$2*1000</f>
        <v>16.385308641975307</v>
      </c>
      <c r="U268">
        <f t="shared" ref="U268:U331" si="51">T268*O268</f>
        <v>19.649098270370366</v>
      </c>
      <c r="X268" s="9"/>
      <c r="Y268" s="22">
        <v>0.48080400000000001</v>
      </c>
      <c r="Z268" s="22">
        <v>17.093800000000002</v>
      </c>
      <c r="AA268" s="22">
        <v>-1.4169299999999999E-2</v>
      </c>
      <c r="AB268" s="22">
        <v>258</v>
      </c>
      <c r="AC268" s="22">
        <v>0.48004200000000002</v>
      </c>
      <c r="AD268">
        <f t="shared" ref="AD268:AD331" si="52">-AA268/$F$2*1000</f>
        <v>17.492962962962959</v>
      </c>
      <c r="AE268">
        <f t="shared" ref="AE268:AE331" si="53">AD268*Y268</f>
        <v>8.4106865644444433</v>
      </c>
      <c r="AF268" s="9"/>
      <c r="AG268" s="22">
        <v>1.19919</v>
      </c>
      <c r="AH268" s="22">
        <v>20.872699999999998</v>
      </c>
      <c r="AI268" s="22">
        <v>-1.32996E-2</v>
      </c>
      <c r="AJ268" s="22">
        <v>258</v>
      </c>
      <c r="AK268" s="22">
        <v>1.19781</v>
      </c>
      <c r="AL268">
        <f t="shared" ref="AL268:AL331" si="54">-AI268/$F$2*1000</f>
        <v>16.41925925925926</v>
      </c>
      <c r="AM268">
        <f t="shared" ref="AM268:AM331" si="55">AL268*AG268</f>
        <v>19.68981151111111</v>
      </c>
      <c r="AP268" s="9"/>
      <c r="AQ268" s="22">
        <v>0.48080400000000001</v>
      </c>
      <c r="AR268" s="22">
        <v>26.315100000000001</v>
      </c>
      <c r="AS268" s="22">
        <v>-1.41174E-2</v>
      </c>
      <c r="AT268" s="22">
        <v>258</v>
      </c>
      <c r="AU268" s="22">
        <v>0.48001100000000002</v>
      </c>
      <c r="AV268">
        <f t="shared" ref="AV268:AV331" si="56">-AS268/$F$2*1000</f>
        <v>17.428888888888888</v>
      </c>
      <c r="AW268">
        <f t="shared" ref="AW268:AW331" si="57">AV268*AQ268</f>
        <v>8.379879493333334</v>
      </c>
      <c r="AX268" s="9"/>
      <c r="AY268" s="22">
        <v>1.19919</v>
      </c>
      <c r="AZ268" s="22">
        <v>30.094000000000001</v>
      </c>
      <c r="BA268" s="22">
        <v>-1.33636E-2</v>
      </c>
      <c r="BB268" s="22">
        <v>258</v>
      </c>
      <c r="BC268" s="22">
        <v>1.1981200000000001</v>
      </c>
      <c r="BD268">
        <f t="shared" ref="BD268:BD331" si="58">-BA268/$F$2*1000</f>
        <v>16.498271604938271</v>
      </c>
      <c r="BE268">
        <f t="shared" ref="BE268:BE331" si="59">BD268*AY268</f>
        <v>19.784562325925926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0.475769</v>
      </c>
      <c r="H269" s="22">
        <v>7.8527100000000001</v>
      </c>
      <c r="I269" s="22">
        <v>-1.41022E-2</v>
      </c>
      <c r="J269" s="22">
        <v>259</v>
      </c>
      <c r="K269" s="22">
        <v>0.47509800000000002</v>
      </c>
      <c r="L269">
        <f t="shared" si="48"/>
        <v>17.410123456790124</v>
      </c>
      <c r="M269">
        <f t="shared" si="49"/>
        <v>8.2831970269135802</v>
      </c>
      <c r="N269" s="9"/>
      <c r="O269" s="22">
        <v>1.2042200000000001</v>
      </c>
      <c r="P269" s="22">
        <v>11.631600000000001</v>
      </c>
      <c r="Q269" s="22">
        <v>-1.3262899999999999E-2</v>
      </c>
      <c r="R269" s="22">
        <v>259</v>
      </c>
      <c r="S269" s="22">
        <v>1.2033100000000001</v>
      </c>
      <c r="T269">
        <f t="shared" si="50"/>
        <v>16.373950617283949</v>
      </c>
      <c r="U269">
        <f t="shared" si="51"/>
        <v>19.717838812345679</v>
      </c>
      <c r="X269" s="9"/>
      <c r="Y269" s="22">
        <v>0.475769</v>
      </c>
      <c r="Z269" s="22">
        <v>17.103899999999999</v>
      </c>
      <c r="AA269" s="22">
        <v>-1.4169299999999999E-2</v>
      </c>
      <c r="AB269" s="22">
        <v>259</v>
      </c>
      <c r="AC269" s="22">
        <v>0.47497600000000001</v>
      </c>
      <c r="AD269">
        <f t="shared" si="52"/>
        <v>17.492962962962959</v>
      </c>
      <c r="AE269">
        <f t="shared" si="53"/>
        <v>8.3226094959259243</v>
      </c>
      <c r="AF269" s="9"/>
      <c r="AG269" s="22">
        <v>1.2042200000000001</v>
      </c>
      <c r="AH269" s="22">
        <v>20.8828</v>
      </c>
      <c r="AI269" s="22">
        <v>-1.32874E-2</v>
      </c>
      <c r="AJ269" s="22">
        <v>259</v>
      </c>
      <c r="AK269" s="22">
        <v>1.2027000000000001</v>
      </c>
      <c r="AL269">
        <f t="shared" si="54"/>
        <v>16.404197530864195</v>
      </c>
      <c r="AM269">
        <f t="shared" si="55"/>
        <v>19.754262750617283</v>
      </c>
      <c r="AP269" s="9"/>
      <c r="AQ269" s="22">
        <v>0.475769</v>
      </c>
      <c r="AR269" s="22">
        <v>26.325099999999999</v>
      </c>
      <c r="AS269" s="22">
        <v>-1.4129600000000001E-2</v>
      </c>
      <c r="AT269" s="22">
        <v>259</v>
      </c>
      <c r="AU269" s="22">
        <v>0.47497600000000001</v>
      </c>
      <c r="AV269">
        <f t="shared" si="56"/>
        <v>17.443950617283949</v>
      </c>
      <c r="AW269">
        <f t="shared" si="57"/>
        <v>8.2992909412345668</v>
      </c>
      <c r="AX269" s="9"/>
      <c r="AY269" s="22">
        <v>1.2042200000000001</v>
      </c>
      <c r="AZ269" s="22">
        <v>30.103999999999999</v>
      </c>
      <c r="BA269" s="22">
        <v>-1.3351399999999999E-2</v>
      </c>
      <c r="BB269" s="22">
        <v>259</v>
      </c>
      <c r="BC269" s="22">
        <v>1.2027000000000001</v>
      </c>
      <c r="BD269">
        <f t="shared" si="58"/>
        <v>16.483209876543206</v>
      </c>
      <c r="BE269">
        <f t="shared" si="59"/>
        <v>19.84941099753086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0.47073399999999999</v>
      </c>
      <c r="H270" s="22">
        <v>7.8627799999999999</v>
      </c>
      <c r="I270" s="22">
        <v>-1.4108300000000001E-2</v>
      </c>
      <c r="J270" s="22">
        <v>260</v>
      </c>
      <c r="K270" s="22">
        <v>0.470001</v>
      </c>
      <c r="L270">
        <f t="shared" si="48"/>
        <v>17.417654320987655</v>
      </c>
      <c r="M270">
        <f t="shared" si="49"/>
        <v>8.1990820891358016</v>
      </c>
      <c r="N270" s="9"/>
      <c r="O270" s="22">
        <v>1.20926</v>
      </c>
      <c r="P270" s="22">
        <v>11.6417</v>
      </c>
      <c r="Q270" s="22">
        <v>-1.3250700000000001E-2</v>
      </c>
      <c r="R270" s="22">
        <v>260</v>
      </c>
      <c r="S270" s="22">
        <v>1.2081900000000001</v>
      </c>
      <c r="T270">
        <f t="shared" si="50"/>
        <v>16.358888888888888</v>
      </c>
      <c r="U270">
        <f t="shared" si="51"/>
        <v>19.782149977777777</v>
      </c>
      <c r="X270" s="9"/>
      <c r="Y270" s="22">
        <v>0.47073399999999999</v>
      </c>
      <c r="Z270" s="22">
        <v>17.114000000000001</v>
      </c>
      <c r="AA270" s="22">
        <v>-1.41663E-2</v>
      </c>
      <c r="AB270" s="22">
        <v>260</v>
      </c>
      <c r="AC270" s="22">
        <v>0.470001</v>
      </c>
      <c r="AD270">
        <f t="shared" si="52"/>
        <v>17.489259259259256</v>
      </c>
      <c r="AE270">
        <f t="shared" si="53"/>
        <v>8.2327889681481459</v>
      </c>
      <c r="AF270" s="9"/>
      <c r="AG270" s="22">
        <v>1.20926</v>
      </c>
      <c r="AH270" s="22">
        <v>20.892900000000001</v>
      </c>
      <c r="AI270" s="22">
        <v>-1.3284300000000001E-2</v>
      </c>
      <c r="AJ270" s="22">
        <v>260</v>
      </c>
      <c r="AK270" s="22">
        <v>1.2081900000000001</v>
      </c>
      <c r="AL270">
        <f t="shared" si="54"/>
        <v>16.400370370370371</v>
      </c>
      <c r="AM270">
        <f t="shared" si="55"/>
        <v>19.832311874074076</v>
      </c>
      <c r="AP270" s="9"/>
      <c r="AQ270" s="22">
        <v>0.47073399999999999</v>
      </c>
      <c r="AR270" s="22">
        <v>26.3352</v>
      </c>
      <c r="AS270" s="22">
        <v>-1.41327E-2</v>
      </c>
      <c r="AT270" s="22">
        <v>260</v>
      </c>
      <c r="AU270" s="22">
        <v>0.46990999999999999</v>
      </c>
      <c r="AV270">
        <f t="shared" si="56"/>
        <v>17.447777777777777</v>
      </c>
      <c r="AW270">
        <f t="shared" si="57"/>
        <v>8.2132622244444438</v>
      </c>
      <c r="AX270" s="9"/>
      <c r="AY270" s="22">
        <v>1.20926</v>
      </c>
      <c r="AZ270" s="22">
        <v>30.114100000000001</v>
      </c>
      <c r="BA270" s="22">
        <v>-1.3333100000000001E-2</v>
      </c>
      <c r="BB270" s="22">
        <v>260</v>
      </c>
      <c r="BC270" s="22">
        <v>1.2081900000000001</v>
      </c>
      <c r="BD270">
        <f t="shared" si="58"/>
        <v>16.460617283950615</v>
      </c>
      <c r="BE270">
        <f t="shared" si="59"/>
        <v>19.905166056790122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0.465698</v>
      </c>
      <c r="H271" s="22">
        <v>7.8728600000000002</v>
      </c>
      <c r="I271" s="22">
        <v>-1.41113E-2</v>
      </c>
      <c r="J271" s="22">
        <v>261</v>
      </c>
      <c r="K271" s="22">
        <v>0.46493499999999999</v>
      </c>
      <c r="L271">
        <f t="shared" si="48"/>
        <v>17.421358024691358</v>
      </c>
      <c r="M271">
        <f t="shared" si="49"/>
        <v>8.1130915893827158</v>
      </c>
      <c r="N271" s="9"/>
      <c r="O271" s="22">
        <v>1.2142900000000001</v>
      </c>
      <c r="P271" s="22">
        <v>11.6518</v>
      </c>
      <c r="Q271" s="22">
        <v>-1.32446E-2</v>
      </c>
      <c r="R271" s="22">
        <v>261</v>
      </c>
      <c r="S271" s="22">
        <v>1.2133799999999999</v>
      </c>
      <c r="T271">
        <f t="shared" si="50"/>
        <v>16.351358024691358</v>
      </c>
      <c r="U271">
        <f t="shared" si="51"/>
        <v>19.855290535802471</v>
      </c>
      <c r="X271" s="9"/>
      <c r="Y271" s="22">
        <v>0.465698</v>
      </c>
      <c r="Z271" s="22">
        <v>17.123999999999999</v>
      </c>
      <c r="AA271" s="22">
        <v>-1.41663E-2</v>
      </c>
      <c r="AB271" s="22">
        <v>261</v>
      </c>
      <c r="AC271" s="22">
        <v>0.46496599999999999</v>
      </c>
      <c r="AD271">
        <f t="shared" si="52"/>
        <v>17.489259259259256</v>
      </c>
      <c r="AE271">
        <f t="shared" si="53"/>
        <v>8.1447130585185175</v>
      </c>
      <c r="AF271" s="9"/>
      <c r="AG271" s="22">
        <v>1.2142900000000001</v>
      </c>
      <c r="AH271" s="22">
        <v>20.902899999999999</v>
      </c>
      <c r="AI271" s="22">
        <v>-1.32721E-2</v>
      </c>
      <c r="AJ271" s="22">
        <v>261</v>
      </c>
      <c r="AK271" s="22">
        <v>1.2133799999999999</v>
      </c>
      <c r="AL271">
        <f t="shared" si="54"/>
        <v>16.385308641975307</v>
      </c>
      <c r="AM271">
        <f t="shared" si="55"/>
        <v>19.896516430864196</v>
      </c>
      <c r="AP271" s="9"/>
      <c r="AQ271" s="22">
        <v>0.465698</v>
      </c>
      <c r="AR271" s="22">
        <v>26.345300000000002</v>
      </c>
      <c r="AS271" s="22">
        <v>-1.41388E-2</v>
      </c>
      <c r="AT271" s="22">
        <v>261</v>
      </c>
      <c r="AU271" s="22">
        <v>0.46499600000000002</v>
      </c>
      <c r="AV271">
        <f t="shared" si="56"/>
        <v>17.455308641975307</v>
      </c>
      <c r="AW271">
        <f t="shared" si="57"/>
        <v>8.1289023239506157</v>
      </c>
      <c r="AX271" s="9"/>
      <c r="AY271" s="22">
        <v>1.2142900000000001</v>
      </c>
      <c r="AZ271" s="22">
        <v>30.124199999999998</v>
      </c>
      <c r="BA271" s="22">
        <v>-1.33118E-2</v>
      </c>
      <c r="BB271" s="22">
        <v>261</v>
      </c>
      <c r="BC271" s="22">
        <v>1.2133799999999999</v>
      </c>
      <c r="BD271">
        <f t="shared" si="58"/>
        <v>16.434320987654321</v>
      </c>
      <c r="BE271">
        <f t="shared" si="59"/>
        <v>19.956031632098767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0.46066299999999999</v>
      </c>
      <c r="H272" s="22">
        <v>7.88293</v>
      </c>
      <c r="I272" s="22">
        <v>-1.4108300000000001E-2</v>
      </c>
      <c r="J272" s="22">
        <v>262</v>
      </c>
      <c r="K272" s="22">
        <v>0.45993000000000001</v>
      </c>
      <c r="L272">
        <f t="shared" si="48"/>
        <v>17.417654320987655</v>
      </c>
      <c r="M272">
        <f t="shared" si="49"/>
        <v>8.0236688924691357</v>
      </c>
      <c r="N272" s="9"/>
      <c r="O272" s="22">
        <v>1.21933</v>
      </c>
      <c r="P272" s="22">
        <v>11.661799999999999</v>
      </c>
      <c r="Q272" s="22">
        <v>-1.32324E-2</v>
      </c>
      <c r="R272" s="22">
        <v>262</v>
      </c>
      <c r="S272" s="22">
        <v>1.2179599999999999</v>
      </c>
      <c r="T272">
        <f t="shared" si="50"/>
        <v>16.336296296296297</v>
      </c>
      <c r="U272">
        <f t="shared" si="51"/>
        <v>19.919336162962963</v>
      </c>
      <c r="X272" s="9"/>
      <c r="Y272" s="22">
        <v>0.46066299999999999</v>
      </c>
      <c r="Z272" s="22">
        <v>17.1341</v>
      </c>
      <c r="AA272" s="22">
        <v>-1.4163200000000001E-2</v>
      </c>
      <c r="AB272" s="22">
        <v>262</v>
      </c>
      <c r="AC272" s="22">
        <v>0.45989999999999998</v>
      </c>
      <c r="AD272">
        <f t="shared" si="52"/>
        <v>17.485432098765433</v>
      </c>
      <c r="AE272">
        <f t="shared" si="53"/>
        <v>8.0548916069135803</v>
      </c>
      <c r="AF272" s="9"/>
      <c r="AG272" s="22">
        <v>1.21933</v>
      </c>
      <c r="AH272" s="22">
        <v>20.913</v>
      </c>
      <c r="AI272" s="22">
        <v>-1.3262899999999999E-2</v>
      </c>
      <c r="AJ272" s="22">
        <v>262</v>
      </c>
      <c r="AK272" s="22">
        <v>1.2182599999999999</v>
      </c>
      <c r="AL272">
        <f t="shared" si="54"/>
        <v>16.373950617283949</v>
      </c>
      <c r="AM272">
        <f t="shared" si="55"/>
        <v>19.965249206172839</v>
      </c>
      <c r="AP272" s="9"/>
      <c r="AQ272" s="22">
        <v>0.46066299999999999</v>
      </c>
      <c r="AR272" s="22">
        <v>26.3553</v>
      </c>
      <c r="AS272" s="22">
        <v>-1.41418E-2</v>
      </c>
      <c r="AT272" s="22">
        <v>262</v>
      </c>
      <c r="AU272" s="22">
        <v>0.45996100000000001</v>
      </c>
      <c r="AV272">
        <f t="shared" si="56"/>
        <v>17.45901234567901</v>
      </c>
      <c r="AW272">
        <f t="shared" si="57"/>
        <v>8.0427210041975297</v>
      </c>
      <c r="AX272" s="9"/>
      <c r="AY272" s="22">
        <v>1.21933</v>
      </c>
      <c r="AZ272" s="22">
        <v>30.1342</v>
      </c>
      <c r="BA272" s="22">
        <v>-1.3290400000000001E-2</v>
      </c>
      <c r="BB272" s="22">
        <v>262</v>
      </c>
      <c r="BC272" s="22">
        <v>1.2182599999999999</v>
      </c>
      <c r="BD272">
        <f t="shared" si="58"/>
        <v>16.407901234567902</v>
      </c>
      <c r="BE272">
        <f t="shared" si="59"/>
        <v>20.006646212345679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0.455627</v>
      </c>
      <c r="H273" s="22">
        <v>7.8929999999999998</v>
      </c>
      <c r="I273" s="22">
        <v>-1.41113E-2</v>
      </c>
      <c r="J273" s="22">
        <v>263</v>
      </c>
      <c r="K273" s="22">
        <v>0.454926</v>
      </c>
      <c r="L273">
        <f t="shared" si="48"/>
        <v>17.421358024691358</v>
      </c>
      <c r="M273">
        <f t="shared" si="49"/>
        <v>7.9376410927160492</v>
      </c>
      <c r="N273" s="9"/>
      <c r="O273" s="22">
        <v>1.22437</v>
      </c>
      <c r="P273" s="22">
        <v>11.671900000000001</v>
      </c>
      <c r="Q273" s="22">
        <v>-1.32233E-2</v>
      </c>
      <c r="R273" s="22">
        <v>263</v>
      </c>
      <c r="S273" s="22">
        <v>1.2231399999999999</v>
      </c>
      <c r="T273">
        <f t="shared" si="50"/>
        <v>16.32506172839506</v>
      </c>
      <c r="U273">
        <f t="shared" si="51"/>
        <v>19.98791582839506</v>
      </c>
      <c r="X273" s="9"/>
      <c r="Y273" s="22">
        <v>0.455627</v>
      </c>
      <c r="Z273" s="22">
        <v>17.144200000000001</v>
      </c>
      <c r="AA273" s="22">
        <v>-1.41663E-2</v>
      </c>
      <c r="AB273" s="22">
        <v>263</v>
      </c>
      <c r="AC273" s="22">
        <v>0.454926</v>
      </c>
      <c r="AD273">
        <f t="shared" si="52"/>
        <v>17.489259259259256</v>
      </c>
      <c r="AE273">
        <f t="shared" si="53"/>
        <v>7.9685787285185175</v>
      </c>
      <c r="AF273" s="9"/>
      <c r="AG273" s="22">
        <v>1.22437</v>
      </c>
      <c r="AH273" s="22">
        <v>20.923100000000002</v>
      </c>
      <c r="AI273" s="22">
        <v>-1.32538E-2</v>
      </c>
      <c r="AJ273" s="22">
        <v>263</v>
      </c>
      <c r="AK273" s="22">
        <v>1.2234499999999999</v>
      </c>
      <c r="AL273">
        <f t="shared" si="54"/>
        <v>16.362716049382716</v>
      </c>
      <c r="AM273">
        <f t="shared" si="55"/>
        <v>20.034018649382716</v>
      </c>
      <c r="AP273" s="9"/>
      <c r="AQ273" s="22">
        <v>0.455627</v>
      </c>
      <c r="AR273" s="22">
        <v>26.365400000000001</v>
      </c>
      <c r="AS273" s="22">
        <v>-1.4135699999999999E-2</v>
      </c>
      <c r="AT273" s="22">
        <v>263</v>
      </c>
      <c r="AU273" s="22">
        <v>0.45495600000000003</v>
      </c>
      <c r="AV273">
        <f t="shared" si="56"/>
        <v>17.45148148148148</v>
      </c>
      <c r="AW273">
        <f t="shared" si="57"/>
        <v>7.9513661529629625</v>
      </c>
      <c r="AX273" s="9"/>
      <c r="AY273" s="22">
        <v>1.22437</v>
      </c>
      <c r="AZ273" s="22">
        <v>30.144300000000001</v>
      </c>
      <c r="BA273" s="22">
        <v>-1.32751E-2</v>
      </c>
      <c r="BB273" s="22">
        <v>263</v>
      </c>
      <c r="BC273" s="22">
        <v>1.2231399999999999</v>
      </c>
      <c r="BD273">
        <f t="shared" si="58"/>
        <v>16.38901234567901</v>
      </c>
      <c r="BE273">
        <f t="shared" si="59"/>
        <v>20.066215045679009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0.45059199999999999</v>
      </c>
      <c r="H274" s="22">
        <v>7.9030699999999996</v>
      </c>
      <c r="I274" s="22">
        <v>-1.41174E-2</v>
      </c>
      <c r="J274" s="22">
        <v>264</v>
      </c>
      <c r="K274" s="22">
        <v>0.44982899999999998</v>
      </c>
      <c r="L274">
        <f t="shared" si="48"/>
        <v>17.428888888888888</v>
      </c>
      <c r="M274">
        <f t="shared" si="49"/>
        <v>7.8533179022222219</v>
      </c>
      <c r="N274" s="9"/>
      <c r="O274" s="22">
        <v>1.2294</v>
      </c>
      <c r="P274" s="22">
        <v>11.682</v>
      </c>
      <c r="Q274" s="22">
        <v>-1.32233E-2</v>
      </c>
      <c r="R274" s="22">
        <v>264</v>
      </c>
      <c r="S274" s="22">
        <v>1.22864</v>
      </c>
      <c r="T274">
        <f t="shared" si="50"/>
        <v>16.32506172839506</v>
      </c>
      <c r="U274">
        <f t="shared" si="51"/>
        <v>20.070030888888887</v>
      </c>
      <c r="X274" s="9"/>
      <c r="Y274" s="22">
        <v>0.45059199999999999</v>
      </c>
      <c r="Z274" s="22">
        <v>17.154299999999999</v>
      </c>
      <c r="AA274" s="22">
        <v>-1.4169299999999999E-2</v>
      </c>
      <c r="AB274" s="22">
        <v>264</v>
      </c>
      <c r="AC274" s="22">
        <v>0.449768</v>
      </c>
      <c r="AD274">
        <f t="shared" si="52"/>
        <v>17.492962962962959</v>
      </c>
      <c r="AE274">
        <f t="shared" si="53"/>
        <v>7.8821891674074056</v>
      </c>
      <c r="AF274" s="9"/>
      <c r="AG274" s="22">
        <v>1.2294</v>
      </c>
      <c r="AH274" s="22">
        <v>20.933199999999999</v>
      </c>
      <c r="AI274" s="22">
        <v>-1.3250700000000001E-2</v>
      </c>
      <c r="AJ274" s="22">
        <v>264</v>
      </c>
      <c r="AK274" s="22">
        <v>1.22803</v>
      </c>
      <c r="AL274">
        <f t="shared" si="54"/>
        <v>16.358888888888888</v>
      </c>
      <c r="AM274">
        <f t="shared" si="55"/>
        <v>20.111618</v>
      </c>
      <c r="AP274" s="9"/>
      <c r="AQ274" s="22">
        <v>0.45059199999999999</v>
      </c>
      <c r="AR274" s="22">
        <v>26.375499999999999</v>
      </c>
      <c r="AS274" s="22">
        <v>-1.4135699999999999E-2</v>
      </c>
      <c r="AT274" s="22">
        <v>264</v>
      </c>
      <c r="AU274" s="22">
        <v>0.44985999999999998</v>
      </c>
      <c r="AV274">
        <f t="shared" si="56"/>
        <v>17.45148148148148</v>
      </c>
      <c r="AW274">
        <f t="shared" si="57"/>
        <v>7.8634979437037025</v>
      </c>
      <c r="AX274" s="9"/>
      <c r="AY274" s="22">
        <v>1.2294</v>
      </c>
      <c r="AZ274" s="22">
        <v>30.154399999999999</v>
      </c>
      <c r="BA274" s="22">
        <v>-1.3250700000000001E-2</v>
      </c>
      <c r="BB274" s="22">
        <v>264</v>
      </c>
      <c r="BC274" s="22">
        <v>1.22864</v>
      </c>
      <c r="BD274">
        <f t="shared" si="58"/>
        <v>16.358888888888888</v>
      </c>
      <c r="BE274">
        <f t="shared" si="59"/>
        <v>20.111618</v>
      </c>
    </row>
    <row r="275" spans="6:101">
      <c r="F275" s="9"/>
      <c r="G275" s="22">
        <v>0.44555699999999998</v>
      </c>
      <c r="H275" s="22">
        <v>7.9131400000000003</v>
      </c>
      <c r="I275" s="22">
        <v>-1.4123500000000001E-2</v>
      </c>
      <c r="J275" s="22">
        <v>265</v>
      </c>
      <c r="K275" s="22">
        <v>0.444824</v>
      </c>
      <c r="L275">
        <f t="shared" si="48"/>
        <v>17.436419753086419</v>
      </c>
      <c r="M275">
        <f t="shared" si="49"/>
        <v>7.7689188759259249</v>
      </c>
      <c r="N275" s="9"/>
      <c r="O275" s="22">
        <v>1.23444</v>
      </c>
      <c r="P275" s="22">
        <v>11.692</v>
      </c>
      <c r="Q275" s="22">
        <v>-1.32111E-2</v>
      </c>
      <c r="R275" s="22">
        <v>265</v>
      </c>
      <c r="S275" s="22">
        <v>1.23322</v>
      </c>
      <c r="T275">
        <f t="shared" si="50"/>
        <v>16.309999999999999</v>
      </c>
      <c r="U275">
        <f t="shared" si="51"/>
        <v>20.133716399999997</v>
      </c>
      <c r="X275" s="9"/>
      <c r="Y275" s="22">
        <v>0.44555699999999998</v>
      </c>
      <c r="Z275" s="22">
        <v>17.164300000000001</v>
      </c>
      <c r="AA275" s="22">
        <v>-1.41663E-2</v>
      </c>
      <c r="AB275" s="22">
        <v>265</v>
      </c>
      <c r="AC275" s="22">
        <v>0.444824</v>
      </c>
      <c r="AD275">
        <f t="shared" si="52"/>
        <v>17.489259259259256</v>
      </c>
      <c r="AE275">
        <f t="shared" si="53"/>
        <v>7.792461887777776</v>
      </c>
      <c r="AF275" s="9"/>
      <c r="AG275" s="22">
        <v>1.23444</v>
      </c>
      <c r="AH275" s="22">
        <v>20.943200000000001</v>
      </c>
      <c r="AI275" s="22">
        <v>-1.3250700000000001E-2</v>
      </c>
      <c r="AJ275" s="22">
        <v>265</v>
      </c>
      <c r="AK275" s="22">
        <v>1.23322</v>
      </c>
      <c r="AL275">
        <f t="shared" si="54"/>
        <v>16.358888888888888</v>
      </c>
      <c r="AM275">
        <f t="shared" si="55"/>
        <v>20.194066799999998</v>
      </c>
      <c r="AP275" s="9"/>
      <c r="AQ275" s="22">
        <v>0.44555699999999998</v>
      </c>
      <c r="AR275" s="22">
        <v>26.3856</v>
      </c>
      <c r="AS275" s="22">
        <v>-1.41327E-2</v>
      </c>
      <c r="AT275" s="22">
        <v>265</v>
      </c>
      <c r="AU275" s="22">
        <v>0.44476300000000002</v>
      </c>
      <c r="AV275">
        <f t="shared" si="56"/>
        <v>17.447777777777777</v>
      </c>
      <c r="AW275">
        <f t="shared" si="57"/>
        <v>7.7739795233333329</v>
      </c>
      <c r="AX275" s="9"/>
      <c r="AY275" s="22">
        <v>1.23444</v>
      </c>
      <c r="AZ275" s="22">
        <v>30.1645</v>
      </c>
      <c r="BA275" s="22">
        <v>-1.3229400000000001E-2</v>
      </c>
      <c r="BB275" s="22">
        <v>265</v>
      </c>
      <c r="BC275" s="22">
        <v>1.23322</v>
      </c>
      <c r="BD275">
        <f t="shared" si="58"/>
        <v>16.332592592592594</v>
      </c>
      <c r="BE275">
        <f t="shared" si="59"/>
        <v>20.161605600000001</v>
      </c>
    </row>
    <row r="276" spans="6:101">
      <c r="F276" s="9"/>
      <c r="G276" s="22">
        <v>0.440521</v>
      </c>
      <c r="H276" s="22">
        <v>7.9232100000000001</v>
      </c>
      <c r="I276" s="22">
        <v>-1.4129600000000001E-2</v>
      </c>
      <c r="J276" s="22">
        <v>266</v>
      </c>
      <c r="K276" s="22">
        <v>0.43994100000000003</v>
      </c>
      <c r="L276">
        <f t="shared" si="48"/>
        <v>17.443950617283949</v>
      </c>
      <c r="M276">
        <f t="shared" si="49"/>
        <v>7.6844265698765426</v>
      </c>
      <c r="N276" s="9"/>
      <c r="O276" s="22">
        <v>1.2394700000000001</v>
      </c>
      <c r="P276" s="22">
        <v>11.7021</v>
      </c>
      <c r="Q276" s="22">
        <v>-1.31989E-2</v>
      </c>
      <c r="R276" s="22">
        <v>266</v>
      </c>
      <c r="S276" s="22">
        <v>1.23871</v>
      </c>
      <c r="T276">
        <f t="shared" si="50"/>
        <v>16.294938271604938</v>
      </c>
      <c r="U276">
        <f t="shared" si="51"/>
        <v>20.197087139506174</v>
      </c>
      <c r="X276" s="9"/>
      <c r="Y276" s="22">
        <v>0.440521</v>
      </c>
      <c r="Z276" s="22">
        <v>17.174399999999999</v>
      </c>
      <c r="AA276" s="22">
        <v>-1.4169299999999999E-2</v>
      </c>
      <c r="AB276" s="22">
        <v>266</v>
      </c>
      <c r="AC276" s="22">
        <v>0.43972800000000001</v>
      </c>
      <c r="AD276">
        <f t="shared" si="52"/>
        <v>17.492962962962959</v>
      </c>
      <c r="AE276">
        <f t="shared" si="53"/>
        <v>7.7060175374074058</v>
      </c>
      <c r="AF276" s="9"/>
      <c r="AG276" s="22">
        <v>1.2394700000000001</v>
      </c>
      <c r="AH276" s="22">
        <v>20.953299999999999</v>
      </c>
      <c r="AI276" s="22">
        <v>-1.3235500000000001E-2</v>
      </c>
      <c r="AJ276" s="22">
        <v>266</v>
      </c>
      <c r="AK276" s="22">
        <v>1.2381</v>
      </c>
      <c r="AL276">
        <f t="shared" si="54"/>
        <v>16.340123456790124</v>
      </c>
      <c r="AM276">
        <f t="shared" si="55"/>
        <v>20.253092820987657</v>
      </c>
      <c r="AP276" s="9"/>
      <c r="AQ276" s="22">
        <v>0.440521</v>
      </c>
      <c r="AR276" s="22">
        <v>26.395600000000002</v>
      </c>
      <c r="AS276" s="22">
        <v>-1.41327E-2</v>
      </c>
      <c r="AT276" s="22">
        <v>266</v>
      </c>
      <c r="AU276" s="22">
        <v>0.43975799999999998</v>
      </c>
      <c r="AV276">
        <f t="shared" si="56"/>
        <v>17.447777777777777</v>
      </c>
      <c r="AW276">
        <f t="shared" si="57"/>
        <v>7.686112514444444</v>
      </c>
      <c r="AX276" s="9"/>
      <c r="AY276" s="22">
        <v>1.2394700000000001</v>
      </c>
      <c r="AZ276" s="22">
        <v>30.174499999999998</v>
      </c>
      <c r="BA276" s="22">
        <v>-1.32202E-2</v>
      </c>
      <c r="BB276" s="22">
        <v>266</v>
      </c>
      <c r="BC276" s="22">
        <v>1.2381</v>
      </c>
      <c r="BD276">
        <f t="shared" si="58"/>
        <v>16.321234567901232</v>
      </c>
      <c r="BE276">
        <f t="shared" si="59"/>
        <v>20.229680609876542</v>
      </c>
    </row>
    <row r="277" spans="6:101">
      <c r="F277" s="9"/>
      <c r="G277" s="22">
        <v>0.43548599999999998</v>
      </c>
      <c r="H277" s="22">
        <v>7.9332799999999999</v>
      </c>
      <c r="I277" s="22">
        <v>-1.4129600000000001E-2</v>
      </c>
      <c r="J277" s="22">
        <v>267</v>
      </c>
      <c r="K277" s="22">
        <v>0.43490600000000001</v>
      </c>
      <c r="L277">
        <f t="shared" si="48"/>
        <v>17.443950617283949</v>
      </c>
      <c r="M277">
        <f t="shared" si="49"/>
        <v>7.5965962785185175</v>
      </c>
      <c r="N277" s="9"/>
      <c r="O277" s="22">
        <v>1.24451</v>
      </c>
      <c r="P277" s="22">
        <v>11.712199999999999</v>
      </c>
      <c r="Q277" s="22">
        <v>-1.31836E-2</v>
      </c>
      <c r="R277" s="22">
        <v>267</v>
      </c>
      <c r="S277" s="22">
        <v>1.24329</v>
      </c>
      <c r="T277">
        <f t="shared" si="50"/>
        <v>16.276049382716046</v>
      </c>
      <c r="U277">
        <f t="shared" si="51"/>
        <v>20.255706217283947</v>
      </c>
      <c r="X277" s="9"/>
      <c r="Y277" s="22">
        <v>0.43548599999999998</v>
      </c>
      <c r="Z277" s="22">
        <v>17.1845</v>
      </c>
      <c r="AA277" s="22">
        <v>-1.41724E-2</v>
      </c>
      <c r="AB277" s="22">
        <v>267</v>
      </c>
      <c r="AC277" s="22">
        <v>0.434784</v>
      </c>
      <c r="AD277">
        <f t="shared" si="52"/>
        <v>17.496790123456787</v>
      </c>
      <c r="AE277">
        <f t="shared" si="53"/>
        <v>7.6196071437037016</v>
      </c>
      <c r="AF277" s="9"/>
      <c r="AG277" s="22">
        <v>1.24451</v>
      </c>
      <c r="AH277" s="22">
        <v>20.9634</v>
      </c>
      <c r="AI277" s="22">
        <v>-1.32202E-2</v>
      </c>
      <c r="AJ277" s="22">
        <v>267</v>
      </c>
      <c r="AK277" s="22">
        <v>1.24329</v>
      </c>
      <c r="AL277">
        <f t="shared" si="54"/>
        <v>16.321234567901232</v>
      </c>
      <c r="AM277">
        <f t="shared" si="55"/>
        <v>20.311939632098763</v>
      </c>
      <c r="AP277" s="9"/>
      <c r="AQ277" s="22">
        <v>0.43548599999999998</v>
      </c>
      <c r="AR277" s="22">
        <v>26.4057</v>
      </c>
      <c r="AS277" s="22">
        <v>-1.4135699999999999E-2</v>
      </c>
      <c r="AT277" s="22">
        <v>267</v>
      </c>
      <c r="AU277" s="22">
        <v>0.43493700000000002</v>
      </c>
      <c r="AV277">
        <f t="shared" si="56"/>
        <v>17.45148148148148</v>
      </c>
      <c r="AW277">
        <f t="shared" si="57"/>
        <v>7.5998758644444431</v>
      </c>
      <c r="AX277" s="9"/>
      <c r="AY277" s="22">
        <v>1.24451</v>
      </c>
      <c r="AZ277" s="22">
        <v>30.1846</v>
      </c>
      <c r="BA277" s="22">
        <v>-1.3207999999999999E-2</v>
      </c>
      <c r="BB277" s="22">
        <v>267</v>
      </c>
      <c r="BC277" s="22">
        <v>1.24329</v>
      </c>
      <c r="BD277">
        <f t="shared" si="58"/>
        <v>16.306172839506171</v>
      </c>
      <c r="BE277">
        <f t="shared" si="59"/>
        <v>20.293195160493827</v>
      </c>
    </row>
    <row r="278" spans="6:101">
      <c r="F278" s="9"/>
      <c r="G278" s="22">
        <v>0.43045</v>
      </c>
      <c r="H278" s="22">
        <v>7.9433499999999997</v>
      </c>
      <c r="I278" s="22">
        <v>-1.41388E-2</v>
      </c>
      <c r="J278" s="22">
        <v>268</v>
      </c>
      <c r="K278" s="22">
        <v>0.42977900000000002</v>
      </c>
      <c r="L278">
        <f t="shared" si="48"/>
        <v>17.455308641975307</v>
      </c>
      <c r="M278">
        <f t="shared" si="49"/>
        <v>7.5136376049382712</v>
      </c>
      <c r="N278" s="9"/>
      <c r="O278" s="22">
        <v>1.2495400000000001</v>
      </c>
      <c r="P278" s="22">
        <v>11.722300000000001</v>
      </c>
      <c r="Q278" s="22">
        <v>-1.3174399999999999E-2</v>
      </c>
      <c r="R278" s="22">
        <v>268</v>
      </c>
      <c r="S278" s="22">
        <v>1.24847</v>
      </c>
      <c r="T278">
        <f t="shared" si="50"/>
        <v>16.264691358024692</v>
      </c>
      <c r="U278">
        <f t="shared" si="51"/>
        <v>20.323382439506176</v>
      </c>
      <c r="X278" s="9"/>
      <c r="Y278" s="22">
        <v>0.43045</v>
      </c>
      <c r="Z278" s="22">
        <v>17.194500000000001</v>
      </c>
      <c r="AA278" s="22">
        <v>-1.4175399999999999E-2</v>
      </c>
      <c r="AB278" s="22">
        <v>268</v>
      </c>
      <c r="AC278" s="22">
        <v>0.42981000000000003</v>
      </c>
      <c r="AD278">
        <f t="shared" si="52"/>
        <v>17.500493827160494</v>
      </c>
      <c r="AE278">
        <f t="shared" si="53"/>
        <v>7.5330875679012346</v>
      </c>
      <c r="AF278" s="9"/>
      <c r="AG278" s="22">
        <v>1.2495400000000001</v>
      </c>
      <c r="AH278" s="22">
        <v>20.973400000000002</v>
      </c>
      <c r="AI278" s="22">
        <v>-1.32111E-2</v>
      </c>
      <c r="AJ278" s="22">
        <v>268</v>
      </c>
      <c r="AK278" s="22">
        <v>1.24878</v>
      </c>
      <c r="AL278">
        <f t="shared" si="54"/>
        <v>16.309999999999999</v>
      </c>
      <c r="AM278">
        <f t="shared" si="55"/>
        <v>20.379997400000001</v>
      </c>
      <c r="AP278" s="9"/>
      <c r="AQ278" s="22">
        <v>0.43045</v>
      </c>
      <c r="AR278" s="22">
        <v>26.415800000000001</v>
      </c>
      <c r="AS278" s="22">
        <v>-1.41418E-2</v>
      </c>
      <c r="AT278" s="22">
        <v>268</v>
      </c>
      <c r="AU278" s="22">
        <v>0.42974899999999999</v>
      </c>
      <c r="AV278">
        <f t="shared" si="56"/>
        <v>17.45901234567901</v>
      </c>
      <c r="AW278">
        <f t="shared" si="57"/>
        <v>7.5152318641975295</v>
      </c>
      <c r="AX278" s="9"/>
      <c r="AY278" s="22">
        <v>1.2495400000000001</v>
      </c>
      <c r="AZ278" s="22">
        <v>30.194700000000001</v>
      </c>
      <c r="BA278" s="22">
        <v>-1.31989E-2</v>
      </c>
      <c r="BB278" s="22">
        <v>268</v>
      </c>
      <c r="BC278" s="22">
        <v>1.24878</v>
      </c>
      <c r="BD278">
        <f t="shared" si="58"/>
        <v>16.294938271604938</v>
      </c>
      <c r="BE278">
        <f t="shared" si="59"/>
        <v>20.361177167901236</v>
      </c>
    </row>
    <row r="279" spans="6:101">
      <c r="F279" s="9"/>
      <c r="G279" s="22">
        <v>0.42541499999999999</v>
      </c>
      <c r="H279" s="22">
        <v>7.9534200000000004</v>
      </c>
      <c r="I279" s="22">
        <v>-1.41418E-2</v>
      </c>
      <c r="J279" s="22">
        <v>269</v>
      </c>
      <c r="K279" s="22">
        <v>0.42465199999999997</v>
      </c>
      <c r="L279">
        <f t="shared" si="48"/>
        <v>17.45901234567901</v>
      </c>
      <c r="M279">
        <f t="shared" si="49"/>
        <v>7.4273257370370356</v>
      </c>
      <c r="N279" s="9"/>
      <c r="O279" s="22">
        <v>1.25458</v>
      </c>
      <c r="P279" s="22">
        <v>11.7323</v>
      </c>
      <c r="Q279" s="22">
        <v>-1.3159199999999999E-2</v>
      </c>
      <c r="R279" s="22">
        <v>269</v>
      </c>
      <c r="S279" s="22">
        <v>1.25336</v>
      </c>
      <c r="T279">
        <f t="shared" si="50"/>
        <v>16.245925925925924</v>
      </c>
      <c r="U279">
        <f t="shared" si="51"/>
        <v>20.381813748148147</v>
      </c>
      <c r="X279" s="9"/>
      <c r="Y279" s="22">
        <v>0.42541499999999999</v>
      </c>
      <c r="Z279" s="22">
        <v>17.204599999999999</v>
      </c>
      <c r="AA279" s="22">
        <v>-1.41663E-2</v>
      </c>
      <c r="AB279" s="22">
        <v>269</v>
      </c>
      <c r="AC279" s="22">
        <v>0.42465199999999997</v>
      </c>
      <c r="AD279">
        <f t="shared" si="52"/>
        <v>17.489259259259256</v>
      </c>
      <c r="AE279">
        <f t="shared" si="53"/>
        <v>7.440193227777776</v>
      </c>
      <c r="AF279" s="9"/>
      <c r="AG279" s="22">
        <v>1.25458</v>
      </c>
      <c r="AH279" s="22">
        <v>20.983499999999999</v>
      </c>
      <c r="AI279" s="22">
        <v>-1.31989E-2</v>
      </c>
      <c r="AJ279" s="22">
        <v>269</v>
      </c>
      <c r="AK279" s="22">
        <v>1.25366</v>
      </c>
      <c r="AL279">
        <f t="shared" si="54"/>
        <v>16.294938271604938</v>
      </c>
      <c r="AM279">
        <f t="shared" si="55"/>
        <v>20.443303656790125</v>
      </c>
      <c r="AP279" s="9"/>
      <c r="AQ279" s="22">
        <v>0.42541499999999999</v>
      </c>
      <c r="AR279" s="22">
        <v>26.425799999999999</v>
      </c>
      <c r="AS279" s="22">
        <v>-1.41479E-2</v>
      </c>
      <c r="AT279" s="22">
        <v>269</v>
      </c>
      <c r="AU279" s="22">
        <v>0.42465199999999997</v>
      </c>
      <c r="AV279">
        <f t="shared" si="56"/>
        <v>17.466543209876541</v>
      </c>
      <c r="AW279">
        <f t="shared" si="57"/>
        <v>7.4305294796296284</v>
      </c>
      <c r="AX279" s="9"/>
      <c r="AY279" s="22">
        <v>1.25458</v>
      </c>
      <c r="AZ279" s="22">
        <v>30.204699999999999</v>
      </c>
      <c r="BA279" s="22">
        <v>-1.31897E-2</v>
      </c>
      <c r="BB279" s="22">
        <v>269</v>
      </c>
      <c r="BC279" s="22">
        <v>1.25336</v>
      </c>
      <c r="BD279">
        <f t="shared" si="58"/>
        <v>16.28358024691358</v>
      </c>
      <c r="BE279">
        <f t="shared" si="59"/>
        <v>20.429054106172838</v>
      </c>
    </row>
    <row r="280" spans="6:101">
      <c r="F280" s="9"/>
      <c r="G280" s="22">
        <v>0.42037999999999998</v>
      </c>
      <c r="H280" s="22">
        <v>7.9634900000000002</v>
      </c>
      <c r="I280" s="22">
        <v>-1.41479E-2</v>
      </c>
      <c r="J280" s="22">
        <v>270</v>
      </c>
      <c r="K280" s="22">
        <v>0.41961700000000002</v>
      </c>
      <c r="L280">
        <f t="shared" si="48"/>
        <v>17.466543209876541</v>
      </c>
      <c r="M280">
        <f t="shared" si="49"/>
        <v>7.3425854345678996</v>
      </c>
      <c r="N280" s="9"/>
      <c r="O280" s="22">
        <v>1.2596099999999999</v>
      </c>
      <c r="P280" s="22">
        <v>11.7424</v>
      </c>
      <c r="Q280" s="22">
        <v>-1.3147000000000001E-2</v>
      </c>
      <c r="R280" s="22">
        <v>270</v>
      </c>
      <c r="S280" s="22">
        <v>1.25854</v>
      </c>
      <c r="T280">
        <f t="shared" si="50"/>
        <v>16.230864197530863</v>
      </c>
      <c r="U280">
        <f t="shared" si="51"/>
        <v>20.444558851851848</v>
      </c>
      <c r="X280" s="9"/>
      <c r="Y280" s="22">
        <v>0.42037999999999998</v>
      </c>
      <c r="Z280" s="22">
        <v>17.214700000000001</v>
      </c>
      <c r="AA280" s="22">
        <v>-1.41663E-2</v>
      </c>
      <c r="AB280" s="22">
        <v>270</v>
      </c>
      <c r="AC280" s="22">
        <v>0.41958600000000001</v>
      </c>
      <c r="AD280">
        <f t="shared" si="52"/>
        <v>17.489259259259256</v>
      </c>
      <c r="AE280">
        <f t="shared" si="53"/>
        <v>7.3521348074074062</v>
      </c>
      <c r="AF280" s="9"/>
      <c r="AG280" s="22">
        <v>1.2596099999999999</v>
      </c>
      <c r="AH280" s="22">
        <v>20.993600000000001</v>
      </c>
      <c r="AI280" s="22">
        <v>-1.31775E-2</v>
      </c>
      <c r="AJ280" s="22">
        <v>270</v>
      </c>
      <c r="AK280" s="22">
        <v>1.25885</v>
      </c>
      <c r="AL280">
        <f t="shared" si="54"/>
        <v>16.268518518518519</v>
      </c>
      <c r="AM280">
        <f t="shared" si="55"/>
        <v>20.491988611111111</v>
      </c>
      <c r="AP280" s="9"/>
      <c r="AQ280" s="22">
        <v>0.42037999999999998</v>
      </c>
      <c r="AR280" s="22">
        <v>26.4359</v>
      </c>
      <c r="AS280" s="22">
        <v>-1.4157100000000001E-2</v>
      </c>
      <c r="AT280" s="22">
        <v>270</v>
      </c>
      <c r="AU280" s="22">
        <v>0.41958600000000001</v>
      </c>
      <c r="AV280">
        <f t="shared" si="56"/>
        <v>17.477901234567902</v>
      </c>
      <c r="AW280">
        <f t="shared" si="57"/>
        <v>7.3473601209876547</v>
      </c>
      <c r="AX280" s="9"/>
      <c r="AY280" s="22">
        <v>1.2596099999999999</v>
      </c>
      <c r="AZ280" s="22">
        <v>30.2148</v>
      </c>
      <c r="BA280" s="22">
        <v>-1.31805E-2</v>
      </c>
      <c r="BB280" s="22">
        <v>270</v>
      </c>
      <c r="BC280" s="22">
        <v>1.25824</v>
      </c>
      <c r="BD280">
        <f t="shared" si="58"/>
        <v>16.272222222222219</v>
      </c>
      <c r="BE280">
        <f t="shared" si="59"/>
        <v>20.496653833333326</v>
      </c>
    </row>
    <row r="281" spans="6:101">
      <c r="F281" s="9"/>
      <c r="G281" s="22">
        <v>0.41534399999999999</v>
      </c>
      <c r="H281" s="22">
        <v>7.9735699999999996</v>
      </c>
      <c r="I281" s="22">
        <v>-1.41449E-2</v>
      </c>
      <c r="J281" s="22">
        <v>271</v>
      </c>
      <c r="K281" s="22">
        <v>0.41449000000000003</v>
      </c>
      <c r="L281">
        <f t="shared" si="48"/>
        <v>17.462839506172838</v>
      </c>
      <c r="M281">
        <f t="shared" si="49"/>
        <v>7.2530856118518505</v>
      </c>
      <c r="N281" s="9"/>
      <c r="O281" s="22">
        <v>1.2646500000000001</v>
      </c>
      <c r="P281" s="22">
        <v>11.7525</v>
      </c>
      <c r="Q281" s="22">
        <v>-1.31378E-2</v>
      </c>
      <c r="R281" s="22">
        <v>271</v>
      </c>
      <c r="S281" s="22">
        <v>1.26373</v>
      </c>
      <c r="T281">
        <f t="shared" si="50"/>
        <v>16.219506172839505</v>
      </c>
      <c r="U281">
        <f t="shared" si="51"/>
        <v>20.511998481481481</v>
      </c>
      <c r="X281" s="9"/>
      <c r="Y281" s="22">
        <v>0.41534399999999999</v>
      </c>
      <c r="Z281" s="22">
        <v>17.224699999999999</v>
      </c>
      <c r="AA281" s="22">
        <v>-1.4169299999999999E-2</v>
      </c>
      <c r="AB281" s="22">
        <v>271</v>
      </c>
      <c r="AC281" s="22">
        <v>0.41464200000000001</v>
      </c>
      <c r="AD281">
        <f t="shared" si="52"/>
        <v>17.492962962962959</v>
      </c>
      <c r="AE281">
        <f t="shared" si="53"/>
        <v>7.2655972088888872</v>
      </c>
      <c r="AF281" s="9"/>
      <c r="AG281" s="22">
        <v>1.2646500000000001</v>
      </c>
      <c r="AH281" s="22">
        <v>21.003699999999998</v>
      </c>
      <c r="AI281" s="22">
        <v>-1.3159199999999999E-2</v>
      </c>
      <c r="AJ281" s="22">
        <v>271</v>
      </c>
      <c r="AK281" s="22">
        <v>1.26373</v>
      </c>
      <c r="AL281">
        <f t="shared" si="54"/>
        <v>16.245925925925924</v>
      </c>
      <c r="AM281">
        <f t="shared" si="55"/>
        <v>20.54541022222222</v>
      </c>
      <c r="AP281" s="9"/>
      <c r="AQ281" s="22">
        <v>0.41534399999999999</v>
      </c>
      <c r="AR281" s="22">
        <v>26.446000000000002</v>
      </c>
      <c r="AS281" s="22">
        <v>-1.41663E-2</v>
      </c>
      <c r="AT281" s="22">
        <v>271</v>
      </c>
      <c r="AU281" s="22">
        <v>0.41464200000000001</v>
      </c>
      <c r="AV281">
        <f t="shared" si="56"/>
        <v>17.489259259259256</v>
      </c>
      <c r="AW281">
        <f t="shared" si="57"/>
        <v>7.264058897777776</v>
      </c>
      <c r="AX281" s="9"/>
      <c r="AY281" s="22">
        <v>1.2646500000000001</v>
      </c>
      <c r="AZ281" s="22">
        <v>30.224900000000002</v>
      </c>
      <c r="BA281" s="22">
        <v>-1.3162200000000001E-2</v>
      </c>
      <c r="BB281" s="22">
        <v>271</v>
      </c>
      <c r="BC281" s="22">
        <v>1.2640400000000001</v>
      </c>
      <c r="BD281">
        <f t="shared" si="58"/>
        <v>16.249629629629627</v>
      </c>
      <c r="BE281">
        <f t="shared" si="59"/>
        <v>20.550094111111108</v>
      </c>
    </row>
    <row r="282" spans="6:101">
      <c r="F282" s="9"/>
      <c r="G282" s="22">
        <v>0.41030899999999998</v>
      </c>
      <c r="H282" s="22">
        <v>7.9836400000000003</v>
      </c>
      <c r="I282" s="22">
        <v>-1.41479E-2</v>
      </c>
      <c r="J282" s="22">
        <v>272</v>
      </c>
      <c r="K282" s="22">
        <v>0.40954600000000002</v>
      </c>
      <c r="L282">
        <f t="shared" si="48"/>
        <v>17.466543209876541</v>
      </c>
      <c r="M282">
        <f t="shared" si="49"/>
        <v>7.1666798779012328</v>
      </c>
      <c r="N282" s="9"/>
      <c r="O282" s="22">
        <v>1.2696799999999999</v>
      </c>
      <c r="P282" s="22">
        <v>11.762499999999999</v>
      </c>
      <c r="Q282" s="22">
        <v>-1.31348E-2</v>
      </c>
      <c r="R282" s="22">
        <v>272</v>
      </c>
      <c r="S282" s="22">
        <v>1.26831</v>
      </c>
      <c r="T282">
        <f t="shared" si="50"/>
        <v>16.215802469135802</v>
      </c>
      <c r="U282">
        <f t="shared" si="51"/>
        <v>20.588880079012345</v>
      </c>
      <c r="X282" s="9"/>
      <c r="Y282" s="22">
        <v>0.41030899999999998</v>
      </c>
      <c r="Z282" s="22">
        <v>17.2348</v>
      </c>
      <c r="AA282" s="22">
        <v>-1.41815E-2</v>
      </c>
      <c r="AB282" s="22">
        <v>272</v>
      </c>
      <c r="AC282" s="22">
        <v>0.40963699999999997</v>
      </c>
      <c r="AD282">
        <f t="shared" si="52"/>
        <v>17.508024691358024</v>
      </c>
      <c r="AE282">
        <f t="shared" si="53"/>
        <v>7.1837001030864194</v>
      </c>
      <c r="AF282" s="9"/>
      <c r="AG282" s="22">
        <v>1.2696799999999999</v>
      </c>
      <c r="AH282" s="22">
        <v>21.0137</v>
      </c>
      <c r="AI282" s="22">
        <v>-1.31439E-2</v>
      </c>
      <c r="AJ282" s="22">
        <v>272</v>
      </c>
      <c r="AK282" s="22">
        <v>1.26892</v>
      </c>
      <c r="AL282">
        <f t="shared" si="54"/>
        <v>16.227037037037036</v>
      </c>
      <c r="AM282">
        <f t="shared" si="55"/>
        <v>20.603144385185182</v>
      </c>
      <c r="AP282" s="9"/>
      <c r="AQ282" s="22">
        <v>0.41030899999999998</v>
      </c>
      <c r="AR282" s="22">
        <v>26.456099999999999</v>
      </c>
      <c r="AS282" s="22">
        <v>-1.41663E-2</v>
      </c>
      <c r="AT282" s="22">
        <v>272</v>
      </c>
      <c r="AU282" s="22">
        <v>0.40963699999999997</v>
      </c>
      <c r="AV282">
        <f t="shared" si="56"/>
        <v>17.489259259259256</v>
      </c>
      <c r="AW282">
        <f t="shared" si="57"/>
        <v>7.1760004774074062</v>
      </c>
      <c r="AX282" s="9"/>
      <c r="AY282" s="22">
        <v>1.2696799999999999</v>
      </c>
      <c r="AZ282" s="22">
        <v>30.234999999999999</v>
      </c>
      <c r="BA282" s="22">
        <v>-1.31378E-2</v>
      </c>
      <c r="BB282" s="22">
        <v>272</v>
      </c>
      <c r="BC282" s="22">
        <v>1.26892</v>
      </c>
      <c r="BD282">
        <f t="shared" si="58"/>
        <v>16.219506172839505</v>
      </c>
      <c r="BE282">
        <f t="shared" si="59"/>
        <v>20.593582597530862</v>
      </c>
    </row>
    <row r="283" spans="6:101">
      <c r="F283" s="9"/>
      <c r="G283" s="22">
        <v>0.40527299999999999</v>
      </c>
      <c r="H283" s="22">
        <v>7.9937100000000001</v>
      </c>
      <c r="I283" s="22">
        <v>-1.4154099999999999E-2</v>
      </c>
      <c r="J283" s="22">
        <v>273</v>
      </c>
      <c r="K283" s="22">
        <v>0.404449</v>
      </c>
      <c r="L283">
        <f t="shared" si="48"/>
        <v>17.474197530864195</v>
      </c>
      <c r="M283">
        <f t="shared" si="49"/>
        <v>7.081820455925925</v>
      </c>
      <c r="N283" s="9"/>
      <c r="O283" s="22">
        <v>1.2747200000000001</v>
      </c>
      <c r="P283" s="22">
        <v>11.772600000000001</v>
      </c>
      <c r="Q283" s="22">
        <v>-1.3119499999999999E-2</v>
      </c>
      <c r="R283" s="22">
        <v>273</v>
      </c>
      <c r="S283" s="22">
        <v>1.2741100000000001</v>
      </c>
      <c r="T283">
        <f t="shared" si="50"/>
        <v>16.19691358024691</v>
      </c>
      <c r="U283">
        <f t="shared" si="51"/>
        <v>20.646529679012342</v>
      </c>
      <c r="X283" s="9"/>
      <c r="Y283" s="22">
        <v>0.40527299999999999</v>
      </c>
      <c r="Z283" s="22">
        <v>17.244900000000001</v>
      </c>
      <c r="AA283" s="22">
        <v>-1.4190700000000001E-2</v>
      </c>
      <c r="AB283" s="22">
        <v>273</v>
      </c>
      <c r="AC283" s="22">
        <v>0.40454099999999998</v>
      </c>
      <c r="AD283">
        <f t="shared" si="52"/>
        <v>17.519382716049382</v>
      </c>
      <c r="AE283">
        <f t="shared" si="53"/>
        <v>7.1001327914814807</v>
      </c>
      <c r="AF283" s="9"/>
      <c r="AG283" s="22">
        <v>1.2747200000000001</v>
      </c>
      <c r="AH283" s="22">
        <v>21.023800000000001</v>
      </c>
      <c r="AI283" s="22">
        <v>-1.3125599999999999E-2</v>
      </c>
      <c r="AJ283" s="22">
        <v>273</v>
      </c>
      <c r="AK283" s="22">
        <v>1.2741100000000001</v>
      </c>
      <c r="AL283">
        <f t="shared" si="54"/>
        <v>16.204444444444441</v>
      </c>
      <c r="AM283">
        <f t="shared" si="55"/>
        <v>20.656129422222218</v>
      </c>
      <c r="AP283" s="9"/>
      <c r="AQ283" s="22">
        <v>0.40527299999999999</v>
      </c>
      <c r="AR283" s="22">
        <v>26.466100000000001</v>
      </c>
      <c r="AS283" s="22">
        <v>-1.4157100000000001E-2</v>
      </c>
      <c r="AT283" s="22">
        <v>273</v>
      </c>
      <c r="AU283" s="22">
        <v>0.40463300000000002</v>
      </c>
      <c r="AV283">
        <f t="shared" si="56"/>
        <v>17.477901234567902</v>
      </c>
      <c r="AW283">
        <f t="shared" si="57"/>
        <v>7.0833214670370372</v>
      </c>
      <c r="AX283" s="9"/>
      <c r="AY283" s="22">
        <v>1.2747200000000001</v>
      </c>
      <c r="AZ283" s="22">
        <v>30.245000000000001</v>
      </c>
      <c r="BA283" s="22">
        <v>-1.3119499999999999E-2</v>
      </c>
      <c r="BB283" s="22">
        <v>273</v>
      </c>
      <c r="BC283" s="22">
        <v>1.2741100000000001</v>
      </c>
      <c r="BD283">
        <f t="shared" si="58"/>
        <v>16.19691358024691</v>
      </c>
      <c r="BE283">
        <f t="shared" si="59"/>
        <v>20.646529679012342</v>
      </c>
    </row>
    <row r="284" spans="6:101">
      <c r="F284" s="9"/>
      <c r="G284" s="22">
        <v>0.40023799999999998</v>
      </c>
      <c r="H284" s="22">
        <v>8.0037800000000008</v>
      </c>
      <c r="I284" s="22">
        <v>-1.41479E-2</v>
      </c>
      <c r="J284" s="22">
        <v>274</v>
      </c>
      <c r="K284" s="22">
        <v>0.39947500000000002</v>
      </c>
      <c r="L284">
        <f t="shared" si="48"/>
        <v>17.466543209876541</v>
      </c>
      <c r="M284">
        <f t="shared" si="49"/>
        <v>6.990774321234567</v>
      </c>
      <c r="N284" s="9"/>
      <c r="O284" s="22">
        <v>1.2797499999999999</v>
      </c>
      <c r="P284" s="22">
        <v>11.7827</v>
      </c>
      <c r="Q284" s="22">
        <v>-1.31012E-2</v>
      </c>
      <c r="R284" s="22">
        <v>274</v>
      </c>
      <c r="S284" s="22">
        <v>1.2786900000000001</v>
      </c>
      <c r="T284">
        <f t="shared" si="50"/>
        <v>16.174320987654323</v>
      </c>
      <c r="U284">
        <f t="shared" si="51"/>
        <v>20.699087283950618</v>
      </c>
      <c r="X284" s="9"/>
      <c r="Y284" s="22">
        <v>0.40023799999999998</v>
      </c>
      <c r="Z284" s="22">
        <v>17.254999999999999</v>
      </c>
      <c r="AA284" s="22">
        <v>-1.41876E-2</v>
      </c>
      <c r="AB284" s="22">
        <v>274</v>
      </c>
      <c r="AC284" s="22">
        <v>0.39947500000000002</v>
      </c>
      <c r="AD284">
        <f t="shared" si="52"/>
        <v>17.515555555555554</v>
      </c>
      <c r="AE284">
        <f t="shared" si="53"/>
        <v>7.0103909244444438</v>
      </c>
      <c r="AF284" s="9"/>
      <c r="AG284" s="22">
        <v>1.2797499999999999</v>
      </c>
      <c r="AH284" s="22">
        <v>21.033899999999999</v>
      </c>
      <c r="AI284" s="22">
        <v>-1.31165E-2</v>
      </c>
      <c r="AJ284" s="22">
        <v>274</v>
      </c>
      <c r="AK284" s="22">
        <v>1.2786900000000001</v>
      </c>
      <c r="AL284">
        <f t="shared" si="54"/>
        <v>16.193209876543211</v>
      </c>
      <c r="AM284">
        <f t="shared" si="55"/>
        <v>20.723260339506172</v>
      </c>
      <c r="AP284" s="9"/>
      <c r="AQ284" s="22">
        <v>0.40023799999999998</v>
      </c>
      <c r="AR284" s="22">
        <v>26.476199999999999</v>
      </c>
      <c r="AS284" s="22">
        <v>-1.4157100000000001E-2</v>
      </c>
      <c r="AT284" s="22">
        <v>274</v>
      </c>
      <c r="AU284" s="22">
        <v>0.39950600000000003</v>
      </c>
      <c r="AV284">
        <f t="shared" si="56"/>
        <v>17.477901234567902</v>
      </c>
      <c r="AW284">
        <f t="shared" si="57"/>
        <v>6.9953202343209879</v>
      </c>
      <c r="AX284" s="9"/>
      <c r="AY284" s="22">
        <v>1.2797499999999999</v>
      </c>
      <c r="AZ284" s="22">
        <v>30.255099999999999</v>
      </c>
      <c r="BA284" s="22">
        <v>-1.31012E-2</v>
      </c>
      <c r="BB284" s="22">
        <v>274</v>
      </c>
      <c r="BC284" s="22">
        <v>1.2786900000000001</v>
      </c>
      <c r="BD284">
        <f t="shared" si="58"/>
        <v>16.174320987654323</v>
      </c>
      <c r="BE284">
        <f t="shared" si="59"/>
        <v>20.699087283950618</v>
      </c>
    </row>
    <row r="285" spans="6:101">
      <c r="F285" s="9"/>
      <c r="G285" s="22">
        <v>0.39520300000000003</v>
      </c>
      <c r="H285" s="22">
        <v>8.0138499999999997</v>
      </c>
      <c r="I285" s="22">
        <v>-1.4151E-2</v>
      </c>
      <c r="J285" s="22">
        <v>275</v>
      </c>
      <c r="K285" s="22">
        <v>0.39446999999999999</v>
      </c>
      <c r="L285">
        <f t="shared" si="48"/>
        <v>17.470370370370368</v>
      </c>
      <c r="M285">
        <f t="shared" si="49"/>
        <v>6.9043427814814811</v>
      </c>
      <c r="N285" s="9"/>
      <c r="O285" s="22">
        <v>1.2847900000000001</v>
      </c>
      <c r="P285" s="22">
        <v>11.7928</v>
      </c>
      <c r="Q285" s="22">
        <v>-1.30676E-2</v>
      </c>
      <c r="R285" s="22">
        <v>275</v>
      </c>
      <c r="S285" s="22">
        <v>1.2838700000000001</v>
      </c>
      <c r="T285">
        <f t="shared" si="50"/>
        <v>16.132839506172839</v>
      </c>
      <c r="U285">
        <f t="shared" si="51"/>
        <v>20.727310869135803</v>
      </c>
      <c r="X285" s="9"/>
      <c r="Y285" s="22">
        <v>0.39520300000000003</v>
      </c>
      <c r="Z285" s="22">
        <v>17.265000000000001</v>
      </c>
      <c r="AA285" s="22">
        <v>-1.41846E-2</v>
      </c>
      <c r="AB285" s="22">
        <v>275</v>
      </c>
      <c r="AC285" s="22">
        <v>0.39446999999999999</v>
      </c>
      <c r="AD285">
        <f t="shared" si="52"/>
        <v>17.511851851851851</v>
      </c>
      <c r="AE285">
        <f t="shared" si="53"/>
        <v>6.9207363874074073</v>
      </c>
      <c r="AF285" s="9"/>
      <c r="AG285" s="22">
        <v>1.2847900000000001</v>
      </c>
      <c r="AH285" s="22">
        <v>21.043900000000001</v>
      </c>
      <c r="AI285" s="22">
        <v>-1.30951E-2</v>
      </c>
      <c r="AJ285" s="22">
        <v>275</v>
      </c>
      <c r="AK285" s="22">
        <v>1.2838700000000001</v>
      </c>
      <c r="AL285">
        <f t="shared" si="54"/>
        <v>16.166790123456789</v>
      </c>
      <c r="AM285">
        <f t="shared" si="55"/>
        <v>20.770930282716048</v>
      </c>
      <c r="AP285" s="9"/>
      <c r="AQ285" s="22">
        <v>0.39520300000000003</v>
      </c>
      <c r="AR285" s="22">
        <v>26.4863</v>
      </c>
      <c r="AS285" s="22">
        <v>-1.41602E-2</v>
      </c>
      <c r="AT285" s="22">
        <v>275</v>
      </c>
      <c r="AU285" s="22">
        <v>0.39450099999999999</v>
      </c>
      <c r="AV285">
        <f t="shared" si="56"/>
        <v>17.481728395061729</v>
      </c>
      <c r="AW285">
        <f t="shared" si="57"/>
        <v>6.9088315069135815</v>
      </c>
      <c r="AX285" s="9"/>
      <c r="AY285" s="22">
        <v>1.2847900000000001</v>
      </c>
      <c r="AZ285" s="22">
        <v>30.2652</v>
      </c>
      <c r="BA285" s="22">
        <v>-1.3085899999999999E-2</v>
      </c>
      <c r="BB285" s="22">
        <v>275</v>
      </c>
      <c r="BC285" s="22">
        <v>1.2838700000000001</v>
      </c>
      <c r="BD285">
        <f t="shared" si="58"/>
        <v>16.155432098765431</v>
      </c>
      <c r="BE285">
        <f t="shared" si="59"/>
        <v>20.756337606172838</v>
      </c>
    </row>
    <row r="286" spans="6:101">
      <c r="F286" s="9"/>
      <c r="G286" s="22">
        <v>0.39016699999999999</v>
      </c>
      <c r="H286" s="22">
        <v>8.0239200000000004</v>
      </c>
      <c r="I286" s="22">
        <v>-1.41602E-2</v>
      </c>
      <c r="J286" s="22">
        <v>276</v>
      </c>
      <c r="K286" s="22">
        <v>0.38958700000000002</v>
      </c>
      <c r="L286">
        <f t="shared" si="48"/>
        <v>17.481728395061729</v>
      </c>
      <c r="M286">
        <f t="shared" si="49"/>
        <v>6.8207935227160492</v>
      </c>
      <c r="N286" s="9"/>
      <c r="O286" s="22">
        <v>1.28983</v>
      </c>
      <c r="P286" s="22">
        <v>11.8028</v>
      </c>
      <c r="Q286" s="22">
        <v>-1.30402E-2</v>
      </c>
      <c r="R286" s="22">
        <v>276</v>
      </c>
      <c r="S286" s="22">
        <v>1.2890600000000001</v>
      </c>
      <c r="T286">
        <f t="shared" si="50"/>
        <v>16.099012345679011</v>
      </c>
      <c r="U286">
        <f t="shared" si="51"/>
        <v>20.764989093827158</v>
      </c>
      <c r="X286" s="9"/>
      <c r="Y286" s="22">
        <v>0.39016699999999999</v>
      </c>
      <c r="Z286" s="22">
        <v>17.275099999999998</v>
      </c>
      <c r="AA286" s="22">
        <v>-1.41815E-2</v>
      </c>
      <c r="AB286" s="22">
        <v>276</v>
      </c>
      <c r="AC286" s="22">
        <v>0.38940399999999997</v>
      </c>
      <c r="AD286">
        <f t="shared" si="52"/>
        <v>17.508024691358024</v>
      </c>
      <c r="AE286">
        <f t="shared" si="53"/>
        <v>6.831053469753086</v>
      </c>
      <c r="AF286" s="9"/>
      <c r="AG286" s="22">
        <v>1.28983</v>
      </c>
      <c r="AH286" s="22">
        <v>21.053999999999998</v>
      </c>
      <c r="AI286" s="22">
        <v>-1.3073700000000001E-2</v>
      </c>
      <c r="AJ286" s="22">
        <v>276</v>
      </c>
      <c r="AK286" s="22">
        <v>1.2890600000000001</v>
      </c>
      <c r="AL286">
        <f t="shared" si="54"/>
        <v>16.14037037037037</v>
      </c>
      <c r="AM286">
        <f t="shared" si="55"/>
        <v>20.818333914814815</v>
      </c>
      <c r="AP286" s="9"/>
      <c r="AQ286" s="22">
        <v>0.39016699999999999</v>
      </c>
      <c r="AR286" s="22">
        <v>26.496300000000002</v>
      </c>
      <c r="AS286" s="22">
        <v>-1.4163200000000001E-2</v>
      </c>
      <c r="AT286" s="22">
        <v>276</v>
      </c>
      <c r="AU286" s="22">
        <v>0.38946500000000001</v>
      </c>
      <c r="AV286">
        <f t="shared" si="56"/>
        <v>17.485432098765433</v>
      </c>
      <c r="AW286">
        <f t="shared" si="57"/>
        <v>6.8222385856790124</v>
      </c>
      <c r="AX286" s="9"/>
      <c r="AY286" s="22">
        <v>1.28983</v>
      </c>
      <c r="AZ286" s="22">
        <v>30.275200000000002</v>
      </c>
      <c r="BA286" s="22">
        <v>-1.30768E-2</v>
      </c>
      <c r="BB286" s="22">
        <v>276</v>
      </c>
      <c r="BC286" s="22">
        <v>1.2887599999999999</v>
      </c>
      <c r="BD286">
        <f t="shared" si="58"/>
        <v>16.144197530864194</v>
      </c>
      <c r="BE286">
        <f t="shared" si="59"/>
        <v>20.823270301234562</v>
      </c>
    </row>
    <row r="287" spans="6:101">
      <c r="F287" s="9"/>
      <c r="G287" s="22">
        <v>0.38513199999999997</v>
      </c>
      <c r="H287" s="22">
        <v>8.0339899999999993</v>
      </c>
      <c r="I287" s="22">
        <v>-1.4157100000000001E-2</v>
      </c>
      <c r="J287" s="22">
        <v>277</v>
      </c>
      <c r="K287" s="22">
        <v>0.38439899999999999</v>
      </c>
      <c r="L287">
        <f t="shared" si="48"/>
        <v>17.477901234567902</v>
      </c>
      <c r="M287">
        <f t="shared" si="49"/>
        <v>6.7312990582716052</v>
      </c>
      <c r="N287" s="9"/>
      <c r="O287" s="22">
        <v>1.2948599999999999</v>
      </c>
      <c r="P287" s="22">
        <v>11.812900000000001</v>
      </c>
      <c r="Q287" s="22">
        <v>-1.30127E-2</v>
      </c>
      <c r="R287" s="22">
        <v>277</v>
      </c>
      <c r="S287" s="22">
        <v>1.2939499999999999</v>
      </c>
      <c r="T287">
        <f t="shared" si="50"/>
        <v>16.065061728395062</v>
      </c>
      <c r="U287">
        <f t="shared" si="51"/>
        <v>20.802005829629628</v>
      </c>
      <c r="X287" s="9"/>
      <c r="Y287" s="22">
        <v>0.38513199999999997</v>
      </c>
      <c r="Z287" s="22">
        <v>17.2852</v>
      </c>
      <c r="AA287" s="22">
        <v>-1.41785E-2</v>
      </c>
      <c r="AB287" s="22">
        <v>277</v>
      </c>
      <c r="AC287" s="22">
        <v>0.38446000000000002</v>
      </c>
      <c r="AD287">
        <f t="shared" si="52"/>
        <v>17.504320987654321</v>
      </c>
      <c r="AE287">
        <f t="shared" si="53"/>
        <v>6.7414741506172833</v>
      </c>
      <c r="AF287" s="9"/>
      <c r="AG287" s="22">
        <v>1.2948599999999999</v>
      </c>
      <c r="AH287" s="22">
        <v>21.0641</v>
      </c>
      <c r="AI287" s="22">
        <v>-1.3064600000000001E-2</v>
      </c>
      <c r="AJ287" s="22">
        <v>277</v>
      </c>
      <c r="AK287" s="22">
        <v>1.2936399999999999</v>
      </c>
      <c r="AL287">
        <f t="shared" si="54"/>
        <v>16.129135802469136</v>
      </c>
      <c r="AM287">
        <f t="shared" si="55"/>
        <v>20.884972785185184</v>
      </c>
      <c r="AP287" s="9"/>
      <c r="AQ287" s="22">
        <v>0.38513199999999997</v>
      </c>
      <c r="AR287" s="22">
        <v>26.506399999999999</v>
      </c>
      <c r="AS287" s="22">
        <v>-1.4163200000000001E-2</v>
      </c>
      <c r="AT287" s="22">
        <v>277</v>
      </c>
      <c r="AU287" s="22">
        <v>0.38442999999999999</v>
      </c>
      <c r="AV287">
        <f t="shared" si="56"/>
        <v>17.485432098765433</v>
      </c>
      <c r="AW287">
        <f t="shared" si="57"/>
        <v>6.7341994350617282</v>
      </c>
      <c r="AX287" s="9"/>
      <c r="AY287" s="22">
        <v>1.2948599999999999</v>
      </c>
      <c r="AZ287" s="22">
        <v>30.285299999999999</v>
      </c>
      <c r="BA287" s="22">
        <v>-1.30615E-2</v>
      </c>
      <c r="BB287" s="22">
        <v>277</v>
      </c>
      <c r="BC287" s="22">
        <v>1.2939499999999999</v>
      </c>
      <c r="BD287">
        <f t="shared" si="58"/>
        <v>16.125308641975309</v>
      </c>
      <c r="BE287">
        <f t="shared" si="59"/>
        <v>20.880017148148148</v>
      </c>
    </row>
    <row r="288" spans="6:101">
      <c r="F288" s="9"/>
      <c r="G288" s="22">
        <v>0.38009599999999999</v>
      </c>
      <c r="H288" s="22">
        <v>8.04406</v>
      </c>
      <c r="I288" s="22">
        <v>-1.4151E-2</v>
      </c>
      <c r="J288" s="22">
        <v>278</v>
      </c>
      <c r="K288" s="22">
        <v>0.37933299999999998</v>
      </c>
      <c r="L288">
        <f t="shared" si="48"/>
        <v>17.470370370370368</v>
      </c>
      <c r="M288">
        <f t="shared" si="49"/>
        <v>6.6404178962962952</v>
      </c>
      <c r="N288" s="9"/>
      <c r="O288" s="22">
        <v>1.2999000000000001</v>
      </c>
      <c r="P288" s="22">
        <v>11.823</v>
      </c>
      <c r="Q288" s="22">
        <v>-1.2991300000000001E-2</v>
      </c>
      <c r="R288" s="22">
        <v>278</v>
      </c>
      <c r="S288" s="22">
        <v>1.2994399999999999</v>
      </c>
      <c r="T288">
        <f t="shared" si="50"/>
        <v>16.038641975308643</v>
      </c>
      <c r="U288">
        <f t="shared" si="51"/>
        <v>20.848630703703705</v>
      </c>
      <c r="X288" s="9"/>
      <c r="Y288" s="22">
        <v>0.38009599999999999</v>
      </c>
      <c r="Z288" s="22">
        <v>17.295200000000001</v>
      </c>
      <c r="AA288" s="22">
        <v>-1.41785E-2</v>
      </c>
      <c r="AB288" s="22">
        <v>278</v>
      </c>
      <c r="AC288" s="22">
        <v>0.37936399999999998</v>
      </c>
      <c r="AD288">
        <f t="shared" si="52"/>
        <v>17.504320987654321</v>
      </c>
      <c r="AE288">
        <f t="shared" si="53"/>
        <v>6.6533223901234564</v>
      </c>
      <c r="AF288" s="9"/>
      <c r="AG288" s="22">
        <v>1.2999000000000001</v>
      </c>
      <c r="AH288" s="22">
        <v>21.074100000000001</v>
      </c>
      <c r="AI288" s="22">
        <v>-1.30493E-2</v>
      </c>
      <c r="AJ288" s="22">
        <v>278</v>
      </c>
      <c r="AK288" s="22">
        <v>1.2991299999999999</v>
      </c>
      <c r="AL288">
        <f t="shared" si="54"/>
        <v>16.110246913580244</v>
      </c>
      <c r="AM288">
        <f t="shared" si="55"/>
        <v>20.94170996296296</v>
      </c>
      <c r="AP288" s="9"/>
      <c r="AQ288" s="22">
        <v>0.38009599999999999</v>
      </c>
      <c r="AR288" s="22">
        <v>26.516500000000001</v>
      </c>
      <c r="AS288" s="22">
        <v>-1.41785E-2</v>
      </c>
      <c r="AT288" s="22">
        <v>278</v>
      </c>
      <c r="AU288" s="22">
        <v>0.37939499999999998</v>
      </c>
      <c r="AV288">
        <f t="shared" si="56"/>
        <v>17.504320987654321</v>
      </c>
      <c r="AW288">
        <f t="shared" si="57"/>
        <v>6.6533223901234564</v>
      </c>
      <c r="AX288" s="9"/>
      <c r="AY288" s="22">
        <v>1.2999000000000001</v>
      </c>
      <c r="AZ288" s="22">
        <v>30.295400000000001</v>
      </c>
      <c r="BA288" s="22">
        <v>-1.30524E-2</v>
      </c>
      <c r="BB288" s="22">
        <v>278</v>
      </c>
      <c r="BC288" s="22">
        <v>1.2991299999999999</v>
      </c>
      <c r="BD288">
        <f t="shared" si="58"/>
        <v>16.114074074074072</v>
      </c>
      <c r="BE288">
        <f t="shared" si="59"/>
        <v>20.946684888888885</v>
      </c>
    </row>
    <row r="289" spans="6:57">
      <c r="F289" s="9"/>
      <c r="G289" s="22">
        <v>0.37506099999999998</v>
      </c>
      <c r="H289" s="22">
        <v>8.0541300000000007</v>
      </c>
      <c r="I289" s="22">
        <v>-1.41449E-2</v>
      </c>
      <c r="J289" s="22">
        <v>279</v>
      </c>
      <c r="K289" s="22">
        <v>0.37439</v>
      </c>
      <c r="L289">
        <f t="shared" si="48"/>
        <v>17.462839506172838</v>
      </c>
      <c r="M289">
        <f t="shared" si="49"/>
        <v>6.5496300480246905</v>
      </c>
      <c r="N289" s="9"/>
      <c r="O289" s="22">
        <v>1.3049299999999999</v>
      </c>
      <c r="P289" s="22">
        <v>11.833</v>
      </c>
      <c r="Q289" s="22">
        <v>-1.2976100000000001E-2</v>
      </c>
      <c r="R289" s="22">
        <v>279</v>
      </c>
      <c r="S289" s="22">
        <v>1.30463</v>
      </c>
      <c r="T289">
        <f t="shared" si="50"/>
        <v>16.019876543209875</v>
      </c>
      <c r="U289">
        <f t="shared" si="51"/>
        <v>20.90481749753086</v>
      </c>
      <c r="X289" s="9"/>
      <c r="Y289" s="22">
        <v>0.37506099999999998</v>
      </c>
      <c r="Z289" s="22">
        <v>17.305299999999999</v>
      </c>
      <c r="AA289" s="22">
        <v>-1.41785E-2</v>
      </c>
      <c r="AB289" s="22">
        <v>279</v>
      </c>
      <c r="AC289" s="22">
        <v>0.37432900000000002</v>
      </c>
      <c r="AD289">
        <f t="shared" si="52"/>
        <v>17.504320987654321</v>
      </c>
      <c r="AE289">
        <f t="shared" si="53"/>
        <v>6.5651881339506168</v>
      </c>
      <c r="AF289" s="9"/>
      <c r="AG289" s="22">
        <v>1.3049299999999999</v>
      </c>
      <c r="AH289" s="22">
        <v>21.084199999999999</v>
      </c>
      <c r="AI289" s="22">
        <v>-1.30341E-2</v>
      </c>
      <c r="AJ289" s="22">
        <v>279</v>
      </c>
      <c r="AK289" s="22">
        <v>1.30402</v>
      </c>
      <c r="AL289">
        <f t="shared" si="54"/>
        <v>16.09148148148148</v>
      </c>
      <c r="AM289">
        <f t="shared" si="55"/>
        <v>20.998256929629626</v>
      </c>
      <c r="AP289" s="9"/>
      <c r="AQ289" s="22">
        <v>0.37506099999999998</v>
      </c>
      <c r="AR289" s="22">
        <v>26.526499999999999</v>
      </c>
      <c r="AS289" s="22">
        <v>-1.41876E-2</v>
      </c>
      <c r="AT289" s="22">
        <v>279</v>
      </c>
      <c r="AU289" s="22">
        <v>0.37432900000000002</v>
      </c>
      <c r="AV289">
        <f t="shared" si="56"/>
        <v>17.515555555555554</v>
      </c>
      <c r="AW289">
        <f t="shared" si="57"/>
        <v>6.5694017822222213</v>
      </c>
      <c r="AX289" s="9"/>
      <c r="AY289" s="22">
        <v>1.3049299999999999</v>
      </c>
      <c r="AZ289" s="22">
        <v>30.305499999999999</v>
      </c>
      <c r="BA289" s="22">
        <v>-1.3037099999999999E-2</v>
      </c>
      <c r="BB289" s="22">
        <v>279</v>
      </c>
      <c r="BC289" s="22">
        <v>1.3043199999999999</v>
      </c>
      <c r="BD289">
        <f t="shared" si="58"/>
        <v>16.095185185185183</v>
      </c>
      <c r="BE289">
        <f t="shared" si="59"/>
        <v>21.003090003703701</v>
      </c>
    </row>
    <row r="290" spans="6:57">
      <c r="F290" s="9"/>
      <c r="G290" s="22">
        <v>0.37002600000000002</v>
      </c>
      <c r="H290" s="22">
        <v>8.0641999999999996</v>
      </c>
      <c r="I290" s="22">
        <v>-1.41418E-2</v>
      </c>
      <c r="J290" s="22">
        <v>280</v>
      </c>
      <c r="K290" s="22">
        <v>0.36935400000000002</v>
      </c>
      <c r="L290">
        <f t="shared" si="48"/>
        <v>17.45901234567901</v>
      </c>
      <c r="M290">
        <f t="shared" si="49"/>
        <v>6.4602885022222214</v>
      </c>
      <c r="N290" s="9"/>
      <c r="O290" s="22">
        <v>1.3099700000000001</v>
      </c>
      <c r="P290" s="22">
        <v>11.8431</v>
      </c>
      <c r="Q290" s="22">
        <v>-1.29578E-2</v>
      </c>
      <c r="R290" s="22">
        <v>280</v>
      </c>
      <c r="S290" s="22">
        <v>1.30829</v>
      </c>
      <c r="T290">
        <f t="shared" si="50"/>
        <v>15.997283950617284</v>
      </c>
      <c r="U290">
        <f t="shared" si="51"/>
        <v>20.955962056790124</v>
      </c>
      <c r="X290" s="9"/>
      <c r="Y290" s="22">
        <v>0.37002600000000002</v>
      </c>
      <c r="Z290" s="22">
        <v>17.3154</v>
      </c>
      <c r="AA290" s="22">
        <v>-1.41846E-2</v>
      </c>
      <c r="AB290" s="22">
        <v>280</v>
      </c>
      <c r="AC290" s="22">
        <v>0.36929299999999998</v>
      </c>
      <c r="AD290">
        <f t="shared" si="52"/>
        <v>17.511851851851851</v>
      </c>
      <c r="AE290">
        <f t="shared" si="53"/>
        <v>6.4798404933333336</v>
      </c>
      <c r="AF290" s="9"/>
      <c r="AG290" s="22">
        <v>1.3099700000000001</v>
      </c>
      <c r="AH290" s="22">
        <v>21.0943</v>
      </c>
      <c r="AI290" s="22">
        <v>-1.30157E-2</v>
      </c>
      <c r="AJ290" s="22">
        <v>280</v>
      </c>
      <c r="AK290" s="22">
        <v>1.3089</v>
      </c>
      <c r="AL290">
        <f t="shared" si="54"/>
        <v>16.068765432098765</v>
      </c>
      <c r="AM290">
        <f t="shared" si="55"/>
        <v>21.049600653086419</v>
      </c>
      <c r="AP290" s="9"/>
      <c r="AQ290" s="22">
        <v>0.37002600000000002</v>
      </c>
      <c r="AR290" s="22">
        <v>26.5366</v>
      </c>
      <c r="AS290" s="22">
        <v>-1.4190700000000001E-2</v>
      </c>
      <c r="AT290" s="22">
        <v>280</v>
      </c>
      <c r="AU290" s="22">
        <v>0.369232</v>
      </c>
      <c r="AV290">
        <f t="shared" si="56"/>
        <v>17.519382716049382</v>
      </c>
      <c r="AW290">
        <f t="shared" si="57"/>
        <v>6.4826271088888889</v>
      </c>
      <c r="AX290" s="9"/>
      <c r="AY290" s="22">
        <v>1.3099700000000001</v>
      </c>
      <c r="AZ290" s="22">
        <v>30.3155</v>
      </c>
      <c r="BA290" s="22">
        <v>-1.3024900000000001E-2</v>
      </c>
      <c r="BB290" s="22">
        <v>280</v>
      </c>
      <c r="BC290" s="22">
        <v>1.3089</v>
      </c>
      <c r="BD290">
        <f t="shared" si="58"/>
        <v>16.080123456790126</v>
      </c>
      <c r="BE290">
        <f t="shared" si="59"/>
        <v>21.064479324691362</v>
      </c>
    </row>
    <row r="291" spans="6:57">
      <c r="F291" s="9"/>
      <c r="G291" s="22">
        <v>0.36498999999999998</v>
      </c>
      <c r="H291" s="22">
        <v>8.0742799999999999</v>
      </c>
      <c r="I291" s="22">
        <v>-1.41449E-2</v>
      </c>
      <c r="J291" s="22">
        <v>281</v>
      </c>
      <c r="K291" s="22">
        <v>0.36444100000000001</v>
      </c>
      <c r="L291">
        <f t="shared" si="48"/>
        <v>17.462839506172838</v>
      </c>
      <c r="M291">
        <f t="shared" si="49"/>
        <v>6.3737617913580236</v>
      </c>
      <c r="N291" s="9"/>
      <c r="O291" s="22">
        <v>1.3149999999999999</v>
      </c>
      <c r="P291" s="22">
        <v>11.853199999999999</v>
      </c>
      <c r="Q291" s="22">
        <v>-1.29578E-2</v>
      </c>
      <c r="R291" s="22">
        <v>281</v>
      </c>
      <c r="S291" s="22">
        <v>1.3147</v>
      </c>
      <c r="T291">
        <f t="shared" si="50"/>
        <v>15.997283950617284</v>
      </c>
      <c r="U291">
        <f t="shared" si="51"/>
        <v>21.036428395061726</v>
      </c>
      <c r="X291" s="9"/>
      <c r="Y291" s="22">
        <v>0.36498999999999998</v>
      </c>
      <c r="Z291" s="22">
        <v>17.325500000000002</v>
      </c>
      <c r="AA291" s="22">
        <v>-1.4196800000000001E-2</v>
      </c>
      <c r="AB291" s="22">
        <v>281</v>
      </c>
      <c r="AC291" s="22">
        <v>0.364288</v>
      </c>
      <c r="AD291">
        <f t="shared" si="52"/>
        <v>17.526913580246916</v>
      </c>
      <c r="AE291">
        <f t="shared" si="53"/>
        <v>6.3971481876543219</v>
      </c>
      <c r="AF291" s="9"/>
      <c r="AG291" s="22">
        <v>1.3149999999999999</v>
      </c>
      <c r="AH291" s="22">
        <v>21.104399999999998</v>
      </c>
      <c r="AI291" s="22">
        <v>-1.3003499999999999E-2</v>
      </c>
      <c r="AJ291" s="22">
        <v>281</v>
      </c>
      <c r="AK291" s="22">
        <v>1.31409</v>
      </c>
      <c r="AL291">
        <f t="shared" si="54"/>
        <v>16.0537037037037</v>
      </c>
      <c r="AM291">
        <f t="shared" si="55"/>
        <v>21.110620370370366</v>
      </c>
      <c r="AP291" s="9"/>
      <c r="AQ291" s="22">
        <v>0.36498999999999998</v>
      </c>
      <c r="AR291" s="22">
        <v>26.546700000000001</v>
      </c>
      <c r="AS291" s="22">
        <v>-1.41998E-2</v>
      </c>
      <c r="AT291" s="22">
        <v>281</v>
      </c>
      <c r="AU291" s="22">
        <v>0.364319</v>
      </c>
      <c r="AV291">
        <f t="shared" si="56"/>
        <v>17.530617283950615</v>
      </c>
      <c r="AW291">
        <f t="shared" si="57"/>
        <v>6.3985000024691345</v>
      </c>
      <c r="AX291" s="9"/>
      <c r="AY291" s="22">
        <v>1.3149999999999999</v>
      </c>
      <c r="AZ291" s="22">
        <v>30.325600000000001</v>
      </c>
      <c r="BA291" s="22">
        <v>-1.30066E-2</v>
      </c>
      <c r="BB291" s="22">
        <v>281</v>
      </c>
      <c r="BC291" s="22">
        <v>1.31409</v>
      </c>
      <c r="BD291">
        <f t="shared" si="58"/>
        <v>16.057530864197531</v>
      </c>
      <c r="BE291">
        <f t="shared" si="59"/>
        <v>21.115653086419751</v>
      </c>
    </row>
    <row r="292" spans="6:57">
      <c r="F292" s="9"/>
      <c r="G292" s="22">
        <v>0.35995500000000002</v>
      </c>
      <c r="H292" s="22">
        <v>8.0843500000000006</v>
      </c>
      <c r="I292" s="22">
        <v>-1.41479E-2</v>
      </c>
      <c r="J292" s="22">
        <v>282</v>
      </c>
      <c r="K292" s="22">
        <v>0.35919200000000001</v>
      </c>
      <c r="L292">
        <f t="shared" si="48"/>
        <v>17.466543209876541</v>
      </c>
      <c r="M292">
        <f t="shared" si="49"/>
        <v>6.2871695611111109</v>
      </c>
      <c r="N292" s="9"/>
      <c r="O292" s="22">
        <v>1.3200400000000001</v>
      </c>
      <c r="P292" s="22">
        <v>11.863300000000001</v>
      </c>
      <c r="Q292" s="22">
        <v>-1.2942499999999999E-2</v>
      </c>
      <c r="R292" s="22">
        <v>282</v>
      </c>
      <c r="S292" s="22">
        <v>1.31836</v>
      </c>
      <c r="T292">
        <f t="shared" si="50"/>
        <v>15.978395061728392</v>
      </c>
      <c r="U292">
        <f t="shared" si="51"/>
        <v>21.09212061728395</v>
      </c>
      <c r="X292" s="9"/>
      <c r="Y292" s="22">
        <v>0.35995500000000002</v>
      </c>
      <c r="Z292" s="22">
        <v>17.3355</v>
      </c>
      <c r="AA292" s="22">
        <v>-1.41998E-2</v>
      </c>
      <c r="AB292" s="22">
        <v>282</v>
      </c>
      <c r="AC292" s="22">
        <v>0.35931400000000002</v>
      </c>
      <c r="AD292">
        <f t="shared" si="52"/>
        <v>17.530617283950615</v>
      </c>
      <c r="AE292">
        <f t="shared" si="53"/>
        <v>6.3102333444444438</v>
      </c>
      <c r="AF292" s="9"/>
      <c r="AG292" s="22">
        <v>1.3200400000000001</v>
      </c>
      <c r="AH292" s="22">
        <v>21.1144</v>
      </c>
      <c r="AI292" s="22">
        <v>-1.2991300000000001E-2</v>
      </c>
      <c r="AJ292" s="22">
        <v>282</v>
      </c>
      <c r="AK292" s="22">
        <v>1.3192699999999999</v>
      </c>
      <c r="AL292">
        <f t="shared" si="54"/>
        <v>16.038641975308643</v>
      </c>
      <c r="AM292">
        <f t="shared" si="55"/>
        <v>21.171648953086422</v>
      </c>
      <c r="AP292" s="9"/>
      <c r="AQ292" s="22">
        <v>0.35995500000000002</v>
      </c>
      <c r="AR292" s="22">
        <v>26.556799999999999</v>
      </c>
      <c r="AS292" s="22">
        <v>-1.41998E-2</v>
      </c>
      <c r="AT292" s="22">
        <v>282</v>
      </c>
      <c r="AU292" s="22">
        <v>0.35922199999999999</v>
      </c>
      <c r="AV292">
        <f t="shared" si="56"/>
        <v>17.530617283950615</v>
      </c>
      <c r="AW292">
        <f t="shared" si="57"/>
        <v>6.3102333444444438</v>
      </c>
      <c r="AX292" s="9"/>
      <c r="AY292" s="22">
        <v>1.3200400000000001</v>
      </c>
      <c r="AZ292" s="22">
        <v>30.335699999999999</v>
      </c>
      <c r="BA292" s="22">
        <v>-1.2985200000000001E-2</v>
      </c>
      <c r="BB292" s="22">
        <v>282</v>
      </c>
      <c r="BC292" s="22">
        <v>1.31897</v>
      </c>
      <c r="BD292">
        <f t="shared" si="58"/>
        <v>16.031111111111109</v>
      </c>
      <c r="BE292">
        <f t="shared" si="59"/>
        <v>21.161707911111108</v>
      </c>
    </row>
    <row r="293" spans="6:57">
      <c r="F293" s="9"/>
      <c r="G293" s="22">
        <v>0.35491899999999998</v>
      </c>
      <c r="H293" s="22">
        <v>8.0944199999999995</v>
      </c>
      <c r="I293" s="22">
        <v>-1.4157100000000001E-2</v>
      </c>
      <c r="J293" s="22">
        <v>283</v>
      </c>
      <c r="K293" s="22">
        <v>0.35415600000000003</v>
      </c>
      <c r="L293">
        <f t="shared" si="48"/>
        <v>17.477901234567902</v>
      </c>
      <c r="M293">
        <f t="shared" si="49"/>
        <v>6.2032392282716051</v>
      </c>
      <c r="N293" s="9"/>
      <c r="O293" s="22">
        <v>1.32507</v>
      </c>
      <c r="P293" s="22">
        <v>11.8733</v>
      </c>
      <c r="Q293" s="22">
        <v>-1.29272E-2</v>
      </c>
      <c r="R293" s="22">
        <v>283</v>
      </c>
      <c r="S293" s="22">
        <v>1.32446</v>
      </c>
      <c r="T293">
        <f t="shared" si="50"/>
        <v>15.959506172839506</v>
      </c>
      <c r="U293">
        <f t="shared" si="51"/>
        <v>21.147462844444444</v>
      </c>
      <c r="X293" s="9"/>
      <c r="Y293" s="22">
        <v>0.35491899999999998</v>
      </c>
      <c r="Z293" s="22">
        <v>17.345600000000001</v>
      </c>
      <c r="AA293" s="22">
        <v>-1.4196800000000001E-2</v>
      </c>
      <c r="AB293" s="22">
        <v>283</v>
      </c>
      <c r="AC293" s="22">
        <v>0.35418699999999997</v>
      </c>
      <c r="AD293">
        <f t="shared" si="52"/>
        <v>17.526913580246916</v>
      </c>
      <c r="AE293">
        <f t="shared" si="53"/>
        <v>6.2206346409876545</v>
      </c>
      <c r="AF293" s="9"/>
      <c r="AG293" s="22">
        <v>1.32507</v>
      </c>
      <c r="AH293" s="22">
        <v>21.124500000000001</v>
      </c>
      <c r="AI293" s="22">
        <v>-1.2982199999999999E-2</v>
      </c>
      <c r="AJ293" s="22">
        <v>283</v>
      </c>
      <c r="AK293" s="22">
        <v>1.32385</v>
      </c>
      <c r="AL293">
        <f t="shared" si="54"/>
        <v>16.027407407407406</v>
      </c>
      <c r="AM293">
        <f t="shared" si="55"/>
        <v>21.237436733333329</v>
      </c>
      <c r="AP293" s="9"/>
      <c r="AQ293" s="22">
        <v>0.35491899999999998</v>
      </c>
      <c r="AR293" s="22">
        <v>26.566800000000001</v>
      </c>
      <c r="AS293" s="22">
        <v>-1.41937E-2</v>
      </c>
      <c r="AT293" s="22">
        <v>283</v>
      </c>
      <c r="AU293" s="22">
        <v>0.35433999999999999</v>
      </c>
      <c r="AV293">
        <f t="shared" si="56"/>
        <v>17.523086419753085</v>
      </c>
      <c r="AW293">
        <f t="shared" si="57"/>
        <v>6.2192763090123453</v>
      </c>
      <c r="AX293" s="9"/>
      <c r="AY293" s="22">
        <v>1.32507</v>
      </c>
      <c r="AZ293" s="22">
        <v>30.345700000000001</v>
      </c>
      <c r="BA293" s="22">
        <v>-1.29547E-2</v>
      </c>
      <c r="BB293" s="22">
        <v>283</v>
      </c>
      <c r="BC293" s="22">
        <v>1.32416</v>
      </c>
      <c r="BD293">
        <f t="shared" si="58"/>
        <v>15.993456790123457</v>
      </c>
      <c r="BE293">
        <f t="shared" si="59"/>
        <v>21.192449788888887</v>
      </c>
    </row>
    <row r="294" spans="6:57">
      <c r="F294" s="9"/>
      <c r="G294" s="22">
        <v>0.34988399999999997</v>
      </c>
      <c r="H294" s="22">
        <v>8.1044900000000002</v>
      </c>
      <c r="I294" s="22">
        <v>-1.41663E-2</v>
      </c>
      <c r="J294" s="22">
        <v>284</v>
      </c>
      <c r="K294" s="22">
        <v>0.34905999999999998</v>
      </c>
      <c r="L294">
        <f t="shared" si="48"/>
        <v>17.489259259259256</v>
      </c>
      <c r="M294">
        <f t="shared" si="49"/>
        <v>6.1192119866666648</v>
      </c>
      <c r="N294" s="9"/>
      <c r="O294" s="22">
        <v>1.3301099999999999</v>
      </c>
      <c r="P294" s="22">
        <v>11.8834</v>
      </c>
      <c r="Q294" s="22">
        <v>-1.2912E-2</v>
      </c>
      <c r="R294" s="22">
        <v>284</v>
      </c>
      <c r="S294" s="22">
        <v>1.32874</v>
      </c>
      <c r="T294">
        <f t="shared" si="50"/>
        <v>15.940740740740738</v>
      </c>
      <c r="U294">
        <f t="shared" si="51"/>
        <v>21.202938666666661</v>
      </c>
      <c r="X294" s="9"/>
      <c r="Y294" s="22">
        <v>0.34988399999999997</v>
      </c>
      <c r="Z294" s="22">
        <v>17.355699999999999</v>
      </c>
      <c r="AA294" s="22">
        <v>-1.41937E-2</v>
      </c>
      <c r="AB294" s="22">
        <v>284</v>
      </c>
      <c r="AC294" s="22">
        <v>0.34915200000000002</v>
      </c>
      <c r="AD294">
        <f t="shared" si="52"/>
        <v>17.523086419753085</v>
      </c>
      <c r="AE294">
        <f t="shared" si="53"/>
        <v>6.1310475688888877</v>
      </c>
      <c r="AF294" s="9"/>
      <c r="AG294" s="22">
        <v>1.3301099999999999</v>
      </c>
      <c r="AH294" s="22">
        <v>21.134599999999999</v>
      </c>
      <c r="AI294" s="22">
        <v>-1.29791E-2</v>
      </c>
      <c r="AJ294" s="22">
        <v>284</v>
      </c>
      <c r="AK294" s="22">
        <v>1.32874</v>
      </c>
      <c r="AL294">
        <f t="shared" si="54"/>
        <v>16.023580246913578</v>
      </c>
      <c r="AM294">
        <f t="shared" si="55"/>
        <v>21.313124322222219</v>
      </c>
      <c r="AP294" s="9"/>
      <c r="AQ294" s="22">
        <v>0.34988399999999997</v>
      </c>
      <c r="AR294" s="22">
        <v>26.576899999999998</v>
      </c>
      <c r="AS294" s="22">
        <v>-1.41876E-2</v>
      </c>
      <c r="AT294" s="22">
        <v>284</v>
      </c>
      <c r="AU294" s="22">
        <v>0.34912100000000001</v>
      </c>
      <c r="AV294">
        <f t="shared" si="56"/>
        <v>17.515555555555554</v>
      </c>
      <c r="AW294">
        <f t="shared" si="57"/>
        <v>6.1284126399999987</v>
      </c>
      <c r="AX294" s="9"/>
      <c r="AY294" s="22">
        <v>1.3301099999999999</v>
      </c>
      <c r="AZ294" s="22">
        <v>30.355799999999999</v>
      </c>
      <c r="BA294" s="22">
        <v>-1.29242E-2</v>
      </c>
      <c r="BB294" s="22">
        <v>284</v>
      </c>
      <c r="BC294" s="22">
        <v>1.32935</v>
      </c>
      <c r="BD294">
        <f t="shared" si="58"/>
        <v>15.955802469135801</v>
      </c>
      <c r="BE294">
        <f t="shared" si="59"/>
        <v>21.222972422222217</v>
      </c>
    </row>
    <row r="295" spans="6:57">
      <c r="F295" s="9"/>
      <c r="G295" s="22">
        <v>0.34484900000000002</v>
      </c>
      <c r="H295" s="22">
        <v>8.1145600000000009</v>
      </c>
      <c r="I295" s="22">
        <v>-1.41602E-2</v>
      </c>
      <c r="J295" s="22">
        <v>285</v>
      </c>
      <c r="K295" s="22">
        <v>0.34402500000000003</v>
      </c>
      <c r="L295">
        <f t="shared" si="48"/>
        <v>17.481728395061729</v>
      </c>
      <c r="M295">
        <f t="shared" si="49"/>
        <v>6.0285565553086427</v>
      </c>
      <c r="N295" s="9"/>
      <c r="O295" s="22">
        <v>1.33514</v>
      </c>
      <c r="P295" s="22">
        <v>11.8935</v>
      </c>
      <c r="Q295" s="22">
        <v>-1.2902800000000001E-2</v>
      </c>
      <c r="R295" s="22">
        <v>285</v>
      </c>
      <c r="S295" s="22">
        <v>1.33423</v>
      </c>
      <c r="T295">
        <f t="shared" si="50"/>
        <v>15.929382716049382</v>
      </c>
      <c r="U295">
        <f t="shared" si="51"/>
        <v>21.267956039506171</v>
      </c>
      <c r="X295" s="9"/>
      <c r="Y295" s="22">
        <v>0.34484900000000002</v>
      </c>
      <c r="Z295" s="22">
        <v>17.3657</v>
      </c>
      <c r="AA295" s="22">
        <v>-1.4190700000000001E-2</v>
      </c>
      <c r="AB295" s="22">
        <v>285</v>
      </c>
      <c r="AC295" s="22">
        <v>0.34420800000000001</v>
      </c>
      <c r="AD295">
        <f t="shared" si="52"/>
        <v>17.519382716049382</v>
      </c>
      <c r="AE295">
        <f t="shared" si="53"/>
        <v>6.0415416102469139</v>
      </c>
      <c r="AF295" s="9"/>
      <c r="AG295" s="22">
        <v>1.33514</v>
      </c>
      <c r="AH295" s="22">
        <v>21.144600000000001</v>
      </c>
      <c r="AI295" s="22">
        <v>-1.29669E-2</v>
      </c>
      <c r="AJ295" s="22">
        <v>285</v>
      </c>
      <c r="AK295" s="22">
        <v>1.33423</v>
      </c>
      <c r="AL295">
        <f t="shared" si="54"/>
        <v>16.008518518518514</v>
      </c>
      <c r="AM295">
        <f t="shared" si="55"/>
        <v>21.373613414814809</v>
      </c>
      <c r="AP295" s="9"/>
      <c r="AQ295" s="22">
        <v>0.34484900000000002</v>
      </c>
      <c r="AR295" s="22">
        <v>26.587</v>
      </c>
      <c r="AS295" s="22">
        <v>-1.41876E-2</v>
      </c>
      <c r="AT295" s="22">
        <v>285</v>
      </c>
      <c r="AU295" s="22">
        <v>0.344086</v>
      </c>
      <c r="AV295">
        <f t="shared" si="56"/>
        <v>17.515555555555554</v>
      </c>
      <c r="AW295">
        <f t="shared" si="57"/>
        <v>6.0402218177777778</v>
      </c>
      <c r="AX295" s="9"/>
      <c r="AY295" s="22">
        <v>1.33514</v>
      </c>
      <c r="AZ295" s="22">
        <v>30.3659</v>
      </c>
      <c r="BA295" s="22">
        <v>-1.29059E-2</v>
      </c>
      <c r="BB295" s="22">
        <v>285</v>
      </c>
      <c r="BC295" s="22">
        <v>1.33423</v>
      </c>
      <c r="BD295">
        <f t="shared" si="58"/>
        <v>15.933209876543209</v>
      </c>
      <c r="BE295">
        <f t="shared" si="59"/>
        <v>21.273065834567902</v>
      </c>
    </row>
    <row r="296" spans="6:57">
      <c r="F296" s="9"/>
      <c r="G296" s="22">
        <v>0.33981299999999998</v>
      </c>
      <c r="H296" s="22">
        <v>8.1246299999999998</v>
      </c>
      <c r="I296" s="22">
        <v>-1.41602E-2</v>
      </c>
      <c r="J296" s="22">
        <v>286</v>
      </c>
      <c r="K296" s="22">
        <v>0.33905000000000002</v>
      </c>
      <c r="L296">
        <f t="shared" si="48"/>
        <v>17.481728395061729</v>
      </c>
      <c r="M296">
        <f t="shared" si="49"/>
        <v>5.9405185711111113</v>
      </c>
      <c r="N296" s="9"/>
      <c r="O296" s="22">
        <v>1.3401799999999999</v>
      </c>
      <c r="P296" s="22">
        <v>11.903499999999999</v>
      </c>
      <c r="Q296" s="22">
        <v>-1.28845E-2</v>
      </c>
      <c r="R296" s="22">
        <v>286</v>
      </c>
      <c r="S296" s="22">
        <v>1.33911</v>
      </c>
      <c r="T296">
        <f t="shared" si="50"/>
        <v>15.906790123456791</v>
      </c>
      <c r="U296">
        <f t="shared" si="51"/>
        <v>21.317961987654321</v>
      </c>
      <c r="X296" s="9"/>
      <c r="Y296" s="22">
        <v>0.33981299999999998</v>
      </c>
      <c r="Z296" s="22">
        <v>17.375800000000002</v>
      </c>
      <c r="AA296" s="22">
        <v>-1.4190700000000001E-2</v>
      </c>
      <c r="AB296" s="22">
        <v>286</v>
      </c>
      <c r="AC296" s="22">
        <v>0.339111</v>
      </c>
      <c r="AD296">
        <f t="shared" si="52"/>
        <v>17.519382716049382</v>
      </c>
      <c r="AE296">
        <f t="shared" si="53"/>
        <v>5.9533139988888886</v>
      </c>
      <c r="AF296" s="9"/>
      <c r="AG296" s="22">
        <v>1.3401799999999999</v>
      </c>
      <c r="AH296" s="22">
        <v>21.154699999999998</v>
      </c>
      <c r="AI296" s="22">
        <v>-1.29456E-2</v>
      </c>
      <c r="AJ296" s="22">
        <v>286</v>
      </c>
      <c r="AK296" s="22">
        <v>1.3385</v>
      </c>
      <c r="AL296">
        <f t="shared" si="54"/>
        <v>15.982222222222221</v>
      </c>
      <c r="AM296">
        <f t="shared" si="55"/>
        <v>21.419054577777775</v>
      </c>
      <c r="AP296" s="9"/>
      <c r="AQ296" s="22">
        <v>0.33981299999999998</v>
      </c>
      <c r="AR296" s="22">
        <v>26.597000000000001</v>
      </c>
      <c r="AS296" s="22">
        <v>-1.41876E-2</v>
      </c>
      <c r="AT296" s="22">
        <v>286</v>
      </c>
      <c r="AU296" s="22">
        <v>0.339142</v>
      </c>
      <c r="AV296">
        <f t="shared" si="56"/>
        <v>17.515555555555554</v>
      </c>
      <c r="AW296">
        <f t="shared" si="57"/>
        <v>5.9520134799999989</v>
      </c>
      <c r="AX296" s="9"/>
      <c r="AY296" s="22">
        <v>1.3401799999999999</v>
      </c>
      <c r="AZ296" s="22">
        <v>30.375900000000001</v>
      </c>
      <c r="BA296" s="22">
        <v>-1.2887600000000001E-2</v>
      </c>
      <c r="BB296" s="22">
        <v>286</v>
      </c>
      <c r="BC296" s="22">
        <v>1.3394200000000001</v>
      </c>
      <c r="BD296">
        <f t="shared" si="58"/>
        <v>15.910617283950618</v>
      </c>
      <c r="BE296">
        <f t="shared" si="59"/>
        <v>21.323091071604939</v>
      </c>
    </row>
    <row r="297" spans="6:57">
      <c r="F297" s="9"/>
      <c r="G297" s="22">
        <v>0.33477800000000002</v>
      </c>
      <c r="H297" s="22">
        <v>8.1347000000000005</v>
      </c>
      <c r="I297" s="22">
        <v>-1.41602E-2</v>
      </c>
      <c r="J297" s="22">
        <v>287</v>
      </c>
      <c r="K297" s="22">
        <v>0.33407599999999998</v>
      </c>
      <c r="L297">
        <f t="shared" si="48"/>
        <v>17.481728395061729</v>
      </c>
      <c r="M297">
        <f t="shared" si="49"/>
        <v>5.8524980686419763</v>
      </c>
      <c r="N297" s="9"/>
      <c r="O297" s="22">
        <v>1.34521</v>
      </c>
      <c r="P297" s="22">
        <v>11.913600000000001</v>
      </c>
      <c r="Q297" s="22">
        <v>-1.28693E-2</v>
      </c>
      <c r="R297" s="22">
        <v>287</v>
      </c>
      <c r="S297" s="22">
        <v>1.3436900000000001</v>
      </c>
      <c r="T297">
        <f t="shared" si="50"/>
        <v>15.888024691358023</v>
      </c>
      <c r="U297">
        <f t="shared" si="51"/>
        <v>21.372729695061725</v>
      </c>
      <c r="X297" s="9"/>
      <c r="Y297" s="22">
        <v>0.33477800000000002</v>
      </c>
      <c r="Z297" s="22">
        <v>17.385899999999999</v>
      </c>
      <c r="AA297" s="22">
        <v>-1.41876E-2</v>
      </c>
      <c r="AB297" s="22">
        <v>287</v>
      </c>
      <c r="AC297" s="22">
        <v>0.334229</v>
      </c>
      <c r="AD297">
        <f t="shared" si="52"/>
        <v>17.515555555555554</v>
      </c>
      <c r="AE297">
        <f t="shared" si="53"/>
        <v>5.8638226577777779</v>
      </c>
      <c r="AF297" s="9"/>
      <c r="AG297" s="22">
        <v>1.34521</v>
      </c>
      <c r="AH297" s="22">
        <v>21.1648</v>
      </c>
      <c r="AI297" s="22">
        <v>-1.29272E-2</v>
      </c>
      <c r="AJ297" s="22">
        <v>287</v>
      </c>
      <c r="AK297" s="22">
        <v>1.3443000000000001</v>
      </c>
      <c r="AL297">
        <f t="shared" si="54"/>
        <v>15.959506172839506</v>
      </c>
      <c r="AM297">
        <f t="shared" si="55"/>
        <v>21.468887298765431</v>
      </c>
      <c r="AP297" s="9"/>
      <c r="AQ297" s="22">
        <v>0.33477800000000002</v>
      </c>
      <c r="AR297" s="22">
        <v>26.607099999999999</v>
      </c>
      <c r="AS297" s="22">
        <v>-1.4190700000000001E-2</v>
      </c>
      <c r="AT297" s="22">
        <v>287</v>
      </c>
      <c r="AU297" s="22">
        <v>0.33401500000000001</v>
      </c>
      <c r="AV297">
        <f t="shared" si="56"/>
        <v>17.519382716049382</v>
      </c>
      <c r="AW297">
        <f t="shared" si="57"/>
        <v>5.8651039069135802</v>
      </c>
      <c r="AX297" s="9"/>
      <c r="AY297" s="22">
        <v>1.34521</v>
      </c>
      <c r="AZ297" s="22">
        <v>30.385999999999999</v>
      </c>
      <c r="BA297" s="22">
        <v>-1.28632E-2</v>
      </c>
      <c r="BB297" s="22">
        <v>287</v>
      </c>
      <c r="BC297" s="22">
        <v>1.3443000000000001</v>
      </c>
      <c r="BD297">
        <f t="shared" si="58"/>
        <v>15.880493827160493</v>
      </c>
      <c r="BE297">
        <f t="shared" si="59"/>
        <v>21.362599101234565</v>
      </c>
    </row>
    <row r="298" spans="6:57">
      <c r="F298" s="9"/>
      <c r="G298" s="22">
        <v>0.32974199999999998</v>
      </c>
      <c r="H298" s="22">
        <v>8.1447699999999994</v>
      </c>
      <c r="I298" s="22">
        <v>-1.41602E-2</v>
      </c>
      <c r="J298" s="22">
        <v>288</v>
      </c>
      <c r="K298" s="22">
        <v>0.32904099999999997</v>
      </c>
      <c r="L298">
        <f t="shared" si="48"/>
        <v>17.481728395061729</v>
      </c>
      <c r="M298">
        <f t="shared" si="49"/>
        <v>5.764460084444444</v>
      </c>
      <c r="N298" s="9"/>
      <c r="O298" s="22">
        <v>1.35025</v>
      </c>
      <c r="P298" s="22">
        <v>11.9237</v>
      </c>
      <c r="Q298" s="22">
        <v>-1.2854000000000001E-2</v>
      </c>
      <c r="R298" s="22">
        <v>288</v>
      </c>
      <c r="S298" s="22">
        <v>1.34918</v>
      </c>
      <c r="T298">
        <f t="shared" si="50"/>
        <v>15.869135802469136</v>
      </c>
      <c r="U298">
        <f t="shared" si="51"/>
        <v>21.427300617283951</v>
      </c>
      <c r="X298" s="9"/>
      <c r="Y298" s="22">
        <v>0.32974199999999998</v>
      </c>
      <c r="Z298" s="22">
        <v>17.396000000000001</v>
      </c>
      <c r="AA298" s="22">
        <v>-1.41937E-2</v>
      </c>
      <c r="AB298" s="22">
        <v>288</v>
      </c>
      <c r="AC298" s="22">
        <v>0.32894899999999999</v>
      </c>
      <c r="AD298">
        <f t="shared" si="52"/>
        <v>17.523086419753085</v>
      </c>
      <c r="AE298">
        <f t="shared" si="53"/>
        <v>5.7780975622222215</v>
      </c>
      <c r="AF298" s="9"/>
      <c r="AG298" s="22">
        <v>1.35025</v>
      </c>
      <c r="AH298" s="22">
        <v>21.174900000000001</v>
      </c>
      <c r="AI298" s="22">
        <v>-1.2899799999999999E-2</v>
      </c>
      <c r="AJ298" s="22">
        <v>288</v>
      </c>
      <c r="AK298" s="22">
        <v>1.34979</v>
      </c>
      <c r="AL298">
        <f t="shared" si="54"/>
        <v>15.925679012345679</v>
      </c>
      <c r="AM298">
        <f t="shared" si="55"/>
        <v>21.503648086419751</v>
      </c>
      <c r="AP298" s="9"/>
      <c r="AQ298" s="22">
        <v>0.32974199999999998</v>
      </c>
      <c r="AR298" s="22">
        <v>26.6172</v>
      </c>
      <c r="AS298" s="22">
        <v>-1.4190700000000001E-2</v>
      </c>
      <c r="AT298" s="22">
        <v>288</v>
      </c>
      <c r="AU298" s="22">
        <v>0.32897900000000002</v>
      </c>
      <c r="AV298">
        <f t="shared" si="56"/>
        <v>17.519382716049382</v>
      </c>
      <c r="AW298">
        <f t="shared" si="57"/>
        <v>5.7768762955555548</v>
      </c>
      <c r="AX298" s="9"/>
      <c r="AY298" s="22">
        <v>1.35025</v>
      </c>
      <c r="AZ298" s="22">
        <v>30.396100000000001</v>
      </c>
      <c r="BA298" s="22">
        <v>-1.28357E-2</v>
      </c>
      <c r="BB298" s="22">
        <v>288</v>
      </c>
      <c r="BC298" s="22">
        <v>1.3494900000000001</v>
      </c>
      <c r="BD298">
        <f t="shared" si="58"/>
        <v>15.846543209876542</v>
      </c>
      <c r="BE298">
        <f t="shared" si="59"/>
        <v>21.396794969135801</v>
      </c>
    </row>
    <row r="299" spans="6:57">
      <c r="F299" s="9"/>
      <c r="G299" s="22">
        <v>0.32470700000000002</v>
      </c>
      <c r="H299" s="22">
        <v>8.1548400000000001</v>
      </c>
      <c r="I299" s="22">
        <v>-1.4163200000000001E-2</v>
      </c>
      <c r="J299" s="22">
        <v>289</v>
      </c>
      <c r="K299" s="22">
        <v>0.32403599999999999</v>
      </c>
      <c r="L299">
        <f t="shared" si="48"/>
        <v>17.485432098765433</v>
      </c>
      <c r="M299">
        <f t="shared" si="49"/>
        <v>5.6776422004938274</v>
      </c>
      <c r="N299" s="9"/>
      <c r="O299" s="22">
        <v>1.3552900000000001</v>
      </c>
      <c r="P299" s="22">
        <v>11.9337</v>
      </c>
      <c r="Q299" s="22">
        <v>-1.28326E-2</v>
      </c>
      <c r="R299" s="22">
        <v>289</v>
      </c>
      <c r="S299" s="22">
        <v>1.35406</v>
      </c>
      <c r="T299">
        <f t="shared" si="50"/>
        <v>15.842716049382712</v>
      </c>
      <c r="U299">
        <f t="shared" si="51"/>
        <v>21.471474634567898</v>
      </c>
      <c r="X299" s="9"/>
      <c r="Y299" s="22">
        <v>0.32470700000000002</v>
      </c>
      <c r="Z299" s="22">
        <v>17.405999999999999</v>
      </c>
      <c r="AA299" s="22">
        <v>-1.4202899999999999E-2</v>
      </c>
      <c r="AB299" s="22">
        <v>289</v>
      </c>
      <c r="AC299" s="22">
        <v>0.32409700000000002</v>
      </c>
      <c r="AD299">
        <f t="shared" si="52"/>
        <v>17.534444444444443</v>
      </c>
      <c r="AE299">
        <f t="shared" si="53"/>
        <v>5.6935568522222217</v>
      </c>
      <c r="AF299" s="9"/>
      <c r="AG299" s="22">
        <v>1.3552900000000001</v>
      </c>
      <c r="AH299" s="22">
        <v>21.184899999999999</v>
      </c>
      <c r="AI299" s="22">
        <v>-1.28784E-2</v>
      </c>
      <c r="AJ299" s="22">
        <v>289</v>
      </c>
      <c r="AK299" s="22">
        <v>1.3543700000000001</v>
      </c>
      <c r="AL299">
        <f t="shared" si="54"/>
        <v>15.899259259259258</v>
      </c>
      <c r="AM299">
        <f t="shared" si="55"/>
        <v>21.548107081481483</v>
      </c>
      <c r="AP299" s="9"/>
      <c r="AQ299" s="22">
        <v>0.32470700000000002</v>
      </c>
      <c r="AR299" s="22">
        <v>26.627300000000002</v>
      </c>
      <c r="AS299" s="22">
        <v>-1.4196800000000001E-2</v>
      </c>
      <c r="AT299" s="22">
        <v>289</v>
      </c>
      <c r="AU299" s="22">
        <v>0.32400499999999999</v>
      </c>
      <c r="AV299">
        <f t="shared" si="56"/>
        <v>17.526913580246916</v>
      </c>
      <c r="AW299">
        <f t="shared" si="57"/>
        <v>5.6911115279012359</v>
      </c>
      <c r="AX299" s="9"/>
      <c r="AY299" s="22">
        <v>1.3552900000000001</v>
      </c>
      <c r="AZ299" s="22">
        <v>30.406199999999998</v>
      </c>
      <c r="BA299" s="22">
        <v>-1.2811299999999999E-2</v>
      </c>
      <c r="BB299" s="22">
        <v>289</v>
      </c>
      <c r="BC299" s="22">
        <v>1.35406</v>
      </c>
      <c r="BD299">
        <f t="shared" si="58"/>
        <v>15.816419753086418</v>
      </c>
      <c r="BE299">
        <f t="shared" si="59"/>
        <v>21.435835527160492</v>
      </c>
    </row>
    <row r="300" spans="6:57">
      <c r="F300" s="9"/>
      <c r="G300" s="22">
        <v>0.31967200000000001</v>
      </c>
      <c r="H300" s="22">
        <v>8.1649100000000008</v>
      </c>
      <c r="I300" s="22">
        <v>-1.41602E-2</v>
      </c>
      <c r="J300" s="22">
        <v>290</v>
      </c>
      <c r="K300" s="22">
        <v>0.31896999999999998</v>
      </c>
      <c r="L300">
        <f t="shared" si="48"/>
        <v>17.481728395061729</v>
      </c>
      <c r="M300">
        <f t="shared" si="49"/>
        <v>5.5884190795061732</v>
      </c>
      <c r="N300" s="9"/>
      <c r="O300" s="22">
        <v>1.36032</v>
      </c>
      <c r="P300" s="22">
        <v>11.9438</v>
      </c>
      <c r="Q300" s="22">
        <v>-1.28174E-2</v>
      </c>
      <c r="R300" s="22">
        <v>290</v>
      </c>
      <c r="S300" s="22">
        <v>1.3595600000000001</v>
      </c>
      <c r="T300">
        <f t="shared" si="50"/>
        <v>15.82395061728395</v>
      </c>
      <c r="U300">
        <f t="shared" si="51"/>
        <v>21.525636503703701</v>
      </c>
      <c r="X300" s="9"/>
      <c r="Y300" s="22">
        <v>0.31967200000000001</v>
      </c>
      <c r="Z300" s="22">
        <v>17.4161</v>
      </c>
      <c r="AA300" s="22">
        <v>-1.4208999999999999E-2</v>
      </c>
      <c r="AB300" s="22">
        <v>290</v>
      </c>
      <c r="AC300" s="22">
        <v>0.318909</v>
      </c>
      <c r="AD300">
        <f t="shared" si="52"/>
        <v>17.541975308641973</v>
      </c>
      <c r="AE300">
        <f t="shared" si="53"/>
        <v>5.6076783308641973</v>
      </c>
      <c r="AF300" s="9"/>
      <c r="AG300" s="22">
        <v>1.36032</v>
      </c>
      <c r="AH300" s="22">
        <v>21.195</v>
      </c>
      <c r="AI300" s="22">
        <v>-1.28632E-2</v>
      </c>
      <c r="AJ300" s="22">
        <v>290</v>
      </c>
      <c r="AK300" s="22">
        <v>1.3592500000000001</v>
      </c>
      <c r="AL300">
        <f t="shared" si="54"/>
        <v>15.880493827160493</v>
      </c>
      <c r="AM300">
        <f t="shared" si="55"/>
        <v>21.602553362962961</v>
      </c>
      <c r="AP300" s="9"/>
      <c r="AQ300" s="22">
        <v>0.31967200000000001</v>
      </c>
      <c r="AR300" s="22">
        <v>26.6373</v>
      </c>
      <c r="AS300" s="22">
        <v>-1.4196800000000001E-2</v>
      </c>
      <c r="AT300" s="22">
        <v>290</v>
      </c>
      <c r="AU300" s="22">
        <v>0.31900000000000001</v>
      </c>
      <c r="AV300">
        <f t="shared" si="56"/>
        <v>17.526913580246916</v>
      </c>
      <c r="AW300">
        <f t="shared" si="57"/>
        <v>5.6028635180246926</v>
      </c>
      <c r="AX300" s="9"/>
      <c r="AY300" s="22">
        <v>1.36032</v>
      </c>
      <c r="AZ300" s="22">
        <v>30.4162</v>
      </c>
      <c r="BA300" s="22">
        <v>-1.27899E-2</v>
      </c>
      <c r="BB300" s="22">
        <v>290</v>
      </c>
      <c r="BC300" s="22">
        <v>1.3595600000000001</v>
      </c>
      <c r="BD300">
        <f t="shared" si="58"/>
        <v>15.79</v>
      </c>
      <c r="BE300">
        <f t="shared" si="59"/>
        <v>21.479452799999997</v>
      </c>
    </row>
    <row r="301" spans="6:57">
      <c r="F301" s="9"/>
      <c r="G301" s="22">
        <v>0.31463600000000003</v>
      </c>
      <c r="H301" s="22">
        <v>8.1749899999999993</v>
      </c>
      <c r="I301" s="22">
        <v>-1.41602E-2</v>
      </c>
      <c r="J301" s="22">
        <v>291</v>
      </c>
      <c r="K301" s="22">
        <v>0.31381199999999998</v>
      </c>
      <c r="L301">
        <f t="shared" si="48"/>
        <v>17.481728395061729</v>
      </c>
      <c r="M301">
        <f t="shared" si="49"/>
        <v>5.5003810953086427</v>
      </c>
      <c r="N301" s="9"/>
      <c r="O301" s="22">
        <v>1.3653599999999999</v>
      </c>
      <c r="P301" s="22">
        <v>11.953900000000001</v>
      </c>
      <c r="Q301" s="22">
        <v>-1.28021E-2</v>
      </c>
      <c r="R301" s="22">
        <v>291</v>
      </c>
      <c r="S301" s="22">
        <v>1.3641399999999999</v>
      </c>
      <c r="T301">
        <f t="shared" si="50"/>
        <v>15.805061728395062</v>
      </c>
      <c r="U301">
        <f t="shared" si="51"/>
        <v>21.579599081481479</v>
      </c>
      <c r="X301" s="9"/>
      <c r="Y301" s="22">
        <v>0.31463600000000003</v>
      </c>
      <c r="Z301" s="22">
        <v>17.426200000000001</v>
      </c>
      <c r="AA301" s="22">
        <v>-1.4212000000000001E-2</v>
      </c>
      <c r="AB301" s="22">
        <v>291</v>
      </c>
      <c r="AC301" s="22">
        <v>0.31387300000000001</v>
      </c>
      <c r="AD301">
        <f t="shared" si="52"/>
        <v>17.54567901234568</v>
      </c>
      <c r="AE301">
        <f t="shared" si="53"/>
        <v>5.5205022617283959</v>
      </c>
      <c r="AF301" s="9"/>
      <c r="AG301" s="22">
        <v>1.3653599999999999</v>
      </c>
      <c r="AH301" s="22">
        <v>21.205100000000002</v>
      </c>
      <c r="AI301" s="22">
        <v>-1.2847900000000001E-2</v>
      </c>
      <c r="AJ301" s="22">
        <v>291</v>
      </c>
      <c r="AK301" s="22">
        <v>1.3641399999999999</v>
      </c>
      <c r="AL301">
        <f t="shared" si="54"/>
        <v>15.861604938271604</v>
      </c>
      <c r="AM301">
        <f t="shared" si="55"/>
        <v>21.656800918518517</v>
      </c>
      <c r="AP301" s="9"/>
      <c r="AQ301" s="22">
        <v>0.31463600000000003</v>
      </c>
      <c r="AR301" s="22">
        <v>26.647400000000001</v>
      </c>
      <c r="AS301" s="22">
        <v>-1.4196800000000001E-2</v>
      </c>
      <c r="AT301" s="22">
        <v>291</v>
      </c>
      <c r="AU301" s="22">
        <v>0.31396499999999999</v>
      </c>
      <c r="AV301">
        <f t="shared" si="56"/>
        <v>17.526913580246916</v>
      </c>
      <c r="AW301">
        <f t="shared" si="57"/>
        <v>5.5145979812345693</v>
      </c>
      <c r="AX301" s="9"/>
      <c r="AY301" s="22">
        <v>1.3653599999999999</v>
      </c>
      <c r="AZ301" s="22">
        <v>30.426300000000001</v>
      </c>
      <c r="BA301" s="22">
        <v>-1.2765500000000001E-2</v>
      </c>
      <c r="BB301" s="22">
        <v>291</v>
      </c>
      <c r="BC301" s="22">
        <v>1.3641399999999999</v>
      </c>
      <c r="BD301">
        <f t="shared" si="58"/>
        <v>15.759876543209876</v>
      </c>
      <c r="BE301">
        <f t="shared" si="59"/>
        <v>21.517905037037035</v>
      </c>
    </row>
    <row r="302" spans="6:57">
      <c r="F302" s="9"/>
      <c r="G302" s="22">
        <v>0.30960100000000002</v>
      </c>
      <c r="H302" s="22">
        <v>8.18506</v>
      </c>
      <c r="I302" s="22">
        <v>-1.41602E-2</v>
      </c>
      <c r="J302" s="22">
        <v>292</v>
      </c>
      <c r="K302" s="22">
        <v>0.30886799999999998</v>
      </c>
      <c r="L302">
        <f t="shared" si="48"/>
        <v>17.481728395061729</v>
      </c>
      <c r="M302">
        <f t="shared" si="49"/>
        <v>5.4123605928395069</v>
      </c>
      <c r="N302" s="9"/>
      <c r="O302" s="22">
        <v>1.37039</v>
      </c>
      <c r="P302" s="22">
        <v>11.964</v>
      </c>
      <c r="Q302" s="22">
        <v>-1.27808E-2</v>
      </c>
      <c r="R302" s="22">
        <v>292</v>
      </c>
      <c r="S302" s="22">
        <v>1.3696299999999999</v>
      </c>
      <c r="T302">
        <f t="shared" si="50"/>
        <v>15.778765432098764</v>
      </c>
      <c r="U302">
        <f t="shared" si="51"/>
        <v>21.623062360493826</v>
      </c>
      <c r="X302" s="9"/>
      <c r="Y302" s="22">
        <v>0.30960100000000002</v>
      </c>
      <c r="Z302" s="22">
        <v>17.436199999999999</v>
      </c>
      <c r="AA302" s="22">
        <v>-1.4212000000000001E-2</v>
      </c>
      <c r="AB302" s="22">
        <v>292</v>
      </c>
      <c r="AC302" s="22">
        <v>0.30902099999999999</v>
      </c>
      <c r="AD302">
        <f t="shared" si="52"/>
        <v>17.54567901234568</v>
      </c>
      <c r="AE302">
        <f t="shared" si="53"/>
        <v>5.4321597679012354</v>
      </c>
      <c r="AF302" s="9"/>
      <c r="AG302" s="22">
        <v>1.37039</v>
      </c>
      <c r="AH302" s="22">
        <v>21.2151</v>
      </c>
      <c r="AI302" s="22">
        <v>-1.28235E-2</v>
      </c>
      <c r="AJ302" s="22">
        <v>292</v>
      </c>
      <c r="AK302" s="22">
        <v>1.3699300000000001</v>
      </c>
      <c r="AL302">
        <f t="shared" si="54"/>
        <v>15.831481481481481</v>
      </c>
      <c r="AM302">
        <f t="shared" si="55"/>
        <v>21.695303907407407</v>
      </c>
      <c r="AP302" s="9"/>
      <c r="AQ302" s="22">
        <v>0.30960100000000002</v>
      </c>
      <c r="AR302" s="22">
        <v>26.657499999999999</v>
      </c>
      <c r="AS302" s="22">
        <v>-1.41998E-2</v>
      </c>
      <c r="AT302" s="22">
        <v>292</v>
      </c>
      <c r="AU302" s="22">
        <v>0.30889899999999998</v>
      </c>
      <c r="AV302">
        <f t="shared" si="56"/>
        <v>17.530617283950615</v>
      </c>
      <c r="AW302">
        <f t="shared" si="57"/>
        <v>5.4274966417283945</v>
      </c>
      <c r="AX302" s="9"/>
      <c r="AY302" s="22">
        <v>1.37039</v>
      </c>
      <c r="AZ302" s="22">
        <v>30.436399999999999</v>
      </c>
      <c r="BA302" s="22">
        <v>-1.27441E-2</v>
      </c>
      <c r="BB302" s="22">
        <v>292</v>
      </c>
      <c r="BC302" s="22">
        <v>1.3690199999999999</v>
      </c>
      <c r="BD302">
        <f t="shared" si="58"/>
        <v>15.733456790123457</v>
      </c>
      <c r="BE302">
        <f t="shared" si="59"/>
        <v>21.560971850617285</v>
      </c>
    </row>
    <row r="303" spans="6:57">
      <c r="F303" s="9"/>
      <c r="G303" s="22">
        <v>0.30456499999999997</v>
      </c>
      <c r="H303" s="22">
        <v>8.1951300000000007</v>
      </c>
      <c r="I303" s="22">
        <v>-1.41602E-2</v>
      </c>
      <c r="J303" s="22">
        <v>293</v>
      </c>
      <c r="K303" s="22">
        <v>0.303925</v>
      </c>
      <c r="L303">
        <f t="shared" si="48"/>
        <v>17.481728395061729</v>
      </c>
      <c r="M303">
        <f t="shared" si="49"/>
        <v>5.3243226086419755</v>
      </c>
      <c r="N303" s="9"/>
      <c r="O303" s="22">
        <v>1.3754299999999999</v>
      </c>
      <c r="P303" s="22">
        <v>11.974</v>
      </c>
      <c r="Q303" s="22">
        <v>-1.27563E-2</v>
      </c>
      <c r="R303" s="22">
        <v>293</v>
      </c>
      <c r="S303" s="22">
        <v>1.3745099999999999</v>
      </c>
      <c r="T303">
        <f t="shared" si="50"/>
        <v>15.748518518518516</v>
      </c>
      <c r="U303">
        <f t="shared" si="51"/>
        <v>21.660984825925922</v>
      </c>
      <c r="X303" s="9"/>
      <c r="Y303" s="22">
        <v>0.30456499999999997</v>
      </c>
      <c r="Z303" s="22">
        <v>17.446300000000001</v>
      </c>
      <c r="AA303" s="22">
        <v>-1.42059E-2</v>
      </c>
      <c r="AB303" s="22">
        <v>293</v>
      </c>
      <c r="AC303" s="22">
        <v>0.30398599999999998</v>
      </c>
      <c r="AD303">
        <f t="shared" si="52"/>
        <v>17.538148148148146</v>
      </c>
      <c r="AE303">
        <f t="shared" si="53"/>
        <v>5.3415060907407392</v>
      </c>
      <c r="AF303" s="9"/>
      <c r="AG303" s="22">
        <v>1.3754299999999999</v>
      </c>
      <c r="AH303" s="22">
        <v>21.225200000000001</v>
      </c>
      <c r="AI303" s="22">
        <v>-1.2796E-2</v>
      </c>
      <c r="AJ303" s="22">
        <v>293</v>
      </c>
      <c r="AK303" s="22">
        <v>1.3745099999999999</v>
      </c>
      <c r="AL303">
        <f t="shared" si="54"/>
        <v>15.79753086419753</v>
      </c>
      <c r="AM303">
        <f t="shared" si="55"/>
        <v>21.728397876543205</v>
      </c>
      <c r="AP303" s="9"/>
      <c r="AQ303" s="22">
        <v>0.30456499999999997</v>
      </c>
      <c r="AR303" s="22">
        <v>26.6675</v>
      </c>
      <c r="AS303" s="22">
        <v>-1.4212000000000001E-2</v>
      </c>
      <c r="AT303" s="22">
        <v>293</v>
      </c>
      <c r="AU303" s="22">
        <v>0.30364999999999998</v>
      </c>
      <c r="AV303">
        <f t="shared" si="56"/>
        <v>17.54567901234568</v>
      </c>
      <c r="AW303">
        <f t="shared" si="57"/>
        <v>5.3437997283950613</v>
      </c>
      <c r="AX303" s="9"/>
      <c r="AY303" s="22">
        <v>1.3754299999999999</v>
      </c>
      <c r="AZ303" s="22">
        <v>30.446400000000001</v>
      </c>
      <c r="BA303" s="22">
        <v>-1.2731900000000001E-2</v>
      </c>
      <c r="BB303" s="22">
        <v>293</v>
      </c>
      <c r="BC303" s="22">
        <v>1.3748199999999999</v>
      </c>
      <c r="BD303">
        <f t="shared" si="58"/>
        <v>15.718395061728396</v>
      </c>
      <c r="BE303">
        <f t="shared" si="59"/>
        <v>21.619552119753088</v>
      </c>
    </row>
    <row r="304" spans="6:57">
      <c r="F304" s="9"/>
      <c r="G304" s="22">
        <v>0.29953000000000002</v>
      </c>
      <c r="H304" s="22">
        <v>8.2051999999999996</v>
      </c>
      <c r="I304" s="22">
        <v>-1.41724E-2</v>
      </c>
      <c r="J304" s="22">
        <v>294</v>
      </c>
      <c r="K304" s="22">
        <v>0.29882799999999998</v>
      </c>
      <c r="L304">
        <f t="shared" si="48"/>
        <v>17.496790123456787</v>
      </c>
      <c r="M304">
        <f t="shared" si="49"/>
        <v>5.2408135456790115</v>
      </c>
      <c r="N304" s="9"/>
      <c r="O304" s="22">
        <v>1.38046</v>
      </c>
      <c r="P304" s="22">
        <v>11.9841</v>
      </c>
      <c r="Q304" s="22">
        <v>-1.2735E-2</v>
      </c>
      <c r="R304" s="22">
        <v>294</v>
      </c>
      <c r="S304" s="22">
        <v>1.38</v>
      </c>
      <c r="T304">
        <f t="shared" si="50"/>
        <v>15.722222222222221</v>
      </c>
      <c r="U304">
        <f t="shared" si="51"/>
        <v>21.703898888888887</v>
      </c>
      <c r="X304" s="9"/>
      <c r="Y304" s="22">
        <v>0.29953000000000002</v>
      </c>
      <c r="Z304" s="22">
        <v>17.456399999999999</v>
      </c>
      <c r="AA304" s="22">
        <v>-1.4208999999999999E-2</v>
      </c>
      <c r="AB304" s="22">
        <v>294</v>
      </c>
      <c r="AC304" s="22">
        <v>0.29879800000000001</v>
      </c>
      <c r="AD304">
        <f t="shared" si="52"/>
        <v>17.541975308641973</v>
      </c>
      <c r="AE304">
        <f t="shared" si="53"/>
        <v>5.2543478641975305</v>
      </c>
      <c r="AF304" s="9"/>
      <c r="AG304" s="22">
        <v>1.38046</v>
      </c>
      <c r="AH304" s="22">
        <v>21.235299999999999</v>
      </c>
      <c r="AI304" s="22">
        <v>-1.2765500000000001E-2</v>
      </c>
      <c r="AJ304" s="22">
        <v>294</v>
      </c>
      <c r="AK304" s="22">
        <v>1.3796999999999999</v>
      </c>
      <c r="AL304">
        <f t="shared" si="54"/>
        <v>15.759876543209876</v>
      </c>
      <c r="AM304">
        <f t="shared" si="55"/>
        <v>21.755879172839506</v>
      </c>
      <c r="AP304" s="9"/>
      <c r="AQ304" s="22">
        <v>0.29953000000000002</v>
      </c>
      <c r="AR304" s="22">
        <v>26.677600000000002</v>
      </c>
      <c r="AS304" s="22">
        <v>-1.42151E-2</v>
      </c>
      <c r="AT304" s="22">
        <v>294</v>
      </c>
      <c r="AU304" s="22">
        <v>0.29885899999999999</v>
      </c>
      <c r="AV304">
        <f t="shared" si="56"/>
        <v>17.549506172839507</v>
      </c>
      <c r="AW304">
        <f t="shared" si="57"/>
        <v>5.2566035839506178</v>
      </c>
      <c r="AX304" s="9"/>
      <c r="AY304" s="22">
        <v>1.38046</v>
      </c>
      <c r="AZ304" s="22">
        <v>30.456499999999998</v>
      </c>
      <c r="BA304" s="22">
        <v>-1.2716699999999999E-2</v>
      </c>
      <c r="BB304" s="22">
        <v>294</v>
      </c>
      <c r="BC304" s="22">
        <v>1.3796999999999999</v>
      </c>
      <c r="BD304">
        <f t="shared" si="58"/>
        <v>15.699629629629626</v>
      </c>
      <c r="BE304">
        <f t="shared" si="59"/>
        <v>21.672710718518516</v>
      </c>
    </row>
    <row r="305" spans="6:57">
      <c r="F305" s="9"/>
      <c r="G305" s="22">
        <v>0.29449500000000001</v>
      </c>
      <c r="H305" s="22">
        <v>8.2152700000000003</v>
      </c>
      <c r="I305" s="22">
        <v>-1.41785E-2</v>
      </c>
      <c r="J305" s="22">
        <v>295</v>
      </c>
      <c r="K305" s="22">
        <v>0.29373199999999999</v>
      </c>
      <c r="L305">
        <f t="shared" si="48"/>
        <v>17.504320987654321</v>
      </c>
      <c r="M305">
        <f t="shared" si="49"/>
        <v>5.1549350092592592</v>
      </c>
      <c r="N305" s="9"/>
      <c r="O305" s="22">
        <v>1.3855</v>
      </c>
      <c r="P305" s="22">
        <v>11.994199999999999</v>
      </c>
      <c r="Q305" s="22">
        <v>-1.2716699999999999E-2</v>
      </c>
      <c r="R305" s="22">
        <v>295</v>
      </c>
      <c r="S305" s="22">
        <v>1.3845799999999999</v>
      </c>
      <c r="T305">
        <f t="shared" si="50"/>
        <v>15.699629629629626</v>
      </c>
      <c r="U305">
        <f t="shared" si="51"/>
        <v>21.751836851851845</v>
      </c>
      <c r="X305" s="9"/>
      <c r="Y305" s="22">
        <v>0.29449500000000001</v>
      </c>
      <c r="Z305" s="22">
        <v>17.4665</v>
      </c>
      <c r="AA305" s="22">
        <v>-1.4208999999999999E-2</v>
      </c>
      <c r="AB305" s="22">
        <v>295</v>
      </c>
      <c r="AC305" s="22">
        <v>0.29379300000000003</v>
      </c>
      <c r="AD305">
        <f t="shared" si="52"/>
        <v>17.541975308641973</v>
      </c>
      <c r="AE305">
        <f t="shared" si="53"/>
        <v>5.1660240185185184</v>
      </c>
      <c r="AF305" s="9"/>
      <c r="AG305" s="22">
        <v>1.3855</v>
      </c>
      <c r="AH305" s="22">
        <v>21.2454</v>
      </c>
      <c r="AI305" s="22">
        <v>-1.2735E-2</v>
      </c>
      <c r="AJ305" s="22">
        <v>295</v>
      </c>
      <c r="AK305" s="22">
        <v>1.3845799999999999</v>
      </c>
      <c r="AL305">
        <f t="shared" si="54"/>
        <v>15.722222222222221</v>
      </c>
      <c r="AM305">
        <f t="shared" si="55"/>
        <v>21.783138888888889</v>
      </c>
      <c r="AP305" s="9"/>
      <c r="AQ305" s="22">
        <v>0.29449500000000001</v>
      </c>
      <c r="AR305" s="22">
        <v>26.6877</v>
      </c>
      <c r="AS305" s="22">
        <v>-1.4212000000000001E-2</v>
      </c>
      <c r="AT305" s="22">
        <v>295</v>
      </c>
      <c r="AU305" s="22">
        <v>0.293854</v>
      </c>
      <c r="AV305">
        <f t="shared" si="56"/>
        <v>17.54567901234568</v>
      </c>
      <c r="AW305">
        <f t="shared" si="57"/>
        <v>5.1671147407407414</v>
      </c>
      <c r="AX305" s="9"/>
      <c r="AY305" s="22">
        <v>1.3855</v>
      </c>
      <c r="AZ305" s="22">
        <v>30.4666</v>
      </c>
      <c r="BA305" s="22">
        <v>-1.2689199999999999E-2</v>
      </c>
      <c r="BB305" s="22">
        <v>295</v>
      </c>
      <c r="BC305" s="22">
        <v>1.38489</v>
      </c>
      <c r="BD305">
        <f t="shared" si="58"/>
        <v>15.665679012345679</v>
      </c>
      <c r="BE305">
        <f t="shared" si="59"/>
        <v>21.704798271604936</v>
      </c>
    </row>
    <row r="306" spans="6:57">
      <c r="F306" s="9"/>
      <c r="G306" s="22">
        <v>0.28945900000000002</v>
      </c>
      <c r="H306" s="22">
        <v>8.2253399999999992</v>
      </c>
      <c r="I306" s="22">
        <v>-1.41846E-2</v>
      </c>
      <c r="J306" s="22">
        <v>296</v>
      </c>
      <c r="K306" s="22">
        <v>0.28863499999999997</v>
      </c>
      <c r="L306">
        <f t="shared" si="48"/>
        <v>17.511851851851851</v>
      </c>
      <c r="M306">
        <f t="shared" si="49"/>
        <v>5.068963125185185</v>
      </c>
      <c r="N306" s="9"/>
      <c r="O306" s="22">
        <v>1.39053</v>
      </c>
      <c r="P306" s="22">
        <v>12.004200000000001</v>
      </c>
      <c r="Q306" s="22">
        <v>-1.26862E-2</v>
      </c>
      <c r="R306" s="22">
        <v>296</v>
      </c>
      <c r="S306" s="22">
        <v>1.38947</v>
      </c>
      <c r="T306">
        <f t="shared" si="50"/>
        <v>15.661975308641974</v>
      </c>
      <c r="U306">
        <f t="shared" si="51"/>
        <v>21.778446525925926</v>
      </c>
      <c r="X306" s="9"/>
      <c r="Y306" s="22">
        <v>0.28945900000000002</v>
      </c>
      <c r="Z306" s="22">
        <v>17.476500000000001</v>
      </c>
      <c r="AA306" s="22">
        <v>-1.4202899999999999E-2</v>
      </c>
      <c r="AB306" s="22">
        <v>296</v>
      </c>
      <c r="AC306" s="22">
        <v>0.28863499999999997</v>
      </c>
      <c r="AD306">
        <f t="shared" si="52"/>
        <v>17.534444444444443</v>
      </c>
      <c r="AE306">
        <f t="shared" si="53"/>
        <v>5.075502754444444</v>
      </c>
      <c r="AF306" s="9"/>
      <c r="AG306" s="22">
        <v>1.39053</v>
      </c>
      <c r="AH306" s="22">
        <v>21.255400000000002</v>
      </c>
      <c r="AI306" s="22">
        <v>-1.27014E-2</v>
      </c>
      <c r="AJ306" s="22">
        <v>296</v>
      </c>
      <c r="AK306" s="22">
        <v>1.38947</v>
      </c>
      <c r="AL306">
        <f t="shared" si="54"/>
        <v>15.680740740740738</v>
      </c>
      <c r="AM306">
        <f t="shared" si="55"/>
        <v>21.804540422222221</v>
      </c>
      <c r="AP306" s="9"/>
      <c r="AQ306" s="22">
        <v>0.28945900000000002</v>
      </c>
      <c r="AR306" s="22">
        <v>26.697800000000001</v>
      </c>
      <c r="AS306" s="22">
        <v>-1.4208999999999999E-2</v>
      </c>
      <c r="AT306" s="22">
        <v>296</v>
      </c>
      <c r="AU306" s="22">
        <v>0.28866599999999998</v>
      </c>
      <c r="AV306">
        <f t="shared" si="56"/>
        <v>17.541975308641973</v>
      </c>
      <c r="AW306">
        <f t="shared" si="57"/>
        <v>5.0776826308641976</v>
      </c>
      <c r="AX306" s="9"/>
      <c r="AY306" s="22">
        <v>1.39053</v>
      </c>
      <c r="AZ306" s="22">
        <v>30.476700000000001</v>
      </c>
      <c r="BA306" s="22">
        <v>-1.26617E-2</v>
      </c>
      <c r="BB306" s="22">
        <v>296</v>
      </c>
      <c r="BC306" s="22">
        <v>1.38916</v>
      </c>
      <c r="BD306">
        <f t="shared" si="58"/>
        <v>15.631728395061728</v>
      </c>
      <c r="BE306">
        <f t="shared" si="59"/>
        <v>21.736387285185184</v>
      </c>
    </row>
    <row r="307" spans="6:57">
      <c r="F307" s="9"/>
      <c r="G307" s="22">
        <v>0.28442400000000001</v>
      </c>
      <c r="H307" s="22">
        <v>8.2354099999999999</v>
      </c>
      <c r="I307" s="22">
        <v>-1.41876E-2</v>
      </c>
      <c r="J307" s="22">
        <v>297</v>
      </c>
      <c r="K307" s="22">
        <v>0.28372199999999997</v>
      </c>
      <c r="L307">
        <f t="shared" si="48"/>
        <v>17.515555555555554</v>
      </c>
      <c r="M307">
        <f t="shared" si="49"/>
        <v>4.9818443733333329</v>
      </c>
      <c r="N307" s="9"/>
      <c r="O307" s="22">
        <v>1.39557</v>
      </c>
      <c r="P307" s="22">
        <v>12.0143</v>
      </c>
      <c r="Q307" s="22">
        <v>-1.26526E-2</v>
      </c>
      <c r="R307" s="22">
        <v>297</v>
      </c>
      <c r="S307" s="22">
        <v>1.3946499999999999</v>
      </c>
      <c r="T307">
        <f t="shared" si="50"/>
        <v>15.620493827160493</v>
      </c>
      <c r="U307">
        <f t="shared" si="51"/>
        <v>21.799492570370369</v>
      </c>
      <c r="X307" s="9"/>
      <c r="Y307" s="22">
        <v>0.28442400000000001</v>
      </c>
      <c r="Z307" s="22">
        <v>17.486599999999999</v>
      </c>
      <c r="AA307" s="22">
        <v>-1.41998E-2</v>
      </c>
      <c r="AB307" s="22">
        <v>297</v>
      </c>
      <c r="AC307" s="22">
        <v>0.283752</v>
      </c>
      <c r="AD307">
        <f t="shared" si="52"/>
        <v>17.530617283950615</v>
      </c>
      <c r="AE307">
        <f t="shared" si="53"/>
        <v>4.9861282903703703</v>
      </c>
      <c r="AF307" s="9"/>
      <c r="AG307" s="22">
        <v>1.39557</v>
      </c>
      <c r="AH307" s="22">
        <v>21.265499999999999</v>
      </c>
      <c r="AI307" s="22">
        <v>-1.26587E-2</v>
      </c>
      <c r="AJ307" s="22">
        <v>297</v>
      </c>
      <c r="AK307" s="22">
        <v>1.39496</v>
      </c>
      <c r="AL307">
        <f t="shared" si="54"/>
        <v>15.628024691358023</v>
      </c>
      <c r="AM307">
        <f t="shared" si="55"/>
        <v>21.810002418518515</v>
      </c>
      <c r="AP307" s="9"/>
      <c r="AQ307" s="22">
        <v>0.28442400000000001</v>
      </c>
      <c r="AR307" s="22">
        <v>26.707799999999999</v>
      </c>
      <c r="AS307" s="22">
        <v>-1.42059E-2</v>
      </c>
      <c r="AT307" s="22">
        <v>297</v>
      </c>
      <c r="AU307" s="22">
        <v>0.28369100000000003</v>
      </c>
      <c r="AV307">
        <f t="shared" si="56"/>
        <v>17.538148148148146</v>
      </c>
      <c r="AW307">
        <f t="shared" si="57"/>
        <v>4.9882702488888881</v>
      </c>
      <c r="AX307" s="9"/>
      <c r="AY307" s="22">
        <v>1.39557</v>
      </c>
      <c r="AZ307" s="22">
        <v>30.486699999999999</v>
      </c>
      <c r="BA307" s="22">
        <v>-1.26404E-2</v>
      </c>
      <c r="BB307" s="22">
        <v>297</v>
      </c>
      <c r="BC307" s="22">
        <v>1.39435</v>
      </c>
      <c r="BD307">
        <f t="shared" si="58"/>
        <v>15.60543209876543</v>
      </c>
      <c r="BE307">
        <f t="shared" si="59"/>
        <v>21.778472874074073</v>
      </c>
    </row>
    <row r="308" spans="6:57">
      <c r="F308" s="9"/>
      <c r="G308" s="22">
        <v>0.27938800000000003</v>
      </c>
      <c r="H308" s="22">
        <v>8.2454800000000006</v>
      </c>
      <c r="I308" s="22">
        <v>-1.41846E-2</v>
      </c>
      <c r="J308" s="22">
        <v>298</v>
      </c>
      <c r="K308" s="22">
        <v>0.27868700000000002</v>
      </c>
      <c r="L308">
        <f t="shared" si="48"/>
        <v>17.511851851851851</v>
      </c>
      <c r="M308">
        <f t="shared" si="49"/>
        <v>4.8926012651851858</v>
      </c>
      <c r="N308" s="9"/>
      <c r="O308" s="22">
        <v>1.4006000000000001</v>
      </c>
      <c r="P308" s="22">
        <v>12.0244</v>
      </c>
      <c r="Q308" s="22">
        <v>-1.2619E-2</v>
      </c>
      <c r="R308" s="22">
        <v>298</v>
      </c>
      <c r="S308" s="22">
        <v>1.39954</v>
      </c>
      <c r="T308">
        <f t="shared" si="50"/>
        <v>15.579012345679011</v>
      </c>
      <c r="U308">
        <f t="shared" si="51"/>
        <v>21.819964691358024</v>
      </c>
      <c r="X308" s="9"/>
      <c r="Y308" s="22">
        <v>0.27938800000000003</v>
      </c>
      <c r="Z308" s="22">
        <v>17.496700000000001</v>
      </c>
      <c r="AA308" s="22">
        <v>-1.41998E-2</v>
      </c>
      <c r="AB308" s="22">
        <v>298</v>
      </c>
      <c r="AC308" s="22">
        <v>0.27877800000000003</v>
      </c>
      <c r="AD308">
        <f t="shared" si="52"/>
        <v>17.530617283950615</v>
      </c>
      <c r="AE308">
        <f t="shared" si="53"/>
        <v>4.8978441017283947</v>
      </c>
      <c r="AF308" s="9"/>
      <c r="AG308" s="22">
        <v>1.4006000000000001</v>
      </c>
      <c r="AH308" s="22">
        <v>21.275600000000001</v>
      </c>
      <c r="AI308" s="22">
        <v>-1.2628199999999999E-2</v>
      </c>
      <c r="AJ308" s="22">
        <v>298</v>
      </c>
      <c r="AK308" s="22">
        <v>1.39984</v>
      </c>
      <c r="AL308">
        <f t="shared" si="54"/>
        <v>15.590370370370369</v>
      </c>
      <c r="AM308">
        <f t="shared" si="55"/>
        <v>21.83587274074074</v>
      </c>
      <c r="AP308" s="9"/>
      <c r="AQ308" s="22">
        <v>0.27938800000000003</v>
      </c>
      <c r="AR308" s="22">
        <v>26.7179</v>
      </c>
      <c r="AS308" s="22">
        <v>-1.4208999999999999E-2</v>
      </c>
      <c r="AT308" s="22">
        <v>298</v>
      </c>
      <c r="AU308" s="22">
        <v>0.27877800000000003</v>
      </c>
      <c r="AV308">
        <f t="shared" si="56"/>
        <v>17.541975308641973</v>
      </c>
      <c r="AW308">
        <f t="shared" si="57"/>
        <v>4.9010173975308637</v>
      </c>
      <c r="AX308" s="9"/>
      <c r="AY308" s="22">
        <v>1.4006000000000001</v>
      </c>
      <c r="AZ308" s="22">
        <v>30.4968</v>
      </c>
      <c r="BA308" s="22">
        <v>-1.26099E-2</v>
      </c>
      <c r="BB308" s="22">
        <v>298</v>
      </c>
      <c r="BC308" s="22">
        <v>1.39954</v>
      </c>
      <c r="BD308">
        <f t="shared" si="58"/>
        <v>15.567777777777778</v>
      </c>
      <c r="BE308">
        <f t="shared" si="59"/>
        <v>21.804229555555555</v>
      </c>
    </row>
    <row r="309" spans="6:57">
      <c r="F309" s="9"/>
      <c r="G309" s="22">
        <v>0.27435300000000001</v>
      </c>
      <c r="H309" s="22">
        <v>8.2555499999999995</v>
      </c>
      <c r="I309" s="22">
        <v>-1.4190700000000001E-2</v>
      </c>
      <c r="J309" s="22">
        <v>299</v>
      </c>
      <c r="K309" s="22">
        <v>0.27352900000000002</v>
      </c>
      <c r="L309">
        <f t="shared" si="48"/>
        <v>17.519382716049382</v>
      </c>
      <c r="M309">
        <f t="shared" si="49"/>
        <v>4.8064952062962965</v>
      </c>
      <c r="N309" s="9"/>
      <c r="O309" s="22">
        <v>1.40564</v>
      </c>
      <c r="P309" s="22">
        <v>12.0345</v>
      </c>
      <c r="Q309" s="22">
        <v>-1.25793E-2</v>
      </c>
      <c r="R309" s="22">
        <v>299</v>
      </c>
      <c r="S309" s="22">
        <v>1.40411</v>
      </c>
      <c r="T309">
        <f t="shared" si="50"/>
        <v>15.53</v>
      </c>
      <c r="U309">
        <f t="shared" si="51"/>
        <v>21.829589199999997</v>
      </c>
      <c r="X309" s="9"/>
      <c r="Y309" s="22">
        <v>0.27435300000000001</v>
      </c>
      <c r="Z309" s="22">
        <v>17.506699999999999</v>
      </c>
      <c r="AA309" s="22">
        <v>-1.41998E-2</v>
      </c>
      <c r="AB309" s="22">
        <v>299</v>
      </c>
      <c r="AC309" s="22">
        <v>0.27365099999999998</v>
      </c>
      <c r="AD309">
        <f t="shared" si="52"/>
        <v>17.530617283950615</v>
      </c>
      <c r="AE309">
        <f t="shared" si="53"/>
        <v>4.8095774437037031</v>
      </c>
      <c r="AF309" s="9"/>
      <c r="AG309" s="22">
        <v>1.40564</v>
      </c>
      <c r="AH309" s="22">
        <v>21.285599999999999</v>
      </c>
      <c r="AI309" s="22">
        <v>-1.25916E-2</v>
      </c>
      <c r="AJ309" s="22">
        <v>299</v>
      </c>
      <c r="AK309" s="22">
        <v>1.40442</v>
      </c>
      <c r="AL309">
        <f t="shared" si="54"/>
        <v>15.545185185185185</v>
      </c>
      <c r="AM309">
        <f t="shared" si="55"/>
        <v>21.850934103703704</v>
      </c>
      <c r="AP309" s="9"/>
      <c r="AQ309" s="22">
        <v>0.27435300000000001</v>
      </c>
      <c r="AR309" s="22">
        <v>26.728000000000002</v>
      </c>
      <c r="AS309" s="22">
        <v>-1.4212000000000001E-2</v>
      </c>
      <c r="AT309" s="22">
        <v>299</v>
      </c>
      <c r="AU309" s="22">
        <v>0.27374300000000001</v>
      </c>
      <c r="AV309">
        <f t="shared" si="56"/>
        <v>17.54567901234568</v>
      </c>
      <c r="AW309">
        <f t="shared" si="57"/>
        <v>4.8137096740740741</v>
      </c>
      <c r="AX309" s="9"/>
      <c r="AY309" s="22">
        <v>1.40564</v>
      </c>
      <c r="AZ309" s="22">
        <v>30.506900000000002</v>
      </c>
      <c r="BA309" s="22">
        <v>-1.2582400000000001E-2</v>
      </c>
      <c r="BB309" s="22">
        <v>299</v>
      </c>
      <c r="BC309" s="22">
        <v>1.40472</v>
      </c>
      <c r="BD309">
        <f t="shared" si="58"/>
        <v>15.533827160493827</v>
      </c>
      <c r="BE309">
        <f t="shared" si="59"/>
        <v>21.834968809876543</v>
      </c>
    </row>
    <row r="310" spans="6:57">
      <c r="F310" s="9"/>
      <c r="G310" s="22">
        <v>0.269318</v>
      </c>
      <c r="H310" s="22">
        <v>8.2656200000000002</v>
      </c>
      <c r="I310" s="22">
        <v>-1.41876E-2</v>
      </c>
      <c r="J310" s="22">
        <v>300</v>
      </c>
      <c r="K310" s="22">
        <v>0.26873799999999998</v>
      </c>
      <c r="L310">
        <f t="shared" si="48"/>
        <v>17.515555555555554</v>
      </c>
      <c r="M310">
        <f t="shared" si="49"/>
        <v>4.7172543911111111</v>
      </c>
      <c r="N310" s="9"/>
      <c r="O310" s="22">
        <v>1.4106799999999999</v>
      </c>
      <c r="P310" s="22">
        <v>12.044499999999999</v>
      </c>
      <c r="Q310" s="22">
        <v>-1.2545799999999999E-2</v>
      </c>
      <c r="R310" s="22">
        <v>300</v>
      </c>
      <c r="S310" s="22">
        <v>1.40991</v>
      </c>
      <c r="T310">
        <f t="shared" si="50"/>
        <v>15.48864197530864</v>
      </c>
      <c r="U310">
        <f t="shared" si="51"/>
        <v>21.849517461728393</v>
      </c>
      <c r="X310" s="9"/>
      <c r="Y310" s="22">
        <v>0.269318</v>
      </c>
      <c r="Z310" s="22">
        <v>17.5168</v>
      </c>
      <c r="AA310" s="22">
        <v>-1.41998E-2</v>
      </c>
      <c r="AB310" s="22">
        <v>300</v>
      </c>
      <c r="AC310" s="22">
        <v>0.26858500000000002</v>
      </c>
      <c r="AD310">
        <f t="shared" si="52"/>
        <v>17.530617283950615</v>
      </c>
      <c r="AE310">
        <f t="shared" si="53"/>
        <v>4.7213107856790115</v>
      </c>
      <c r="AF310" s="9"/>
      <c r="AG310" s="22">
        <v>1.4106799999999999</v>
      </c>
      <c r="AH310" s="22">
        <v>21.2957</v>
      </c>
      <c r="AI310" s="22">
        <v>-1.2567099999999999E-2</v>
      </c>
      <c r="AJ310" s="22">
        <v>300</v>
      </c>
      <c r="AK310" s="22">
        <v>1.40961</v>
      </c>
      <c r="AL310">
        <f t="shared" si="54"/>
        <v>15.514938271604937</v>
      </c>
      <c r="AM310">
        <f t="shared" si="55"/>
        <v>21.886613120987651</v>
      </c>
      <c r="AP310" s="9"/>
      <c r="AQ310" s="22">
        <v>0.269318</v>
      </c>
      <c r="AR310" s="22">
        <v>26.738</v>
      </c>
      <c r="AS310" s="22">
        <v>-1.4218099999999999E-2</v>
      </c>
      <c r="AT310" s="22">
        <v>300</v>
      </c>
      <c r="AU310" s="22">
        <v>0.26879900000000001</v>
      </c>
      <c r="AV310">
        <f t="shared" si="56"/>
        <v>17.553209876543207</v>
      </c>
      <c r="AW310">
        <f t="shared" si="57"/>
        <v>4.727395377530863</v>
      </c>
      <c r="AX310" s="9"/>
      <c r="AY310" s="22">
        <v>1.4106799999999999</v>
      </c>
      <c r="AZ310" s="22">
        <v>30.5169</v>
      </c>
      <c r="BA310" s="22">
        <v>-1.25427E-2</v>
      </c>
      <c r="BB310" s="22">
        <v>300</v>
      </c>
      <c r="BC310" s="22">
        <v>1.4093</v>
      </c>
      <c r="BD310">
        <f t="shared" si="58"/>
        <v>15.484814814814815</v>
      </c>
      <c r="BE310">
        <f t="shared" si="59"/>
        <v>21.844118562962962</v>
      </c>
    </row>
    <row r="311" spans="6:57">
      <c r="F311" s="9"/>
      <c r="G311" s="22">
        <v>0.26428200000000002</v>
      </c>
      <c r="H311" s="22">
        <v>8.2757000000000005</v>
      </c>
      <c r="I311" s="22">
        <v>-1.4190700000000001E-2</v>
      </c>
      <c r="J311" s="22">
        <v>301</v>
      </c>
      <c r="K311" s="22">
        <v>0.26361099999999998</v>
      </c>
      <c r="L311">
        <f t="shared" si="48"/>
        <v>17.519382716049382</v>
      </c>
      <c r="M311">
        <f t="shared" si="49"/>
        <v>4.6300575029629627</v>
      </c>
      <c r="N311" s="9"/>
      <c r="O311" s="22">
        <v>1.41571</v>
      </c>
      <c r="P311" s="22">
        <v>12.054600000000001</v>
      </c>
      <c r="Q311" s="22">
        <v>-1.2512199999999999E-2</v>
      </c>
      <c r="R311" s="22">
        <v>301</v>
      </c>
      <c r="S311" s="22">
        <v>1.41479</v>
      </c>
      <c r="T311">
        <f t="shared" si="50"/>
        <v>15.447160493827159</v>
      </c>
      <c r="U311">
        <f t="shared" si="51"/>
        <v>21.868699582716047</v>
      </c>
      <c r="X311" s="9"/>
      <c r="Y311" s="22">
        <v>0.26428200000000002</v>
      </c>
      <c r="Z311" s="22">
        <v>17.526900000000001</v>
      </c>
      <c r="AA311" s="22">
        <v>-1.4196800000000001E-2</v>
      </c>
      <c r="AB311" s="22">
        <v>301</v>
      </c>
      <c r="AC311" s="22">
        <v>0.26355000000000001</v>
      </c>
      <c r="AD311">
        <f t="shared" si="52"/>
        <v>17.526913580246916</v>
      </c>
      <c r="AE311">
        <f t="shared" si="53"/>
        <v>4.6320477748148159</v>
      </c>
      <c r="AF311" s="9"/>
      <c r="AG311" s="22">
        <v>1.41571</v>
      </c>
      <c r="AH311" s="22">
        <v>21.305800000000001</v>
      </c>
      <c r="AI311" s="22">
        <v>-1.25427E-2</v>
      </c>
      <c r="AJ311" s="22">
        <v>301</v>
      </c>
      <c r="AK311" s="22">
        <v>1.41479</v>
      </c>
      <c r="AL311">
        <f t="shared" si="54"/>
        <v>15.484814814814815</v>
      </c>
      <c r="AM311">
        <f t="shared" si="55"/>
        <v>21.922007181481483</v>
      </c>
      <c r="AP311" s="9"/>
      <c r="AQ311" s="22">
        <v>0.26428200000000002</v>
      </c>
      <c r="AR311" s="22">
        <v>26.748100000000001</v>
      </c>
      <c r="AS311" s="22">
        <v>-1.42151E-2</v>
      </c>
      <c r="AT311" s="22">
        <v>301</v>
      </c>
      <c r="AU311" s="22">
        <v>0.26357999999999998</v>
      </c>
      <c r="AV311">
        <f t="shared" si="56"/>
        <v>17.549506172839507</v>
      </c>
      <c r="AW311">
        <f t="shared" si="57"/>
        <v>4.638018590370371</v>
      </c>
      <c r="AX311" s="9"/>
      <c r="AY311" s="22">
        <v>1.41571</v>
      </c>
      <c r="AZ311" s="22">
        <v>30.527000000000001</v>
      </c>
      <c r="BA311" s="22">
        <v>-1.25092E-2</v>
      </c>
      <c r="BB311" s="22">
        <v>301</v>
      </c>
      <c r="BC311" s="22">
        <v>1.41479</v>
      </c>
      <c r="BD311">
        <f t="shared" si="58"/>
        <v>15.443456790123456</v>
      </c>
      <c r="BE311">
        <f t="shared" si="59"/>
        <v>21.863456212345678</v>
      </c>
    </row>
    <row r="312" spans="6:57">
      <c r="F312" s="9"/>
      <c r="G312" s="22">
        <v>0.25924700000000001</v>
      </c>
      <c r="H312" s="22">
        <v>8.2857699999999994</v>
      </c>
      <c r="I312" s="22">
        <v>-1.4190700000000001E-2</v>
      </c>
      <c r="J312" s="22">
        <v>302</v>
      </c>
      <c r="K312" s="22">
        <v>0.25851400000000002</v>
      </c>
      <c r="L312">
        <f t="shared" si="48"/>
        <v>17.519382716049382</v>
      </c>
      <c r="M312">
        <f t="shared" si="49"/>
        <v>4.5418474109876543</v>
      </c>
      <c r="N312" s="9"/>
      <c r="O312" s="22">
        <v>1.42075</v>
      </c>
      <c r="P312" s="22">
        <v>12.0647</v>
      </c>
      <c r="Q312" s="22">
        <v>-1.24847E-2</v>
      </c>
      <c r="R312" s="22">
        <v>302</v>
      </c>
      <c r="S312" s="22">
        <v>1.4196800000000001</v>
      </c>
      <c r="T312">
        <f t="shared" si="50"/>
        <v>15.413209876543208</v>
      </c>
      <c r="U312">
        <f t="shared" si="51"/>
        <v>21.898317932098763</v>
      </c>
      <c r="X312" s="9"/>
      <c r="Y312" s="22">
        <v>0.25924700000000001</v>
      </c>
      <c r="Z312" s="22">
        <v>17.536899999999999</v>
      </c>
      <c r="AA312" s="22">
        <v>-1.41937E-2</v>
      </c>
      <c r="AB312" s="22">
        <v>302</v>
      </c>
      <c r="AC312" s="22">
        <v>0.25863599999999998</v>
      </c>
      <c r="AD312">
        <f t="shared" si="52"/>
        <v>17.523086419753085</v>
      </c>
      <c r="AE312">
        <f t="shared" si="53"/>
        <v>4.5428075850617278</v>
      </c>
      <c r="AF312" s="9"/>
      <c r="AG312" s="22">
        <v>1.42075</v>
      </c>
      <c r="AH312" s="22">
        <v>21.315899999999999</v>
      </c>
      <c r="AI312" s="22">
        <v>-1.25092E-2</v>
      </c>
      <c r="AJ312" s="22">
        <v>302</v>
      </c>
      <c r="AK312" s="22">
        <v>1.4196800000000001</v>
      </c>
      <c r="AL312">
        <f t="shared" si="54"/>
        <v>15.443456790123456</v>
      </c>
      <c r="AM312">
        <f t="shared" si="55"/>
        <v>21.941291234567899</v>
      </c>
      <c r="AP312" s="9"/>
      <c r="AQ312" s="22">
        <v>0.25924700000000001</v>
      </c>
      <c r="AR312" s="22">
        <v>26.758199999999999</v>
      </c>
      <c r="AS312" s="22">
        <v>-1.4212000000000001E-2</v>
      </c>
      <c r="AT312" s="22">
        <v>302</v>
      </c>
      <c r="AU312" s="22">
        <v>0.25851400000000002</v>
      </c>
      <c r="AV312">
        <f t="shared" si="56"/>
        <v>17.54567901234568</v>
      </c>
      <c r="AW312">
        <f t="shared" si="57"/>
        <v>4.548664646913581</v>
      </c>
      <c r="AX312" s="9"/>
      <c r="AY312" s="22">
        <v>1.42075</v>
      </c>
      <c r="AZ312" s="22">
        <v>30.537099999999999</v>
      </c>
      <c r="BA312" s="22">
        <v>-1.24695E-2</v>
      </c>
      <c r="BB312" s="22">
        <v>302</v>
      </c>
      <c r="BC312" s="22">
        <v>1.41998</v>
      </c>
      <c r="BD312">
        <f t="shared" si="58"/>
        <v>15.394444444444444</v>
      </c>
      <c r="BE312">
        <f t="shared" si="59"/>
        <v>21.871656944444442</v>
      </c>
    </row>
    <row r="313" spans="6:57">
      <c r="F313" s="9"/>
      <c r="G313" s="22">
        <v>0.25421100000000002</v>
      </c>
      <c r="H313" s="22">
        <v>8.2958400000000001</v>
      </c>
      <c r="I313" s="22">
        <v>-1.41846E-2</v>
      </c>
      <c r="J313" s="22">
        <v>303</v>
      </c>
      <c r="K313" s="22">
        <v>0.25351000000000001</v>
      </c>
      <c r="L313">
        <f t="shared" si="48"/>
        <v>17.511851851851851</v>
      </c>
      <c r="M313">
        <f t="shared" si="49"/>
        <v>4.4517053711111112</v>
      </c>
      <c r="N313" s="9"/>
      <c r="O313" s="22">
        <v>1.42578</v>
      </c>
      <c r="P313" s="22">
        <v>12.0747</v>
      </c>
      <c r="Q313" s="22">
        <v>-1.2451200000000001E-2</v>
      </c>
      <c r="R313" s="22">
        <v>303</v>
      </c>
      <c r="S313" s="22">
        <v>1.42456</v>
      </c>
      <c r="T313">
        <f t="shared" si="50"/>
        <v>15.371851851851853</v>
      </c>
      <c r="U313">
        <f t="shared" si="51"/>
        <v>21.916878933333336</v>
      </c>
      <c r="X313" s="9"/>
      <c r="Y313" s="22">
        <v>0.25421100000000002</v>
      </c>
      <c r="Z313" s="22">
        <v>17.547000000000001</v>
      </c>
      <c r="AA313" s="22">
        <v>-1.41876E-2</v>
      </c>
      <c r="AB313" s="22">
        <v>303</v>
      </c>
      <c r="AC313" s="22">
        <v>0.25338699999999997</v>
      </c>
      <c r="AD313">
        <f t="shared" si="52"/>
        <v>17.515555555555554</v>
      </c>
      <c r="AE313">
        <f t="shared" si="53"/>
        <v>4.4526468933333332</v>
      </c>
      <c r="AF313" s="9"/>
      <c r="AG313" s="22">
        <v>1.42578</v>
      </c>
      <c r="AH313" s="22">
        <v>21.325900000000001</v>
      </c>
      <c r="AI313" s="22">
        <v>-1.2478599999999999E-2</v>
      </c>
      <c r="AJ313" s="22">
        <v>303</v>
      </c>
      <c r="AK313" s="22">
        <v>1.4248700000000001</v>
      </c>
      <c r="AL313">
        <f t="shared" si="54"/>
        <v>15.405679012345677</v>
      </c>
      <c r="AM313">
        <f t="shared" si="55"/>
        <v>21.965109022222222</v>
      </c>
      <c r="AP313" s="9"/>
      <c r="AQ313" s="22">
        <v>0.25421100000000002</v>
      </c>
      <c r="AR313" s="22">
        <v>26.7683</v>
      </c>
      <c r="AS313" s="22">
        <v>-1.4208999999999999E-2</v>
      </c>
      <c r="AT313" s="22">
        <v>303</v>
      </c>
      <c r="AU313" s="22">
        <v>0.25344800000000001</v>
      </c>
      <c r="AV313">
        <f t="shared" si="56"/>
        <v>17.541975308641973</v>
      </c>
      <c r="AW313">
        <f t="shared" si="57"/>
        <v>4.4593630851851849</v>
      </c>
      <c r="AX313" s="9"/>
      <c r="AY313" s="22">
        <v>1.42578</v>
      </c>
      <c r="AZ313" s="22">
        <v>30.5472</v>
      </c>
      <c r="BA313" s="22">
        <v>-1.24359E-2</v>
      </c>
      <c r="BB313" s="22">
        <v>303</v>
      </c>
      <c r="BC313" s="22">
        <v>1.4248700000000001</v>
      </c>
      <c r="BD313">
        <f t="shared" si="58"/>
        <v>15.352962962962962</v>
      </c>
      <c r="BE313">
        <f t="shared" si="59"/>
        <v>21.889947533333334</v>
      </c>
    </row>
    <row r="314" spans="6:57">
      <c r="F314" s="9"/>
      <c r="G314" s="22">
        <v>0.24917600000000001</v>
      </c>
      <c r="H314" s="22">
        <v>8.3059100000000008</v>
      </c>
      <c r="I314" s="22">
        <v>-1.41876E-2</v>
      </c>
      <c r="J314" s="22">
        <v>304</v>
      </c>
      <c r="K314" s="22">
        <v>0.248444</v>
      </c>
      <c r="L314">
        <f t="shared" si="48"/>
        <v>17.515555555555554</v>
      </c>
      <c r="M314">
        <f t="shared" si="49"/>
        <v>4.3644560711111113</v>
      </c>
      <c r="N314" s="9"/>
      <c r="O314" s="22">
        <v>1.43082</v>
      </c>
      <c r="P314" s="22">
        <v>12.0848</v>
      </c>
      <c r="Q314" s="22">
        <v>-1.2411500000000001E-2</v>
      </c>
      <c r="R314" s="22">
        <v>304</v>
      </c>
      <c r="S314" s="22">
        <v>1.4297500000000001</v>
      </c>
      <c r="T314">
        <f t="shared" si="50"/>
        <v>15.322839506172839</v>
      </c>
      <c r="U314">
        <f t="shared" si="51"/>
        <v>21.924225222222223</v>
      </c>
      <c r="X314" s="9"/>
      <c r="Y314" s="22">
        <v>0.24917600000000001</v>
      </c>
      <c r="Z314" s="22">
        <v>17.557099999999998</v>
      </c>
      <c r="AA314" s="22">
        <v>-1.4190700000000001E-2</v>
      </c>
      <c r="AB314" s="22">
        <v>304</v>
      </c>
      <c r="AC314" s="22">
        <v>0.24853500000000001</v>
      </c>
      <c r="AD314">
        <f t="shared" si="52"/>
        <v>17.519382716049382</v>
      </c>
      <c r="AE314">
        <f t="shared" si="53"/>
        <v>4.3654097076543206</v>
      </c>
      <c r="AF314" s="9"/>
      <c r="AG314" s="22">
        <v>1.43082</v>
      </c>
      <c r="AH314" s="22">
        <v>21.335999999999999</v>
      </c>
      <c r="AI314" s="22">
        <v>-1.24481E-2</v>
      </c>
      <c r="AJ314" s="22">
        <v>304</v>
      </c>
      <c r="AK314" s="22">
        <v>1.4297500000000001</v>
      </c>
      <c r="AL314">
        <f t="shared" si="54"/>
        <v>15.368024691358023</v>
      </c>
      <c r="AM314">
        <f t="shared" si="55"/>
        <v>21.988877088888888</v>
      </c>
      <c r="AP314" s="9"/>
      <c r="AQ314" s="22">
        <v>0.24917600000000001</v>
      </c>
      <c r="AR314" s="22">
        <v>26.778300000000002</v>
      </c>
      <c r="AS314" s="22">
        <v>-1.42059E-2</v>
      </c>
      <c r="AT314" s="22">
        <v>304</v>
      </c>
      <c r="AU314" s="22">
        <v>0.248505</v>
      </c>
      <c r="AV314">
        <f t="shared" si="56"/>
        <v>17.538148148148146</v>
      </c>
      <c r="AW314">
        <f t="shared" si="57"/>
        <v>4.3700856029629627</v>
      </c>
      <c r="AX314" s="9"/>
      <c r="AY314" s="22">
        <v>1.43082</v>
      </c>
      <c r="AZ314" s="22">
        <v>30.557200000000002</v>
      </c>
      <c r="BA314" s="22">
        <v>-1.24023E-2</v>
      </c>
      <c r="BB314" s="22">
        <v>304</v>
      </c>
      <c r="BC314" s="22">
        <v>1.43005</v>
      </c>
      <c r="BD314">
        <f t="shared" si="58"/>
        <v>15.311481481481479</v>
      </c>
      <c r="BE314">
        <f t="shared" si="59"/>
        <v>21.907973933333331</v>
      </c>
    </row>
    <row r="315" spans="6:57">
      <c r="F315" s="9"/>
      <c r="G315" s="22">
        <v>0.244141</v>
      </c>
      <c r="H315" s="22">
        <v>8.3159799999999997</v>
      </c>
      <c r="I315" s="22">
        <v>-1.41846E-2</v>
      </c>
      <c r="J315" s="22">
        <v>305</v>
      </c>
      <c r="K315" s="22">
        <v>0.24349999999999999</v>
      </c>
      <c r="L315">
        <f t="shared" si="48"/>
        <v>17.511851851851851</v>
      </c>
      <c r="M315">
        <f t="shared" si="49"/>
        <v>4.2753610229629624</v>
      </c>
      <c r="N315" s="9"/>
      <c r="O315" s="22">
        <v>1.4358500000000001</v>
      </c>
      <c r="P315" s="22">
        <v>12.094900000000001</v>
      </c>
      <c r="Q315" s="22">
        <v>-1.2371800000000001E-2</v>
      </c>
      <c r="R315" s="22">
        <v>305</v>
      </c>
      <c r="S315" s="22">
        <v>1.4349400000000001</v>
      </c>
      <c r="T315">
        <f t="shared" si="50"/>
        <v>15.273827160493827</v>
      </c>
      <c r="U315">
        <f t="shared" si="51"/>
        <v>21.930924728395063</v>
      </c>
      <c r="X315" s="9"/>
      <c r="Y315" s="22">
        <v>0.244141</v>
      </c>
      <c r="Z315" s="22">
        <v>17.5672</v>
      </c>
      <c r="AA315" s="22">
        <v>-1.41998E-2</v>
      </c>
      <c r="AB315" s="22">
        <v>305</v>
      </c>
      <c r="AC315" s="22">
        <v>0.24340800000000001</v>
      </c>
      <c r="AD315">
        <f t="shared" si="52"/>
        <v>17.530617283950615</v>
      </c>
      <c r="AE315">
        <f t="shared" si="53"/>
        <v>4.2799424343209873</v>
      </c>
      <c r="AF315" s="9"/>
      <c r="AG315" s="22">
        <v>1.4358500000000001</v>
      </c>
      <c r="AH315" s="22">
        <v>21.3461</v>
      </c>
      <c r="AI315" s="22">
        <v>-1.24207E-2</v>
      </c>
      <c r="AJ315" s="22">
        <v>305</v>
      </c>
      <c r="AK315" s="22">
        <v>1.4346300000000001</v>
      </c>
      <c r="AL315">
        <f t="shared" si="54"/>
        <v>15.334197530864195</v>
      </c>
      <c r="AM315">
        <f t="shared" si="55"/>
        <v>22.017607524691357</v>
      </c>
      <c r="AP315" s="9"/>
      <c r="AQ315" s="22">
        <v>0.244141</v>
      </c>
      <c r="AR315" s="22">
        <v>26.788399999999999</v>
      </c>
      <c r="AS315" s="22">
        <v>-1.4212000000000001E-2</v>
      </c>
      <c r="AT315" s="22">
        <v>305</v>
      </c>
      <c r="AU315" s="22">
        <v>0.24343899999999999</v>
      </c>
      <c r="AV315">
        <f t="shared" si="56"/>
        <v>17.54567901234568</v>
      </c>
      <c r="AW315">
        <f t="shared" si="57"/>
        <v>4.2836196197530869</v>
      </c>
      <c r="AX315" s="9"/>
      <c r="AY315" s="22">
        <v>1.4358500000000001</v>
      </c>
      <c r="AZ315" s="22">
        <v>30.567299999999999</v>
      </c>
      <c r="BA315" s="22">
        <v>-1.23657E-2</v>
      </c>
      <c r="BB315" s="22">
        <v>305</v>
      </c>
      <c r="BC315" s="22">
        <v>1.4352400000000001</v>
      </c>
      <c r="BD315">
        <f t="shared" si="58"/>
        <v>15.266296296296295</v>
      </c>
      <c r="BE315">
        <f t="shared" si="59"/>
        <v>21.920111537037037</v>
      </c>
    </row>
    <row r="316" spans="6:57">
      <c r="F316" s="9"/>
      <c r="G316" s="22">
        <v>0.23910500000000001</v>
      </c>
      <c r="H316" s="22">
        <v>8.3260500000000004</v>
      </c>
      <c r="I316" s="22">
        <v>-1.4190700000000001E-2</v>
      </c>
      <c r="J316" s="22">
        <v>306</v>
      </c>
      <c r="K316" s="22">
        <v>0.238403</v>
      </c>
      <c r="L316">
        <f t="shared" si="48"/>
        <v>17.519382716049382</v>
      </c>
      <c r="M316">
        <f t="shared" si="49"/>
        <v>4.1889720043209877</v>
      </c>
      <c r="N316" s="9"/>
      <c r="O316" s="22">
        <v>1.44089</v>
      </c>
      <c r="P316" s="22">
        <v>12.105</v>
      </c>
      <c r="Q316" s="22">
        <v>-1.2335199999999999E-2</v>
      </c>
      <c r="R316" s="22">
        <v>306</v>
      </c>
      <c r="S316" s="22">
        <v>1.4398200000000001</v>
      </c>
      <c r="T316">
        <f t="shared" si="50"/>
        <v>15.228641975308641</v>
      </c>
      <c r="U316">
        <f t="shared" si="51"/>
        <v>21.942797935802467</v>
      </c>
      <c r="X316" s="9"/>
      <c r="Y316" s="22">
        <v>0.23910500000000001</v>
      </c>
      <c r="Z316" s="22">
        <v>17.577200000000001</v>
      </c>
      <c r="AA316" s="22">
        <v>-1.4208999999999999E-2</v>
      </c>
      <c r="AB316" s="22">
        <v>306</v>
      </c>
      <c r="AC316" s="22">
        <v>0.238403</v>
      </c>
      <c r="AD316">
        <f t="shared" si="52"/>
        <v>17.541975308641973</v>
      </c>
      <c r="AE316">
        <f t="shared" si="53"/>
        <v>4.194374006172839</v>
      </c>
      <c r="AF316" s="9"/>
      <c r="AG316" s="22">
        <v>1.44089</v>
      </c>
      <c r="AH316" s="22">
        <v>21.356100000000001</v>
      </c>
      <c r="AI316" s="22">
        <v>-1.23932E-2</v>
      </c>
      <c r="AJ316" s="22">
        <v>306</v>
      </c>
      <c r="AK316" s="22">
        <v>1.4398200000000001</v>
      </c>
      <c r="AL316">
        <f t="shared" si="54"/>
        <v>15.300246913580246</v>
      </c>
      <c r="AM316">
        <f t="shared" si="55"/>
        <v>22.045972775308641</v>
      </c>
      <c r="AP316" s="9"/>
      <c r="AQ316" s="22">
        <v>0.23910500000000001</v>
      </c>
      <c r="AR316" s="22">
        <v>26.798500000000001</v>
      </c>
      <c r="AS316" s="22">
        <v>-1.4208999999999999E-2</v>
      </c>
      <c r="AT316" s="22">
        <v>306</v>
      </c>
      <c r="AU316" s="22">
        <v>0.23858599999999999</v>
      </c>
      <c r="AV316">
        <f t="shared" si="56"/>
        <v>17.541975308641973</v>
      </c>
      <c r="AW316">
        <f t="shared" si="57"/>
        <v>4.194374006172839</v>
      </c>
      <c r="AX316" s="9"/>
      <c r="AY316" s="22">
        <v>1.44089</v>
      </c>
      <c r="AZ316" s="22">
        <v>30.577400000000001</v>
      </c>
      <c r="BA316" s="22">
        <v>-1.23322E-2</v>
      </c>
      <c r="BB316" s="22">
        <v>306</v>
      </c>
      <c r="BC316" s="22">
        <v>1.4401200000000001</v>
      </c>
      <c r="BD316">
        <f t="shared" si="58"/>
        <v>15.224938271604938</v>
      </c>
      <c r="BE316">
        <f t="shared" si="59"/>
        <v>21.937461306172839</v>
      </c>
    </row>
    <row r="317" spans="6:57">
      <c r="F317" s="9"/>
      <c r="G317" s="22">
        <v>0.23407</v>
      </c>
      <c r="H317" s="22">
        <v>8.3361199999999993</v>
      </c>
      <c r="I317" s="22">
        <v>-1.41937E-2</v>
      </c>
      <c r="J317" s="22">
        <v>307</v>
      </c>
      <c r="K317" s="22">
        <v>0.233459</v>
      </c>
      <c r="L317">
        <f t="shared" si="48"/>
        <v>17.523086419753085</v>
      </c>
      <c r="M317">
        <f t="shared" si="49"/>
        <v>4.1016288382716048</v>
      </c>
      <c r="N317" s="9"/>
      <c r="O317" s="22">
        <v>1.4459200000000001</v>
      </c>
      <c r="P317" s="22">
        <v>12.115</v>
      </c>
      <c r="Q317" s="22">
        <v>-1.2301599999999999E-2</v>
      </c>
      <c r="R317" s="22">
        <v>307</v>
      </c>
      <c r="S317" s="22">
        <v>1.4447000000000001</v>
      </c>
      <c r="T317">
        <f t="shared" si="50"/>
        <v>15.187160493827157</v>
      </c>
      <c r="U317">
        <f t="shared" si="51"/>
        <v>21.959419101234566</v>
      </c>
      <c r="X317" s="9"/>
      <c r="Y317" s="22">
        <v>0.23407</v>
      </c>
      <c r="Z317" s="22">
        <v>17.587299999999999</v>
      </c>
      <c r="AA317" s="22">
        <v>-1.4224199999999999E-2</v>
      </c>
      <c r="AB317" s="22">
        <v>307</v>
      </c>
      <c r="AC317" s="22">
        <v>0.233429</v>
      </c>
      <c r="AD317">
        <f t="shared" si="52"/>
        <v>17.560740740740737</v>
      </c>
      <c r="AE317">
        <f t="shared" si="53"/>
        <v>4.1104425851851847</v>
      </c>
      <c r="AF317" s="9"/>
      <c r="AG317" s="22">
        <v>1.4459200000000001</v>
      </c>
      <c r="AH317" s="22">
        <v>21.366199999999999</v>
      </c>
      <c r="AI317" s="22">
        <v>-1.2356600000000001E-2</v>
      </c>
      <c r="AJ317" s="22">
        <v>307</v>
      </c>
      <c r="AK317" s="22">
        <v>1.4450099999999999</v>
      </c>
      <c r="AL317">
        <f t="shared" si="54"/>
        <v>15.255061728395061</v>
      </c>
      <c r="AM317">
        <f t="shared" si="55"/>
        <v>22.05759885432099</v>
      </c>
      <c r="AP317" s="9"/>
      <c r="AQ317" s="22">
        <v>0.23407</v>
      </c>
      <c r="AR317" s="22">
        <v>26.808499999999999</v>
      </c>
      <c r="AS317" s="22">
        <v>-1.42059E-2</v>
      </c>
      <c r="AT317" s="22">
        <v>307</v>
      </c>
      <c r="AU317" s="22">
        <v>0.23339799999999999</v>
      </c>
      <c r="AV317">
        <f t="shared" si="56"/>
        <v>17.538148148148146</v>
      </c>
      <c r="AW317">
        <f t="shared" si="57"/>
        <v>4.1051543370370362</v>
      </c>
      <c r="AX317" s="9"/>
      <c r="AY317" s="22">
        <v>1.4459200000000001</v>
      </c>
      <c r="AZ317" s="22">
        <v>30.587399999999999</v>
      </c>
      <c r="BA317" s="22">
        <v>-1.2295499999999999E-2</v>
      </c>
      <c r="BB317" s="22">
        <v>307</v>
      </c>
      <c r="BC317" s="22">
        <v>1.4447000000000001</v>
      </c>
      <c r="BD317">
        <f t="shared" si="58"/>
        <v>15.179629629629629</v>
      </c>
      <c r="BE317">
        <f t="shared" si="59"/>
        <v>21.948530074074075</v>
      </c>
    </row>
    <row r="318" spans="6:57">
      <c r="F318" s="9"/>
      <c r="G318" s="22">
        <v>0.22903399999999999</v>
      </c>
      <c r="H318" s="22">
        <v>8.34619</v>
      </c>
      <c r="I318" s="22">
        <v>-1.41937E-2</v>
      </c>
      <c r="J318" s="22">
        <v>308</v>
      </c>
      <c r="K318" s="22">
        <v>0.22842399999999999</v>
      </c>
      <c r="L318">
        <f t="shared" si="48"/>
        <v>17.523086419753085</v>
      </c>
      <c r="M318">
        <f t="shared" si="49"/>
        <v>4.013382575061728</v>
      </c>
      <c r="N318" s="9"/>
      <c r="O318" s="22">
        <v>1.45096</v>
      </c>
      <c r="P318" s="22">
        <v>12.1251</v>
      </c>
      <c r="Q318" s="22">
        <v>-1.2265E-2</v>
      </c>
      <c r="R318" s="22">
        <v>308</v>
      </c>
      <c r="S318" s="22">
        <v>1.4504999999999999</v>
      </c>
      <c r="T318">
        <f t="shared" si="50"/>
        <v>15.141975308641973</v>
      </c>
      <c r="U318">
        <f t="shared" si="51"/>
        <v>21.970400493827157</v>
      </c>
      <c r="X318" s="9"/>
      <c r="Y318" s="22">
        <v>0.22903399999999999</v>
      </c>
      <c r="Z318" s="22">
        <v>17.5974</v>
      </c>
      <c r="AA318" s="22">
        <v>-1.42273E-2</v>
      </c>
      <c r="AB318" s="22">
        <v>308</v>
      </c>
      <c r="AC318" s="22">
        <v>0.22836300000000001</v>
      </c>
      <c r="AD318">
        <f t="shared" si="52"/>
        <v>17.564567901234565</v>
      </c>
      <c r="AE318">
        <f t="shared" si="53"/>
        <v>4.0228832446913572</v>
      </c>
      <c r="AF318" s="9"/>
      <c r="AG318" s="22">
        <v>1.45096</v>
      </c>
      <c r="AH318" s="22">
        <v>21.376300000000001</v>
      </c>
      <c r="AI318" s="22">
        <v>-1.23199E-2</v>
      </c>
      <c r="AJ318" s="22">
        <v>308</v>
      </c>
      <c r="AK318" s="22">
        <v>1.4501999999999999</v>
      </c>
      <c r="AL318">
        <f t="shared" si="54"/>
        <v>15.209753086419752</v>
      </c>
      <c r="AM318">
        <f t="shared" si="55"/>
        <v>22.068743338271606</v>
      </c>
      <c r="AP318" s="9"/>
      <c r="AQ318" s="22">
        <v>0.22903399999999999</v>
      </c>
      <c r="AR318" s="22">
        <v>26.8186</v>
      </c>
      <c r="AS318" s="22">
        <v>-1.41998E-2</v>
      </c>
      <c r="AT318" s="22">
        <v>308</v>
      </c>
      <c r="AU318" s="22">
        <v>0.22842399999999999</v>
      </c>
      <c r="AV318">
        <f t="shared" si="56"/>
        <v>17.530617283950615</v>
      </c>
      <c r="AW318">
        <f t="shared" si="57"/>
        <v>4.0151073990123454</v>
      </c>
      <c r="AX318" s="9"/>
      <c r="AY318" s="22">
        <v>1.45096</v>
      </c>
      <c r="AZ318" s="22">
        <v>30.5975</v>
      </c>
      <c r="BA318" s="22">
        <v>-1.22589E-2</v>
      </c>
      <c r="BB318" s="22">
        <v>308</v>
      </c>
      <c r="BC318" s="22">
        <v>1.4495800000000001</v>
      </c>
      <c r="BD318">
        <f t="shared" si="58"/>
        <v>15.134444444444444</v>
      </c>
      <c r="BE318">
        <f t="shared" si="59"/>
        <v>21.95947351111111</v>
      </c>
    </row>
    <row r="319" spans="6:57">
      <c r="F319" s="9"/>
      <c r="G319" s="22">
        <v>0.223999</v>
      </c>
      <c r="H319" s="22">
        <v>8.3562600000000007</v>
      </c>
      <c r="I319" s="22">
        <v>-1.4190700000000001E-2</v>
      </c>
      <c r="J319" s="22">
        <v>309</v>
      </c>
      <c r="K319" s="22">
        <v>0.22317500000000001</v>
      </c>
      <c r="L319">
        <f t="shared" si="48"/>
        <v>17.519382716049382</v>
      </c>
      <c r="M319">
        <f t="shared" si="49"/>
        <v>3.9243242090123456</v>
      </c>
      <c r="N319" s="9"/>
      <c r="O319" s="22">
        <v>1.4559899999999999</v>
      </c>
      <c r="P319" s="22">
        <v>12.135199999999999</v>
      </c>
      <c r="Q319" s="22">
        <v>-1.22162E-2</v>
      </c>
      <c r="R319" s="22">
        <v>309</v>
      </c>
      <c r="S319" s="22">
        <v>1.4550799999999999</v>
      </c>
      <c r="T319">
        <f t="shared" si="50"/>
        <v>15.081728395061727</v>
      </c>
      <c r="U319">
        <f t="shared" si="51"/>
        <v>21.958845725925922</v>
      </c>
      <c r="X319" s="9"/>
      <c r="Y319" s="22">
        <v>0.223999</v>
      </c>
      <c r="Z319" s="22">
        <v>17.607399999999998</v>
      </c>
      <c r="AA319" s="22">
        <v>-1.42334E-2</v>
      </c>
      <c r="AB319" s="22">
        <v>309</v>
      </c>
      <c r="AC319" s="22">
        <v>0.22351099999999999</v>
      </c>
      <c r="AD319">
        <f t="shared" si="52"/>
        <v>17.572098765432099</v>
      </c>
      <c r="AE319">
        <f t="shared" si="53"/>
        <v>3.9361325513580248</v>
      </c>
      <c r="AF319" s="9"/>
      <c r="AG319" s="22">
        <v>1.4559899999999999</v>
      </c>
      <c r="AH319" s="22">
        <v>21.386399999999998</v>
      </c>
      <c r="AI319" s="22">
        <v>-1.22833E-2</v>
      </c>
      <c r="AJ319" s="22">
        <v>309</v>
      </c>
      <c r="AK319" s="22">
        <v>1.4550799999999999</v>
      </c>
      <c r="AL319">
        <f t="shared" si="54"/>
        <v>15.164567901234568</v>
      </c>
      <c r="AM319">
        <f t="shared" si="55"/>
        <v>22.079459218518515</v>
      </c>
      <c r="AP319" s="9"/>
      <c r="AQ319" s="22">
        <v>0.223999</v>
      </c>
      <c r="AR319" s="22">
        <v>26.828700000000001</v>
      </c>
      <c r="AS319" s="22">
        <v>-1.41937E-2</v>
      </c>
      <c r="AT319" s="22">
        <v>309</v>
      </c>
      <c r="AU319" s="22">
        <v>0.22323599999999999</v>
      </c>
      <c r="AV319">
        <f t="shared" si="56"/>
        <v>17.523086419753085</v>
      </c>
      <c r="AW319">
        <f t="shared" si="57"/>
        <v>3.9251538349382713</v>
      </c>
      <c r="AX319" s="9"/>
      <c r="AY319" s="22">
        <v>1.4559899999999999</v>
      </c>
      <c r="AZ319" s="22">
        <v>30.607600000000001</v>
      </c>
      <c r="BA319" s="22">
        <v>-1.22223E-2</v>
      </c>
      <c r="BB319" s="22">
        <v>309</v>
      </c>
      <c r="BC319" s="22">
        <v>1.4553799999999999</v>
      </c>
      <c r="BD319">
        <f t="shared" si="58"/>
        <v>15.08925925925926</v>
      </c>
      <c r="BE319">
        <f t="shared" si="59"/>
        <v>21.969810588888887</v>
      </c>
    </row>
    <row r="320" spans="6:57">
      <c r="F320" s="9"/>
      <c r="G320" s="22">
        <v>0.21896399999999999</v>
      </c>
      <c r="H320" s="22">
        <v>8.3663299999999996</v>
      </c>
      <c r="I320" s="22">
        <v>-1.41876E-2</v>
      </c>
      <c r="J320" s="22">
        <v>310</v>
      </c>
      <c r="K320" s="22">
        <v>0.21829200000000001</v>
      </c>
      <c r="L320">
        <f t="shared" si="48"/>
        <v>17.515555555555554</v>
      </c>
      <c r="M320">
        <f t="shared" si="49"/>
        <v>3.8352761066666661</v>
      </c>
      <c r="N320" s="9"/>
      <c r="O320" s="22">
        <v>1.4610300000000001</v>
      </c>
      <c r="P320" s="22">
        <v>12.145200000000001</v>
      </c>
      <c r="Q320" s="22">
        <v>-1.21765E-2</v>
      </c>
      <c r="R320" s="22">
        <v>310</v>
      </c>
      <c r="S320" s="22">
        <v>1.45966</v>
      </c>
      <c r="T320">
        <f t="shared" si="50"/>
        <v>15.032716049382715</v>
      </c>
      <c r="U320">
        <f t="shared" si="51"/>
        <v>21.963249129629631</v>
      </c>
      <c r="X320" s="9"/>
      <c r="Y320" s="22">
        <v>0.21896399999999999</v>
      </c>
      <c r="Z320" s="22">
        <v>17.6175</v>
      </c>
      <c r="AA320" s="22">
        <v>-1.42303E-2</v>
      </c>
      <c r="AB320" s="22">
        <v>310</v>
      </c>
      <c r="AC320" s="22">
        <v>0.21820100000000001</v>
      </c>
      <c r="AD320">
        <f t="shared" si="52"/>
        <v>17.568271604938271</v>
      </c>
      <c r="AE320">
        <f t="shared" si="53"/>
        <v>3.8468190237037034</v>
      </c>
      <c r="AF320" s="9"/>
      <c r="AG320" s="22">
        <v>1.4610300000000001</v>
      </c>
      <c r="AH320" s="22">
        <v>21.3964</v>
      </c>
      <c r="AI320" s="22">
        <v>-1.2246699999999999E-2</v>
      </c>
      <c r="AJ320" s="22">
        <v>310</v>
      </c>
      <c r="AK320" s="22">
        <v>1.46027</v>
      </c>
      <c r="AL320">
        <f t="shared" si="54"/>
        <v>15.11938271604938</v>
      </c>
      <c r="AM320">
        <f t="shared" si="55"/>
        <v>22.089871729629625</v>
      </c>
      <c r="AP320" s="9"/>
      <c r="AQ320" s="22">
        <v>0.21896399999999999</v>
      </c>
      <c r="AR320" s="22">
        <v>26.838699999999999</v>
      </c>
      <c r="AS320" s="22">
        <v>-1.41937E-2</v>
      </c>
      <c r="AT320" s="22">
        <v>310</v>
      </c>
      <c r="AU320" s="22">
        <v>0.21823100000000001</v>
      </c>
      <c r="AV320">
        <f t="shared" si="56"/>
        <v>17.523086419753085</v>
      </c>
      <c r="AW320">
        <f t="shared" si="57"/>
        <v>3.8369250948148141</v>
      </c>
      <c r="AX320" s="9"/>
      <c r="AY320" s="22">
        <v>1.4610300000000001</v>
      </c>
      <c r="AZ320" s="22">
        <v>30.617699999999999</v>
      </c>
      <c r="BA320" s="22">
        <v>-1.21826E-2</v>
      </c>
      <c r="BB320" s="22">
        <v>310</v>
      </c>
      <c r="BC320" s="22">
        <v>1.46027</v>
      </c>
      <c r="BD320">
        <f t="shared" si="58"/>
        <v>15.040246913580246</v>
      </c>
      <c r="BE320">
        <f t="shared" si="59"/>
        <v>21.974251948148147</v>
      </c>
    </row>
    <row r="321" spans="6:57">
      <c r="F321" s="9"/>
      <c r="G321" s="22">
        <v>0.21392800000000001</v>
      </c>
      <c r="H321" s="22">
        <v>8.3764099999999999</v>
      </c>
      <c r="I321" s="22">
        <v>-1.41876E-2</v>
      </c>
      <c r="J321" s="22">
        <v>311</v>
      </c>
      <c r="K321" s="22">
        <v>0.213196</v>
      </c>
      <c r="L321">
        <f t="shared" si="48"/>
        <v>17.515555555555554</v>
      </c>
      <c r="M321">
        <f t="shared" si="49"/>
        <v>3.7470677688888889</v>
      </c>
      <c r="N321" s="9"/>
      <c r="O321" s="22">
        <v>1.4660599999999999</v>
      </c>
      <c r="P321" s="22">
        <v>12.1553</v>
      </c>
      <c r="Q321" s="22">
        <v>-1.2130699999999999E-2</v>
      </c>
      <c r="R321" s="22">
        <v>311</v>
      </c>
      <c r="S321" s="22">
        <v>1.4654499999999999</v>
      </c>
      <c r="T321">
        <f t="shared" si="50"/>
        <v>14.976172839506171</v>
      </c>
      <c r="U321">
        <f t="shared" si="51"/>
        <v>21.955967953086418</v>
      </c>
      <c r="X321" s="9"/>
      <c r="Y321" s="22">
        <v>0.21392800000000001</v>
      </c>
      <c r="Z321" s="22">
        <v>17.627600000000001</v>
      </c>
      <c r="AA321" s="22">
        <v>-1.42273E-2</v>
      </c>
      <c r="AB321" s="22">
        <v>311</v>
      </c>
      <c r="AC321" s="22">
        <v>0.213226</v>
      </c>
      <c r="AD321">
        <f t="shared" si="52"/>
        <v>17.564567901234565</v>
      </c>
      <c r="AE321">
        <f t="shared" si="53"/>
        <v>3.7575528819753079</v>
      </c>
      <c r="AF321" s="9"/>
      <c r="AG321" s="22">
        <v>1.4660599999999999</v>
      </c>
      <c r="AH321" s="22">
        <v>21.406500000000001</v>
      </c>
      <c r="AI321" s="22">
        <v>-1.2204E-2</v>
      </c>
      <c r="AJ321" s="22">
        <v>311</v>
      </c>
      <c r="AK321" s="22">
        <v>1.46515</v>
      </c>
      <c r="AL321">
        <f t="shared" si="54"/>
        <v>15.066666666666666</v>
      </c>
      <c r="AM321">
        <f t="shared" si="55"/>
        <v>22.088637333333331</v>
      </c>
      <c r="AP321" s="9"/>
      <c r="AQ321" s="22">
        <v>0.21392800000000001</v>
      </c>
      <c r="AR321" s="22">
        <v>26.848800000000001</v>
      </c>
      <c r="AS321" s="22">
        <v>-1.4196800000000001E-2</v>
      </c>
      <c r="AT321" s="22">
        <v>311</v>
      </c>
      <c r="AU321" s="22">
        <v>0.213226</v>
      </c>
      <c r="AV321">
        <f t="shared" si="56"/>
        <v>17.526913580246916</v>
      </c>
      <c r="AW321">
        <f t="shared" si="57"/>
        <v>3.7494975683950624</v>
      </c>
      <c r="AX321" s="9"/>
      <c r="AY321" s="22">
        <v>1.4660599999999999</v>
      </c>
      <c r="AZ321" s="22">
        <v>30.627700000000001</v>
      </c>
      <c r="BA321" s="22">
        <v>-1.2146000000000001E-2</v>
      </c>
      <c r="BB321" s="22">
        <v>311</v>
      </c>
      <c r="BC321" s="22">
        <v>1.4648399999999999</v>
      </c>
      <c r="BD321">
        <f t="shared" si="58"/>
        <v>14.995061728395061</v>
      </c>
      <c r="BE321">
        <f t="shared" si="59"/>
        <v>21.983660197530863</v>
      </c>
    </row>
    <row r="322" spans="6:57">
      <c r="F322" s="9"/>
      <c r="G322" s="22">
        <v>0.208893</v>
      </c>
      <c r="H322" s="22">
        <v>8.3864800000000006</v>
      </c>
      <c r="I322" s="22">
        <v>-1.41937E-2</v>
      </c>
      <c r="J322" s="22">
        <v>312</v>
      </c>
      <c r="K322" s="22">
        <v>0.20822099999999999</v>
      </c>
      <c r="L322">
        <f t="shared" si="48"/>
        <v>17.523086419753085</v>
      </c>
      <c r="M322">
        <f t="shared" si="49"/>
        <v>3.660450091481481</v>
      </c>
      <c r="N322" s="9"/>
      <c r="O322" s="22">
        <v>1.4711000000000001</v>
      </c>
      <c r="P322" s="22">
        <v>12.1654</v>
      </c>
      <c r="Q322" s="22">
        <v>-1.2085E-2</v>
      </c>
      <c r="R322" s="22">
        <v>312</v>
      </c>
      <c r="S322" s="22">
        <v>1.4706399999999999</v>
      </c>
      <c r="T322">
        <f t="shared" si="50"/>
        <v>14.919753086419753</v>
      </c>
      <c r="U322">
        <f t="shared" si="51"/>
        <v>21.948448765432101</v>
      </c>
      <c r="X322" s="9"/>
      <c r="Y322" s="22">
        <v>0.208893</v>
      </c>
      <c r="Z322" s="22">
        <v>17.637699999999999</v>
      </c>
      <c r="AA322" s="22">
        <v>-1.42303E-2</v>
      </c>
      <c r="AB322" s="22">
        <v>312</v>
      </c>
      <c r="AC322" s="22">
        <v>0.20822099999999999</v>
      </c>
      <c r="AD322">
        <f t="shared" si="52"/>
        <v>17.568271604938271</v>
      </c>
      <c r="AE322">
        <f t="shared" si="53"/>
        <v>3.6698889603703702</v>
      </c>
      <c r="AF322" s="9"/>
      <c r="AG322" s="22">
        <v>1.4711000000000001</v>
      </c>
      <c r="AH322" s="22">
        <v>21.416599999999999</v>
      </c>
      <c r="AI322" s="22">
        <v>-1.2164299999999999E-2</v>
      </c>
      <c r="AJ322" s="22">
        <v>312</v>
      </c>
      <c r="AK322" s="22">
        <v>1.4700299999999999</v>
      </c>
      <c r="AL322">
        <f t="shared" si="54"/>
        <v>15.017654320987653</v>
      </c>
      <c r="AM322">
        <f t="shared" si="55"/>
        <v>22.092471271604936</v>
      </c>
      <c r="AP322" s="9"/>
      <c r="AQ322" s="22">
        <v>0.208893</v>
      </c>
      <c r="AR322" s="22">
        <v>26.858899999999998</v>
      </c>
      <c r="AS322" s="22">
        <v>-1.4202899999999999E-2</v>
      </c>
      <c r="AT322" s="22">
        <v>312</v>
      </c>
      <c r="AU322" s="22">
        <v>0.20825199999999999</v>
      </c>
      <c r="AV322">
        <f t="shared" si="56"/>
        <v>17.534444444444443</v>
      </c>
      <c r="AW322">
        <f t="shared" si="57"/>
        <v>3.6628227033333327</v>
      </c>
      <c r="AX322" s="9"/>
      <c r="AY322" s="22">
        <v>1.4711000000000001</v>
      </c>
      <c r="AZ322" s="22">
        <v>30.637799999999999</v>
      </c>
      <c r="BA322" s="22">
        <v>-1.20941E-2</v>
      </c>
      <c r="BB322" s="22">
        <v>312</v>
      </c>
      <c r="BC322" s="22">
        <v>1.4706399999999999</v>
      </c>
      <c r="BD322">
        <f t="shared" si="58"/>
        <v>14.930987654320987</v>
      </c>
      <c r="BE322">
        <f t="shared" si="59"/>
        <v>21.964975938271603</v>
      </c>
    </row>
    <row r="323" spans="6:57">
      <c r="F323" s="9"/>
      <c r="G323" s="22">
        <v>0.20385700000000001</v>
      </c>
      <c r="H323" s="22">
        <v>8.3965499999999995</v>
      </c>
      <c r="I323" s="22">
        <v>-1.41937E-2</v>
      </c>
      <c r="J323" s="22">
        <v>313</v>
      </c>
      <c r="K323" s="22">
        <v>0.20318600000000001</v>
      </c>
      <c r="L323">
        <f t="shared" si="48"/>
        <v>17.523086419753085</v>
      </c>
      <c r="M323">
        <f t="shared" si="49"/>
        <v>3.5722038282716047</v>
      </c>
      <c r="N323" s="9"/>
      <c r="O323" s="22">
        <v>1.47614</v>
      </c>
      <c r="P323" s="22">
        <v>12.1755</v>
      </c>
      <c r="Q323" s="22">
        <v>-1.2036099999999999E-2</v>
      </c>
      <c r="R323" s="22">
        <v>313</v>
      </c>
      <c r="S323" s="22">
        <v>1.4755199999999999</v>
      </c>
      <c r="T323">
        <f t="shared" si="50"/>
        <v>14.85938271604938</v>
      </c>
      <c r="U323">
        <f t="shared" si="51"/>
        <v>21.934529202469133</v>
      </c>
      <c r="X323" s="9"/>
      <c r="Y323" s="22">
        <v>0.20385700000000001</v>
      </c>
      <c r="Z323" s="22">
        <v>17.6477</v>
      </c>
      <c r="AA323" s="22">
        <v>-1.42303E-2</v>
      </c>
      <c r="AB323" s="22">
        <v>313</v>
      </c>
      <c r="AC323" s="22">
        <v>0.20318600000000001</v>
      </c>
      <c r="AD323">
        <f t="shared" si="52"/>
        <v>17.568271604938271</v>
      </c>
      <c r="AE323">
        <f t="shared" si="53"/>
        <v>3.5814151445679014</v>
      </c>
      <c r="AF323" s="9"/>
      <c r="AG323" s="22">
        <v>1.47614</v>
      </c>
      <c r="AH323" s="22">
        <v>21.426600000000001</v>
      </c>
      <c r="AI323" s="22">
        <v>-1.2118500000000001E-2</v>
      </c>
      <c r="AJ323" s="22">
        <v>313</v>
      </c>
      <c r="AK323" s="22">
        <v>1.4755199999999999</v>
      </c>
      <c r="AL323">
        <f t="shared" si="54"/>
        <v>14.96111111111111</v>
      </c>
      <c r="AM323">
        <f t="shared" si="55"/>
        <v>22.084694555555554</v>
      </c>
      <c r="AP323" s="9"/>
      <c r="AQ323" s="22">
        <v>0.20385700000000001</v>
      </c>
      <c r="AR323" s="22">
        <v>26.869</v>
      </c>
      <c r="AS323" s="22">
        <v>-1.42059E-2</v>
      </c>
      <c r="AT323" s="22">
        <v>313</v>
      </c>
      <c r="AU323" s="22">
        <v>0.20324700000000001</v>
      </c>
      <c r="AV323">
        <f t="shared" si="56"/>
        <v>17.538148148148146</v>
      </c>
      <c r="AW323">
        <f t="shared" si="57"/>
        <v>3.5752742670370368</v>
      </c>
      <c r="AX323" s="9"/>
      <c r="AY323" s="22">
        <v>1.47614</v>
      </c>
      <c r="AZ323" s="22">
        <v>30.6479</v>
      </c>
      <c r="BA323" s="22">
        <v>-1.2036099999999999E-2</v>
      </c>
      <c r="BB323" s="22">
        <v>313</v>
      </c>
      <c r="BC323" s="22">
        <v>1.47522</v>
      </c>
      <c r="BD323">
        <f t="shared" si="58"/>
        <v>14.85938271604938</v>
      </c>
      <c r="BE323">
        <f t="shared" si="59"/>
        <v>21.934529202469133</v>
      </c>
    </row>
    <row r="324" spans="6:57">
      <c r="F324" s="9"/>
      <c r="G324" s="22">
        <v>0.198822</v>
      </c>
      <c r="H324" s="22">
        <v>8.4066200000000002</v>
      </c>
      <c r="I324" s="22">
        <v>-1.4196800000000001E-2</v>
      </c>
      <c r="J324" s="22">
        <v>314</v>
      </c>
      <c r="K324" s="22">
        <v>0.198242</v>
      </c>
      <c r="L324">
        <f t="shared" si="48"/>
        <v>17.526913580246916</v>
      </c>
      <c r="M324">
        <f t="shared" si="49"/>
        <v>3.4847360118518522</v>
      </c>
      <c r="N324" s="9"/>
      <c r="O324" s="22">
        <v>1.4811700000000001</v>
      </c>
      <c r="P324" s="22">
        <v>12.185499999999999</v>
      </c>
      <c r="Q324" s="22">
        <v>-1.19843E-2</v>
      </c>
      <c r="R324" s="22">
        <v>314</v>
      </c>
      <c r="S324" s="22">
        <v>1.48041</v>
      </c>
      <c r="T324">
        <f t="shared" si="50"/>
        <v>14.795432098765431</v>
      </c>
      <c r="U324">
        <f t="shared" si="51"/>
        <v>21.914550161728396</v>
      </c>
      <c r="X324" s="9"/>
      <c r="Y324" s="22">
        <v>0.198822</v>
      </c>
      <c r="Z324" s="22">
        <v>17.657800000000002</v>
      </c>
      <c r="AA324" s="22">
        <v>-1.42303E-2</v>
      </c>
      <c r="AB324" s="22">
        <v>314</v>
      </c>
      <c r="AC324" s="22">
        <v>0.198212</v>
      </c>
      <c r="AD324">
        <f t="shared" si="52"/>
        <v>17.568271604938271</v>
      </c>
      <c r="AE324">
        <f t="shared" si="53"/>
        <v>3.4929588970370369</v>
      </c>
      <c r="AF324" s="9"/>
      <c r="AG324" s="22">
        <v>1.4811700000000001</v>
      </c>
      <c r="AH324" s="22">
        <v>21.436699999999998</v>
      </c>
      <c r="AI324" s="22">
        <v>-1.20667E-2</v>
      </c>
      <c r="AJ324" s="22">
        <v>314</v>
      </c>
      <c r="AK324" s="22">
        <v>1.4801</v>
      </c>
      <c r="AL324">
        <f t="shared" si="54"/>
        <v>14.89716049382716</v>
      </c>
      <c r="AM324">
        <f t="shared" si="55"/>
        <v>22.065227208641975</v>
      </c>
      <c r="AP324" s="9"/>
      <c r="AQ324" s="22">
        <v>0.198822</v>
      </c>
      <c r="AR324" s="22">
        <v>26.879000000000001</v>
      </c>
      <c r="AS324" s="22">
        <v>-1.42059E-2</v>
      </c>
      <c r="AT324" s="22">
        <v>314</v>
      </c>
      <c r="AU324" s="22">
        <v>0.198242</v>
      </c>
      <c r="AV324">
        <f t="shared" si="56"/>
        <v>17.538148148148146</v>
      </c>
      <c r="AW324">
        <f t="shared" si="57"/>
        <v>3.4869696911111108</v>
      </c>
      <c r="AX324" s="9"/>
      <c r="AY324" s="22">
        <v>1.4811700000000001</v>
      </c>
      <c r="AZ324" s="22">
        <v>30.657900000000001</v>
      </c>
      <c r="BA324" s="22">
        <v>-1.19781E-2</v>
      </c>
      <c r="BB324" s="22">
        <v>314</v>
      </c>
      <c r="BC324" s="22">
        <v>1.48071</v>
      </c>
      <c r="BD324">
        <f t="shared" si="58"/>
        <v>14.787777777777777</v>
      </c>
      <c r="BE324">
        <f t="shared" si="59"/>
        <v>21.903212811111111</v>
      </c>
    </row>
    <row r="325" spans="6:57">
      <c r="F325" s="9"/>
      <c r="G325" s="22">
        <v>0.19378699999999999</v>
      </c>
      <c r="H325" s="22">
        <v>8.4166899999999991</v>
      </c>
      <c r="I325" s="22">
        <v>-1.4196800000000001E-2</v>
      </c>
      <c r="J325" s="22">
        <v>315</v>
      </c>
      <c r="K325" s="22">
        <v>0.19314600000000001</v>
      </c>
      <c r="L325">
        <f t="shared" si="48"/>
        <v>17.526913580246916</v>
      </c>
      <c r="M325">
        <f t="shared" si="49"/>
        <v>3.396488001975309</v>
      </c>
      <c r="N325" s="9"/>
      <c r="O325" s="22">
        <v>1.48621</v>
      </c>
      <c r="P325" s="22">
        <v>12.195600000000001</v>
      </c>
      <c r="Q325" s="22">
        <v>-1.19293E-2</v>
      </c>
      <c r="R325" s="22">
        <v>315</v>
      </c>
      <c r="S325" s="22">
        <v>1.48529</v>
      </c>
      <c r="T325">
        <f t="shared" si="50"/>
        <v>14.727530864197531</v>
      </c>
      <c r="U325">
        <f t="shared" si="51"/>
        <v>21.888203645679013</v>
      </c>
      <c r="X325" s="9"/>
      <c r="Y325" s="22">
        <v>0.19378699999999999</v>
      </c>
      <c r="Z325" s="22">
        <v>17.667899999999999</v>
      </c>
      <c r="AA325" s="22">
        <v>-1.42273E-2</v>
      </c>
      <c r="AB325" s="22">
        <v>315</v>
      </c>
      <c r="AC325" s="22">
        <v>0.192963</v>
      </c>
      <c r="AD325">
        <f t="shared" si="52"/>
        <v>17.564567901234565</v>
      </c>
      <c r="AE325">
        <f t="shared" si="53"/>
        <v>3.4037849198765424</v>
      </c>
      <c r="AF325" s="9"/>
      <c r="AG325" s="22">
        <v>1.48621</v>
      </c>
      <c r="AH325" s="22">
        <v>21.4468</v>
      </c>
      <c r="AI325" s="22">
        <v>-1.20117E-2</v>
      </c>
      <c r="AJ325" s="22">
        <v>315</v>
      </c>
      <c r="AK325" s="22">
        <v>1.48529</v>
      </c>
      <c r="AL325">
        <f t="shared" si="54"/>
        <v>14.82925925925926</v>
      </c>
      <c r="AM325">
        <f t="shared" si="55"/>
        <v>22.039393403703706</v>
      </c>
      <c r="AP325" s="9"/>
      <c r="AQ325" s="22">
        <v>0.19378699999999999</v>
      </c>
      <c r="AR325" s="22">
        <v>26.889099999999999</v>
      </c>
      <c r="AS325" s="22">
        <v>-1.42059E-2</v>
      </c>
      <c r="AT325" s="22">
        <v>315</v>
      </c>
      <c r="AU325" s="22">
        <v>0.19314600000000001</v>
      </c>
      <c r="AV325">
        <f t="shared" si="56"/>
        <v>17.538148148148146</v>
      </c>
      <c r="AW325">
        <f t="shared" si="57"/>
        <v>3.3986651151851843</v>
      </c>
      <c r="AX325" s="9"/>
      <c r="AY325" s="22">
        <v>1.48621</v>
      </c>
      <c r="AZ325" s="22">
        <v>30.667999999999999</v>
      </c>
      <c r="BA325" s="22">
        <v>-1.19232E-2</v>
      </c>
      <c r="BB325" s="22">
        <v>315</v>
      </c>
      <c r="BC325" s="22">
        <v>1.4856</v>
      </c>
      <c r="BD325">
        <f t="shared" si="58"/>
        <v>14.719999999999999</v>
      </c>
      <c r="BE325">
        <f t="shared" si="59"/>
        <v>21.877011199999998</v>
      </c>
    </row>
    <row r="326" spans="6:57">
      <c r="F326" s="9"/>
      <c r="G326" s="22">
        <v>0.188751</v>
      </c>
      <c r="H326" s="22">
        <v>8.4267599999999998</v>
      </c>
      <c r="I326" s="22">
        <v>-1.41937E-2</v>
      </c>
      <c r="J326" s="22">
        <v>316</v>
      </c>
      <c r="K326" s="22">
        <v>0.18808</v>
      </c>
      <c r="L326">
        <f t="shared" si="48"/>
        <v>17.523086419753085</v>
      </c>
      <c r="M326">
        <f t="shared" si="49"/>
        <v>3.3075000848148144</v>
      </c>
      <c r="N326" s="9"/>
      <c r="O326" s="22">
        <v>1.4912399999999999</v>
      </c>
      <c r="P326" s="22">
        <v>12.2057</v>
      </c>
      <c r="Q326" s="22">
        <v>-1.18744E-2</v>
      </c>
      <c r="R326" s="22">
        <v>316</v>
      </c>
      <c r="S326" s="22">
        <v>1.49048</v>
      </c>
      <c r="T326">
        <f t="shared" si="50"/>
        <v>14.659753086419753</v>
      </c>
      <c r="U326">
        <f t="shared" si="51"/>
        <v>21.861210192592591</v>
      </c>
      <c r="X326" s="9"/>
      <c r="Y326" s="22">
        <v>0.188751</v>
      </c>
      <c r="Z326" s="22">
        <v>17.677900000000001</v>
      </c>
      <c r="AA326" s="22">
        <v>-1.4224199999999999E-2</v>
      </c>
      <c r="AB326" s="22">
        <v>316</v>
      </c>
      <c r="AC326" s="22">
        <v>0.18804899999999999</v>
      </c>
      <c r="AD326">
        <f t="shared" si="52"/>
        <v>17.560740740740737</v>
      </c>
      <c r="AE326">
        <f t="shared" si="53"/>
        <v>3.3146073755555547</v>
      </c>
      <c r="AF326" s="9"/>
      <c r="AG326" s="22">
        <v>1.4912399999999999</v>
      </c>
      <c r="AH326" s="22">
        <v>21.456800000000001</v>
      </c>
      <c r="AI326" s="22">
        <v>-1.1953699999999999E-2</v>
      </c>
      <c r="AJ326" s="22">
        <v>316</v>
      </c>
      <c r="AK326" s="22">
        <v>1.49078</v>
      </c>
      <c r="AL326">
        <f t="shared" si="54"/>
        <v>14.757654320987653</v>
      </c>
      <c r="AM326">
        <f t="shared" si="55"/>
        <v>22.007204429629628</v>
      </c>
      <c r="AP326" s="9"/>
      <c r="AQ326" s="22">
        <v>0.188751</v>
      </c>
      <c r="AR326" s="22">
        <v>26.8992</v>
      </c>
      <c r="AS326" s="22">
        <v>-1.4208999999999999E-2</v>
      </c>
      <c r="AT326" s="22">
        <v>316</v>
      </c>
      <c r="AU326" s="22">
        <v>0.18801899999999999</v>
      </c>
      <c r="AV326">
        <f t="shared" si="56"/>
        <v>17.541975308641973</v>
      </c>
      <c r="AW326">
        <f t="shared" si="57"/>
        <v>3.3110653814814812</v>
      </c>
      <c r="AX326" s="9"/>
      <c r="AY326" s="22">
        <v>1.4912399999999999</v>
      </c>
      <c r="AZ326" s="22">
        <v>30.678100000000001</v>
      </c>
      <c r="BA326" s="22">
        <v>-1.18683E-2</v>
      </c>
      <c r="BB326" s="22">
        <v>316</v>
      </c>
      <c r="BC326" s="22">
        <v>1.49017</v>
      </c>
      <c r="BD326">
        <f t="shared" si="58"/>
        <v>14.652222222222221</v>
      </c>
      <c r="BE326">
        <f t="shared" si="59"/>
        <v>21.849979866666665</v>
      </c>
    </row>
    <row r="327" spans="6:57">
      <c r="F327" s="9"/>
      <c r="G327" s="22">
        <v>0.18371599999999999</v>
      </c>
      <c r="H327" s="22">
        <v>8.4368300000000005</v>
      </c>
      <c r="I327" s="22">
        <v>-1.41846E-2</v>
      </c>
      <c r="J327" s="22">
        <v>317</v>
      </c>
      <c r="K327" s="22">
        <v>0.18307499999999999</v>
      </c>
      <c r="L327">
        <f t="shared" si="48"/>
        <v>17.511851851851851</v>
      </c>
      <c r="M327">
        <f t="shared" si="49"/>
        <v>3.2172073748148144</v>
      </c>
      <c r="N327" s="9"/>
      <c r="O327" s="22">
        <v>1.4962800000000001</v>
      </c>
      <c r="P327" s="22">
        <v>12.2157</v>
      </c>
      <c r="Q327" s="22">
        <v>-1.18256E-2</v>
      </c>
      <c r="R327" s="22">
        <v>317</v>
      </c>
      <c r="S327" s="22">
        <v>1.49597</v>
      </c>
      <c r="T327">
        <f t="shared" si="50"/>
        <v>14.599506172839504</v>
      </c>
      <c r="U327">
        <f t="shared" si="51"/>
        <v>21.844949096296293</v>
      </c>
      <c r="X327" s="9"/>
      <c r="Y327" s="22">
        <v>0.18371599999999999</v>
      </c>
      <c r="Z327" s="22">
        <v>17.687999999999999</v>
      </c>
      <c r="AA327" s="22">
        <v>-1.42212E-2</v>
      </c>
      <c r="AB327" s="22">
        <v>317</v>
      </c>
      <c r="AC327" s="22">
        <v>0.18307499999999999</v>
      </c>
      <c r="AD327">
        <f t="shared" si="52"/>
        <v>17.557037037037034</v>
      </c>
      <c r="AE327">
        <f t="shared" si="53"/>
        <v>3.2255086162962954</v>
      </c>
      <c r="AF327" s="9"/>
      <c r="AG327" s="22">
        <v>1.4962800000000001</v>
      </c>
      <c r="AH327" s="22">
        <v>21.466899999999999</v>
      </c>
      <c r="AI327" s="22">
        <v>-1.18958E-2</v>
      </c>
      <c r="AJ327" s="22">
        <v>317</v>
      </c>
      <c r="AK327" s="22">
        <v>1.4956700000000001</v>
      </c>
      <c r="AL327">
        <f t="shared" si="54"/>
        <v>14.686172839506172</v>
      </c>
      <c r="AM327">
        <f t="shared" si="55"/>
        <v>21.974626696296298</v>
      </c>
      <c r="AP327" s="9"/>
      <c r="AQ327" s="22">
        <v>0.18371599999999999</v>
      </c>
      <c r="AR327" s="22">
        <v>26.909199999999998</v>
      </c>
      <c r="AS327" s="22">
        <v>-1.42212E-2</v>
      </c>
      <c r="AT327" s="22">
        <v>317</v>
      </c>
      <c r="AU327" s="22">
        <v>0.18310499999999999</v>
      </c>
      <c r="AV327">
        <f t="shared" si="56"/>
        <v>17.557037037037034</v>
      </c>
      <c r="AW327">
        <f t="shared" si="57"/>
        <v>3.2255086162962954</v>
      </c>
      <c r="AX327" s="9"/>
      <c r="AY327" s="22">
        <v>1.4962800000000001</v>
      </c>
      <c r="AZ327" s="22">
        <v>30.688099999999999</v>
      </c>
      <c r="BA327" s="22">
        <v>-1.18134E-2</v>
      </c>
      <c r="BB327" s="22">
        <v>317</v>
      </c>
      <c r="BC327" s="22">
        <v>1.4956700000000001</v>
      </c>
      <c r="BD327">
        <f t="shared" si="58"/>
        <v>14.584444444444443</v>
      </c>
      <c r="BE327">
        <f t="shared" si="59"/>
        <v>21.822412533333331</v>
      </c>
    </row>
    <row r="328" spans="6:57">
      <c r="F328" s="9"/>
      <c r="G328" s="22">
        <v>0.17868000000000001</v>
      </c>
      <c r="H328" s="22">
        <v>8.4468999999999994</v>
      </c>
      <c r="I328" s="22">
        <v>-1.41846E-2</v>
      </c>
      <c r="J328" s="22">
        <v>318</v>
      </c>
      <c r="K328" s="22">
        <v>0.177979</v>
      </c>
      <c r="L328">
        <f t="shared" si="48"/>
        <v>17.511851851851851</v>
      </c>
      <c r="M328">
        <f t="shared" si="49"/>
        <v>3.1290176888888888</v>
      </c>
      <c r="N328" s="9"/>
      <c r="O328" s="22">
        <v>1.5013099999999999</v>
      </c>
      <c r="P328" s="22">
        <v>12.2258</v>
      </c>
      <c r="Q328" s="22">
        <v>-1.17584E-2</v>
      </c>
      <c r="R328" s="22">
        <v>318</v>
      </c>
      <c r="S328" s="22">
        <v>1.4999400000000001</v>
      </c>
      <c r="T328">
        <f t="shared" si="50"/>
        <v>14.516543209876543</v>
      </c>
      <c r="U328">
        <f t="shared" si="51"/>
        <v>21.793831486419752</v>
      </c>
      <c r="X328" s="9"/>
      <c r="Y328" s="22">
        <v>0.17868000000000001</v>
      </c>
      <c r="Z328" s="22">
        <v>17.6981</v>
      </c>
      <c r="AA328" s="22">
        <v>-1.4212000000000001E-2</v>
      </c>
      <c r="AB328" s="22">
        <v>318</v>
      </c>
      <c r="AC328" s="22">
        <v>0.17804</v>
      </c>
      <c r="AD328">
        <f t="shared" si="52"/>
        <v>17.54567901234568</v>
      </c>
      <c r="AE328">
        <f t="shared" si="53"/>
        <v>3.135061925925926</v>
      </c>
      <c r="AF328" s="9"/>
      <c r="AG328" s="22">
        <v>1.5013099999999999</v>
      </c>
      <c r="AH328" s="22">
        <v>21.477</v>
      </c>
      <c r="AI328" s="22">
        <v>-1.18408E-2</v>
      </c>
      <c r="AJ328" s="22">
        <v>318</v>
      </c>
      <c r="AK328" s="22">
        <v>1.4999400000000001</v>
      </c>
      <c r="AL328">
        <f t="shared" si="54"/>
        <v>14.618271604938272</v>
      </c>
      <c r="AM328">
        <f t="shared" si="55"/>
        <v>21.946557343209875</v>
      </c>
      <c r="AP328" s="9"/>
      <c r="AQ328" s="22">
        <v>0.17868000000000001</v>
      </c>
      <c r="AR328" s="22">
        <v>26.9193</v>
      </c>
      <c r="AS328" s="22">
        <v>-1.4224199999999999E-2</v>
      </c>
      <c r="AT328" s="22">
        <v>318</v>
      </c>
      <c r="AU328" s="22">
        <v>0.17804</v>
      </c>
      <c r="AV328">
        <f t="shared" si="56"/>
        <v>17.560740740740737</v>
      </c>
      <c r="AW328">
        <f t="shared" si="57"/>
        <v>3.1377531555555551</v>
      </c>
      <c r="AX328" s="9"/>
      <c r="AY328" s="22">
        <v>1.5013099999999999</v>
      </c>
      <c r="AZ328" s="22">
        <v>30.6982</v>
      </c>
      <c r="BA328" s="22">
        <v>-1.17584E-2</v>
      </c>
      <c r="BB328" s="22">
        <v>318</v>
      </c>
      <c r="BC328" s="22">
        <v>1.5005500000000001</v>
      </c>
      <c r="BD328">
        <f t="shared" si="58"/>
        <v>14.516543209876543</v>
      </c>
      <c r="BE328">
        <f t="shared" si="59"/>
        <v>21.793831486419752</v>
      </c>
    </row>
    <row r="329" spans="6:57">
      <c r="F329" s="9"/>
      <c r="G329" s="22">
        <v>0.17364499999999999</v>
      </c>
      <c r="H329" s="22">
        <v>8.4569700000000001</v>
      </c>
      <c r="I329" s="22">
        <v>-1.41876E-2</v>
      </c>
      <c r="J329" s="22">
        <v>319</v>
      </c>
      <c r="K329" s="22">
        <v>0.17294300000000001</v>
      </c>
      <c r="L329">
        <f t="shared" si="48"/>
        <v>17.515555555555554</v>
      </c>
      <c r="M329">
        <f t="shared" si="49"/>
        <v>3.0414886444444442</v>
      </c>
      <c r="N329" s="9"/>
      <c r="O329" s="22">
        <v>1.5063500000000001</v>
      </c>
      <c r="P329" s="22">
        <v>12.235900000000001</v>
      </c>
      <c r="Q329" s="22">
        <v>-1.1694299999999999E-2</v>
      </c>
      <c r="R329" s="22">
        <v>319</v>
      </c>
      <c r="S329" s="22">
        <v>1.50543</v>
      </c>
      <c r="T329">
        <f t="shared" si="50"/>
        <v>14.437407407407406</v>
      </c>
      <c r="U329">
        <f t="shared" si="51"/>
        <v>21.747788648148148</v>
      </c>
      <c r="X329" s="9"/>
      <c r="Y329" s="22">
        <v>0.17364499999999999</v>
      </c>
      <c r="Z329" s="22">
        <v>17.708200000000001</v>
      </c>
      <c r="AA329" s="22">
        <v>-1.4208999999999999E-2</v>
      </c>
      <c r="AB329" s="22">
        <v>319</v>
      </c>
      <c r="AC329" s="22">
        <v>0.17291300000000001</v>
      </c>
      <c r="AD329">
        <f t="shared" si="52"/>
        <v>17.541975308641973</v>
      </c>
      <c r="AE329">
        <f t="shared" si="53"/>
        <v>3.0460763024691353</v>
      </c>
      <c r="AF329" s="9"/>
      <c r="AG329" s="22">
        <v>1.5063500000000001</v>
      </c>
      <c r="AH329" s="22">
        <v>21.487100000000002</v>
      </c>
      <c r="AI329" s="22">
        <v>-1.17859E-2</v>
      </c>
      <c r="AJ329" s="22">
        <v>319</v>
      </c>
      <c r="AK329" s="22">
        <v>1.5057400000000001</v>
      </c>
      <c r="AL329">
        <f t="shared" si="54"/>
        <v>14.550493827160492</v>
      </c>
      <c r="AM329">
        <f t="shared" si="55"/>
        <v>21.91813637654321</v>
      </c>
      <c r="AP329" s="9"/>
      <c r="AQ329" s="22">
        <v>0.17364499999999999</v>
      </c>
      <c r="AR329" s="22">
        <v>26.929400000000001</v>
      </c>
      <c r="AS329" s="22">
        <v>-1.42212E-2</v>
      </c>
      <c r="AT329" s="22">
        <v>319</v>
      </c>
      <c r="AU329" s="22">
        <v>0.17318700000000001</v>
      </c>
      <c r="AV329">
        <f t="shared" si="56"/>
        <v>17.557037037037034</v>
      </c>
      <c r="AW329">
        <f t="shared" si="57"/>
        <v>3.0486916962962956</v>
      </c>
      <c r="AX329" s="9"/>
      <c r="AY329" s="22">
        <v>1.5063500000000001</v>
      </c>
      <c r="AZ329" s="22">
        <v>30.708300000000001</v>
      </c>
      <c r="BA329" s="22">
        <v>-1.16913E-2</v>
      </c>
      <c r="BB329" s="22">
        <v>319</v>
      </c>
      <c r="BC329" s="22">
        <v>1.50543</v>
      </c>
      <c r="BD329">
        <f t="shared" si="58"/>
        <v>14.433703703703703</v>
      </c>
      <c r="BE329">
        <f t="shared" si="59"/>
        <v>21.742209574074074</v>
      </c>
    </row>
    <row r="330" spans="6:57">
      <c r="F330" s="9"/>
      <c r="G330" s="22">
        <v>0.16861000000000001</v>
      </c>
      <c r="H330" s="22">
        <v>8.4670400000000008</v>
      </c>
      <c r="I330" s="22">
        <v>-1.41937E-2</v>
      </c>
      <c r="J330" s="22">
        <v>320</v>
      </c>
      <c r="K330" s="22">
        <v>0.16799900000000001</v>
      </c>
      <c r="L330">
        <f t="shared" si="48"/>
        <v>17.523086419753085</v>
      </c>
      <c r="M330">
        <f t="shared" si="49"/>
        <v>2.9545676012345679</v>
      </c>
      <c r="N330" s="9"/>
      <c r="O330" s="22">
        <v>1.5113799999999999</v>
      </c>
      <c r="P330" s="22">
        <v>12.245900000000001</v>
      </c>
      <c r="Q330" s="22">
        <v>-1.1627200000000001E-2</v>
      </c>
      <c r="R330" s="22">
        <v>320</v>
      </c>
      <c r="S330" s="22">
        <v>1.51031</v>
      </c>
      <c r="T330">
        <f t="shared" si="50"/>
        <v>14.354567901234569</v>
      </c>
      <c r="U330">
        <f t="shared" si="51"/>
        <v>21.695206834567902</v>
      </c>
      <c r="X330" s="9"/>
      <c r="Y330" s="22">
        <v>0.16861000000000001</v>
      </c>
      <c r="Z330" s="22">
        <v>17.7182</v>
      </c>
      <c r="AA330" s="22">
        <v>-1.42059E-2</v>
      </c>
      <c r="AB330" s="22">
        <v>320</v>
      </c>
      <c r="AC330" s="22">
        <v>0.167908</v>
      </c>
      <c r="AD330">
        <f t="shared" si="52"/>
        <v>17.538148148148146</v>
      </c>
      <c r="AE330">
        <f t="shared" si="53"/>
        <v>2.9571071592592588</v>
      </c>
      <c r="AF330" s="9"/>
      <c r="AG330" s="22">
        <v>1.5113799999999999</v>
      </c>
      <c r="AH330" s="22">
        <v>21.4971</v>
      </c>
      <c r="AI330" s="22">
        <v>-1.17249E-2</v>
      </c>
      <c r="AJ330" s="22">
        <v>320</v>
      </c>
      <c r="AK330" s="22">
        <v>1.5100100000000001</v>
      </c>
      <c r="AL330">
        <f t="shared" si="54"/>
        <v>14.475185185185184</v>
      </c>
      <c r="AM330">
        <f t="shared" si="55"/>
        <v>21.877505385185184</v>
      </c>
      <c r="AP330" s="9"/>
      <c r="AQ330" s="22">
        <v>0.16861000000000001</v>
      </c>
      <c r="AR330" s="22">
        <v>26.939499999999999</v>
      </c>
      <c r="AS330" s="22">
        <v>-1.42151E-2</v>
      </c>
      <c r="AT330" s="22">
        <v>320</v>
      </c>
      <c r="AU330" s="22">
        <v>0.16799900000000001</v>
      </c>
      <c r="AV330">
        <f t="shared" si="56"/>
        <v>17.549506172839507</v>
      </c>
      <c r="AW330">
        <f t="shared" si="57"/>
        <v>2.9590222358024696</v>
      </c>
      <c r="AX330" s="9"/>
      <c r="AY330" s="22">
        <v>1.5113799999999999</v>
      </c>
      <c r="AZ330" s="22">
        <v>30.718399999999999</v>
      </c>
      <c r="BA330" s="22">
        <v>-1.1627200000000001E-2</v>
      </c>
      <c r="BB330" s="22">
        <v>320</v>
      </c>
      <c r="BC330" s="22">
        <v>1.5106200000000001</v>
      </c>
      <c r="BD330">
        <f t="shared" si="58"/>
        <v>14.354567901234569</v>
      </c>
      <c r="BE330">
        <f t="shared" si="59"/>
        <v>21.695206834567902</v>
      </c>
    </row>
    <row r="331" spans="6:57">
      <c r="F331" s="9"/>
      <c r="G331" s="22">
        <v>0.163574</v>
      </c>
      <c r="H331" s="22">
        <v>8.4771199999999993</v>
      </c>
      <c r="I331" s="22">
        <v>-1.4190700000000001E-2</v>
      </c>
      <c r="J331" s="22">
        <v>321</v>
      </c>
      <c r="K331" s="22">
        <v>0.16290299999999999</v>
      </c>
      <c r="L331">
        <f t="shared" si="48"/>
        <v>17.519382716049382</v>
      </c>
      <c r="M331">
        <f t="shared" si="49"/>
        <v>2.8657155083950614</v>
      </c>
      <c r="N331" s="9"/>
      <c r="O331" s="22">
        <v>1.5164200000000001</v>
      </c>
      <c r="P331" s="22">
        <v>12.256</v>
      </c>
      <c r="Q331" s="22">
        <v>-1.15601E-2</v>
      </c>
      <c r="R331" s="22">
        <v>321</v>
      </c>
      <c r="S331" s="22">
        <v>1.5152000000000001</v>
      </c>
      <c r="T331">
        <f t="shared" si="50"/>
        <v>14.271728395061727</v>
      </c>
      <c r="U331">
        <f t="shared" si="51"/>
        <v>21.641934372839504</v>
      </c>
      <c r="X331" s="9"/>
      <c r="Y331" s="22">
        <v>0.163574</v>
      </c>
      <c r="Z331" s="22">
        <v>17.728300000000001</v>
      </c>
      <c r="AA331" s="22">
        <v>-1.4202899999999999E-2</v>
      </c>
      <c r="AB331" s="22">
        <v>321</v>
      </c>
      <c r="AC331" s="22">
        <v>0.162994</v>
      </c>
      <c r="AD331">
        <f t="shared" si="52"/>
        <v>17.534444444444443</v>
      </c>
      <c r="AE331">
        <f t="shared" si="53"/>
        <v>2.8681792155555552</v>
      </c>
      <c r="AF331" s="9"/>
      <c r="AG331" s="22">
        <v>1.5164200000000001</v>
      </c>
      <c r="AH331" s="22">
        <v>21.507200000000001</v>
      </c>
      <c r="AI331" s="22">
        <v>-1.1660800000000001E-2</v>
      </c>
      <c r="AJ331" s="22">
        <v>321</v>
      </c>
      <c r="AK331" s="22">
        <v>1.5148900000000001</v>
      </c>
      <c r="AL331">
        <f t="shared" si="54"/>
        <v>14.396049382716049</v>
      </c>
      <c r="AM331">
        <f t="shared" si="55"/>
        <v>21.830457204938273</v>
      </c>
      <c r="AP331" s="9"/>
      <c r="AQ331" s="22">
        <v>0.163574</v>
      </c>
      <c r="AR331" s="22">
        <v>26.9495</v>
      </c>
      <c r="AS331" s="22">
        <v>-1.42273E-2</v>
      </c>
      <c r="AT331" s="22">
        <v>321</v>
      </c>
      <c r="AU331" s="22">
        <v>0.16293299999999999</v>
      </c>
      <c r="AV331">
        <f t="shared" si="56"/>
        <v>17.564567901234565</v>
      </c>
      <c r="AW331">
        <f t="shared" si="57"/>
        <v>2.8731066298765424</v>
      </c>
      <c r="AX331" s="9"/>
      <c r="AY331" s="22">
        <v>1.5164200000000001</v>
      </c>
      <c r="AZ331" s="22">
        <v>30.728400000000001</v>
      </c>
      <c r="BA331" s="22">
        <v>-1.15601E-2</v>
      </c>
      <c r="BB331" s="22">
        <v>321</v>
      </c>
      <c r="BC331" s="22">
        <v>1.5148900000000001</v>
      </c>
      <c r="BD331">
        <f t="shared" si="58"/>
        <v>14.271728395061727</v>
      </c>
      <c r="BE331">
        <f t="shared" si="59"/>
        <v>21.641934372839504</v>
      </c>
    </row>
    <row r="332" spans="6:57">
      <c r="F332" s="9"/>
      <c r="G332" s="22">
        <v>0.15853900000000001</v>
      </c>
      <c r="H332" s="22">
        <v>8.48719</v>
      </c>
      <c r="I332" s="22">
        <v>-1.4190700000000001E-2</v>
      </c>
      <c r="J332" s="22">
        <v>322</v>
      </c>
      <c r="K332" s="22">
        <v>0.15789800000000001</v>
      </c>
      <c r="L332">
        <f t="shared" ref="L332:L384" si="60">-I332/$F$2*1000</f>
        <v>17.519382716049382</v>
      </c>
      <c r="M332">
        <f t="shared" ref="M332:M384" si="61">L332*G332</f>
        <v>2.777505416419753</v>
      </c>
      <c r="N332" s="9"/>
      <c r="O332" s="22">
        <v>1.52145</v>
      </c>
      <c r="P332" s="22">
        <v>12.2661</v>
      </c>
      <c r="Q332" s="22">
        <v>-1.1489900000000001E-2</v>
      </c>
      <c r="R332" s="22">
        <v>322</v>
      </c>
      <c r="S332" s="22">
        <v>1.5203899999999999</v>
      </c>
      <c r="T332">
        <f t="shared" ref="T332:T384" si="62">-Q332/$F$2*1000</f>
        <v>14.185061728395063</v>
      </c>
      <c r="U332">
        <f t="shared" ref="U332:U384" si="63">T332*O332</f>
        <v>21.581862166666667</v>
      </c>
      <c r="X332" s="9"/>
      <c r="Y332" s="22">
        <v>0.15853900000000001</v>
      </c>
      <c r="Z332" s="22">
        <v>17.738399999999999</v>
      </c>
      <c r="AA332" s="22">
        <v>-1.4196800000000001E-2</v>
      </c>
      <c r="AB332" s="22">
        <v>322</v>
      </c>
      <c r="AC332" s="22">
        <v>0.15789800000000001</v>
      </c>
      <c r="AD332">
        <f t="shared" ref="AD332:AD384" si="64">-AA332/$F$2*1000</f>
        <v>17.526913580246916</v>
      </c>
      <c r="AE332">
        <f t="shared" ref="AE332:AE384" si="65">AD332*Y332</f>
        <v>2.7786993520987662</v>
      </c>
      <c r="AF332" s="9"/>
      <c r="AG332" s="22">
        <v>1.52145</v>
      </c>
      <c r="AH332" s="22">
        <v>21.517299999999999</v>
      </c>
      <c r="AI332" s="22">
        <v>-1.15967E-2</v>
      </c>
      <c r="AJ332" s="22">
        <v>322</v>
      </c>
      <c r="AK332" s="22">
        <v>1.5206900000000001</v>
      </c>
      <c r="AL332">
        <f t="shared" ref="AL332:AL384" si="66">-AI332/$F$2*1000</f>
        <v>14.316913580246911</v>
      </c>
      <c r="AM332">
        <f t="shared" ref="AM332:AM384" si="67">AL332*AG332</f>
        <v>21.782468166666664</v>
      </c>
      <c r="AP332" s="9"/>
      <c r="AQ332" s="22">
        <v>0.15853900000000001</v>
      </c>
      <c r="AR332" s="22">
        <v>26.959599999999998</v>
      </c>
      <c r="AS332" s="22">
        <v>-1.42334E-2</v>
      </c>
      <c r="AT332" s="22">
        <v>322</v>
      </c>
      <c r="AU332" s="22">
        <v>0.15786700000000001</v>
      </c>
      <c r="AV332">
        <f t="shared" ref="AV332:AV384" si="68">-AS332/$F$2*1000</f>
        <v>17.572098765432099</v>
      </c>
      <c r="AW332">
        <f t="shared" ref="AW332:AW384" si="69">AV332*AQ332</f>
        <v>2.7858629661728398</v>
      </c>
      <c r="AX332" s="9"/>
      <c r="AY332" s="22">
        <v>1.52145</v>
      </c>
      <c r="AZ332" s="22">
        <v>30.738499999999998</v>
      </c>
      <c r="BA332" s="22">
        <v>-1.1489900000000001E-2</v>
      </c>
      <c r="BB332" s="22">
        <v>322</v>
      </c>
      <c r="BC332" s="22">
        <v>1.5209999999999999</v>
      </c>
      <c r="BD332">
        <f t="shared" ref="BD332:BD384" si="70">-BA332/$F$2*1000</f>
        <v>14.185061728395063</v>
      </c>
      <c r="BE332">
        <f t="shared" ref="BE332:BE384" si="71">BD332*AY332</f>
        <v>21.581862166666667</v>
      </c>
    </row>
    <row r="333" spans="6:57">
      <c r="F333" s="9"/>
      <c r="G333" s="22">
        <v>0.153503</v>
      </c>
      <c r="H333" s="22">
        <v>8.4972600000000007</v>
      </c>
      <c r="I333" s="22">
        <v>-1.4190700000000001E-2</v>
      </c>
      <c r="J333" s="22">
        <v>323</v>
      </c>
      <c r="K333" s="22">
        <v>0.152893</v>
      </c>
      <c r="L333">
        <f t="shared" si="60"/>
        <v>17.519382716049382</v>
      </c>
      <c r="M333">
        <f t="shared" si="61"/>
        <v>2.6892778050617281</v>
      </c>
      <c r="N333" s="9"/>
      <c r="O333" s="22">
        <v>1.5264899999999999</v>
      </c>
      <c r="P333" s="22">
        <v>12.276199999999999</v>
      </c>
      <c r="Q333" s="22">
        <v>-1.1413599999999999E-2</v>
      </c>
      <c r="R333" s="22">
        <v>323</v>
      </c>
      <c r="S333" s="22">
        <v>1.5255700000000001</v>
      </c>
      <c r="T333">
        <f t="shared" si="62"/>
        <v>14.090864197530863</v>
      </c>
      <c r="U333">
        <f t="shared" si="63"/>
        <v>21.509563288888884</v>
      </c>
      <c r="X333" s="9"/>
      <c r="Y333" s="22">
        <v>0.153503</v>
      </c>
      <c r="Z333" s="22">
        <v>17.7484</v>
      </c>
      <c r="AA333" s="22">
        <v>-1.41998E-2</v>
      </c>
      <c r="AB333" s="22">
        <v>323</v>
      </c>
      <c r="AC333" s="22">
        <v>0.152832</v>
      </c>
      <c r="AD333">
        <f t="shared" si="64"/>
        <v>17.530617283950615</v>
      </c>
      <c r="AE333">
        <f t="shared" si="65"/>
        <v>2.6910023449382714</v>
      </c>
      <c r="AF333" s="9"/>
      <c r="AG333" s="22">
        <v>1.5264899999999999</v>
      </c>
      <c r="AH333" s="22">
        <v>21.5273</v>
      </c>
      <c r="AI333" s="22">
        <v>-1.15204E-2</v>
      </c>
      <c r="AJ333" s="22">
        <v>323</v>
      </c>
      <c r="AK333" s="22">
        <v>1.5252699999999999</v>
      </c>
      <c r="AL333">
        <f t="shared" si="66"/>
        <v>14.222716049382715</v>
      </c>
      <c r="AM333">
        <f t="shared" si="67"/>
        <v>21.71083382222222</v>
      </c>
      <c r="AP333" s="9"/>
      <c r="AQ333" s="22">
        <v>0.153503</v>
      </c>
      <c r="AR333" s="22">
        <v>26.9697</v>
      </c>
      <c r="AS333" s="22">
        <v>-1.42395E-2</v>
      </c>
      <c r="AT333" s="22">
        <v>323</v>
      </c>
      <c r="AU333" s="22">
        <v>0.152832</v>
      </c>
      <c r="AV333">
        <f t="shared" si="68"/>
        <v>17.579629629629629</v>
      </c>
      <c r="AW333">
        <f t="shared" si="69"/>
        <v>2.6985258870370368</v>
      </c>
      <c r="AX333" s="9"/>
      <c r="AY333" s="22">
        <v>1.5264899999999999</v>
      </c>
      <c r="AZ333" s="22">
        <v>30.7486</v>
      </c>
      <c r="BA333" s="22">
        <v>-1.1416600000000001E-2</v>
      </c>
      <c r="BB333" s="22">
        <v>323</v>
      </c>
      <c r="BC333" s="22">
        <v>1.5255700000000001</v>
      </c>
      <c r="BD333">
        <f t="shared" si="70"/>
        <v>14.094567901234569</v>
      </c>
      <c r="BE333">
        <f t="shared" si="71"/>
        <v>21.515216955555555</v>
      </c>
    </row>
    <row r="334" spans="6:57">
      <c r="F334" s="9"/>
      <c r="G334" s="22">
        <v>0.14846799999999999</v>
      </c>
      <c r="H334" s="22">
        <v>8.5073299999999996</v>
      </c>
      <c r="I334" s="22">
        <v>-1.41937E-2</v>
      </c>
      <c r="J334" s="22">
        <v>324</v>
      </c>
      <c r="K334" s="22">
        <v>0.14785799999999999</v>
      </c>
      <c r="L334">
        <f t="shared" si="60"/>
        <v>17.523086419753085</v>
      </c>
      <c r="M334">
        <f t="shared" si="61"/>
        <v>2.6016175945679008</v>
      </c>
      <c r="N334" s="9"/>
      <c r="O334" s="22">
        <v>1.53152</v>
      </c>
      <c r="P334" s="22">
        <v>12.286199999999999</v>
      </c>
      <c r="Q334" s="22">
        <v>-1.13312E-2</v>
      </c>
      <c r="R334" s="22">
        <v>324</v>
      </c>
      <c r="S334" s="22">
        <v>1.5304599999999999</v>
      </c>
      <c r="T334">
        <f t="shared" si="62"/>
        <v>13.989135802469134</v>
      </c>
      <c r="U334">
        <f t="shared" si="63"/>
        <v>21.424641264197529</v>
      </c>
      <c r="X334" s="9"/>
      <c r="Y334" s="22">
        <v>0.14846799999999999</v>
      </c>
      <c r="Z334" s="22">
        <v>17.758500000000002</v>
      </c>
      <c r="AA334" s="22">
        <v>-1.41998E-2</v>
      </c>
      <c r="AB334" s="22">
        <v>324</v>
      </c>
      <c r="AC334" s="22">
        <v>0.14782699999999999</v>
      </c>
      <c r="AD334">
        <f t="shared" si="64"/>
        <v>17.530617283950615</v>
      </c>
      <c r="AE334">
        <f t="shared" si="65"/>
        <v>2.6027356869135798</v>
      </c>
      <c r="AF334" s="9"/>
      <c r="AG334" s="22">
        <v>1.53152</v>
      </c>
      <c r="AH334" s="22">
        <v>21.537400000000002</v>
      </c>
      <c r="AI334" s="22">
        <v>-1.14471E-2</v>
      </c>
      <c r="AJ334" s="22">
        <v>324</v>
      </c>
      <c r="AK334" s="22">
        <v>1.5304599999999999</v>
      </c>
      <c r="AL334">
        <f t="shared" si="66"/>
        <v>14.132222222222222</v>
      </c>
      <c r="AM334">
        <f t="shared" si="67"/>
        <v>21.643780977777777</v>
      </c>
      <c r="AP334" s="9"/>
      <c r="AQ334" s="22">
        <v>0.14846799999999999</v>
      </c>
      <c r="AR334" s="22">
        <v>26.979700000000001</v>
      </c>
      <c r="AS334" s="22">
        <v>-1.4245600000000001E-2</v>
      </c>
      <c r="AT334" s="22">
        <v>324</v>
      </c>
      <c r="AU334" s="22">
        <v>0.14785799999999999</v>
      </c>
      <c r="AV334">
        <f t="shared" si="68"/>
        <v>17.58716049382716</v>
      </c>
      <c r="AW334">
        <f t="shared" si="69"/>
        <v>2.6111305441975303</v>
      </c>
      <c r="AX334" s="9"/>
      <c r="AY334" s="22">
        <v>1.53152</v>
      </c>
      <c r="AZ334" s="22">
        <v>30.758600000000001</v>
      </c>
      <c r="BA334" s="22">
        <v>-1.1340299999999999E-2</v>
      </c>
      <c r="BB334" s="22">
        <v>324</v>
      </c>
      <c r="BC334" s="22">
        <v>1.5307599999999999</v>
      </c>
      <c r="BD334">
        <f t="shared" si="70"/>
        <v>14.000370370370367</v>
      </c>
      <c r="BE334">
        <f t="shared" si="71"/>
        <v>21.441847229629627</v>
      </c>
    </row>
    <row r="335" spans="6:57">
      <c r="F335" s="9"/>
      <c r="G335" s="22">
        <v>0.143433</v>
      </c>
      <c r="H335" s="22">
        <v>8.5174000000000003</v>
      </c>
      <c r="I335" s="22">
        <v>-1.4196800000000001E-2</v>
      </c>
      <c r="J335" s="22">
        <v>325</v>
      </c>
      <c r="K335" s="22">
        <v>0.14285300000000001</v>
      </c>
      <c r="L335">
        <f t="shared" si="60"/>
        <v>17.526913580246916</v>
      </c>
      <c r="M335">
        <f t="shared" si="61"/>
        <v>2.513937795555556</v>
      </c>
      <c r="N335" s="9"/>
      <c r="O335" s="22">
        <v>1.5365599999999999</v>
      </c>
      <c r="P335" s="22">
        <v>12.2963</v>
      </c>
      <c r="Q335" s="22">
        <v>-1.12488E-2</v>
      </c>
      <c r="R335" s="22">
        <v>325</v>
      </c>
      <c r="S335" s="22">
        <v>1.5356399999999999</v>
      </c>
      <c r="T335">
        <f t="shared" si="62"/>
        <v>13.887407407407405</v>
      </c>
      <c r="U335">
        <f t="shared" si="63"/>
        <v>21.338834725925921</v>
      </c>
      <c r="X335" s="9"/>
      <c r="Y335" s="22">
        <v>0.143433</v>
      </c>
      <c r="Z335" s="22">
        <v>17.768599999999999</v>
      </c>
      <c r="AA335" s="22">
        <v>-1.4196800000000001E-2</v>
      </c>
      <c r="AB335" s="22">
        <v>325</v>
      </c>
      <c r="AC335" s="22">
        <v>0.142731</v>
      </c>
      <c r="AD335">
        <f t="shared" si="64"/>
        <v>17.526913580246916</v>
      </c>
      <c r="AE335">
        <f t="shared" si="65"/>
        <v>2.513937795555556</v>
      </c>
      <c r="AF335" s="9"/>
      <c r="AG335" s="22">
        <v>1.5365599999999999</v>
      </c>
      <c r="AH335" s="22">
        <v>21.547499999999999</v>
      </c>
      <c r="AI335" s="22">
        <v>-1.1377E-2</v>
      </c>
      <c r="AJ335" s="22">
        <v>325</v>
      </c>
      <c r="AK335" s="22">
        <v>1.5359499999999999</v>
      </c>
      <c r="AL335">
        <f t="shared" si="66"/>
        <v>14.045679012345678</v>
      </c>
      <c r="AM335">
        <f t="shared" si="67"/>
        <v>21.582028543209873</v>
      </c>
      <c r="AP335" s="9"/>
      <c r="AQ335" s="22">
        <v>0.143433</v>
      </c>
      <c r="AR335" s="22">
        <v>26.989799999999999</v>
      </c>
      <c r="AS335" s="22">
        <v>-1.42487E-2</v>
      </c>
      <c r="AT335" s="22">
        <v>325</v>
      </c>
      <c r="AU335" s="22">
        <v>0.142731</v>
      </c>
      <c r="AV335">
        <f t="shared" si="68"/>
        <v>17.590987654320987</v>
      </c>
      <c r="AW335">
        <f t="shared" si="69"/>
        <v>2.5231281322222223</v>
      </c>
      <c r="AX335" s="9"/>
      <c r="AY335" s="22">
        <v>1.5365599999999999</v>
      </c>
      <c r="AZ335" s="22">
        <v>30.768699999999999</v>
      </c>
      <c r="BA335" s="22">
        <v>-1.1261E-2</v>
      </c>
      <c r="BB335" s="22">
        <v>325</v>
      </c>
      <c r="BC335" s="22">
        <v>1.5356399999999999</v>
      </c>
      <c r="BD335">
        <f t="shared" si="70"/>
        <v>13.90246913580247</v>
      </c>
      <c r="BE335">
        <f t="shared" si="71"/>
        <v>21.361977975308641</v>
      </c>
    </row>
    <row r="336" spans="6:57">
      <c r="F336" s="9"/>
      <c r="G336" s="22">
        <v>0.13839699999999999</v>
      </c>
      <c r="H336" s="22">
        <v>8.5274699999999992</v>
      </c>
      <c r="I336" s="22">
        <v>-1.41937E-2</v>
      </c>
      <c r="J336" s="22">
        <v>326</v>
      </c>
      <c r="K336" s="22">
        <v>0.137878</v>
      </c>
      <c r="L336">
        <f t="shared" si="60"/>
        <v>17.523086419753085</v>
      </c>
      <c r="M336">
        <f t="shared" si="61"/>
        <v>2.4251425912345677</v>
      </c>
      <c r="N336" s="9"/>
      <c r="O336" s="22">
        <v>1.5416000000000001</v>
      </c>
      <c r="P336" s="22">
        <v>12.3064</v>
      </c>
      <c r="Q336" s="22">
        <v>-1.11603E-2</v>
      </c>
      <c r="R336" s="22">
        <v>326</v>
      </c>
      <c r="S336" s="22">
        <v>1.54114</v>
      </c>
      <c r="T336">
        <f t="shared" si="62"/>
        <v>13.778148148148148</v>
      </c>
      <c r="U336">
        <f t="shared" si="63"/>
        <v>21.240393185185187</v>
      </c>
      <c r="X336" s="9"/>
      <c r="Y336" s="22">
        <v>0.13839699999999999</v>
      </c>
      <c r="Z336" s="22">
        <v>17.778700000000001</v>
      </c>
      <c r="AA336" s="22">
        <v>-1.41998E-2</v>
      </c>
      <c r="AB336" s="22">
        <v>326</v>
      </c>
      <c r="AC336" s="22">
        <v>0.13778699999999999</v>
      </c>
      <c r="AD336">
        <f t="shared" si="64"/>
        <v>17.530617283950615</v>
      </c>
      <c r="AE336">
        <f t="shared" si="65"/>
        <v>2.4261848402469131</v>
      </c>
      <c r="AF336" s="9"/>
      <c r="AG336" s="22">
        <v>1.5416000000000001</v>
      </c>
      <c r="AH336" s="22">
        <v>21.557600000000001</v>
      </c>
      <c r="AI336" s="22">
        <v>-1.1285399999999999E-2</v>
      </c>
      <c r="AJ336" s="22">
        <v>326</v>
      </c>
      <c r="AK336" s="22">
        <v>1.54114</v>
      </c>
      <c r="AL336">
        <f t="shared" si="66"/>
        <v>13.93259259259259</v>
      </c>
      <c r="AM336">
        <f t="shared" si="67"/>
        <v>21.478484740740736</v>
      </c>
      <c r="AP336" s="9"/>
      <c r="AQ336" s="22">
        <v>0.13839699999999999</v>
      </c>
      <c r="AR336" s="22">
        <v>26.9999</v>
      </c>
      <c r="AS336" s="22">
        <v>-1.4263899999999999E-2</v>
      </c>
      <c r="AT336" s="22">
        <v>326</v>
      </c>
      <c r="AU336" s="22">
        <v>0.13778699999999999</v>
      </c>
      <c r="AV336">
        <f t="shared" si="68"/>
        <v>17.609753086419751</v>
      </c>
      <c r="AW336">
        <f t="shared" si="69"/>
        <v>2.4371369979012343</v>
      </c>
      <c r="AX336" s="9"/>
      <c r="AY336" s="22">
        <v>1.5416000000000001</v>
      </c>
      <c r="AZ336" s="22">
        <v>30.7788</v>
      </c>
      <c r="BA336" s="22">
        <v>-1.11786E-2</v>
      </c>
      <c r="BB336" s="22">
        <v>326</v>
      </c>
      <c r="BC336" s="22">
        <v>1.54114</v>
      </c>
      <c r="BD336">
        <f t="shared" si="70"/>
        <v>13.800740740740741</v>
      </c>
      <c r="BE336">
        <f t="shared" si="71"/>
        <v>21.275221925925926</v>
      </c>
    </row>
    <row r="337" spans="6:57">
      <c r="F337" s="9"/>
      <c r="G337" s="22">
        <v>0.13336200000000001</v>
      </c>
      <c r="H337" s="22">
        <v>8.5375399999999999</v>
      </c>
      <c r="I337" s="22">
        <v>-1.41998E-2</v>
      </c>
      <c r="J337" s="22">
        <v>327</v>
      </c>
      <c r="K337" s="22">
        <v>0.13250700000000001</v>
      </c>
      <c r="L337">
        <f t="shared" si="60"/>
        <v>17.530617283950615</v>
      </c>
      <c r="M337">
        <f t="shared" si="61"/>
        <v>2.3379181822222219</v>
      </c>
      <c r="N337" s="9"/>
      <c r="O337" s="22">
        <v>1.5466299999999999</v>
      </c>
      <c r="P337" s="22">
        <v>12.3164</v>
      </c>
      <c r="Q337" s="22">
        <v>-1.1074799999999999E-2</v>
      </c>
      <c r="R337" s="22">
        <v>327</v>
      </c>
      <c r="S337" s="22">
        <v>1.5466299999999999</v>
      </c>
      <c r="T337">
        <f t="shared" si="62"/>
        <v>13.67259259259259</v>
      </c>
      <c r="U337">
        <f t="shared" si="63"/>
        <v>21.146441881481476</v>
      </c>
      <c r="X337" s="9"/>
      <c r="Y337" s="22">
        <v>0.13336200000000001</v>
      </c>
      <c r="Z337" s="22">
        <v>17.788699999999999</v>
      </c>
      <c r="AA337" s="22">
        <v>-1.41998E-2</v>
      </c>
      <c r="AB337" s="22">
        <v>327</v>
      </c>
      <c r="AC337" s="22">
        <v>0.13266</v>
      </c>
      <c r="AD337">
        <f t="shared" si="64"/>
        <v>17.530617283950615</v>
      </c>
      <c r="AE337">
        <f t="shared" si="65"/>
        <v>2.3379181822222219</v>
      </c>
      <c r="AF337" s="9"/>
      <c r="AG337" s="22">
        <v>1.5466299999999999</v>
      </c>
      <c r="AH337" s="22">
        <v>21.567599999999999</v>
      </c>
      <c r="AI337" s="22">
        <v>-1.1202999999999999E-2</v>
      </c>
      <c r="AJ337" s="22">
        <v>327</v>
      </c>
      <c r="AK337" s="22">
        <v>1.5460199999999999</v>
      </c>
      <c r="AL337">
        <f t="shared" si="66"/>
        <v>13.830864197530863</v>
      </c>
      <c r="AM337">
        <f t="shared" si="67"/>
        <v>21.391229493827158</v>
      </c>
      <c r="AP337" s="9"/>
      <c r="AQ337" s="22">
        <v>0.13336200000000001</v>
      </c>
      <c r="AR337" s="22">
        <v>27.01</v>
      </c>
      <c r="AS337" s="22">
        <v>-1.4267E-2</v>
      </c>
      <c r="AT337" s="22">
        <v>327</v>
      </c>
      <c r="AU337" s="22">
        <v>0.13272100000000001</v>
      </c>
      <c r="AV337">
        <f t="shared" si="68"/>
        <v>17.613580246913582</v>
      </c>
      <c r="AW337">
        <f t="shared" si="69"/>
        <v>2.3489822888888892</v>
      </c>
      <c r="AX337" s="9"/>
      <c r="AY337" s="22">
        <v>1.5466299999999999</v>
      </c>
      <c r="AZ337" s="22">
        <v>30.788900000000002</v>
      </c>
      <c r="BA337" s="22">
        <v>-1.10901E-2</v>
      </c>
      <c r="BB337" s="22">
        <v>327</v>
      </c>
      <c r="BC337" s="22">
        <v>1.54572</v>
      </c>
      <c r="BD337">
        <f t="shared" si="70"/>
        <v>13.691481481481482</v>
      </c>
      <c r="BE337">
        <f t="shared" si="71"/>
        <v>21.175656003703704</v>
      </c>
    </row>
    <row r="338" spans="6:57">
      <c r="F338" s="9"/>
      <c r="G338" s="22">
        <v>0.128326</v>
      </c>
      <c r="H338" s="22">
        <v>8.5476100000000006</v>
      </c>
      <c r="I338" s="22">
        <v>-1.42059E-2</v>
      </c>
      <c r="J338" s="22">
        <v>328</v>
      </c>
      <c r="K338" s="22">
        <v>0.12753300000000001</v>
      </c>
      <c r="L338">
        <f t="shared" si="60"/>
        <v>17.538148148148146</v>
      </c>
      <c r="M338">
        <f t="shared" si="61"/>
        <v>2.2506003992592589</v>
      </c>
      <c r="N338" s="9"/>
      <c r="O338" s="22">
        <v>1.5516700000000001</v>
      </c>
      <c r="P338" s="22">
        <v>12.326499999999999</v>
      </c>
      <c r="Q338" s="22">
        <v>-1.0980200000000001E-2</v>
      </c>
      <c r="R338" s="22">
        <v>328</v>
      </c>
      <c r="S338" s="22">
        <v>1.5508999999999999</v>
      </c>
      <c r="T338">
        <f t="shared" si="62"/>
        <v>13.555802469135802</v>
      </c>
      <c r="U338">
        <f t="shared" si="63"/>
        <v>21.034132017283952</v>
      </c>
      <c r="X338" s="9"/>
      <c r="Y338" s="22">
        <v>0.128326</v>
      </c>
      <c r="Z338" s="22">
        <v>17.7988</v>
      </c>
      <c r="AA338" s="22">
        <v>-1.4202899999999999E-2</v>
      </c>
      <c r="AB338" s="22">
        <v>328</v>
      </c>
      <c r="AC338" s="22">
        <v>0.12765499999999999</v>
      </c>
      <c r="AD338">
        <f t="shared" si="64"/>
        <v>17.534444444444443</v>
      </c>
      <c r="AE338">
        <f t="shared" si="65"/>
        <v>2.2501251177777775</v>
      </c>
      <c r="AF338" s="9"/>
      <c r="AG338" s="22">
        <v>1.5516700000000001</v>
      </c>
      <c r="AH338" s="22">
        <v>21.5777</v>
      </c>
      <c r="AI338" s="22">
        <v>-1.1114499999999999E-2</v>
      </c>
      <c r="AJ338" s="22">
        <v>328</v>
      </c>
      <c r="AK338" s="22">
        <v>1.5508999999999999</v>
      </c>
      <c r="AL338">
        <f t="shared" si="66"/>
        <v>13.721604938271604</v>
      </c>
      <c r="AM338">
        <f t="shared" si="67"/>
        <v>21.2914027345679</v>
      </c>
      <c r="AP338" s="9"/>
      <c r="AQ338" s="22">
        <v>0.128326</v>
      </c>
      <c r="AR338" s="22">
        <v>27.02</v>
      </c>
      <c r="AS338" s="22">
        <v>-1.42609E-2</v>
      </c>
      <c r="AT338" s="22">
        <v>328</v>
      </c>
      <c r="AU338" s="22">
        <v>0.127716</v>
      </c>
      <c r="AV338">
        <f t="shared" si="68"/>
        <v>17.606049382716048</v>
      </c>
      <c r="AW338">
        <f t="shared" si="69"/>
        <v>2.2593138930864196</v>
      </c>
      <c r="AX338" s="9"/>
      <c r="AY338" s="22">
        <v>1.5516700000000001</v>
      </c>
      <c r="AZ338" s="22">
        <v>30.7989</v>
      </c>
      <c r="BA338" s="22">
        <v>-1.09894E-2</v>
      </c>
      <c r="BB338" s="22">
        <v>328</v>
      </c>
      <c r="BC338" s="22">
        <v>1.5508999999999999</v>
      </c>
      <c r="BD338">
        <f t="shared" si="70"/>
        <v>13.56716049382716</v>
      </c>
      <c r="BE338">
        <f t="shared" si="71"/>
        <v>21.051755923456792</v>
      </c>
    </row>
    <row r="339" spans="6:57">
      <c r="F339" s="9"/>
      <c r="G339" s="22">
        <v>0.123291</v>
      </c>
      <c r="H339" s="22">
        <v>8.5576799999999995</v>
      </c>
      <c r="I339" s="22">
        <v>-1.4212000000000001E-2</v>
      </c>
      <c r="J339" s="22">
        <v>329</v>
      </c>
      <c r="K339" s="22">
        <v>0.122711</v>
      </c>
      <c r="L339">
        <f t="shared" si="60"/>
        <v>17.54567901234568</v>
      </c>
      <c r="M339">
        <f t="shared" si="61"/>
        <v>2.1632243111111111</v>
      </c>
      <c r="N339" s="9"/>
      <c r="O339" s="22">
        <v>1.5567</v>
      </c>
      <c r="P339" s="22">
        <v>12.336600000000001</v>
      </c>
      <c r="Q339" s="22">
        <v>-1.0888699999999999E-2</v>
      </c>
      <c r="R339" s="22">
        <v>329</v>
      </c>
      <c r="S339" s="22">
        <v>1.5564</v>
      </c>
      <c r="T339">
        <f t="shared" si="62"/>
        <v>13.442839506172838</v>
      </c>
      <c r="U339">
        <f t="shared" si="63"/>
        <v>20.926468259259256</v>
      </c>
      <c r="X339" s="9"/>
      <c r="Y339" s="22">
        <v>0.123291</v>
      </c>
      <c r="Z339" s="22">
        <v>17.808900000000001</v>
      </c>
      <c r="AA339" s="22">
        <v>-1.41998E-2</v>
      </c>
      <c r="AB339" s="22">
        <v>329</v>
      </c>
      <c r="AC339" s="22">
        <v>0.12262000000000001</v>
      </c>
      <c r="AD339">
        <f t="shared" si="64"/>
        <v>17.530617283950615</v>
      </c>
      <c r="AE339">
        <f t="shared" si="65"/>
        <v>2.1613673355555552</v>
      </c>
      <c r="AF339" s="9"/>
      <c r="AG339" s="22">
        <v>1.5567</v>
      </c>
      <c r="AH339" s="22">
        <v>21.587800000000001</v>
      </c>
      <c r="AI339" s="22">
        <v>-1.1025999999999999E-2</v>
      </c>
      <c r="AJ339" s="22">
        <v>329</v>
      </c>
      <c r="AK339" s="22">
        <v>1.55548</v>
      </c>
      <c r="AL339">
        <f t="shared" si="66"/>
        <v>13.612345679012344</v>
      </c>
      <c r="AM339">
        <f t="shared" si="67"/>
        <v>21.190338518518516</v>
      </c>
      <c r="AP339" s="9"/>
      <c r="AQ339" s="22">
        <v>0.123291</v>
      </c>
      <c r="AR339" s="22">
        <v>27.030100000000001</v>
      </c>
      <c r="AS339" s="22">
        <v>-1.42487E-2</v>
      </c>
      <c r="AT339" s="22">
        <v>329</v>
      </c>
      <c r="AU339" s="22">
        <v>0.122742</v>
      </c>
      <c r="AV339">
        <f t="shared" si="68"/>
        <v>17.590987654320987</v>
      </c>
      <c r="AW339">
        <f t="shared" si="69"/>
        <v>2.1688104588888888</v>
      </c>
      <c r="AX339" s="9"/>
      <c r="AY339" s="22">
        <v>1.5567</v>
      </c>
      <c r="AZ339" s="22">
        <v>30.809000000000001</v>
      </c>
      <c r="BA339" s="22">
        <v>-1.0888699999999999E-2</v>
      </c>
      <c r="BB339" s="22">
        <v>329</v>
      </c>
      <c r="BC339" s="22">
        <v>1.55579</v>
      </c>
      <c r="BD339">
        <f t="shared" si="70"/>
        <v>13.442839506172838</v>
      </c>
      <c r="BE339">
        <f t="shared" si="71"/>
        <v>20.926468259259256</v>
      </c>
    </row>
    <row r="340" spans="6:57">
      <c r="F340" s="9"/>
      <c r="G340" s="22">
        <v>0.118256</v>
      </c>
      <c r="H340" s="22">
        <v>8.5677500000000002</v>
      </c>
      <c r="I340" s="22">
        <v>-1.42151E-2</v>
      </c>
      <c r="J340" s="22">
        <v>330</v>
      </c>
      <c r="K340" s="22">
        <v>0.117523</v>
      </c>
      <c r="L340">
        <f t="shared" si="60"/>
        <v>17.549506172839507</v>
      </c>
      <c r="M340">
        <f t="shared" si="61"/>
        <v>2.0753344019753088</v>
      </c>
      <c r="N340" s="9"/>
      <c r="O340" s="22">
        <v>1.5617399999999999</v>
      </c>
      <c r="P340" s="22">
        <v>12.3467</v>
      </c>
      <c r="Q340" s="22">
        <v>-1.0788000000000001E-2</v>
      </c>
      <c r="R340" s="22">
        <v>330</v>
      </c>
      <c r="S340" s="22">
        <v>1.56097</v>
      </c>
      <c r="T340">
        <f t="shared" si="62"/>
        <v>13.318518518518518</v>
      </c>
      <c r="U340">
        <f t="shared" si="63"/>
        <v>20.800063111111108</v>
      </c>
      <c r="X340" s="9"/>
      <c r="Y340" s="22">
        <v>0.118256</v>
      </c>
      <c r="Z340" s="22">
        <v>17.818899999999999</v>
      </c>
      <c r="AA340" s="22">
        <v>-1.4202899999999999E-2</v>
      </c>
      <c r="AB340" s="22">
        <v>330</v>
      </c>
      <c r="AC340" s="22">
        <v>0.117615</v>
      </c>
      <c r="AD340">
        <f t="shared" si="64"/>
        <v>17.534444444444443</v>
      </c>
      <c r="AE340">
        <f t="shared" si="65"/>
        <v>2.0735532622222221</v>
      </c>
      <c r="AF340" s="9"/>
      <c r="AG340" s="22">
        <v>1.5617399999999999</v>
      </c>
      <c r="AH340" s="22">
        <v>21.597799999999999</v>
      </c>
      <c r="AI340" s="22">
        <v>-1.09344E-2</v>
      </c>
      <c r="AJ340" s="22">
        <v>330</v>
      </c>
      <c r="AK340" s="22">
        <v>1.56097</v>
      </c>
      <c r="AL340">
        <f t="shared" si="66"/>
        <v>13.49925925925926</v>
      </c>
      <c r="AM340">
        <f t="shared" si="67"/>
        <v>21.082333155555556</v>
      </c>
      <c r="AP340" s="9"/>
      <c r="AQ340" s="22">
        <v>0.118256</v>
      </c>
      <c r="AR340" s="22">
        <v>27.040199999999999</v>
      </c>
      <c r="AS340" s="22">
        <v>-1.42395E-2</v>
      </c>
      <c r="AT340" s="22">
        <v>330</v>
      </c>
      <c r="AU340" s="22">
        <v>0.11758399999999999</v>
      </c>
      <c r="AV340">
        <f t="shared" si="68"/>
        <v>17.579629629629629</v>
      </c>
      <c r="AW340">
        <f t="shared" si="69"/>
        <v>2.0788966814814813</v>
      </c>
      <c r="AX340" s="9"/>
      <c r="AY340" s="22">
        <v>1.5617399999999999</v>
      </c>
      <c r="AZ340" s="22">
        <v>30.819099999999999</v>
      </c>
      <c r="BA340" s="22">
        <v>-1.0781900000000001E-2</v>
      </c>
      <c r="BB340" s="22">
        <v>330</v>
      </c>
      <c r="BC340" s="22">
        <v>1.56036</v>
      </c>
      <c r="BD340">
        <f t="shared" si="70"/>
        <v>13.310987654320988</v>
      </c>
      <c r="BE340">
        <f t="shared" si="71"/>
        <v>20.788301859259256</v>
      </c>
    </row>
    <row r="341" spans="6:57">
      <c r="F341" s="9"/>
      <c r="G341" s="22">
        <v>0.11322</v>
      </c>
      <c r="H341" s="22">
        <v>8.5778300000000005</v>
      </c>
      <c r="I341" s="22">
        <v>-1.42151E-2</v>
      </c>
      <c r="J341" s="22">
        <v>331</v>
      </c>
      <c r="K341" s="22">
        <v>0.112549</v>
      </c>
      <c r="L341">
        <f t="shared" si="60"/>
        <v>17.549506172839507</v>
      </c>
      <c r="M341">
        <f t="shared" si="61"/>
        <v>1.9869550888888889</v>
      </c>
      <c r="N341" s="9"/>
      <c r="O341" s="22">
        <v>1.56677</v>
      </c>
      <c r="P341" s="22">
        <v>12.3567</v>
      </c>
      <c r="Q341" s="22">
        <v>-1.06873E-2</v>
      </c>
      <c r="R341" s="22">
        <v>331</v>
      </c>
      <c r="S341" s="22">
        <v>1.56616</v>
      </c>
      <c r="T341">
        <f t="shared" si="62"/>
        <v>13.194197530864198</v>
      </c>
      <c r="U341">
        <f t="shared" si="63"/>
        <v>20.672272865432099</v>
      </c>
      <c r="X341" s="9"/>
      <c r="Y341" s="22">
        <v>0.11322</v>
      </c>
      <c r="Z341" s="22">
        <v>17.829000000000001</v>
      </c>
      <c r="AA341" s="22">
        <v>-1.41998E-2</v>
      </c>
      <c r="AB341" s="22">
        <v>331</v>
      </c>
      <c r="AC341" s="22">
        <v>0.11264</v>
      </c>
      <c r="AD341">
        <f t="shared" si="64"/>
        <v>17.530617283950615</v>
      </c>
      <c r="AE341">
        <f t="shared" si="65"/>
        <v>1.9848164888888886</v>
      </c>
      <c r="AF341" s="9"/>
      <c r="AG341" s="22">
        <v>1.56677</v>
      </c>
      <c r="AH341" s="22">
        <v>21.607900000000001</v>
      </c>
      <c r="AI341" s="22">
        <v>-1.0836800000000001E-2</v>
      </c>
      <c r="AJ341" s="22">
        <v>331</v>
      </c>
      <c r="AK341" s="22">
        <v>1.56586</v>
      </c>
      <c r="AL341">
        <f t="shared" si="66"/>
        <v>13.378765432098765</v>
      </c>
      <c r="AM341">
        <f t="shared" si="67"/>
        <v>20.961448316049381</v>
      </c>
      <c r="AP341" s="9"/>
      <c r="AQ341" s="22">
        <v>0.11322</v>
      </c>
      <c r="AR341" s="22">
        <v>27.0502</v>
      </c>
      <c r="AS341" s="22">
        <v>-1.42303E-2</v>
      </c>
      <c r="AT341" s="22">
        <v>331</v>
      </c>
      <c r="AU341" s="22">
        <v>0.112488</v>
      </c>
      <c r="AV341">
        <f t="shared" si="68"/>
        <v>17.568271604938271</v>
      </c>
      <c r="AW341">
        <f t="shared" si="69"/>
        <v>1.9890797111111111</v>
      </c>
      <c r="AX341" s="9"/>
      <c r="AY341" s="22">
        <v>1.56677</v>
      </c>
      <c r="AZ341" s="22">
        <v>30.8291</v>
      </c>
      <c r="BA341" s="22">
        <v>-1.06628E-2</v>
      </c>
      <c r="BB341" s="22">
        <v>331</v>
      </c>
      <c r="BC341" s="22">
        <v>1.56525</v>
      </c>
      <c r="BD341">
        <f t="shared" si="70"/>
        <v>13.16395061728395</v>
      </c>
      <c r="BE341">
        <f t="shared" si="71"/>
        <v>20.624882908641975</v>
      </c>
    </row>
    <row r="342" spans="6:57">
      <c r="F342" s="9"/>
      <c r="G342" s="22">
        <v>0.108185</v>
      </c>
      <c r="H342" s="22">
        <v>8.5878999999999994</v>
      </c>
      <c r="I342" s="22">
        <v>-1.4208999999999999E-2</v>
      </c>
      <c r="J342" s="22">
        <v>332</v>
      </c>
      <c r="K342" s="22">
        <v>0.10760500000000001</v>
      </c>
      <c r="L342">
        <f t="shared" si="60"/>
        <v>17.541975308641973</v>
      </c>
      <c r="M342">
        <f t="shared" si="61"/>
        <v>1.8977785987654319</v>
      </c>
      <c r="N342" s="9"/>
      <c r="O342" s="22">
        <v>1.5718099999999999</v>
      </c>
      <c r="P342" s="22">
        <v>12.3668</v>
      </c>
      <c r="Q342" s="22">
        <v>-1.05713E-2</v>
      </c>
      <c r="R342" s="22">
        <v>332</v>
      </c>
      <c r="S342" s="22">
        <v>1.57043</v>
      </c>
      <c r="T342">
        <f t="shared" si="62"/>
        <v>13.050987654320988</v>
      </c>
      <c r="U342">
        <f t="shared" si="63"/>
        <v>20.513672904938272</v>
      </c>
      <c r="X342" s="9"/>
      <c r="Y342" s="22">
        <v>0.108185</v>
      </c>
      <c r="Z342" s="22">
        <v>17.839099999999998</v>
      </c>
      <c r="AA342" s="22">
        <v>-1.4202899999999999E-2</v>
      </c>
      <c r="AB342" s="22">
        <v>332</v>
      </c>
      <c r="AC342" s="22">
        <v>0.10745200000000001</v>
      </c>
      <c r="AD342">
        <f t="shared" si="64"/>
        <v>17.534444444444443</v>
      </c>
      <c r="AE342">
        <f t="shared" si="65"/>
        <v>1.8969638722222222</v>
      </c>
      <c r="AF342" s="9"/>
      <c r="AG342" s="22">
        <v>1.5718099999999999</v>
      </c>
      <c r="AH342" s="22">
        <v>21.617999999999999</v>
      </c>
      <c r="AI342" s="22">
        <v>-1.07361E-2</v>
      </c>
      <c r="AJ342" s="22">
        <v>332</v>
      </c>
      <c r="AK342" s="22">
        <v>1.57013</v>
      </c>
      <c r="AL342">
        <f t="shared" si="66"/>
        <v>13.254444444444443</v>
      </c>
      <c r="AM342">
        <f t="shared" si="67"/>
        <v>20.83346832222222</v>
      </c>
      <c r="AP342" s="9"/>
      <c r="AQ342" s="22">
        <v>0.108185</v>
      </c>
      <c r="AR342" s="22">
        <v>27.060300000000002</v>
      </c>
      <c r="AS342" s="22">
        <v>-1.4224199999999999E-2</v>
      </c>
      <c r="AT342" s="22">
        <v>332</v>
      </c>
      <c r="AU342" s="22">
        <v>0.10760500000000001</v>
      </c>
      <c r="AV342">
        <f t="shared" si="68"/>
        <v>17.560740740740737</v>
      </c>
      <c r="AW342">
        <f t="shared" si="69"/>
        <v>1.8998087370370367</v>
      </c>
      <c r="AX342" s="9"/>
      <c r="AY342" s="22">
        <v>1.5718099999999999</v>
      </c>
      <c r="AZ342" s="22">
        <v>30.839200000000002</v>
      </c>
      <c r="BA342" s="22">
        <v>-1.05469E-2</v>
      </c>
      <c r="BB342" s="22">
        <v>332</v>
      </c>
      <c r="BC342" s="22">
        <v>1.57104</v>
      </c>
      <c r="BD342">
        <f t="shared" si="70"/>
        <v>13.020864197530864</v>
      </c>
      <c r="BE342">
        <f t="shared" si="71"/>
        <v>20.466324554320988</v>
      </c>
    </row>
    <row r="343" spans="6:57">
      <c r="F343" s="9"/>
      <c r="G343" s="22">
        <v>0.103149</v>
      </c>
      <c r="H343" s="22">
        <v>8.5979700000000001</v>
      </c>
      <c r="I343" s="22">
        <v>-1.4208999999999999E-2</v>
      </c>
      <c r="J343" s="22">
        <v>333</v>
      </c>
      <c r="K343" s="22">
        <v>0.1026</v>
      </c>
      <c r="L343">
        <f t="shared" si="60"/>
        <v>17.541975308641973</v>
      </c>
      <c r="M343">
        <f t="shared" si="61"/>
        <v>1.809437211111111</v>
      </c>
      <c r="N343" s="9"/>
      <c r="O343" s="22">
        <v>1.57684</v>
      </c>
      <c r="P343" s="22">
        <v>12.376899999999999</v>
      </c>
      <c r="Q343" s="22">
        <v>-1.0449200000000001E-2</v>
      </c>
      <c r="R343" s="22">
        <v>333</v>
      </c>
      <c r="S343" s="22">
        <v>1.57623</v>
      </c>
      <c r="T343">
        <f t="shared" si="62"/>
        <v>12.900246913580247</v>
      </c>
      <c r="U343">
        <f t="shared" si="63"/>
        <v>20.341625343209877</v>
      </c>
      <c r="X343" s="9"/>
      <c r="Y343" s="22">
        <v>0.103149</v>
      </c>
      <c r="Z343" s="22">
        <v>17.8492</v>
      </c>
      <c r="AA343" s="22">
        <v>-1.42151E-2</v>
      </c>
      <c r="AB343" s="22">
        <v>333</v>
      </c>
      <c r="AC343" s="22">
        <v>0.102509</v>
      </c>
      <c r="AD343">
        <f t="shared" si="64"/>
        <v>17.549506172839507</v>
      </c>
      <c r="AE343">
        <f t="shared" si="65"/>
        <v>1.8102140122222223</v>
      </c>
      <c r="AF343" s="9"/>
      <c r="AG343" s="22">
        <v>1.57684</v>
      </c>
      <c r="AH343" s="22">
        <v>21.6281</v>
      </c>
      <c r="AI343" s="22">
        <v>-1.06293E-2</v>
      </c>
      <c r="AJ343" s="22">
        <v>333</v>
      </c>
      <c r="AK343" s="22">
        <v>1.57623</v>
      </c>
      <c r="AL343">
        <f t="shared" si="66"/>
        <v>13.122592592592593</v>
      </c>
      <c r="AM343">
        <f t="shared" si="67"/>
        <v>20.692228903703704</v>
      </c>
      <c r="AP343" s="9"/>
      <c r="AQ343" s="22">
        <v>0.103149</v>
      </c>
      <c r="AR343" s="22">
        <v>27.070399999999999</v>
      </c>
      <c r="AS343" s="22">
        <v>-1.42273E-2</v>
      </c>
      <c r="AT343" s="22">
        <v>333</v>
      </c>
      <c r="AU343" s="22">
        <v>0.102478</v>
      </c>
      <c r="AV343">
        <f t="shared" si="68"/>
        <v>17.564567901234565</v>
      </c>
      <c r="AW343">
        <f t="shared" si="69"/>
        <v>1.8117676144444441</v>
      </c>
      <c r="AX343" s="9"/>
      <c r="AY343" s="22">
        <v>1.57684</v>
      </c>
      <c r="AZ343" s="22">
        <v>30.849299999999999</v>
      </c>
      <c r="BA343" s="22">
        <v>-1.04218E-2</v>
      </c>
      <c r="BB343" s="22">
        <v>333</v>
      </c>
      <c r="BC343" s="22">
        <v>1.5759300000000001</v>
      </c>
      <c r="BD343">
        <f t="shared" si="70"/>
        <v>12.866419753086419</v>
      </c>
      <c r="BE343">
        <f t="shared" si="71"/>
        <v>20.288285323456787</v>
      </c>
    </row>
    <row r="344" spans="6:57">
      <c r="F344" s="9"/>
      <c r="G344" s="22">
        <v>9.8114000000000007E-2</v>
      </c>
      <c r="H344" s="22">
        <v>8.6080400000000008</v>
      </c>
      <c r="I344" s="22">
        <v>-1.42059E-2</v>
      </c>
      <c r="J344" s="22">
        <v>334</v>
      </c>
      <c r="K344" s="22">
        <v>9.7473099999999993E-2</v>
      </c>
      <c r="L344">
        <f t="shared" si="60"/>
        <v>17.538148148148146</v>
      </c>
      <c r="M344">
        <f t="shared" si="61"/>
        <v>1.7207378674074072</v>
      </c>
      <c r="N344" s="9"/>
      <c r="O344" s="22">
        <v>1.58188</v>
      </c>
      <c r="P344" s="22">
        <v>12.386900000000001</v>
      </c>
      <c r="Q344" s="22">
        <v>-1.0330199999999999E-2</v>
      </c>
      <c r="R344" s="22">
        <v>334</v>
      </c>
      <c r="S344" s="22">
        <v>1.58081</v>
      </c>
      <c r="T344">
        <f t="shared" si="62"/>
        <v>12.753333333333332</v>
      </c>
      <c r="U344">
        <f t="shared" si="63"/>
        <v>20.174242933333332</v>
      </c>
      <c r="X344" s="9"/>
      <c r="Y344" s="22">
        <v>9.8114000000000007E-2</v>
      </c>
      <c r="Z344" s="22">
        <v>17.859200000000001</v>
      </c>
      <c r="AA344" s="22">
        <v>-1.42151E-2</v>
      </c>
      <c r="AB344" s="22">
        <v>334</v>
      </c>
      <c r="AC344" s="22">
        <v>9.7595199999999993E-2</v>
      </c>
      <c r="AD344">
        <f t="shared" si="64"/>
        <v>17.549506172839507</v>
      </c>
      <c r="AE344">
        <f t="shared" si="65"/>
        <v>1.7218522486419756</v>
      </c>
      <c r="AF344" s="9"/>
      <c r="AG344" s="22">
        <v>1.58188</v>
      </c>
      <c r="AH344" s="22">
        <v>21.638100000000001</v>
      </c>
      <c r="AI344" s="22">
        <v>-1.05164E-2</v>
      </c>
      <c r="AJ344" s="22">
        <v>334</v>
      </c>
      <c r="AK344" s="22">
        <v>1.5811200000000001</v>
      </c>
      <c r="AL344">
        <f t="shared" si="66"/>
        <v>12.98320987654321</v>
      </c>
      <c r="AM344">
        <f t="shared" si="67"/>
        <v>20.537880039506174</v>
      </c>
      <c r="AP344" s="9"/>
      <c r="AQ344" s="22">
        <v>9.8114000000000007E-2</v>
      </c>
      <c r="AR344" s="22">
        <v>27.080500000000001</v>
      </c>
      <c r="AS344" s="22">
        <v>-1.4224199999999999E-2</v>
      </c>
      <c r="AT344" s="22">
        <v>334</v>
      </c>
      <c r="AU344" s="22">
        <v>9.7442600000000004E-2</v>
      </c>
      <c r="AV344">
        <f t="shared" si="68"/>
        <v>17.560740740740737</v>
      </c>
      <c r="AW344">
        <f t="shared" si="69"/>
        <v>1.7229545170370368</v>
      </c>
      <c r="AX344" s="9"/>
      <c r="AY344" s="22">
        <v>1.58188</v>
      </c>
      <c r="AZ344" s="22">
        <v>30.859400000000001</v>
      </c>
      <c r="BA344" s="22">
        <v>-1.02936E-2</v>
      </c>
      <c r="BB344" s="22">
        <v>334</v>
      </c>
      <c r="BC344" s="22">
        <v>1.58081</v>
      </c>
      <c r="BD344">
        <f t="shared" si="70"/>
        <v>12.708148148148148</v>
      </c>
      <c r="BE344">
        <f t="shared" si="71"/>
        <v>20.102765392592591</v>
      </c>
    </row>
    <row r="345" spans="6:57">
      <c r="F345" s="9"/>
      <c r="G345" s="22">
        <v>9.3078599999999997E-2</v>
      </c>
      <c r="H345" s="22">
        <v>8.6181099999999997</v>
      </c>
      <c r="I345" s="22">
        <v>-1.4208999999999999E-2</v>
      </c>
      <c r="J345" s="22">
        <v>335</v>
      </c>
      <c r="K345" s="22">
        <v>9.2407199999999995E-2</v>
      </c>
      <c r="L345">
        <f t="shared" si="60"/>
        <v>17.541975308641973</v>
      </c>
      <c r="M345">
        <f t="shared" si="61"/>
        <v>1.6327825029629628</v>
      </c>
      <c r="N345" s="9"/>
      <c r="O345" s="22">
        <v>1.58691</v>
      </c>
      <c r="P345" s="22">
        <v>12.397</v>
      </c>
      <c r="Q345" s="22">
        <v>-1.0201999999999999E-2</v>
      </c>
      <c r="R345" s="22">
        <v>335</v>
      </c>
      <c r="S345" s="22">
        <v>1.58569</v>
      </c>
      <c r="T345">
        <f t="shared" si="62"/>
        <v>12.595061728395061</v>
      </c>
      <c r="U345">
        <f t="shared" si="63"/>
        <v>19.987229407407408</v>
      </c>
      <c r="X345" s="9"/>
      <c r="Y345" s="22">
        <v>9.3078599999999997E-2</v>
      </c>
      <c r="Z345" s="22">
        <v>17.869299999999999</v>
      </c>
      <c r="AA345" s="22">
        <v>-1.4218099999999999E-2</v>
      </c>
      <c r="AB345" s="22">
        <v>335</v>
      </c>
      <c r="AC345" s="22">
        <v>9.2468300000000003E-2</v>
      </c>
      <c r="AD345">
        <f t="shared" si="64"/>
        <v>17.553209876543207</v>
      </c>
      <c r="AE345">
        <f t="shared" si="65"/>
        <v>1.6338282008148144</v>
      </c>
      <c r="AF345" s="9"/>
      <c r="AG345" s="22">
        <v>1.58691</v>
      </c>
      <c r="AH345" s="22">
        <v>21.648199999999999</v>
      </c>
      <c r="AI345" s="22">
        <v>-1.03943E-2</v>
      </c>
      <c r="AJ345" s="22">
        <v>335</v>
      </c>
      <c r="AK345" s="22">
        <v>1.58569</v>
      </c>
      <c r="AL345">
        <f t="shared" si="66"/>
        <v>12.832469135802469</v>
      </c>
      <c r="AM345">
        <f t="shared" si="67"/>
        <v>20.363973596296297</v>
      </c>
      <c r="AP345" s="9"/>
      <c r="AQ345" s="22">
        <v>9.3078599999999997E-2</v>
      </c>
      <c r="AR345" s="22">
        <v>27.090499999999999</v>
      </c>
      <c r="AS345" s="22">
        <v>-1.42212E-2</v>
      </c>
      <c r="AT345" s="22">
        <v>335</v>
      </c>
      <c r="AU345" s="22">
        <v>9.2498800000000006E-2</v>
      </c>
      <c r="AV345">
        <f t="shared" si="68"/>
        <v>17.557037037037034</v>
      </c>
      <c r="AW345">
        <f t="shared" si="69"/>
        <v>1.6341844275555553</v>
      </c>
      <c r="AX345" s="9"/>
      <c r="AY345" s="22">
        <v>1.58691</v>
      </c>
      <c r="AZ345" s="22">
        <v>30.869399999999999</v>
      </c>
      <c r="BA345" s="22">
        <v>-1.01501E-2</v>
      </c>
      <c r="BB345" s="22">
        <v>335</v>
      </c>
      <c r="BC345" s="22">
        <v>1.58569</v>
      </c>
      <c r="BD345">
        <f t="shared" si="70"/>
        <v>12.530987654320986</v>
      </c>
      <c r="BE345">
        <f t="shared" si="71"/>
        <v>19.885549618518517</v>
      </c>
    </row>
    <row r="346" spans="6:57">
      <c r="F346" s="9"/>
      <c r="G346" s="22">
        <v>8.8043200000000002E-2</v>
      </c>
      <c r="H346" s="22">
        <v>8.6281800000000004</v>
      </c>
      <c r="I346" s="22">
        <v>-1.4212000000000001E-2</v>
      </c>
      <c r="J346" s="22">
        <v>336</v>
      </c>
      <c r="K346" s="22">
        <v>8.7371799999999999E-2</v>
      </c>
      <c r="L346">
        <f t="shared" si="60"/>
        <v>17.54567901234568</v>
      </c>
      <c r="M346">
        <f t="shared" si="61"/>
        <v>1.5447777264197531</v>
      </c>
      <c r="N346" s="9"/>
      <c r="O346" s="22">
        <v>1.59195</v>
      </c>
      <c r="P346" s="22">
        <v>12.4071</v>
      </c>
      <c r="Q346" s="22">
        <v>-1.00708E-2</v>
      </c>
      <c r="R346" s="22">
        <v>336</v>
      </c>
      <c r="S346" s="22">
        <v>1.5908800000000001</v>
      </c>
      <c r="T346">
        <f t="shared" si="62"/>
        <v>12.433086419753085</v>
      </c>
      <c r="U346">
        <f t="shared" si="63"/>
        <v>19.792851925925923</v>
      </c>
      <c r="X346" s="9"/>
      <c r="Y346" s="22">
        <v>8.8043200000000002E-2</v>
      </c>
      <c r="Z346" s="22">
        <v>17.8794</v>
      </c>
      <c r="AA346" s="22">
        <v>-1.42212E-2</v>
      </c>
      <c r="AB346" s="22">
        <v>336</v>
      </c>
      <c r="AC346" s="22">
        <v>8.7585399999999994E-2</v>
      </c>
      <c r="AD346">
        <f t="shared" si="64"/>
        <v>17.557037037037034</v>
      </c>
      <c r="AE346">
        <f t="shared" si="65"/>
        <v>1.5457777232592591</v>
      </c>
      <c r="AF346" s="9"/>
      <c r="AG346" s="22">
        <v>1.59195</v>
      </c>
      <c r="AH346" s="22">
        <v>21.658300000000001</v>
      </c>
      <c r="AI346" s="22">
        <v>-1.0263100000000001E-2</v>
      </c>
      <c r="AJ346" s="22">
        <v>336</v>
      </c>
      <c r="AK346" s="22">
        <v>1.5908800000000001</v>
      </c>
      <c r="AL346">
        <f t="shared" si="66"/>
        <v>12.670493827160493</v>
      </c>
      <c r="AM346">
        <f t="shared" si="67"/>
        <v>20.170792648148147</v>
      </c>
      <c r="AP346" s="9"/>
      <c r="AQ346" s="22">
        <v>8.8043200000000002E-2</v>
      </c>
      <c r="AR346" s="22">
        <v>27.1006</v>
      </c>
      <c r="AS346" s="22">
        <v>-1.42273E-2</v>
      </c>
      <c r="AT346" s="22">
        <v>336</v>
      </c>
      <c r="AU346" s="22">
        <v>8.7280300000000005E-2</v>
      </c>
      <c r="AV346">
        <f t="shared" si="68"/>
        <v>17.564567901234565</v>
      </c>
      <c r="AW346">
        <f t="shared" si="69"/>
        <v>1.5464407646419751</v>
      </c>
      <c r="AX346" s="9"/>
      <c r="AY346" s="22">
        <v>1.59195</v>
      </c>
      <c r="AZ346" s="22">
        <v>30.8795</v>
      </c>
      <c r="BA346" s="22">
        <v>-1.00006E-2</v>
      </c>
      <c r="BB346" s="22">
        <v>336</v>
      </c>
      <c r="BC346" s="22">
        <v>1.5908800000000001</v>
      </c>
      <c r="BD346">
        <f t="shared" si="70"/>
        <v>12.346419753086419</v>
      </c>
      <c r="BE346">
        <f t="shared" si="71"/>
        <v>19.654882925925925</v>
      </c>
    </row>
    <row r="347" spans="6:57">
      <c r="F347" s="9"/>
      <c r="G347" s="22">
        <v>8.3007800000000007E-2</v>
      </c>
      <c r="H347" s="22">
        <v>8.6382499999999993</v>
      </c>
      <c r="I347" s="22">
        <v>-1.4224199999999999E-2</v>
      </c>
      <c r="J347" s="22">
        <v>337</v>
      </c>
      <c r="K347" s="22">
        <v>8.2428000000000001E-2</v>
      </c>
      <c r="L347">
        <f t="shared" si="60"/>
        <v>17.560740740740737</v>
      </c>
      <c r="M347">
        <f t="shared" si="61"/>
        <v>1.457678455259259</v>
      </c>
      <c r="N347" s="9"/>
      <c r="O347" s="22">
        <v>1.5969800000000001</v>
      </c>
      <c r="P347" s="22">
        <v>12.417199999999999</v>
      </c>
      <c r="Q347" s="22">
        <v>-9.9212599999999995E-3</v>
      </c>
      <c r="R347" s="22">
        <v>337</v>
      </c>
      <c r="S347" s="22">
        <v>1.5957600000000001</v>
      </c>
      <c r="T347">
        <f t="shared" si="62"/>
        <v>12.248469135802468</v>
      </c>
      <c r="U347">
        <f t="shared" si="63"/>
        <v>19.560560240493825</v>
      </c>
      <c r="X347" s="9"/>
      <c r="Y347" s="22">
        <v>8.3007800000000007E-2</v>
      </c>
      <c r="Z347" s="22">
        <v>17.889399999999998</v>
      </c>
      <c r="AA347" s="22">
        <v>-1.42151E-2</v>
      </c>
      <c r="AB347" s="22">
        <v>337</v>
      </c>
      <c r="AC347" s="22">
        <v>8.2428000000000001E-2</v>
      </c>
      <c r="AD347">
        <f t="shared" si="64"/>
        <v>17.549506172839507</v>
      </c>
      <c r="AE347">
        <f t="shared" si="65"/>
        <v>1.4567458984938273</v>
      </c>
      <c r="AF347" s="9"/>
      <c r="AG347" s="22">
        <v>1.5969800000000001</v>
      </c>
      <c r="AH347" s="22">
        <v>21.668299999999999</v>
      </c>
      <c r="AI347" s="22">
        <v>-1.01257E-2</v>
      </c>
      <c r="AJ347" s="22">
        <v>337</v>
      </c>
      <c r="AK347" s="22">
        <v>1.5957600000000001</v>
      </c>
      <c r="AL347">
        <f t="shared" si="66"/>
        <v>12.500864197530863</v>
      </c>
      <c r="AM347">
        <f t="shared" si="67"/>
        <v>19.96363010617284</v>
      </c>
      <c r="AP347" s="9"/>
      <c r="AQ347" s="22">
        <v>8.3007800000000007E-2</v>
      </c>
      <c r="AR347" s="22">
        <v>27.110700000000001</v>
      </c>
      <c r="AS347" s="22">
        <v>-1.42334E-2</v>
      </c>
      <c r="AT347" s="22">
        <v>337</v>
      </c>
      <c r="AU347" s="22">
        <v>8.2428000000000001E-2</v>
      </c>
      <c r="AV347">
        <f t="shared" si="68"/>
        <v>17.572098765432099</v>
      </c>
      <c r="AW347">
        <f t="shared" si="69"/>
        <v>1.4586212599012347</v>
      </c>
      <c r="AX347" s="9"/>
      <c r="AY347" s="22">
        <v>1.5969800000000001</v>
      </c>
      <c r="AZ347" s="22">
        <v>30.889600000000002</v>
      </c>
      <c r="BA347" s="22">
        <v>-9.8419200000000005E-3</v>
      </c>
      <c r="BB347" s="22">
        <v>337</v>
      </c>
      <c r="BC347" s="22">
        <v>1.5960700000000001</v>
      </c>
      <c r="BD347">
        <f t="shared" si="70"/>
        <v>12.150518518518519</v>
      </c>
      <c r="BE347">
        <f t="shared" si="71"/>
        <v>19.404135063703706</v>
      </c>
    </row>
    <row r="348" spans="6:57">
      <c r="F348" s="9"/>
      <c r="G348" s="22">
        <v>7.7972399999999997E-2</v>
      </c>
      <c r="H348" s="22">
        <v>8.64832</v>
      </c>
      <c r="I348" s="22">
        <v>-1.4236499999999999E-2</v>
      </c>
      <c r="J348" s="22">
        <v>338</v>
      </c>
      <c r="K348" s="22">
        <v>7.7392600000000006E-2</v>
      </c>
      <c r="L348">
        <f t="shared" si="60"/>
        <v>17.575925925925926</v>
      </c>
      <c r="M348">
        <f t="shared" si="61"/>
        <v>1.3704371266666666</v>
      </c>
      <c r="N348" s="9"/>
      <c r="O348" s="22">
        <v>1.60202</v>
      </c>
      <c r="P348" s="22">
        <v>12.427199999999999</v>
      </c>
      <c r="Q348" s="22">
        <v>-9.7686800000000001E-3</v>
      </c>
      <c r="R348" s="22">
        <v>338</v>
      </c>
      <c r="S348" s="22">
        <v>1.6012599999999999</v>
      </c>
      <c r="T348">
        <f t="shared" si="62"/>
        <v>12.060098765432098</v>
      </c>
      <c r="U348">
        <f t="shared" si="63"/>
        <v>19.320519424197531</v>
      </c>
      <c r="X348" s="9"/>
      <c r="Y348" s="22">
        <v>7.7972399999999997E-2</v>
      </c>
      <c r="Z348" s="22">
        <v>17.8995</v>
      </c>
      <c r="AA348" s="22">
        <v>-1.42151E-2</v>
      </c>
      <c r="AB348" s="22">
        <v>338</v>
      </c>
      <c r="AC348" s="22">
        <v>7.7362100000000003E-2</v>
      </c>
      <c r="AD348">
        <f t="shared" si="64"/>
        <v>17.549506172839507</v>
      </c>
      <c r="AE348">
        <f t="shared" si="65"/>
        <v>1.368377115111111</v>
      </c>
      <c r="AF348" s="9"/>
      <c r="AG348" s="22">
        <v>1.60202</v>
      </c>
      <c r="AH348" s="22">
        <v>21.6784</v>
      </c>
      <c r="AI348" s="22">
        <v>-9.9700899999999992E-3</v>
      </c>
      <c r="AJ348" s="22">
        <v>338</v>
      </c>
      <c r="AK348" s="22">
        <v>1.6009500000000001</v>
      </c>
      <c r="AL348">
        <f t="shared" si="66"/>
        <v>12.308753086419753</v>
      </c>
      <c r="AM348">
        <f t="shared" si="67"/>
        <v>19.718868619506171</v>
      </c>
      <c r="AP348" s="9"/>
      <c r="AQ348" s="22">
        <v>7.7972399999999997E-2</v>
      </c>
      <c r="AR348" s="22">
        <v>27.120699999999999</v>
      </c>
      <c r="AS348" s="22">
        <v>-1.42395E-2</v>
      </c>
      <c r="AT348" s="22">
        <v>338</v>
      </c>
      <c r="AU348" s="22">
        <v>7.7362100000000003E-2</v>
      </c>
      <c r="AV348">
        <f t="shared" si="68"/>
        <v>17.579629629629629</v>
      </c>
      <c r="AW348">
        <f t="shared" si="69"/>
        <v>1.3707259133333332</v>
      </c>
      <c r="AX348" s="9"/>
      <c r="AY348" s="22">
        <v>1.60202</v>
      </c>
      <c r="AZ348" s="22">
        <v>30.8996</v>
      </c>
      <c r="BA348" s="22">
        <v>-9.6771200000000009E-3</v>
      </c>
      <c r="BB348" s="22">
        <v>338</v>
      </c>
      <c r="BC348" s="22">
        <v>1.6006499999999999</v>
      </c>
      <c r="BD348">
        <f t="shared" si="70"/>
        <v>11.947061728395061</v>
      </c>
      <c r="BE348">
        <f t="shared" si="71"/>
        <v>19.139431830123456</v>
      </c>
    </row>
    <row r="349" spans="6:57">
      <c r="F349" s="9"/>
      <c r="G349" s="22">
        <v>7.2937000000000002E-2</v>
      </c>
      <c r="H349" s="22">
        <v>8.6583900000000007</v>
      </c>
      <c r="I349" s="22">
        <v>-1.42395E-2</v>
      </c>
      <c r="J349" s="22">
        <v>339</v>
      </c>
      <c r="K349" s="22">
        <v>7.2326699999999994E-2</v>
      </c>
      <c r="L349">
        <f t="shared" si="60"/>
        <v>17.579629629629629</v>
      </c>
      <c r="M349">
        <f t="shared" si="61"/>
        <v>1.2822054462962962</v>
      </c>
      <c r="N349" s="9"/>
      <c r="O349" s="22">
        <v>1.6070599999999999</v>
      </c>
      <c r="P349" s="22">
        <v>12.4373</v>
      </c>
      <c r="Q349" s="22">
        <v>-9.6038800000000004E-3</v>
      </c>
      <c r="R349" s="22">
        <v>339</v>
      </c>
      <c r="S349" s="22">
        <v>1.6055299999999999</v>
      </c>
      <c r="T349">
        <f t="shared" si="62"/>
        <v>11.856641975308643</v>
      </c>
      <c r="U349">
        <f t="shared" si="63"/>
        <v>19.054335052839505</v>
      </c>
      <c r="X349" s="9"/>
      <c r="Y349" s="22">
        <v>7.2937000000000002E-2</v>
      </c>
      <c r="Z349" s="22">
        <v>17.909600000000001</v>
      </c>
      <c r="AA349" s="22">
        <v>-1.42151E-2</v>
      </c>
      <c r="AB349" s="22">
        <v>339</v>
      </c>
      <c r="AC349" s="22">
        <v>7.2296100000000002E-2</v>
      </c>
      <c r="AD349">
        <f t="shared" si="64"/>
        <v>17.549506172839507</v>
      </c>
      <c r="AE349">
        <f t="shared" si="65"/>
        <v>1.2800083317283952</v>
      </c>
      <c r="AF349" s="9"/>
      <c r="AG349" s="22">
        <v>1.6070599999999999</v>
      </c>
      <c r="AH349" s="22">
        <v>21.688500000000001</v>
      </c>
      <c r="AI349" s="22">
        <v>-9.8083500000000004E-3</v>
      </c>
      <c r="AJ349" s="22">
        <v>339</v>
      </c>
      <c r="AK349" s="22">
        <v>1.6058300000000001</v>
      </c>
      <c r="AL349">
        <f t="shared" si="66"/>
        <v>12.109074074074075</v>
      </c>
      <c r="AM349">
        <f t="shared" si="67"/>
        <v>19.460008581481482</v>
      </c>
      <c r="AP349" s="9"/>
      <c r="AQ349" s="22">
        <v>7.2937000000000002E-2</v>
      </c>
      <c r="AR349" s="22">
        <v>27.130800000000001</v>
      </c>
      <c r="AS349" s="22">
        <v>-1.42487E-2</v>
      </c>
      <c r="AT349" s="22">
        <v>339</v>
      </c>
      <c r="AU349" s="22">
        <v>7.2387699999999999E-2</v>
      </c>
      <c r="AV349">
        <f t="shared" si="68"/>
        <v>17.590987654320987</v>
      </c>
      <c r="AW349">
        <f t="shared" si="69"/>
        <v>1.2830338665432099</v>
      </c>
      <c r="AX349" s="9"/>
      <c r="AY349" s="22">
        <v>1.6070599999999999</v>
      </c>
      <c r="AZ349" s="22">
        <v>30.909700000000001</v>
      </c>
      <c r="BA349" s="22">
        <v>-9.5092800000000002E-3</v>
      </c>
      <c r="BB349" s="22">
        <v>339</v>
      </c>
      <c r="BC349" s="22">
        <v>1.6064499999999999</v>
      </c>
      <c r="BD349">
        <f t="shared" si="70"/>
        <v>11.739851851851853</v>
      </c>
      <c r="BE349">
        <f t="shared" si="71"/>
        <v>18.866646317037038</v>
      </c>
    </row>
    <row r="350" spans="6:57">
      <c r="F350" s="9"/>
      <c r="G350" s="22">
        <v>6.7901600000000006E-2</v>
      </c>
      <c r="H350" s="22">
        <v>8.6684599999999996</v>
      </c>
      <c r="I350" s="22">
        <v>-1.42487E-2</v>
      </c>
      <c r="J350" s="22">
        <v>340</v>
      </c>
      <c r="K350" s="22">
        <v>6.7291299999999998E-2</v>
      </c>
      <c r="L350">
        <f t="shared" si="60"/>
        <v>17.590987654320987</v>
      </c>
      <c r="M350">
        <f t="shared" si="61"/>
        <v>1.194456207308642</v>
      </c>
      <c r="N350" s="9"/>
      <c r="O350" s="22">
        <v>1.61209</v>
      </c>
      <c r="P350" s="22">
        <v>12.4474</v>
      </c>
      <c r="Q350" s="22">
        <v>-9.4299299999999996E-3</v>
      </c>
      <c r="R350" s="22">
        <v>340</v>
      </c>
      <c r="S350" s="22">
        <v>1.6113299999999999</v>
      </c>
      <c r="T350">
        <f t="shared" si="62"/>
        <v>11.641888888888888</v>
      </c>
      <c r="U350">
        <f t="shared" si="63"/>
        <v>18.767772658888887</v>
      </c>
      <c r="X350" s="9"/>
      <c r="Y350" s="22">
        <v>6.7901600000000006E-2</v>
      </c>
      <c r="Z350" s="22">
        <v>17.919599999999999</v>
      </c>
      <c r="AA350" s="22">
        <v>-1.4208999999999999E-2</v>
      </c>
      <c r="AB350" s="22">
        <v>340</v>
      </c>
      <c r="AC350" s="22">
        <v>6.7291299999999998E-2</v>
      </c>
      <c r="AD350">
        <f t="shared" si="64"/>
        <v>17.541975308641973</v>
      </c>
      <c r="AE350">
        <f t="shared" si="65"/>
        <v>1.1911281906172839</v>
      </c>
      <c r="AF350" s="9"/>
      <c r="AG350" s="22">
        <v>1.61209</v>
      </c>
      <c r="AH350" s="22">
        <v>21.698599999999999</v>
      </c>
      <c r="AI350" s="22">
        <v>-9.6343999999999996E-3</v>
      </c>
      <c r="AJ350" s="22">
        <v>340</v>
      </c>
      <c r="AK350" s="22">
        <v>1.6107199999999999</v>
      </c>
      <c r="AL350">
        <f t="shared" si="66"/>
        <v>11.89432098765432</v>
      </c>
      <c r="AM350">
        <f t="shared" si="67"/>
        <v>19.174715920987651</v>
      </c>
      <c r="AP350" s="9"/>
      <c r="AQ350" s="22">
        <v>6.7901600000000006E-2</v>
      </c>
      <c r="AR350" s="22">
        <v>27.140899999999998</v>
      </c>
      <c r="AS350" s="22">
        <v>-1.42548E-2</v>
      </c>
      <c r="AT350" s="22">
        <v>340</v>
      </c>
      <c r="AU350" s="22">
        <v>6.7321800000000001E-2</v>
      </c>
      <c r="AV350">
        <f t="shared" si="68"/>
        <v>17.598518518518517</v>
      </c>
      <c r="AW350">
        <f t="shared" si="69"/>
        <v>1.194967565037037</v>
      </c>
      <c r="AX350" s="9"/>
      <c r="AY350" s="22">
        <v>1.61209</v>
      </c>
      <c r="AZ350" s="22">
        <v>30.919799999999999</v>
      </c>
      <c r="BA350" s="22">
        <v>-9.3261699999999999E-3</v>
      </c>
      <c r="BB350" s="22">
        <v>340</v>
      </c>
      <c r="BC350" s="22">
        <v>1.6107199999999999</v>
      </c>
      <c r="BD350">
        <f t="shared" si="70"/>
        <v>11.51379012345679</v>
      </c>
      <c r="BE350">
        <f t="shared" si="71"/>
        <v>18.561265920123457</v>
      </c>
    </row>
    <row r="351" spans="6:57">
      <c r="F351" s="9"/>
      <c r="G351" s="22">
        <v>6.2866199999999997E-2</v>
      </c>
      <c r="H351" s="22">
        <v>8.6785399999999999</v>
      </c>
      <c r="I351" s="22">
        <v>-1.4251700000000001E-2</v>
      </c>
      <c r="J351" s="22">
        <v>341</v>
      </c>
      <c r="K351" s="22">
        <v>6.2133800000000003E-2</v>
      </c>
      <c r="L351">
        <f t="shared" si="60"/>
        <v>17.594691358024694</v>
      </c>
      <c r="M351">
        <f t="shared" si="61"/>
        <v>1.1061113858518519</v>
      </c>
      <c r="N351" s="9"/>
      <c r="O351" s="22">
        <v>1.61713</v>
      </c>
      <c r="P351" s="22">
        <v>12.4574</v>
      </c>
      <c r="Q351" s="22">
        <v>-9.2468299999999993E-3</v>
      </c>
      <c r="R351" s="22">
        <v>341</v>
      </c>
      <c r="S351" s="22">
        <v>1.61591</v>
      </c>
      <c r="T351">
        <f t="shared" si="62"/>
        <v>11.415839506172839</v>
      </c>
      <c r="U351">
        <f t="shared" si="63"/>
        <v>18.460896540617281</v>
      </c>
      <c r="X351" s="9"/>
      <c r="Y351" s="22">
        <v>6.2866199999999997E-2</v>
      </c>
      <c r="Z351" s="22">
        <v>17.9297</v>
      </c>
      <c r="AA351" s="22">
        <v>-1.4202899999999999E-2</v>
      </c>
      <c r="AB351" s="22">
        <v>341</v>
      </c>
      <c r="AC351" s="22">
        <v>6.2286399999999999E-2</v>
      </c>
      <c r="AD351">
        <f t="shared" si="64"/>
        <v>17.534444444444443</v>
      </c>
      <c r="AE351">
        <f t="shared" si="65"/>
        <v>1.1023238913333331</v>
      </c>
      <c r="AF351" s="9"/>
      <c r="AG351" s="22">
        <v>1.61713</v>
      </c>
      <c r="AH351" s="22">
        <v>21.708600000000001</v>
      </c>
      <c r="AI351" s="22">
        <v>-9.4573999999999995E-3</v>
      </c>
      <c r="AJ351" s="22">
        <v>341</v>
      </c>
      <c r="AK351" s="22">
        <v>1.61652</v>
      </c>
      <c r="AL351">
        <f t="shared" si="66"/>
        <v>11.6758024691358</v>
      </c>
      <c r="AM351">
        <f t="shared" si="67"/>
        <v>18.881290446913574</v>
      </c>
      <c r="AP351" s="9"/>
      <c r="AQ351" s="22">
        <v>6.2866199999999997E-2</v>
      </c>
      <c r="AR351" s="22">
        <v>27.1509</v>
      </c>
      <c r="AS351" s="22">
        <v>-1.42609E-2</v>
      </c>
      <c r="AT351" s="22">
        <v>341</v>
      </c>
      <c r="AU351" s="22">
        <v>6.2194800000000001E-2</v>
      </c>
      <c r="AV351">
        <f t="shared" si="68"/>
        <v>17.606049382716048</v>
      </c>
      <c r="AW351">
        <f t="shared" si="69"/>
        <v>1.1068254217037035</v>
      </c>
      <c r="AX351" s="9"/>
      <c r="AY351" s="22">
        <v>1.61713</v>
      </c>
      <c r="AZ351" s="22">
        <v>30.9299</v>
      </c>
      <c r="BA351" s="22">
        <v>-9.1339100000000003E-3</v>
      </c>
      <c r="BB351" s="22">
        <v>341</v>
      </c>
      <c r="BC351" s="22">
        <v>1.6168199999999999</v>
      </c>
      <c r="BD351">
        <f t="shared" si="70"/>
        <v>11.276432098765431</v>
      </c>
      <c r="BE351">
        <f t="shared" si="71"/>
        <v>18.235456639876542</v>
      </c>
    </row>
    <row r="352" spans="6:57">
      <c r="F352" s="9"/>
      <c r="G352" s="22">
        <v>5.7830800000000002E-2</v>
      </c>
      <c r="H352" s="22">
        <v>8.6886100000000006</v>
      </c>
      <c r="I352" s="22">
        <v>-1.4251700000000001E-2</v>
      </c>
      <c r="J352" s="22">
        <v>342</v>
      </c>
      <c r="K352" s="22">
        <v>5.7159399999999999E-2</v>
      </c>
      <c r="L352">
        <f t="shared" si="60"/>
        <v>17.594691358024694</v>
      </c>
      <c r="M352">
        <f t="shared" si="61"/>
        <v>1.0175150769876544</v>
      </c>
      <c r="N352" s="9"/>
      <c r="O352" s="22">
        <v>1.62216</v>
      </c>
      <c r="P352" s="22">
        <v>12.467499999999999</v>
      </c>
      <c r="Q352" s="22">
        <v>-9.0545699999999996E-3</v>
      </c>
      <c r="R352" s="22">
        <v>342</v>
      </c>
      <c r="S352" s="22">
        <v>1.6210899999999999</v>
      </c>
      <c r="T352">
        <f t="shared" si="62"/>
        <v>11.17848148148148</v>
      </c>
      <c r="U352">
        <f t="shared" si="63"/>
        <v>18.133285519999998</v>
      </c>
      <c r="X352" s="9"/>
      <c r="Y352" s="22">
        <v>5.7830800000000002E-2</v>
      </c>
      <c r="Z352" s="22">
        <v>17.939800000000002</v>
      </c>
      <c r="AA352" s="22">
        <v>-1.4202899999999999E-2</v>
      </c>
      <c r="AB352" s="22">
        <v>342</v>
      </c>
      <c r="AC352" s="22">
        <v>5.7220500000000001E-2</v>
      </c>
      <c r="AD352">
        <f t="shared" si="64"/>
        <v>17.534444444444443</v>
      </c>
      <c r="AE352">
        <f t="shared" si="65"/>
        <v>1.0140309497777777</v>
      </c>
      <c r="AF352" s="9"/>
      <c r="AG352" s="22">
        <v>1.62216</v>
      </c>
      <c r="AH352" s="22">
        <v>21.718699999999998</v>
      </c>
      <c r="AI352" s="22">
        <v>-9.2742899999999993E-3</v>
      </c>
      <c r="AJ352" s="22">
        <v>342</v>
      </c>
      <c r="AK352" s="22">
        <v>1.62079</v>
      </c>
      <c r="AL352">
        <f t="shared" si="66"/>
        <v>11.44974074074074</v>
      </c>
      <c r="AM352">
        <f t="shared" si="67"/>
        <v>18.573311440000001</v>
      </c>
      <c r="AP352" s="9"/>
      <c r="AQ352" s="22">
        <v>5.7830800000000002E-2</v>
      </c>
      <c r="AR352" s="22">
        <v>27.161000000000001</v>
      </c>
      <c r="AS352" s="22">
        <v>-1.427E-2</v>
      </c>
      <c r="AT352" s="22">
        <v>342</v>
      </c>
      <c r="AU352" s="22">
        <v>5.7159399999999999E-2</v>
      </c>
      <c r="AV352">
        <f t="shared" si="68"/>
        <v>17.617283950617285</v>
      </c>
      <c r="AW352">
        <f t="shared" si="69"/>
        <v>1.0188216246913582</v>
      </c>
      <c r="AX352" s="9"/>
      <c r="AY352" s="22">
        <v>1.62216</v>
      </c>
      <c r="AZ352" s="22">
        <v>30.939900000000002</v>
      </c>
      <c r="BA352" s="22">
        <v>-8.9294400000000003E-3</v>
      </c>
      <c r="BB352" s="22">
        <v>342</v>
      </c>
      <c r="BC352" s="22">
        <v>1.6214</v>
      </c>
      <c r="BD352">
        <f t="shared" si="70"/>
        <v>11.023999999999999</v>
      </c>
      <c r="BE352">
        <f t="shared" si="71"/>
        <v>17.88269184</v>
      </c>
    </row>
    <row r="353" spans="6:57">
      <c r="F353" s="9"/>
      <c r="G353" s="22">
        <v>5.2795399999999999E-2</v>
      </c>
      <c r="H353" s="22">
        <v>8.6986799999999995</v>
      </c>
      <c r="I353" s="22">
        <v>-1.42487E-2</v>
      </c>
      <c r="J353" s="22">
        <v>343</v>
      </c>
      <c r="K353" s="22">
        <v>5.2246099999999997E-2</v>
      </c>
      <c r="L353">
        <f t="shared" si="60"/>
        <v>17.590987654320987</v>
      </c>
      <c r="M353">
        <f t="shared" si="61"/>
        <v>0.92872322960493825</v>
      </c>
      <c r="N353" s="9"/>
      <c r="O353" s="22">
        <v>1.6272</v>
      </c>
      <c r="P353" s="22">
        <v>12.477600000000001</v>
      </c>
      <c r="Q353" s="22">
        <v>-8.8500999999999996E-3</v>
      </c>
      <c r="R353" s="22">
        <v>343</v>
      </c>
      <c r="S353" s="22">
        <v>1.62659</v>
      </c>
      <c r="T353">
        <f t="shared" si="62"/>
        <v>10.926049382716048</v>
      </c>
      <c r="U353">
        <f t="shared" si="63"/>
        <v>17.778867555555554</v>
      </c>
      <c r="X353" s="9"/>
      <c r="Y353" s="22">
        <v>5.2795399999999999E-2</v>
      </c>
      <c r="Z353" s="22">
        <v>17.9499</v>
      </c>
      <c r="AA353" s="22">
        <v>-1.4208999999999999E-2</v>
      </c>
      <c r="AB353" s="22">
        <v>343</v>
      </c>
      <c r="AC353" s="22">
        <v>5.2276599999999999E-2</v>
      </c>
      <c r="AD353">
        <f t="shared" si="64"/>
        <v>17.541975308641973</v>
      </c>
      <c r="AE353">
        <f t="shared" si="65"/>
        <v>0.92613560320987642</v>
      </c>
      <c r="AF353" s="9"/>
      <c r="AG353" s="22">
        <v>1.6272</v>
      </c>
      <c r="AH353" s="22">
        <v>21.7288</v>
      </c>
      <c r="AI353" s="22">
        <v>-9.0759299999999994E-3</v>
      </c>
      <c r="AJ353" s="22">
        <v>343</v>
      </c>
      <c r="AK353" s="22">
        <v>1.62659</v>
      </c>
      <c r="AL353">
        <f t="shared" si="66"/>
        <v>11.204851851851851</v>
      </c>
      <c r="AM353">
        <f t="shared" si="67"/>
        <v>18.23253493333333</v>
      </c>
      <c r="AP353" s="9"/>
      <c r="AQ353" s="22">
        <v>5.2795399999999999E-2</v>
      </c>
      <c r="AR353" s="22">
        <v>27.171099999999999</v>
      </c>
      <c r="AS353" s="22">
        <v>-1.4279200000000001E-2</v>
      </c>
      <c r="AT353" s="22">
        <v>343</v>
      </c>
      <c r="AU353" s="22">
        <v>5.2246099999999997E-2</v>
      </c>
      <c r="AV353">
        <f t="shared" si="68"/>
        <v>17.628641975308639</v>
      </c>
      <c r="AW353">
        <f t="shared" si="69"/>
        <v>0.93071120454320977</v>
      </c>
      <c r="AX353" s="9"/>
      <c r="AY353" s="22">
        <v>1.6272</v>
      </c>
      <c r="AZ353" s="22">
        <v>30.95</v>
      </c>
      <c r="BA353" s="22">
        <v>-8.7158200000000009E-3</v>
      </c>
      <c r="BB353" s="22">
        <v>343</v>
      </c>
      <c r="BC353" s="22">
        <v>1.6262799999999999</v>
      </c>
      <c r="BD353">
        <f t="shared" si="70"/>
        <v>10.760271604938271</v>
      </c>
      <c r="BE353">
        <f t="shared" si="71"/>
        <v>17.509113955555556</v>
      </c>
    </row>
    <row r="354" spans="6:57">
      <c r="F354" s="9"/>
      <c r="G354" s="22">
        <v>4.7759999999999997E-2</v>
      </c>
      <c r="H354" s="22">
        <v>8.7087500000000002</v>
      </c>
      <c r="I354" s="22">
        <v>-1.4245600000000001E-2</v>
      </c>
      <c r="J354" s="22">
        <v>344</v>
      </c>
      <c r="K354" s="22">
        <v>4.7509799999999998E-2</v>
      </c>
      <c r="L354">
        <f t="shared" si="60"/>
        <v>17.58716049382716</v>
      </c>
      <c r="M354">
        <f t="shared" si="61"/>
        <v>0.83996278518518508</v>
      </c>
      <c r="N354" s="9"/>
      <c r="O354" s="22">
        <v>1.6322300000000001</v>
      </c>
      <c r="P354" s="22">
        <v>12.4877</v>
      </c>
      <c r="Q354" s="22">
        <v>-8.6303700000000001E-3</v>
      </c>
      <c r="R354" s="22">
        <v>344</v>
      </c>
      <c r="S354" s="22">
        <v>1.6317699999999999</v>
      </c>
      <c r="T354">
        <f t="shared" si="62"/>
        <v>10.654777777777777</v>
      </c>
      <c r="U354">
        <f t="shared" si="63"/>
        <v>17.391047932222222</v>
      </c>
      <c r="X354" s="9"/>
      <c r="Y354" s="22">
        <v>4.7759999999999997E-2</v>
      </c>
      <c r="Z354" s="22">
        <v>17.959900000000001</v>
      </c>
      <c r="AA354" s="22">
        <v>-1.4218099999999999E-2</v>
      </c>
      <c r="AB354" s="22">
        <v>344</v>
      </c>
      <c r="AC354" s="22">
        <v>4.7592200000000001E-2</v>
      </c>
      <c r="AD354">
        <f t="shared" si="64"/>
        <v>17.553209876543207</v>
      </c>
      <c r="AE354">
        <f t="shared" si="65"/>
        <v>0.83834130370370352</v>
      </c>
      <c r="AF354" s="9"/>
      <c r="AG354" s="22">
        <v>1.6322300000000001</v>
      </c>
      <c r="AH354" s="22">
        <v>21.738800000000001</v>
      </c>
      <c r="AI354" s="22">
        <v>-8.8653599999999992E-3</v>
      </c>
      <c r="AJ354" s="22">
        <v>344</v>
      </c>
      <c r="AK354" s="22">
        <v>1.63147</v>
      </c>
      <c r="AL354">
        <f t="shared" si="66"/>
        <v>10.944888888888888</v>
      </c>
      <c r="AM354">
        <f t="shared" si="67"/>
        <v>17.86457599111111</v>
      </c>
      <c r="AP354" s="9"/>
      <c r="AQ354" s="22">
        <v>4.7759999999999997E-2</v>
      </c>
      <c r="AR354" s="22">
        <v>27.1812</v>
      </c>
      <c r="AS354" s="22">
        <v>-1.4285300000000001E-2</v>
      </c>
      <c r="AT354" s="22">
        <v>344</v>
      </c>
      <c r="AU354" s="22">
        <v>4.7598300000000003E-2</v>
      </c>
      <c r="AV354">
        <f t="shared" si="68"/>
        <v>17.636172839506173</v>
      </c>
      <c r="AW354">
        <f t="shared" si="69"/>
        <v>0.84230361481481475</v>
      </c>
      <c r="AX354" s="9"/>
      <c r="AY354" s="22">
        <v>1.6322300000000001</v>
      </c>
      <c r="AZ354" s="22">
        <v>30.960100000000001</v>
      </c>
      <c r="BA354" s="22">
        <v>-8.4899899999999993E-3</v>
      </c>
      <c r="BB354" s="22">
        <v>344</v>
      </c>
      <c r="BC354" s="22">
        <v>1.6317699999999999</v>
      </c>
      <c r="BD354">
        <f t="shared" si="70"/>
        <v>10.481469135802469</v>
      </c>
      <c r="BE354">
        <f t="shared" si="71"/>
        <v>17.108168367530865</v>
      </c>
    </row>
    <row r="355" spans="6:57">
      <c r="F355" s="9"/>
      <c r="G355" s="22">
        <v>4.2724600000000001E-2</v>
      </c>
      <c r="H355" s="22">
        <v>8.7188199999999991</v>
      </c>
      <c r="I355" s="22">
        <v>-1.42395E-2</v>
      </c>
      <c r="J355" s="22">
        <v>345</v>
      </c>
      <c r="K355" s="22">
        <v>4.25537E-2</v>
      </c>
      <c r="L355">
        <f t="shared" si="60"/>
        <v>17.579629629629629</v>
      </c>
      <c r="M355">
        <f t="shared" si="61"/>
        <v>0.7510826440740741</v>
      </c>
      <c r="N355" s="9"/>
      <c r="O355" s="22">
        <v>1.63727</v>
      </c>
      <c r="P355" s="22">
        <v>12.4977</v>
      </c>
      <c r="Q355" s="22">
        <v>-8.3923299999999999E-3</v>
      </c>
      <c r="R355" s="22">
        <v>345</v>
      </c>
      <c r="S355" s="22">
        <v>1.63635</v>
      </c>
      <c r="T355">
        <f t="shared" si="62"/>
        <v>10.360901234567899</v>
      </c>
      <c r="U355">
        <f t="shared" si="63"/>
        <v>16.963592764320985</v>
      </c>
      <c r="X355" s="9"/>
      <c r="Y355" s="22">
        <v>4.2724600000000001E-2</v>
      </c>
      <c r="Z355" s="22">
        <v>17.97</v>
      </c>
      <c r="AA355" s="22">
        <v>-1.42273E-2</v>
      </c>
      <c r="AB355" s="22">
        <v>345</v>
      </c>
      <c r="AC355" s="22">
        <v>4.2446900000000003E-2</v>
      </c>
      <c r="AD355">
        <f t="shared" si="64"/>
        <v>17.564567901234565</v>
      </c>
      <c r="AE355">
        <f t="shared" si="65"/>
        <v>0.75043913775308635</v>
      </c>
      <c r="AF355" s="9"/>
      <c r="AG355" s="22">
        <v>1.63727</v>
      </c>
      <c r="AH355" s="22">
        <v>21.748899999999999</v>
      </c>
      <c r="AI355" s="22">
        <v>-8.6456299999999996E-3</v>
      </c>
      <c r="AJ355" s="22">
        <v>345</v>
      </c>
      <c r="AK355" s="22">
        <v>1.63666</v>
      </c>
      <c r="AL355">
        <f t="shared" si="66"/>
        <v>10.673617283950616</v>
      </c>
      <c r="AM355">
        <f t="shared" si="67"/>
        <v>17.475593370493826</v>
      </c>
      <c r="AP355" s="9"/>
      <c r="AQ355" s="22">
        <v>4.2724600000000001E-2</v>
      </c>
      <c r="AR355" s="22">
        <v>27.191199999999998</v>
      </c>
      <c r="AS355" s="22">
        <v>-1.4291399999999999E-2</v>
      </c>
      <c r="AT355" s="22">
        <v>345</v>
      </c>
      <c r="AU355" s="22">
        <v>4.2514000000000003E-2</v>
      </c>
      <c r="AV355">
        <f t="shared" si="68"/>
        <v>17.643703703703704</v>
      </c>
      <c r="AW355">
        <f t="shared" si="69"/>
        <v>0.75382018325925926</v>
      </c>
      <c r="AX355" s="9"/>
      <c r="AY355" s="22">
        <v>1.63727</v>
      </c>
      <c r="AZ355" s="22">
        <v>30.970099999999999</v>
      </c>
      <c r="BA355" s="22">
        <v>-8.2519499999999992E-3</v>
      </c>
      <c r="BB355" s="22">
        <v>345</v>
      </c>
      <c r="BC355" s="22">
        <v>1.63727</v>
      </c>
      <c r="BD355">
        <f t="shared" si="70"/>
        <v>10.187592592592591</v>
      </c>
      <c r="BE355">
        <f t="shared" si="71"/>
        <v>16.679839724074071</v>
      </c>
    </row>
    <row r="356" spans="6:57">
      <c r="F356" s="9"/>
      <c r="G356" s="22">
        <v>3.7689199999999999E-2</v>
      </c>
      <c r="H356" s="22">
        <v>8.7288899999999998</v>
      </c>
      <c r="I356" s="22">
        <v>-1.42334E-2</v>
      </c>
      <c r="J356" s="22">
        <v>346</v>
      </c>
      <c r="K356" s="22">
        <v>3.74542E-2</v>
      </c>
      <c r="L356">
        <f t="shared" si="60"/>
        <v>17.572098765432099</v>
      </c>
      <c r="M356">
        <f t="shared" si="61"/>
        <v>0.66227834479012349</v>
      </c>
      <c r="N356" s="9"/>
      <c r="O356" s="22">
        <v>1.6423000000000001</v>
      </c>
      <c r="P356" s="22">
        <v>12.5078</v>
      </c>
      <c r="Q356" s="22">
        <v>-8.1451400000000004E-3</v>
      </c>
      <c r="R356" s="22">
        <v>346</v>
      </c>
      <c r="S356" s="22">
        <v>1.64093</v>
      </c>
      <c r="T356">
        <f t="shared" si="62"/>
        <v>10.055728395061728</v>
      </c>
      <c r="U356">
        <f t="shared" si="63"/>
        <v>16.514522743209877</v>
      </c>
      <c r="X356" s="9"/>
      <c r="Y356" s="22">
        <v>3.7689199999999999E-2</v>
      </c>
      <c r="Z356" s="22">
        <v>17.9801</v>
      </c>
      <c r="AA356" s="22">
        <v>-1.4224199999999999E-2</v>
      </c>
      <c r="AB356" s="22">
        <v>346</v>
      </c>
      <c r="AC356" s="22">
        <v>3.7432899999999998E-2</v>
      </c>
      <c r="AD356">
        <f t="shared" si="64"/>
        <v>17.560740740740737</v>
      </c>
      <c r="AE356">
        <f t="shared" si="65"/>
        <v>0.66185026992592577</v>
      </c>
      <c r="AF356" s="9"/>
      <c r="AG356" s="22">
        <v>1.6423000000000001</v>
      </c>
      <c r="AH356" s="22">
        <v>21.759</v>
      </c>
      <c r="AI356" s="22">
        <v>-8.4045400000000003E-3</v>
      </c>
      <c r="AJ356" s="22">
        <v>346</v>
      </c>
      <c r="AK356" s="22">
        <v>1.64124</v>
      </c>
      <c r="AL356">
        <f t="shared" si="66"/>
        <v>10.375975308641976</v>
      </c>
      <c r="AM356">
        <f t="shared" si="67"/>
        <v>17.040464249382719</v>
      </c>
      <c r="AP356" s="9"/>
      <c r="AQ356" s="22">
        <v>3.7689199999999999E-2</v>
      </c>
      <c r="AR356" s="22">
        <v>27.2013</v>
      </c>
      <c r="AS356" s="22">
        <v>-1.4297499999999999E-2</v>
      </c>
      <c r="AT356" s="22">
        <v>346</v>
      </c>
      <c r="AU356" s="22">
        <v>3.7463400000000001E-2</v>
      </c>
      <c r="AV356">
        <f t="shared" si="68"/>
        <v>17.651234567901231</v>
      </c>
      <c r="AW356">
        <f t="shared" si="69"/>
        <v>0.66526090987654307</v>
      </c>
      <c r="AX356" s="9"/>
      <c r="AY356" s="22">
        <v>1.6423000000000001</v>
      </c>
      <c r="AZ356" s="22">
        <v>30.9802</v>
      </c>
      <c r="BA356" s="22">
        <v>-7.9956100000000002E-3</v>
      </c>
      <c r="BB356" s="22">
        <v>346</v>
      </c>
      <c r="BC356" s="22">
        <v>1.64124</v>
      </c>
      <c r="BD356">
        <f t="shared" si="70"/>
        <v>9.8711234567901247</v>
      </c>
      <c r="BE356">
        <f t="shared" si="71"/>
        <v>16.211346053086423</v>
      </c>
    </row>
    <row r="357" spans="6:57">
      <c r="F357" s="9"/>
      <c r="G357" s="22">
        <v>3.2653799999999997E-2</v>
      </c>
      <c r="H357" s="22">
        <v>8.7389600000000005</v>
      </c>
      <c r="I357" s="22">
        <v>-1.42212E-2</v>
      </c>
      <c r="J357" s="22">
        <v>347</v>
      </c>
      <c r="K357" s="22">
        <v>3.2458500000000001E-2</v>
      </c>
      <c r="L357">
        <f t="shared" si="60"/>
        <v>17.557037037037034</v>
      </c>
      <c r="M357">
        <f t="shared" si="61"/>
        <v>0.57330397599999983</v>
      </c>
      <c r="N357" s="9"/>
      <c r="O357" s="22">
        <v>1.64734</v>
      </c>
      <c r="P357" s="22">
        <v>12.517899999999999</v>
      </c>
      <c r="Q357" s="22">
        <v>-7.8826899999999995E-3</v>
      </c>
      <c r="R357" s="22">
        <v>347</v>
      </c>
      <c r="S357" s="22">
        <v>1.64642</v>
      </c>
      <c r="T357">
        <f t="shared" si="62"/>
        <v>9.7317160493827153</v>
      </c>
      <c r="U357">
        <f t="shared" si="63"/>
        <v>16.031445116790124</v>
      </c>
      <c r="X357" s="9"/>
      <c r="Y357" s="22">
        <v>3.2653799999999997E-2</v>
      </c>
      <c r="Z357" s="22">
        <v>17.990100000000002</v>
      </c>
      <c r="AA357" s="22">
        <v>-1.4224199999999999E-2</v>
      </c>
      <c r="AB357" s="22">
        <v>347</v>
      </c>
      <c r="AC357" s="22">
        <v>3.24493E-2</v>
      </c>
      <c r="AD357">
        <f t="shared" si="64"/>
        <v>17.560740740740737</v>
      </c>
      <c r="AE357">
        <f t="shared" si="65"/>
        <v>0.57342491599999978</v>
      </c>
      <c r="AF357" s="9"/>
      <c r="AG357" s="22">
        <v>1.64734</v>
      </c>
      <c r="AH357" s="22">
        <v>21.768999999999998</v>
      </c>
      <c r="AI357" s="22">
        <v>-8.1451400000000004E-3</v>
      </c>
      <c r="AJ357" s="22">
        <v>347</v>
      </c>
      <c r="AK357" s="22">
        <v>1.64673</v>
      </c>
      <c r="AL357">
        <f t="shared" si="66"/>
        <v>10.055728395061728</v>
      </c>
      <c r="AM357">
        <f t="shared" si="67"/>
        <v>16.565203614320986</v>
      </c>
      <c r="AP357" s="9"/>
      <c r="AQ357" s="22">
        <v>3.2653799999999997E-2</v>
      </c>
      <c r="AR357" s="22">
        <v>27.211400000000001</v>
      </c>
      <c r="AS357" s="22">
        <v>-1.4297499999999999E-2</v>
      </c>
      <c r="AT357" s="22">
        <v>347</v>
      </c>
      <c r="AU357" s="22">
        <v>3.2550000000000003E-2</v>
      </c>
      <c r="AV357">
        <f t="shared" si="68"/>
        <v>17.651234567901231</v>
      </c>
      <c r="AW357">
        <f t="shared" si="69"/>
        <v>0.57637988333333312</v>
      </c>
      <c r="AX357" s="9"/>
      <c r="AY357" s="22">
        <v>1.64734</v>
      </c>
      <c r="AZ357" s="22">
        <v>30.990300000000001</v>
      </c>
      <c r="BA357" s="22">
        <v>-7.7270500000000001E-3</v>
      </c>
      <c r="BB357" s="22">
        <v>347</v>
      </c>
      <c r="BC357" s="22">
        <v>1.64612</v>
      </c>
      <c r="BD357">
        <f t="shared" si="70"/>
        <v>9.539567901234566</v>
      </c>
      <c r="BE357">
        <f t="shared" si="71"/>
        <v>15.71491178641975</v>
      </c>
    </row>
    <row r="358" spans="6:57">
      <c r="F358" s="9"/>
      <c r="G358" s="22">
        <v>2.7618400000000001E-2</v>
      </c>
      <c r="H358" s="22">
        <v>8.7490299999999994</v>
      </c>
      <c r="I358" s="22">
        <v>-1.42151E-2</v>
      </c>
      <c r="J358" s="22">
        <v>348</v>
      </c>
      <c r="K358" s="22">
        <v>2.73926E-2</v>
      </c>
      <c r="L358">
        <f t="shared" si="60"/>
        <v>17.549506172839507</v>
      </c>
      <c r="M358">
        <f t="shared" si="61"/>
        <v>0.48468928128395067</v>
      </c>
      <c r="N358" s="9"/>
      <c r="O358" s="22">
        <v>1.6523699999999999</v>
      </c>
      <c r="P358" s="22">
        <v>12.527900000000001</v>
      </c>
      <c r="Q358" s="22">
        <v>-7.6049799999999999E-3</v>
      </c>
      <c r="R358" s="22">
        <v>348</v>
      </c>
      <c r="S358" s="22">
        <v>1.651</v>
      </c>
      <c r="T358">
        <f t="shared" si="62"/>
        <v>9.3888641975308627</v>
      </c>
      <c r="U358">
        <f t="shared" si="63"/>
        <v>15.513877534074071</v>
      </c>
      <c r="X358" s="9"/>
      <c r="Y358" s="22">
        <v>2.7618400000000001E-2</v>
      </c>
      <c r="Z358" s="22">
        <v>18.0002</v>
      </c>
      <c r="AA358" s="22">
        <v>-1.42273E-2</v>
      </c>
      <c r="AB358" s="22">
        <v>348</v>
      </c>
      <c r="AC358" s="22">
        <v>2.7417E-2</v>
      </c>
      <c r="AD358">
        <f t="shared" si="64"/>
        <v>17.564567901234565</v>
      </c>
      <c r="AE358">
        <f t="shared" si="65"/>
        <v>0.48510526212345673</v>
      </c>
      <c r="AF358" s="9"/>
      <c r="AG358" s="22">
        <v>1.6523699999999999</v>
      </c>
      <c r="AH358" s="22">
        <v>21.7791</v>
      </c>
      <c r="AI358" s="22">
        <v>-7.8704799999999991E-3</v>
      </c>
      <c r="AJ358" s="22">
        <v>348</v>
      </c>
      <c r="AK358" s="22">
        <v>1.6513100000000001</v>
      </c>
      <c r="AL358">
        <f t="shared" si="66"/>
        <v>9.7166419753086402</v>
      </c>
      <c r="AM358">
        <f t="shared" si="67"/>
        <v>16.055487700740738</v>
      </c>
      <c r="AP358" s="9"/>
      <c r="AQ358" s="22">
        <v>2.7618400000000001E-2</v>
      </c>
      <c r="AR358" s="22">
        <v>27.221399999999999</v>
      </c>
      <c r="AS358" s="22">
        <v>-1.4291399999999999E-2</v>
      </c>
      <c r="AT358" s="22">
        <v>348</v>
      </c>
      <c r="AU358" s="22">
        <v>2.7517699999999999E-2</v>
      </c>
      <c r="AV358">
        <f t="shared" si="68"/>
        <v>17.643703703703704</v>
      </c>
      <c r="AW358">
        <f t="shared" si="69"/>
        <v>0.48729086637037039</v>
      </c>
      <c r="AX358" s="9"/>
      <c r="AY358" s="22">
        <v>1.6523699999999999</v>
      </c>
      <c r="AZ358" s="22">
        <v>31.000399999999999</v>
      </c>
      <c r="BA358" s="22">
        <v>-7.4371300000000001E-3</v>
      </c>
      <c r="BB358" s="22">
        <v>348</v>
      </c>
      <c r="BC358" s="22">
        <v>1.6513100000000001</v>
      </c>
      <c r="BD358">
        <f t="shared" si="70"/>
        <v>9.1816419753086418</v>
      </c>
      <c r="BE358">
        <f t="shared" si="71"/>
        <v>15.171469750740739</v>
      </c>
    </row>
    <row r="359" spans="6:57">
      <c r="F359" s="9"/>
      <c r="G359" s="22">
        <v>2.2582999999999999E-2</v>
      </c>
      <c r="H359" s="22">
        <v>8.7591000000000001</v>
      </c>
      <c r="I359" s="22">
        <v>-1.4208999999999999E-2</v>
      </c>
      <c r="J359" s="22">
        <v>349</v>
      </c>
      <c r="K359" s="22">
        <v>2.2207600000000001E-2</v>
      </c>
      <c r="L359">
        <f t="shared" si="60"/>
        <v>17.541975308641973</v>
      </c>
      <c r="M359">
        <f t="shared" si="61"/>
        <v>0.39615042839506165</v>
      </c>
      <c r="N359" s="9"/>
      <c r="O359" s="22">
        <v>1.65741</v>
      </c>
      <c r="P359" s="22">
        <v>12.538</v>
      </c>
      <c r="Q359" s="22">
        <v>-7.3059099999999997E-3</v>
      </c>
      <c r="R359" s="22">
        <v>349</v>
      </c>
      <c r="S359" s="22">
        <v>1.6561900000000001</v>
      </c>
      <c r="T359">
        <f t="shared" si="62"/>
        <v>9.019641975308641</v>
      </c>
      <c r="U359">
        <f t="shared" si="63"/>
        <v>14.949244806296296</v>
      </c>
      <c r="X359" s="9"/>
      <c r="Y359" s="22">
        <v>2.2582999999999999E-2</v>
      </c>
      <c r="Z359" s="22">
        <v>18.010300000000001</v>
      </c>
      <c r="AA359" s="22">
        <v>-1.42334E-2</v>
      </c>
      <c r="AB359" s="22">
        <v>349</v>
      </c>
      <c r="AC359" s="22">
        <v>2.23602E-2</v>
      </c>
      <c r="AD359">
        <f t="shared" si="64"/>
        <v>17.572098765432099</v>
      </c>
      <c r="AE359">
        <f t="shared" si="65"/>
        <v>0.39683070641975304</v>
      </c>
      <c r="AF359" s="9"/>
      <c r="AG359" s="22">
        <v>1.65741</v>
      </c>
      <c r="AH359" s="22">
        <v>21.789200000000001</v>
      </c>
      <c r="AI359" s="22">
        <v>-7.5866700000000002E-3</v>
      </c>
      <c r="AJ359" s="22">
        <v>349</v>
      </c>
      <c r="AK359" s="22">
        <v>1.6561900000000001</v>
      </c>
      <c r="AL359">
        <f t="shared" si="66"/>
        <v>9.3662592592592588</v>
      </c>
      <c r="AM359">
        <f t="shared" si="67"/>
        <v>15.523731758888889</v>
      </c>
      <c r="AP359" s="9"/>
      <c r="AQ359" s="22">
        <v>2.2582999999999999E-2</v>
      </c>
      <c r="AR359" s="22">
        <v>27.2315</v>
      </c>
      <c r="AS359" s="22">
        <v>-1.42822E-2</v>
      </c>
      <c r="AT359" s="22">
        <v>349</v>
      </c>
      <c r="AU359" s="22">
        <v>2.2433499999999999E-2</v>
      </c>
      <c r="AV359">
        <f t="shared" si="68"/>
        <v>17.632345679012342</v>
      </c>
      <c r="AW359">
        <f t="shared" si="69"/>
        <v>0.39819126246913572</v>
      </c>
      <c r="AX359" s="9"/>
      <c r="AY359" s="22">
        <v>1.65741</v>
      </c>
      <c r="AZ359" s="22">
        <v>31.010400000000001</v>
      </c>
      <c r="BA359" s="22">
        <v>-7.1258500000000004E-3</v>
      </c>
      <c r="BB359" s="22">
        <v>349</v>
      </c>
      <c r="BC359" s="22">
        <v>1.65588</v>
      </c>
      <c r="BD359">
        <f t="shared" si="70"/>
        <v>8.7973456790123468</v>
      </c>
      <c r="BE359">
        <f t="shared" si="71"/>
        <v>14.580808701851854</v>
      </c>
    </row>
    <row r="360" spans="6:57">
      <c r="F360" s="9"/>
      <c r="G360" s="22">
        <v>1.75476E-2</v>
      </c>
      <c r="H360" s="22">
        <v>8.7691700000000008</v>
      </c>
      <c r="I360" s="22">
        <v>-1.4208999999999999E-2</v>
      </c>
      <c r="J360" s="22">
        <v>350</v>
      </c>
      <c r="K360" s="22">
        <v>1.7404200000000002E-2</v>
      </c>
      <c r="L360">
        <f t="shared" si="60"/>
        <v>17.541975308641973</v>
      </c>
      <c r="M360">
        <f t="shared" si="61"/>
        <v>0.30781956592592591</v>
      </c>
      <c r="N360" s="9"/>
      <c r="O360" s="22">
        <v>1.66245</v>
      </c>
      <c r="P360" s="22">
        <v>12.5481</v>
      </c>
      <c r="Q360" s="22">
        <v>-6.9885299999999997E-3</v>
      </c>
      <c r="R360" s="22">
        <v>350</v>
      </c>
      <c r="S360" s="22">
        <v>1.6613800000000001</v>
      </c>
      <c r="T360">
        <f t="shared" si="62"/>
        <v>8.6278148148148137</v>
      </c>
      <c r="U360">
        <f t="shared" si="63"/>
        <v>14.343310738888887</v>
      </c>
      <c r="X360" s="9"/>
      <c r="Y360" s="22">
        <v>1.75476E-2</v>
      </c>
      <c r="Z360" s="22">
        <v>18.020399999999999</v>
      </c>
      <c r="AA360" s="22">
        <v>-1.4236499999999999E-2</v>
      </c>
      <c r="AB360" s="22">
        <v>350</v>
      </c>
      <c r="AC360" s="22">
        <v>1.7147800000000001E-2</v>
      </c>
      <c r="AD360">
        <f t="shared" si="64"/>
        <v>17.575925925925926</v>
      </c>
      <c r="AE360">
        <f t="shared" si="65"/>
        <v>0.30841531777777775</v>
      </c>
      <c r="AF360" s="9"/>
      <c r="AG360" s="22">
        <v>1.66245</v>
      </c>
      <c r="AH360" s="22">
        <v>21.799299999999999</v>
      </c>
      <c r="AI360" s="22">
        <v>-7.2753899999999996E-3</v>
      </c>
      <c r="AJ360" s="22">
        <v>350</v>
      </c>
      <c r="AK360" s="22">
        <v>1.6613800000000001</v>
      </c>
      <c r="AL360">
        <f t="shared" si="66"/>
        <v>8.981962962962962</v>
      </c>
      <c r="AM360">
        <f t="shared" si="67"/>
        <v>14.932064327777777</v>
      </c>
      <c r="AP360" s="9"/>
      <c r="AQ360" s="22">
        <v>1.75476E-2</v>
      </c>
      <c r="AR360" s="22">
        <v>27.241599999999998</v>
      </c>
      <c r="AS360" s="22">
        <v>-1.4279200000000001E-2</v>
      </c>
      <c r="AT360" s="22">
        <v>350</v>
      </c>
      <c r="AU360" s="22">
        <v>1.7340100000000001E-2</v>
      </c>
      <c r="AV360">
        <f t="shared" si="68"/>
        <v>17.628641975308639</v>
      </c>
      <c r="AW360">
        <f t="shared" si="69"/>
        <v>0.3093403579259259</v>
      </c>
      <c r="AX360" s="9"/>
      <c r="AY360" s="22">
        <v>1.66245</v>
      </c>
      <c r="AZ360" s="22">
        <v>31.020499999999998</v>
      </c>
      <c r="BA360" s="22">
        <v>-6.8023700000000003E-3</v>
      </c>
      <c r="BB360" s="22">
        <v>350</v>
      </c>
      <c r="BC360" s="22">
        <v>1.6613800000000001</v>
      </c>
      <c r="BD360">
        <f t="shared" si="70"/>
        <v>8.3979876543209873</v>
      </c>
      <c r="BE360">
        <f t="shared" si="71"/>
        <v>13.961234575925925</v>
      </c>
    </row>
    <row r="361" spans="6:57">
      <c r="F361" s="9"/>
      <c r="G361" s="22">
        <v>1.2512199999999999E-2</v>
      </c>
      <c r="H361" s="22">
        <v>8.7792499999999993</v>
      </c>
      <c r="I361" s="22">
        <v>-1.4208999999999999E-2</v>
      </c>
      <c r="J361" s="22">
        <v>351</v>
      </c>
      <c r="K361" s="22">
        <v>1.23535E-2</v>
      </c>
      <c r="L361">
        <f t="shared" si="60"/>
        <v>17.541975308641973</v>
      </c>
      <c r="M361">
        <f t="shared" si="61"/>
        <v>0.21948870345679009</v>
      </c>
      <c r="N361" s="9"/>
      <c r="O361" s="22">
        <v>1.6674800000000001</v>
      </c>
      <c r="P361" s="22">
        <v>12.558199999999999</v>
      </c>
      <c r="Q361" s="22">
        <v>-6.6528300000000002E-3</v>
      </c>
      <c r="R361" s="22">
        <v>351</v>
      </c>
      <c r="S361" s="22">
        <v>1.66656</v>
      </c>
      <c r="T361">
        <f t="shared" si="62"/>
        <v>8.2133703703703702</v>
      </c>
      <c r="U361">
        <f t="shared" si="63"/>
        <v>13.695630825185185</v>
      </c>
      <c r="X361" s="9"/>
      <c r="Y361" s="22">
        <v>1.2512199999999999E-2</v>
      </c>
      <c r="Z361" s="22">
        <v>18.0304</v>
      </c>
      <c r="AA361" s="22">
        <v>-1.4245600000000001E-2</v>
      </c>
      <c r="AB361" s="22">
        <v>351</v>
      </c>
      <c r="AC361" s="22">
        <v>1.22192E-2</v>
      </c>
      <c r="AD361">
        <f t="shared" si="64"/>
        <v>17.58716049382716</v>
      </c>
      <c r="AE361">
        <f t="shared" si="65"/>
        <v>0.22005406953086418</v>
      </c>
      <c r="AF361" s="9"/>
      <c r="AG361" s="22">
        <v>1.6674800000000001</v>
      </c>
      <c r="AH361" s="22">
        <v>21.8093</v>
      </c>
      <c r="AI361" s="22">
        <v>-6.9488500000000003E-3</v>
      </c>
      <c r="AJ361" s="22">
        <v>351</v>
      </c>
      <c r="AK361" s="22">
        <v>1.66656</v>
      </c>
      <c r="AL361">
        <f t="shared" si="66"/>
        <v>8.5788271604938267</v>
      </c>
      <c r="AM361">
        <f t="shared" si="67"/>
        <v>14.305022713580247</v>
      </c>
      <c r="AP361" s="9"/>
      <c r="AQ361" s="22">
        <v>1.2512199999999999E-2</v>
      </c>
      <c r="AR361" s="22">
        <v>27.2517</v>
      </c>
      <c r="AS361" s="22">
        <v>-1.4279200000000001E-2</v>
      </c>
      <c r="AT361" s="22">
        <v>351</v>
      </c>
      <c r="AU361" s="22">
        <v>1.2295499999999999E-2</v>
      </c>
      <c r="AV361">
        <f t="shared" si="68"/>
        <v>17.628641975308639</v>
      </c>
      <c r="AW361">
        <f t="shared" si="69"/>
        <v>0.22057309412345674</v>
      </c>
      <c r="AX361" s="9"/>
      <c r="AY361" s="22">
        <v>1.6674800000000001</v>
      </c>
      <c r="AZ361" s="22">
        <v>31.0306</v>
      </c>
      <c r="BA361" s="22">
        <v>-6.4483600000000002E-3</v>
      </c>
      <c r="BB361" s="22">
        <v>351</v>
      </c>
      <c r="BC361" s="22">
        <v>1.66595</v>
      </c>
      <c r="BD361">
        <f t="shared" si="70"/>
        <v>7.9609382716049373</v>
      </c>
      <c r="BE361">
        <f t="shared" si="71"/>
        <v>13.274705349135802</v>
      </c>
    </row>
    <row r="362" spans="6:57">
      <c r="F362" s="9"/>
      <c r="G362" s="22">
        <v>7.4768100000000004E-3</v>
      </c>
      <c r="H362" s="22">
        <v>8.78932</v>
      </c>
      <c r="I362" s="22">
        <v>-1.4212000000000001E-2</v>
      </c>
      <c r="J362" s="22">
        <v>352</v>
      </c>
      <c r="K362" s="22">
        <v>7.2662400000000002E-3</v>
      </c>
      <c r="L362">
        <f t="shared" si="60"/>
        <v>17.54567901234568</v>
      </c>
      <c r="M362">
        <f t="shared" si="61"/>
        <v>0.13118570829629631</v>
      </c>
      <c r="N362" s="9"/>
      <c r="O362" s="22">
        <v>1.67252</v>
      </c>
      <c r="P362" s="22">
        <v>12.568199999999999</v>
      </c>
      <c r="Q362" s="22">
        <v>-6.3018800000000002E-3</v>
      </c>
      <c r="R362" s="22">
        <v>352</v>
      </c>
      <c r="S362" s="22">
        <v>1.6720600000000001</v>
      </c>
      <c r="T362">
        <f t="shared" si="62"/>
        <v>7.7800987654320988</v>
      </c>
      <c r="U362">
        <f t="shared" si="63"/>
        <v>13.012370787160494</v>
      </c>
      <c r="X362" s="9"/>
      <c r="Y362" s="22">
        <v>7.4768100000000004E-3</v>
      </c>
      <c r="Z362" s="22">
        <v>18.040500000000002</v>
      </c>
      <c r="AA362" s="22">
        <v>-1.42548E-2</v>
      </c>
      <c r="AB362" s="22">
        <v>352</v>
      </c>
      <c r="AC362" s="22">
        <v>7.1044899999999998E-3</v>
      </c>
      <c r="AD362">
        <f t="shared" si="64"/>
        <v>17.598518518518517</v>
      </c>
      <c r="AE362">
        <f t="shared" si="65"/>
        <v>0.13158077924444445</v>
      </c>
      <c r="AF362" s="9"/>
      <c r="AG362" s="22">
        <v>1.67252</v>
      </c>
      <c r="AH362" s="22">
        <v>21.819400000000002</v>
      </c>
      <c r="AI362" s="22">
        <v>-6.5979000000000003E-3</v>
      </c>
      <c r="AJ362" s="22">
        <v>352</v>
      </c>
      <c r="AK362" s="22">
        <v>1.6720600000000001</v>
      </c>
      <c r="AL362">
        <f t="shared" si="66"/>
        <v>8.1455555555555552</v>
      </c>
      <c r="AM362">
        <f t="shared" si="67"/>
        <v>13.623604577777778</v>
      </c>
      <c r="AP362" s="9"/>
      <c r="AQ362" s="22">
        <v>7.4768100000000004E-3</v>
      </c>
      <c r="AR362" s="22">
        <v>27.261700000000001</v>
      </c>
      <c r="AS362" s="22">
        <v>-1.4279200000000001E-2</v>
      </c>
      <c r="AT362" s="22">
        <v>352</v>
      </c>
      <c r="AU362" s="22">
        <v>7.2113000000000003E-3</v>
      </c>
      <c r="AV362">
        <f t="shared" si="68"/>
        <v>17.628641975308639</v>
      </c>
      <c r="AW362">
        <f t="shared" si="69"/>
        <v>0.13180600660740741</v>
      </c>
      <c r="AX362" s="9"/>
      <c r="AY362" s="22">
        <v>1.67252</v>
      </c>
      <c r="AZ362" s="22">
        <v>31.040600000000001</v>
      </c>
      <c r="BA362" s="22">
        <v>-6.0821499999999997E-3</v>
      </c>
      <c r="BB362" s="22">
        <v>352</v>
      </c>
      <c r="BC362" s="22">
        <v>1.6717500000000001</v>
      </c>
      <c r="BD362">
        <f t="shared" si="70"/>
        <v>7.5088271604938264</v>
      </c>
      <c r="BE362">
        <f t="shared" si="71"/>
        <v>12.558663602469135</v>
      </c>
    </row>
    <row r="363" spans="6:57">
      <c r="F363" s="9"/>
      <c r="G363" s="22">
        <v>2.4414100000000002E-3</v>
      </c>
      <c r="H363" s="22">
        <v>8.7993900000000007</v>
      </c>
      <c r="I363" s="22">
        <v>-1.4218099999999999E-2</v>
      </c>
      <c r="J363" s="22">
        <v>353</v>
      </c>
      <c r="K363" s="22">
        <v>2.3223900000000001E-3</v>
      </c>
      <c r="L363">
        <f t="shared" si="60"/>
        <v>17.553209876543207</v>
      </c>
      <c r="M363">
        <f t="shared" si="61"/>
        <v>4.2854582124691357E-2</v>
      </c>
      <c r="N363" s="9"/>
      <c r="O363" s="22">
        <v>1.6775500000000001</v>
      </c>
      <c r="P363" s="22">
        <v>12.5783</v>
      </c>
      <c r="Q363" s="22">
        <v>-5.9295700000000003E-3</v>
      </c>
      <c r="R363" s="22">
        <v>353</v>
      </c>
      <c r="S363" s="22">
        <v>1.6766399999999999</v>
      </c>
      <c r="T363">
        <f t="shared" si="62"/>
        <v>7.3204567901234565</v>
      </c>
      <c r="U363">
        <f t="shared" si="63"/>
        <v>12.280432288271605</v>
      </c>
      <c r="X363" s="9"/>
      <c r="Y363" s="22">
        <v>2.4414100000000002E-3</v>
      </c>
      <c r="Z363" s="22">
        <v>18.050599999999999</v>
      </c>
      <c r="AA363" s="22">
        <v>-1.42548E-2</v>
      </c>
      <c r="AB363" s="22">
        <v>353</v>
      </c>
      <c r="AC363" s="22">
        <v>2.1179200000000001E-3</v>
      </c>
      <c r="AD363">
        <f t="shared" si="64"/>
        <v>17.598518518518517</v>
      </c>
      <c r="AE363">
        <f t="shared" si="65"/>
        <v>4.29651990962963E-2</v>
      </c>
      <c r="AF363" s="9"/>
      <c r="AG363" s="22">
        <v>1.6775500000000001</v>
      </c>
      <c r="AH363" s="22">
        <v>21.829499999999999</v>
      </c>
      <c r="AI363" s="22">
        <v>-6.2225300000000004E-3</v>
      </c>
      <c r="AJ363" s="22">
        <v>353</v>
      </c>
      <c r="AK363" s="22">
        <v>1.6769400000000001</v>
      </c>
      <c r="AL363">
        <f t="shared" si="66"/>
        <v>7.6821358024691362</v>
      </c>
      <c r="AM363">
        <f t="shared" si="67"/>
        <v>12.8871669154321</v>
      </c>
      <c r="AP363" s="9"/>
      <c r="AQ363" s="22">
        <v>2.4414100000000002E-3</v>
      </c>
      <c r="AR363" s="22">
        <v>27.271799999999999</v>
      </c>
      <c r="AS363" s="22">
        <v>-1.4285300000000001E-2</v>
      </c>
      <c r="AT363" s="22">
        <v>353</v>
      </c>
      <c r="AU363" s="22">
        <v>2.31934E-3</v>
      </c>
      <c r="AV363">
        <f t="shared" si="68"/>
        <v>17.636172839506173</v>
      </c>
      <c r="AW363">
        <f t="shared" si="69"/>
        <v>4.3057128732098771E-2</v>
      </c>
      <c r="AX363" s="9"/>
      <c r="AY363" s="22">
        <v>1.6775500000000001</v>
      </c>
      <c r="AZ363" s="22">
        <v>31.050699999999999</v>
      </c>
      <c r="BA363" s="22">
        <v>-5.68237E-3</v>
      </c>
      <c r="BB363" s="22">
        <v>353</v>
      </c>
      <c r="BC363" s="22">
        <v>1.6760299999999999</v>
      </c>
      <c r="BD363">
        <f t="shared" si="70"/>
        <v>7.0152716049382713</v>
      </c>
      <c r="BE363">
        <f t="shared" si="71"/>
        <v>11.768468880864198</v>
      </c>
    </row>
    <row r="364" spans="6:57">
      <c r="F364" s="9"/>
      <c r="G364" s="22">
        <v>-2.59399E-3</v>
      </c>
      <c r="H364" s="22">
        <v>8.8094599999999996</v>
      </c>
      <c r="I364" s="22">
        <v>-1.42273E-2</v>
      </c>
      <c r="J364" s="22">
        <v>354</v>
      </c>
      <c r="K364" s="22">
        <v>-2.8808599999999998E-3</v>
      </c>
      <c r="L364">
        <f t="shared" si="60"/>
        <v>17.564567901234565</v>
      </c>
      <c r="M364">
        <f t="shared" si="61"/>
        <v>-4.5562313490123449E-2</v>
      </c>
      <c r="N364" s="9"/>
      <c r="O364" s="22">
        <v>1.68259</v>
      </c>
      <c r="P364" s="22">
        <v>12.5884</v>
      </c>
      <c r="Q364" s="22">
        <v>-5.5297899999999997E-3</v>
      </c>
      <c r="R364" s="22">
        <v>354</v>
      </c>
      <c r="S364" s="22">
        <v>1.6824300000000001</v>
      </c>
      <c r="T364">
        <f t="shared" si="62"/>
        <v>6.8269012345679005</v>
      </c>
      <c r="U364">
        <f t="shared" si="63"/>
        <v>11.486875748271604</v>
      </c>
      <c r="X364" s="9"/>
      <c r="Y364" s="22">
        <v>-2.59399E-3</v>
      </c>
      <c r="Z364" s="22">
        <v>18.060600000000001</v>
      </c>
      <c r="AA364" s="22">
        <v>-1.42609E-2</v>
      </c>
      <c r="AB364" s="22">
        <v>354</v>
      </c>
      <c r="AC364" s="22">
        <v>-2.8350799999999998E-3</v>
      </c>
      <c r="AD364">
        <f t="shared" si="64"/>
        <v>17.606049382716048</v>
      </c>
      <c r="AE364">
        <f t="shared" si="65"/>
        <v>-4.5669916038271599E-2</v>
      </c>
      <c r="AF364" s="9"/>
      <c r="AG364" s="22">
        <v>1.68259</v>
      </c>
      <c r="AH364" s="22">
        <v>21.839500000000001</v>
      </c>
      <c r="AI364" s="22">
        <v>-5.8136000000000004E-3</v>
      </c>
      <c r="AJ364" s="22">
        <v>354</v>
      </c>
      <c r="AK364" s="22">
        <v>1.6818200000000001</v>
      </c>
      <c r="AL364">
        <f t="shared" si="66"/>
        <v>7.1772839506172845</v>
      </c>
      <c r="AM364">
        <f t="shared" si="67"/>
        <v>12.076426202469136</v>
      </c>
      <c r="AP364" s="9"/>
      <c r="AQ364" s="22">
        <v>-2.59399E-3</v>
      </c>
      <c r="AR364" s="22">
        <v>27.2819</v>
      </c>
      <c r="AS364" s="22">
        <v>-1.4291399999999999E-2</v>
      </c>
      <c r="AT364" s="22">
        <v>354</v>
      </c>
      <c r="AU364" s="22">
        <v>-2.8839099999999999E-3</v>
      </c>
      <c r="AV364">
        <f t="shared" si="68"/>
        <v>17.643703703703704</v>
      </c>
      <c r="AW364">
        <f t="shared" si="69"/>
        <v>-4.5767590970370371E-2</v>
      </c>
      <c r="AX364" s="9"/>
      <c r="AY364" s="22">
        <v>1.68259</v>
      </c>
      <c r="AZ364" s="22">
        <v>31.0608</v>
      </c>
      <c r="BA364" s="22">
        <v>-5.2612300000000004E-3</v>
      </c>
      <c r="BB364" s="22">
        <v>354</v>
      </c>
      <c r="BC364" s="22">
        <v>1.6815199999999999</v>
      </c>
      <c r="BD364">
        <f t="shared" si="70"/>
        <v>6.4953456790123463</v>
      </c>
      <c r="BE364">
        <f t="shared" si="71"/>
        <v>10.929003686049384</v>
      </c>
    </row>
    <row r="365" spans="6:57">
      <c r="F365" s="9"/>
      <c r="G365" s="22">
        <v>-7.6293899999999998E-3</v>
      </c>
      <c r="H365" s="22">
        <v>8.8195300000000003</v>
      </c>
      <c r="I365" s="22">
        <v>-1.4224199999999999E-2</v>
      </c>
      <c r="J365" s="22">
        <v>355</v>
      </c>
      <c r="K365" s="22">
        <v>-7.9650899999999993E-3</v>
      </c>
      <c r="L365">
        <f t="shared" si="60"/>
        <v>17.560740740740737</v>
      </c>
      <c r="M365">
        <f t="shared" si="61"/>
        <v>-0.13397773979999997</v>
      </c>
      <c r="N365" s="9"/>
      <c r="O365" s="22">
        <v>1.6876199999999999</v>
      </c>
      <c r="P365" s="22">
        <v>12.5984</v>
      </c>
      <c r="Q365" s="22">
        <v>-5.1147500000000004E-3</v>
      </c>
      <c r="R365" s="22">
        <v>355</v>
      </c>
      <c r="S365" s="22">
        <v>1.6863999999999999</v>
      </c>
      <c r="T365">
        <f t="shared" si="62"/>
        <v>6.314506172839506</v>
      </c>
      <c r="U365">
        <f t="shared" si="63"/>
        <v>10.656486907407407</v>
      </c>
      <c r="X365" s="9"/>
      <c r="Y365" s="22">
        <v>-7.6293899999999998E-3</v>
      </c>
      <c r="Z365" s="22">
        <v>18.070699999999999</v>
      </c>
      <c r="AA365" s="22">
        <v>-1.42609E-2</v>
      </c>
      <c r="AB365" s="22">
        <v>355</v>
      </c>
      <c r="AC365" s="22">
        <v>-7.9559299999999999E-3</v>
      </c>
      <c r="AD365">
        <f t="shared" si="64"/>
        <v>17.606049382716048</v>
      </c>
      <c r="AE365">
        <f t="shared" si="65"/>
        <v>-0.13432341709999998</v>
      </c>
      <c r="AF365" s="9"/>
      <c r="AG365" s="22">
        <v>1.6876199999999999</v>
      </c>
      <c r="AH365" s="22">
        <v>21.849599999999999</v>
      </c>
      <c r="AI365" s="22">
        <v>-5.3863499999999998E-3</v>
      </c>
      <c r="AJ365" s="22">
        <v>355</v>
      </c>
      <c r="AK365" s="22">
        <v>1.6863999999999999</v>
      </c>
      <c r="AL365">
        <f t="shared" si="66"/>
        <v>6.649814814814814</v>
      </c>
      <c r="AM365">
        <f t="shared" si="67"/>
        <v>11.222360477777775</v>
      </c>
      <c r="AP365" s="9"/>
      <c r="AQ365" s="22">
        <v>-7.6293899999999998E-3</v>
      </c>
      <c r="AR365" s="22">
        <v>27.291899999999998</v>
      </c>
      <c r="AS365" s="22">
        <v>-1.4297499999999999E-2</v>
      </c>
      <c r="AT365" s="22">
        <v>355</v>
      </c>
      <c r="AU365" s="22">
        <v>-7.9528800000000007E-3</v>
      </c>
      <c r="AV365">
        <f t="shared" si="68"/>
        <v>17.651234567901231</v>
      </c>
      <c r="AW365">
        <f t="shared" si="69"/>
        <v>-0.13466815249999997</v>
      </c>
      <c r="AX365" s="9"/>
      <c r="AY365" s="22">
        <v>1.6876199999999999</v>
      </c>
      <c r="AZ365" s="22">
        <v>31.070799999999998</v>
      </c>
      <c r="BA365" s="22">
        <v>-4.8211699999999996E-3</v>
      </c>
      <c r="BB365" s="22">
        <v>355</v>
      </c>
      <c r="BC365" s="22">
        <v>1.6870099999999999</v>
      </c>
      <c r="BD365">
        <f t="shared" si="70"/>
        <v>5.9520617283950612</v>
      </c>
      <c r="BE365">
        <f t="shared" si="71"/>
        <v>10.044818414074072</v>
      </c>
    </row>
    <row r="366" spans="6:57">
      <c r="F366" s="9"/>
      <c r="G366" s="22">
        <v>-1.26648E-2</v>
      </c>
      <c r="H366" s="22">
        <v>8.8295999999999992</v>
      </c>
      <c r="I366" s="22">
        <v>-1.42212E-2</v>
      </c>
      <c r="J366" s="22">
        <v>356</v>
      </c>
      <c r="K366" s="22">
        <v>-1.30157E-2</v>
      </c>
      <c r="L366">
        <f t="shared" si="60"/>
        <v>17.557037037037034</v>
      </c>
      <c r="M366">
        <f t="shared" si="61"/>
        <v>-0.22235636266666664</v>
      </c>
      <c r="N366" s="9"/>
      <c r="O366" s="22">
        <v>1.6926600000000001</v>
      </c>
      <c r="P366" s="22">
        <v>12.608499999999999</v>
      </c>
      <c r="Q366" s="22">
        <v>-4.6679699999999996E-3</v>
      </c>
      <c r="R366" s="22">
        <v>356</v>
      </c>
      <c r="S366" s="22">
        <v>1.6918899999999999</v>
      </c>
      <c r="T366">
        <f t="shared" si="62"/>
        <v>5.7629259259259245</v>
      </c>
      <c r="U366">
        <f t="shared" si="63"/>
        <v>9.754674197777776</v>
      </c>
      <c r="X366" s="9"/>
      <c r="Y366" s="22">
        <v>-1.26648E-2</v>
      </c>
      <c r="Z366" s="22">
        <v>18.0808</v>
      </c>
      <c r="AA366" s="22">
        <v>-1.4263899999999999E-2</v>
      </c>
      <c r="AB366" s="22">
        <v>356</v>
      </c>
      <c r="AC366" s="22">
        <v>-1.30096E-2</v>
      </c>
      <c r="AD366">
        <f t="shared" si="64"/>
        <v>17.609753086419751</v>
      </c>
      <c r="AE366">
        <f t="shared" si="65"/>
        <v>-0.22302400088888888</v>
      </c>
      <c r="AF366" s="9"/>
      <c r="AG366" s="22">
        <v>1.6926600000000001</v>
      </c>
      <c r="AH366" s="22">
        <v>21.8597</v>
      </c>
      <c r="AI366" s="22">
        <v>-4.9215700000000001E-3</v>
      </c>
      <c r="AJ366" s="22">
        <v>356</v>
      </c>
      <c r="AK366" s="22">
        <v>1.6912799999999999</v>
      </c>
      <c r="AL366">
        <f t="shared" si="66"/>
        <v>6.076012345679012</v>
      </c>
      <c r="AM366">
        <f t="shared" si="67"/>
        <v>10.284623057037036</v>
      </c>
      <c r="AP366" s="9"/>
      <c r="AQ366" s="22">
        <v>-1.26648E-2</v>
      </c>
      <c r="AR366" s="22">
        <v>27.302</v>
      </c>
      <c r="AS366" s="22">
        <v>-1.4297499999999999E-2</v>
      </c>
      <c r="AT366" s="22">
        <v>356</v>
      </c>
      <c r="AU366" s="22">
        <v>-1.29395E-2</v>
      </c>
      <c r="AV366">
        <f t="shared" si="68"/>
        <v>17.651234567901231</v>
      </c>
      <c r="AW366">
        <f t="shared" si="69"/>
        <v>-0.22354935555555552</v>
      </c>
      <c r="AX366" s="9"/>
      <c r="AY366" s="22">
        <v>1.6926600000000001</v>
      </c>
      <c r="AZ366" s="22">
        <v>31.0809</v>
      </c>
      <c r="BA366" s="22">
        <v>-4.3554700000000002E-3</v>
      </c>
      <c r="BB366" s="22">
        <v>356</v>
      </c>
      <c r="BC366" s="22">
        <v>1.6915899999999999</v>
      </c>
      <c r="BD366">
        <f t="shared" si="70"/>
        <v>5.3771234567901232</v>
      </c>
      <c r="BE366">
        <f t="shared" si="71"/>
        <v>9.1016417903703708</v>
      </c>
    </row>
    <row r="367" spans="6:57">
      <c r="F367" s="9"/>
      <c r="G367" s="22">
        <v>-1.7700199999999999E-2</v>
      </c>
      <c r="H367" s="22">
        <v>8.8396699999999999</v>
      </c>
      <c r="I367" s="22">
        <v>-1.42273E-2</v>
      </c>
      <c r="J367" s="22">
        <v>357</v>
      </c>
      <c r="K367" s="22">
        <v>-1.8072499999999998E-2</v>
      </c>
      <c r="L367">
        <f t="shared" si="60"/>
        <v>17.564567901234565</v>
      </c>
      <c r="M367">
        <f t="shared" si="61"/>
        <v>-0.31089636476543203</v>
      </c>
      <c r="N367" s="9"/>
      <c r="O367" s="22">
        <v>1.6976899999999999</v>
      </c>
      <c r="P367" s="22">
        <v>12.618600000000001</v>
      </c>
      <c r="Q367" s="22">
        <v>-4.2053200000000002E-3</v>
      </c>
      <c r="R367" s="22">
        <v>357</v>
      </c>
      <c r="S367" s="22">
        <v>1.69678</v>
      </c>
      <c r="T367">
        <f t="shared" si="62"/>
        <v>5.1917530864197525</v>
      </c>
      <c r="U367">
        <f t="shared" si="63"/>
        <v>8.8139872972839495</v>
      </c>
      <c r="X367" s="9"/>
      <c r="Y367" s="22">
        <v>-1.7700199999999999E-2</v>
      </c>
      <c r="Z367" s="22">
        <v>18.090900000000001</v>
      </c>
      <c r="AA367" s="22">
        <v>-1.42731E-2</v>
      </c>
      <c r="AB367" s="22">
        <v>357</v>
      </c>
      <c r="AC367" s="22">
        <v>-1.80786E-2</v>
      </c>
      <c r="AD367">
        <f t="shared" si="64"/>
        <v>17.621111111111112</v>
      </c>
      <c r="AE367">
        <f t="shared" si="65"/>
        <v>-0.3118971908888889</v>
      </c>
      <c r="AF367" s="9"/>
      <c r="AG367" s="22">
        <v>1.6976899999999999</v>
      </c>
      <c r="AH367" s="22">
        <v>21.869800000000001</v>
      </c>
      <c r="AI367" s="22">
        <v>-4.4342000000000001E-3</v>
      </c>
      <c r="AJ367" s="22">
        <v>357</v>
      </c>
      <c r="AK367" s="22">
        <v>1.69678</v>
      </c>
      <c r="AL367">
        <f t="shared" si="66"/>
        <v>5.4743209876543206</v>
      </c>
      <c r="AM367">
        <f t="shared" si="67"/>
        <v>9.2936999975308634</v>
      </c>
      <c r="AP367" s="9"/>
      <c r="AQ367" s="22">
        <v>-1.7700199999999999E-2</v>
      </c>
      <c r="AR367" s="22">
        <v>27.312100000000001</v>
      </c>
      <c r="AS367" s="22">
        <v>-1.42883E-2</v>
      </c>
      <c r="AT367" s="22">
        <v>357</v>
      </c>
      <c r="AU367" s="22">
        <v>-1.8014499999999999E-2</v>
      </c>
      <c r="AV367">
        <f t="shared" si="68"/>
        <v>17.639876543209876</v>
      </c>
      <c r="AW367">
        <f t="shared" si="69"/>
        <v>-0.31222934279012343</v>
      </c>
      <c r="AX367" s="9"/>
      <c r="AY367" s="22">
        <v>1.6976899999999999</v>
      </c>
      <c r="AZ367" s="22">
        <v>31.091000000000001</v>
      </c>
      <c r="BA367" s="22">
        <v>-3.87207E-3</v>
      </c>
      <c r="BB367" s="22">
        <v>357</v>
      </c>
      <c r="BC367" s="22">
        <v>1.6964699999999999</v>
      </c>
      <c r="BD367">
        <f t="shared" si="70"/>
        <v>4.7803333333333331</v>
      </c>
      <c r="BE367">
        <f t="shared" si="71"/>
        <v>8.1155240966666664</v>
      </c>
    </row>
    <row r="368" spans="6:57">
      <c r="F368" s="9"/>
      <c r="G368" s="22">
        <v>-2.2735600000000002E-2</v>
      </c>
      <c r="H368" s="22">
        <v>8.8497400000000006</v>
      </c>
      <c r="I368" s="22">
        <v>-1.42334E-2</v>
      </c>
      <c r="J368" s="22">
        <v>358</v>
      </c>
      <c r="K368" s="22">
        <v>-2.3071299999999999E-2</v>
      </c>
      <c r="L368">
        <f t="shared" si="60"/>
        <v>17.572098765432099</v>
      </c>
      <c r="M368">
        <f t="shared" si="61"/>
        <v>-0.39951220869135806</v>
      </c>
      <c r="N368" s="9"/>
      <c r="O368" s="22">
        <v>1.7027300000000001</v>
      </c>
      <c r="P368" s="22">
        <v>12.6286</v>
      </c>
      <c r="Q368" s="22">
        <v>-3.7164300000000002E-3</v>
      </c>
      <c r="R368" s="22">
        <v>358</v>
      </c>
      <c r="S368" s="22">
        <v>1.70166</v>
      </c>
      <c r="T368">
        <f t="shared" si="62"/>
        <v>4.5881851851851847</v>
      </c>
      <c r="U368">
        <f t="shared" si="63"/>
        <v>7.8124405603703702</v>
      </c>
      <c r="X368" s="9"/>
      <c r="Y368" s="22">
        <v>-2.2735600000000002E-2</v>
      </c>
      <c r="Z368" s="22">
        <v>18.100899999999999</v>
      </c>
      <c r="AA368" s="22">
        <v>-1.42731E-2</v>
      </c>
      <c r="AB368" s="22">
        <v>358</v>
      </c>
      <c r="AC368" s="22">
        <v>-2.30438E-2</v>
      </c>
      <c r="AD368">
        <f t="shared" si="64"/>
        <v>17.621111111111112</v>
      </c>
      <c r="AE368">
        <f t="shared" si="65"/>
        <v>-0.40062653377777785</v>
      </c>
      <c r="AF368" s="9"/>
      <c r="AG368" s="22">
        <v>1.7027300000000001</v>
      </c>
      <c r="AH368" s="22">
        <v>21.879799999999999</v>
      </c>
      <c r="AI368" s="22">
        <v>-3.9074699999999997E-3</v>
      </c>
      <c r="AJ368" s="22">
        <v>358</v>
      </c>
      <c r="AK368" s="22">
        <v>1.70197</v>
      </c>
      <c r="AL368">
        <f t="shared" si="66"/>
        <v>4.8240370370370362</v>
      </c>
      <c r="AM368">
        <f t="shared" si="67"/>
        <v>8.2140325840740722</v>
      </c>
      <c r="AP368" s="9"/>
      <c r="AQ368" s="22">
        <v>-2.2735600000000002E-2</v>
      </c>
      <c r="AR368" s="22">
        <v>27.322199999999999</v>
      </c>
      <c r="AS368" s="22">
        <v>-1.4285300000000001E-2</v>
      </c>
      <c r="AT368" s="22">
        <v>358</v>
      </c>
      <c r="AU368" s="22">
        <v>-2.3056E-2</v>
      </c>
      <c r="AV368">
        <f t="shared" si="68"/>
        <v>17.636172839506173</v>
      </c>
      <c r="AW368">
        <f t="shared" si="69"/>
        <v>-0.40096897120987657</v>
      </c>
      <c r="AX368" s="9"/>
      <c r="AY368" s="22">
        <v>1.7027300000000001</v>
      </c>
      <c r="AZ368" s="22">
        <v>31.101099999999999</v>
      </c>
      <c r="BA368" s="22">
        <v>-3.36945E-3</v>
      </c>
      <c r="BB368" s="22">
        <v>358</v>
      </c>
      <c r="BC368" s="22">
        <v>1.70105</v>
      </c>
      <c r="BD368">
        <f t="shared" si="70"/>
        <v>4.1598148148148137</v>
      </c>
      <c r="BE368">
        <f t="shared" si="71"/>
        <v>7.0830414796296282</v>
      </c>
    </row>
    <row r="369" spans="6:57">
      <c r="F369" s="9"/>
      <c r="G369" s="22">
        <v>-2.7771000000000001E-2</v>
      </c>
      <c r="H369" s="22">
        <v>8.8598099999999995</v>
      </c>
      <c r="I369" s="22">
        <v>-1.4236499999999999E-2</v>
      </c>
      <c r="J369" s="22">
        <v>359</v>
      </c>
      <c r="K369" s="22">
        <v>-2.8158599999999999E-2</v>
      </c>
      <c r="L369">
        <f t="shared" si="60"/>
        <v>17.575925925925926</v>
      </c>
      <c r="M369">
        <f t="shared" si="61"/>
        <v>-0.48810103888888889</v>
      </c>
      <c r="N369" s="9"/>
      <c r="O369" s="22">
        <v>1.7077599999999999</v>
      </c>
      <c r="P369" s="22">
        <v>12.6387</v>
      </c>
      <c r="Q369" s="22">
        <v>-3.2043499999999999E-3</v>
      </c>
      <c r="R369" s="22">
        <v>359</v>
      </c>
      <c r="S369" s="22">
        <v>1.70624</v>
      </c>
      <c r="T369">
        <f t="shared" si="62"/>
        <v>3.9559876543209875</v>
      </c>
      <c r="U369">
        <f t="shared" si="63"/>
        <v>6.7558774765432092</v>
      </c>
      <c r="X369" s="9"/>
      <c r="Y369" s="22">
        <v>-2.7771000000000001E-2</v>
      </c>
      <c r="Z369" s="22">
        <v>18.111000000000001</v>
      </c>
      <c r="AA369" s="22">
        <v>-1.42761E-2</v>
      </c>
      <c r="AB369" s="22">
        <v>359</v>
      </c>
      <c r="AC369" s="22">
        <v>-2.8125000000000001E-2</v>
      </c>
      <c r="AD369">
        <f t="shared" si="64"/>
        <v>17.624814814814812</v>
      </c>
      <c r="AE369">
        <f t="shared" si="65"/>
        <v>-0.48945873222222214</v>
      </c>
      <c r="AF369" s="9"/>
      <c r="AG369" s="22">
        <v>1.7077599999999999</v>
      </c>
      <c r="AH369" s="22">
        <v>21.889900000000001</v>
      </c>
      <c r="AI369" s="22">
        <v>-3.3581499999999999E-3</v>
      </c>
      <c r="AJ369" s="22">
        <v>359</v>
      </c>
      <c r="AK369" s="22">
        <v>1.70685</v>
      </c>
      <c r="AL369">
        <f t="shared" si="66"/>
        <v>4.1458641975308641</v>
      </c>
      <c r="AM369">
        <f t="shared" si="67"/>
        <v>7.0801410419753079</v>
      </c>
      <c r="AP369" s="9"/>
      <c r="AQ369" s="22">
        <v>-2.7771000000000001E-2</v>
      </c>
      <c r="AR369" s="22">
        <v>27.3322</v>
      </c>
      <c r="AS369" s="22">
        <v>-1.42883E-2</v>
      </c>
      <c r="AT369" s="22">
        <v>359</v>
      </c>
      <c r="AU369" s="22">
        <v>-2.81952E-2</v>
      </c>
      <c r="AV369">
        <f t="shared" si="68"/>
        <v>17.639876543209876</v>
      </c>
      <c r="AW369">
        <f t="shared" si="69"/>
        <v>-0.48987701148148149</v>
      </c>
      <c r="AX369" s="9"/>
      <c r="AY369" s="22">
        <v>1.7077599999999999</v>
      </c>
      <c r="AZ369" s="22">
        <v>31.1111</v>
      </c>
      <c r="BA369" s="22">
        <v>-2.83417E-3</v>
      </c>
      <c r="BB369" s="22">
        <v>359</v>
      </c>
      <c r="BC369" s="22">
        <v>1.7065399999999999</v>
      </c>
      <c r="BD369">
        <f t="shared" si="70"/>
        <v>3.4989753086419748</v>
      </c>
      <c r="BE369">
        <f t="shared" si="71"/>
        <v>5.9754100730864188</v>
      </c>
    </row>
    <row r="370" spans="6:57">
      <c r="F370" s="9"/>
      <c r="G370" s="22">
        <v>-3.2806399999999999E-2</v>
      </c>
      <c r="H370" s="22">
        <v>8.8698800000000002</v>
      </c>
      <c r="I370" s="22">
        <v>-1.42334E-2</v>
      </c>
      <c r="J370" s="22">
        <v>360</v>
      </c>
      <c r="K370" s="22">
        <v>-3.3105500000000003E-2</v>
      </c>
      <c r="L370">
        <f t="shared" si="60"/>
        <v>17.572098765432099</v>
      </c>
      <c r="M370">
        <f t="shared" si="61"/>
        <v>-0.57647730093827154</v>
      </c>
      <c r="N370" s="9"/>
      <c r="O370" s="22">
        <v>1.7128000000000001</v>
      </c>
      <c r="P370" s="22">
        <v>12.6488</v>
      </c>
      <c r="Q370" s="22">
        <v>-2.6666300000000001E-3</v>
      </c>
      <c r="R370" s="22">
        <v>360</v>
      </c>
      <c r="S370" s="22">
        <v>1.71204</v>
      </c>
      <c r="T370">
        <f t="shared" si="62"/>
        <v>3.2921358024691356</v>
      </c>
      <c r="U370">
        <f t="shared" si="63"/>
        <v>5.6387702024691357</v>
      </c>
      <c r="X370" s="9"/>
      <c r="Y370" s="22">
        <v>-3.2806399999999999E-2</v>
      </c>
      <c r="Z370" s="22">
        <v>18.121099999999998</v>
      </c>
      <c r="AA370" s="22">
        <v>-1.4285300000000001E-2</v>
      </c>
      <c r="AB370" s="22">
        <v>360</v>
      </c>
      <c r="AC370" s="22">
        <v>-3.3181799999999997E-2</v>
      </c>
      <c r="AD370">
        <f t="shared" si="64"/>
        <v>17.636172839506173</v>
      </c>
      <c r="AE370">
        <f t="shared" si="65"/>
        <v>-0.57857934064197536</v>
      </c>
      <c r="AF370" s="9"/>
      <c r="AG370" s="22">
        <v>1.7128000000000001</v>
      </c>
      <c r="AH370" s="22">
        <v>21.9</v>
      </c>
      <c r="AI370" s="22">
        <v>-2.7789300000000002E-3</v>
      </c>
      <c r="AJ370" s="22">
        <v>360</v>
      </c>
      <c r="AK370" s="22">
        <v>1.71143</v>
      </c>
      <c r="AL370">
        <f t="shared" si="66"/>
        <v>3.4307777777777777</v>
      </c>
      <c r="AM370">
        <f t="shared" si="67"/>
        <v>5.8762361777777778</v>
      </c>
      <c r="AP370" s="9"/>
      <c r="AQ370" s="22">
        <v>-3.2806399999999999E-2</v>
      </c>
      <c r="AR370" s="22">
        <v>27.342300000000002</v>
      </c>
      <c r="AS370" s="22">
        <v>-1.42883E-2</v>
      </c>
      <c r="AT370" s="22">
        <v>360</v>
      </c>
      <c r="AU370" s="22">
        <v>-3.3194000000000001E-2</v>
      </c>
      <c r="AV370">
        <f t="shared" si="68"/>
        <v>17.639876543209876</v>
      </c>
      <c r="AW370">
        <f t="shared" si="69"/>
        <v>-0.57870084582716053</v>
      </c>
      <c r="AX370" s="9"/>
      <c r="AY370" s="22">
        <v>1.7128000000000001</v>
      </c>
      <c r="AZ370" s="22">
        <v>31.121200000000002</v>
      </c>
      <c r="BA370" s="22">
        <v>-2.2897299999999998E-3</v>
      </c>
      <c r="BB370" s="22">
        <v>360</v>
      </c>
      <c r="BC370" s="22">
        <v>1.71143</v>
      </c>
      <c r="BD370">
        <f t="shared" si="70"/>
        <v>2.8268271604938264</v>
      </c>
      <c r="BE370">
        <f t="shared" si="71"/>
        <v>4.8417895604938259</v>
      </c>
    </row>
    <row r="371" spans="6:57">
      <c r="F371" s="9"/>
      <c r="G371" s="22">
        <v>-3.7841800000000002E-2</v>
      </c>
      <c r="H371" s="22">
        <v>8.8799600000000005</v>
      </c>
      <c r="I371" s="22">
        <v>-1.42395E-2</v>
      </c>
      <c r="J371" s="22">
        <v>361</v>
      </c>
      <c r="K371" s="22">
        <v>-3.8211099999999998E-2</v>
      </c>
      <c r="L371">
        <f t="shared" si="60"/>
        <v>17.579629629629629</v>
      </c>
      <c r="M371">
        <f t="shared" si="61"/>
        <v>-0.66524482851851852</v>
      </c>
      <c r="N371" s="9"/>
      <c r="O371" s="22">
        <v>1.71783</v>
      </c>
      <c r="P371" s="22">
        <v>12.658899999999999</v>
      </c>
      <c r="Q371" s="22">
        <v>-2.1044900000000001E-3</v>
      </c>
      <c r="R371" s="22">
        <v>361</v>
      </c>
      <c r="S371" s="22">
        <v>1.71692</v>
      </c>
      <c r="T371">
        <f t="shared" si="62"/>
        <v>2.5981358024691361</v>
      </c>
      <c r="U371">
        <f t="shared" si="63"/>
        <v>4.4631556255555562</v>
      </c>
      <c r="X371" s="9"/>
      <c r="Y371" s="22">
        <v>-3.7841800000000002E-2</v>
      </c>
      <c r="Z371" s="22">
        <v>18.1311</v>
      </c>
      <c r="AA371" s="22">
        <v>-1.4300500000000001E-2</v>
      </c>
      <c r="AB371" s="22">
        <v>361</v>
      </c>
      <c r="AC371" s="22">
        <v>-3.8229399999999997E-2</v>
      </c>
      <c r="AD371">
        <f t="shared" si="64"/>
        <v>17.654938271604937</v>
      </c>
      <c r="AE371">
        <f t="shared" si="65"/>
        <v>-0.66809464308641975</v>
      </c>
      <c r="AF371" s="9"/>
      <c r="AG371" s="22">
        <v>1.71783</v>
      </c>
      <c r="AH371" s="22">
        <v>21.91</v>
      </c>
      <c r="AI371" s="22">
        <v>-2.1673600000000001E-3</v>
      </c>
      <c r="AJ371" s="22">
        <v>361</v>
      </c>
      <c r="AK371" s="22">
        <v>1.71722</v>
      </c>
      <c r="AL371">
        <f t="shared" si="66"/>
        <v>2.6757530864197534</v>
      </c>
      <c r="AM371">
        <f t="shared" si="67"/>
        <v>4.5964889244444445</v>
      </c>
      <c r="AP371" s="9"/>
      <c r="AQ371" s="22">
        <v>-3.7841800000000002E-2</v>
      </c>
      <c r="AR371" s="22">
        <v>27.352399999999999</v>
      </c>
      <c r="AS371" s="22">
        <v>-1.42822E-2</v>
      </c>
      <c r="AT371" s="22">
        <v>361</v>
      </c>
      <c r="AU371" s="22">
        <v>-3.8375899999999998E-2</v>
      </c>
      <c r="AV371">
        <f t="shared" si="68"/>
        <v>17.632345679012342</v>
      </c>
      <c r="AW371">
        <f t="shared" si="69"/>
        <v>-0.66723969871604927</v>
      </c>
      <c r="AX371" s="9"/>
      <c r="AY371" s="22">
        <v>1.71783</v>
      </c>
      <c r="AZ371" s="22">
        <v>31.1313</v>
      </c>
      <c r="BA371" s="22">
        <v>-1.7166099999999999E-3</v>
      </c>
      <c r="BB371" s="22">
        <v>361</v>
      </c>
      <c r="BC371" s="22">
        <v>1.71692</v>
      </c>
      <c r="BD371">
        <f t="shared" si="70"/>
        <v>2.1192716049382714</v>
      </c>
      <c r="BE371">
        <f t="shared" si="71"/>
        <v>3.6405483411111108</v>
      </c>
    </row>
    <row r="372" spans="6:57">
      <c r="F372" s="9"/>
      <c r="G372" s="22">
        <v>-4.2877199999999997E-2</v>
      </c>
      <c r="H372" s="22">
        <v>8.8900299999999994</v>
      </c>
      <c r="I372" s="22">
        <v>-1.4251700000000001E-2</v>
      </c>
      <c r="J372" s="22">
        <v>362</v>
      </c>
      <c r="K372" s="22">
        <v>-4.33319E-2</v>
      </c>
      <c r="L372">
        <f t="shared" si="60"/>
        <v>17.594691358024694</v>
      </c>
      <c r="M372">
        <f t="shared" si="61"/>
        <v>-0.75441110029629632</v>
      </c>
      <c r="N372" s="9"/>
      <c r="O372" s="22">
        <v>1.7228699999999999</v>
      </c>
      <c r="P372" s="22">
        <v>12.668900000000001</v>
      </c>
      <c r="Q372" s="22">
        <v>-1.5258800000000001E-3</v>
      </c>
      <c r="R372" s="22">
        <v>362</v>
      </c>
      <c r="S372" s="22">
        <v>1.7218</v>
      </c>
      <c r="T372">
        <f t="shared" si="62"/>
        <v>1.8838024691358024</v>
      </c>
      <c r="U372">
        <f t="shared" si="63"/>
        <v>3.2455467599999999</v>
      </c>
      <c r="X372" s="9"/>
      <c r="Y372" s="22">
        <v>-4.2877199999999997E-2</v>
      </c>
      <c r="Z372" s="22">
        <v>18.141200000000001</v>
      </c>
      <c r="AA372" s="22">
        <v>-1.43036E-2</v>
      </c>
      <c r="AB372" s="22">
        <v>362</v>
      </c>
      <c r="AC372" s="22">
        <v>-4.3295300000000002E-2</v>
      </c>
      <c r="AD372">
        <f t="shared" si="64"/>
        <v>17.658765432098765</v>
      </c>
      <c r="AE372">
        <f t="shared" si="65"/>
        <v>-0.75715841718518506</v>
      </c>
      <c r="AF372" s="9"/>
      <c r="AG372" s="22">
        <v>1.7228699999999999</v>
      </c>
      <c r="AH372" s="22">
        <v>21.920100000000001</v>
      </c>
      <c r="AI372" s="22">
        <v>-1.5301500000000001E-3</v>
      </c>
      <c r="AJ372" s="22">
        <v>362</v>
      </c>
      <c r="AK372" s="22">
        <v>1.7218</v>
      </c>
      <c r="AL372">
        <f t="shared" si="66"/>
        <v>1.8890740740740741</v>
      </c>
      <c r="AM372">
        <f t="shared" si="67"/>
        <v>3.2546290499999997</v>
      </c>
      <c r="AP372" s="9"/>
      <c r="AQ372" s="22">
        <v>-4.2877199999999997E-2</v>
      </c>
      <c r="AR372" s="22">
        <v>27.362400000000001</v>
      </c>
      <c r="AS372" s="22">
        <v>-1.42731E-2</v>
      </c>
      <c r="AT372" s="22">
        <v>362</v>
      </c>
      <c r="AU372" s="22">
        <v>-4.3279999999999999E-2</v>
      </c>
      <c r="AV372">
        <f t="shared" si="68"/>
        <v>17.621111111111112</v>
      </c>
      <c r="AW372">
        <f t="shared" si="69"/>
        <v>-0.75554390533333338</v>
      </c>
      <c r="AX372" s="9"/>
      <c r="AY372" s="22">
        <v>1.7228699999999999</v>
      </c>
      <c r="AZ372" s="22">
        <v>31.141300000000001</v>
      </c>
      <c r="BA372" s="22">
        <v>-1.1285399999999999E-3</v>
      </c>
      <c r="BB372" s="22">
        <v>362</v>
      </c>
      <c r="BC372" s="22">
        <v>1.72211</v>
      </c>
      <c r="BD372">
        <f t="shared" si="70"/>
        <v>1.393259259259259</v>
      </c>
      <c r="BE372">
        <f t="shared" si="71"/>
        <v>2.4004045799999996</v>
      </c>
    </row>
    <row r="373" spans="6:57">
      <c r="F373" s="9"/>
      <c r="G373" s="22">
        <v>-4.79126E-2</v>
      </c>
      <c r="H373" s="22">
        <v>8.9001000000000001</v>
      </c>
      <c r="I373" s="22">
        <v>-1.42548E-2</v>
      </c>
      <c r="J373" s="22">
        <v>363</v>
      </c>
      <c r="K373" s="22">
        <v>-4.8330699999999997E-2</v>
      </c>
      <c r="L373">
        <f t="shared" si="60"/>
        <v>17.598518518518517</v>
      </c>
      <c r="M373">
        <f t="shared" si="61"/>
        <v>-0.84319077837037026</v>
      </c>
      <c r="N373" s="9"/>
      <c r="O373" s="22">
        <v>1.7279100000000001</v>
      </c>
      <c r="P373" s="22">
        <v>12.679</v>
      </c>
      <c r="Q373" s="22">
        <v>-9.3261699999999995E-4</v>
      </c>
      <c r="R373" s="22">
        <v>363</v>
      </c>
      <c r="S373" s="22">
        <v>1.72699</v>
      </c>
      <c r="T373">
        <f t="shared" si="62"/>
        <v>1.1513790123456789</v>
      </c>
      <c r="U373">
        <f t="shared" si="63"/>
        <v>1.989479309222222</v>
      </c>
      <c r="X373" s="9"/>
      <c r="Y373" s="22">
        <v>-4.79126E-2</v>
      </c>
      <c r="Z373" s="22">
        <v>18.151299999999999</v>
      </c>
      <c r="AA373" s="22">
        <v>-1.4300500000000001E-2</v>
      </c>
      <c r="AB373" s="22">
        <v>363</v>
      </c>
      <c r="AC373" s="22">
        <v>-4.8297100000000003E-2</v>
      </c>
      <c r="AD373">
        <f t="shared" si="64"/>
        <v>17.654938271604937</v>
      </c>
      <c r="AE373">
        <f t="shared" si="65"/>
        <v>-0.84589399543209876</v>
      </c>
      <c r="AF373" s="9"/>
      <c r="AG373" s="22">
        <v>1.7279100000000001</v>
      </c>
      <c r="AH373" s="22">
        <v>21.930199999999999</v>
      </c>
      <c r="AI373" s="22">
        <v>-8.6944599999999996E-4</v>
      </c>
      <c r="AJ373" s="22">
        <v>363</v>
      </c>
      <c r="AK373" s="22">
        <v>1.72607</v>
      </c>
      <c r="AL373">
        <f t="shared" si="66"/>
        <v>1.07339012345679</v>
      </c>
      <c r="AM373">
        <f t="shared" si="67"/>
        <v>1.854721528222222</v>
      </c>
      <c r="AP373" s="9"/>
      <c r="AQ373" s="22">
        <v>-4.79126E-2</v>
      </c>
      <c r="AR373" s="22">
        <v>27.372499999999999</v>
      </c>
      <c r="AS373" s="22">
        <v>-1.42822E-2</v>
      </c>
      <c r="AT373" s="22">
        <v>363</v>
      </c>
      <c r="AU373" s="22">
        <v>-4.8385600000000001E-2</v>
      </c>
      <c r="AV373">
        <f t="shared" si="68"/>
        <v>17.632345679012342</v>
      </c>
      <c r="AW373">
        <f t="shared" si="69"/>
        <v>-0.84481152558024675</v>
      </c>
      <c r="AX373" s="9"/>
      <c r="AY373" s="22">
        <v>1.7279100000000001</v>
      </c>
      <c r="AZ373" s="22">
        <v>31.151399999999999</v>
      </c>
      <c r="BA373" s="22">
        <v>-5.2581800000000005E-4</v>
      </c>
      <c r="BB373" s="22">
        <v>363</v>
      </c>
      <c r="BC373" s="22">
        <v>1.72699</v>
      </c>
      <c r="BD373">
        <f t="shared" si="70"/>
        <v>0.64915802469135808</v>
      </c>
      <c r="BE373">
        <f t="shared" si="71"/>
        <v>1.1216866424444445</v>
      </c>
    </row>
    <row r="374" spans="6:57">
      <c r="F374" s="9"/>
      <c r="G374" s="22">
        <v>-5.2948000000000002E-2</v>
      </c>
      <c r="H374" s="22">
        <v>8.9101700000000008</v>
      </c>
      <c r="I374" s="22">
        <v>-1.42609E-2</v>
      </c>
      <c r="J374" s="22">
        <v>364</v>
      </c>
      <c r="K374" s="22">
        <v>-5.3497299999999998E-2</v>
      </c>
      <c r="L374">
        <f t="shared" si="60"/>
        <v>17.606049382716048</v>
      </c>
      <c r="M374">
        <f t="shared" si="61"/>
        <v>-0.93220510271604928</v>
      </c>
      <c r="N374" s="9"/>
      <c r="O374" s="22">
        <v>1.7329399999999999</v>
      </c>
      <c r="P374" s="22">
        <v>12.6891</v>
      </c>
      <c r="Q374" s="22">
        <v>-3.05786E-4</v>
      </c>
      <c r="R374" s="22">
        <v>364</v>
      </c>
      <c r="S374" s="22">
        <v>1.73248</v>
      </c>
      <c r="T374">
        <f t="shared" si="62"/>
        <v>0.37751358024691356</v>
      </c>
      <c r="U374">
        <f t="shared" si="63"/>
        <v>0.65420838375308632</v>
      </c>
      <c r="X374" s="9"/>
      <c r="Y374" s="22">
        <v>-5.2948000000000002E-2</v>
      </c>
      <c r="Z374" s="22">
        <v>18.1614</v>
      </c>
      <c r="AA374" s="22">
        <v>-1.4300500000000001E-2</v>
      </c>
      <c r="AB374" s="22">
        <v>364</v>
      </c>
      <c r="AC374" s="22">
        <v>-5.35278E-2</v>
      </c>
      <c r="AD374">
        <f t="shared" si="64"/>
        <v>17.654938271604937</v>
      </c>
      <c r="AE374">
        <f t="shared" si="65"/>
        <v>-0.9347936716049382</v>
      </c>
      <c r="AF374" s="9"/>
      <c r="AG374" s="22">
        <v>1.7329399999999999</v>
      </c>
      <c r="AH374" s="22">
        <v>21.940300000000001</v>
      </c>
      <c r="AI374" s="22">
        <v>-1.7739899999999999E-4</v>
      </c>
      <c r="AJ374" s="22">
        <v>364</v>
      </c>
      <c r="AK374" s="22">
        <v>1.73187</v>
      </c>
      <c r="AL374">
        <f t="shared" si="66"/>
        <v>0.21901111111111107</v>
      </c>
      <c r="AM374">
        <f t="shared" si="67"/>
        <v>0.3795331148888888</v>
      </c>
      <c r="AP374" s="9"/>
      <c r="AQ374" s="22">
        <v>-5.2948000000000002E-2</v>
      </c>
      <c r="AR374" s="22">
        <v>27.3826</v>
      </c>
      <c r="AS374" s="22">
        <v>-1.42883E-2</v>
      </c>
      <c r="AT374" s="22">
        <v>364</v>
      </c>
      <c r="AU374" s="22">
        <v>-5.35278E-2</v>
      </c>
      <c r="AV374">
        <f t="shared" si="68"/>
        <v>17.639876543209876</v>
      </c>
      <c r="AW374">
        <f t="shared" si="69"/>
        <v>-0.93399618320987654</v>
      </c>
      <c r="AX374" s="9"/>
      <c r="AY374" s="22">
        <v>1.7329399999999999</v>
      </c>
      <c r="AZ374" s="22">
        <v>31.1615</v>
      </c>
      <c r="BA374" s="25">
        <v>9.1339099999999994E-5</v>
      </c>
      <c r="BB374" s="22">
        <v>364</v>
      </c>
      <c r="BC374" s="22">
        <v>1.73187</v>
      </c>
      <c r="BD374">
        <f t="shared" si="70"/>
        <v>-0.11276432098765431</v>
      </c>
      <c r="BE374">
        <f t="shared" si="71"/>
        <v>-0.19541380241234566</v>
      </c>
    </row>
    <row r="375" spans="6:57">
      <c r="F375" s="9"/>
      <c r="G375" s="22">
        <v>-5.7983399999999997E-2</v>
      </c>
      <c r="H375" s="22">
        <v>8.9202399999999997</v>
      </c>
      <c r="I375" s="22">
        <v>-1.4267E-2</v>
      </c>
      <c r="J375" s="22">
        <v>365</v>
      </c>
      <c r="K375" s="22">
        <v>-5.8502199999999997E-2</v>
      </c>
      <c r="L375">
        <f t="shared" si="60"/>
        <v>17.613580246913582</v>
      </c>
      <c r="M375">
        <f t="shared" si="61"/>
        <v>-1.021295268888889</v>
      </c>
      <c r="N375" s="9"/>
      <c r="O375" s="22">
        <v>1.7379800000000001</v>
      </c>
      <c r="P375" s="22">
        <v>12.6991</v>
      </c>
      <c r="Q375" s="22">
        <v>3.2531699999999999E-4</v>
      </c>
      <c r="R375" s="22">
        <v>365</v>
      </c>
      <c r="S375" s="22">
        <v>1.73645</v>
      </c>
      <c r="T375">
        <f t="shared" si="62"/>
        <v>-0.40162592592592589</v>
      </c>
      <c r="U375">
        <f t="shared" si="63"/>
        <v>-0.69801782674074075</v>
      </c>
      <c r="X375" s="9"/>
      <c r="Y375" s="22">
        <v>-5.7983399999999997E-2</v>
      </c>
      <c r="Z375" s="22">
        <v>18.171399999999998</v>
      </c>
      <c r="AA375" s="22">
        <v>-1.4297499999999999E-2</v>
      </c>
      <c r="AB375" s="22">
        <v>365</v>
      </c>
      <c r="AC375" s="22">
        <v>-5.8502199999999997E-2</v>
      </c>
      <c r="AD375">
        <f t="shared" si="64"/>
        <v>17.651234567901231</v>
      </c>
      <c r="AE375">
        <f t="shared" si="65"/>
        <v>-1.0234785944444442</v>
      </c>
      <c r="AF375" s="9"/>
      <c r="AG375" s="22">
        <v>1.7379800000000001</v>
      </c>
      <c r="AH375" s="22">
        <v>21.950299999999999</v>
      </c>
      <c r="AI375" s="22">
        <v>5.22461E-4</v>
      </c>
      <c r="AJ375" s="22">
        <v>365</v>
      </c>
      <c r="AK375" s="22">
        <v>1.73706</v>
      </c>
      <c r="AL375">
        <f t="shared" si="66"/>
        <v>-0.64501358024691346</v>
      </c>
      <c r="AM375">
        <f t="shared" si="67"/>
        <v>-1.1210207021975307</v>
      </c>
      <c r="AP375" s="9"/>
      <c r="AQ375" s="22">
        <v>-5.7983399999999997E-2</v>
      </c>
      <c r="AR375" s="22">
        <v>27.392700000000001</v>
      </c>
      <c r="AS375" s="22">
        <v>-1.4294400000000001E-2</v>
      </c>
      <c r="AT375" s="22">
        <v>365</v>
      </c>
      <c r="AU375" s="22">
        <v>-5.8563200000000003E-2</v>
      </c>
      <c r="AV375">
        <f t="shared" si="68"/>
        <v>17.647407407407407</v>
      </c>
      <c r="AW375">
        <f t="shared" si="69"/>
        <v>-1.0232566826666667</v>
      </c>
      <c r="AX375" s="9"/>
      <c r="AY375" s="22">
        <v>1.7379800000000001</v>
      </c>
      <c r="AZ375" s="22">
        <v>31.171600000000002</v>
      </c>
      <c r="BA375" s="22">
        <v>7.1502700000000002E-4</v>
      </c>
      <c r="BB375" s="22">
        <v>365</v>
      </c>
      <c r="BC375" s="22">
        <v>1.7373700000000001</v>
      </c>
      <c r="BD375">
        <f t="shared" si="70"/>
        <v>-0.8827493827160493</v>
      </c>
      <c r="BE375">
        <f t="shared" si="71"/>
        <v>-1.5342007721728395</v>
      </c>
    </row>
    <row r="376" spans="6:57">
      <c r="F376" s="9"/>
      <c r="G376" s="22">
        <v>-6.30188E-2</v>
      </c>
      <c r="H376" s="22">
        <v>8.9303100000000004</v>
      </c>
      <c r="I376" s="22">
        <v>-1.4267E-2</v>
      </c>
      <c r="J376" s="22">
        <v>366</v>
      </c>
      <c r="K376" s="22">
        <v>-6.3507099999999997E-2</v>
      </c>
      <c r="L376">
        <f t="shared" si="60"/>
        <v>17.613580246913582</v>
      </c>
      <c r="M376">
        <f t="shared" si="61"/>
        <v>-1.1099866908641975</v>
      </c>
      <c r="N376" s="9"/>
      <c r="O376" s="22">
        <v>1.7430099999999999</v>
      </c>
      <c r="P376" s="22">
        <v>12.709199999999999</v>
      </c>
      <c r="Q376" s="22">
        <v>9.7289999999999996E-4</v>
      </c>
      <c r="R376" s="22">
        <v>366</v>
      </c>
      <c r="S376" s="22">
        <v>1.74194</v>
      </c>
      <c r="T376">
        <f t="shared" si="62"/>
        <v>-1.201111111111111</v>
      </c>
      <c r="U376">
        <f t="shared" si="63"/>
        <v>-2.0935486777777776</v>
      </c>
      <c r="X376" s="9"/>
      <c r="Y376" s="22">
        <v>-6.30188E-2</v>
      </c>
      <c r="Z376" s="22">
        <v>18.1815</v>
      </c>
      <c r="AA376" s="22">
        <v>-1.4294400000000001E-2</v>
      </c>
      <c r="AB376" s="22">
        <v>366</v>
      </c>
      <c r="AC376" s="22">
        <v>-6.3720700000000005E-2</v>
      </c>
      <c r="AD376">
        <f t="shared" si="64"/>
        <v>17.647407407407407</v>
      </c>
      <c r="AE376">
        <f t="shared" si="65"/>
        <v>-1.1121184379259259</v>
      </c>
      <c r="AF376" s="9"/>
      <c r="AG376" s="22">
        <v>1.7430099999999999</v>
      </c>
      <c r="AH376" s="22">
        <v>21.9604</v>
      </c>
      <c r="AI376" s="22">
        <v>1.25092E-3</v>
      </c>
      <c r="AJ376" s="22">
        <v>366</v>
      </c>
      <c r="AK376" s="22">
        <v>1.7416400000000001</v>
      </c>
      <c r="AL376">
        <f t="shared" si="66"/>
        <v>-1.5443456790123455</v>
      </c>
      <c r="AM376">
        <f t="shared" si="67"/>
        <v>-2.6918099619753084</v>
      </c>
      <c r="AP376" s="9"/>
      <c r="AQ376" s="22">
        <v>-6.30188E-2</v>
      </c>
      <c r="AR376" s="22">
        <v>27.402699999999999</v>
      </c>
      <c r="AS376" s="22">
        <v>-1.4291399999999999E-2</v>
      </c>
      <c r="AT376" s="22">
        <v>366</v>
      </c>
      <c r="AU376" s="22">
        <v>-6.3568100000000002E-2</v>
      </c>
      <c r="AV376">
        <f t="shared" si="68"/>
        <v>17.643703703703704</v>
      </c>
      <c r="AW376">
        <f t="shared" si="69"/>
        <v>-1.111885034962963</v>
      </c>
      <c r="AX376" s="9"/>
      <c r="AY376" s="22">
        <v>1.7430099999999999</v>
      </c>
      <c r="AZ376" s="22">
        <v>31.1816</v>
      </c>
      <c r="BA376" s="22">
        <v>1.35406E-3</v>
      </c>
      <c r="BB376" s="22">
        <v>366</v>
      </c>
      <c r="BC376" s="22">
        <v>1.7422500000000001</v>
      </c>
      <c r="BD376">
        <f t="shared" si="70"/>
        <v>-1.6716790123456788</v>
      </c>
      <c r="BE376">
        <f t="shared" si="71"/>
        <v>-2.9137532353086417</v>
      </c>
    </row>
    <row r="377" spans="6:57">
      <c r="F377" s="9"/>
      <c r="G377" s="22">
        <v>-6.8054199999999995E-2</v>
      </c>
      <c r="H377" s="22">
        <v>8.9403799999999993</v>
      </c>
      <c r="I377" s="22">
        <v>-1.4263899999999999E-2</v>
      </c>
      <c r="J377" s="22">
        <v>367</v>
      </c>
      <c r="K377" s="22">
        <v>-6.8572999999999995E-2</v>
      </c>
      <c r="L377">
        <f t="shared" si="60"/>
        <v>17.609753086419751</v>
      </c>
      <c r="M377">
        <f t="shared" si="61"/>
        <v>-1.1984176584938269</v>
      </c>
      <c r="N377" s="9"/>
      <c r="O377" s="22">
        <v>1.7480500000000001</v>
      </c>
      <c r="P377" s="22">
        <v>12.7193</v>
      </c>
      <c r="Q377" s="22">
        <v>1.64368E-3</v>
      </c>
      <c r="R377" s="22">
        <v>367</v>
      </c>
      <c r="S377" s="22">
        <v>1.7471300000000001</v>
      </c>
      <c r="T377">
        <f t="shared" si="62"/>
        <v>-2.0292345679012342</v>
      </c>
      <c r="U377">
        <f t="shared" si="63"/>
        <v>-3.5472034864197526</v>
      </c>
      <c r="X377" s="9"/>
      <c r="Y377" s="22">
        <v>-6.8054199999999995E-2</v>
      </c>
      <c r="Z377" s="22">
        <v>18.191600000000001</v>
      </c>
      <c r="AA377" s="22">
        <v>-1.4294400000000001E-2</v>
      </c>
      <c r="AB377" s="22">
        <v>367</v>
      </c>
      <c r="AC377" s="22">
        <v>-6.8542500000000006E-2</v>
      </c>
      <c r="AD377">
        <f t="shared" si="64"/>
        <v>17.647407407407407</v>
      </c>
      <c r="AE377">
        <f t="shared" si="65"/>
        <v>-1.2009801931851851</v>
      </c>
      <c r="AF377" s="9"/>
      <c r="AG377" s="22">
        <v>1.7480500000000001</v>
      </c>
      <c r="AH377" s="22">
        <v>21.970500000000001</v>
      </c>
      <c r="AI377" s="22">
        <v>1.9961499999999999E-3</v>
      </c>
      <c r="AJ377" s="22">
        <v>367</v>
      </c>
      <c r="AK377" s="22">
        <v>1.7471300000000001</v>
      </c>
      <c r="AL377">
        <f t="shared" si="66"/>
        <v>-2.4643827160493825</v>
      </c>
      <c r="AM377">
        <f t="shared" si="67"/>
        <v>-4.3078642067901232</v>
      </c>
      <c r="AP377" s="9"/>
      <c r="AQ377" s="22">
        <v>-6.8054199999999995E-2</v>
      </c>
      <c r="AR377" s="22">
        <v>27.412800000000001</v>
      </c>
      <c r="AS377" s="22">
        <v>-1.4291399999999999E-2</v>
      </c>
      <c r="AT377" s="22">
        <v>367</v>
      </c>
      <c r="AU377" s="22">
        <v>-6.8542500000000006E-2</v>
      </c>
      <c r="AV377">
        <f t="shared" si="68"/>
        <v>17.643703703703704</v>
      </c>
      <c r="AW377">
        <f t="shared" si="69"/>
        <v>-1.2007281405925925</v>
      </c>
      <c r="AX377" s="9"/>
      <c r="AY377" s="22">
        <v>1.7480500000000001</v>
      </c>
      <c r="AZ377" s="22">
        <v>31.191700000000001</v>
      </c>
      <c r="BA377" s="22">
        <v>2.0046999999999999E-3</v>
      </c>
      <c r="BB377" s="22">
        <v>367</v>
      </c>
      <c r="BC377" s="22">
        <v>1.7468300000000001</v>
      </c>
      <c r="BD377">
        <f t="shared" si="70"/>
        <v>-2.474938271604938</v>
      </c>
      <c r="BE377">
        <f t="shared" si="71"/>
        <v>-4.3263158456790123</v>
      </c>
    </row>
    <row r="378" spans="6:57">
      <c r="F378" s="9"/>
      <c r="G378" s="22">
        <v>-7.3089600000000005E-2</v>
      </c>
      <c r="H378" s="22">
        <v>8.95045</v>
      </c>
      <c r="I378" s="22">
        <v>-1.4263899999999999E-2</v>
      </c>
      <c r="J378" s="22">
        <v>368</v>
      </c>
      <c r="K378" s="22">
        <v>-7.3638899999999993E-2</v>
      </c>
      <c r="L378">
        <f t="shared" si="60"/>
        <v>17.609753086419751</v>
      </c>
      <c r="M378">
        <f t="shared" si="61"/>
        <v>-1.287089809185185</v>
      </c>
      <c r="N378" s="9"/>
      <c r="O378" s="22">
        <v>1.75308</v>
      </c>
      <c r="P378" s="22">
        <v>12.7294</v>
      </c>
      <c r="Q378" s="22">
        <v>2.3141500000000001E-3</v>
      </c>
      <c r="R378" s="22">
        <v>368</v>
      </c>
      <c r="S378" s="22">
        <v>1.7520100000000001</v>
      </c>
      <c r="T378">
        <f t="shared" si="62"/>
        <v>-2.8569753086419754</v>
      </c>
      <c r="U378">
        <f t="shared" si="63"/>
        <v>-5.0085062740740742</v>
      </c>
      <c r="X378" s="9"/>
      <c r="Y378" s="22">
        <v>-7.3089600000000005E-2</v>
      </c>
      <c r="Z378" s="22">
        <v>18.201599999999999</v>
      </c>
      <c r="AA378" s="22">
        <v>-1.4294400000000001E-2</v>
      </c>
      <c r="AB378" s="22">
        <v>368</v>
      </c>
      <c r="AC378" s="22">
        <v>-7.3577900000000002E-2</v>
      </c>
      <c r="AD378">
        <f t="shared" si="64"/>
        <v>17.647407407407407</v>
      </c>
      <c r="AE378">
        <f t="shared" si="65"/>
        <v>-1.2898419484444446</v>
      </c>
      <c r="AF378" s="9"/>
      <c r="AG378" s="22">
        <v>1.75308</v>
      </c>
      <c r="AH378" s="22">
        <v>21.980499999999999</v>
      </c>
      <c r="AI378" s="22">
        <v>2.75574E-3</v>
      </c>
      <c r="AJ378" s="22">
        <v>368</v>
      </c>
      <c r="AK378" s="22">
        <v>1.7517100000000001</v>
      </c>
      <c r="AL378">
        <f t="shared" si="66"/>
        <v>-3.4021481481481479</v>
      </c>
      <c r="AM378">
        <f t="shared" si="67"/>
        <v>-5.964237875555555</v>
      </c>
      <c r="AP378" s="9"/>
      <c r="AQ378" s="22">
        <v>-7.3089600000000005E-2</v>
      </c>
      <c r="AR378" s="22">
        <v>27.422899999999998</v>
      </c>
      <c r="AS378" s="22">
        <v>-1.4294400000000001E-2</v>
      </c>
      <c r="AT378" s="22">
        <v>368</v>
      </c>
      <c r="AU378" s="22">
        <v>-7.3669399999999996E-2</v>
      </c>
      <c r="AV378">
        <f t="shared" si="68"/>
        <v>17.647407407407407</v>
      </c>
      <c r="AW378">
        <f t="shared" si="69"/>
        <v>-1.2898419484444446</v>
      </c>
      <c r="AX378" s="9"/>
      <c r="AY378" s="22">
        <v>1.75308</v>
      </c>
      <c r="AZ378" s="22">
        <v>31.201799999999999</v>
      </c>
      <c r="BA378" s="22">
        <v>2.6580800000000002E-3</v>
      </c>
      <c r="BB378" s="22">
        <v>368</v>
      </c>
      <c r="BC378" s="22">
        <v>1.7520100000000001</v>
      </c>
      <c r="BD378">
        <f t="shared" si="70"/>
        <v>-3.2815802469135802</v>
      </c>
      <c r="BE378">
        <f t="shared" si="71"/>
        <v>-5.7528726992592594</v>
      </c>
    </row>
    <row r="379" spans="6:57">
      <c r="F379" s="9"/>
      <c r="G379" s="22">
        <v>-7.8125E-2</v>
      </c>
      <c r="H379" s="22">
        <v>8.9605200000000007</v>
      </c>
      <c r="I379" s="22">
        <v>-1.4257799999999999E-2</v>
      </c>
      <c r="J379" s="22">
        <v>369</v>
      </c>
      <c r="K379" s="22">
        <v>-7.8674300000000003E-2</v>
      </c>
      <c r="L379">
        <f t="shared" si="60"/>
        <v>17.60222222222222</v>
      </c>
      <c r="M379">
        <f t="shared" si="61"/>
        <v>-1.375173611111111</v>
      </c>
      <c r="N379" s="9"/>
      <c r="O379" s="22">
        <v>1.7581199999999999</v>
      </c>
      <c r="P379" s="22">
        <v>12.7394</v>
      </c>
      <c r="Q379" s="22">
        <v>3.0087299999999998E-3</v>
      </c>
      <c r="R379" s="22">
        <v>369</v>
      </c>
      <c r="S379" s="22">
        <v>1.7568999999999999</v>
      </c>
      <c r="T379">
        <f t="shared" si="62"/>
        <v>-3.7144814814814811</v>
      </c>
      <c r="U379">
        <f t="shared" si="63"/>
        <v>-6.530504182222221</v>
      </c>
      <c r="X379" s="9"/>
      <c r="Y379" s="22">
        <v>-7.8125E-2</v>
      </c>
      <c r="Z379" s="22">
        <v>18.2117</v>
      </c>
      <c r="AA379" s="22">
        <v>-1.4291399999999999E-2</v>
      </c>
      <c r="AB379" s="22">
        <v>369</v>
      </c>
      <c r="AC379" s="22">
        <v>-7.87659E-2</v>
      </c>
      <c r="AD379">
        <f t="shared" si="64"/>
        <v>17.643703703703704</v>
      </c>
      <c r="AE379">
        <f t="shared" si="65"/>
        <v>-1.3784143518518519</v>
      </c>
      <c r="AF379" s="9"/>
      <c r="AG379" s="22">
        <v>1.7581199999999999</v>
      </c>
      <c r="AH379" s="22">
        <v>21.990600000000001</v>
      </c>
      <c r="AI379" s="22">
        <v>3.52783E-3</v>
      </c>
      <c r="AJ379" s="22">
        <v>369</v>
      </c>
      <c r="AK379" s="22">
        <v>1.7575099999999999</v>
      </c>
      <c r="AL379">
        <f t="shared" si="66"/>
        <v>-4.3553456790123457</v>
      </c>
      <c r="AM379">
        <f t="shared" si="67"/>
        <v>-7.657220345185185</v>
      </c>
      <c r="AP379" s="9"/>
      <c r="AQ379" s="22">
        <v>-7.8125E-2</v>
      </c>
      <c r="AR379" s="22">
        <v>27.4329</v>
      </c>
      <c r="AS379" s="22">
        <v>-1.4306599999999999E-2</v>
      </c>
      <c r="AT379" s="22">
        <v>369</v>
      </c>
      <c r="AU379" s="22">
        <v>-7.8582799999999994E-2</v>
      </c>
      <c r="AV379">
        <f t="shared" si="68"/>
        <v>17.662469135802468</v>
      </c>
      <c r="AW379">
        <f t="shared" si="69"/>
        <v>-1.3798804012345678</v>
      </c>
      <c r="AX379" s="9"/>
      <c r="AY379" s="22">
        <v>1.7581199999999999</v>
      </c>
      <c r="AZ379" s="22">
        <v>31.2118</v>
      </c>
      <c r="BA379" s="22">
        <v>3.3175700000000002E-3</v>
      </c>
      <c r="BB379" s="22">
        <v>369</v>
      </c>
      <c r="BC379" s="22">
        <v>1.7575099999999999</v>
      </c>
      <c r="BD379">
        <f t="shared" si="70"/>
        <v>-4.0957654320987649</v>
      </c>
      <c r="BE379">
        <f t="shared" si="71"/>
        <v>-7.2008471214814804</v>
      </c>
    </row>
    <row r="380" spans="6:57">
      <c r="F380" s="9"/>
      <c r="G380" s="22">
        <v>-8.3160399999999995E-2</v>
      </c>
      <c r="H380" s="22">
        <v>8.9705899999999996</v>
      </c>
      <c r="I380" s="22">
        <v>-1.42609E-2</v>
      </c>
      <c r="J380" s="22">
        <v>370</v>
      </c>
      <c r="K380" s="22">
        <v>-8.3770800000000006E-2</v>
      </c>
      <c r="L380">
        <f t="shared" si="60"/>
        <v>17.606049382716048</v>
      </c>
      <c r="M380">
        <f t="shared" si="61"/>
        <v>-1.4641261090864195</v>
      </c>
      <c r="N380" s="9"/>
      <c r="O380" s="22">
        <v>1.76315</v>
      </c>
      <c r="P380" s="22">
        <v>12.749499999999999</v>
      </c>
      <c r="Q380" s="22">
        <v>3.6975100000000002E-3</v>
      </c>
      <c r="R380" s="22">
        <v>370</v>
      </c>
      <c r="S380" s="22">
        <v>1.7623899999999999</v>
      </c>
      <c r="T380">
        <f t="shared" si="62"/>
        <v>-4.5648271604938273</v>
      </c>
      <c r="U380">
        <f t="shared" si="63"/>
        <v>-8.0484750080246918</v>
      </c>
      <c r="X380" s="9"/>
      <c r="Y380" s="22">
        <v>-8.3160399999999995E-2</v>
      </c>
      <c r="Z380" s="22">
        <v>18.221800000000002</v>
      </c>
      <c r="AA380" s="22">
        <v>-1.42883E-2</v>
      </c>
      <c r="AB380" s="22">
        <v>370</v>
      </c>
      <c r="AC380" s="22">
        <v>-8.3648700000000006E-2</v>
      </c>
      <c r="AD380">
        <f t="shared" si="64"/>
        <v>17.639876543209876</v>
      </c>
      <c r="AE380">
        <f t="shared" si="65"/>
        <v>-1.4669391892839505</v>
      </c>
      <c r="AF380" s="9"/>
      <c r="AG380" s="22">
        <v>1.76315</v>
      </c>
      <c r="AH380" s="22">
        <v>22.000699999999998</v>
      </c>
      <c r="AI380" s="22">
        <v>4.3160999999999998E-3</v>
      </c>
      <c r="AJ380" s="22">
        <v>370</v>
      </c>
      <c r="AK380" s="22">
        <v>1.7626999999999999</v>
      </c>
      <c r="AL380">
        <f t="shared" si="66"/>
        <v>-5.3285185185185178</v>
      </c>
      <c r="AM380">
        <f t="shared" si="67"/>
        <v>-9.3949774259259247</v>
      </c>
      <c r="AP380" s="9"/>
      <c r="AQ380" s="22">
        <v>-8.3160399999999995E-2</v>
      </c>
      <c r="AR380" s="22">
        <v>27.443000000000001</v>
      </c>
      <c r="AS380" s="22">
        <v>-1.43188E-2</v>
      </c>
      <c r="AT380" s="22">
        <v>370</v>
      </c>
      <c r="AU380" s="22">
        <v>-8.3709699999999998E-2</v>
      </c>
      <c r="AV380">
        <f t="shared" si="68"/>
        <v>17.677530864197529</v>
      </c>
      <c r="AW380">
        <f t="shared" si="69"/>
        <v>-1.470070537679012</v>
      </c>
      <c r="AX380" s="9"/>
      <c r="AY380" s="22">
        <v>1.76315</v>
      </c>
      <c r="AZ380" s="22">
        <v>31.221900000000002</v>
      </c>
      <c r="BA380" s="22">
        <v>3.9730800000000004E-3</v>
      </c>
      <c r="BB380" s="22">
        <v>370</v>
      </c>
      <c r="BC380" s="22">
        <v>1.7620800000000001</v>
      </c>
      <c r="BD380">
        <f t="shared" si="70"/>
        <v>-4.9050370370370366</v>
      </c>
      <c r="BE380">
        <f t="shared" si="71"/>
        <v>-8.6483160518518503</v>
      </c>
    </row>
    <row r="381" spans="6:57">
      <c r="F381" s="9"/>
      <c r="G381" s="22">
        <v>-8.8195800000000005E-2</v>
      </c>
      <c r="H381" s="22">
        <v>8.9806699999999999</v>
      </c>
      <c r="I381" s="22">
        <v>-1.427E-2</v>
      </c>
      <c r="J381" s="22">
        <v>371</v>
      </c>
      <c r="K381" s="22">
        <v>-8.8653599999999999E-2</v>
      </c>
      <c r="L381">
        <f t="shared" si="60"/>
        <v>17.617283950617285</v>
      </c>
      <c r="M381">
        <f t="shared" si="61"/>
        <v>-1.553770451851852</v>
      </c>
      <c r="N381" s="9"/>
      <c r="O381" s="22">
        <v>1.7681899999999999</v>
      </c>
      <c r="P381" s="22">
        <v>12.759600000000001</v>
      </c>
      <c r="Q381" s="22">
        <v>4.4018599999999996E-3</v>
      </c>
      <c r="R381" s="22">
        <v>371</v>
      </c>
      <c r="S381" s="22">
        <v>1.7666599999999999</v>
      </c>
      <c r="T381">
        <f t="shared" si="62"/>
        <v>-5.4343950617283943</v>
      </c>
      <c r="U381">
        <f t="shared" si="63"/>
        <v>-9.6090430041975292</v>
      </c>
      <c r="X381" s="9"/>
      <c r="Y381" s="22">
        <v>-8.8195800000000005E-2</v>
      </c>
      <c r="Z381" s="22">
        <v>18.2318</v>
      </c>
      <c r="AA381" s="22">
        <v>-1.4294400000000001E-2</v>
      </c>
      <c r="AB381" s="22">
        <v>371</v>
      </c>
      <c r="AC381" s="22">
        <v>-8.8714600000000005E-2</v>
      </c>
      <c r="AD381">
        <f t="shared" si="64"/>
        <v>17.647407407407407</v>
      </c>
      <c r="AE381">
        <f t="shared" si="65"/>
        <v>-1.5564272142222222</v>
      </c>
      <c r="AF381" s="9"/>
      <c r="AG381" s="22">
        <v>1.7681899999999999</v>
      </c>
      <c r="AH381" s="22">
        <v>22.0108</v>
      </c>
      <c r="AI381" s="22">
        <v>5.1086400000000002E-3</v>
      </c>
      <c r="AJ381" s="22">
        <v>371</v>
      </c>
      <c r="AK381" s="22">
        <v>1.7669699999999999</v>
      </c>
      <c r="AL381">
        <f t="shared" si="66"/>
        <v>-6.3069629629629631</v>
      </c>
      <c r="AM381">
        <f t="shared" si="67"/>
        <v>-11.151908841481481</v>
      </c>
      <c r="AP381" s="9"/>
      <c r="AQ381" s="22">
        <v>-8.8195800000000005E-2</v>
      </c>
      <c r="AR381" s="22">
        <v>27.453099999999999</v>
      </c>
      <c r="AS381" s="22">
        <v>-1.43158E-2</v>
      </c>
      <c r="AT381" s="22">
        <v>371</v>
      </c>
      <c r="AU381" s="22">
        <v>-8.8745099999999993E-2</v>
      </c>
      <c r="AV381">
        <f t="shared" si="68"/>
        <v>17.673827160493826</v>
      </c>
      <c r="AW381">
        <f t="shared" si="69"/>
        <v>-1.5587573254814815</v>
      </c>
      <c r="AX381" s="9"/>
      <c r="AY381" s="22">
        <v>1.7681899999999999</v>
      </c>
      <c r="AZ381" s="22">
        <v>31.231999999999999</v>
      </c>
      <c r="BA381" s="22">
        <v>4.6337899999999996E-3</v>
      </c>
      <c r="BB381" s="22">
        <v>371</v>
      </c>
      <c r="BC381" s="22">
        <v>1.7672699999999999</v>
      </c>
      <c r="BD381">
        <f t="shared" si="70"/>
        <v>-5.7207283950617276</v>
      </c>
      <c r="BE381">
        <f t="shared" si="71"/>
        <v>-10.115334740864196</v>
      </c>
    </row>
    <row r="382" spans="6:57">
      <c r="F382" s="9"/>
      <c r="G382" s="22">
        <v>-9.32312E-2</v>
      </c>
      <c r="H382" s="22">
        <v>8.9907400000000006</v>
      </c>
      <c r="I382" s="22">
        <v>-1.42761E-2</v>
      </c>
      <c r="J382" s="22">
        <v>372</v>
      </c>
      <c r="K382" s="22">
        <v>-9.3811000000000005E-2</v>
      </c>
      <c r="L382">
        <f t="shared" si="60"/>
        <v>17.624814814814812</v>
      </c>
      <c r="M382">
        <f t="shared" si="61"/>
        <v>-1.6431826349629628</v>
      </c>
      <c r="N382" s="9"/>
      <c r="O382" s="22">
        <v>1.77322</v>
      </c>
      <c r="P382" s="22">
        <v>12.769600000000001</v>
      </c>
      <c r="Q382" s="22">
        <v>5.1055900000000001E-3</v>
      </c>
      <c r="R382" s="22">
        <v>372</v>
      </c>
      <c r="S382" s="22">
        <v>1.7724599999999999</v>
      </c>
      <c r="T382">
        <f t="shared" si="62"/>
        <v>-6.303197530864197</v>
      </c>
      <c r="U382">
        <f t="shared" si="63"/>
        <v>-11.176955925679012</v>
      </c>
      <c r="X382" s="9"/>
      <c r="Y382" s="22">
        <v>-9.32312E-2</v>
      </c>
      <c r="Z382" s="22">
        <v>18.241900000000001</v>
      </c>
      <c r="AA382" s="22">
        <v>-1.4297499999999999E-2</v>
      </c>
      <c r="AB382" s="22">
        <v>372</v>
      </c>
      <c r="AC382" s="22">
        <v>-9.38721E-2</v>
      </c>
      <c r="AD382">
        <f t="shared" si="64"/>
        <v>17.651234567901231</v>
      </c>
      <c r="AE382">
        <f t="shared" si="65"/>
        <v>-1.6456457802469131</v>
      </c>
      <c r="AF382" s="9"/>
      <c r="AG382" s="22">
        <v>1.77322</v>
      </c>
      <c r="AH382" s="22">
        <v>22.020800000000001</v>
      </c>
      <c r="AI382" s="22">
        <v>5.91736E-3</v>
      </c>
      <c r="AJ382" s="22">
        <v>372</v>
      </c>
      <c r="AK382" s="22">
        <v>1.77216</v>
      </c>
      <c r="AL382">
        <f t="shared" si="66"/>
        <v>-7.3053827160493823</v>
      </c>
      <c r="AM382">
        <f t="shared" si="67"/>
        <v>-12.954050739753086</v>
      </c>
      <c r="AP382" s="9"/>
      <c r="AQ382" s="22">
        <v>-9.32312E-2</v>
      </c>
      <c r="AR382" s="22">
        <v>27.463200000000001</v>
      </c>
      <c r="AS382" s="22">
        <v>-1.43097E-2</v>
      </c>
      <c r="AT382" s="22">
        <v>372</v>
      </c>
      <c r="AU382" s="22">
        <v>-9.375E-2</v>
      </c>
      <c r="AV382">
        <f t="shared" si="68"/>
        <v>17.666296296296295</v>
      </c>
      <c r="AW382">
        <f t="shared" si="69"/>
        <v>-1.6470500032592592</v>
      </c>
      <c r="AX382" s="9"/>
      <c r="AY382" s="22">
        <v>1.77322</v>
      </c>
      <c r="AZ382" s="22">
        <v>31.242100000000001</v>
      </c>
      <c r="BA382" s="22">
        <v>5.2887000000000003E-3</v>
      </c>
      <c r="BB382" s="22">
        <v>372</v>
      </c>
      <c r="BC382" s="22">
        <v>1.7724599999999999</v>
      </c>
      <c r="BD382">
        <f t="shared" si="70"/>
        <v>-6.5292592592592591</v>
      </c>
      <c r="BE382">
        <f t="shared" si="71"/>
        <v>-11.577813103703704</v>
      </c>
    </row>
    <row r="383" spans="6:57">
      <c r="F383" s="9"/>
      <c r="G383" s="22">
        <v>-9.8266599999999996E-2</v>
      </c>
      <c r="H383" s="22">
        <v>9.0008099999999995</v>
      </c>
      <c r="I383" s="22">
        <v>-1.42822E-2</v>
      </c>
      <c r="J383" s="22">
        <v>373</v>
      </c>
      <c r="K383" s="22">
        <v>-9.8907499999999995E-2</v>
      </c>
      <c r="L383">
        <f t="shared" si="60"/>
        <v>17.632345679012342</v>
      </c>
      <c r="M383">
        <f t="shared" si="61"/>
        <v>-1.7326706599012343</v>
      </c>
      <c r="N383" s="9"/>
      <c r="O383" s="22">
        <v>1.77826</v>
      </c>
      <c r="P383" s="22">
        <v>12.7797</v>
      </c>
      <c r="Q383" s="22">
        <v>5.8227499999999998E-3</v>
      </c>
      <c r="R383" s="22">
        <v>373</v>
      </c>
      <c r="S383" s="22">
        <v>1.7773399999999999</v>
      </c>
      <c r="T383">
        <f t="shared" si="62"/>
        <v>-7.1885802469135802</v>
      </c>
      <c r="U383">
        <f t="shared" si="63"/>
        <v>-12.783164709876543</v>
      </c>
      <c r="X383" s="9"/>
      <c r="Y383" s="22">
        <v>-9.8266599999999996E-2</v>
      </c>
      <c r="Z383" s="22">
        <v>18.251999999999999</v>
      </c>
      <c r="AA383" s="22">
        <v>-1.4300500000000001E-2</v>
      </c>
      <c r="AB383" s="22">
        <v>373</v>
      </c>
      <c r="AC383" s="22">
        <v>-9.8846400000000001E-2</v>
      </c>
      <c r="AD383">
        <f t="shared" si="64"/>
        <v>17.654938271604937</v>
      </c>
      <c r="AE383">
        <f t="shared" si="65"/>
        <v>-1.7348907571604937</v>
      </c>
      <c r="AF383" s="9"/>
      <c r="AG383" s="22">
        <v>1.77826</v>
      </c>
      <c r="AH383" s="22">
        <v>22.030899999999999</v>
      </c>
      <c r="AI383" s="22">
        <v>6.7260699999999998E-3</v>
      </c>
      <c r="AJ383" s="22">
        <v>373</v>
      </c>
      <c r="AK383" s="22">
        <v>1.7773399999999999</v>
      </c>
      <c r="AL383">
        <f t="shared" si="66"/>
        <v>-8.3037901234567908</v>
      </c>
      <c r="AM383">
        <f t="shared" si="67"/>
        <v>-14.766297824938272</v>
      </c>
      <c r="AP383" s="9"/>
      <c r="AQ383" s="22">
        <v>-9.8266599999999996E-2</v>
      </c>
      <c r="AR383" s="22">
        <v>27.473199999999999</v>
      </c>
      <c r="AS383" s="22">
        <v>-1.4312699999999999E-2</v>
      </c>
      <c r="AT383" s="22">
        <v>373</v>
      </c>
      <c r="AU383" s="22">
        <v>-9.8815899999999998E-2</v>
      </c>
      <c r="AV383">
        <f t="shared" si="68"/>
        <v>17.669999999999998</v>
      </c>
      <c r="AW383">
        <f t="shared" si="69"/>
        <v>-1.7363708219999998</v>
      </c>
      <c r="AX383" s="9"/>
      <c r="AY383" s="22">
        <v>1.77826</v>
      </c>
      <c r="AZ383" s="22">
        <v>31.252099999999999</v>
      </c>
      <c r="BA383" s="22">
        <v>5.9356699999999997E-3</v>
      </c>
      <c r="BB383" s="22">
        <v>373</v>
      </c>
      <c r="BC383" s="22">
        <v>1.77765</v>
      </c>
      <c r="BD383">
        <f t="shared" si="70"/>
        <v>-7.3279876543209861</v>
      </c>
      <c r="BE383">
        <f t="shared" si="71"/>
        <v>-13.031067326172836</v>
      </c>
    </row>
    <row r="384" spans="6:57">
      <c r="F384" s="9"/>
      <c r="G384" s="22">
        <v>-0.103302</v>
      </c>
      <c r="H384" s="22">
        <v>9.0108800000000002</v>
      </c>
      <c r="I384" s="22">
        <v>-1.42822E-2</v>
      </c>
      <c r="J384" s="22">
        <v>374</v>
      </c>
      <c r="K384" s="22">
        <v>-0.103821</v>
      </c>
      <c r="L384">
        <f t="shared" si="60"/>
        <v>17.632345679012342</v>
      </c>
      <c r="M384">
        <f t="shared" si="61"/>
        <v>-1.821456573333333</v>
      </c>
      <c r="N384" s="9"/>
      <c r="O384" s="22">
        <v>1.78329</v>
      </c>
      <c r="P384" s="22">
        <v>12.7898</v>
      </c>
      <c r="Q384" s="22">
        <v>6.5368700000000002E-3</v>
      </c>
      <c r="R384" s="22">
        <v>374</v>
      </c>
      <c r="S384" s="22">
        <v>1.7819199999999999</v>
      </c>
      <c r="T384">
        <f t="shared" si="62"/>
        <v>-8.0702098765432098</v>
      </c>
      <c r="U384">
        <f t="shared" si="63"/>
        <v>-14.39152457074074</v>
      </c>
      <c r="X384" s="9"/>
      <c r="Y384" s="22">
        <v>-0.103302</v>
      </c>
      <c r="Z384" s="22">
        <v>18.2621</v>
      </c>
      <c r="AA384" s="22">
        <v>-1.4300500000000001E-2</v>
      </c>
      <c r="AB384" s="22">
        <v>374</v>
      </c>
      <c r="AC384" s="22">
        <v>-0.103882</v>
      </c>
      <c r="AD384">
        <f t="shared" si="64"/>
        <v>17.654938271604937</v>
      </c>
      <c r="AE384">
        <f t="shared" si="65"/>
        <v>-1.8237904333333332</v>
      </c>
      <c r="AF384" s="9"/>
      <c r="AG384" s="22">
        <v>1.78329</v>
      </c>
      <c r="AH384" s="22">
        <v>22.041</v>
      </c>
      <c r="AI384" s="22">
        <v>7.5408899999999997E-3</v>
      </c>
      <c r="AJ384" s="22">
        <v>374</v>
      </c>
      <c r="AK384" s="22">
        <v>1.7825299999999999</v>
      </c>
      <c r="AL384">
        <f t="shared" si="66"/>
        <v>-9.3097407407407395</v>
      </c>
      <c r="AM384">
        <f t="shared" si="67"/>
        <v>-16.601967565555555</v>
      </c>
      <c r="AP384" s="9"/>
      <c r="AQ384" s="22">
        <v>-0.103302</v>
      </c>
      <c r="AR384" s="22">
        <v>27.4833</v>
      </c>
      <c r="AS384" s="22">
        <v>-1.43188E-2</v>
      </c>
      <c r="AT384" s="22">
        <v>374</v>
      </c>
      <c r="AU384" s="22">
        <v>-0.103912</v>
      </c>
      <c r="AV384">
        <f t="shared" si="68"/>
        <v>17.677530864197529</v>
      </c>
      <c r="AW384">
        <f t="shared" si="69"/>
        <v>-1.8261242933333333</v>
      </c>
      <c r="AX384" s="9"/>
      <c r="AY384" s="22">
        <v>1.78329</v>
      </c>
      <c r="AZ384" s="22">
        <v>31.2622</v>
      </c>
      <c r="BA384" s="22">
        <v>6.58875E-3</v>
      </c>
      <c r="BB384" s="22">
        <v>374</v>
      </c>
      <c r="BC384" s="22">
        <v>1.78223</v>
      </c>
      <c r="BD384">
        <f t="shared" si="70"/>
        <v>-8.1342592592592595</v>
      </c>
      <c r="BE384">
        <f t="shared" si="71"/>
        <v>-14.505743194444445</v>
      </c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P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266.58000000000845</v>
      </c>
      <c r="H2" s="2"/>
      <c r="I2" s="6" t="s">
        <v>12</v>
      </c>
      <c r="J2" s="2"/>
      <c r="K2" s="7" t="s">
        <v>13</v>
      </c>
      <c r="L2" s="3">
        <f>L4*I6*L9/100*100</f>
        <v>25.249146641975308</v>
      </c>
      <c r="M2" s="8" t="s">
        <v>14</v>
      </c>
      <c r="N2" s="9"/>
      <c r="O2" s="2">
        <f>ABS(S7-S6)/ABS(T7-T6)*1000</f>
        <v>456.23144347826883</v>
      </c>
      <c r="P2" s="2"/>
      <c r="Q2" s="6" t="s">
        <v>15</v>
      </c>
      <c r="R2" s="2"/>
      <c r="S2" s="7" t="s">
        <v>13</v>
      </c>
      <c r="T2" s="3">
        <f>T4*Q6*T9/100*100</f>
        <v>24.9646294</v>
      </c>
      <c r="U2" s="8" t="s">
        <v>14</v>
      </c>
      <c r="X2" s="9"/>
      <c r="Y2" s="2">
        <f>ABS(AC7-AC6)/ABS(AD7-AD6)*1000</f>
        <v>337.15453278682372</v>
      </c>
      <c r="Z2" s="2"/>
      <c r="AA2" s="6" t="s">
        <v>12</v>
      </c>
      <c r="AB2" s="2"/>
      <c r="AC2" s="7" t="s">
        <v>13</v>
      </c>
      <c r="AD2" s="3">
        <f>AD4*AA6*AD9/100*100</f>
        <v>25.210583303703704</v>
      </c>
      <c r="AE2" s="8" t="s">
        <v>14</v>
      </c>
      <c r="AF2" s="9"/>
      <c r="AG2" s="2">
        <f>ABS(AK7-AK6)/ABS(AL7-AL6)*1000</f>
        <v>333.50707622952598</v>
      </c>
      <c r="AH2" s="2"/>
      <c r="AI2" s="6" t="s">
        <v>15</v>
      </c>
      <c r="AJ2" s="2"/>
      <c r="AK2" s="7" t="s">
        <v>13</v>
      </c>
      <c r="AL2" s="3">
        <f>AL4*AI6*AL9/100*100</f>
        <v>24.970996759259261</v>
      </c>
      <c r="AM2" s="8" t="s">
        <v>14</v>
      </c>
      <c r="AP2" s="9"/>
      <c r="AQ2" s="2">
        <f>ABS(AU7-AU6)/ABS(AV7-AV6)*1000</f>
        <v>351.54000000001878</v>
      </c>
      <c r="AR2" s="2"/>
      <c r="AS2" s="6" t="s">
        <v>12</v>
      </c>
      <c r="AT2" s="2"/>
      <c r="AU2" s="7" t="s">
        <v>13</v>
      </c>
      <c r="AV2" s="3">
        <f>AV4*AS6*AV9/100*100</f>
        <v>25.375055456790125</v>
      </c>
      <c r="AW2" s="8" t="s">
        <v>14</v>
      </c>
      <c r="AX2" s="9"/>
      <c r="AY2" s="2">
        <f>ABS(BC7-BC6)/ABS(BD7-BD6)*1000</f>
        <v>429.73401758245609</v>
      </c>
      <c r="AZ2" s="2"/>
      <c r="BA2" s="6" t="s">
        <v>15</v>
      </c>
      <c r="BB2" s="2"/>
      <c r="BC2" s="7" t="s">
        <v>13</v>
      </c>
      <c r="BD2" s="3">
        <f>BD4*BA6*BD9/100*100</f>
        <v>25.018505955555558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1.64398</v>
      </c>
      <c r="J3" s="2"/>
      <c r="K3" s="10">
        <f>INDEX(L11:L1056,MATCH(I3,K11:K1056,0))</f>
        <v>-2.6919506172839505</v>
      </c>
      <c r="L3" s="33" t="s">
        <v>16</v>
      </c>
      <c r="M3" s="11">
        <f>M9</f>
        <v>25.249146641975308</v>
      </c>
      <c r="N3" s="9"/>
      <c r="O3" s="2" t="s">
        <v>44</v>
      </c>
      <c r="P3" s="2"/>
      <c r="Q3" s="2">
        <f>INDEX(S11:S1056,MATCH(0,T11:T1056,-1))</f>
        <v>1.6110199999999999</v>
      </c>
      <c r="R3" s="2"/>
      <c r="S3" s="10">
        <f>INDEX(T11:T1056,MATCH(Q3,S11:S1056,0))</f>
        <v>2.8780740740740742</v>
      </c>
      <c r="T3" s="33" t="s">
        <v>16</v>
      </c>
      <c r="U3" s="11">
        <f>U9</f>
        <v>24.9646294</v>
      </c>
      <c r="X3" s="9"/>
      <c r="Y3" s="2" t="s">
        <v>44</v>
      </c>
      <c r="Z3" s="2"/>
      <c r="AA3" s="2">
        <f>INDEX(AC11:AC856,MATCH(0,AD11:AD856,1))</f>
        <v>1.64368</v>
      </c>
      <c r="AB3" s="2"/>
      <c r="AC3" s="10">
        <f>INDEX(AD11:AD1056,MATCH(AA3,AC11:AC1056,0))</f>
        <v>-1.5744814814814814</v>
      </c>
      <c r="AD3" s="33" t="s">
        <v>16</v>
      </c>
      <c r="AE3" s="11">
        <f>AE9</f>
        <v>25.2105833037037</v>
      </c>
      <c r="AF3" s="9"/>
      <c r="AG3" s="2" t="s">
        <v>44</v>
      </c>
      <c r="AH3" s="2"/>
      <c r="AI3" s="2">
        <f>INDEX(AK11:AK1056,MATCH(0,AL11:AL1056,-1))</f>
        <v>1.6116299999999999</v>
      </c>
      <c r="AJ3" s="2"/>
      <c r="AK3" s="10">
        <f>INDEX(AL11:AL1056,MATCH(AI3,AK11:AK1056,0))</f>
        <v>2.0970493827160492</v>
      </c>
      <c r="AL3" s="33" t="s">
        <v>16</v>
      </c>
      <c r="AM3" s="11">
        <f>AM9</f>
        <v>24.970996759259258</v>
      </c>
      <c r="AP3" s="9"/>
      <c r="AQ3" s="2" t="s">
        <v>44</v>
      </c>
      <c r="AR3" s="2"/>
      <c r="AS3" s="2">
        <f>INDEX(AU11:AU856,MATCH(0,AV11:AV856,1))</f>
        <v>1.65344</v>
      </c>
      <c r="AT3" s="2"/>
      <c r="AU3" s="10">
        <f>INDEX(AV11:AV1056,MATCH(AS3,AU11:AU1056,0))</f>
        <v>-3.5622716049382714</v>
      </c>
      <c r="AV3" s="33" t="s">
        <v>16</v>
      </c>
      <c r="AW3" s="11">
        <f>AW9</f>
        <v>25.375055456790118</v>
      </c>
      <c r="AX3" s="9"/>
      <c r="AY3" s="2" t="s">
        <v>44</v>
      </c>
      <c r="AZ3" s="2"/>
      <c r="BA3" s="2">
        <f>INDEX(BC11:BC1056,MATCH(0,BD11:BD1056,-1))</f>
        <v>1.6116299999999999</v>
      </c>
      <c r="BB3" s="2"/>
      <c r="BC3" s="10">
        <f>INDEX(BD11:BD1056,MATCH(BA3,BC11:BC1056,0))</f>
        <v>1.9037654320987654</v>
      </c>
      <c r="BD3" s="33" t="s">
        <v>16</v>
      </c>
      <c r="BE3" s="11">
        <f>BE9</f>
        <v>25.018505955555558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1.4269053407038241</v>
      </c>
      <c r="H4" s="2"/>
      <c r="I4" s="2">
        <f>INDEX(K11:K1000,1+MATCH(0,L11:L856,1))</f>
        <v>1.63879</v>
      </c>
      <c r="J4" s="2"/>
      <c r="K4" s="10">
        <f>INDEX(L11:L1056,MATCH(I4,K11:K1056,0))</f>
        <v>0.94529135802469133</v>
      </c>
      <c r="L4" s="32">
        <f>M3/(I6*L9)</f>
        <v>0.7220327436592352</v>
      </c>
      <c r="M4" s="8" t="s">
        <v>17</v>
      </c>
      <c r="N4" s="9"/>
      <c r="O4" s="2">
        <f>ABS(Q3-Q4)/ABS(S3-S4)*1000</f>
        <v>1.6685176264107981</v>
      </c>
      <c r="P4" s="2"/>
      <c r="Q4" s="2">
        <f>INDEX(S11:S856,1+MATCH(0,T11:T856,-1))</f>
        <v>1.61591</v>
      </c>
      <c r="R4" s="2"/>
      <c r="S4" s="10">
        <f>INDEX(T11:T856,MATCH(Q4,S11:S856,0))</f>
        <v>-5.2671111111111113E-2</v>
      </c>
      <c r="T4" s="32">
        <f>U3/(Q6*T9)</f>
        <v>0.72358018672359103</v>
      </c>
      <c r="U4" s="8" t="s">
        <v>17</v>
      </c>
      <c r="X4" s="9"/>
      <c r="Y4" s="2">
        <f>ABS(AA3-AA4)/ABS(AC3-AC4)*1000</f>
        <v>1.3953488372093112</v>
      </c>
      <c r="Z4" s="2"/>
      <c r="AA4" s="2">
        <f>INDEX(AC11:AC1000,1+MATCH(0,AD11:AD856,1))</f>
        <v>1.6391</v>
      </c>
      <c r="AB4" s="2"/>
      <c r="AC4" s="10">
        <f>INDEX(AD11:AD1056,MATCH(AA4,AC11:AC1056,0))</f>
        <v>1.7078518518518517</v>
      </c>
      <c r="AD4" s="32">
        <f>AE3/(AA6*AD9)</f>
        <v>0.72195318778010731</v>
      </c>
      <c r="AE4" s="8" t="s">
        <v>17</v>
      </c>
      <c r="AF4" s="9"/>
      <c r="AG4" s="2">
        <f>ABS(AI3-AI4)/ABS(AK3-AK4)*1000</f>
        <v>1.5440444742078743</v>
      </c>
      <c r="AH4" s="2"/>
      <c r="AI4" s="2">
        <f>INDEX(AK11:AK856,1+MATCH(0,AL11:AL856,-1))</f>
        <v>1.6162099999999999</v>
      </c>
      <c r="AJ4" s="2"/>
      <c r="AK4" s="10">
        <f>INDEX(AL11:AL856,MATCH(AI4,AK11:AK856,0))</f>
        <v>-0.8691864197530863</v>
      </c>
      <c r="AL4" s="32">
        <f>AM3/(AI6*AL9)</f>
        <v>0.7269972277629233</v>
      </c>
      <c r="AM4" s="8" t="s">
        <v>17</v>
      </c>
      <c r="AP4" s="9"/>
      <c r="AQ4" s="2">
        <f>ABS(AS3-AS4)/ABS(AU3-AU4)*1000</f>
        <v>1.2867979182312963</v>
      </c>
      <c r="AR4" s="2"/>
      <c r="AS4" s="2">
        <f>INDEX(AU11:AU1000,1+MATCH(0,AV11:AV856,1))</f>
        <v>1.64856</v>
      </c>
      <c r="AT4" s="2"/>
      <c r="AU4" s="10">
        <f>INDEX(AV11:AV1056,MATCH(AS4,AU11:AU1056,0))</f>
        <v>0.23008765432098766</v>
      </c>
      <c r="AV4" s="32">
        <f>AW3/(AS6*AV9)</f>
        <v>0.72561112573490372</v>
      </c>
      <c r="AW4" s="8" t="s">
        <v>17</v>
      </c>
      <c r="AX4" s="9"/>
      <c r="AY4" s="2">
        <f>ABS(BA3-BA4)/ABS(BC3-BC4)*1000</f>
        <v>1.512538616341653</v>
      </c>
      <c r="AZ4" s="2"/>
      <c r="BA4" s="2">
        <f>INDEX(BC11:BC856,1+MATCH(0,BD11:BD856,-1))</f>
        <v>1.61652</v>
      </c>
      <c r="BB4" s="2"/>
      <c r="BC4" s="10">
        <f>INDEX(BD11:BD856,MATCH(BA4,BC11:BC856,0))</f>
        <v>-1.3292098765432097</v>
      </c>
      <c r="BD4" s="32">
        <f>BE3/(BA6*BD9)</f>
        <v>0.72828916205562477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17.372469135802469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17.447777777777777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17.406296296296293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17.575925925925926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17.398765432098763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17.485432098765433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1.6401388412872866</v>
      </c>
      <c r="J6" s="32"/>
      <c r="K6" s="13">
        <f>INDEX(K11:K1056,MATCH(L6,L11:L1056,0))</f>
        <v>3.0853299999999998E-3</v>
      </c>
      <c r="L6" s="10">
        <f>INDEX(L11:L1056,MATCH(0,K11:K1056,-1))</f>
        <v>21.309506172839505</v>
      </c>
      <c r="M6" s="8" t="s">
        <v>22</v>
      </c>
      <c r="N6" s="9"/>
      <c r="O6" s="2"/>
      <c r="P6" s="2"/>
      <c r="Q6" s="36">
        <f>(Q3-Q4)/(S3-S4)*(-S4)+Q4</f>
        <v>1.6158221173227085</v>
      </c>
      <c r="R6" s="36"/>
      <c r="S6" s="13">
        <f>INDEX(S11:S1056,MATCH(T6,T11:T1056,0))</f>
        <v>-4.57764E-3</v>
      </c>
      <c r="T6" s="10">
        <f>INDEX(T11:T1056,MATCH(0,S11:S1056,1))</f>
        <v>21.362345679012343</v>
      </c>
      <c r="U6" s="8" t="s">
        <v>22</v>
      </c>
      <c r="X6" s="9"/>
      <c r="Y6" s="2"/>
      <c r="Z6" s="2"/>
      <c r="AA6" s="32">
        <f>(AA3-AA4)/(AC3-AC4)*(-AC4)+AA4</f>
        <v>1.6414830490956072</v>
      </c>
      <c r="AB6" s="32"/>
      <c r="AC6" s="13">
        <f>INDEX(AC11:AC1056,MATCH(AD6,AD11:AD1056,0))</f>
        <v>3.0700699999999998E-3</v>
      </c>
      <c r="AD6" s="10">
        <f>INDEX(AD11:AD1056,MATCH(0,AC11:AC1056,-1))</f>
        <v>21.264320987654319</v>
      </c>
      <c r="AE6" s="8" t="s">
        <v>22</v>
      </c>
      <c r="AF6" s="9"/>
      <c r="AG6" s="2"/>
      <c r="AH6" s="2"/>
      <c r="AI6" s="36">
        <f>(AI3-AI4)/(AK3-AK4)*(-AK4)+AI4</f>
        <v>1.6148679375115236</v>
      </c>
      <c r="AJ6" s="36"/>
      <c r="AK6" s="13">
        <f>INDEX(AK11:AK1056,MATCH(AL6,AL11:AL1056,0))</f>
        <v>-4.4280999999999999E-3</v>
      </c>
      <c r="AL6" s="10">
        <f>INDEX(AL11:AL1056,MATCH(0,AK11:AK1056,1))</f>
        <v>21.283209876543207</v>
      </c>
      <c r="AM6" s="8" t="s">
        <v>22</v>
      </c>
      <c r="AP6" s="9"/>
      <c r="AQ6" s="2"/>
      <c r="AR6" s="2"/>
      <c r="AS6" s="32">
        <f>(AS3-AS4)/(AU3-AU4)*(-AU4)+AS4</f>
        <v>1.648856076314591</v>
      </c>
      <c r="AT6" s="32"/>
      <c r="AU6" s="13">
        <f>INDEX(AU11:AU1056,MATCH(AV6,AV11:AV1056,0))</f>
        <v>3.0792200000000001E-3</v>
      </c>
      <c r="AV6" s="10">
        <f>INDEX(AV11:AV1056,MATCH(0,AU11:AU1056,-1))</f>
        <v>21.200246913580244</v>
      </c>
      <c r="AW6" s="8" t="s">
        <v>22</v>
      </c>
      <c r="AX6" s="9"/>
      <c r="AY6" s="2"/>
      <c r="AZ6" s="2"/>
      <c r="BA6" s="36">
        <f>(BA3-BA4)/(BC3-BC4)*(-BC4)+BA4</f>
        <v>1.6145095187325056</v>
      </c>
      <c r="BB6" s="36"/>
      <c r="BC6" s="13">
        <f>INDEX(BC11:BC1056,MATCH(BD6,BD11:BD1056,0))</f>
        <v>-4.1229200000000004E-3</v>
      </c>
      <c r="BD6" s="10">
        <f>INDEX(BD11:BD1056,MATCH(0,BC11:BC1056,1))</f>
        <v>21.286913580246914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-1.9500699999999999E-3</v>
      </c>
      <c r="L7" s="10">
        <f>INDEX(L11:L856,1+MATCH(0,K11:K856,-1))</f>
        <v>21.328395061728394</v>
      </c>
      <c r="M7" s="12">
        <f>INDEX(K11:K1056,MATCH(M9,M11:M1056,0))</f>
        <v>1.4523299999999999</v>
      </c>
      <c r="N7" s="9"/>
      <c r="O7" s="2"/>
      <c r="P7" s="2"/>
      <c r="Q7" s="2"/>
      <c r="R7" s="2"/>
      <c r="S7" s="13">
        <f>INDEX(S11:S1056,MATCH(T7,T11:T1056,0))</f>
        <v>6.0424800000000005E-4</v>
      </c>
      <c r="T7" s="10">
        <f>INDEX(T11:T1056,1+MATCH(0,S11:S1056,1))</f>
        <v>21.350987654320985</v>
      </c>
      <c r="U7" s="12">
        <f>INDEX(S11:S1056,MATCH(U9,U11:U1056,0))</f>
        <v>1.4297500000000001</v>
      </c>
      <c r="X7" s="9"/>
      <c r="Y7" s="2"/>
      <c r="Z7" s="2"/>
      <c r="AA7" s="2"/>
      <c r="AB7" s="2"/>
      <c r="AC7" s="13">
        <f>INDEX(AC11:AC856,MATCH(AD7,AD11:AD856,1))</f>
        <v>-2.0080599999999999E-3</v>
      </c>
      <c r="AD7" s="10">
        <f>INDEX(AD11:AD856,1+MATCH(0,AC11:AC856,-1))</f>
        <v>21.279382716049383</v>
      </c>
      <c r="AE7" s="12">
        <f>INDEX(AC11:AC1056,MATCH(AE9,AE11:AE1056,0))</f>
        <v>1.4480599999999999</v>
      </c>
      <c r="AF7" s="9"/>
      <c r="AG7" s="2"/>
      <c r="AH7" s="2"/>
      <c r="AI7" s="2"/>
      <c r="AJ7" s="2"/>
      <c r="AK7" s="13">
        <f>INDEX(AK11:AK1056,MATCH(AL7,AL11:AL1056,0))</f>
        <v>5.9509299999999999E-4</v>
      </c>
      <c r="AL7" s="10">
        <f>INDEX(AL11:AL1056,1+MATCH(0,AK11:AK1056,1))</f>
        <v>21.268148148148146</v>
      </c>
      <c r="AM7" s="12">
        <f>INDEX(AK11:AK1056,MATCH(AM9,AM11:AM1056,0))</f>
        <v>1.41998</v>
      </c>
      <c r="AP7" s="9"/>
      <c r="AQ7" s="2"/>
      <c r="AR7" s="2"/>
      <c r="AS7" s="2"/>
      <c r="AT7" s="2"/>
      <c r="AU7" s="13">
        <f>INDEX(AU11:AU856,MATCH(AV7,AV11:AV856,1))</f>
        <v>-2.21558E-3</v>
      </c>
      <c r="AV7" s="10">
        <f>INDEX(AV11:AV856,1+MATCH(0,AU11:AU856,-1))</f>
        <v>21.215308641975305</v>
      </c>
      <c r="AW7" s="12">
        <f>INDEX(AU11:AU1056,MATCH(AW9,AW11:AW1056,0))</f>
        <v>1.4581299999999999</v>
      </c>
      <c r="AX7" s="9"/>
      <c r="AY7" s="2"/>
      <c r="AZ7" s="2"/>
      <c r="BA7" s="2"/>
      <c r="BB7" s="2"/>
      <c r="BC7" s="13">
        <f>INDEX(BC11:BC1056,MATCH(BD7,BD11:BD1056,0))</f>
        <v>7.0495599999999996E-4</v>
      </c>
      <c r="BD7" s="10">
        <f>INDEX(BD11:BD1056,1+MATCH(0,BC11:BC1056,1))</f>
        <v>21.27567901234568</v>
      </c>
      <c r="BE7" s="12">
        <f>INDEX(BC11:BC1056,MATCH(BE9,BE11:BE1056,0))</f>
        <v>1.4303600000000001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1.1268390413730427</v>
      </c>
      <c r="J9" s="2"/>
      <c r="K9" s="2"/>
      <c r="L9" s="3">
        <f>(L6-L7)/(K6-K7)*(-K7)+L7</f>
        <v>21.321079921807918</v>
      </c>
      <c r="M9" s="16">
        <f>MAX(M11:M1056)</f>
        <v>25.249146641975308</v>
      </c>
      <c r="N9" s="9"/>
      <c r="O9" s="2"/>
      <c r="P9" s="2"/>
      <c r="Q9" s="2"/>
      <c r="R9" s="2"/>
      <c r="S9" s="2"/>
      <c r="T9" s="3">
        <f>(T6-T7)/(S6-S7)*(-S7)+T7</f>
        <v>21.35231208736618</v>
      </c>
      <c r="U9" s="16">
        <f>MAX(U11:U1056)</f>
        <v>24.9646294</v>
      </c>
      <c r="X9" s="9"/>
      <c r="Y9" s="2"/>
      <c r="Z9" s="2"/>
      <c r="AA9" s="15">
        <f>(MAX(AD2,AL2)-MIN(AD2,AL2))/MAX(AD2,AL2)%</f>
        <v>0.95034113871234649</v>
      </c>
      <c r="AB9" s="2"/>
      <c r="AC9" s="2"/>
      <c r="AD9" s="3">
        <f>(AD6-AD7)/(AC6-AC7)*(-AC7)+AD7</f>
        <v>21.273426812139679</v>
      </c>
      <c r="AE9" s="16">
        <f>MAX(AE11:AE1056)</f>
        <v>25.2105833037037</v>
      </c>
      <c r="AF9" s="9"/>
      <c r="AG9" s="2"/>
      <c r="AH9" s="2"/>
      <c r="AI9" s="2"/>
      <c r="AJ9" s="2"/>
      <c r="AK9" s="2"/>
      <c r="AL9" s="3">
        <f>(AL6-AL7)/(AK6-AK7)*(-AK7)+AL7</f>
        <v>21.269932497094285</v>
      </c>
      <c r="AM9" s="16">
        <f>MAX(AM11:AM1056)</f>
        <v>24.970996759259258</v>
      </c>
      <c r="AP9" s="9"/>
      <c r="AQ9" s="2"/>
      <c r="AR9" s="2"/>
      <c r="AS9" s="15">
        <f>(MAX(AV2,BD2)-MIN(AV2,BD2))/MAX(AV2,BD2)%</f>
        <v>1.4051181162607413</v>
      </c>
      <c r="AT9" s="2"/>
      <c r="AU9" s="2"/>
      <c r="AV9" s="3">
        <f>(AV6-AV7)/(AU6-AU7)*(-AU7)+AV7</f>
        <v>21.209006144393239</v>
      </c>
      <c r="AW9" s="16">
        <f>MAX(AW11:AW1056)</f>
        <v>25.375055456790118</v>
      </c>
      <c r="AX9" s="9"/>
      <c r="AY9" s="2"/>
      <c r="AZ9" s="2"/>
      <c r="BA9" s="2"/>
      <c r="BB9" s="2"/>
      <c r="BC9" s="2"/>
      <c r="BD9" s="3">
        <f>(BD6-BD7)/(BC6-BC7)*(-BC7)+BD7</f>
        <v>21.277319459625058</v>
      </c>
      <c r="BE9" s="16">
        <f>MAX(BE11:BE1056)</f>
        <v>25.018505955555558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1.6401388412872866</v>
      </c>
      <c r="B11" s="19">
        <f>IFERROR(L9,0)</f>
        <v>21.321079921807918</v>
      </c>
      <c r="C11" s="20">
        <f>IFERROR(L4,0)</f>
        <v>0.7220327436592352</v>
      </c>
      <c r="D11" s="21">
        <f>IFERROR(L2,0)</f>
        <v>25.249146641975308</v>
      </c>
      <c r="E11" s="21">
        <f>IFERROR(I9,0)</f>
        <v>1.1268390413730427</v>
      </c>
      <c r="F11" s="9"/>
      <c r="G11" s="22">
        <v>1.67496</v>
      </c>
      <c r="H11" s="22">
        <v>5.1044</v>
      </c>
      <c r="I11" s="22">
        <v>3.0367999999999999E-2</v>
      </c>
      <c r="J11" s="22">
        <v>1</v>
      </c>
      <c r="K11" s="22">
        <v>1.6745000000000001</v>
      </c>
      <c r="L11">
        <f>-I11/$F$2*1000</f>
        <v>-37.491358024691358</v>
      </c>
      <c r="M11">
        <f>L11*G11</f>
        <v>-62.796525037037036</v>
      </c>
      <c r="N11" s="9"/>
      <c r="O11" s="22">
        <v>-9.49097E-2</v>
      </c>
      <c r="P11" s="22">
        <v>8.6818799999999996</v>
      </c>
      <c r="Q11" s="22">
        <v>-1.75354E-2</v>
      </c>
      <c r="R11" s="22">
        <v>1</v>
      </c>
      <c r="S11" s="22">
        <v>-9.5550499999999997E-2</v>
      </c>
      <c r="T11">
        <f>-Q11/$F$2*1000</f>
        <v>21.648641975308639</v>
      </c>
      <c r="U11">
        <f>T11*O11</f>
        <v>-2.0546661152839505</v>
      </c>
      <c r="V11" s="23"/>
      <c r="W11" s="24"/>
      <c r="X11" s="9"/>
      <c r="Y11" s="22">
        <v>1.67496</v>
      </c>
      <c r="Z11" s="22">
        <v>13.987399999999999</v>
      </c>
      <c r="AA11" s="22">
        <v>2.7532999999999998E-2</v>
      </c>
      <c r="AB11" s="22">
        <v>1</v>
      </c>
      <c r="AC11" s="22">
        <v>1.6745000000000001</v>
      </c>
      <c r="AD11">
        <f>-AA11/$F$2*1000</f>
        <v>-33.991358024691351</v>
      </c>
      <c r="AE11">
        <f>AD11*Y11</f>
        <v>-56.934165037037026</v>
      </c>
      <c r="AF11" s="9"/>
      <c r="AG11" s="22">
        <v>-9.49097E-2</v>
      </c>
      <c r="AH11" s="22">
        <v>17.564900000000002</v>
      </c>
      <c r="AI11" s="22">
        <v>-1.7453E-2</v>
      </c>
      <c r="AJ11" s="22">
        <v>1</v>
      </c>
      <c r="AK11" s="22">
        <v>-9.5214800000000002E-2</v>
      </c>
      <c r="AL11">
        <f>-AI11/$F$2*1000</f>
        <v>21.546913580246912</v>
      </c>
      <c r="AM11">
        <f>AL11*AG11</f>
        <v>-2.0450111038271603</v>
      </c>
      <c r="AP11" s="9"/>
      <c r="AQ11" s="22">
        <v>1.67496</v>
      </c>
      <c r="AR11" s="22">
        <v>22.863600000000002</v>
      </c>
      <c r="AS11" s="22">
        <v>2.0242300000000001E-2</v>
      </c>
      <c r="AT11" s="22">
        <v>1</v>
      </c>
      <c r="AU11" s="22">
        <v>1.6745000000000001</v>
      </c>
      <c r="AV11">
        <f>-AS11/$F$2*1000</f>
        <v>-24.990493827160495</v>
      </c>
      <c r="AW11">
        <f>AV11*AQ11</f>
        <v>-41.858077540740744</v>
      </c>
      <c r="AX11" s="9"/>
      <c r="AY11" s="22">
        <v>-9.49097E-2</v>
      </c>
      <c r="AZ11" s="22">
        <v>26.441099999999999</v>
      </c>
      <c r="BA11" s="22">
        <v>-1.7456099999999999E-2</v>
      </c>
      <c r="BB11" s="22">
        <v>1</v>
      </c>
      <c r="BC11" s="22">
        <v>-9.5367400000000005E-2</v>
      </c>
      <c r="BD11">
        <f>-BA11/$F$2*1000</f>
        <v>21.550740740740739</v>
      </c>
      <c r="BE11">
        <f>BD11*AY11</f>
        <v>-2.0453743384814813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1.6158221173227085</v>
      </c>
      <c r="B12" s="19">
        <f>IFERROR(T9,0)</f>
        <v>21.35231208736618</v>
      </c>
      <c r="C12" s="20">
        <f>IFERROR(T4,0)</f>
        <v>0.72358018672359103</v>
      </c>
      <c r="D12" s="21">
        <f>IFERROR(T2,0)</f>
        <v>24.9646294</v>
      </c>
      <c r="E12" s="21"/>
      <c r="F12" s="9"/>
      <c r="G12" s="22">
        <v>1.6699200000000001</v>
      </c>
      <c r="H12" s="22">
        <v>5.1144699999999998</v>
      </c>
      <c r="I12" s="22">
        <v>2.52228E-2</v>
      </c>
      <c r="J12" s="22">
        <v>2</v>
      </c>
      <c r="K12" s="22">
        <v>1.6690100000000001</v>
      </c>
      <c r="L12">
        <f t="shared" ref="L12:L75" si="0">-I12/$F$2*1000</f>
        <v>-31.139259259259259</v>
      </c>
      <c r="M12">
        <f t="shared" ref="M12:M75" si="1">L12*G12</f>
        <v>-52.000071822222225</v>
      </c>
      <c r="N12" s="9"/>
      <c r="O12" s="22">
        <v>-8.9874300000000004E-2</v>
      </c>
      <c r="P12" s="22">
        <v>8.6919500000000003</v>
      </c>
      <c r="Q12" s="22">
        <v>-1.7523199999999999E-2</v>
      </c>
      <c r="R12" s="22">
        <v>2</v>
      </c>
      <c r="S12" s="22">
        <v>-9.0515100000000001E-2</v>
      </c>
      <c r="T12">
        <f t="shared" ref="T12:T75" si="2">-Q12/$F$2*1000</f>
        <v>21.633580246913578</v>
      </c>
      <c r="U12">
        <f t="shared" ref="U12:U75" si="3">T12*O12</f>
        <v>-1.944302881185185</v>
      </c>
      <c r="V12" s="23"/>
      <c r="W12" s="24"/>
      <c r="X12" s="9"/>
      <c r="Y12" s="22">
        <v>1.6699200000000001</v>
      </c>
      <c r="Z12" s="22">
        <v>13.9975</v>
      </c>
      <c r="AA12" s="22">
        <v>2.2549400000000001E-2</v>
      </c>
      <c r="AB12" s="22">
        <v>2</v>
      </c>
      <c r="AC12" s="22">
        <v>1.6693100000000001</v>
      </c>
      <c r="AD12">
        <f t="shared" ref="AD12:AD75" si="4">-AA12/$F$2*1000</f>
        <v>-27.838765432098764</v>
      </c>
      <c r="AE12">
        <f t="shared" ref="AE12:AE75" si="5">AD12*Y12</f>
        <v>-46.488511170370373</v>
      </c>
      <c r="AF12" s="9"/>
      <c r="AG12" s="22">
        <v>-8.9874300000000004E-2</v>
      </c>
      <c r="AH12" s="22">
        <v>17.574999999999999</v>
      </c>
      <c r="AI12" s="22">
        <v>-1.7443799999999999E-2</v>
      </c>
      <c r="AJ12" s="22">
        <v>2</v>
      </c>
      <c r="AK12" s="22">
        <v>-9.0271000000000004E-2</v>
      </c>
      <c r="AL12">
        <f t="shared" ref="AL12:AL75" si="6">-AI12/$F$2*1000</f>
        <v>21.535555555555554</v>
      </c>
      <c r="AM12">
        <f t="shared" ref="AM12:AM75" si="7">AL12*AG12</f>
        <v>-1.9354929806666665</v>
      </c>
      <c r="AP12" s="9"/>
      <c r="AQ12" s="22">
        <v>1.6699200000000001</v>
      </c>
      <c r="AR12" s="22">
        <v>22.873699999999999</v>
      </c>
      <c r="AS12" s="22">
        <v>1.54877E-2</v>
      </c>
      <c r="AT12" s="22">
        <v>2</v>
      </c>
      <c r="AU12" s="22">
        <v>1.6690100000000001</v>
      </c>
      <c r="AV12">
        <f t="shared" ref="AV12:AV75" si="8">-AS12/$F$2*1000</f>
        <v>-19.120617283950615</v>
      </c>
      <c r="AW12">
        <f t="shared" ref="AW12:AW75" si="9">AV12*AQ12</f>
        <v>-31.929901214814812</v>
      </c>
      <c r="AX12" s="9"/>
      <c r="AY12" s="22">
        <v>-8.9874300000000004E-2</v>
      </c>
      <c r="AZ12" s="22">
        <v>26.4512</v>
      </c>
      <c r="BA12" s="22">
        <v>-1.7446900000000001E-2</v>
      </c>
      <c r="BB12" s="22">
        <v>2</v>
      </c>
      <c r="BC12" s="22">
        <v>-9.0331999999999996E-2</v>
      </c>
      <c r="BD12">
        <f t="shared" ref="BD12:BD75" si="10">-BA12/$F$2*1000</f>
        <v>21.539382716049381</v>
      </c>
      <c r="BE12">
        <f t="shared" ref="BE12:BE75" si="11">BD12*AY12</f>
        <v>-1.9358369440370371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1.6414830490956072</v>
      </c>
      <c r="B13" s="19">
        <f>IFERROR(AD9,0)</f>
        <v>21.273426812139679</v>
      </c>
      <c r="C13" s="20">
        <f>IFERROR(AD4,0)</f>
        <v>0.72195318778010731</v>
      </c>
      <c r="D13" s="21">
        <f>IFERROR(AD2,0)</f>
        <v>25.210583303703704</v>
      </c>
      <c r="E13" s="21">
        <f>IFERROR(AA9,0)</f>
        <v>0.95034113871234649</v>
      </c>
      <c r="F13" s="9"/>
      <c r="G13" s="22">
        <v>1.66489</v>
      </c>
      <c r="H13" s="22">
        <v>5.1245399999999997</v>
      </c>
      <c r="I13" s="22">
        <v>2.0004299999999999E-2</v>
      </c>
      <c r="J13" s="22">
        <v>3</v>
      </c>
      <c r="K13" s="22">
        <v>1.6638200000000001</v>
      </c>
      <c r="L13">
        <f t="shared" si="0"/>
        <v>-24.696666666666665</v>
      </c>
      <c r="M13">
        <f t="shared" si="1"/>
        <v>-41.117233366666667</v>
      </c>
      <c r="N13" s="9"/>
      <c r="O13" s="22">
        <v>-8.4838899999999995E-2</v>
      </c>
      <c r="P13" s="22">
        <v>8.7020199999999992</v>
      </c>
      <c r="Q13" s="22">
        <v>-1.7510999999999999E-2</v>
      </c>
      <c r="R13" s="22">
        <v>3</v>
      </c>
      <c r="S13" s="22">
        <v>-8.52966E-2</v>
      </c>
      <c r="T13">
        <f t="shared" si="2"/>
        <v>21.618518518518517</v>
      </c>
      <c r="U13">
        <f t="shared" si="3"/>
        <v>-1.8340913307407405</v>
      </c>
      <c r="V13" s="23"/>
      <c r="W13" s="24"/>
      <c r="X13" s="9"/>
      <c r="Y13" s="22">
        <v>1.66489</v>
      </c>
      <c r="Z13" s="22">
        <v>14.0076</v>
      </c>
      <c r="AA13" s="22">
        <v>1.78741E-2</v>
      </c>
      <c r="AB13" s="22">
        <v>3</v>
      </c>
      <c r="AC13" s="22">
        <v>1.66412</v>
      </c>
      <c r="AD13">
        <f t="shared" si="4"/>
        <v>-22.066790123456791</v>
      </c>
      <c r="AE13">
        <f t="shared" si="5"/>
        <v>-36.738778208641975</v>
      </c>
      <c r="AF13" s="9"/>
      <c r="AG13" s="22">
        <v>-8.4838899999999995E-2</v>
      </c>
      <c r="AH13" s="22">
        <v>17.585100000000001</v>
      </c>
      <c r="AI13" s="22">
        <v>-1.7431599999999998E-2</v>
      </c>
      <c r="AJ13" s="22">
        <v>3</v>
      </c>
      <c r="AK13" s="22">
        <v>-8.54187E-2</v>
      </c>
      <c r="AL13">
        <f t="shared" si="6"/>
        <v>21.52049382716049</v>
      </c>
      <c r="AM13">
        <f t="shared" si="7"/>
        <v>-1.8257750237530859</v>
      </c>
      <c r="AP13" s="9"/>
      <c r="AQ13" s="22">
        <v>1.66489</v>
      </c>
      <c r="AR13" s="22">
        <v>22.883800000000001</v>
      </c>
      <c r="AS13" s="22">
        <v>1.09192E-2</v>
      </c>
      <c r="AT13" s="22">
        <v>3</v>
      </c>
      <c r="AU13" s="22">
        <v>1.6638200000000001</v>
      </c>
      <c r="AV13">
        <f t="shared" si="8"/>
        <v>-13.480493827160494</v>
      </c>
      <c r="AW13">
        <f t="shared" si="9"/>
        <v>-22.443539367901234</v>
      </c>
      <c r="AX13" s="9"/>
      <c r="AY13" s="22">
        <v>-8.4838899999999995E-2</v>
      </c>
      <c r="AZ13" s="22">
        <v>26.461200000000002</v>
      </c>
      <c r="BA13" s="22">
        <v>-1.7431599999999998E-2</v>
      </c>
      <c r="BB13" s="22">
        <v>3</v>
      </c>
      <c r="BC13" s="22">
        <v>-8.5327100000000003E-2</v>
      </c>
      <c r="BD13">
        <f t="shared" si="10"/>
        <v>21.52049382716049</v>
      </c>
      <c r="BE13">
        <f t="shared" si="11"/>
        <v>-1.8257750237530859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1.6148679375115236</v>
      </c>
      <c r="B14" s="19">
        <f>IFERROR(AL9,0)</f>
        <v>21.269932497094285</v>
      </c>
      <c r="C14" s="20">
        <f>IFERROR(AL4,0)</f>
        <v>0.7269972277629233</v>
      </c>
      <c r="D14" s="21">
        <f>IFERROR(AL2,0)</f>
        <v>24.970996759259261</v>
      </c>
      <c r="E14" s="21"/>
      <c r="F14" s="9"/>
      <c r="G14" s="22">
        <v>1.65985</v>
      </c>
      <c r="H14" s="22">
        <v>5.1346100000000003</v>
      </c>
      <c r="I14" s="22">
        <v>1.49689E-2</v>
      </c>
      <c r="J14" s="22">
        <v>4</v>
      </c>
      <c r="K14" s="22">
        <v>1.65924</v>
      </c>
      <c r="L14">
        <f t="shared" si="0"/>
        <v>-18.480123456790125</v>
      </c>
      <c r="M14">
        <f t="shared" si="1"/>
        <v>-30.674232919753088</v>
      </c>
      <c r="N14" s="9"/>
      <c r="O14" s="22">
        <v>-7.9803499999999999E-2</v>
      </c>
      <c r="P14" s="22">
        <v>8.7120899999999999</v>
      </c>
      <c r="Q14" s="22">
        <v>-1.7498799999999998E-2</v>
      </c>
      <c r="R14" s="22">
        <v>4</v>
      </c>
      <c r="S14" s="22">
        <v>-8.0413799999999994E-2</v>
      </c>
      <c r="T14">
        <f t="shared" si="2"/>
        <v>21.603456790123452</v>
      </c>
      <c r="U14">
        <f t="shared" si="3"/>
        <v>-1.7240314639506169</v>
      </c>
      <c r="V14" s="23"/>
      <c r="W14" s="24"/>
      <c r="X14" s="9"/>
      <c r="Y14" s="22">
        <v>1.65985</v>
      </c>
      <c r="Z14" s="22">
        <v>14.0177</v>
      </c>
      <c r="AA14" s="22">
        <v>1.3162200000000001E-2</v>
      </c>
      <c r="AB14" s="22">
        <v>4</v>
      </c>
      <c r="AC14" s="22">
        <v>1.65863</v>
      </c>
      <c r="AD14">
        <f t="shared" si="4"/>
        <v>-16.249629629629627</v>
      </c>
      <c r="AE14">
        <f t="shared" si="5"/>
        <v>-26.971947740740738</v>
      </c>
      <c r="AF14" s="9"/>
      <c r="AG14" s="22">
        <v>-7.9803499999999999E-2</v>
      </c>
      <c r="AH14" s="22">
        <v>17.595099999999999</v>
      </c>
      <c r="AI14" s="22">
        <v>-1.7419400000000002E-2</v>
      </c>
      <c r="AJ14" s="22">
        <v>4</v>
      </c>
      <c r="AK14" s="22">
        <v>-8.0261200000000005E-2</v>
      </c>
      <c r="AL14">
        <f t="shared" si="6"/>
        <v>21.505432098765432</v>
      </c>
      <c r="AM14">
        <f t="shared" si="7"/>
        <v>-1.7162087504938273</v>
      </c>
      <c r="AP14" s="9"/>
      <c r="AQ14" s="22">
        <v>1.65985</v>
      </c>
      <c r="AR14" s="22">
        <v>22.893799999999999</v>
      </c>
      <c r="AS14" s="22">
        <v>6.7260699999999998E-3</v>
      </c>
      <c r="AT14" s="22">
        <v>4</v>
      </c>
      <c r="AU14" s="22">
        <v>1.65924</v>
      </c>
      <c r="AV14">
        <f t="shared" si="8"/>
        <v>-8.3037901234567908</v>
      </c>
      <c r="AW14">
        <f t="shared" si="9"/>
        <v>-13.783046036419755</v>
      </c>
      <c r="AX14" s="9"/>
      <c r="AY14" s="22">
        <v>-7.9803499999999999E-2</v>
      </c>
      <c r="AZ14" s="22">
        <v>26.471299999999999</v>
      </c>
      <c r="BA14" s="22">
        <v>-1.7419400000000002E-2</v>
      </c>
      <c r="BB14" s="22">
        <v>4</v>
      </c>
      <c r="BC14" s="22">
        <v>-8.0139199999999994E-2</v>
      </c>
      <c r="BD14">
        <f t="shared" si="10"/>
        <v>21.505432098765432</v>
      </c>
      <c r="BE14">
        <f t="shared" si="11"/>
        <v>-1.7162087504938273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1.648856076314591</v>
      </c>
      <c r="B15" s="19">
        <f>IFERROR(AV9,0)</f>
        <v>21.209006144393239</v>
      </c>
      <c r="C15" s="20">
        <f>IFERROR(AV4,0)</f>
        <v>0.72561112573490372</v>
      </c>
      <c r="D15" s="21">
        <f>IFERROR(AV2,0)</f>
        <v>25.375055456790125</v>
      </c>
      <c r="E15" s="21">
        <f>IFERROR(AS9,0)</f>
        <v>1.4051181162607413</v>
      </c>
      <c r="F15" s="9"/>
      <c r="G15" s="22">
        <v>1.65482</v>
      </c>
      <c r="H15" s="22">
        <v>5.1446800000000001</v>
      </c>
      <c r="I15" s="22">
        <v>1.03546E-2</v>
      </c>
      <c r="J15" s="22">
        <v>5</v>
      </c>
      <c r="K15" s="22">
        <v>1.6537500000000001</v>
      </c>
      <c r="L15">
        <f t="shared" si="0"/>
        <v>-12.783456790123456</v>
      </c>
      <c r="M15">
        <f t="shared" si="1"/>
        <v>-21.154319965432098</v>
      </c>
      <c r="N15" s="9"/>
      <c r="O15" s="22">
        <v>-7.4768100000000004E-2</v>
      </c>
      <c r="P15" s="22">
        <v>8.7221600000000006</v>
      </c>
      <c r="Q15" s="22">
        <v>-1.7483499999999999E-2</v>
      </c>
      <c r="R15" s="22">
        <v>5</v>
      </c>
      <c r="S15" s="22">
        <v>-7.5134300000000001E-2</v>
      </c>
      <c r="T15">
        <f t="shared" si="2"/>
        <v>21.584567901234564</v>
      </c>
      <c r="U15">
        <f t="shared" si="3"/>
        <v>-1.613837131296296</v>
      </c>
      <c r="V15" s="23"/>
      <c r="W15" s="24"/>
      <c r="X15" s="9"/>
      <c r="Y15" s="22">
        <v>1.65482</v>
      </c>
      <c r="Z15" s="22">
        <v>14.027699999999999</v>
      </c>
      <c r="AA15" s="22">
        <v>8.8928199999999992E-3</v>
      </c>
      <c r="AB15" s="22">
        <v>5</v>
      </c>
      <c r="AC15" s="22">
        <v>1.65405</v>
      </c>
      <c r="AD15">
        <f t="shared" si="4"/>
        <v>-10.978790123456788</v>
      </c>
      <c r="AE15">
        <f t="shared" si="5"/>
        <v>-18.167921472098762</v>
      </c>
      <c r="AF15" s="9"/>
      <c r="AG15" s="22">
        <v>-7.4768100000000004E-2</v>
      </c>
      <c r="AH15" s="22">
        <v>17.6052</v>
      </c>
      <c r="AI15" s="22">
        <v>-1.7407200000000001E-2</v>
      </c>
      <c r="AJ15" s="22">
        <v>5</v>
      </c>
      <c r="AK15" s="22">
        <v>-7.5164800000000004E-2</v>
      </c>
      <c r="AL15">
        <f t="shared" si="6"/>
        <v>21.490370370370371</v>
      </c>
      <c r="AM15">
        <f t="shared" si="7"/>
        <v>-1.6067941608888889</v>
      </c>
      <c r="AP15" s="9"/>
      <c r="AQ15" s="22">
        <v>1.65482</v>
      </c>
      <c r="AR15" s="22">
        <v>22.9039</v>
      </c>
      <c r="AS15" s="22">
        <v>2.88544E-3</v>
      </c>
      <c r="AT15" s="22">
        <v>5</v>
      </c>
      <c r="AU15" s="22">
        <v>1.65344</v>
      </c>
      <c r="AV15">
        <f t="shared" si="8"/>
        <v>-3.5622716049382714</v>
      </c>
      <c r="AW15">
        <f t="shared" si="9"/>
        <v>-5.89491829728395</v>
      </c>
      <c r="AX15" s="9"/>
      <c r="AY15" s="22">
        <v>-7.4768100000000004E-2</v>
      </c>
      <c r="AZ15" s="22">
        <v>26.481400000000001</v>
      </c>
      <c r="BA15" s="22">
        <v>-1.7407200000000001E-2</v>
      </c>
      <c r="BB15" s="22">
        <v>5</v>
      </c>
      <c r="BC15" s="22">
        <v>-7.5164800000000004E-2</v>
      </c>
      <c r="BD15">
        <f t="shared" si="10"/>
        <v>21.490370370370371</v>
      </c>
      <c r="BE15">
        <f t="shared" si="11"/>
        <v>-1.6067941608888889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1.6145095187325056</v>
      </c>
      <c r="B16" s="19">
        <f>IFERROR(BD9,0)</f>
        <v>21.277319459625058</v>
      </c>
      <c r="C16" s="20">
        <f>IFERROR(BD4,0)</f>
        <v>0.72828916205562477</v>
      </c>
      <c r="D16" s="21">
        <f>IFERROR(BD2,0)</f>
        <v>25.018505955555558</v>
      </c>
      <c r="E16" s="21"/>
      <c r="F16" s="9"/>
      <c r="G16" s="22">
        <v>1.64978</v>
      </c>
      <c r="H16" s="22">
        <v>5.1547499999999999</v>
      </c>
      <c r="I16" s="22">
        <v>5.9631299999999996E-3</v>
      </c>
      <c r="J16" s="22">
        <v>6</v>
      </c>
      <c r="K16" s="22">
        <v>1.64886</v>
      </c>
      <c r="L16">
        <f t="shared" si="0"/>
        <v>-7.3618888888888883</v>
      </c>
      <c r="M16">
        <f t="shared" si="1"/>
        <v>-12.145497051111111</v>
      </c>
      <c r="N16" s="9"/>
      <c r="O16" s="22">
        <v>-6.9732699999999995E-2</v>
      </c>
      <c r="P16" s="22">
        <v>8.7322299999999995</v>
      </c>
      <c r="Q16" s="22">
        <v>-1.7471299999999999E-2</v>
      </c>
      <c r="R16" s="22">
        <v>6</v>
      </c>
      <c r="S16" s="22">
        <v>-7.0251499999999995E-2</v>
      </c>
      <c r="T16">
        <f t="shared" si="2"/>
        <v>21.569506172839503</v>
      </c>
      <c r="U16">
        <f t="shared" si="3"/>
        <v>-1.5040999030987652</v>
      </c>
      <c r="V16" s="23"/>
      <c r="W16" s="24"/>
      <c r="X16" s="9"/>
      <c r="Y16" s="22">
        <v>1.64978</v>
      </c>
      <c r="Z16" s="22">
        <v>14.037800000000001</v>
      </c>
      <c r="AA16" s="22">
        <v>4.6313500000000002E-3</v>
      </c>
      <c r="AB16" s="22">
        <v>6</v>
      </c>
      <c r="AC16" s="22">
        <v>1.64886</v>
      </c>
      <c r="AD16">
        <f t="shared" si="4"/>
        <v>-5.7177160493827159</v>
      </c>
      <c r="AE16">
        <f t="shared" si="5"/>
        <v>-9.4329735839506164</v>
      </c>
      <c r="AF16" s="9"/>
      <c r="AG16" s="22">
        <v>-6.9732699999999995E-2</v>
      </c>
      <c r="AH16" s="22">
        <v>17.615300000000001</v>
      </c>
      <c r="AI16" s="22">
        <v>-1.7395000000000001E-2</v>
      </c>
      <c r="AJ16" s="22">
        <v>6</v>
      </c>
      <c r="AK16" s="22">
        <v>-7.0068400000000003E-2</v>
      </c>
      <c r="AL16">
        <f t="shared" si="6"/>
        <v>21.475308641975307</v>
      </c>
      <c r="AM16">
        <f t="shared" si="7"/>
        <v>-1.4975312549382713</v>
      </c>
      <c r="AP16" s="9"/>
      <c r="AQ16" s="22">
        <v>1.64978</v>
      </c>
      <c r="AR16" s="22">
        <v>22.914000000000001</v>
      </c>
      <c r="AS16" s="22">
        <v>-1.8637100000000001E-4</v>
      </c>
      <c r="AT16" s="22">
        <v>6</v>
      </c>
      <c r="AU16" s="22">
        <v>1.64856</v>
      </c>
      <c r="AV16">
        <f t="shared" si="8"/>
        <v>0.23008765432098766</v>
      </c>
      <c r="AW16">
        <f t="shared" si="9"/>
        <v>0.37959401034567902</v>
      </c>
      <c r="AX16" s="9"/>
      <c r="AY16" s="22">
        <v>-6.9732699999999995E-2</v>
      </c>
      <c r="AZ16" s="22">
        <v>26.491499999999998</v>
      </c>
      <c r="BA16" s="22">
        <v>-1.73981E-2</v>
      </c>
      <c r="BB16" s="22">
        <v>6</v>
      </c>
      <c r="BC16" s="22">
        <v>-7.0404099999999997E-2</v>
      </c>
      <c r="BD16">
        <f t="shared" si="10"/>
        <v>21.479135802469134</v>
      </c>
      <c r="BE16">
        <f t="shared" si="11"/>
        <v>-1.4977981331728394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5.1648199999999997</v>
      </c>
      <c r="I17" s="22">
        <v>2.1804799999999998E-3</v>
      </c>
      <c r="J17" s="22">
        <v>7</v>
      </c>
      <c r="K17" s="22">
        <v>1.64398</v>
      </c>
      <c r="L17">
        <f t="shared" si="0"/>
        <v>-2.6919506172839505</v>
      </c>
      <c r="M17">
        <f t="shared" si="1"/>
        <v>-4.4275588582716052</v>
      </c>
      <c r="N17" s="9"/>
      <c r="O17" s="22">
        <v>-6.4697299999999999E-2</v>
      </c>
      <c r="P17" s="22">
        <v>8.7423099999999998</v>
      </c>
      <c r="Q17" s="22">
        <v>-1.7456099999999999E-2</v>
      </c>
      <c r="R17" s="22">
        <v>7</v>
      </c>
      <c r="S17" s="22">
        <v>-6.5155000000000005E-2</v>
      </c>
      <c r="T17">
        <f t="shared" si="2"/>
        <v>21.550740740740739</v>
      </c>
      <c r="U17">
        <f t="shared" si="3"/>
        <v>-1.3942747389259258</v>
      </c>
      <c r="V17" s="23"/>
      <c r="W17" s="24"/>
      <c r="X17" s="9"/>
      <c r="Y17" s="22">
        <v>1.6447400000000001</v>
      </c>
      <c r="Z17" s="22">
        <v>14.0479</v>
      </c>
      <c r="AA17" s="22">
        <v>1.2753300000000001E-3</v>
      </c>
      <c r="AB17" s="22">
        <v>7</v>
      </c>
      <c r="AC17" s="22">
        <v>1.64368</v>
      </c>
      <c r="AD17">
        <f t="shared" si="4"/>
        <v>-1.5744814814814814</v>
      </c>
      <c r="AE17">
        <f t="shared" si="5"/>
        <v>-2.5896126718518517</v>
      </c>
      <c r="AF17" s="9"/>
      <c r="AG17" s="22">
        <v>-6.4697299999999999E-2</v>
      </c>
      <c r="AH17" s="22">
        <v>17.625399999999999</v>
      </c>
      <c r="AI17" s="22">
        <v>-1.73828E-2</v>
      </c>
      <c r="AJ17" s="22">
        <v>7</v>
      </c>
      <c r="AK17" s="22">
        <v>-6.5155000000000005E-2</v>
      </c>
      <c r="AL17">
        <f t="shared" si="6"/>
        <v>21.460246913580246</v>
      </c>
      <c r="AM17">
        <f t="shared" si="7"/>
        <v>-1.3884200326419753</v>
      </c>
      <c r="AP17" s="9"/>
      <c r="AQ17" s="22">
        <v>1.6447400000000001</v>
      </c>
      <c r="AR17" s="22">
        <v>22.923999999999999</v>
      </c>
      <c r="AS17" s="22">
        <v>-2.45605E-3</v>
      </c>
      <c r="AT17" s="22">
        <v>7</v>
      </c>
      <c r="AU17" s="22">
        <v>1.64368</v>
      </c>
      <c r="AV17">
        <f t="shared" si="8"/>
        <v>3.0321604938271607</v>
      </c>
      <c r="AW17">
        <f t="shared" si="9"/>
        <v>4.9871156506172847</v>
      </c>
      <c r="AX17" s="9"/>
      <c r="AY17" s="22">
        <v>-6.4697299999999999E-2</v>
      </c>
      <c r="AZ17" s="22">
        <v>26.5015</v>
      </c>
      <c r="BA17" s="22">
        <v>-1.73828E-2</v>
      </c>
      <c r="BB17" s="22">
        <v>7</v>
      </c>
      <c r="BC17" s="22">
        <v>-6.5124500000000002E-2</v>
      </c>
      <c r="BD17">
        <f t="shared" si="10"/>
        <v>21.460246913580246</v>
      </c>
      <c r="BE17">
        <f t="shared" si="11"/>
        <v>-1.3884200326419753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5.1748900000000004</v>
      </c>
      <c r="I18" s="22">
        <v>-7.6568600000000001E-4</v>
      </c>
      <c r="J18" s="22">
        <v>8</v>
      </c>
      <c r="K18" s="22">
        <v>1.63879</v>
      </c>
      <c r="L18">
        <f t="shared" si="0"/>
        <v>0.94529135802469133</v>
      </c>
      <c r="M18">
        <f t="shared" si="1"/>
        <v>1.5500036926666667</v>
      </c>
      <c r="N18" s="9"/>
      <c r="O18" s="22">
        <v>-5.9661899999999997E-2</v>
      </c>
      <c r="P18" s="22">
        <v>8.7523800000000005</v>
      </c>
      <c r="Q18" s="22">
        <v>-1.7443799999999999E-2</v>
      </c>
      <c r="R18" s="22">
        <v>8</v>
      </c>
      <c r="S18" s="22">
        <v>-6.0089099999999999E-2</v>
      </c>
      <c r="T18">
        <f t="shared" si="2"/>
        <v>21.535555555555554</v>
      </c>
      <c r="U18">
        <f t="shared" si="3"/>
        <v>-1.2848521619999997</v>
      </c>
      <c r="V18" s="23"/>
      <c r="W18" s="24"/>
      <c r="X18" s="9"/>
      <c r="Y18" s="22">
        <v>1.63971</v>
      </c>
      <c r="Z18" s="22">
        <v>14.0579</v>
      </c>
      <c r="AA18" s="22">
        <v>-1.3833599999999999E-3</v>
      </c>
      <c r="AB18" s="22">
        <v>8</v>
      </c>
      <c r="AC18" s="22">
        <v>1.6391</v>
      </c>
      <c r="AD18">
        <f t="shared" si="4"/>
        <v>1.7078518518518517</v>
      </c>
      <c r="AE18">
        <f t="shared" si="5"/>
        <v>2.8003817599999996</v>
      </c>
      <c r="AF18" s="9"/>
      <c r="AG18" s="22">
        <v>-5.9661899999999997E-2</v>
      </c>
      <c r="AH18" s="22">
        <v>17.635400000000001</v>
      </c>
      <c r="AI18" s="22">
        <v>-1.73676E-2</v>
      </c>
      <c r="AJ18" s="22">
        <v>8</v>
      </c>
      <c r="AK18" s="22">
        <v>-6.0241700000000002E-2</v>
      </c>
      <c r="AL18">
        <f t="shared" si="6"/>
        <v>21.441481481481482</v>
      </c>
      <c r="AM18">
        <f t="shared" si="7"/>
        <v>-1.2792395239999999</v>
      </c>
      <c r="AP18" s="9"/>
      <c r="AQ18" s="22">
        <v>1.63971</v>
      </c>
      <c r="AR18" s="22">
        <v>22.934100000000001</v>
      </c>
      <c r="AS18" s="22">
        <v>-4.2318700000000004E-3</v>
      </c>
      <c r="AT18" s="22">
        <v>8</v>
      </c>
      <c r="AU18" s="22">
        <v>1.6391</v>
      </c>
      <c r="AV18">
        <f t="shared" si="8"/>
        <v>5.224530864197531</v>
      </c>
      <c r="AW18">
        <f t="shared" si="9"/>
        <v>8.5667155033333344</v>
      </c>
      <c r="AX18" s="9"/>
      <c r="AY18" s="22">
        <v>-5.9661899999999997E-2</v>
      </c>
      <c r="AZ18" s="22">
        <v>26.511600000000001</v>
      </c>
      <c r="BA18" s="22">
        <v>-1.73706E-2</v>
      </c>
      <c r="BB18" s="22">
        <v>8</v>
      </c>
      <c r="BC18" s="22">
        <v>-5.9997599999999998E-2</v>
      </c>
      <c r="BD18">
        <f t="shared" si="10"/>
        <v>21.445185185185185</v>
      </c>
      <c r="BE18">
        <f t="shared" si="11"/>
        <v>-1.2794604939999998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5.1849600000000002</v>
      </c>
      <c r="I19" s="22">
        <v>-2.9116799999999998E-3</v>
      </c>
      <c r="J19" s="22">
        <v>9</v>
      </c>
      <c r="K19" s="22">
        <v>1.63361</v>
      </c>
      <c r="L19">
        <f t="shared" si="0"/>
        <v>3.594666666666666</v>
      </c>
      <c r="M19">
        <f t="shared" si="1"/>
        <v>5.8760937599999989</v>
      </c>
      <c r="N19" s="9"/>
      <c r="O19" s="22">
        <v>-5.4626500000000001E-2</v>
      </c>
      <c r="P19" s="22">
        <v>8.7624499999999994</v>
      </c>
      <c r="Q19" s="22">
        <v>-1.7431599999999998E-2</v>
      </c>
      <c r="R19" s="22">
        <v>9</v>
      </c>
      <c r="S19" s="22">
        <v>-5.4962200000000003E-2</v>
      </c>
      <c r="T19">
        <f t="shared" si="2"/>
        <v>21.52049382716049</v>
      </c>
      <c r="U19">
        <f t="shared" si="3"/>
        <v>-1.1755892560493826</v>
      </c>
      <c r="V19" s="23"/>
      <c r="W19" s="24"/>
      <c r="X19" s="9"/>
      <c r="Y19" s="22">
        <v>1.6346700000000001</v>
      </c>
      <c r="Z19" s="22">
        <v>14.068</v>
      </c>
      <c r="AA19" s="22">
        <v>-3.2727099999999999E-3</v>
      </c>
      <c r="AB19" s="22">
        <v>9</v>
      </c>
      <c r="AC19" s="22">
        <v>1.63391</v>
      </c>
      <c r="AD19">
        <f t="shared" si="4"/>
        <v>4.0403827160493826</v>
      </c>
      <c r="AE19">
        <f t="shared" si="5"/>
        <v>6.6046924144444441</v>
      </c>
      <c r="AF19" s="9"/>
      <c r="AG19" s="22">
        <v>-5.4626500000000001E-2</v>
      </c>
      <c r="AH19" s="22">
        <v>17.645499999999998</v>
      </c>
      <c r="AI19" s="22">
        <v>-1.7355300000000001E-2</v>
      </c>
      <c r="AJ19" s="22">
        <v>9</v>
      </c>
      <c r="AK19" s="22">
        <v>-5.5175799999999997E-2</v>
      </c>
      <c r="AL19">
        <f t="shared" si="6"/>
        <v>21.426296296296293</v>
      </c>
      <c r="AM19">
        <f t="shared" si="7"/>
        <v>-1.1704435746296296</v>
      </c>
      <c r="AP19" s="9"/>
      <c r="AQ19" s="22">
        <v>1.6346700000000001</v>
      </c>
      <c r="AR19" s="22">
        <v>22.944199999999999</v>
      </c>
      <c r="AS19" s="22">
        <v>-5.6671100000000004E-3</v>
      </c>
      <c r="AT19" s="22">
        <v>9</v>
      </c>
      <c r="AU19" s="22">
        <v>1.63452</v>
      </c>
      <c r="AV19">
        <f t="shared" si="8"/>
        <v>6.9964320987654318</v>
      </c>
      <c r="AW19">
        <f t="shared" si="9"/>
        <v>11.436857658888888</v>
      </c>
      <c r="AX19" s="9"/>
      <c r="AY19" s="22">
        <v>-5.4626500000000001E-2</v>
      </c>
      <c r="AZ19" s="22">
        <v>26.521699999999999</v>
      </c>
      <c r="BA19" s="22">
        <v>-1.7361499999999998E-2</v>
      </c>
      <c r="BB19" s="22">
        <v>9</v>
      </c>
      <c r="BC19" s="22">
        <v>-5.50842E-2</v>
      </c>
      <c r="BD19">
        <f t="shared" si="10"/>
        <v>21.433950617283948</v>
      </c>
      <c r="BE19">
        <f t="shared" si="11"/>
        <v>-1.1708617033950617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5.19503</v>
      </c>
      <c r="I20" s="22">
        <v>-4.51996E-3</v>
      </c>
      <c r="J20" s="22">
        <v>10</v>
      </c>
      <c r="K20" s="22">
        <v>1.6287199999999999</v>
      </c>
      <c r="L20">
        <f t="shared" si="0"/>
        <v>5.5801975308641971</v>
      </c>
      <c r="M20">
        <f t="shared" si="1"/>
        <v>9.0937131041975299</v>
      </c>
      <c r="N20" s="9"/>
      <c r="O20" s="22">
        <v>-4.9591099999999999E-2</v>
      </c>
      <c r="P20" s="22">
        <v>8.7725200000000001</v>
      </c>
      <c r="Q20" s="22">
        <v>-1.7419400000000002E-2</v>
      </c>
      <c r="R20" s="22">
        <v>10</v>
      </c>
      <c r="S20" s="22">
        <v>-5.0262500000000002E-2</v>
      </c>
      <c r="T20">
        <f t="shared" si="2"/>
        <v>21.505432098765432</v>
      </c>
      <c r="U20">
        <f t="shared" si="3"/>
        <v>-1.0664780337530864</v>
      </c>
      <c r="V20" s="23"/>
      <c r="W20" s="24"/>
      <c r="X20" s="9"/>
      <c r="Y20" s="22">
        <v>1.62964</v>
      </c>
      <c r="Z20" s="22">
        <v>14.078099999999999</v>
      </c>
      <c r="AA20" s="22">
        <v>-4.8968500000000003E-3</v>
      </c>
      <c r="AB20" s="22">
        <v>10</v>
      </c>
      <c r="AC20" s="22">
        <v>1.6281099999999999</v>
      </c>
      <c r="AD20">
        <f t="shared" si="4"/>
        <v>6.0454938271604934</v>
      </c>
      <c r="AE20">
        <f t="shared" si="5"/>
        <v>9.8519785604938264</v>
      </c>
      <c r="AF20" s="9"/>
      <c r="AG20" s="22">
        <v>-4.9591099999999999E-2</v>
      </c>
      <c r="AH20" s="22">
        <v>17.6556</v>
      </c>
      <c r="AI20" s="22">
        <v>-1.73431E-2</v>
      </c>
      <c r="AJ20" s="22">
        <v>10</v>
      </c>
      <c r="AK20" s="22">
        <v>-5.0109899999999999E-2</v>
      </c>
      <c r="AL20">
        <f t="shared" si="6"/>
        <v>21.411234567901236</v>
      </c>
      <c r="AM20">
        <f t="shared" si="7"/>
        <v>-1.061806674580247</v>
      </c>
      <c r="AP20" s="9"/>
      <c r="AQ20" s="22">
        <v>1.62964</v>
      </c>
      <c r="AR20" s="22">
        <v>22.9543</v>
      </c>
      <c r="AS20" s="22">
        <v>-6.7169200000000004E-3</v>
      </c>
      <c r="AT20" s="22">
        <v>10</v>
      </c>
      <c r="AU20" s="22">
        <v>1.6287199999999999</v>
      </c>
      <c r="AV20">
        <f t="shared" si="8"/>
        <v>8.2924938271604951</v>
      </c>
      <c r="AW20">
        <f t="shared" si="9"/>
        <v>13.513779640493828</v>
      </c>
      <c r="AX20" s="9"/>
      <c r="AY20" s="22">
        <v>-4.9591099999999999E-2</v>
      </c>
      <c r="AZ20" s="22">
        <v>26.531700000000001</v>
      </c>
      <c r="BA20" s="22">
        <v>-1.7349199999999999E-2</v>
      </c>
      <c r="BB20" s="22">
        <v>10</v>
      </c>
      <c r="BC20" s="22">
        <v>-5.00793E-2</v>
      </c>
      <c r="BD20">
        <f t="shared" si="10"/>
        <v>21.418765432098763</v>
      </c>
      <c r="BE20">
        <f t="shared" si="11"/>
        <v>-1.0621801384197529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5.2051100000000003</v>
      </c>
      <c r="I21" s="22">
        <v>-5.8380100000000002E-3</v>
      </c>
      <c r="J21" s="22">
        <v>11</v>
      </c>
      <c r="K21" s="22">
        <v>1.62415</v>
      </c>
      <c r="L21">
        <f t="shared" si="0"/>
        <v>7.2074197530864197</v>
      </c>
      <c r="M21">
        <f t="shared" si="1"/>
        <v>11.709174130864199</v>
      </c>
      <c r="N21" s="9"/>
      <c r="O21" s="22">
        <v>-4.4555699999999997E-2</v>
      </c>
      <c r="P21" s="22">
        <v>8.7825900000000008</v>
      </c>
      <c r="Q21" s="22">
        <v>-1.7407200000000001E-2</v>
      </c>
      <c r="R21" s="22">
        <v>11</v>
      </c>
      <c r="S21" s="22">
        <v>-4.4824200000000002E-2</v>
      </c>
      <c r="T21">
        <f t="shared" si="2"/>
        <v>21.490370370370371</v>
      </c>
      <c r="U21">
        <f t="shared" si="3"/>
        <v>-0.95751849511111109</v>
      </c>
      <c r="V21" s="23"/>
      <c r="W21" s="24"/>
      <c r="X21" s="9"/>
      <c r="Y21" s="22">
        <v>1.6246</v>
      </c>
      <c r="Z21" s="22">
        <v>14.088200000000001</v>
      </c>
      <c r="AA21" s="22">
        <v>-6.1248800000000001E-3</v>
      </c>
      <c r="AB21" s="22">
        <v>11</v>
      </c>
      <c r="AC21" s="22">
        <v>1.62354</v>
      </c>
      <c r="AD21">
        <f t="shared" si="4"/>
        <v>7.5615802469135796</v>
      </c>
      <c r="AE21">
        <f t="shared" si="5"/>
        <v>12.284543269135801</v>
      </c>
      <c r="AF21" s="9"/>
      <c r="AG21" s="22">
        <v>-4.4555699999999997E-2</v>
      </c>
      <c r="AH21" s="22">
        <v>17.665600000000001</v>
      </c>
      <c r="AI21" s="22">
        <v>-1.73309E-2</v>
      </c>
      <c r="AJ21" s="22">
        <v>11</v>
      </c>
      <c r="AK21" s="22">
        <v>-4.4668600000000003E-2</v>
      </c>
      <c r="AL21">
        <f t="shared" si="6"/>
        <v>21.396172839506171</v>
      </c>
      <c r="AM21">
        <f t="shared" si="7"/>
        <v>-0.95332145818518499</v>
      </c>
      <c r="AP21" s="9"/>
      <c r="AQ21" s="22">
        <v>1.6246</v>
      </c>
      <c r="AR21" s="22">
        <v>22.964300000000001</v>
      </c>
      <c r="AS21" s="22">
        <v>-7.5714099999999998E-3</v>
      </c>
      <c r="AT21" s="22">
        <v>11</v>
      </c>
      <c r="AU21" s="22">
        <v>1.62384</v>
      </c>
      <c r="AV21">
        <f t="shared" si="8"/>
        <v>9.3474197530864185</v>
      </c>
      <c r="AW21">
        <f t="shared" si="9"/>
        <v>15.185818130864195</v>
      </c>
      <c r="AX21" s="9"/>
      <c r="AY21" s="22">
        <v>-4.4555699999999997E-2</v>
      </c>
      <c r="AZ21" s="22">
        <v>26.541799999999999</v>
      </c>
      <c r="BA21" s="22">
        <v>-1.7340100000000001E-2</v>
      </c>
      <c r="BB21" s="22">
        <v>11</v>
      </c>
      <c r="BC21" s="22">
        <v>-4.4830299999999997E-2</v>
      </c>
      <c r="BD21">
        <f t="shared" si="10"/>
        <v>21.407530864197529</v>
      </c>
      <c r="BE21">
        <f t="shared" si="11"/>
        <v>-0.95382752292592576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5.2151800000000001</v>
      </c>
      <c r="I22" s="22">
        <v>-6.8695099999999997E-3</v>
      </c>
      <c r="J22" s="22">
        <v>12</v>
      </c>
      <c r="K22" s="22">
        <v>1.6186499999999999</v>
      </c>
      <c r="L22">
        <f t="shared" si="0"/>
        <v>8.4808765432098756</v>
      </c>
      <c r="M22">
        <f t="shared" si="1"/>
        <v>13.735373223086418</v>
      </c>
      <c r="N22" s="9"/>
      <c r="O22" s="22">
        <v>-3.9520300000000001E-2</v>
      </c>
      <c r="P22" s="22">
        <v>8.7926599999999997</v>
      </c>
      <c r="Q22" s="22">
        <v>-1.7395000000000001E-2</v>
      </c>
      <c r="R22" s="22">
        <v>12</v>
      </c>
      <c r="S22" s="22">
        <v>-3.9858999999999999E-2</v>
      </c>
      <c r="T22">
        <f t="shared" si="2"/>
        <v>21.475308641975307</v>
      </c>
      <c r="U22">
        <f t="shared" si="3"/>
        <v>-0.84871064012345676</v>
      </c>
      <c r="V22" s="23"/>
      <c r="W22" s="24"/>
      <c r="X22" s="9"/>
      <c r="Y22" s="22">
        <v>1.61957</v>
      </c>
      <c r="Z22" s="22">
        <v>14.0982</v>
      </c>
      <c r="AA22" s="22">
        <v>-7.1105999999999999E-3</v>
      </c>
      <c r="AB22" s="22">
        <v>12</v>
      </c>
      <c r="AC22" s="22">
        <v>1.61896</v>
      </c>
      <c r="AD22">
        <f t="shared" si="4"/>
        <v>8.7785185185185171</v>
      </c>
      <c r="AE22">
        <f t="shared" si="5"/>
        <v>14.217425237037034</v>
      </c>
      <c r="AF22" s="9"/>
      <c r="AG22" s="22">
        <v>-3.9520300000000001E-2</v>
      </c>
      <c r="AH22" s="22">
        <v>17.675699999999999</v>
      </c>
      <c r="AI22" s="22">
        <v>-1.7321799999999998E-2</v>
      </c>
      <c r="AJ22" s="22">
        <v>12</v>
      </c>
      <c r="AK22" s="22">
        <v>-3.9752200000000001E-2</v>
      </c>
      <c r="AL22">
        <f t="shared" si="6"/>
        <v>21.384938271604934</v>
      </c>
      <c r="AM22">
        <f t="shared" si="7"/>
        <v>-0.84513917597530852</v>
      </c>
      <c r="AP22" s="9"/>
      <c r="AQ22" s="22">
        <v>1.61957</v>
      </c>
      <c r="AR22" s="22">
        <v>22.974399999999999</v>
      </c>
      <c r="AS22" s="22">
        <v>-8.2427999999999998E-3</v>
      </c>
      <c r="AT22" s="22">
        <v>12</v>
      </c>
      <c r="AU22" s="22">
        <v>1.61835</v>
      </c>
      <c r="AV22">
        <f t="shared" si="8"/>
        <v>10.176296296296297</v>
      </c>
      <c r="AW22">
        <f t="shared" si="9"/>
        <v>16.481224192592592</v>
      </c>
      <c r="AX22" s="9"/>
      <c r="AY22" s="22">
        <v>-3.9520300000000001E-2</v>
      </c>
      <c r="AZ22" s="22">
        <v>26.5519</v>
      </c>
      <c r="BA22" s="22">
        <v>-1.73279E-2</v>
      </c>
      <c r="BB22" s="22">
        <v>12</v>
      </c>
      <c r="BC22" s="22">
        <v>-3.9730799999999997E-2</v>
      </c>
      <c r="BD22">
        <f t="shared" si="10"/>
        <v>21.392469135802468</v>
      </c>
      <c r="BE22">
        <f t="shared" si="11"/>
        <v>-0.84543679798765425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5.22525</v>
      </c>
      <c r="I23" s="22">
        <v>-7.6446500000000002E-3</v>
      </c>
      <c r="J23" s="22">
        <v>13</v>
      </c>
      <c r="K23" s="22">
        <v>1.6134599999999999</v>
      </c>
      <c r="L23">
        <f t="shared" si="0"/>
        <v>9.4378395061728391</v>
      </c>
      <c r="M23">
        <f t="shared" si="1"/>
        <v>15.237675017901234</v>
      </c>
      <c r="N23" s="9"/>
      <c r="O23" s="22">
        <v>-3.4484899999999999E-2</v>
      </c>
      <c r="P23" s="22">
        <v>8.8027300000000004</v>
      </c>
      <c r="Q23" s="22">
        <v>-1.73828E-2</v>
      </c>
      <c r="R23" s="22">
        <v>13</v>
      </c>
      <c r="S23" s="22">
        <v>-3.4762599999999998E-2</v>
      </c>
      <c r="T23">
        <f t="shared" si="2"/>
        <v>21.460246913580246</v>
      </c>
      <c r="U23">
        <f t="shared" si="3"/>
        <v>-0.74005446879012338</v>
      </c>
      <c r="V23" s="23"/>
      <c r="W23" s="24"/>
      <c r="X23" s="9"/>
      <c r="Y23" s="22">
        <v>1.61453</v>
      </c>
      <c r="Z23" s="22">
        <v>14.1083</v>
      </c>
      <c r="AA23" s="22">
        <v>-7.8552199999999996E-3</v>
      </c>
      <c r="AB23" s="22">
        <v>13</v>
      </c>
      <c r="AC23" s="22">
        <v>1.6137699999999999</v>
      </c>
      <c r="AD23">
        <f t="shared" si="4"/>
        <v>9.6978024691358016</v>
      </c>
      <c r="AE23">
        <f t="shared" si="5"/>
        <v>15.657393020493826</v>
      </c>
      <c r="AF23" s="9"/>
      <c r="AG23" s="22">
        <v>-3.4484899999999999E-2</v>
      </c>
      <c r="AH23" s="22">
        <v>17.6858</v>
      </c>
      <c r="AI23" s="22">
        <v>-1.7306499999999999E-2</v>
      </c>
      <c r="AJ23" s="22">
        <v>13</v>
      </c>
      <c r="AK23" s="22">
        <v>-3.4710699999999997E-2</v>
      </c>
      <c r="AL23">
        <f t="shared" si="6"/>
        <v>21.366049382716049</v>
      </c>
      <c r="AM23">
        <f t="shared" si="7"/>
        <v>-0.73680607635802464</v>
      </c>
      <c r="AP23" s="9"/>
      <c r="AQ23" s="22">
        <v>1.61453</v>
      </c>
      <c r="AR23" s="22">
        <v>22.984500000000001</v>
      </c>
      <c r="AS23" s="22">
        <v>-8.8439899999999995E-3</v>
      </c>
      <c r="AT23" s="22">
        <v>13</v>
      </c>
      <c r="AU23" s="22">
        <v>1.6140699999999999</v>
      </c>
      <c r="AV23">
        <f t="shared" si="8"/>
        <v>10.918506172839505</v>
      </c>
      <c r="AW23">
        <f t="shared" si="9"/>
        <v>17.628255771234567</v>
      </c>
      <c r="AX23" s="9"/>
      <c r="AY23" s="22">
        <v>-3.4484899999999999E-2</v>
      </c>
      <c r="AZ23" s="22">
        <v>26.562000000000001</v>
      </c>
      <c r="BA23" s="22">
        <v>-1.7312600000000001E-2</v>
      </c>
      <c r="BB23" s="22">
        <v>13</v>
      </c>
      <c r="BC23" s="22">
        <v>-3.4872399999999998E-2</v>
      </c>
      <c r="BD23">
        <f t="shared" si="10"/>
        <v>21.37358024691358</v>
      </c>
      <c r="BE23">
        <f t="shared" si="11"/>
        <v>-0.73706577745679014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5.2353199999999998</v>
      </c>
      <c r="I24" s="22">
        <v>-8.30994E-3</v>
      </c>
      <c r="J24" s="22">
        <v>14</v>
      </c>
      <c r="K24" s="22">
        <v>1.6085799999999999</v>
      </c>
      <c r="L24">
        <f t="shared" si="0"/>
        <v>10.259185185185183</v>
      </c>
      <c r="M24">
        <f t="shared" si="1"/>
        <v>16.512158555555551</v>
      </c>
      <c r="N24" s="9"/>
      <c r="O24" s="22">
        <v>-2.94495E-2</v>
      </c>
      <c r="P24" s="22">
        <v>8.8127999999999993</v>
      </c>
      <c r="Q24" s="22">
        <v>-1.73676E-2</v>
      </c>
      <c r="R24" s="22">
        <v>14</v>
      </c>
      <c r="S24" s="22">
        <v>-2.9855300000000001E-2</v>
      </c>
      <c r="T24">
        <f t="shared" si="2"/>
        <v>21.441481481481482</v>
      </c>
      <c r="U24">
        <f t="shared" si="3"/>
        <v>-0.63144090888888893</v>
      </c>
      <c r="V24" s="23"/>
      <c r="W24" s="24"/>
      <c r="X24" s="9"/>
      <c r="Y24" s="22">
        <v>1.6094999999999999</v>
      </c>
      <c r="Z24" s="22">
        <v>14.118399999999999</v>
      </c>
      <c r="AA24" s="22">
        <v>-8.5082999999999999E-3</v>
      </c>
      <c r="AB24" s="22">
        <v>14</v>
      </c>
      <c r="AC24" s="22">
        <v>1.6085799999999999</v>
      </c>
      <c r="AD24">
        <f t="shared" si="4"/>
        <v>10.504074074074074</v>
      </c>
      <c r="AE24">
        <f t="shared" si="5"/>
        <v>16.906307222222221</v>
      </c>
      <c r="AF24" s="9"/>
      <c r="AG24" s="22">
        <v>-2.94495E-2</v>
      </c>
      <c r="AH24" s="22">
        <v>17.695799999999998</v>
      </c>
      <c r="AI24" s="22">
        <v>-1.7297400000000001E-2</v>
      </c>
      <c r="AJ24" s="22">
        <v>14</v>
      </c>
      <c r="AK24" s="22">
        <v>-2.9782099999999999E-2</v>
      </c>
      <c r="AL24">
        <f t="shared" si="6"/>
        <v>21.354814814814816</v>
      </c>
      <c r="AM24">
        <f t="shared" si="7"/>
        <v>-0.62888861888888892</v>
      </c>
      <c r="AP24" s="9"/>
      <c r="AQ24" s="22">
        <v>1.6094999999999999</v>
      </c>
      <c r="AR24" s="22">
        <v>22.994499999999999</v>
      </c>
      <c r="AS24" s="22">
        <v>-9.3322800000000001E-3</v>
      </c>
      <c r="AT24" s="22">
        <v>14</v>
      </c>
      <c r="AU24" s="22">
        <v>1.6085799999999999</v>
      </c>
      <c r="AV24">
        <f t="shared" si="8"/>
        <v>11.521333333333333</v>
      </c>
      <c r="AW24">
        <f t="shared" si="9"/>
        <v>18.543585999999998</v>
      </c>
      <c r="AX24" s="9"/>
      <c r="AY24" s="22">
        <v>-2.94495E-2</v>
      </c>
      <c r="AZ24" s="22">
        <v>26.571999999999999</v>
      </c>
      <c r="BA24" s="22">
        <v>-1.73004E-2</v>
      </c>
      <c r="BB24" s="22">
        <v>14</v>
      </c>
      <c r="BC24" s="22">
        <v>-2.9687499999999999E-2</v>
      </c>
      <c r="BD24">
        <f t="shared" si="10"/>
        <v>21.358518518518515</v>
      </c>
      <c r="BE24">
        <f t="shared" si="11"/>
        <v>-0.62899769111111103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5.2453900000000004</v>
      </c>
      <c r="I25" s="22">
        <v>-8.8561999999999998E-3</v>
      </c>
      <c r="J25" s="22">
        <v>15</v>
      </c>
      <c r="K25" s="22">
        <v>1.6033900000000001</v>
      </c>
      <c r="L25">
        <f t="shared" si="0"/>
        <v>10.93358024691358</v>
      </c>
      <c r="M25">
        <f t="shared" si="1"/>
        <v>17.542492162962962</v>
      </c>
      <c r="N25" s="9"/>
      <c r="O25" s="22">
        <v>-2.4414100000000001E-2</v>
      </c>
      <c r="P25" s="22">
        <v>8.82287</v>
      </c>
      <c r="Q25" s="22">
        <v>-1.73584E-2</v>
      </c>
      <c r="R25" s="22">
        <v>15</v>
      </c>
      <c r="S25" s="22">
        <v>-2.46246E-2</v>
      </c>
      <c r="T25">
        <f t="shared" si="2"/>
        <v>21.43012345679012</v>
      </c>
      <c r="U25">
        <f t="shared" si="3"/>
        <v>-0.52319717708641966</v>
      </c>
      <c r="V25" s="23"/>
      <c r="W25" s="24"/>
      <c r="X25" s="9"/>
      <c r="Y25" s="22">
        <v>1.60446</v>
      </c>
      <c r="Z25" s="22">
        <v>14.128399999999999</v>
      </c>
      <c r="AA25" s="22">
        <v>-9.0576200000000006E-3</v>
      </c>
      <c r="AB25" s="22">
        <v>15</v>
      </c>
      <c r="AC25" s="22">
        <v>1.6040000000000001</v>
      </c>
      <c r="AD25">
        <f t="shared" si="4"/>
        <v>11.182246913580247</v>
      </c>
      <c r="AE25">
        <f t="shared" si="5"/>
        <v>17.941467882962964</v>
      </c>
      <c r="AF25" s="9"/>
      <c r="AG25" s="22">
        <v>-2.4414100000000001E-2</v>
      </c>
      <c r="AH25" s="22">
        <v>17.7059</v>
      </c>
      <c r="AI25" s="22">
        <v>-1.72882E-2</v>
      </c>
      <c r="AJ25" s="22">
        <v>15</v>
      </c>
      <c r="AK25" s="22">
        <v>-2.4655199999999999E-2</v>
      </c>
      <c r="AL25">
        <f t="shared" si="6"/>
        <v>21.343456790123458</v>
      </c>
      <c r="AM25">
        <f t="shared" si="7"/>
        <v>-0.5210812884197531</v>
      </c>
      <c r="AP25" s="9"/>
      <c r="AQ25" s="22">
        <v>1.60446</v>
      </c>
      <c r="AR25" s="22">
        <v>23.0046</v>
      </c>
      <c r="AS25" s="22">
        <v>-9.7930900000000008E-3</v>
      </c>
      <c r="AT25" s="22">
        <v>15</v>
      </c>
      <c r="AU25" s="22">
        <v>1.6036999999999999</v>
      </c>
      <c r="AV25">
        <f t="shared" si="8"/>
        <v>12.090234567901234</v>
      </c>
      <c r="AW25">
        <f t="shared" si="9"/>
        <v>19.398297754814813</v>
      </c>
      <c r="AX25" s="9"/>
      <c r="AY25" s="22">
        <v>-2.4414100000000001E-2</v>
      </c>
      <c r="AZ25" s="22">
        <v>26.582100000000001</v>
      </c>
      <c r="BA25" s="22">
        <v>-1.72882E-2</v>
      </c>
      <c r="BB25" s="22">
        <v>15</v>
      </c>
      <c r="BC25" s="22">
        <v>-2.4682599999999999E-2</v>
      </c>
      <c r="BD25">
        <f t="shared" si="10"/>
        <v>21.343456790123458</v>
      </c>
      <c r="BE25">
        <f t="shared" si="11"/>
        <v>-0.5210812884197531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5.2554600000000002</v>
      </c>
      <c r="I26" s="22">
        <v>-9.3444800000000005E-3</v>
      </c>
      <c r="J26" s="22">
        <v>16</v>
      </c>
      <c r="K26" s="22">
        <v>1.5988199999999999</v>
      </c>
      <c r="L26">
        <f t="shared" si="0"/>
        <v>11.536395061728395</v>
      </c>
      <c r="M26">
        <f t="shared" si="1"/>
        <v>18.451656353580248</v>
      </c>
      <c r="N26" s="9"/>
      <c r="O26" s="22">
        <v>-1.9378699999999999E-2</v>
      </c>
      <c r="P26" s="22">
        <v>8.8329400000000007</v>
      </c>
      <c r="Q26" s="22">
        <v>-1.73431E-2</v>
      </c>
      <c r="R26" s="22">
        <v>16</v>
      </c>
      <c r="S26" s="22">
        <v>-1.9506800000000001E-2</v>
      </c>
      <c r="T26">
        <f t="shared" si="2"/>
        <v>21.411234567901236</v>
      </c>
      <c r="U26">
        <f t="shared" si="3"/>
        <v>-0.41492189132098767</v>
      </c>
      <c r="V26" s="23"/>
      <c r="W26" s="24"/>
      <c r="X26" s="9"/>
      <c r="Y26" s="22">
        <v>1.5994299999999999</v>
      </c>
      <c r="Z26" s="22">
        <v>14.138500000000001</v>
      </c>
      <c r="AA26" s="22">
        <v>-9.5062299999999992E-3</v>
      </c>
      <c r="AB26" s="22">
        <v>16</v>
      </c>
      <c r="AC26" s="22">
        <v>1.5985100000000001</v>
      </c>
      <c r="AD26">
        <f t="shared" si="4"/>
        <v>11.736086419753084</v>
      </c>
      <c r="AE26">
        <f t="shared" si="5"/>
        <v>18.771048702345674</v>
      </c>
      <c r="AF26" s="9"/>
      <c r="AG26" s="22">
        <v>-1.9378699999999999E-2</v>
      </c>
      <c r="AH26" s="22">
        <v>17.716000000000001</v>
      </c>
      <c r="AI26" s="22">
        <v>-1.7272900000000001E-2</v>
      </c>
      <c r="AJ26" s="22">
        <v>16</v>
      </c>
      <c r="AK26" s="22">
        <v>-1.9656400000000001E-2</v>
      </c>
      <c r="AL26">
        <f t="shared" si="6"/>
        <v>21.32456790123457</v>
      </c>
      <c r="AM26">
        <f t="shared" si="7"/>
        <v>-0.41324240398765433</v>
      </c>
      <c r="AP26" s="9"/>
      <c r="AQ26" s="22">
        <v>1.5994299999999999</v>
      </c>
      <c r="AR26" s="22">
        <v>23.014700000000001</v>
      </c>
      <c r="AS26" s="22">
        <v>-1.0180700000000001E-2</v>
      </c>
      <c r="AT26" s="22">
        <v>16</v>
      </c>
      <c r="AU26" s="22">
        <v>1.5985100000000001</v>
      </c>
      <c r="AV26">
        <f t="shared" si="8"/>
        <v>12.568765432098765</v>
      </c>
      <c r="AW26">
        <f t="shared" si="9"/>
        <v>20.102860495061726</v>
      </c>
      <c r="AX26" s="9"/>
      <c r="AY26" s="22">
        <v>-1.9378699999999999E-2</v>
      </c>
      <c r="AZ26" s="22">
        <v>26.592199999999998</v>
      </c>
      <c r="BA26" s="22">
        <v>-1.7279099999999999E-2</v>
      </c>
      <c r="BB26" s="22">
        <v>16</v>
      </c>
      <c r="BC26" s="22">
        <v>-1.95923E-2</v>
      </c>
      <c r="BD26">
        <f t="shared" si="10"/>
        <v>21.332222222222217</v>
      </c>
      <c r="BE26">
        <f t="shared" si="11"/>
        <v>-0.41339073477777766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5.26553</v>
      </c>
      <c r="I27" s="22">
        <v>-9.7534200000000005E-3</v>
      </c>
      <c r="J27" s="22">
        <v>17</v>
      </c>
      <c r="K27" s="22">
        <v>1.5927100000000001</v>
      </c>
      <c r="L27">
        <f t="shared" si="0"/>
        <v>12.041259259259258</v>
      </c>
      <c r="M27">
        <f t="shared" si="1"/>
        <v>19.198463350370368</v>
      </c>
      <c r="N27" s="9"/>
      <c r="O27" s="22">
        <v>-1.43433E-2</v>
      </c>
      <c r="P27" s="22">
        <v>8.8430199999999992</v>
      </c>
      <c r="Q27" s="22">
        <v>-1.73279E-2</v>
      </c>
      <c r="R27" s="22">
        <v>17</v>
      </c>
      <c r="S27" s="22">
        <v>-1.44928E-2</v>
      </c>
      <c r="T27">
        <f t="shared" si="2"/>
        <v>21.392469135802468</v>
      </c>
      <c r="U27">
        <f t="shared" si="3"/>
        <v>-0.30683860255555556</v>
      </c>
      <c r="X27" s="9"/>
      <c r="Y27" s="22">
        <v>1.59439</v>
      </c>
      <c r="Z27" s="22">
        <v>14.1486</v>
      </c>
      <c r="AA27" s="22">
        <v>-9.9395799999999999E-3</v>
      </c>
      <c r="AB27" s="22">
        <v>17</v>
      </c>
      <c r="AC27" s="22">
        <v>1.5933200000000001</v>
      </c>
      <c r="AD27">
        <f t="shared" si="4"/>
        <v>12.271086419753086</v>
      </c>
      <c r="AE27">
        <f t="shared" si="5"/>
        <v>19.564897476790122</v>
      </c>
      <c r="AF27" s="9"/>
      <c r="AG27" s="22">
        <v>-1.43433E-2</v>
      </c>
      <c r="AH27" s="22">
        <v>17.726099999999999</v>
      </c>
      <c r="AI27" s="22">
        <v>-1.7263799999999999E-2</v>
      </c>
      <c r="AJ27" s="22">
        <v>17</v>
      </c>
      <c r="AK27" s="22">
        <v>-1.45538E-2</v>
      </c>
      <c r="AL27">
        <f t="shared" si="6"/>
        <v>21.313333333333329</v>
      </c>
      <c r="AM27">
        <f t="shared" si="7"/>
        <v>-0.30570353399999994</v>
      </c>
      <c r="AP27" s="9"/>
      <c r="AQ27" s="22">
        <v>1.59439</v>
      </c>
      <c r="AR27" s="22">
        <v>23.024799999999999</v>
      </c>
      <c r="AS27" s="22">
        <v>-1.0537700000000001E-2</v>
      </c>
      <c r="AT27" s="22">
        <v>17</v>
      </c>
      <c r="AU27" s="22">
        <v>1.5936300000000001</v>
      </c>
      <c r="AV27">
        <f t="shared" si="8"/>
        <v>13.009506172839506</v>
      </c>
      <c r="AW27">
        <f t="shared" si="9"/>
        <v>20.742226546913582</v>
      </c>
      <c r="AX27" s="9"/>
      <c r="AY27" s="22">
        <v>-1.43433E-2</v>
      </c>
      <c r="AZ27" s="22">
        <v>26.6022</v>
      </c>
      <c r="BA27" s="22">
        <v>-1.7266799999999999E-2</v>
      </c>
      <c r="BB27" s="22">
        <v>17</v>
      </c>
      <c r="BC27" s="22">
        <v>-1.4456200000000001E-2</v>
      </c>
      <c r="BD27">
        <f t="shared" si="10"/>
        <v>21.317037037037032</v>
      </c>
      <c r="BE27">
        <f t="shared" si="11"/>
        <v>-0.30575665733333324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5.2755999999999998</v>
      </c>
      <c r="I28" s="22">
        <v>-1.0141000000000001E-2</v>
      </c>
      <c r="J28" s="22">
        <v>18</v>
      </c>
      <c r="K28" s="22">
        <v>1.5884400000000001</v>
      </c>
      <c r="L28">
        <f t="shared" si="0"/>
        <v>12.519753086419753</v>
      </c>
      <c r="M28">
        <f t="shared" si="1"/>
        <v>19.898394765432101</v>
      </c>
      <c r="N28" s="9"/>
      <c r="O28" s="22">
        <v>-9.3078599999999994E-3</v>
      </c>
      <c r="P28" s="22">
        <v>8.8530899999999999</v>
      </c>
      <c r="Q28" s="22">
        <v>-1.7312600000000001E-2</v>
      </c>
      <c r="R28" s="22">
        <v>18</v>
      </c>
      <c r="S28" s="22">
        <v>-9.6008299999999994E-3</v>
      </c>
      <c r="T28">
        <f t="shared" si="2"/>
        <v>21.37358024691358</v>
      </c>
      <c r="U28">
        <f t="shared" si="3"/>
        <v>-0.19894229263703703</v>
      </c>
      <c r="X28" s="9"/>
      <c r="Y28" s="22">
        <v>1.5893600000000001</v>
      </c>
      <c r="Z28" s="22">
        <v>14.1586</v>
      </c>
      <c r="AA28" s="22">
        <v>-1.0278300000000001E-2</v>
      </c>
      <c r="AB28" s="22">
        <v>18</v>
      </c>
      <c r="AC28" s="22">
        <v>1.5884400000000001</v>
      </c>
      <c r="AD28">
        <f t="shared" si="4"/>
        <v>12.689259259259259</v>
      </c>
      <c r="AE28">
        <f t="shared" si="5"/>
        <v>20.167801096296298</v>
      </c>
      <c r="AF28" s="9"/>
      <c r="AG28" s="22">
        <v>-9.3078599999999994E-3</v>
      </c>
      <c r="AH28" s="22">
        <v>17.7361</v>
      </c>
      <c r="AI28" s="22">
        <v>-1.7251599999999999E-2</v>
      </c>
      <c r="AJ28" s="22">
        <v>18</v>
      </c>
      <c r="AK28" s="22">
        <v>-9.4512899999999993E-3</v>
      </c>
      <c r="AL28">
        <f t="shared" si="6"/>
        <v>21.298271604938272</v>
      </c>
      <c r="AM28">
        <f t="shared" si="7"/>
        <v>-0.19824133034074073</v>
      </c>
      <c r="AP28" s="9"/>
      <c r="AQ28" s="22">
        <v>1.5893600000000001</v>
      </c>
      <c r="AR28" s="22">
        <v>23.034800000000001</v>
      </c>
      <c r="AS28" s="22">
        <v>-1.0836800000000001E-2</v>
      </c>
      <c r="AT28" s="22">
        <v>18</v>
      </c>
      <c r="AU28" s="22">
        <v>1.5884400000000001</v>
      </c>
      <c r="AV28">
        <f t="shared" si="8"/>
        <v>13.378765432098765</v>
      </c>
      <c r="AW28">
        <f t="shared" si="9"/>
        <v>21.263674627160494</v>
      </c>
      <c r="AX28" s="9"/>
      <c r="AY28" s="22">
        <v>-9.3078599999999994E-3</v>
      </c>
      <c r="AZ28" s="22">
        <v>26.612300000000001</v>
      </c>
      <c r="BA28" s="22">
        <v>-1.7254599999999998E-2</v>
      </c>
      <c r="BB28" s="22">
        <v>18</v>
      </c>
      <c r="BC28" s="22">
        <v>-9.5764200000000004E-3</v>
      </c>
      <c r="BD28">
        <f t="shared" si="10"/>
        <v>21.301975308641971</v>
      </c>
      <c r="BE28">
        <f t="shared" si="11"/>
        <v>-0.19827580389629623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5.2856699999999996</v>
      </c>
      <c r="I29" s="22">
        <v>-1.04919E-2</v>
      </c>
      <c r="J29" s="22">
        <v>19</v>
      </c>
      <c r="K29" s="22">
        <v>1.5835600000000001</v>
      </c>
      <c r="L29">
        <f t="shared" si="0"/>
        <v>12.952962962962962</v>
      </c>
      <c r="M29">
        <f t="shared" si="1"/>
        <v>20.521638281481479</v>
      </c>
      <c r="N29" s="9"/>
      <c r="O29" s="22">
        <v>-4.2724599999999996E-3</v>
      </c>
      <c r="P29" s="22">
        <v>8.8631600000000006</v>
      </c>
      <c r="Q29" s="22">
        <v>-1.7303499999999999E-2</v>
      </c>
      <c r="R29" s="22">
        <v>19</v>
      </c>
      <c r="S29" s="22">
        <v>-4.57764E-3</v>
      </c>
      <c r="T29">
        <f t="shared" si="2"/>
        <v>21.362345679012343</v>
      </c>
      <c r="U29">
        <f t="shared" si="3"/>
        <v>-9.1269767419753067E-2</v>
      </c>
      <c r="X29" s="9"/>
      <c r="Y29" s="22">
        <v>1.58432</v>
      </c>
      <c r="Z29" s="22">
        <v>14.168699999999999</v>
      </c>
      <c r="AA29" s="22">
        <v>-1.0638399999999999E-2</v>
      </c>
      <c r="AB29" s="22">
        <v>19</v>
      </c>
      <c r="AC29" s="22">
        <v>1.5841700000000001</v>
      </c>
      <c r="AD29">
        <f t="shared" si="4"/>
        <v>13.133827160493826</v>
      </c>
      <c r="AE29">
        <f t="shared" si="5"/>
        <v>20.808185046913579</v>
      </c>
      <c r="AF29" s="9"/>
      <c r="AG29" s="22">
        <v>-4.2724599999999996E-3</v>
      </c>
      <c r="AH29" s="22">
        <v>17.746200000000002</v>
      </c>
      <c r="AI29" s="22">
        <v>-1.7239399999999998E-2</v>
      </c>
      <c r="AJ29" s="22">
        <v>19</v>
      </c>
      <c r="AK29" s="22">
        <v>-4.4280999999999999E-3</v>
      </c>
      <c r="AL29">
        <f t="shared" si="6"/>
        <v>21.283209876543207</v>
      </c>
      <c r="AM29">
        <f t="shared" si="7"/>
        <v>-9.0931662869135788E-2</v>
      </c>
      <c r="AP29" s="9"/>
      <c r="AQ29" s="22">
        <v>1.58432</v>
      </c>
      <c r="AR29" s="22">
        <v>23.044899999999998</v>
      </c>
      <c r="AS29" s="22">
        <v>-1.11176E-2</v>
      </c>
      <c r="AT29" s="22">
        <v>19</v>
      </c>
      <c r="AU29" s="22">
        <v>1.5835600000000001</v>
      </c>
      <c r="AV29">
        <f t="shared" si="8"/>
        <v>13.725432098765431</v>
      </c>
      <c r="AW29">
        <f t="shared" si="9"/>
        <v>21.745476582716048</v>
      </c>
      <c r="AX29" s="9"/>
      <c r="AY29" s="22">
        <v>-4.2724599999999996E-3</v>
      </c>
      <c r="AZ29" s="22">
        <v>26.622399999999999</v>
      </c>
      <c r="BA29" s="22">
        <v>-1.7242400000000001E-2</v>
      </c>
      <c r="BB29" s="22">
        <v>19</v>
      </c>
      <c r="BC29" s="22">
        <v>-4.1229200000000004E-3</v>
      </c>
      <c r="BD29">
        <f t="shared" si="10"/>
        <v>21.286913580246914</v>
      </c>
      <c r="BE29">
        <f t="shared" si="11"/>
        <v>-9.0947486795061719E-2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5.2957400000000003</v>
      </c>
      <c r="I30" s="22">
        <v>-1.0800199999999999E-2</v>
      </c>
      <c r="J30" s="22">
        <v>20</v>
      </c>
      <c r="K30" s="22">
        <v>1.57867</v>
      </c>
      <c r="L30">
        <f t="shared" si="0"/>
        <v>13.333580246913579</v>
      </c>
      <c r="M30">
        <f t="shared" si="1"/>
        <v>21.057456612345678</v>
      </c>
      <c r="N30" s="9"/>
      <c r="O30" s="22">
        <v>7.6293900000000002E-4</v>
      </c>
      <c r="P30" s="22">
        <v>8.8732299999999995</v>
      </c>
      <c r="Q30" s="22">
        <v>-1.7294299999999999E-2</v>
      </c>
      <c r="R30" s="22">
        <v>20</v>
      </c>
      <c r="S30" s="22">
        <v>6.0424800000000005E-4</v>
      </c>
      <c r="T30">
        <f t="shared" si="2"/>
        <v>21.350987654320985</v>
      </c>
      <c r="U30">
        <f t="shared" si="3"/>
        <v>1.6289501169999998E-2</v>
      </c>
      <c r="X30" s="9"/>
      <c r="Y30" s="22">
        <v>1.57928</v>
      </c>
      <c r="Z30" s="22">
        <v>14.178800000000001</v>
      </c>
      <c r="AA30" s="22">
        <v>-1.09131E-2</v>
      </c>
      <c r="AB30" s="22">
        <v>20</v>
      </c>
      <c r="AC30" s="22">
        <v>1.57806</v>
      </c>
      <c r="AD30">
        <f t="shared" si="4"/>
        <v>13.472962962962963</v>
      </c>
      <c r="AE30">
        <f t="shared" si="5"/>
        <v>21.277580948148149</v>
      </c>
      <c r="AF30" s="9"/>
      <c r="AG30" s="22">
        <v>7.6293900000000002E-4</v>
      </c>
      <c r="AH30" s="22">
        <v>17.7563</v>
      </c>
      <c r="AI30" s="22">
        <v>-1.7227200000000002E-2</v>
      </c>
      <c r="AJ30" s="22">
        <v>20</v>
      </c>
      <c r="AK30" s="22">
        <v>5.9509299999999999E-4</v>
      </c>
      <c r="AL30">
        <f t="shared" si="6"/>
        <v>21.268148148148146</v>
      </c>
      <c r="AM30">
        <f t="shared" si="7"/>
        <v>1.622629968E-2</v>
      </c>
      <c r="AP30" s="9"/>
      <c r="AQ30" s="22">
        <v>1.57928</v>
      </c>
      <c r="AR30" s="22">
        <v>23.055</v>
      </c>
      <c r="AS30" s="22">
        <v>-1.1367800000000001E-2</v>
      </c>
      <c r="AT30" s="22">
        <v>20</v>
      </c>
      <c r="AU30" s="22">
        <v>1.57867</v>
      </c>
      <c r="AV30">
        <f t="shared" si="8"/>
        <v>14.03432098765432</v>
      </c>
      <c r="AW30">
        <f t="shared" si="9"/>
        <v>22.164122449382717</v>
      </c>
      <c r="AX30" s="9"/>
      <c r="AY30" s="22">
        <v>7.6293900000000002E-4</v>
      </c>
      <c r="AZ30" s="22">
        <v>26.6325</v>
      </c>
      <c r="BA30" s="22">
        <v>-1.72333E-2</v>
      </c>
      <c r="BB30" s="22">
        <v>20</v>
      </c>
      <c r="BC30" s="22">
        <v>7.0495599999999996E-4</v>
      </c>
      <c r="BD30">
        <f t="shared" si="10"/>
        <v>21.27567901234568</v>
      </c>
      <c r="BE30">
        <f t="shared" si="11"/>
        <v>1.6232045270000002E-2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5.3058199999999998</v>
      </c>
      <c r="I31" s="22">
        <v>-1.1080899999999999E-2</v>
      </c>
      <c r="J31" s="22">
        <v>21</v>
      </c>
      <c r="K31" s="22">
        <v>1.5741000000000001</v>
      </c>
      <c r="L31">
        <f t="shared" si="0"/>
        <v>13.680123456790122</v>
      </c>
      <c r="M31">
        <f t="shared" si="1"/>
        <v>21.53593435185185</v>
      </c>
      <c r="N31" s="9"/>
      <c r="O31" s="22">
        <v>5.7983399999999999E-3</v>
      </c>
      <c r="P31" s="22">
        <v>8.8833000000000002</v>
      </c>
      <c r="Q31" s="22">
        <v>-1.7282100000000002E-2</v>
      </c>
      <c r="R31" s="22">
        <v>21</v>
      </c>
      <c r="S31" s="22">
        <v>5.8532699999999998E-3</v>
      </c>
      <c r="T31">
        <f t="shared" si="2"/>
        <v>21.335925925925924</v>
      </c>
      <c r="U31">
        <f t="shared" si="3"/>
        <v>0.12371295273333333</v>
      </c>
      <c r="X31" s="9"/>
      <c r="Y31" s="22">
        <v>1.5742499999999999</v>
      </c>
      <c r="Z31" s="22">
        <v>14.1889</v>
      </c>
      <c r="AA31" s="22">
        <v>-1.1202999999999999E-2</v>
      </c>
      <c r="AB31" s="22">
        <v>21</v>
      </c>
      <c r="AC31" s="22">
        <v>1.57379</v>
      </c>
      <c r="AD31">
        <f t="shared" si="4"/>
        <v>13.830864197530863</v>
      </c>
      <c r="AE31">
        <f t="shared" si="5"/>
        <v>21.773237962962959</v>
      </c>
      <c r="AF31" s="9"/>
      <c r="AG31" s="22">
        <v>5.7983399999999999E-3</v>
      </c>
      <c r="AH31" s="22">
        <v>17.766300000000001</v>
      </c>
      <c r="AI31" s="22">
        <v>-1.7218000000000001E-2</v>
      </c>
      <c r="AJ31" s="22">
        <v>21</v>
      </c>
      <c r="AK31" s="22">
        <v>5.6945800000000003E-3</v>
      </c>
      <c r="AL31">
        <f t="shared" si="6"/>
        <v>21.256790123456792</v>
      </c>
      <c r="AM31">
        <f t="shared" si="7"/>
        <v>0.12325409644444445</v>
      </c>
      <c r="AP31" s="9"/>
      <c r="AQ31" s="22">
        <v>1.5742499999999999</v>
      </c>
      <c r="AR31" s="22">
        <v>23.065000000000001</v>
      </c>
      <c r="AS31" s="22">
        <v>-1.16089E-2</v>
      </c>
      <c r="AT31" s="22">
        <v>21</v>
      </c>
      <c r="AU31" s="22">
        <v>1.5734900000000001</v>
      </c>
      <c r="AV31">
        <f t="shared" si="8"/>
        <v>14.331975308641976</v>
      </c>
      <c r="AW31">
        <f t="shared" si="9"/>
        <v>22.562112129629629</v>
      </c>
      <c r="AX31" s="9"/>
      <c r="AY31" s="22">
        <v>5.7983399999999999E-3</v>
      </c>
      <c r="AZ31" s="22">
        <v>26.642499999999998</v>
      </c>
      <c r="BA31" s="22">
        <v>-1.72211E-2</v>
      </c>
      <c r="BB31" s="22">
        <v>21</v>
      </c>
      <c r="BC31" s="22">
        <v>5.6487999999999998E-3</v>
      </c>
      <c r="BD31">
        <f t="shared" si="10"/>
        <v>21.260617283950616</v>
      </c>
      <c r="BE31">
        <f t="shared" si="11"/>
        <v>0.12327628762222222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5.3158899999999996</v>
      </c>
      <c r="I32" s="22">
        <v>-1.13373E-2</v>
      </c>
      <c r="J32" s="22">
        <v>22</v>
      </c>
      <c r="K32" s="22">
        <v>1.5683</v>
      </c>
      <c r="L32">
        <f t="shared" si="0"/>
        <v>13.996666666666666</v>
      </c>
      <c r="M32">
        <f t="shared" si="1"/>
        <v>21.963709299999998</v>
      </c>
      <c r="N32" s="9"/>
      <c r="O32" s="22">
        <v>1.08337E-2</v>
      </c>
      <c r="P32" s="22">
        <v>8.8933700000000009</v>
      </c>
      <c r="Q32" s="22">
        <v>-1.7272900000000001E-2</v>
      </c>
      <c r="R32" s="22">
        <v>22</v>
      </c>
      <c r="S32" s="22">
        <v>1.08643E-2</v>
      </c>
      <c r="T32">
        <f t="shared" si="2"/>
        <v>21.32456790123457</v>
      </c>
      <c r="U32">
        <f t="shared" si="3"/>
        <v>0.23102397127160496</v>
      </c>
      <c r="X32" s="9"/>
      <c r="Y32" s="22">
        <v>1.56921</v>
      </c>
      <c r="Z32" s="22">
        <v>14.1989</v>
      </c>
      <c r="AA32" s="22">
        <v>-1.1438E-2</v>
      </c>
      <c r="AB32" s="22">
        <v>22</v>
      </c>
      <c r="AC32" s="22">
        <v>1.56799</v>
      </c>
      <c r="AD32">
        <f t="shared" si="4"/>
        <v>14.120987654320988</v>
      </c>
      <c r="AE32">
        <f t="shared" si="5"/>
        <v>22.158795037037038</v>
      </c>
      <c r="AF32" s="9"/>
      <c r="AG32" s="22">
        <v>1.08337E-2</v>
      </c>
      <c r="AH32" s="22">
        <v>17.776399999999999</v>
      </c>
      <c r="AI32" s="22">
        <v>-1.7202800000000001E-2</v>
      </c>
      <c r="AJ32" s="22">
        <v>22</v>
      </c>
      <c r="AK32" s="22">
        <v>1.0705599999999999E-2</v>
      </c>
      <c r="AL32">
        <f t="shared" si="6"/>
        <v>21.238024691358024</v>
      </c>
      <c r="AM32">
        <f t="shared" si="7"/>
        <v>0.23008638809876542</v>
      </c>
      <c r="AP32" s="9"/>
      <c r="AQ32" s="22">
        <v>1.56921</v>
      </c>
      <c r="AR32" s="22">
        <v>23.075099999999999</v>
      </c>
      <c r="AS32" s="22">
        <v>-1.18225E-2</v>
      </c>
      <c r="AT32" s="22">
        <v>22</v>
      </c>
      <c r="AU32" s="22">
        <v>1.56799</v>
      </c>
      <c r="AV32">
        <f t="shared" si="8"/>
        <v>14.595679012345677</v>
      </c>
      <c r="AW32">
        <f t="shared" si="9"/>
        <v>22.903685462962958</v>
      </c>
      <c r="AX32" s="9"/>
      <c r="AY32" s="22">
        <v>1.08337E-2</v>
      </c>
      <c r="AZ32" s="22">
        <v>26.6526</v>
      </c>
      <c r="BA32" s="22">
        <v>-1.7208899999999999E-2</v>
      </c>
      <c r="BB32" s="22">
        <v>22</v>
      </c>
      <c r="BC32" s="22">
        <v>1.0659800000000001E-2</v>
      </c>
      <c r="BD32">
        <f t="shared" si="10"/>
        <v>21.245555555555551</v>
      </c>
      <c r="BE32">
        <f t="shared" si="11"/>
        <v>0.23016797522222218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5.3259600000000002</v>
      </c>
      <c r="I33" s="22">
        <v>-1.15753E-2</v>
      </c>
      <c r="J33" s="22">
        <v>23</v>
      </c>
      <c r="K33" s="22">
        <v>1.56372</v>
      </c>
      <c r="L33">
        <f t="shared" si="0"/>
        <v>14.290493827160493</v>
      </c>
      <c r="M33">
        <f t="shared" si="1"/>
        <v>22.352904634567899</v>
      </c>
      <c r="N33" s="9"/>
      <c r="O33" s="22">
        <v>1.5869100000000001E-2</v>
      </c>
      <c r="P33" s="22">
        <v>8.9034399999999998</v>
      </c>
      <c r="Q33" s="22">
        <v>-1.72607E-2</v>
      </c>
      <c r="R33" s="22">
        <v>23</v>
      </c>
      <c r="S33" s="22">
        <v>1.5722699999999999E-2</v>
      </c>
      <c r="T33">
        <f t="shared" si="2"/>
        <v>21.309506172839505</v>
      </c>
      <c r="U33">
        <f t="shared" si="3"/>
        <v>0.33816268440740738</v>
      </c>
      <c r="X33" s="9"/>
      <c r="Y33" s="22">
        <v>1.5641799999999999</v>
      </c>
      <c r="Z33" s="22">
        <v>14.209</v>
      </c>
      <c r="AA33" s="22">
        <v>-1.1672999999999999E-2</v>
      </c>
      <c r="AB33" s="22">
        <v>23</v>
      </c>
      <c r="AC33" s="22">
        <v>1.56311</v>
      </c>
      <c r="AD33">
        <f t="shared" si="4"/>
        <v>14.41111111111111</v>
      </c>
      <c r="AE33">
        <f t="shared" si="5"/>
        <v>22.541571777777776</v>
      </c>
      <c r="AF33" s="9"/>
      <c r="AG33" s="22">
        <v>1.5869100000000001E-2</v>
      </c>
      <c r="AH33" s="22">
        <v>17.7865</v>
      </c>
      <c r="AI33" s="22">
        <v>-1.71936E-2</v>
      </c>
      <c r="AJ33" s="22">
        <v>23</v>
      </c>
      <c r="AK33" s="22">
        <v>1.5777599999999999E-2</v>
      </c>
      <c r="AL33">
        <f t="shared" si="6"/>
        <v>21.226666666666663</v>
      </c>
      <c r="AM33">
        <f t="shared" si="7"/>
        <v>0.33684809599999993</v>
      </c>
      <c r="AP33" s="9"/>
      <c r="AQ33" s="22">
        <v>1.5641799999999999</v>
      </c>
      <c r="AR33" s="22">
        <v>23.0852</v>
      </c>
      <c r="AS33" s="22">
        <v>-1.2023900000000001E-2</v>
      </c>
      <c r="AT33" s="22">
        <v>23</v>
      </c>
      <c r="AU33" s="22">
        <v>1.56342</v>
      </c>
      <c r="AV33">
        <f t="shared" si="8"/>
        <v>14.844320987654321</v>
      </c>
      <c r="AW33">
        <f t="shared" si="9"/>
        <v>23.219190002469134</v>
      </c>
      <c r="AX33" s="9"/>
      <c r="AY33" s="22">
        <v>1.5869100000000001E-2</v>
      </c>
      <c r="AZ33" s="22">
        <v>26.662700000000001</v>
      </c>
      <c r="BA33" s="22">
        <v>-1.7196699999999999E-2</v>
      </c>
      <c r="BB33" s="22">
        <v>23</v>
      </c>
      <c r="BC33" s="22">
        <v>1.57745E-2</v>
      </c>
      <c r="BD33">
        <f t="shared" si="10"/>
        <v>21.230493827160494</v>
      </c>
      <c r="BE33">
        <f t="shared" si="11"/>
        <v>0.33690882959259261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5.3360300000000001</v>
      </c>
      <c r="I34" s="22">
        <v>-1.17889E-2</v>
      </c>
      <c r="J34" s="22">
        <v>24</v>
      </c>
      <c r="K34" s="22">
        <v>1.55823</v>
      </c>
      <c r="L34">
        <f t="shared" si="0"/>
        <v>14.554197530864196</v>
      </c>
      <c r="M34">
        <f t="shared" si="1"/>
        <v>22.6920315382716</v>
      </c>
      <c r="N34" s="9"/>
      <c r="O34" s="22">
        <v>2.0904499999999999E-2</v>
      </c>
      <c r="P34" s="22">
        <v>8.9135100000000005</v>
      </c>
      <c r="Q34" s="22">
        <v>-1.72485E-2</v>
      </c>
      <c r="R34" s="22">
        <v>24</v>
      </c>
      <c r="S34" s="22">
        <v>2.0825199999999999E-2</v>
      </c>
      <c r="T34">
        <f t="shared" si="2"/>
        <v>21.294444444444441</v>
      </c>
      <c r="U34">
        <f t="shared" si="3"/>
        <v>0.4451497138888888</v>
      </c>
      <c r="X34" s="9"/>
      <c r="Y34" s="22">
        <v>1.55914</v>
      </c>
      <c r="Z34" s="22">
        <v>14.219099999999999</v>
      </c>
      <c r="AA34" s="22">
        <v>-1.18713E-2</v>
      </c>
      <c r="AB34" s="22">
        <v>24</v>
      </c>
      <c r="AC34" s="22">
        <v>1.55823</v>
      </c>
      <c r="AD34">
        <f t="shared" si="4"/>
        <v>14.655925925925924</v>
      </c>
      <c r="AE34">
        <f t="shared" si="5"/>
        <v>22.850640348148143</v>
      </c>
      <c r="AF34" s="9"/>
      <c r="AG34" s="22">
        <v>2.0904499999999999E-2</v>
      </c>
      <c r="AH34" s="22">
        <v>17.796600000000002</v>
      </c>
      <c r="AI34" s="22">
        <v>-1.7178300000000001E-2</v>
      </c>
      <c r="AJ34" s="22">
        <v>24</v>
      </c>
      <c r="AK34" s="22">
        <v>2.0660399999999999E-2</v>
      </c>
      <c r="AL34">
        <f t="shared" si="6"/>
        <v>21.207777777777778</v>
      </c>
      <c r="AM34">
        <f t="shared" si="7"/>
        <v>0.44333799055555556</v>
      </c>
      <c r="AP34" s="9"/>
      <c r="AQ34" s="22">
        <v>1.55914</v>
      </c>
      <c r="AR34" s="22">
        <v>23.095300000000002</v>
      </c>
      <c r="AS34" s="22">
        <v>-1.22101E-2</v>
      </c>
      <c r="AT34" s="22">
        <v>24</v>
      </c>
      <c r="AU34" s="22">
        <v>1.55792</v>
      </c>
      <c r="AV34">
        <f t="shared" si="8"/>
        <v>15.074197530864195</v>
      </c>
      <c r="AW34">
        <f t="shared" si="9"/>
        <v>23.502784338271599</v>
      </c>
      <c r="AX34" s="9"/>
      <c r="AY34" s="22">
        <v>2.0904499999999999E-2</v>
      </c>
      <c r="AZ34" s="22">
        <v>26.672699999999999</v>
      </c>
      <c r="BA34" s="22">
        <v>-1.7184399999999999E-2</v>
      </c>
      <c r="BB34" s="22">
        <v>24</v>
      </c>
      <c r="BC34" s="22">
        <v>2.0697E-2</v>
      </c>
      <c r="BD34">
        <f t="shared" si="10"/>
        <v>21.215308641975305</v>
      </c>
      <c r="BE34">
        <f t="shared" si="11"/>
        <v>0.44349541950617277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5.3460999999999999</v>
      </c>
      <c r="I35" s="22">
        <v>-1.19659E-2</v>
      </c>
      <c r="J35" s="22">
        <v>25</v>
      </c>
      <c r="K35" s="22">
        <v>1.5533399999999999</v>
      </c>
      <c r="L35">
        <f t="shared" si="0"/>
        <v>14.772716049382716</v>
      </c>
      <c r="M35">
        <f t="shared" si="1"/>
        <v>22.958425739506175</v>
      </c>
      <c r="N35" s="9"/>
      <c r="O35" s="22">
        <v>2.5939899999999998E-2</v>
      </c>
      <c r="P35" s="22">
        <v>8.9235799999999994</v>
      </c>
      <c r="Q35" s="22">
        <v>-1.72363E-2</v>
      </c>
      <c r="R35" s="22">
        <v>25</v>
      </c>
      <c r="S35" s="22">
        <v>2.5787399999999999E-2</v>
      </c>
      <c r="T35">
        <f t="shared" si="2"/>
        <v>21.279382716049383</v>
      </c>
      <c r="U35">
        <f t="shared" si="3"/>
        <v>0.55198505971604939</v>
      </c>
      <c r="X35" s="9"/>
      <c r="Y35" s="22">
        <v>1.5541100000000001</v>
      </c>
      <c r="Z35" s="22">
        <v>14.229100000000001</v>
      </c>
      <c r="AA35" s="22">
        <v>-1.20667E-2</v>
      </c>
      <c r="AB35" s="22">
        <v>25</v>
      </c>
      <c r="AC35" s="22">
        <v>1.55304</v>
      </c>
      <c r="AD35">
        <f t="shared" si="4"/>
        <v>14.89716049382716</v>
      </c>
      <c r="AE35">
        <f t="shared" si="5"/>
        <v>23.151826095061729</v>
      </c>
      <c r="AF35" s="9"/>
      <c r="AG35" s="22">
        <v>2.5939899999999998E-2</v>
      </c>
      <c r="AH35" s="22">
        <v>17.8066</v>
      </c>
      <c r="AI35" s="22">
        <v>-1.71661E-2</v>
      </c>
      <c r="AJ35" s="22">
        <v>25</v>
      </c>
      <c r="AK35" s="22">
        <v>2.5772099999999999E-2</v>
      </c>
      <c r="AL35">
        <f t="shared" si="6"/>
        <v>21.192716049382714</v>
      </c>
      <c r="AM35">
        <f t="shared" si="7"/>
        <v>0.54973693504938259</v>
      </c>
      <c r="AP35" s="9"/>
      <c r="AQ35" s="22">
        <v>1.5541100000000001</v>
      </c>
      <c r="AR35" s="22">
        <v>23.1053</v>
      </c>
      <c r="AS35" s="22">
        <v>-1.2377900000000001E-2</v>
      </c>
      <c r="AT35" s="22">
        <v>25</v>
      </c>
      <c r="AU35" s="22">
        <v>1.5533399999999999</v>
      </c>
      <c r="AV35">
        <f t="shared" si="8"/>
        <v>15.281358024691359</v>
      </c>
      <c r="AW35">
        <f t="shared" si="9"/>
        <v>23.748911319753091</v>
      </c>
      <c r="AX35" s="9"/>
      <c r="AY35" s="22">
        <v>2.5939899999999998E-2</v>
      </c>
      <c r="AZ35" s="22">
        <v>26.6828</v>
      </c>
      <c r="BA35" s="22">
        <v>-1.7172199999999999E-2</v>
      </c>
      <c r="BB35" s="22">
        <v>25</v>
      </c>
      <c r="BC35" s="22">
        <v>2.5647E-2</v>
      </c>
      <c r="BD35">
        <f t="shared" si="10"/>
        <v>21.200246913580244</v>
      </c>
      <c r="BE35">
        <f t="shared" si="11"/>
        <v>0.54993228491358015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5.3561699999999997</v>
      </c>
      <c r="I36" s="22">
        <v>-1.21613E-2</v>
      </c>
      <c r="J36" s="22">
        <v>26</v>
      </c>
      <c r="K36" s="22">
        <v>1.54816</v>
      </c>
      <c r="L36">
        <f t="shared" si="0"/>
        <v>15.01395061728395</v>
      </c>
      <c r="M36">
        <f t="shared" si="1"/>
        <v>23.257660482716048</v>
      </c>
      <c r="N36" s="9"/>
      <c r="O36" s="22">
        <v>3.0975300000000001E-2</v>
      </c>
      <c r="P36" s="22">
        <v>8.9336500000000001</v>
      </c>
      <c r="Q36" s="22">
        <v>-1.72211E-2</v>
      </c>
      <c r="R36" s="22">
        <v>26</v>
      </c>
      <c r="S36" s="22">
        <v>3.0819699999999998E-2</v>
      </c>
      <c r="T36">
        <f t="shared" si="2"/>
        <v>21.260617283950616</v>
      </c>
      <c r="U36">
        <f t="shared" si="3"/>
        <v>0.65855399855555552</v>
      </c>
      <c r="X36" s="9"/>
      <c r="Y36" s="22">
        <v>1.5490699999999999</v>
      </c>
      <c r="Z36" s="22">
        <v>14.2392</v>
      </c>
      <c r="AA36" s="22">
        <v>-1.22375E-2</v>
      </c>
      <c r="AB36" s="22">
        <v>26</v>
      </c>
      <c r="AC36" s="22">
        <v>1.54755</v>
      </c>
      <c r="AD36">
        <f t="shared" si="4"/>
        <v>15.108024691358024</v>
      </c>
      <c r="AE36">
        <f t="shared" si="5"/>
        <v>23.403387808641973</v>
      </c>
      <c r="AF36" s="9"/>
      <c r="AG36" s="22">
        <v>3.0975300000000001E-2</v>
      </c>
      <c r="AH36" s="22">
        <v>17.816700000000001</v>
      </c>
      <c r="AI36" s="22">
        <v>-1.7156999999999999E-2</v>
      </c>
      <c r="AJ36" s="22">
        <v>26</v>
      </c>
      <c r="AK36" s="22">
        <v>3.0740400000000001E-2</v>
      </c>
      <c r="AL36">
        <f t="shared" si="6"/>
        <v>21.181481481481477</v>
      </c>
      <c r="AM36">
        <f t="shared" si="7"/>
        <v>0.65610274333333318</v>
      </c>
      <c r="AP36" s="9"/>
      <c r="AQ36" s="22">
        <v>1.5490699999999999</v>
      </c>
      <c r="AR36" s="22">
        <v>23.115400000000001</v>
      </c>
      <c r="AS36" s="22">
        <v>-1.25366E-2</v>
      </c>
      <c r="AT36" s="22">
        <v>26</v>
      </c>
      <c r="AU36" s="22">
        <v>1.5484599999999999</v>
      </c>
      <c r="AV36">
        <f t="shared" si="8"/>
        <v>15.477283950617283</v>
      </c>
      <c r="AW36">
        <f t="shared" si="9"/>
        <v>23.975396249382712</v>
      </c>
      <c r="AX36" s="9"/>
      <c r="AY36" s="22">
        <v>3.0975300000000001E-2</v>
      </c>
      <c r="AZ36" s="22">
        <v>26.692900000000002</v>
      </c>
      <c r="BA36" s="22">
        <v>-1.7163100000000001E-2</v>
      </c>
      <c r="BB36" s="22">
        <v>26</v>
      </c>
      <c r="BC36" s="22">
        <v>3.09479E-2</v>
      </c>
      <c r="BD36">
        <f t="shared" si="10"/>
        <v>21.189012345679014</v>
      </c>
      <c r="BE36">
        <f t="shared" si="11"/>
        <v>0.6563360141111112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5.3662400000000003</v>
      </c>
      <c r="I37" s="22">
        <v>-1.2326E-2</v>
      </c>
      <c r="J37" s="22">
        <v>27</v>
      </c>
      <c r="K37" s="22">
        <v>1.5432699999999999</v>
      </c>
      <c r="L37">
        <f t="shared" si="0"/>
        <v>15.217283950617283</v>
      </c>
      <c r="M37">
        <f t="shared" si="1"/>
        <v>23.49609511111111</v>
      </c>
      <c r="N37" s="9"/>
      <c r="O37" s="22">
        <v>3.60107E-2</v>
      </c>
      <c r="P37" s="22">
        <v>8.9437300000000004</v>
      </c>
      <c r="Q37" s="22">
        <v>-1.7208899999999999E-2</v>
      </c>
      <c r="R37" s="22">
        <v>27</v>
      </c>
      <c r="S37" s="22">
        <v>3.5958900000000002E-2</v>
      </c>
      <c r="T37">
        <f t="shared" si="2"/>
        <v>21.245555555555551</v>
      </c>
      <c r="U37">
        <f t="shared" si="3"/>
        <v>0.76506732744444428</v>
      </c>
      <c r="X37" s="9"/>
      <c r="Y37" s="22">
        <v>1.5440400000000001</v>
      </c>
      <c r="Z37" s="22">
        <v>14.2493</v>
      </c>
      <c r="AA37" s="22">
        <v>-1.24146E-2</v>
      </c>
      <c r="AB37" s="22">
        <v>27</v>
      </c>
      <c r="AC37" s="22">
        <v>1.54297</v>
      </c>
      <c r="AD37">
        <f t="shared" si="4"/>
        <v>15.326666666666666</v>
      </c>
      <c r="AE37">
        <f t="shared" si="5"/>
        <v>23.6649864</v>
      </c>
      <c r="AF37" s="9"/>
      <c r="AG37" s="22">
        <v>3.60107E-2</v>
      </c>
      <c r="AH37" s="22">
        <v>17.826799999999999</v>
      </c>
      <c r="AI37" s="22">
        <v>-1.7144800000000002E-2</v>
      </c>
      <c r="AJ37" s="22">
        <v>27</v>
      </c>
      <c r="AK37" s="22">
        <v>3.5940600000000003E-2</v>
      </c>
      <c r="AL37">
        <f t="shared" si="6"/>
        <v>21.166419753086423</v>
      </c>
      <c r="AM37">
        <f t="shared" si="7"/>
        <v>0.76221759180246929</v>
      </c>
      <c r="AP37" s="9"/>
      <c r="AQ37" s="22">
        <v>1.5440400000000001</v>
      </c>
      <c r="AR37" s="22">
        <v>23.125499999999999</v>
      </c>
      <c r="AS37" s="22">
        <v>-1.2674E-2</v>
      </c>
      <c r="AT37" s="22">
        <v>27</v>
      </c>
      <c r="AU37" s="22">
        <v>1.54358</v>
      </c>
      <c r="AV37">
        <f t="shared" si="8"/>
        <v>15.646913580246911</v>
      </c>
      <c r="AW37">
        <f t="shared" si="9"/>
        <v>24.159460444444441</v>
      </c>
      <c r="AX37" s="9"/>
      <c r="AY37" s="22">
        <v>3.60107E-2</v>
      </c>
      <c r="AZ37" s="22">
        <v>26.702999999999999</v>
      </c>
      <c r="BA37" s="22">
        <v>-1.71509E-2</v>
      </c>
      <c r="BB37" s="22">
        <v>27</v>
      </c>
      <c r="BC37" s="22">
        <v>3.5879500000000002E-2</v>
      </c>
      <c r="BD37">
        <f t="shared" si="10"/>
        <v>21.17395061728395</v>
      </c>
      <c r="BE37">
        <f t="shared" si="11"/>
        <v>0.76248878349382709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5.3763100000000001</v>
      </c>
      <c r="I38" s="22">
        <v>-1.24878E-2</v>
      </c>
      <c r="J38" s="22">
        <v>28</v>
      </c>
      <c r="K38" s="22">
        <v>1.5383899999999999</v>
      </c>
      <c r="L38">
        <f t="shared" si="0"/>
        <v>15.417037037037037</v>
      </c>
      <c r="M38">
        <f t="shared" si="1"/>
        <v>23.72682</v>
      </c>
      <c r="N38" s="9"/>
      <c r="O38" s="22">
        <v>4.1046100000000002E-2</v>
      </c>
      <c r="P38" s="22">
        <v>8.9537999999999993</v>
      </c>
      <c r="Q38" s="22">
        <v>-1.7196699999999999E-2</v>
      </c>
      <c r="R38" s="22">
        <v>28</v>
      </c>
      <c r="S38" s="22">
        <v>4.1000399999999999E-2</v>
      </c>
      <c r="T38">
        <f t="shared" si="2"/>
        <v>21.230493827160494</v>
      </c>
      <c r="U38">
        <f t="shared" si="3"/>
        <v>0.87142897267901243</v>
      </c>
      <c r="X38" s="9"/>
      <c r="Y38" s="22">
        <v>1.5389999999999999</v>
      </c>
      <c r="Z38" s="22">
        <v>14.259399999999999</v>
      </c>
      <c r="AA38" s="22">
        <v>-1.2560999999999999E-2</v>
      </c>
      <c r="AB38" s="22">
        <v>28</v>
      </c>
      <c r="AC38" s="22">
        <v>1.5383899999999999</v>
      </c>
      <c r="AD38">
        <f t="shared" si="4"/>
        <v>15.507407407407406</v>
      </c>
      <c r="AE38">
        <f t="shared" si="5"/>
        <v>23.865899999999996</v>
      </c>
      <c r="AF38" s="9"/>
      <c r="AG38" s="22">
        <v>4.1046100000000002E-2</v>
      </c>
      <c r="AH38" s="22">
        <v>17.8368</v>
      </c>
      <c r="AI38" s="22">
        <v>-1.7135600000000001E-2</v>
      </c>
      <c r="AJ38" s="22">
        <v>28</v>
      </c>
      <c r="AK38" s="22">
        <v>4.1073600000000002E-2</v>
      </c>
      <c r="AL38">
        <f t="shared" si="6"/>
        <v>21.155061728395061</v>
      </c>
      <c r="AM38">
        <f t="shared" si="7"/>
        <v>0.86833277920987662</v>
      </c>
      <c r="AP38" s="9"/>
      <c r="AQ38" s="22">
        <v>1.5389999999999999</v>
      </c>
      <c r="AR38" s="22">
        <v>23.1355</v>
      </c>
      <c r="AS38" s="22">
        <v>-1.2814300000000001E-2</v>
      </c>
      <c r="AT38" s="22">
        <v>28</v>
      </c>
      <c r="AU38" s="22">
        <v>1.5383899999999999</v>
      </c>
      <c r="AV38">
        <f t="shared" si="8"/>
        <v>15.820123456790125</v>
      </c>
      <c r="AW38">
        <f t="shared" si="9"/>
        <v>24.347170000000002</v>
      </c>
      <c r="AX38" s="9"/>
      <c r="AY38" s="22">
        <v>4.1046100000000002E-2</v>
      </c>
      <c r="AZ38" s="22">
        <v>26.713000000000001</v>
      </c>
      <c r="BA38" s="22">
        <v>-1.7141699999999999E-2</v>
      </c>
      <c r="BB38" s="22">
        <v>28</v>
      </c>
      <c r="BC38" s="22">
        <v>4.1061399999999998E-2</v>
      </c>
      <c r="BD38">
        <f t="shared" si="10"/>
        <v>21.162592592592592</v>
      </c>
      <c r="BE38">
        <f t="shared" si="11"/>
        <v>0.86864189181481488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5.3863799999999999</v>
      </c>
      <c r="I39" s="22">
        <v>-1.2637300000000001E-2</v>
      </c>
      <c r="J39" s="22">
        <v>29</v>
      </c>
      <c r="K39" s="22">
        <v>1.5335099999999999</v>
      </c>
      <c r="L39">
        <f t="shared" si="0"/>
        <v>15.601604938271604</v>
      </c>
      <c r="M39">
        <f t="shared" si="1"/>
        <v>23.932393927160494</v>
      </c>
      <c r="N39" s="9"/>
      <c r="O39" s="22">
        <v>4.6081499999999997E-2</v>
      </c>
      <c r="P39" s="22">
        <v>8.96387</v>
      </c>
      <c r="Q39" s="22">
        <v>-1.7184399999999999E-2</v>
      </c>
      <c r="R39" s="22">
        <v>29</v>
      </c>
      <c r="S39" s="22">
        <v>4.6014399999999997E-2</v>
      </c>
      <c r="T39">
        <f t="shared" si="2"/>
        <v>21.215308641975305</v>
      </c>
      <c r="U39">
        <f t="shared" si="3"/>
        <v>0.97763324518518502</v>
      </c>
      <c r="X39" s="9"/>
      <c r="Y39" s="22">
        <v>1.5339700000000001</v>
      </c>
      <c r="Z39" s="22">
        <v>14.269399999999999</v>
      </c>
      <c r="AA39" s="22">
        <v>-1.2710600000000001E-2</v>
      </c>
      <c r="AB39" s="22">
        <v>29</v>
      </c>
      <c r="AC39" s="22">
        <v>1.5328999999999999</v>
      </c>
      <c r="AD39">
        <f t="shared" si="4"/>
        <v>15.692098765432098</v>
      </c>
      <c r="AE39">
        <f t="shared" si="5"/>
        <v>24.071208743209876</v>
      </c>
      <c r="AF39" s="9"/>
      <c r="AG39" s="22">
        <v>4.6081499999999997E-2</v>
      </c>
      <c r="AH39" s="22">
        <v>17.846900000000002</v>
      </c>
      <c r="AI39" s="22">
        <v>-1.71234E-2</v>
      </c>
      <c r="AJ39" s="22">
        <v>29</v>
      </c>
      <c r="AK39" s="22">
        <v>4.5944199999999998E-2</v>
      </c>
      <c r="AL39">
        <f t="shared" si="6"/>
        <v>21.14</v>
      </c>
      <c r="AM39">
        <f t="shared" si="7"/>
        <v>0.97416290999999999</v>
      </c>
      <c r="AP39" s="9"/>
      <c r="AQ39" s="22">
        <v>1.5339700000000001</v>
      </c>
      <c r="AR39" s="22">
        <v>23.145600000000002</v>
      </c>
      <c r="AS39" s="22">
        <v>-1.2936400000000001E-2</v>
      </c>
      <c r="AT39" s="22">
        <v>29</v>
      </c>
      <c r="AU39" s="22">
        <v>1.5331999999999999</v>
      </c>
      <c r="AV39">
        <f t="shared" si="8"/>
        <v>15.970864197530865</v>
      </c>
      <c r="AW39">
        <f t="shared" si="9"/>
        <v>24.49882655308642</v>
      </c>
      <c r="AX39" s="9"/>
      <c r="AY39" s="22">
        <v>4.6081499999999997E-2</v>
      </c>
      <c r="AZ39" s="22">
        <v>26.723099999999999</v>
      </c>
      <c r="BA39" s="22">
        <v>-1.7129499999999999E-2</v>
      </c>
      <c r="BB39" s="22">
        <v>29</v>
      </c>
      <c r="BC39" s="22">
        <v>4.6295200000000002E-2</v>
      </c>
      <c r="BD39">
        <f t="shared" si="10"/>
        <v>21.147530864197527</v>
      </c>
      <c r="BE39">
        <f t="shared" si="11"/>
        <v>0.97450994351851827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5.3964499999999997</v>
      </c>
      <c r="I40" s="22">
        <v>-1.27747E-2</v>
      </c>
      <c r="J40" s="22">
        <v>30</v>
      </c>
      <c r="K40" s="22">
        <v>1.5277099999999999</v>
      </c>
      <c r="L40">
        <f t="shared" si="0"/>
        <v>15.771234567901235</v>
      </c>
      <c r="M40">
        <f t="shared" si="1"/>
        <v>24.113113667901235</v>
      </c>
      <c r="N40" s="9"/>
      <c r="O40" s="22">
        <v>5.11169E-2</v>
      </c>
      <c r="P40" s="22">
        <v>8.9739400000000007</v>
      </c>
      <c r="Q40" s="22">
        <v>-1.7172199999999999E-2</v>
      </c>
      <c r="R40" s="22">
        <v>30</v>
      </c>
      <c r="S40" s="22">
        <v>5.1046800000000003E-2</v>
      </c>
      <c r="T40">
        <f t="shared" si="2"/>
        <v>21.200246913580244</v>
      </c>
      <c r="U40">
        <f t="shared" si="3"/>
        <v>1.0836909014567899</v>
      </c>
      <c r="X40" s="9"/>
      <c r="Y40" s="22">
        <v>1.5289299999999999</v>
      </c>
      <c r="Z40" s="22">
        <v>14.279500000000001</v>
      </c>
      <c r="AA40" s="22">
        <v>-1.2826499999999999E-2</v>
      </c>
      <c r="AB40" s="22">
        <v>30</v>
      </c>
      <c r="AC40" s="22">
        <v>1.5283199999999999</v>
      </c>
      <c r="AD40">
        <f t="shared" si="4"/>
        <v>15.835185185185185</v>
      </c>
      <c r="AE40">
        <f t="shared" si="5"/>
        <v>24.210889685185183</v>
      </c>
      <c r="AF40" s="9"/>
      <c r="AG40" s="22">
        <v>5.11169E-2</v>
      </c>
      <c r="AH40" s="22">
        <v>17.856999999999999</v>
      </c>
      <c r="AI40" s="22">
        <v>-1.7114299999999999E-2</v>
      </c>
      <c r="AJ40" s="22">
        <v>30</v>
      </c>
      <c r="AK40" s="22">
        <v>5.1025399999999999E-2</v>
      </c>
      <c r="AL40">
        <f t="shared" si="6"/>
        <v>21.128765432098763</v>
      </c>
      <c r="AM40">
        <f t="shared" si="7"/>
        <v>1.0800369897160493</v>
      </c>
      <c r="AP40" s="9"/>
      <c r="AQ40" s="22">
        <v>1.5289299999999999</v>
      </c>
      <c r="AR40" s="22">
        <v>23.1557</v>
      </c>
      <c r="AS40" s="22">
        <v>-1.30615E-2</v>
      </c>
      <c r="AT40" s="22">
        <v>30</v>
      </c>
      <c r="AU40" s="22">
        <v>1.5280199999999999</v>
      </c>
      <c r="AV40">
        <f t="shared" si="8"/>
        <v>16.125308641975309</v>
      </c>
      <c r="AW40">
        <f t="shared" si="9"/>
        <v>24.654468141975308</v>
      </c>
      <c r="AX40" s="9"/>
      <c r="AY40" s="22">
        <v>5.11169E-2</v>
      </c>
      <c r="AZ40" s="22">
        <v>26.7332</v>
      </c>
      <c r="BA40" s="22">
        <v>-1.7120400000000001E-2</v>
      </c>
      <c r="BB40" s="22">
        <v>30</v>
      </c>
      <c r="BC40" s="22">
        <v>5.1171899999999999E-2</v>
      </c>
      <c r="BD40">
        <f t="shared" si="10"/>
        <v>21.136296296296294</v>
      </c>
      <c r="BE40">
        <f t="shared" si="11"/>
        <v>1.080421944148148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5.4065300000000001</v>
      </c>
      <c r="I41" s="22">
        <v>-1.2908899999999999E-2</v>
      </c>
      <c r="J41" s="22">
        <v>31</v>
      </c>
      <c r="K41" s="22">
        <v>1.5237400000000001</v>
      </c>
      <c r="L41">
        <f t="shared" si="0"/>
        <v>15.936913580246911</v>
      </c>
      <c r="M41">
        <f t="shared" si="1"/>
        <v>24.286262604938269</v>
      </c>
      <c r="N41" s="9"/>
      <c r="O41" s="22">
        <v>5.6152300000000002E-2</v>
      </c>
      <c r="P41" s="22">
        <v>8.9840099999999996</v>
      </c>
      <c r="Q41" s="22">
        <v>-1.7163100000000001E-2</v>
      </c>
      <c r="R41" s="22">
        <v>31</v>
      </c>
      <c r="S41" s="22">
        <v>5.5694599999999997E-2</v>
      </c>
      <c r="T41">
        <f t="shared" si="2"/>
        <v>21.189012345679014</v>
      </c>
      <c r="U41">
        <f t="shared" si="3"/>
        <v>1.1898117779382718</v>
      </c>
      <c r="X41" s="9"/>
      <c r="Y41" s="22">
        <v>1.5239</v>
      </c>
      <c r="Z41" s="22">
        <v>14.2896</v>
      </c>
      <c r="AA41" s="22">
        <v>-1.29578E-2</v>
      </c>
      <c r="AB41" s="22">
        <v>31</v>
      </c>
      <c r="AC41" s="22">
        <v>1.5231300000000001</v>
      </c>
      <c r="AD41">
        <f t="shared" si="4"/>
        <v>15.997283950617284</v>
      </c>
      <c r="AE41">
        <f t="shared" si="5"/>
        <v>24.378261012345678</v>
      </c>
      <c r="AF41" s="9"/>
      <c r="AG41" s="22">
        <v>5.6152300000000002E-2</v>
      </c>
      <c r="AH41" s="22">
        <v>17.867100000000001</v>
      </c>
      <c r="AI41" s="22">
        <v>-1.7102099999999999E-2</v>
      </c>
      <c r="AJ41" s="22">
        <v>31</v>
      </c>
      <c r="AK41" s="22">
        <v>5.5664100000000001E-2</v>
      </c>
      <c r="AL41">
        <f t="shared" si="6"/>
        <v>21.113703703703699</v>
      </c>
      <c r="AM41">
        <f t="shared" si="7"/>
        <v>1.1855830244814813</v>
      </c>
      <c r="AP41" s="9"/>
      <c r="AQ41" s="22">
        <v>1.5239</v>
      </c>
      <c r="AR41" s="22">
        <v>23.165800000000001</v>
      </c>
      <c r="AS41" s="22">
        <v>-1.3162200000000001E-2</v>
      </c>
      <c r="AT41" s="22">
        <v>31</v>
      </c>
      <c r="AU41" s="22">
        <v>1.5228299999999999</v>
      </c>
      <c r="AV41">
        <f t="shared" si="8"/>
        <v>16.249629629629627</v>
      </c>
      <c r="AW41">
        <f t="shared" si="9"/>
        <v>24.76281059259259</v>
      </c>
      <c r="AX41" s="9"/>
      <c r="AY41" s="22">
        <v>5.6152300000000002E-2</v>
      </c>
      <c r="AZ41" s="22">
        <v>26.743200000000002</v>
      </c>
      <c r="BA41" s="22">
        <v>-1.71082E-2</v>
      </c>
      <c r="BB41" s="22">
        <v>31</v>
      </c>
      <c r="BC41" s="22">
        <v>5.5542000000000001E-2</v>
      </c>
      <c r="BD41">
        <f t="shared" si="10"/>
        <v>21.121234567901233</v>
      </c>
      <c r="BE41">
        <f t="shared" si="11"/>
        <v>1.1860058998271605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5.4165999999999999</v>
      </c>
      <c r="I42" s="22">
        <v>-1.3024900000000001E-2</v>
      </c>
      <c r="J42" s="22">
        <v>32</v>
      </c>
      <c r="K42" s="22">
        <v>1.5173300000000001</v>
      </c>
      <c r="L42">
        <f t="shared" si="0"/>
        <v>16.080123456790126</v>
      </c>
      <c r="M42">
        <f t="shared" si="1"/>
        <v>24.423456313580253</v>
      </c>
      <c r="N42" s="9"/>
      <c r="O42" s="22">
        <v>6.1187699999999998E-2</v>
      </c>
      <c r="P42" s="22">
        <v>8.9940800000000003</v>
      </c>
      <c r="Q42" s="22">
        <v>-1.71509E-2</v>
      </c>
      <c r="R42" s="22">
        <v>32</v>
      </c>
      <c r="S42" s="22">
        <v>6.0577400000000003E-2</v>
      </c>
      <c r="T42">
        <f t="shared" si="2"/>
        <v>21.17395061728395</v>
      </c>
      <c r="U42">
        <f t="shared" si="3"/>
        <v>1.2955853381851852</v>
      </c>
      <c r="X42" s="9"/>
      <c r="Y42" s="22">
        <v>1.5188600000000001</v>
      </c>
      <c r="Z42" s="22">
        <v>14.2996</v>
      </c>
      <c r="AA42" s="22">
        <v>-1.3064600000000001E-2</v>
      </c>
      <c r="AB42" s="22">
        <v>32</v>
      </c>
      <c r="AC42" s="22">
        <v>1.5179400000000001</v>
      </c>
      <c r="AD42">
        <f t="shared" si="4"/>
        <v>16.129135802469136</v>
      </c>
      <c r="AE42">
        <f t="shared" si="5"/>
        <v>24.497899204938275</v>
      </c>
      <c r="AF42" s="9"/>
      <c r="AG42" s="22">
        <v>6.1187699999999998E-2</v>
      </c>
      <c r="AH42" s="22">
        <v>17.877099999999999</v>
      </c>
      <c r="AI42" s="22">
        <v>-1.7086799999999999E-2</v>
      </c>
      <c r="AJ42" s="22">
        <v>32</v>
      </c>
      <c r="AK42" s="22">
        <v>6.0638400000000002E-2</v>
      </c>
      <c r="AL42">
        <f t="shared" si="6"/>
        <v>21.094814814814814</v>
      </c>
      <c r="AM42">
        <f t="shared" si="7"/>
        <v>1.2907432004444443</v>
      </c>
      <c r="AP42" s="9"/>
      <c r="AQ42" s="22">
        <v>1.5188600000000001</v>
      </c>
      <c r="AR42" s="22">
        <v>23.175799999999999</v>
      </c>
      <c r="AS42" s="22">
        <v>-1.3266E-2</v>
      </c>
      <c r="AT42" s="22">
        <v>32</v>
      </c>
      <c r="AU42" s="22">
        <v>1.5179400000000001</v>
      </c>
      <c r="AV42">
        <f t="shared" si="8"/>
        <v>16.377777777777776</v>
      </c>
      <c r="AW42">
        <f t="shared" si="9"/>
        <v>24.875551555555557</v>
      </c>
      <c r="AX42" s="9"/>
      <c r="AY42" s="22">
        <v>6.1187699999999998E-2</v>
      </c>
      <c r="AZ42" s="22">
        <v>26.753299999999999</v>
      </c>
      <c r="BA42" s="22">
        <v>-1.7099E-2</v>
      </c>
      <c r="BB42" s="22">
        <v>32</v>
      </c>
      <c r="BC42" s="22">
        <v>6.0790999999999998E-2</v>
      </c>
      <c r="BD42">
        <f t="shared" si="10"/>
        <v>21.109876543209875</v>
      </c>
      <c r="BE42">
        <f t="shared" si="11"/>
        <v>1.2916647929629628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5.4266699999999997</v>
      </c>
      <c r="I43" s="22">
        <v>-1.31378E-2</v>
      </c>
      <c r="J43" s="22">
        <v>33</v>
      </c>
      <c r="K43" s="22">
        <v>1.5127600000000001</v>
      </c>
      <c r="L43">
        <f t="shared" si="0"/>
        <v>16.219506172839505</v>
      </c>
      <c r="M43">
        <f t="shared" si="1"/>
        <v>24.553412834567901</v>
      </c>
      <c r="N43" s="9"/>
      <c r="O43" s="22">
        <v>6.6223099999999993E-2</v>
      </c>
      <c r="P43" s="22">
        <v>9.0041499999999992</v>
      </c>
      <c r="Q43" s="22">
        <v>-1.7141699999999999E-2</v>
      </c>
      <c r="R43" s="22">
        <v>33</v>
      </c>
      <c r="S43" s="22">
        <v>6.5765400000000002E-2</v>
      </c>
      <c r="T43">
        <f t="shared" si="2"/>
        <v>21.162592592592592</v>
      </c>
      <c r="U43">
        <f t="shared" si="3"/>
        <v>1.4014524855185184</v>
      </c>
      <c r="X43" s="9"/>
      <c r="Y43" s="22">
        <v>1.5138199999999999</v>
      </c>
      <c r="Z43" s="22">
        <v>14.309699999999999</v>
      </c>
      <c r="AA43" s="22">
        <v>-1.31714E-2</v>
      </c>
      <c r="AB43" s="22">
        <v>33</v>
      </c>
      <c r="AC43" s="22">
        <v>1.5127600000000001</v>
      </c>
      <c r="AD43">
        <f t="shared" si="4"/>
        <v>16.260987654320989</v>
      </c>
      <c r="AE43">
        <f t="shared" si="5"/>
        <v>24.616208330864197</v>
      </c>
      <c r="AF43" s="9"/>
      <c r="AG43" s="22">
        <v>6.6223099999999993E-2</v>
      </c>
      <c r="AH43" s="22">
        <v>17.8872</v>
      </c>
      <c r="AI43" s="22">
        <v>-1.7077599999999998E-2</v>
      </c>
      <c r="AJ43" s="22">
        <v>33</v>
      </c>
      <c r="AK43" s="22">
        <v>6.5612799999999999E-2</v>
      </c>
      <c r="AL43">
        <f t="shared" si="6"/>
        <v>21.083456790123453</v>
      </c>
      <c r="AM43">
        <f t="shared" si="7"/>
        <v>1.3962118673580244</v>
      </c>
      <c r="AP43" s="9"/>
      <c r="AQ43" s="22">
        <v>1.5138199999999999</v>
      </c>
      <c r="AR43" s="22">
        <v>23.1859</v>
      </c>
      <c r="AS43" s="22">
        <v>-1.33545E-2</v>
      </c>
      <c r="AT43" s="22">
        <v>33</v>
      </c>
      <c r="AU43" s="22">
        <v>1.5127600000000001</v>
      </c>
      <c r="AV43">
        <f t="shared" si="8"/>
        <v>16.487037037037037</v>
      </c>
      <c r="AW43">
        <f t="shared" si="9"/>
        <v>24.958406407407406</v>
      </c>
      <c r="AX43" s="9"/>
      <c r="AY43" s="22">
        <v>6.6223099999999993E-2</v>
      </c>
      <c r="AZ43" s="22">
        <v>26.763400000000001</v>
      </c>
      <c r="BA43" s="22">
        <v>-1.70837E-2</v>
      </c>
      <c r="BB43" s="22">
        <v>33</v>
      </c>
      <c r="BC43" s="22">
        <v>6.5795900000000004E-2</v>
      </c>
      <c r="BD43">
        <f t="shared" si="10"/>
        <v>21.090987654320987</v>
      </c>
      <c r="BE43">
        <f t="shared" si="11"/>
        <v>1.3967105845308641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5.4367400000000004</v>
      </c>
      <c r="I44" s="22">
        <v>-1.32446E-2</v>
      </c>
      <c r="J44" s="22">
        <v>34</v>
      </c>
      <c r="K44" s="22">
        <v>1.50848</v>
      </c>
      <c r="L44">
        <f t="shared" si="0"/>
        <v>16.351358024691358</v>
      </c>
      <c r="M44">
        <f t="shared" si="1"/>
        <v>24.670765474074074</v>
      </c>
      <c r="N44" s="9"/>
      <c r="O44" s="22">
        <v>7.1258500000000002E-2</v>
      </c>
      <c r="P44" s="22">
        <v>9.0142199999999999</v>
      </c>
      <c r="Q44" s="22">
        <v>-1.7129499999999999E-2</v>
      </c>
      <c r="R44" s="22">
        <v>34</v>
      </c>
      <c r="S44" s="22">
        <v>7.0587200000000003E-2</v>
      </c>
      <c r="T44">
        <f t="shared" si="2"/>
        <v>21.147530864197527</v>
      </c>
      <c r="U44">
        <f t="shared" si="3"/>
        <v>1.5069413280864195</v>
      </c>
      <c r="X44" s="9"/>
      <c r="Y44" s="22">
        <v>1.5087900000000001</v>
      </c>
      <c r="Z44" s="22">
        <v>14.319800000000001</v>
      </c>
      <c r="AA44" s="22">
        <v>-1.3262899999999999E-2</v>
      </c>
      <c r="AB44" s="22">
        <v>34</v>
      </c>
      <c r="AC44" s="22">
        <v>1.50848</v>
      </c>
      <c r="AD44">
        <f t="shared" si="4"/>
        <v>16.373950617283949</v>
      </c>
      <c r="AE44">
        <f t="shared" si="5"/>
        <v>24.704852951851851</v>
      </c>
      <c r="AF44" s="9"/>
      <c r="AG44" s="22">
        <v>7.1258500000000002E-2</v>
      </c>
      <c r="AH44" s="22">
        <v>17.897300000000001</v>
      </c>
      <c r="AI44" s="22">
        <v>-1.7065400000000001E-2</v>
      </c>
      <c r="AJ44" s="22">
        <v>34</v>
      </c>
      <c r="AK44" s="22">
        <v>7.0465100000000003E-2</v>
      </c>
      <c r="AL44">
        <f t="shared" si="6"/>
        <v>21.068395061728395</v>
      </c>
      <c r="AM44">
        <f t="shared" si="7"/>
        <v>1.5013022295061729</v>
      </c>
      <c r="AP44" s="9"/>
      <c r="AQ44" s="22">
        <v>1.5087900000000001</v>
      </c>
      <c r="AR44" s="22">
        <v>23.196000000000002</v>
      </c>
      <c r="AS44" s="22">
        <v>-1.34491E-2</v>
      </c>
      <c r="AT44" s="22">
        <v>34</v>
      </c>
      <c r="AU44" s="22">
        <v>1.5081800000000001</v>
      </c>
      <c r="AV44">
        <f t="shared" si="8"/>
        <v>16.603827160493829</v>
      </c>
      <c r="AW44">
        <f t="shared" si="9"/>
        <v>25.051688381481487</v>
      </c>
      <c r="AX44" s="9"/>
      <c r="AY44" s="22">
        <v>7.1258500000000002E-2</v>
      </c>
      <c r="AZ44" s="22">
        <v>26.773499999999999</v>
      </c>
      <c r="BA44" s="22">
        <v>-1.70715E-2</v>
      </c>
      <c r="BB44" s="22">
        <v>34</v>
      </c>
      <c r="BC44" s="22">
        <v>7.0739700000000003E-2</v>
      </c>
      <c r="BD44">
        <f t="shared" si="10"/>
        <v>21.075925925925926</v>
      </c>
      <c r="BE44">
        <f t="shared" si="11"/>
        <v>1.5018388675925927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5.4468100000000002</v>
      </c>
      <c r="I45" s="22">
        <v>-1.3345299999999999E-2</v>
      </c>
      <c r="J45" s="22">
        <v>35</v>
      </c>
      <c r="K45" s="22">
        <v>1.50238</v>
      </c>
      <c r="L45">
        <f t="shared" si="0"/>
        <v>16.475679012345676</v>
      </c>
      <c r="M45">
        <f t="shared" si="1"/>
        <v>24.775302314814809</v>
      </c>
      <c r="N45" s="9"/>
      <c r="O45" s="22">
        <v>7.6293899999999998E-2</v>
      </c>
      <c r="P45" s="22">
        <v>9.0242900000000006</v>
      </c>
      <c r="Q45" s="22">
        <v>-1.7117299999999998E-2</v>
      </c>
      <c r="R45" s="22">
        <v>35</v>
      </c>
      <c r="S45" s="22">
        <v>7.5622599999999998E-2</v>
      </c>
      <c r="T45">
        <f t="shared" si="2"/>
        <v>21.132469135802467</v>
      </c>
      <c r="U45">
        <f t="shared" si="3"/>
        <v>1.6122784869999998</v>
      </c>
      <c r="X45" s="9"/>
      <c r="Y45" s="22">
        <v>1.5037499999999999</v>
      </c>
      <c r="Z45" s="22">
        <v>14.3299</v>
      </c>
      <c r="AA45" s="22">
        <v>-1.33545E-2</v>
      </c>
      <c r="AB45" s="22">
        <v>35</v>
      </c>
      <c r="AC45" s="22">
        <v>1.5026900000000001</v>
      </c>
      <c r="AD45">
        <f t="shared" si="4"/>
        <v>16.487037037037037</v>
      </c>
      <c r="AE45">
        <f t="shared" si="5"/>
        <v>24.792381944444443</v>
      </c>
      <c r="AF45" s="9"/>
      <c r="AG45" s="22">
        <v>7.6293899999999998E-2</v>
      </c>
      <c r="AH45" s="22">
        <v>17.907299999999999</v>
      </c>
      <c r="AI45" s="22">
        <v>-1.7053200000000001E-2</v>
      </c>
      <c r="AJ45" s="22">
        <v>35</v>
      </c>
      <c r="AK45" s="22">
        <v>7.5622599999999998E-2</v>
      </c>
      <c r="AL45">
        <f t="shared" si="6"/>
        <v>21.053333333333335</v>
      </c>
      <c r="AM45">
        <f t="shared" si="7"/>
        <v>1.606240908</v>
      </c>
      <c r="AP45" s="9"/>
      <c r="AQ45" s="22">
        <v>1.5037499999999999</v>
      </c>
      <c r="AR45" s="22">
        <v>23.206</v>
      </c>
      <c r="AS45" s="22">
        <v>-1.3528399999999999E-2</v>
      </c>
      <c r="AT45" s="22">
        <v>35</v>
      </c>
      <c r="AU45" s="22">
        <v>1.5026900000000001</v>
      </c>
      <c r="AV45">
        <f t="shared" si="8"/>
        <v>16.701728395061725</v>
      </c>
      <c r="AW45">
        <f t="shared" si="9"/>
        <v>25.115224074074067</v>
      </c>
      <c r="AX45" s="9"/>
      <c r="AY45" s="22">
        <v>7.6293899999999998E-2</v>
      </c>
      <c r="AZ45" s="22">
        <v>26.7835</v>
      </c>
      <c r="BA45" s="22">
        <v>-1.7062399999999998E-2</v>
      </c>
      <c r="BB45" s="22">
        <v>35</v>
      </c>
      <c r="BC45" s="22">
        <v>7.5683600000000004E-2</v>
      </c>
      <c r="BD45">
        <f t="shared" si="10"/>
        <v>21.064691358024689</v>
      </c>
      <c r="BE45">
        <f t="shared" si="11"/>
        <v>1.6071074559999998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5.45688</v>
      </c>
      <c r="I46" s="22">
        <v>-1.3433799999999999E-2</v>
      </c>
      <c r="J46" s="22">
        <v>36</v>
      </c>
      <c r="K46" s="22">
        <v>1.4981100000000001</v>
      </c>
      <c r="L46">
        <f t="shared" si="0"/>
        <v>16.584938271604937</v>
      </c>
      <c r="M46">
        <f t="shared" si="1"/>
        <v>24.856178686419753</v>
      </c>
      <c r="N46" s="9"/>
      <c r="O46" s="22">
        <v>8.1329299999999993E-2</v>
      </c>
      <c r="P46" s="22">
        <v>9.0343599999999995</v>
      </c>
      <c r="Q46" s="22">
        <v>-1.7102099999999999E-2</v>
      </c>
      <c r="R46" s="22">
        <v>36</v>
      </c>
      <c r="S46" s="22">
        <v>8.0718999999999999E-2</v>
      </c>
      <c r="T46">
        <f t="shared" si="2"/>
        <v>21.113703703703699</v>
      </c>
      <c r="U46">
        <f t="shared" si="3"/>
        <v>1.7171627426296292</v>
      </c>
      <c r="X46" s="9"/>
      <c r="Y46" s="22">
        <v>1.4987200000000001</v>
      </c>
      <c r="Z46" s="22">
        <v>14.3399</v>
      </c>
      <c r="AA46" s="22">
        <v>-1.3446E-2</v>
      </c>
      <c r="AB46" s="22">
        <v>36</v>
      </c>
      <c r="AC46" s="22">
        <v>1.4975000000000001</v>
      </c>
      <c r="AD46">
        <f t="shared" si="4"/>
        <v>16.599999999999998</v>
      </c>
      <c r="AE46">
        <f t="shared" si="5"/>
        <v>24.878751999999999</v>
      </c>
      <c r="AF46" s="9"/>
      <c r="AG46" s="22">
        <v>8.1329299999999993E-2</v>
      </c>
      <c r="AH46" s="22">
        <v>17.917400000000001</v>
      </c>
      <c r="AI46" s="22">
        <v>-1.7041000000000001E-2</v>
      </c>
      <c r="AJ46" s="22">
        <v>36</v>
      </c>
      <c r="AK46" s="22">
        <v>8.0810499999999993E-2</v>
      </c>
      <c r="AL46">
        <f t="shared" si="6"/>
        <v>21.03827160493827</v>
      </c>
      <c r="AM46">
        <f t="shared" si="7"/>
        <v>1.7110279028395059</v>
      </c>
      <c r="AP46" s="9"/>
      <c r="AQ46" s="22">
        <v>1.4987200000000001</v>
      </c>
      <c r="AR46" s="22">
        <v>23.216100000000001</v>
      </c>
      <c r="AS46" s="22">
        <v>-1.3610799999999999E-2</v>
      </c>
      <c r="AT46" s="22">
        <v>36</v>
      </c>
      <c r="AU46" s="22">
        <v>1.4975000000000001</v>
      </c>
      <c r="AV46">
        <f t="shared" si="8"/>
        <v>16.803456790123455</v>
      </c>
      <c r="AW46">
        <f t="shared" si="9"/>
        <v>25.183676760493825</v>
      </c>
      <c r="AX46" s="9"/>
      <c r="AY46" s="22">
        <v>8.1329299999999993E-2</v>
      </c>
      <c r="AZ46" s="22">
        <v>26.793600000000001</v>
      </c>
      <c r="BA46" s="22">
        <v>-1.7050200000000001E-2</v>
      </c>
      <c r="BB46" s="22">
        <v>36</v>
      </c>
      <c r="BC46" s="22">
        <v>8.0871600000000002E-2</v>
      </c>
      <c r="BD46">
        <f t="shared" si="10"/>
        <v>21.049629629629631</v>
      </c>
      <c r="BE46">
        <f t="shared" si="11"/>
        <v>1.711951643037037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5.4669499999999998</v>
      </c>
      <c r="I47" s="22">
        <v>-1.35193E-2</v>
      </c>
      <c r="J47" s="22">
        <v>37</v>
      </c>
      <c r="K47" s="22">
        <v>1.4932300000000001</v>
      </c>
      <c r="L47">
        <f t="shared" si="0"/>
        <v>16.690493827160495</v>
      </c>
      <c r="M47">
        <f t="shared" si="1"/>
        <v>24.930256819753087</v>
      </c>
      <c r="N47" s="9"/>
      <c r="O47" s="22">
        <v>8.6364700000000003E-2</v>
      </c>
      <c r="P47" s="22">
        <v>9.0444399999999998</v>
      </c>
      <c r="Q47" s="22">
        <v>-1.7089799999999999E-2</v>
      </c>
      <c r="R47" s="22">
        <v>37</v>
      </c>
      <c r="S47" s="22">
        <v>8.5784899999999997E-2</v>
      </c>
      <c r="T47">
        <f t="shared" si="2"/>
        <v>21.098518518518517</v>
      </c>
      <c r="U47">
        <f t="shared" si="3"/>
        <v>1.8221672222962964</v>
      </c>
      <c r="X47" s="9"/>
      <c r="Y47" s="22">
        <v>1.4936799999999999</v>
      </c>
      <c r="Z47" s="22">
        <v>14.35</v>
      </c>
      <c r="AA47" s="22">
        <v>-1.35345E-2</v>
      </c>
      <c r="AB47" s="22">
        <v>37</v>
      </c>
      <c r="AC47" s="22">
        <v>1.49292</v>
      </c>
      <c r="AD47">
        <f t="shared" si="4"/>
        <v>16.709259259259255</v>
      </c>
      <c r="AE47">
        <f t="shared" si="5"/>
        <v>24.958286370370363</v>
      </c>
      <c r="AF47" s="9"/>
      <c r="AG47" s="22">
        <v>8.6364700000000003E-2</v>
      </c>
      <c r="AH47" s="22">
        <v>17.927499999999998</v>
      </c>
      <c r="AI47" s="22">
        <v>-1.70288E-2</v>
      </c>
      <c r="AJ47" s="22">
        <v>37</v>
      </c>
      <c r="AK47" s="22">
        <v>8.5784899999999997E-2</v>
      </c>
      <c r="AL47">
        <f t="shared" si="6"/>
        <v>21.023209876543206</v>
      </c>
      <c r="AM47">
        <f t="shared" si="7"/>
        <v>1.8156632140246911</v>
      </c>
      <c r="AP47" s="9"/>
      <c r="AQ47" s="22">
        <v>1.4936799999999999</v>
      </c>
      <c r="AR47" s="22">
        <v>23.226199999999999</v>
      </c>
      <c r="AS47" s="22">
        <v>-1.3684099999999999E-2</v>
      </c>
      <c r="AT47" s="22">
        <v>37</v>
      </c>
      <c r="AU47" s="22">
        <v>1.49231</v>
      </c>
      <c r="AV47">
        <f t="shared" si="8"/>
        <v>16.893950617283949</v>
      </c>
      <c r="AW47">
        <f t="shared" si="9"/>
        <v>25.234156158024685</v>
      </c>
      <c r="AX47" s="9"/>
      <c r="AY47" s="22">
        <v>8.6364700000000003E-2</v>
      </c>
      <c r="AZ47" s="22">
        <v>26.803699999999999</v>
      </c>
      <c r="BA47" s="22">
        <v>-1.7038000000000001E-2</v>
      </c>
      <c r="BB47" s="22">
        <v>37</v>
      </c>
      <c r="BC47" s="22">
        <v>8.58154E-2</v>
      </c>
      <c r="BD47">
        <f t="shared" si="10"/>
        <v>21.034567901234567</v>
      </c>
      <c r="BE47">
        <f t="shared" si="11"/>
        <v>1.8166441464197531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5.4770200000000004</v>
      </c>
      <c r="I48" s="22">
        <v>-1.3598600000000001E-2</v>
      </c>
      <c r="J48" s="22">
        <v>38</v>
      </c>
      <c r="K48" s="22">
        <v>1.48773</v>
      </c>
      <c r="L48">
        <f t="shared" si="0"/>
        <v>16.788395061728394</v>
      </c>
      <c r="M48">
        <f t="shared" si="1"/>
        <v>24.992044308641976</v>
      </c>
      <c r="N48" s="9"/>
      <c r="O48" s="22">
        <v>9.1400099999999998E-2</v>
      </c>
      <c r="P48" s="22">
        <v>9.0545100000000005</v>
      </c>
      <c r="Q48" s="22">
        <v>-1.7074599999999999E-2</v>
      </c>
      <c r="R48" s="22">
        <v>38</v>
      </c>
      <c r="S48" s="22">
        <v>9.0850799999999995E-2</v>
      </c>
      <c r="T48">
        <f t="shared" si="2"/>
        <v>21.07975308641975</v>
      </c>
      <c r="U48">
        <f t="shared" si="3"/>
        <v>1.9266915400740738</v>
      </c>
      <c r="X48" s="9"/>
      <c r="Y48" s="22">
        <v>1.48865</v>
      </c>
      <c r="Z48" s="22">
        <v>14.360099999999999</v>
      </c>
      <c r="AA48" s="22">
        <v>-1.3616899999999999E-2</v>
      </c>
      <c r="AB48" s="22">
        <v>38</v>
      </c>
      <c r="AC48" s="22">
        <v>1.48773</v>
      </c>
      <c r="AD48">
        <f t="shared" si="4"/>
        <v>16.810987654320986</v>
      </c>
      <c r="AE48">
        <f t="shared" si="5"/>
        <v>25.025676771604935</v>
      </c>
      <c r="AF48" s="9"/>
      <c r="AG48" s="22">
        <v>9.1400099999999998E-2</v>
      </c>
      <c r="AH48" s="22">
        <v>17.9376</v>
      </c>
      <c r="AI48" s="22">
        <v>-1.70166E-2</v>
      </c>
      <c r="AJ48" s="22">
        <v>38</v>
      </c>
      <c r="AK48" s="22">
        <v>9.1064500000000007E-2</v>
      </c>
      <c r="AL48">
        <f t="shared" si="6"/>
        <v>21.008148148148148</v>
      </c>
      <c r="AM48">
        <f t="shared" si="7"/>
        <v>1.9201468415555556</v>
      </c>
      <c r="AP48" s="9"/>
      <c r="AQ48" s="22">
        <v>1.48865</v>
      </c>
      <c r="AR48" s="22">
        <v>23.2362</v>
      </c>
      <c r="AS48" s="22">
        <v>-1.3754300000000001E-2</v>
      </c>
      <c r="AT48" s="22">
        <v>38</v>
      </c>
      <c r="AU48" s="22">
        <v>1.48712</v>
      </c>
      <c r="AV48">
        <f t="shared" si="8"/>
        <v>16.980617283950615</v>
      </c>
      <c r="AW48">
        <f t="shared" si="9"/>
        <v>25.278195919753085</v>
      </c>
      <c r="AX48" s="9"/>
      <c r="AY48" s="22">
        <v>9.1400099999999998E-2</v>
      </c>
      <c r="AZ48" s="22">
        <v>26.813700000000001</v>
      </c>
      <c r="BA48" s="22">
        <v>-1.7025800000000001E-2</v>
      </c>
      <c r="BB48" s="22">
        <v>38</v>
      </c>
      <c r="BC48" s="22">
        <v>9.0911900000000004E-2</v>
      </c>
      <c r="BD48">
        <f t="shared" si="10"/>
        <v>21.019506172839506</v>
      </c>
      <c r="BE48">
        <f t="shared" si="11"/>
        <v>1.9211849661481482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5.4870900000000002</v>
      </c>
      <c r="I49" s="22">
        <v>-1.3681E-2</v>
      </c>
      <c r="J49" s="22">
        <v>39</v>
      </c>
      <c r="K49" s="22">
        <v>1.48285</v>
      </c>
      <c r="L49">
        <f t="shared" si="0"/>
        <v>16.890123456790121</v>
      </c>
      <c r="M49">
        <f t="shared" si="1"/>
        <v>25.058356061728393</v>
      </c>
      <c r="N49" s="9"/>
      <c r="O49" s="22">
        <v>9.6435499999999993E-2</v>
      </c>
      <c r="P49" s="22">
        <v>9.0645799999999994</v>
      </c>
      <c r="Q49" s="22">
        <v>-1.7065400000000001E-2</v>
      </c>
      <c r="R49" s="22">
        <v>39</v>
      </c>
      <c r="S49" s="22">
        <v>9.5855700000000002E-2</v>
      </c>
      <c r="T49">
        <f t="shared" si="2"/>
        <v>21.068395061728395</v>
      </c>
      <c r="U49">
        <f t="shared" si="3"/>
        <v>2.0317412119753087</v>
      </c>
      <c r="X49" s="9"/>
      <c r="Y49" s="22">
        <v>1.4836100000000001</v>
      </c>
      <c r="Z49" s="22">
        <v>14.370100000000001</v>
      </c>
      <c r="AA49" s="22">
        <v>-1.3699299999999999E-2</v>
      </c>
      <c r="AB49" s="22">
        <v>39</v>
      </c>
      <c r="AC49" s="22">
        <v>1.48254</v>
      </c>
      <c r="AD49">
        <f t="shared" si="4"/>
        <v>16.912716049382716</v>
      </c>
      <c r="AE49">
        <f t="shared" si="5"/>
        <v>25.091874658024693</v>
      </c>
      <c r="AF49" s="9"/>
      <c r="AG49" s="22">
        <v>9.6435499999999993E-2</v>
      </c>
      <c r="AH49" s="22">
        <v>17.947600000000001</v>
      </c>
      <c r="AI49" s="22">
        <v>-1.70013E-2</v>
      </c>
      <c r="AJ49" s="22">
        <v>39</v>
      </c>
      <c r="AK49" s="22">
        <v>9.5886200000000005E-2</v>
      </c>
      <c r="AL49">
        <f t="shared" si="6"/>
        <v>20.98925925925926</v>
      </c>
      <c r="AM49">
        <f t="shared" si="7"/>
        <v>2.0241097112962962</v>
      </c>
      <c r="AP49" s="9"/>
      <c r="AQ49" s="22">
        <v>1.4836100000000001</v>
      </c>
      <c r="AR49" s="22">
        <v>23.246300000000002</v>
      </c>
      <c r="AS49" s="22">
        <v>-1.38184E-2</v>
      </c>
      <c r="AT49" s="22">
        <v>39</v>
      </c>
      <c r="AU49" s="22">
        <v>1.48315</v>
      </c>
      <c r="AV49">
        <f t="shared" si="8"/>
        <v>17.05975308641975</v>
      </c>
      <c r="AW49">
        <f t="shared" si="9"/>
        <v>25.310020276543206</v>
      </c>
      <c r="AX49" s="9"/>
      <c r="AY49" s="22">
        <v>9.6435499999999993E-2</v>
      </c>
      <c r="AZ49" s="22">
        <v>26.823799999999999</v>
      </c>
      <c r="BA49" s="22">
        <v>-1.7013500000000001E-2</v>
      </c>
      <c r="BB49" s="22">
        <v>39</v>
      </c>
      <c r="BC49" s="22">
        <v>9.5672599999999997E-2</v>
      </c>
      <c r="BD49">
        <f t="shared" si="10"/>
        <v>21.004320987654321</v>
      </c>
      <c r="BE49">
        <f t="shared" si="11"/>
        <v>2.025562196604938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5.49716</v>
      </c>
      <c r="I50" s="22">
        <v>-1.3760400000000001E-2</v>
      </c>
      <c r="J50" s="22">
        <v>40</v>
      </c>
      <c r="K50" s="22">
        <v>1.47766</v>
      </c>
      <c r="L50">
        <f t="shared" si="0"/>
        <v>16.988148148148149</v>
      </c>
      <c r="M50">
        <f t="shared" si="1"/>
        <v>25.118336088888888</v>
      </c>
      <c r="N50" s="9"/>
      <c r="O50" s="22">
        <v>0.10147100000000001</v>
      </c>
      <c r="P50" s="22">
        <v>9.0746500000000001</v>
      </c>
      <c r="Q50" s="22">
        <v>-1.7053200000000001E-2</v>
      </c>
      <c r="R50" s="22">
        <v>40</v>
      </c>
      <c r="S50" s="22">
        <v>0.100677</v>
      </c>
      <c r="T50">
        <f t="shared" si="2"/>
        <v>21.053333333333335</v>
      </c>
      <c r="U50">
        <f t="shared" si="3"/>
        <v>2.1363027866666671</v>
      </c>
      <c r="X50" s="9"/>
      <c r="Y50" s="22">
        <v>1.47858</v>
      </c>
      <c r="Z50" s="22">
        <v>14.3802</v>
      </c>
      <c r="AA50" s="22">
        <v>-1.37634E-2</v>
      </c>
      <c r="AB50" s="22">
        <v>40</v>
      </c>
      <c r="AC50" s="22">
        <v>1.47797</v>
      </c>
      <c r="AD50">
        <f t="shared" si="4"/>
        <v>16.991851851851852</v>
      </c>
      <c r="AE50">
        <f t="shared" si="5"/>
        <v>25.123812311111109</v>
      </c>
      <c r="AF50" s="9"/>
      <c r="AG50" s="22">
        <v>0.10147100000000001</v>
      </c>
      <c r="AH50" s="22">
        <v>17.957699999999999</v>
      </c>
      <c r="AI50" s="22">
        <v>-1.6992199999999999E-2</v>
      </c>
      <c r="AJ50" s="22">
        <v>40</v>
      </c>
      <c r="AK50" s="22">
        <v>0.10083</v>
      </c>
      <c r="AL50">
        <f t="shared" si="6"/>
        <v>20.978024691358019</v>
      </c>
      <c r="AM50">
        <f t="shared" si="7"/>
        <v>2.1286611434567897</v>
      </c>
      <c r="AP50" s="9"/>
      <c r="AQ50" s="22">
        <v>1.47858</v>
      </c>
      <c r="AR50" s="22">
        <v>23.256399999999999</v>
      </c>
      <c r="AS50" s="22">
        <v>-1.38794E-2</v>
      </c>
      <c r="AT50" s="22">
        <v>40</v>
      </c>
      <c r="AU50" s="22">
        <v>1.47797</v>
      </c>
      <c r="AV50">
        <f t="shared" si="8"/>
        <v>17.135061728395058</v>
      </c>
      <c r="AW50">
        <f t="shared" si="9"/>
        <v>25.335559570370364</v>
      </c>
      <c r="AX50" s="9"/>
      <c r="AY50" s="22">
        <v>0.10147100000000001</v>
      </c>
      <c r="AZ50" s="22">
        <v>26.8339</v>
      </c>
      <c r="BA50" s="22">
        <v>-1.70013E-2</v>
      </c>
      <c r="BB50" s="22">
        <v>40</v>
      </c>
      <c r="BC50" s="22">
        <v>0.100952</v>
      </c>
      <c r="BD50">
        <f t="shared" si="10"/>
        <v>20.98925925925926</v>
      </c>
      <c r="BE50">
        <f t="shared" si="11"/>
        <v>2.1298011262962966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5.5072400000000004</v>
      </c>
      <c r="I51" s="22">
        <v>-1.38306E-2</v>
      </c>
      <c r="J51" s="22">
        <v>41</v>
      </c>
      <c r="K51" s="22">
        <v>1.4724699999999999</v>
      </c>
      <c r="L51">
        <f t="shared" si="0"/>
        <v>17.074814814814815</v>
      </c>
      <c r="M51">
        <f t="shared" si="1"/>
        <v>25.160422622222224</v>
      </c>
      <c r="N51" s="9"/>
      <c r="O51" s="22">
        <v>0.106506</v>
      </c>
      <c r="P51" s="22">
        <v>9.0847200000000008</v>
      </c>
      <c r="Q51" s="22">
        <v>-1.70441E-2</v>
      </c>
      <c r="R51" s="22">
        <v>41</v>
      </c>
      <c r="S51" s="22">
        <v>0.10562100000000001</v>
      </c>
      <c r="T51">
        <f t="shared" si="2"/>
        <v>21.042098765432097</v>
      </c>
      <c r="U51">
        <f t="shared" si="3"/>
        <v>2.2411097711111112</v>
      </c>
      <c r="X51" s="9"/>
      <c r="Y51" s="22">
        <v>1.4735400000000001</v>
      </c>
      <c r="Z51" s="22">
        <v>14.3903</v>
      </c>
      <c r="AA51" s="22">
        <v>-1.38275E-2</v>
      </c>
      <c r="AB51" s="22">
        <v>41</v>
      </c>
      <c r="AC51" s="22">
        <v>1.4730799999999999</v>
      </c>
      <c r="AD51">
        <f t="shared" si="4"/>
        <v>17.070987654320987</v>
      </c>
      <c r="AE51">
        <f t="shared" si="5"/>
        <v>25.154783148148148</v>
      </c>
      <c r="AF51" s="9"/>
      <c r="AG51" s="22">
        <v>0.106506</v>
      </c>
      <c r="AH51" s="22">
        <v>17.9678</v>
      </c>
      <c r="AI51" s="22">
        <v>-1.6986100000000001E-2</v>
      </c>
      <c r="AJ51" s="22">
        <v>41</v>
      </c>
      <c r="AK51" s="22">
        <v>0.106049</v>
      </c>
      <c r="AL51">
        <f t="shared" si="6"/>
        <v>20.970493827160492</v>
      </c>
      <c r="AM51">
        <f t="shared" si="7"/>
        <v>2.2334834155555554</v>
      </c>
      <c r="AP51" s="9"/>
      <c r="AQ51" s="22">
        <v>1.4735400000000001</v>
      </c>
      <c r="AR51" s="22">
        <v>23.266500000000001</v>
      </c>
      <c r="AS51" s="22">
        <v>-1.3937400000000001E-2</v>
      </c>
      <c r="AT51" s="22">
        <v>41</v>
      </c>
      <c r="AU51" s="22">
        <v>1.47278</v>
      </c>
      <c r="AV51">
        <f t="shared" si="8"/>
        <v>17.206666666666667</v>
      </c>
      <c r="AW51">
        <f t="shared" si="9"/>
        <v>25.354711600000002</v>
      </c>
      <c r="AX51" s="9"/>
      <c r="AY51" s="22">
        <v>0.106506</v>
      </c>
      <c r="AZ51" s="22">
        <v>26.843900000000001</v>
      </c>
      <c r="BA51" s="22">
        <v>-1.69891E-2</v>
      </c>
      <c r="BB51" s="22">
        <v>41</v>
      </c>
      <c r="BC51" s="22">
        <v>0.105957</v>
      </c>
      <c r="BD51">
        <f t="shared" si="10"/>
        <v>20.974197530864195</v>
      </c>
      <c r="BE51">
        <f t="shared" si="11"/>
        <v>2.2338778822222221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5.5173100000000002</v>
      </c>
      <c r="I52" s="22">
        <v>-1.3894699999999999E-2</v>
      </c>
      <c r="J52" s="22">
        <v>42</v>
      </c>
      <c r="K52" s="22">
        <v>1.4679</v>
      </c>
      <c r="L52">
        <f t="shared" si="0"/>
        <v>17.153950617283947</v>
      </c>
      <c r="M52">
        <f t="shared" si="1"/>
        <v>25.190748020987648</v>
      </c>
      <c r="N52" s="9"/>
      <c r="O52" s="22">
        <v>0.111542</v>
      </c>
      <c r="P52" s="22">
        <v>9.0947899999999997</v>
      </c>
      <c r="Q52" s="22">
        <v>-1.7034899999999999E-2</v>
      </c>
      <c r="R52" s="22">
        <v>42</v>
      </c>
      <c r="S52" s="22">
        <v>0.111084</v>
      </c>
      <c r="T52">
        <f t="shared" si="2"/>
        <v>21.03074074074074</v>
      </c>
      <c r="U52">
        <f t="shared" si="3"/>
        <v>2.3458108837037037</v>
      </c>
      <c r="X52" s="9"/>
      <c r="Y52" s="22">
        <v>1.46851</v>
      </c>
      <c r="Z52" s="22">
        <v>14.400399999999999</v>
      </c>
      <c r="AA52" s="22">
        <v>-1.38794E-2</v>
      </c>
      <c r="AB52" s="22">
        <v>42</v>
      </c>
      <c r="AC52" s="22">
        <v>1.4681999999999999</v>
      </c>
      <c r="AD52">
        <f t="shared" si="4"/>
        <v>17.135061728395058</v>
      </c>
      <c r="AE52">
        <f t="shared" si="5"/>
        <v>25.163009498765426</v>
      </c>
      <c r="AF52" s="9"/>
      <c r="AG52" s="22">
        <v>0.111542</v>
      </c>
      <c r="AH52" s="22">
        <v>17.977799999999998</v>
      </c>
      <c r="AI52" s="22">
        <v>-1.69739E-2</v>
      </c>
      <c r="AJ52" s="22">
        <v>42</v>
      </c>
      <c r="AK52" s="22">
        <v>0.111023</v>
      </c>
      <c r="AL52">
        <f t="shared" si="6"/>
        <v>20.955432098765428</v>
      </c>
      <c r="AM52">
        <f t="shared" si="7"/>
        <v>2.3374108071604933</v>
      </c>
      <c r="AP52" s="9"/>
      <c r="AQ52" s="22">
        <v>1.46851</v>
      </c>
      <c r="AR52" s="22">
        <v>23.276499999999999</v>
      </c>
      <c r="AS52" s="22">
        <v>-1.39954E-2</v>
      </c>
      <c r="AT52" s="22">
        <v>42</v>
      </c>
      <c r="AU52" s="22">
        <v>1.46759</v>
      </c>
      <c r="AV52">
        <f t="shared" si="8"/>
        <v>17.278271604938272</v>
      </c>
      <c r="AW52">
        <f t="shared" si="9"/>
        <v>25.373314634567901</v>
      </c>
      <c r="AX52" s="9"/>
      <c r="AY52" s="22">
        <v>0.111542</v>
      </c>
      <c r="AZ52" s="22">
        <v>26.853999999999999</v>
      </c>
      <c r="BA52" s="22">
        <v>-1.6979999999999999E-2</v>
      </c>
      <c r="BB52" s="22">
        <v>42</v>
      </c>
      <c r="BC52" s="22">
        <v>0.110931</v>
      </c>
      <c r="BD52">
        <f t="shared" si="10"/>
        <v>20.962962962962962</v>
      </c>
      <c r="BE52">
        <f t="shared" si="11"/>
        <v>2.3382508148148147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5.52738</v>
      </c>
      <c r="I53" s="22">
        <v>-1.3964799999999999E-2</v>
      </c>
      <c r="J53" s="22">
        <v>43</v>
      </c>
      <c r="K53" s="22">
        <v>1.4630099999999999</v>
      </c>
      <c r="L53">
        <f t="shared" si="0"/>
        <v>17.240493827160492</v>
      </c>
      <c r="M53">
        <f t="shared" si="1"/>
        <v>25.230945501234565</v>
      </c>
      <c r="N53" s="9"/>
      <c r="O53" s="22">
        <v>0.116577</v>
      </c>
      <c r="P53" s="22">
        <v>9.1048600000000004</v>
      </c>
      <c r="Q53" s="22">
        <v>-1.7022700000000002E-2</v>
      </c>
      <c r="R53" s="22">
        <v>43</v>
      </c>
      <c r="S53" s="22">
        <v>0.11605799999999999</v>
      </c>
      <c r="T53">
        <f t="shared" si="2"/>
        <v>21.015679012345679</v>
      </c>
      <c r="U53">
        <f t="shared" si="3"/>
        <v>2.4499448122222223</v>
      </c>
      <c r="X53" s="9"/>
      <c r="Y53" s="22">
        <v>1.46347</v>
      </c>
      <c r="Z53" s="22">
        <v>14.410399999999999</v>
      </c>
      <c r="AA53" s="22">
        <v>-1.39404E-2</v>
      </c>
      <c r="AB53" s="22">
        <v>43</v>
      </c>
      <c r="AC53" s="22">
        <v>1.4630099999999999</v>
      </c>
      <c r="AD53">
        <f t="shared" si="4"/>
        <v>17.21037037037037</v>
      </c>
      <c r="AE53">
        <f t="shared" si="5"/>
        <v>25.186860725925925</v>
      </c>
      <c r="AF53" s="9"/>
      <c r="AG53" s="22">
        <v>0.116577</v>
      </c>
      <c r="AH53" s="22">
        <v>17.9879</v>
      </c>
      <c r="AI53" s="22">
        <v>-1.69617E-2</v>
      </c>
      <c r="AJ53" s="22">
        <v>43</v>
      </c>
      <c r="AK53" s="22">
        <v>0.115967</v>
      </c>
      <c r="AL53">
        <f t="shared" si="6"/>
        <v>20.940370370370371</v>
      </c>
      <c r="AM53">
        <f t="shared" si="7"/>
        <v>2.4411655566666668</v>
      </c>
      <c r="AP53" s="9"/>
      <c r="AQ53" s="22">
        <v>1.46347</v>
      </c>
      <c r="AR53" s="22">
        <v>23.2866</v>
      </c>
      <c r="AS53" s="22">
        <v>-1.40442E-2</v>
      </c>
      <c r="AT53" s="22">
        <v>43</v>
      </c>
      <c r="AU53" s="22">
        <v>1.4623999999999999</v>
      </c>
      <c r="AV53">
        <f t="shared" si="8"/>
        <v>17.338518518518516</v>
      </c>
      <c r="AW53">
        <f t="shared" si="9"/>
        <v>25.374401696296292</v>
      </c>
      <c r="AX53" s="9"/>
      <c r="AY53" s="22">
        <v>0.116577</v>
      </c>
      <c r="AZ53" s="22">
        <v>26.864100000000001</v>
      </c>
      <c r="BA53" s="22">
        <v>-1.6967800000000002E-2</v>
      </c>
      <c r="BB53" s="22">
        <v>43</v>
      </c>
      <c r="BC53" s="22">
        <v>0.11618000000000001</v>
      </c>
      <c r="BD53">
        <f t="shared" si="10"/>
        <v>20.947901234567901</v>
      </c>
      <c r="BE53">
        <f t="shared" si="11"/>
        <v>2.4420434822222221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5.5374499999999998</v>
      </c>
      <c r="I54" s="22">
        <v>-1.40137E-2</v>
      </c>
      <c r="J54" s="22">
        <v>44</v>
      </c>
      <c r="K54" s="22">
        <v>1.4572099999999999</v>
      </c>
      <c r="L54">
        <f t="shared" si="0"/>
        <v>17.300864197530863</v>
      </c>
      <c r="M54">
        <f t="shared" si="1"/>
        <v>25.232272380246911</v>
      </c>
      <c r="N54" s="9"/>
      <c r="O54" s="22">
        <v>0.121613</v>
      </c>
      <c r="P54" s="22">
        <v>9.1149299999999993</v>
      </c>
      <c r="Q54" s="22">
        <v>-1.7010500000000001E-2</v>
      </c>
      <c r="R54" s="22">
        <v>44</v>
      </c>
      <c r="S54" s="22">
        <v>0.120911</v>
      </c>
      <c r="T54">
        <f t="shared" si="2"/>
        <v>21.000617283950618</v>
      </c>
      <c r="U54">
        <f t="shared" si="3"/>
        <v>2.5539480697530865</v>
      </c>
      <c r="X54" s="9"/>
      <c r="Y54" s="22">
        <v>1.45844</v>
      </c>
      <c r="Z54" s="22">
        <v>14.420500000000001</v>
      </c>
      <c r="AA54" s="22">
        <v>-1.39954E-2</v>
      </c>
      <c r="AB54" s="22">
        <v>44</v>
      </c>
      <c r="AC54" s="22">
        <v>1.4572099999999999</v>
      </c>
      <c r="AD54">
        <f t="shared" si="4"/>
        <v>17.278271604938272</v>
      </c>
      <c r="AE54">
        <f t="shared" si="5"/>
        <v>25.199322439506172</v>
      </c>
      <c r="AF54" s="9"/>
      <c r="AG54" s="22">
        <v>0.121613</v>
      </c>
      <c r="AH54" s="22">
        <v>17.998000000000001</v>
      </c>
      <c r="AI54" s="22">
        <v>-1.6952499999999999E-2</v>
      </c>
      <c r="AJ54" s="22">
        <v>44</v>
      </c>
      <c r="AK54" s="22">
        <v>0.12094100000000001</v>
      </c>
      <c r="AL54">
        <f t="shared" si="6"/>
        <v>20.929012345679009</v>
      </c>
      <c r="AM54">
        <f t="shared" si="7"/>
        <v>2.5452399783950614</v>
      </c>
      <c r="AP54" s="9"/>
      <c r="AQ54" s="22">
        <v>1.45844</v>
      </c>
      <c r="AR54" s="22">
        <v>23.296700000000001</v>
      </c>
      <c r="AS54" s="22">
        <v>-1.4093E-2</v>
      </c>
      <c r="AT54" s="22">
        <v>44</v>
      </c>
      <c r="AU54" s="22">
        <v>1.4581299999999999</v>
      </c>
      <c r="AV54">
        <f t="shared" si="8"/>
        <v>17.398765432098763</v>
      </c>
      <c r="AW54">
        <f t="shared" si="9"/>
        <v>25.375055456790118</v>
      </c>
      <c r="AX54" s="9"/>
      <c r="AY54" s="22">
        <v>0.121613</v>
      </c>
      <c r="AZ54" s="22">
        <v>26.874199999999998</v>
      </c>
      <c r="BA54" s="22">
        <v>-1.6955600000000001E-2</v>
      </c>
      <c r="BB54" s="22">
        <v>44</v>
      </c>
      <c r="BC54" s="22">
        <v>0.121124</v>
      </c>
      <c r="BD54">
        <f t="shared" si="10"/>
        <v>20.932839506172837</v>
      </c>
      <c r="BE54">
        <f t="shared" si="11"/>
        <v>2.5457054108641972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5.5475199999999996</v>
      </c>
      <c r="I55" s="22">
        <v>-1.4071699999999999E-2</v>
      </c>
      <c r="J55" s="22">
        <v>45</v>
      </c>
      <c r="K55" s="22">
        <v>1.4523299999999999</v>
      </c>
      <c r="L55">
        <f t="shared" si="0"/>
        <v>17.372469135802469</v>
      </c>
      <c r="M55">
        <f t="shared" si="1"/>
        <v>25.249146641975308</v>
      </c>
      <c r="N55" s="9"/>
      <c r="O55" s="22">
        <v>0.12664800000000001</v>
      </c>
      <c r="P55" s="22">
        <v>9.125</v>
      </c>
      <c r="Q55" s="22">
        <v>-1.6998300000000001E-2</v>
      </c>
      <c r="R55" s="22">
        <v>45</v>
      </c>
      <c r="S55" s="22">
        <v>0.12606800000000001</v>
      </c>
      <c r="T55">
        <f t="shared" si="2"/>
        <v>20.985555555555557</v>
      </c>
      <c r="U55">
        <f t="shared" si="3"/>
        <v>2.6577786400000005</v>
      </c>
      <c r="X55" s="9"/>
      <c r="Y55" s="22">
        <v>1.4534</v>
      </c>
      <c r="Z55" s="22">
        <v>14.4306</v>
      </c>
      <c r="AA55" s="22">
        <v>-1.4047199999999999E-2</v>
      </c>
      <c r="AB55" s="22">
        <v>45</v>
      </c>
      <c r="AC55" s="22">
        <v>1.4526399999999999</v>
      </c>
      <c r="AD55">
        <f t="shared" si="4"/>
        <v>17.342222222222222</v>
      </c>
      <c r="AE55">
        <f t="shared" si="5"/>
        <v>25.205185777777778</v>
      </c>
      <c r="AF55" s="9"/>
      <c r="AG55" s="22">
        <v>0.12664800000000001</v>
      </c>
      <c r="AH55" s="22">
        <v>18.007999999999999</v>
      </c>
      <c r="AI55" s="22">
        <v>-1.6943400000000001E-2</v>
      </c>
      <c r="AJ55" s="22">
        <v>45</v>
      </c>
      <c r="AK55" s="22">
        <v>0.12609899999999999</v>
      </c>
      <c r="AL55">
        <f t="shared" si="6"/>
        <v>20.917777777777779</v>
      </c>
      <c r="AM55">
        <f t="shared" si="7"/>
        <v>2.6491947200000006</v>
      </c>
      <c r="AP55" s="9"/>
      <c r="AQ55" s="22">
        <v>1.4534</v>
      </c>
      <c r="AR55" s="22">
        <v>23.306699999999999</v>
      </c>
      <c r="AS55" s="22">
        <v>-1.41388E-2</v>
      </c>
      <c r="AT55" s="22">
        <v>45</v>
      </c>
      <c r="AU55" s="22">
        <v>1.4526399999999999</v>
      </c>
      <c r="AV55">
        <f t="shared" si="8"/>
        <v>17.455308641975307</v>
      </c>
      <c r="AW55">
        <f t="shared" si="9"/>
        <v>25.369545580246911</v>
      </c>
      <c r="AX55" s="9"/>
      <c r="AY55" s="22">
        <v>0.12664800000000001</v>
      </c>
      <c r="AZ55" s="22">
        <v>26.8842</v>
      </c>
      <c r="BA55" s="22">
        <v>-1.6943400000000001E-2</v>
      </c>
      <c r="BB55" s="22">
        <v>45</v>
      </c>
      <c r="BC55" s="22">
        <v>0.12603800000000001</v>
      </c>
      <c r="BD55">
        <f t="shared" si="10"/>
        <v>20.917777777777779</v>
      </c>
      <c r="BE55">
        <f t="shared" si="11"/>
        <v>2.6491947200000006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5.5575900000000003</v>
      </c>
      <c r="I56" s="22">
        <v>-1.41174E-2</v>
      </c>
      <c r="J56" s="22">
        <v>46</v>
      </c>
      <c r="K56" s="22">
        <v>1.4474499999999999</v>
      </c>
      <c r="L56">
        <f t="shared" si="0"/>
        <v>17.428888888888888</v>
      </c>
      <c r="M56">
        <f t="shared" si="1"/>
        <v>25.243305511111114</v>
      </c>
      <c r="N56" s="9"/>
      <c r="O56" s="22">
        <v>0.13168299999999999</v>
      </c>
      <c r="P56" s="22">
        <v>9.1350700000000007</v>
      </c>
      <c r="Q56" s="22">
        <v>-1.6986100000000001E-2</v>
      </c>
      <c r="R56" s="22">
        <v>46</v>
      </c>
      <c r="S56" s="22">
        <v>0.131165</v>
      </c>
      <c r="T56">
        <f t="shared" si="2"/>
        <v>20.970493827160492</v>
      </c>
      <c r="U56">
        <f t="shared" si="3"/>
        <v>2.7614575386419751</v>
      </c>
      <c r="X56" s="9"/>
      <c r="Y56" s="22">
        <v>1.4483600000000001</v>
      </c>
      <c r="Z56" s="22">
        <v>14.4406</v>
      </c>
      <c r="AA56" s="22">
        <v>-1.40991E-2</v>
      </c>
      <c r="AB56" s="22">
        <v>46</v>
      </c>
      <c r="AC56" s="22">
        <v>1.4480599999999999</v>
      </c>
      <c r="AD56">
        <f t="shared" si="4"/>
        <v>17.406296296296293</v>
      </c>
      <c r="AE56">
        <f t="shared" si="5"/>
        <v>25.2105833037037</v>
      </c>
      <c r="AF56" s="9"/>
      <c r="AG56" s="22">
        <v>0.13168299999999999</v>
      </c>
      <c r="AH56" s="22">
        <v>18.0181</v>
      </c>
      <c r="AI56" s="22">
        <v>-1.69312E-2</v>
      </c>
      <c r="AJ56" s="22">
        <v>46</v>
      </c>
      <c r="AK56" s="22">
        <v>0.130768</v>
      </c>
      <c r="AL56">
        <f t="shared" si="6"/>
        <v>20.902716049382715</v>
      </c>
      <c r="AM56">
        <f t="shared" si="7"/>
        <v>2.752532357530864</v>
      </c>
      <c r="AP56" s="9"/>
      <c r="AQ56" s="22">
        <v>1.4483600000000001</v>
      </c>
      <c r="AR56" s="22">
        <v>23.316800000000001</v>
      </c>
      <c r="AS56" s="22">
        <v>-1.41846E-2</v>
      </c>
      <c r="AT56" s="22">
        <v>46</v>
      </c>
      <c r="AU56" s="22">
        <v>1.4477500000000001</v>
      </c>
      <c r="AV56">
        <f t="shared" si="8"/>
        <v>17.511851851851851</v>
      </c>
      <c r="AW56">
        <f t="shared" si="9"/>
        <v>25.363465748148148</v>
      </c>
      <c r="AX56" s="9"/>
      <c r="AY56" s="22">
        <v>0.13168299999999999</v>
      </c>
      <c r="AZ56" s="22">
        <v>26.894300000000001</v>
      </c>
      <c r="BA56" s="22">
        <v>-1.69312E-2</v>
      </c>
      <c r="BB56" s="22">
        <v>46</v>
      </c>
      <c r="BC56" s="22">
        <v>0.13128699999999999</v>
      </c>
      <c r="BD56">
        <f t="shared" si="10"/>
        <v>20.902716049382715</v>
      </c>
      <c r="BE56">
        <f t="shared" si="11"/>
        <v>2.752532357530864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5.5676600000000001</v>
      </c>
      <c r="I57" s="22">
        <v>-1.4169299999999999E-2</v>
      </c>
      <c r="J57" s="22">
        <v>47</v>
      </c>
      <c r="K57" s="22">
        <v>1.4425699999999999</v>
      </c>
      <c r="L57">
        <f t="shared" si="0"/>
        <v>17.492962962962959</v>
      </c>
      <c r="M57">
        <f t="shared" si="1"/>
        <v>25.248118233333329</v>
      </c>
      <c r="N57" s="9"/>
      <c r="O57" s="22">
        <v>0.13671900000000001</v>
      </c>
      <c r="P57" s="22">
        <v>9.1451499999999992</v>
      </c>
      <c r="Q57" s="22">
        <v>-1.69739E-2</v>
      </c>
      <c r="R57" s="22">
        <v>47</v>
      </c>
      <c r="S57" s="22">
        <v>0.13613900000000001</v>
      </c>
      <c r="T57">
        <f t="shared" si="2"/>
        <v>20.955432098765428</v>
      </c>
      <c r="U57">
        <f t="shared" si="3"/>
        <v>2.8650057211111108</v>
      </c>
      <c r="X57" s="9"/>
      <c r="Y57" s="22">
        <v>1.44333</v>
      </c>
      <c r="Z57" s="22">
        <v>14.450699999999999</v>
      </c>
      <c r="AA57" s="22">
        <v>-1.41449E-2</v>
      </c>
      <c r="AB57" s="22">
        <v>47</v>
      </c>
      <c r="AC57" s="22">
        <v>1.4428700000000001</v>
      </c>
      <c r="AD57">
        <f t="shared" si="4"/>
        <v>17.462839506172838</v>
      </c>
      <c r="AE57">
        <f t="shared" si="5"/>
        <v>25.204640144444443</v>
      </c>
      <c r="AF57" s="9"/>
      <c r="AG57" s="22">
        <v>0.13671900000000001</v>
      </c>
      <c r="AH57" s="22">
        <v>18.028199999999998</v>
      </c>
      <c r="AI57" s="22">
        <v>-1.6918900000000001E-2</v>
      </c>
      <c r="AJ57" s="22">
        <v>47</v>
      </c>
      <c r="AK57" s="22">
        <v>0.13622999999999999</v>
      </c>
      <c r="AL57">
        <f t="shared" si="6"/>
        <v>20.887530864197529</v>
      </c>
      <c r="AM57">
        <f t="shared" si="7"/>
        <v>2.8557223322222223</v>
      </c>
      <c r="AP57" s="9"/>
      <c r="AQ57" s="22">
        <v>1.44333</v>
      </c>
      <c r="AR57" s="22">
        <v>23.326899999999998</v>
      </c>
      <c r="AS57" s="22">
        <v>-1.42273E-2</v>
      </c>
      <c r="AT57" s="22">
        <v>47</v>
      </c>
      <c r="AU57" s="22">
        <v>1.4422600000000001</v>
      </c>
      <c r="AV57">
        <f t="shared" si="8"/>
        <v>17.564567901234565</v>
      </c>
      <c r="AW57">
        <f t="shared" si="9"/>
        <v>25.351467788888883</v>
      </c>
      <c r="AX57" s="9"/>
      <c r="AY57" s="22">
        <v>0.13671900000000001</v>
      </c>
      <c r="AZ57" s="22">
        <v>26.904399999999999</v>
      </c>
      <c r="BA57" s="22">
        <v>-1.6922E-2</v>
      </c>
      <c r="BB57" s="22">
        <v>47</v>
      </c>
      <c r="BC57" s="22">
        <v>0.13616900000000001</v>
      </c>
      <c r="BD57">
        <f t="shared" si="10"/>
        <v>20.891358024691357</v>
      </c>
      <c r="BE57">
        <f t="shared" si="11"/>
        <v>2.8562455777777775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5.5777299999999999</v>
      </c>
      <c r="I58" s="22">
        <v>-1.42151E-2</v>
      </c>
      <c r="J58" s="22">
        <v>48</v>
      </c>
      <c r="K58" s="22">
        <v>1.4376800000000001</v>
      </c>
      <c r="L58">
        <f t="shared" si="0"/>
        <v>17.549506172839507</v>
      </c>
      <c r="M58">
        <f t="shared" si="1"/>
        <v>25.241279233333337</v>
      </c>
      <c r="N58" s="9"/>
      <c r="O58" s="22">
        <v>0.14175399999999999</v>
      </c>
      <c r="P58" s="22">
        <v>9.1552199999999999</v>
      </c>
      <c r="Q58" s="22">
        <v>-1.69617E-2</v>
      </c>
      <c r="R58" s="22">
        <v>48</v>
      </c>
      <c r="S58" s="22">
        <v>0.141205</v>
      </c>
      <c r="T58">
        <f t="shared" si="2"/>
        <v>20.940370370370371</v>
      </c>
      <c r="U58">
        <f t="shared" si="3"/>
        <v>2.9683812614814813</v>
      </c>
      <c r="X58" s="9"/>
      <c r="Y58" s="22">
        <v>1.4382900000000001</v>
      </c>
      <c r="Z58" s="22">
        <v>14.460800000000001</v>
      </c>
      <c r="AA58" s="22">
        <v>-1.41846E-2</v>
      </c>
      <c r="AB58" s="22">
        <v>48</v>
      </c>
      <c r="AC58" s="22">
        <v>1.4376800000000001</v>
      </c>
      <c r="AD58">
        <f t="shared" si="4"/>
        <v>17.511851851851851</v>
      </c>
      <c r="AE58">
        <f t="shared" si="5"/>
        <v>25.187121399999999</v>
      </c>
      <c r="AF58" s="9"/>
      <c r="AG58" s="22">
        <v>0.14175399999999999</v>
      </c>
      <c r="AH58" s="22">
        <v>18.0383</v>
      </c>
      <c r="AI58" s="22">
        <v>-1.69067E-2</v>
      </c>
      <c r="AJ58" s="22">
        <v>48</v>
      </c>
      <c r="AK58" s="22">
        <v>0.141266</v>
      </c>
      <c r="AL58">
        <f t="shared" si="6"/>
        <v>20.872469135802469</v>
      </c>
      <c r="AM58">
        <f t="shared" si="7"/>
        <v>2.958755989876543</v>
      </c>
      <c r="AP58" s="9"/>
      <c r="AQ58" s="22">
        <v>1.4382900000000001</v>
      </c>
      <c r="AR58" s="22">
        <v>23.337</v>
      </c>
      <c r="AS58" s="22">
        <v>-1.4267E-2</v>
      </c>
      <c r="AT58" s="22">
        <v>48</v>
      </c>
      <c r="AU58" s="22">
        <v>1.4367700000000001</v>
      </c>
      <c r="AV58">
        <f t="shared" si="8"/>
        <v>17.613580246913582</v>
      </c>
      <c r="AW58">
        <f t="shared" si="9"/>
        <v>25.333436333333339</v>
      </c>
      <c r="AX58" s="9"/>
      <c r="AY58" s="22">
        <v>0.14175399999999999</v>
      </c>
      <c r="AZ58" s="22">
        <v>26.914400000000001</v>
      </c>
      <c r="BA58" s="22">
        <v>-1.6909799999999999E-2</v>
      </c>
      <c r="BB58" s="22">
        <v>48</v>
      </c>
      <c r="BC58" s="22">
        <v>0.141235</v>
      </c>
      <c r="BD58">
        <f t="shared" si="10"/>
        <v>20.876296296296296</v>
      </c>
      <c r="BE58">
        <f t="shared" si="11"/>
        <v>2.9592985051851848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5.5877999999999997</v>
      </c>
      <c r="I59" s="22">
        <v>-1.42609E-2</v>
      </c>
      <c r="J59" s="22">
        <v>49</v>
      </c>
      <c r="K59" s="22">
        <v>1.4321900000000001</v>
      </c>
      <c r="L59">
        <f t="shared" si="0"/>
        <v>17.606049382716048</v>
      </c>
      <c r="M59">
        <f t="shared" si="1"/>
        <v>25.234046338271604</v>
      </c>
      <c r="N59" s="9"/>
      <c r="O59" s="22">
        <v>0.14679</v>
      </c>
      <c r="P59" s="22">
        <v>9.1652900000000006</v>
      </c>
      <c r="Q59" s="22">
        <v>-1.6949499999999999E-2</v>
      </c>
      <c r="R59" s="22">
        <v>49</v>
      </c>
      <c r="S59" s="22">
        <v>0.146179</v>
      </c>
      <c r="T59">
        <f t="shared" si="2"/>
        <v>20.925308641975306</v>
      </c>
      <c r="U59">
        <f t="shared" si="3"/>
        <v>3.0716260555555555</v>
      </c>
      <c r="X59" s="9"/>
      <c r="Y59" s="22">
        <v>1.43326</v>
      </c>
      <c r="Z59" s="22">
        <v>14.470800000000001</v>
      </c>
      <c r="AA59" s="22">
        <v>-1.4224199999999999E-2</v>
      </c>
      <c r="AB59" s="22">
        <v>49</v>
      </c>
      <c r="AC59" s="22">
        <v>1.4321900000000001</v>
      </c>
      <c r="AD59">
        <f t="shared" si="4"/>
        <v>17.560740740740737</v>
      </c>
      <c r="AE59">
        <f t="shared" si="5"/>
        <v>25.169107274074069</v>
      </c>
      <c r="AF59" s="9"/>
      <c r="AG59" s="22">
        <v>0.14679</v>
      </c>
      <c r="AH59" s="22">
        <v>18.048300000000001</v>
      </c>
      <c r="AI59" s="22">
        <v>-1.6900600000000002E-2</v>
      </c>
      <c r="AJ59" s="22">
        <v>49</v>
      </c>
      <c r="AK59" s="22">
        <v>0.146393</v>
      </c>
      <c r="AL59">
        <f t="shared" si="6"/>
        <v>20.864938271604938</v>
      </c>
      <c r="AM59">
        <f t="shared" si="7"/>
        <v>3.0627642888888889</v>
      </c>
      <c r="AP59" s="9"/>
      <c r="AQ59" s="22">
        <v>1.43326</v>
      </c>
      <c r="AR59" s="22">
        <v>23.347000000000001</v>
      </c>
      <c r="AS59" s="22">
        <v>-1.4297499999999999E-2</v>
      </c>
      <c r="AT59" s="22">
        <v>49</v>
      </c>
      <c r="AU59" s="22">
        <v>1.4325000000000001</v>
      </c>
      <c r="AV59">
        <f t="shared" si="8"/>
        <v>17.651234567901231</v>
      </c>
      <c r="AW59">
        <f t="shared" si="9"/>
        <v>25.298808456790116</v>
      </c>
      <c r="AX59" s="9"/>
      <c r="AY59" s="22">
        <v>0.14679</v>
      </c>
      <c r="AZ59" s="22">
        <v>26.924499999999998</v>
      </c>
      <c r="BA59" s="22">
        <v>-1.6897599999999999E-2</v>
      </c>
      <c r="BB59" s="22">
        <v>49</v>
      </c>
      <c r="BC59" s="22">
        <v>0.146179</v>
      </c>
      <c r="BD59">
        <f t="shared" si="10"/>
        <v>20.861234567901231</v>
      </c>
      <c r="BE59">
        <f t="shared" si="11"/>
        <v>3.0622206222222217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5.5978700000000003</v>
      </c>
      <c r="I60" s="22">
        <v>-1.4300500000000001E-2</v>
      </c>
      <c r="J60" s="22">
        <v>50</v>
      </c>
      <c r="K60" s="22">
        <v>1.4273100000000001</v>
      </c>
      <c r="L60">
        <f t="shared" si="0"/>
        <v>17.654938271604937</v>
      </c>
      <c r="M60">
        <f t="shared" si="1"/>
        <v>25.215135938271604</v>
      </c>
      <c r="N60" s="9"/>
      <c r="O60" s="22">
        <v>0.15182499999999999</v>
      </c>
      <c r="P60" s="22">
        <v>9.1753599999999995</v>
      </c>
      <c r="Q60" s="22">
        <v>-1.6940299999999998E-2</v>
      </c>
      <c r="R60" s="22">
        <v>50</v>
      </c>
      <c r="S60" s="22">
        <v>0.151367</v>
      </c>
      <c r="T60">
        <f t="shared" si="2"/>
        <v>20.913950617283948</v>
      </c>
      <c r="U60">
        <f t="shared" si="3"/>
        <v>3.1752605524691351</v>
      </c>
      <c r="X60" s="9"/>
      <c r="Y60" s="22">
        <v>1.42822</v>
      </c>
      <c r="Z60" s="22">
        <v>14.4809</v>
      </c>
      <c r="AA60" s="22">
        <v>-1.4263899999999999E-2</v>
      </c>
      <c r="AB60" s="22">
        <v>50</v>
      </c>
      <c r="AC60" s="22">
        <v>1.4273100000000001</v>
      </c>
      <c r="AD60">
        <f t="shared" si="4"/>
        <v>17.609753086419751</v>
      </c>
      <c r="AE60">
        <f t="shared" si="5"/>
        <v>25.150601553086418</v>
      </c>
      <c r="AF60" s="9"/>
      <c r="AG60" s="22">
        <v>0.15182499999999999</v>
      </c>
      <c r="AH60" s="22">
        <v>18.058399999999999</v>
      </c>
      <c r="AI60" s="22">
        <v>-1.6885399999999998E-2</v>
      </c>
      <c r="AJ60" s="22">
        <v>50</v>
      </c>
      <c r="AK60" s="22">
        <v>0.151398</v>
      </c>
      <c r="AL60">
        <f t="shared" si="6"/>
        <v>20.846172839506171</v>
      </c>
      <c r="AM60">
        <f t="shared" si="7"/>
        <v>3.1649701913580239</v>
      </c>
      <c r="AP60" s="9"/>
      <c r="AQ60" s="22">
        <v>1.42822</v>
      </c>
      <c r="AR60" s="22">
        <v>23.357099999999999</v>
      </c>
      <c r="AS60" s="22">
        <v>-1.4328E-2</v>
      </c>
      <c r="AT60" s="22">
        <v>50</v>
      </c>
      <c r="AU60" s="22">
        <v>1.42761</v>
      </c>
      <c r="AV60">
        <f t="shared" si="8"/>
        <v>17.68888888888889</v>
      </c>
      <c r="AW60">
        <f t="shared" si="9"/>
        <v>25.263624888888891</v>
      </c>
      <c r="AX60" s="9"/>
      <c r="AY60" s="22">
        <v>0.15182499999999999</v>
      </c>
      <c r="AZ60" s="22">
        <v>26.9346</v>
      </c>
      <c r="BA60" s="22">
        <v>-1.6888400000000001E-2</v>
      </c>
      <c r="BB60" s="22">
        <v>50</v>
      </c>
      <c r="BC60" s="22">
        <v>0.15145900000000001</v>
      </c>
      <c r="BD60">
        <f t="shared" si="10"/>
        <v>20.849876543209877</v>
      </c>
      <c r="BE60">
        <f t="shared" si="11"/>
        <v>3.1655325061728394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5.6079499999999998</v>
      </c>
      <c r="I61" s="22">
        <v>-1.43433E-2</v>
      </c>
      <c r="J61" s="22">
        <v>51</v>
      </c>
      <c r="K61" s="22">
        <v>1.42181</v>
      </c>
      <c r="L61">
        <f t="shared" si="0"/>
        <v>17.707777777777778</v>
      </c>
      <c r="M61">
        <f t="shared" si="1"/>
        <v>25.201532255555556</v>
      </c>
      <c r="N61" s="9"/>
      <c r="O61" s="22">
        <v>0.15686</v>
      </c>
      <c r="P61" s="22">
        <v>9.1854300000000002</v>
      </c>
      <c r="Q61" s="22">
        <v>-1.6924999999999999E-2</v>
      </c>
      <c r="R61" s="22">
        <v>51</v>
      </c>
      <c r="S61" s="22">
        <v>0.15640299999999999</v>
      </c>
      <c r="T61">
        <f t="shared" si="2"/>
        <v>20.89506172839506</v>
      </c>
      <c r="U61">
        <f t="shared" si="3"/>
        <v>3.277599382716049</v>
      </c>
      <c r="X61" s="9"/>
      <c r="Y61" s="22">
        <v>1.42319</v>
      </c>
      <c r="Z61" s="22">
        <v>14.491</v>
      </c>
      <c r="AA61" s="22">
        <v>-1.4297499999999999E-2</v>
      </c>
      <c r="AB61" s="22">
        <v>51</v>
      </c>
      <c r="AC61" s="22">
        <v>1.4227300000000001</v>
      </c>
      <c r="AD61">
        <f t="shared" si="4"/>
        <v>17.651234567901231</v>
      </c>
      <c r="AE61">
        <f t="shared" si="5"/>
        <v>25.121060524691352</v>
      </c>
      <c r="AF61" s="9"/>
      <c r="AG61" s="22">
        <v>0.15686</v>
      </c>
      <c r="AH61" s="22">
        <v>18.0685</v>
      </c>
      <c r="AI61" s="22">
        <v>-1.6873200000000001E-2</v>
      </c>
      <c r="AJ61" s="22">
        <v>51</v>
      </c>
      <c r="AK61" s="22">
        <v>0.15640299999999999</v>
      </c>
      <c r="AL61">
        <f t="shared" si="6"/>
        <v>20.831111111111113</v>
      </c>
      <c r="AM61">
        <f t="shared" si="7"/>
        <v>3.2675680888888894</v>
      </c>
      <c r="AP61" s="9"/>
      <c r="AQ61" s="22">
        <v>1.42319</v>
      </c>
      <c r="AR61" s="22">
        <v>23.3672</v>
      </c>
      <c r="AS61" s="22">
        <v>-1.43585E-2</v>
      </c>
      <c r="AT61" s="22">
        <v>51</v>
      </c>
      <c r="AU61" s="22">
        <v>1.42242</v>
      </c>
      <c r="AV61">
        <f t="shared" si="8"/>
        <v>17.726543209876542</v>
      </c>
      <c r="AW61">
        <f t="shared" si="9"/>
        <v>25.228239030864195</v>
      </c>
      <c r="AX61" s="9"/>
      <c r="AY61" s="22">
        <v>0.15686</v>
      </c>
      <c r="AZ61" s="22">
        <v>26.944700000000001</v>
      </c>
      <c r="BA61" s="22">
        <v>-1.6873200000000001E-2</v>
      </c>
      <c r="BB61" s="22">
        <v>51</v>
      </c>
      <c r="BC61" s="22">
        <v>0.15615799999999999</v>
      </c>
      <c r="BD61">
        <f t="shared" si="10"/>
        <v>20.831111111111113</v>
      </c>
      <c r="BE61">
        <f t="shared" si="11"/>
        <v>3.2675680888888894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5.6180199999999996</v>
      </c>
      <c r="I62" s="22">
        <v>-1.4382900000000001E-2</v>
      </c>
      <c r="J62" s="22">
        <v>52</v>
      </c>
      <c r="K62" s="22">
        <v>1.41693</v>
      </c>
      <c r="L62">
        <f t="shared" si="0"/>
        <v>17.756666666666668</v>
      </c>
      <c r="M62">
        <f t="shared" si="1"/>
        <v>25.181616833333337</v>
      </c>
      <c r="N62" s="9"/>
      <c r="O62" s="22">
        <v>0.16189600000000001</v>
      </c>
      <c r="P62" s="22">
        <v>9.1954999999999991</v>
      </c>
      <c r="Q62" s="22">
        <v>-1.6915900000000001E-2</v>
      </c>
      <c r="R62" s="22">
        <v>52</v>
      </c>
      <c r="S62" s="22">
        <v>0.16128500000000001</v>
      </c>
      <c r="T62">
        <f t="shared" si="2"/>
        <v>20.883827160493826</v>
      </c>
      <c r="U62">
        <f t="shared" si="3"/>
        <v>3.3810080819753088</v>
      </c>
      <c r="X62" s="9"/>
      <c r="Y62" s="22">
        <v>1.41815</v>
      </c>
      <c r="Z62" s="22">
        <v>14.501099999999999</v>
      </c>
      <c r="AA62" s="22">
        <v>-1.4331099999999999E-2</v>
      </c>
      <c r="AB62" s="22">
        <v>52</v>
      </c>
      <c r="AC62" s="22">
        <v>1.41693</v>
      </c>
      <c r="AD62">
        <f t="shared" si="4"/>
        <v>17.692716049382714</v>
      </c>
      <c r="AE62">
        <f t="shared" si="5"/>
        <v>25.090925265432094</v>
      </c>
      <c r="AF62" s="9"/>
      <c r="AG62" s="22">
        <v>0.16189600000000001</v>
      </c>
      <c r="AH62" s="22">
        <v>18.078499999999998</v>
      </c>
      <c r="AI62" s="22">
        <v>-1.6861000000000001E-2</v>
      </c>
      <c r="AJ62" s="22">
        <v>52</v>
      </c>
      <c r="AK62" s="22">
        <v>0.16137699999999999</v>
      </c>
      <c r="AL62">
        <f t="shared" si="6"/>
        <v>20.816049382716049</v>
      </c>
      <c r="AM62">
        <f t="shared" si="7"/>
        <v>3.3700351308641978</v>
      </c>
      <c r="AP62" s="9"/>
      <c r="AQ62" s="22">
        <v>1.41815</v>
      </c>
      <c r="AR62" s="22">
        <v>23.377199999999998</v>
      </c>
      <c r="AS62" s="22">
        <v>-1.4385999999999999E-2</v>
      </c>
      <c r="AT62" s="22">
        <v>52</v>
      </c>
      <c r="AU62" s="22">
        <v>1.4172400000000001</v>
      </c>
      <c r="AV62">
        <f t="shared" si="8"/>
        <v>17.760493827160492</v>
      </c>
      <c r="AW62">
        <f t="shared" si="9"/>
        <v>25.187044320987653</v>
      </c>
      <c r="AX62" s="9"/>
      <c r="AY62" s="22">
        <v>0.16189600000000001</v>
      </c>
      <c r="AZ62" s="22">
        <v>26.954699999999999</v>
      </c>
      <c r="BA62" s="22">
        <v>-1.6864000000000001E-2</v>
      </c>
      <c r="BB62" s="22">
        <v>52</v>
      </c>
      <c r="BC62" s="22">
        <v>0.16131599999999999</v>
      </c>
      <c r="BD62">
        <f t="shared" si="10"/>
        <v>20.819753086419752</v>
      </c>
      <c r="BE62">
        <f t="shared" si="11"/>
        <v>3.3706347456790122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5.6280900000000003</v>
      </c>
      <c r="I63" s="22">
        <v>-1.4419599999999999E-2</v>
      </c>
      <c r="J63" s="22">
        <v>53</v>
      </c>
      <c r="K63" s="22">
        <v>1.41174</v>
      </c>
      <c r="L63">
        <f t="shared" si="0"/>
        <v>17.801975308641975</v>
      </c>
      <c r="M63">
        <f t="shared" si="1"/>
        <v>25.156327348148146</v>
      </c>
      <c r="N63" s="9"/>
      <c r="O63" s="22">
        <v>0.166931</v>
      </c>
      <c r="P63" s="22">
        <v>9.2055699999999998</v>
      </c>
      <c r="Q63" s="22">
        <v>-1.6903700000000001E-2</v>
      </c>
      <c r="R63" s="22">
        <v>53</v>
      </c>
      <c r="S63" s="22">
        <v>0.16622899999999999</v>
      </c>
      <c r="T63">
        <f t="shared" si="2"/>
        <v>20.868765432098765</v>
      </c>
      <c r="U63">
        <f t="shared" si="3"/>
        <v>3.483643882345679</v>
      </c>
      <c r="X63" s="9"/>
      <c r="Y63" s="22">
        <v>1.4131199999999999</v>
      </c>
      <c r="Z63" s="22">
        <v>14.511100000000001</v>
      </c>
      <c r="AA63" s="22">
        <v>-1.43616E-2</v>
      </c>
      <c r="AB63" s="22">
        <v>53</v>
      </c>
      <c r="AC63" s="22">
        <v>1.41205</v>
      </c>
      <c r="AD63">
        <f t="shared" si="4"/>
        <v>17.73037037037037</v>
      </c>
      <c r="AE63">
        <f t="shared" si="5"/>
        <v>25.055140977777775</v>
      </c>
      <c r="AF63" s="9"/>
      <c r="AG63" s="22">
        <v>0.166931</v>
      </c>
      <c r="AH63" s="22">
        <v>18.0886</v>
      </c>
      <c r="AI63" s="22">
        <v>-1.68518E-2</v>
      </c>
      <c r="AJ63" s="22">
        <v>53</v>
      </c>
      <c r="AK63" s="22">
        <v>0.166321</v>
      </c>
      <c r="AL63">
        <f t="shared" si="6"/>
        <v>20.804691358024691</v>
      </c>
      <c r="AM63">
        <f t="shared" si="7"/>
        <v>3.4729479330864197</v>
      </c>
      <c r="AP63" s="9"/>
      <c r="AQ63" s="22">
        <v>1.4131199999999999</v>
      </c>
      <c r="AR63" s="22">
        <v>23.3873</v>
      </c>
      <c r="AS63" s="22">
        <v>-1.4413499999999999E-2</v>
      </c>
      <c r="AT63" s="22">
        <v>53</v>
      </c>
      <c r="AU63" s="22">
        <v>1.41174</v>
      </c>
      <c r="AV63">
        <f t="shared" si="8"/>
        <v>17.794444444444444</v>
      </c>
      <c r="AW63">
        <f t="shared" si="9"/>
        <v>25.145685333333333</v>
      </c>
      <c r="AX63" s="9"/>
      <c r="AY63" s="22">
        <v>0.166931</v>
      </c>
      <c r="AZ63" s="22">
        <v>26.9648</v>
      </c>
      <c r="BA63" s="22">
        <v>-1.68518E-2</v>
      </c>
      <c r="BB63" s="22">
        <v>53</v>
      </c>
      <c r="BC63" s="22">
        <v>0.16647300000000001</v>
      </c>
      <c r="BD63">
        <f t="shared" si="10"/>
        <v>20.804691358024691</v>
      </c>
      <c r="BE63">
        <f t="shared" si="11"/>
        <v>3.4729479330864197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5.6381600000000001</v>
      </c>
      <c r="I64" s="22">
        <v>-1.44531E-2</v>
      </c>
      <c r="J64" s="22">
        <v>54</v>
      </c>
      <c r="K64" s="22">
        <v>1.40747</v>
      </c>
      <c r="L64">
        <f t="shared" si="0"/>
        <v>17.843333333333334</v>
      </c>
      <c r="M64">
        <f t="shared" si="1"/>
        <v>25.124840800000001</v>
      </c>
      <c r="N64" s="9"/>
      <c r="O64" s="22">
        <v>0.17196700000000001</v>
      </c>
      <c r="P64" s="22">
        <v>9.2156400000000005</v>
      </c>
      <c r="Q64" s="22">
        <v>-1.68915E-2</v>
      </c>
      <c r="R64" s="22">
        <v>54</v>
      </c>
      <c r="S64" s="22">
        <v>0.17144799999999999</v>
      </c>
      <c r="T64">
        <f t="shared" si="2"/>
        <v>20.853703703703705</v>
      </c>
      <c r="U64">
        <f t="shared" si="3"/>
        <v>3.586148864814815</v>
      </c>
      <c r="X64" s="9"/>
      <c r="Y64" s="22">
        <v>1.40808</v>
      </c>
      <c r="Z64" s="22">
        <v>14.5212</v>
      </c>
      <c r="AA64" s="22">
        <v>-1.4389000000000001E-2</v>
      </c>
      <c r="AB64" s="22">
        <v>54</v>
      </c>
      <c r="AC64" s="22">
        <v>1.40686</v>
      </c>
      <c r="AD64">
        <f t="shared" si="4"/>
        <v>17.764197530864198</v>
      </c>
      <c r="AE64">
        <f t="shared" si="5"/>
        <v>25.013411259259261</v>
      </c>
      <c r="AF64" s="9"/>
      <c r="AG64" s="22">
        <v>0.17196700000000001</v>
      </c>
      <c r="AH64" s="22">
        <v>18.098700000000001</v>
      </c>
      <c r="AI64" s="22">
        <v>-1.68396E-2</v>
      </c>
      <c r="AJ64" s="22">
        <v>54</v>
      </c>
      <c r="AK64" s="22">
        <v>0.17141700000000001</v>
      </c>
      <c r="AL64">
        <f t="shared" si="6"/>
        <v>20.789629629629626</v>
      </c>
      <c r="AM64">
        <f t="shared" si="7"/>
        <v>3.575130238518518</v>
      </c>
      <c r="AP64" s="9"/>
      <c r="AQ64" s="22">
        <v>1.40808</v>
      </c>
      <c r="AR64" s="22">
        <v>23.397400000000001</v>
      </c>
      <c r="AS64" s="22">
        <v>-1.44379E-2</v>
      </c>
      <c r="AT64" s="22">
        <v>54</v>
      </c>
      <c r="AU64" s="22">
        <v>1.40778</v>
      </c>
      <c r="AV64">
        <f t="shared" si="8"/>
        <v>17.824567901234566</v>
      </c>
      <c r="AW64">
        <f t="shared" si="9"/>
        <v>25.098417570370369</v>
      </c>
      <c r="AX64" s="9"/>
      <c r="AY64" s="22">
        <v>0.17196700000000001</v>
      </c>
      <c r="AZ64" s="22">
        <v>26.974900000000002</v>
      </c>
      <c r="BA64" s="22">
        <v>-1.6842699999999999E-2</v>
      </c>
      <c r="BB64" s="22">
        <v>54</v>
      </c>
      <c r="BC64" s="22">
        <v>0.17144799999999999</v>
      </c>
      <c r="BD64">
        <f t="shared" si="10"/>
        <v>20.793456790123454</v>
      </c>
      <c r="BE64">
        <f t="shared" si="11"/>
        <v>3.57578838382716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5.6482299999999999</v>
      </c>
      <c r="I65" s="22">
        <v>-1.4483599999999999E-2</v>
      </c>
      <c r="J65" s="22">
        <v>55</v>
      </c>
      <c r="K65" s="22">
        <v>1.40228</v>
      </c>
      <c r="L65">
        <f t="shared" si="0"/>
        <v>17.880987654320986</v>
      </c>
      <c r="M65">
        <f t="shared" si="1"/>
        <v>25.087919728395057</v>
      </c>
      <c r="N65" s="9"/>
      <c r="O65" s="22">
        <v>0.17700199999999999</v>
      </c>
      <c r="P65" s="22">
        <v>9.2257099999999994</v>
      </c>
      <c r="Q65" s="22">
        <v>-1.68793E-2</v>
      </c>
      <c r="R65" s="22">
        <v>55</v>
      </c>
      <c r="S65" s="22">
        <v>0.17639199999999999</v>
      </c>
      <c r="T65">
        <f t="shared" si="2"/>
        <v>20.83864197530864</v>
      </c>
      <c r="U65">
        <f t="shared" si="3"/>
        <v>3.6884813069135798</v>
      </c>
      <c r="X65" s="9"/>
      <c r="Y65" s="22">
        <v>1.4030499999999999</v>
      </c>
      <c r="Z65" s="22">
        <v>14.5313</v>
      </c>
      <c r="AA65" s="22">
        <v>-1.44165E-2</v>
      </c>
      <c r="AB65" s="22">
        <v>55</v>
      </c>
      <c r="AC65" s="22">
        <v>1.40228</v>
      </c>
      <c r="AD65">
        <f t="shared" si="4"/>
        <v>17.798148148148147</v>
      </c>
      <c r="AE65">
        <f t="shared" si="5"/>
        <v>24.971691759259258</v>
      </c>
      <c r="AF65" s="9"/>
      <c r="AG65" s="22">
        <v>0.17700199999999999</v>
      </c>
      <c r="AH65" s="22">
        <v>18.108799999999999</v>
      </c>
      <c r="AI65" s="22">
        <v>-1.6830399999999999E-2</v>
      </c>
      <c r="AJ65" s="22">
        <v>55</v>
      </c>
      <c r="AK65" s="22">
        <v>0.17636099999999999</v>
      </c>
      <c r="AL65">
        <f t="shared" si="6"/>
        <v>20.778271604938269</v>
      </c>
      <c r="AM65">
        <f t="shared" si="7"/>
        <v>3.6777956306172834</v>
      </c>
      <c r="AP65" s="9"/>
      <c r="AQ65" s="22">
        <v>1.4030499999999999</v>
      </c>
      <c r="AR65" s="22">
        <v>23.407499999999999</v>
      </c>
      <c r="AS65" s="22">
        <v>-1.44653E-2</v>
      </c>
      <c r="AT65" s="22">
        <v>55</v>
      </c>
      <c r="AU65" s="22">
        <v>1.40228</v>
      </c>
      <c r="AV65">
        <f t="shared" si="8"/>
        <v>17.858395061728395</v>
      </c>
      <c r="AW65">
        <f t="shared" si="9"/>
        <v>25.056221191358024</v>
      </c>
      <c r="AX65" s="9"/>
      <c r="AY65" s="22">
        <v>0.17700199999999999</v>
      </c>
      <c r="AZ65" s="22">
        <v>26.9849</v>
      </c>
      <c r="BA65" s="22">
        <v>-1.6830399999999999E-2</v>
      </c>
      <c r="BB65" s="22">
        <v>55</v>
      </c>
      <c r="BC65" s="22">
        <v>0.176483</v>
      </c>
      <c r="BD65">
        <f t="shared" si="10"/>
        <v>20.778271604938269</v>
      </c>
      <c r="BE65">
        <f t="shared" si="11"/>
        <v>3.6777956306172834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5.6582999999999997</v>
      </c>
      <c r="I66" s="22">
        <v>-1.4508099999999999E-2</v>
      </c>
      <c r="J66" s="22">
        <v>56</v>
      </c>
      <c r="K66" s="22">
        <v>1.39679</v>
      </c>
      <c r="L66">
        <f t="shared" si="0"/>
        <v>17.911234567901232</v>
      </c>
      <c r="M66">
        <f t="shared" si="1"/>
        <v>25.040085038271602</v>
      </c>
      <c r="N66" s="9"/>
      <c r="O66" s="22">
        <v>0.182037</v>
      </c>
      <c r="P66" s="22">
        <v>9.2357800000000001</v>
      </c>
      <c r="Q66" s="22">
        <v>-1.6867099999999999E-2</v>
      </c>
      <c r="R66" s="22">
        <v>56</v>
      </c>
      <c r="S66" s="22">
        <v>0.18151900000000001</v>
      </c>
      <c r="T66">
        <f t="shared" si="2"/>
        <v>20.823580246913579</v>
      </c>
      <c r="U66">
        <f t="shared" si="3"/>
        <v>3.7906620774074073</v>
      </c>
      <c r="X66" s="9"/>
      <c r="Y66" s="22">
        <v>1.39801</v>
      </c>
      <c r="Z66" s="22">
        <v>14.5413</v>
      </c>
      <c r="AA66" s="22">
        <v>-1.4447E-2</v>
      </c>
      <c r="AB66" s="22">
        <v>56</v>
      </c>
      <c r="AC66" s="22">
        <v>1.39679</v>
      </c>
      <c r="AD66">
        <f t="shared" si="4"/>
        <v>17.8358024691358</v>
      </c>
      <c r="AE66">
        <f t="shared" si="5"/>
        <v>24.934630209876538</v>
      </c>
      <c r="AF66" s="9"/>
      <c r="AG66" s="22">
        <v>0.182037</v>
      </c>
      <c r="AH66" s="22">
        <v>18.1188</v>
      </c>
      <c r="AI66" s="22">
        <v>-1.6818199999999998E-2</v>
      </c>
      <c r="AJ66" s="22">
        <v>56</v>
      </c>
      <c r="AK66" s="22">
        <v>0.181427</v>
      </c>
      <c r="AL66">
        <f t="shared" si="6"/>
        <v>20.763209876543208</v>
      </c>
      <c r="AM66">
        <f t="shared" si="7"/>
        <v>3.7796724362962961</v>
      </c>
      <c r="AP66" s="9"/>
      <c r="AQ66" s="22">
        <v>1.39801</v>
      </c>
      <c r="AR66" s="22">
        <v>23.4175</v>
      </c>
      <c r="AS66" s="22">
        <v>-1.4489699999999999E-2</v>
      </c>
      <c r="AT66" s="22">
        <v>56</v>
      </c>
      <c r="AU66" s="22">
        <v>1.3964799999999999</v>
      </c>
      <c r="AV66">
        <f t="shared" si="8"/>
        <v>17.888518518518516</v>
      </c>
      <c r="AW66">
        <f t="shared" si="9"/>
        <v>25.008327774074072</v>
      </c>
      <c r="AX66" s="9"/>
      <c r="AY66" s="22">
        <v>0.182037</v>
      </c>
      <c r="AZ66" s="22">
        <v>26.995000000000001</v>
      </c>
      <c r="BA66" s="22">
        <v>-1.6818199999999998E-2</v>
      </c>
      <c r="BB66" s="22">
        <v>56</v>
      </c>
      <c r="BC66" s="22">
        <v>0.18148800000000001</v>
      </c>
      <c r="BD66">
        <f t="shared" si="10"/>
        <v>20.763209876543208</v>
      </c>
      <c r="BE66">
        <f t="shared" si="11"/>
        <v>3.7796724362962961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5.6683700000000004</v>
      </c>
      <c r="I67" s="22">
        <v>-1.45355E-2</v>
      </c>
      <c r="J67" s="22">
        <v>57</v>
      </c>
      <c r="K67" s="22">
        <v>1.3922099999999999</v>
      </c>
      <c r="L67">
        <f t="shared" si="0"/>
        <v>17.945061728395061</v>
      </c>
      <c r="M67">
        <f t="shared" si="1"/>
        <v>24.996932635802469</v>
      </c>
      <c r="N67" s="9"/>
      <c r="O67" s="22">
        <v>0.18707299999999999</v>
      </c>
      <c r="P67" s="22">
        <v>9.2458600000000004</v>
      </c>
      <c r="Q67" s="22">
        <v>-1.6854899999999999E-2</v>
      </c>
      <c r="R67" s="22">
        <v>57</v>
      </c>
      <c r="S67" s="22">
        <v>0.18649299999999999</v>
      </c>
      <c r="T67">
        <f t="shared" si="2"/>
        <v>20.808518518518515</v>
      </c>
      <c r="U67">
        <f t="shared" si="3"/>
        <v>3.892711984814814</v>
      </c>
      <c r="X67" s="9"/>
      <c r="Y67" s="22">
        <v>1.39297</v>
      </c>
      <c r="Z67" s="22">
        <v>14.551399999999999</v>
      </c>
      <c r="AA67" s="22">
        <v>-1.4477500000000001E-2</v>
      </c>
      <c r="AB67" s="22">
        <v>57</v>
      </c>
      <c r="AC67" s="22">
        <v>1.39252</v>
      </c>
      <c r="AD67">
        <f t="shared" si="4"/>
        <v>17.873456790123456</v>
      </c>
      <c r="AE67">
        <f t="shared" si="5"/>
        <v>24.897189104938271</v>
      </c>
      <c r="AF67" s="9"/>
      <c r="AG67" s="22">
        <v>0.18707299999999999</v>
      </c>
      <c r="AH67" s="22">
        <v>18.128900000000002</v>
      </c>
      <c r="AI67" s="22">
        <v>-1.6806000000000001E-2</v>
      </c>
      <c r="AJ67" s="22">
        <v>57</v>
      </c>
      <c r="AK67" s="22">
        <v>0.18664600000000001</v>
      </c>
      <c r="AL67">
        <f t="shared" si="6"/>
        <v>20.748148148148147</v>
      </c>
      <c r="AM67">
        <f t="shared" si="7"/>
        <v>3.8814183185185178</v>
      </c>
      <c r="AP67" s="9"/>
      <c r="AQ67" s="22">
        <v>1.39297</v>
      </c>
      <c r="AR67" s="22">
        <v>23.427600000000002</v>
      </c>
      <c r="AS67" s="22">
        <v>-1.4511100000000001E-2</v>
      </c>
      <c r="AT67" s="22">
        <v>57</v>
      </c>
      <c r="AU67" s="22">
        <v>1.39252</v>
      </c>
      <c r="AV67">
        <f t="shared" si="8"/>
        <v>17.914938271604939</v>
      </c>
      <c r="AW67">
        <f t="shared" si="9"/>
        <v>24.954971564197532</v>
      </c>
      <c r="AX67" s="9"/>
      <c r="AY67" s="22">
        <v>0.18707299999999999</v>
      </c>
      <c r="AZ67" s="22">
        <v>27.005099999999999</v>
      </c>
      <c r="BA67" s="22">
        <v>-1.6802999999999998E-2</v>
      </c>
      <c r="BB67" s="22">
        <v>57</v>
      </c>
      <c r="BC67" s="22">
        <v>0.186554</v>
      </c>
      <c r="BD67">
        <f t="shared" si="10"/>
        <v>20.74444444444444</v>
      </c>
      <c r="BE67">
        <f t="shared" si="11"/>
        <v>3.8807254555555546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5.6784400000000002</v>
      </c>
      <c r="I68" s="22">
        <v>-1.4559900000000001E-2</v>
      </c>
      <c r="J68" s="22">
        <v>58</v>
      </c>
      <c r="K68" s="22">
        <v>1.3870199999999999</v>
      </c>
      <c r="L68">
        <f t="shared" si="0"/>
        <v>17.975185185185186</v>
      </c>
      <c r="M68">
        <f t="shared" si="1"/>
        <v>24.948478525925925</v>
      </c>
      <c r="N68" s="9"/>
      <c r="O68" s="22">
        <v>0.192108</v>
      </c>
      <c r="P68" s="22">
        <v>9.2559299999999993</v>
      </c>
      <c r="Q68" s="22">
        <v>-1.6842699999999999E-2</v>
      </c>
      <c r="R68" s="22">
        <v>58</v>
      </c>
      <c r="S68" s="22">
        <v>0.19155900000000001</v>
      </c>
      <c r="T68">
        <f t="shared" si="2"/>
        <v>20.793456790123454</v>
      </c>
      <c r="U68">
        <f t="shared" si="3"/>
        <v>3.9945893970370365</v>
      </c>
      <c r="X68" s="9"/>
      <c r="Y68" s="22">
        <v>1.38794</v>
      </c>
      <c r="Z68" s="22">
        <v>14.561500000000001</v>
      </c>
      <c r="AA68" s="22">
        <v>-1.4501999999999999E-2</v>
      </c>
      <c r="AB68" s="22">
        <v>58</v>
      </c>
      <c r="AC68" s="22">
        <v>1.3870199999999999</v>
      </c>
      <c r="AD68">
        <f t="shared" si="4"/>
        <v>17.903703703703702</v>
      </c>
      <c r="AE68">
        <f t="shared" si="5"/>
        <v>24.849266518518515</v>
      </c>
      <c r="AF68" s="9"/>
      <c r="AG68" s="22">
        <v>0.192108</v>
      </c>
      <c r="AH68" s="22">
        <v>18.138999999999999</v>
      </c>
      <c r="AI68" s="22">
        <v>-1.6793800000000001E-2</v>
      </c>
      <c r="AJ68" s="22">
        <v>58</v>
      </c>
      <c r="AK68" s="22">
        <v>0.191772</v>
      </c>
      <c r="AL68">
        <f t="shared" si="6"/>
        <v>20.733086419753089</v>
      </c>
      <c r="AM68">
        <f t="shared" si="7"/>
        <v>3.9829917659259264</v>
      </c>
      <c r="AP68" s="9"/>
      <c r="AQ68" s="22">
        <v>1.38794</v>
      </c>
      <c r="AR68" s="22">
        <v>23.4377</v>
      </c>
      <c r="AS68" s="22">
        <v>-1.45294E-2</v>
      </c>
      <c r="AT68" s="22">
        <v>58</v>
      </c>
      <c r="AU68" s="22">
        <v>1.38733</v>
      </c>
      <c r="AV68">
        <f t="shared" si="8"/>
        <v>17.93753086419753</v>
      </c>
      <c r="AW68">
        <f t="shared" si="9"/>
        <v>24.896216587654319</v>
      </c>
      <c r="AX68" s="9"/>
      <c r="AY68" s="22">
        <v>0.192108</v>
      </c>
      <c r="AZ68" s="22">
        <v>27.0152</v>
      </c>
      <c r="BA68" s="22">
        <v>-1.6793800000000001E-2</v>
      </c>
      <c r="BB68" s="22">
        <v>58</v>
      </c>
      <c r="BC68" s="22">
        <v>0.19137599999999999</v>
      </c>
      <c r="BD68">
        <f t="shared" si="10"/>
        <v>20.733086419753089</v>
      </c>
      <c r="BE68">
        <f t="shared" si="11"/>
        <v>3.9829917659259264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5.68851</v>
      </c>
      <c r="I69" s="22">
        <v>-1.4584400000000001E-2</v>
      </c>
      <c r="J69" s="22">
        <v>59</v>
      </c>
      <c r="K69" s="22">
        <v>1.3821399999999999</v>
      </c>
      <c r="L69">
        <f t="shared" si="0"/>
        <v>18.005432098765432</v>
      </c>
      <c r="M69">
        <f t="shared" si="1"/>
        <v>24.899712049382718</v>
      </c>
      <c r="N69" s="9"/>
      <c r="O69" s="22">
        <v>0.19714400000000001</v>
      </c>
      <c r="P69" s="22">
        <v>9.266</v>
      </c>
      <c r="Q69" s="22">
        <v>-1.6830399999999999E-2</v>
      </c>
      <c r="R69" s="22">
        <v>59</v>
      </c>
      <c r="S69" s="22">
        <v>0.196716</v>
      </c>
      <c r="T69">
        <f t="shared" si="2"/>
        <v>20.778271604938269</v>
      </c>
      <c r="U69">
        <f t="shared" si="3"/>
        <v>4.0963115772839505</v>
      </c>
      <c r="X69" s="9"/>
      <c r="Y69" s="22">
        <v>1.3829</v>
      </c>
      <c r="Z69" s="22">
        <v>14.5716</v>
      </c>
      <c r="AA69" s="22">
        <v>-1.45264E-2</v>
      </c>
      <c r="AB69" s="22">
        <v>59</v>
      </c>
      <c r="AC69" s="22">
        <v>1.3821399999999999</v>
      </c>
      <c r="AD69">
        <f t="shared" si="4"/>
        <v>17.933827160493827</v>
      </c>
      <c r="AE69">
        <f t="shared" si="5"/>
        <v>24.800689580246914</v>
      </c>
      <c r="AF69" s="9"/>
      <c r="AG69" s="22">
        <v>0.19714400000000001</v>
      </c>
      <c r="AH69" s="22">
        <v>18.149000000000001</v>
      </c>
      <c r="AI69" s="22">
        <v>-1.6778600000000001E-2</v>
      </c>
      <c r="AJ69" s="22">
        <v>59</v>
      </c>
      <c r="AK69" s="22">
        <v>0.19677700000000001</v>
      </c>
      <c r="AL69">
        <f t="shared" si="6"/>
        <v>20.714320987654322</v>
      </c>
      <c r="AM69">
        <f t="shared" si="7"/>
        <v>4.0837040967901235</v>
      </c>
      <c r="AP69" s="9"/>
      <c r="AQ69" s="22">
        <v>1.3829</v>
      </c>
      <c r="AR69" s="22">
        <v>23.447700000000001</v>
      </c>
      <c r="AS69" s="22">
        <v>-1.45477E-2</v>
      </c>
      <c r="AT69" s="22">
        <v>59</v>
      </c>
      <c r="AU69" s="22">
        <v>1.3821399999999999</v>
      </c>
      <c r="AV69">
        <f t="shared" si="8"/>
        <v>17.960123456790122</v>
      </c>
      <c r="AW69">
        <f t="shared" si="9"/>
        <v>24.83705472839506</v>
      </c>
      <c r="AX69" s="9"/>
      <c r="AY69" s="22">
        <v>0.19714400000000001</v>
      </c>
      <c r="AZ69" s="22">
        <v>27.025200000000002</v>
      </c>
      <c r="BA69" s="22">
        <v>-1.67847E-2</v>
      </c>
      <c r="BB69" s="22">
        <v>59</v>
      </c>
      <c r="BC69" s="22">
        <v>0.19631999999999999</v>
      </c>
      <c r="BD69">
        <f t="shared" si="10"/>
        <v>20.721851851851849</v>
      </c>
      <c r="BE69">
        <f t="shared" si="11"/>
        <v>4.085188761481481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5.6985799999999998</v>
      </c>
      <c r="I70" s="22">
        <v>-1.4605699999999999E-2</v>
      </c>
      <c r="J70" s="22">
        <v>60</v>
      </c>
      <c r="K70" s="22">
        <v>1.3772599999999999</v>
      </c>
      <c r="L70">
        <f t="shared" si="0"/>
        <v>18.031728395061727</v>
      </c>
      <c r="M70">
        <f t="shared" si="1"/>
        <v>24.8453776037037</v>
      </c>
      <c r="N70" s="9"/>
      <c r="O70" s="22">
        <v>0.202179</v>
      </c>
      <c r="P70" s="22">
        <v>9.2760700000000007</v>
      </c>
      <c r="Q70" s="22">
        <v>-1.6821300000000001E-2</v>
      </c>
      <c r="R70" s="22">
        <v>60</v>
      </c>
      <c r="S70" s="22">
        <v>0.201599</v>
      </c>
      <c r="T70">
        <f t="shared" si="2"/>
        <v>20.767037037037035</v>
      </c>
      <c r="U70">
        <f t="shared" si="3"/>
        <v>4.1986587811111109</v>
      </c>
      <c r="X70" s="9"/>
      <c r="Y70" s="22">
        <v>1.3778699999999999</v>
      </c>
      <c r="Z70" s="22">
        <v>14.5816</v>
      </c>
      <c r="AA70" s="22">
        <v>-1.4544700000000001E-2</v>
      </c>
      <c r="AB70" s="22">
        <v>60</v>
      </c>
      <c r="AC70" s="22">
        <v>1.3769499999999999</v>
      </c>
      <c r="AD70">
        <f t="shared" si="4"/>
        <v>17.956419753086422</v>
      </c>
      <c r="AE70">
        <f t="shared" si="5"/>
        <v>24.741612085185189</v>
      </c>
      <c r="AF70" s="9"/>
      <c r="AG70" s="22">
        <v>0.202179</v>
      </c>
      <c r="AH70" s="22">
        <v>18.159099999999999</v>
      </c>
      <c r="AI70" s="22">
        <v>-1.67694E-2</v>
      </c>
      <c r="AJ70" s="22">
        <v>60</v>
      </c>
      <c r="AK70" s="22">
        <v>0.20147699999999999</v>
      </c>
      <c r="AL70">
        <f t="shared" si="6"/>
        <v>20.70296296296296</v>
      </c>
      <c r="AM70">
        <f t="shared" si="7"/>
        <v>4.1857043488888879</v>
      </c>
      <c r="AP70" s="9"/>
      <c r="AQ70" s="22">
        <v>1.3778699999999999</v>
      </c>
      <c r="AR70" s="22">
        <v>23.457799999999999</v>
      </c>
      <c r="AS70" s="22">
        <v>-1.4566000000000001E-2</v>
      </c>
      <c r="AT70" s="22">
        <v>60</v>
      </c>
      <c r="AU70" s="22">
        <v>1.3769499999999999</v>
      </c>
      <c r="AV70">
        <f t="shared" si="8"/>
        <v>17.982716049382717</v>
      </c>
      <c r="AW70">
        <f t="shared" si="9"/>
        <v>24.777844962962963</v>
      </c>
      <c r="AX70" s="9"/>
      <c r="AY70" s="22">
        <v>0.202179</v>
      </c>
      <c r="AZ70" s="22">
        <v>27.035299999999999</v>
      </c>
      <c r="BA70" s="22">
        <v>-1.6775499999999999E-2</v>
      </c>
      <c r="BB70" s="22">
        <v>60</v>
      </c>
      <c r="BC70" s="22">
        <v>0.20169100000000001</v>
      </c>
      <c r="BD70">
        <f t="shared" si="10"/>
        <v>20.710493827160491</v>
      </c>
      <c r="BE70">
        <f t="shared" si="11"/>
        <v>4.1872269314814812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5.7086600000000001</v>
      </c>
      <c r="I71" s="22">
        <v>-1.4627100000000001E-2</v>
      </c>
      <c r="J71" s="22">
        <v>61</v>
      </c>
      <c r="K71" s="22">
        <v>1.3714599999999999</v>
      </c>
      <c r="L71">
        <f t="shared" si="0"/>
        <v>18.058148148148145</v>
      </c>
      <c r="M71">
        <f t="shared" si="1"/>
        <v>24.790767522222218</v>
      </c>
      <c r="N71" s="9"/>
      <c r="O71" s="22">
        <v>0.20721400000000001</v>
      </c>
      <c r="P71" s="22">
        <v>9.2861399999999996</v>
      </c>
      <c r="Q71" s="22">
        <v>-1.68121E-2</v>
      </c>
      <c r="R71" s="22">
        <v>61</v>
      </c>
      <c r="S71" s="22">
        <v>0.20663500000000001</v>
      </c>
      <c r="T71">
        <f t="shared" si="2"/>
        <v>20.755679012345681</v>
      </c>
      <c r="U71">
        <f t="shared" si="3"/>
        <v>4.300867270864198</v>
      </c>
      <c r="X71" s="9"/>
      <c r="Y71" s="22">
        <v>1.37283</v>
      </c>
      <c r="Z71" s="22">
        <v>14.591699999999999</v>
      </c>
      <c r="AA71" s="22">
        <v>-1.4563E-2</v>
      </c>
      <c r="AB71" s="22">
        <v>61</v>
      </c>
      <c r="AC71" s="22">
        <v>1.3720699999999999</v>
      </c>
      <c r="AD71">
        <f t="shared" si="4"/>
        <v>17.979012345679013</v>
      </c>
      <c r="AE71">
        <f t="shared" si="5"/>
        <v>24.68212751851852</v>
      </c>
      <c r="AF71" s="9"/>
      <c r="AG71" s="22">
        <v>0.20721400000000001</v>
      </c>
      <c r="AH71" s="22">
        <v>18.1692</v>
      </c>
      <c r="AI71" s="22">
        <v>-1.67572E-2</v>
      </c>
      <c r="AJ71" s="22">
        <v>61</v>
      </c>
      <c r="AK71" s="22">
        <v>0.20660400000000001</v>
      </c>
      <c r="AL71">
        <f t="shared" si="6"/>
        <v>20.687901234567903</v>
      </c>
      <c r="AM71">
        <f t="shared" si="7"/>
        <v>4.2868227664197533</v>
      </c>
      <c r="AP71" s="9"/>
      <c r="AQ71" s="22">
        <v>1.37283</v>
      </c>
      <c r="AR71" s="22">
        <v>23.4679</v>
      </c>
      <c r="AS71" s="22">
        <v>-1.4584400000000001E-2</v>
      </c>
      <c r="AT71" s="22">
        <v>61</v>
      </c>
      <c r="AU71" s="22">
        <v>1.3717699999999999</v>
      </c>
      <c r="AV71">
        <f t="shared" si="8"/>
        <v>18.005432098765432</v>
      </c>
      <c r="AW71">
        <f t="shared" si="9"/>
        <v>24.718397348148148</v>
      </c>
      <c r="AX71" s="9"/>
      <c r="AY71" s="22">
        <v>0.20721400000000001</v>
      </c>
      <c r="AZ71" s="22">
        <v>27.045400000000001</v>
      </c>
      <c r="BA71" s="22">
        <v>-1.6766400000000001E-2</v>
      </c>
      <c r="BB71" s="22">
        <v>61</v>
      </c>
      <c r="BC71" s="22">
        <v>0.20666499999999999</v>
      </c>
      <c r="BD71">
        <f t="shared" si="10"/>
        <v>20.699259259259257</v>
      </c>
      <c r="BE71">
        <f t="shared" si="11"/>
        <v>4.2891763081481482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5.7187299999999999</v>
      </c>
      <c r="I72" s="22">
        <v>-1.46423E-2</v>
      </c>
      <c r="J72" s="22">
        <v>62</v>
      </c>
      <c r="K72" s="22">
        <v>1.3668800000000001</v>
      </c>
      <c r="L72">
        <f t="shared" si="0"/>
        <v>18.076913580246913</v>
      </c>
      <c r="M72">
        <f t="shared" si="1"/>
        <v>24.725602395061724</v>
      </c>
      <c r="N72" s="9"/>
      <c r="O72" s="22">
        <v>0.21224999999999999</v>
      </c>
      <c r="P72" s="22">
        <v>9.2962100000000003</v>
      </c>
      <c r="Q72" s="22">
        <v>-1.67999E-2</v>
      </c>
      <c r="R72" s="22">
        <v>62</v>
      </c>
      <c r="S72" s="22">
        <v>0.2117</v>
      </c>
      <c r="T72">
        <f t="shared" si="2"/>
        <v>20.740617283950616</v>
      </c>
      <c r="U72">
        <f t="shared" si="3"/>
        <v>4.4021960185185183</v>
      </c>
      <c r="X72" s="9"/>
      <c r="Y72" s="22">
        <v>1.3677999999999999</v>
      </c>
      <c r="Z72" s="22">
        <v>14.601800000000001</v>
      </c>
      <c r="AA72" s="22">
        <v>-1.45813E-2</v>
      </c>
      <c r="AB72" s="22">
        <v>62</v>
      </c>
      <c r="AC72" s="22">
        <v>1.3665799999999999</v>
      </c>
      <c r="AD72">
        <f t="shared" si="4"/>
        <v>18.001604938271605</v>
      </c>
      <c r="AE72">
        <f t="shared" si="5"/>
        <v>24.6225952345679</v>
      </c>
      <c r="AF72" s="9"/>
      <c r="AG72" s="22">
        <v>0.21224999999999999</v>
      </c>
      <c r="AH72" s="22">
        <v>18.179300000000001</v>
      </c>
      <c r="AI72" s="22">
        <v>-1.6747999999999999E-2</v>
      </c>
      <c r="AJ72" s="22">
        <v>62</v>
      </c>
      <c r="AK72" s="22">
        <v>0.21160899999999999</v>
      </c>
      <c r="AL72">
        <f t="shared" si="6"/>
        <v>20.676543209876542</v>
      </c>
      <c r="AM72">
        <f t="shared" si="7"/>
        <v>4.3885962962962957</v>
      </c>
      <c r="AP72" s="9"/>
      <c r="AQ72" s="22">
        <v>1.3677999999999999</v>
      </c>
      <c r="AR72" s="22">
        <v>23.478000000000002</v>
      </c>
      <c r="AS72" s="22">
        <v>-1.4599600000000001E-2</v>
      </c>
      <c r="AT72" s="22">
        <v>62</v>
      </c>
      <c r="AU72" s="22">
        <v>1.3668800000000001</v>
      </c>
      <c r="AV72">
        <f t="shared" si="8"/>
        <v>18.0241975308642</v>
      </c>
      <c r="AW72">
        <f t="shared" si="9"/>
        <v>24.653497382716051</v>
      </c>
      <c r="AX72" s="9"/>
      <c r="AY72" s="22">
        <v>0.21224999999999999</v>
      </c>
      <c r="AZ72" s="22">
        <v>27.055399999999999</v>
      </c>
      <c r="BA72" s="22">
        <v>-1.67572E-2</v>
      </c>
      <c r="BB72" s="22">
        <v>62</v>
      </c>
      <c r="BC72" s="22">
        <v>0.2117</v>
      </c>
      <c r="BD72">
        <f t="shared" si="10"/>
        <v>20.687901234567903</v>
      </c>
      <c r="BE72">
        <f t="shared" si="11"/>
        <v>4.3910070370370375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5.7287999999999997</v>
      </c>
      <c r="I73" s="22">
        <v>-1.4660599999999999E-2</v>
      </c>
      <c r="J73" s="22">
        <v>63</v>
      </c>
      <c r="K73" s="22">
        <v>1.3616900000000001</v>
      </c>
      <c r="L73">
        <f t="shared" si="0"/>
        <v>18.099506172839504</v>
      </c>
      <c r="M73">
        <f t="shared" si="1"/>
        <v>24.665283032098763</v>
      </c>
      <c r="N73" s="9"/>
      <c r="O73" s="22">
        <v>0.21728500000000001</v>
      </c>
      <c r="P73" s="22">
        <v>9.3062799999999992</v>
      </c>
      <c r="Q73" s="22">
        <v>-1.6787699999999999E-2</v>
      </c>
      <c r="R73" s="22">
        <v>63</v>
      </c>
      <c r="S73" s="22">
        <v>0.216614</v>
      </c>
      <c r="T73">
        <f t="shared" si="2"/>
        <v>20.725555555555552</v>
      </c>
      <c r="U73">
        <f t="shared" si="3"/>
        <v>4.5033523388888881</v>
      </c>
      <c r="X73" s="9"/>
      <c r="Y73" s="22">
        <v>1.36276</v>
      </c>
      <c r="Z73" s="22">
        <v>14.611800000000001</v>
      </c>
      <c r="AA73" s="22">
        <v>-1.45966E-2</v>
      </c>
      <c r="AB73" s="22">
        <v>63</v>
      </c>
      <c r="AC73" s="22">
        <v>1.3620000000000001</v>
      </c>
      <c r="AD73">
        <f t="shared" si="4"/>
        <v>18.020493827160493</v>
      </c>
      <c r="AE73">
        <f t="shared" si="5"/>
        <v>24.557608167901233</v>
      </c>
      <c r="AF73" s="9"/>
      <c r="AG73" s="22">
        <v>0.21728500000000001</v>
      </c>
      <c r="AH73" s="22">
        <v>18.189299999999999</v>
      </c>
      <c r="AI73" s="22">
        <v>-1.6735799999999999E-2</v>
      </c>
      <c r="AJ73" s="22">
        <v>63</v>
      </c>
      <c r="AK73" s="22">
        <v>0.21649199999999999</v>
      </c>
      <c r="AL73">
        <f t="shared" si="6"/>
        <v>20.661481481481477</v>
      </c>
      <c r="AM73">
        <f t="shared" si="7"/>
        <v>4.4894300037037027</v>
      </c>
      <c r="AP73" s="9"/>
      <c r="AQ73" s="22">
        <v>1.36276</v>
      </c>
      <c r="AR73" s="22">
        <v>23.488</v>
      </c>
      <c r="AS73" s="22">
        <v>-1.46149E-2</v>
      </c>
      <c r="AT73" s="22">
        <v>63</v>
      </c>
      <c r="AU73" s="22">
        <v>1.3613900000000001</v>
      </c>
      <c r="AV73">
        <f t="shared" si="8"/>
        <v>18.043086419753088</v>
      </c>
      <c r="AW73">
        <f t="shared" si="9"/>
        <v>24.588396449382717</v>
      </c>
      <c r="AX73" s="9"/>
      <c r="AY73" s="22">
        <v>0.21728500000000001</v>
      </c>
      <c r="AZ73" s="22">
        <v>27.0655</v>
      </c>
      <c r="BA73" s="22">
        <v>-1.6744999999999999E-2</v>
      </c>
      <c r="BB73" s="22">
        <v>63</v>
      </c>
      <c r="BC73" s="22">
        <v>0.21670500000000001</v>
      </c>
      <c r="BD73">
        <f t="shared" si="10"/>
        <v>20.672839506172838</v>
      </c>
      <c r="BE73">
        <f t="shared" si="11"/>
        <v>4.4918979320987651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5.7388700000000004</v>
      </c>
      <c r="I74" s="22">
        <v>-1.4678999999999999E-2</v>
      </c>
      <c r="J74" s="22">
        <v>64</v>
      </c>
      <c r="K74" s="22">
        <v>1.3571200000000001</v>
      </c>
      <c r="L74">
        <f t="shared" si="0"/>
        <v>18.12222222222222</v>
      </c>
      <c r="M74">
        <f t="shared" si="1"/>
        <v>24.605084777777776</v>
      </c>
      <c r="N74" s="9"/>
      <c r="O74" s="22">
        <v>0.22232099999999999</v>
      </c>
      <c r="P74" s="22">
        <v>9.3163499999999999</v>
      </c>
      <c r="Q74" s="22">
        <v>-1.6775499999999999E-2</v>
      </c>
      <c r="R74" s="22">
        <v>64</v>
      </c>
      <c r="S74" s="22">
        <v>0.22174099999999999</v>
      </c>
      <c r="T74">
        <f t="shared" si="2"/>
        <v>20.710493827160491</v>
      </c>
      <c r="U74">
        <f t="shared" si="3"/>
        <v>4.6043776981481477</v>
      </c>
      <c r="X74" s="9"/>
      <c r="Y74" s="22">
        <v>1.3577300000000001</v>
      </c>
      <c r="Z74" s="22">
        <v>14.6219</v>
      </c>
      <c r="AA74" s="22">
        <v>-1.46149E-2</v>
      </c>
      <c r="AB74" s="22">
        <v>64</v>
      </c>
      <c r="AC74" s="22">
        <v>1.3571200000000001</v>
      </c>
      <c r="AD74">
        <f t="shared" si="4"/>
        <v>18.043086419753088</v>
      </c>
      <c r="AE74">
        <f t="shared" si="5"/>
        <v>24.497639724691361</v>
      </c>
      <c r="AF74" s="9"/>
      <c r="AG74" s="22">
        <v>0.22232099999999999</v>
      </c>
      <c r="AH74" s="22">
        <v>18.199400000000001</v>
      </c>
      <c r="AI74" s="22">
        <v>-1.6726700000000001E-2</v>
      </c>
      <c r="AJ74" s="22">
        <v>64</v>
      </c>
      <c r="AK74" s="22">
        <v>0.22167999999999999</v>
      </c>
      <c r="AL74">
        <f t="shared" si="6"/>
        <v>20.650246913580247</v>
      </c>
      <c r="AM74">
        <f t="shared" si="7"/>
        <v>4.5909835440740743</v>
      </c>
      <c r="AP74" s="9"/>
      <c r="AQ74" s="22">
        <v>1.3577300000000001</v>
      </c>
      <c r="AR74" s="22">
        <v>23.498100000000001</v>
      </c>
      <c r="AS74" s="22">
        <v>-1.46301E-2</v>
      </c>
      <c r="AT74" s="22">
        <v>64</v>
      </c>
      <c r="AU74" s="22">
        <v>1.3565100000000001</v>
      </c>
      <c r="AV74">
        <f t="shared" si="8"/>
        <v>18.061851851851848</v>
      </c>
      <c r="AW74">
        <f t="shared" si="9"/>
        <v>24.523118114814814</v>
      </c>
      <c r="AX74" s="9"/>
      <c r="AY74" s="22">
        <v>0.22232099999999999</v>
      </c>
      <c r="AZ74" s="22">
        <v>27.075600000000001</v>
      </c>
      <c r="BA74" s="22">
        <v>-1.6735799999999999E-2</v>
      </c>
      <c r="BB74" s="22">
        <v>64</v>
      </c>
      <c r="BC74" s="22">
        <v>0.22174099999999999</v>
      </c>
      <c r="BD74">
        <f t="shared" si="10"/>
        <v>20.661481481481477</v>
      </c>
      <c r="BE74">
        <f t="shared" si="11"/>
        <v>4.5934812244444432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5.7489400000000002</v>
      </c>
      <c r="I75" s="22">
        <v>-1.46973E-2</v>
      </c>
      <c r="J75" s="22">
        <v>65</v>
      </c>
      <c r="K75" s="22">
        <v>1.35223</v>
      </c>
      <c r="L75">
        <f t="shared" si="0"/>
        <v>18.144814814814815</v>
      </c>
      <c r="M75">
        <f t="shared" si="1"/>
        <v>24.54430955185185</v>
      </c>
      <c r="N75" s="9"/>
      <c r="O75" s="22">
        <v>0.227356</v>
      </c>
      <c r="P75" s="22">
        <v>9.3264200000000006</v>
      </c>
      <c r="Q75" s="22">
        <v>-1.6766400000000001E-2</v>
      </c>
      <c r="R75" s="22">
        <v>65</v>
      </c>
      <c r="S75" s="22">
        <v>0.22677600000000001</v>
      </c>
      <c r="T75">
        <f t="shared" si="2"/>
        <v>20.699259259259257</v>
      </c>
      <c r="U75">
        <f t="shared" si="3"/>
        <v>4.7061007881481478</v>
      </c>
      <c r="X75" s="9"/>
      <c r="Y75" s="22">
        <v>1.3526899999999999</v>
      </c>
      <c r="Z75" s="22">
        <v>14.632</v>
      </c>
      <c r="AA75" s="22">
        <v>-1.46301E-2</v>
      </c>
      <c r="AB75" s="22">
        <v>65</v>
      </c>
      <c r="AC75" s="22">
        <v>1.35223</v>
      </c>
      <c r="AD75">
        <f t="shared" si="4"/>
        <v>18.061851851851848</v>
      </c>
      <c r="AE75">
        <f t="shared" si="5"/>
        <v>24.432086381481476</v>
      </c>
      <c r="AF75" s="9"/>
      <c r="AG75" s="22">
        <v>0.227356</v>
      </c>
      <c r="AH75" s="22">
        <v>18.209499999999998</v>
      </c>
      <c r="AI75" s="22">
        <v>-1.67175E-2</v>
      </c>
      <c r="AJ75" s="22">
        <v>65</v>
      </c>
      <c r="AK75" s="22">
        <v>0.22695899999999999</v>
      </c>
      <c r="AL75">
        <f t="shared" si="6"/>
        <v>20.638888888888886</v>
      </c>
      <c r="AM75">
        <f t="shared" si="7"/>
        <v>4.6923752222222213</v>
      </c>
      <c r="AP75" s="9"/>
      <c r="AQ75" s="22">
        <v>1.3526899999999999</v>
      </c>
      <c r="AR75" s="22">
        <v>23.508199999999999</v>
      </c>
      <c r="AS75" s="22">
        <v>-1.4645399999999999E-2</v>
      </c>
      <c r="AT75" s="22">
        <v>65</v>
      </c>
      <c r="AU75" s="22">
        <v>1.3519300000000001</v>
      </c>
      <c r="AV75">
        <f t="shared" si="8"/>
        <v>18.080740740740737</v>
      </c>
      <c r="AW75">
        <f t="shared" si="9"/>
        <v>24.457637192592586</v>
      </c>
      <c r="AX75" s="9"/>
      <c r="AY75" s="22">
        <v>0.227356</v>
      </c>
      <c r="AZ75" s="22">
        <v>27.085699999999999</v>
      </c>
      <c r="BA75" s="22">
        <v>-1.6723600000000002E-2</v>
      </c>
      <c r="BB75" s="22">
        <v>65</v>
      </c>
      <c r="BC75" s="22">
        <v>0.226746</v>
      </c>
      <c r="BD75">
        <f t="shared" si="10"/>
        <v>20.64641975308642</v>
      </c>
      <c r="BE75">
        <f t="shared" si="11"/>
        <v>4.6940874093827158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5.75901</v>
      </c>
      <c r="I76" s="22">
        <v>-1.47125E-2</v>
      </c>
      <c r="J76" s="22">
        <v>66</v>
      </c>
      <c r="K76" s="22">
        <v>1.34735</v>
      </c>
      <c r="L76">
        <f t="shared" ref="L76:L139" si="12">-I76/$F$2*1000</f>
        <v>18.163580246913579</v>
      </c>
      <c r="M76">
        <f t="shared" ref="M76:M139" si="13">L76*G76</f>
        <v>24.478330555555555</v>
      </c>
      <c r="N76" s="9"/>
      <c r="O76" s="22">
        <v>0.23239099999999999</v>
      </c>
      <c r="P76" s="22">
        <v>9.3364899999999995</v>
      </c>
      <c r="Q76" s="22">
        <v>-1.67542E-2</v>
      </c>
      <c r="R76" s="22">
        <v>66</v>
      </c>
      <c r="S76" s="22">
        <v>0.23184199999999999</v>
      </c>
      <c r="T76">
        <f t="shared" ref="T76:T139" si="14">-Q76/$F$2*1000</f>
        <v>20.684197530864196</v>
      </c>
      <c r="U76">
        <f t="shared" ref="U76:U139" si="15">T76*O76</f>
        <v>4.8068213483950615</v>
      </c>
      <c r="X76" s="9"/>
      <c r="Y76" s="22">
        <v>1.3476600000000001</v>
      </c>
      <c r="Z76" s="22">
        <v>14.642099999999999</v>
      </c>
      <c r="AA76" s="22">
        <v>-1.46423E-2</v>
      </c>
      <c r="AB76" s="22">
        <v>66</v>
      </c>
      <c r="AC76" s="22">
        <v>1.3464400000000001</v>
      </c>
      <c r="AD76">
        <f t="shared" ref="AD76:AD139" si="16">-AA76/$F$2*1000</f>
        <v>18.076913580246913</v>
      </c>
      <c r="AE76">
        <f t="shared" ref="AE76:AE139" si="17">AD76*Y76</f>
        <v>24.361533355555554</v>
      </c>
      <c r="AF76" s="9"/>
      <c r="AG76" s="22">
        <v>0.23239099999999999</v>
      </c>
      <c r="AH76" s="22">
        <v>18.2195</v>
      </c>
      <c r="AI76" s="22">
        <v>-1.6708400000000002E-2</v>
      </c>
      <c r="AJ76" s="22">
        <v>66</v>
      </c>
      <c r="AK76" s="22">
        <v>0.23172000000000001</v>
      </c>
      <c r="AL76">
        <f t="shared" ref="AL76:AL139" si="18">-AI76/$F$2*1000</f>
        <v>20.627654320987656</v>
      </c>
      <c r="AM76">
        <f t="shared" ref="AM76:AM139" si="19">AL76*AG76</f>
        <v>4.7936812153086423</v>
      </c>
      <c r="AP76" s="9"/>
      <c r="AQ76" s="22">
        <v>1.3476600000000001</v>
      </c>
      <c r="AR76" s="22">
        <v>23.5182</v>
      </c>
      <c r="AS76" s="22">
        <v>-1.4660599999999999E-2</v>
      </c>
      <c r="AT76" s="22">
        <v>66</v>
      </c>
      <c r="AU76" s="22">
        <v>1.3464400000000001</v>
      </c>
      <c r="AV76">
        <f t="shared" ref="AV76:AV139" si="20">-AS76/$F$2*1000</f>
        <v>18.099506172839504</v>
      </c>
      <c r="AW76">
        <f t="shared" ref="AW76:AW139" si="21">AV76*AQ76</f>
        <v>24.391980488888887</v>
      </c>
      <c r="AX76" s="9"/>
      <c r="AY76" s="22">
        <v>0.23239099999999999</v>
      </c>
      <c r="AZ76" s="22">
        <v>27.095700000000001</v>
      </c>
      <c r="BA76" s="22">
        <v>-1.6711400000000001E-2</v>
      </c>
      <c r="BB76" s="22">
        <v>66</v>
      </c>
      <c r="BC76" s="22">
        <v>0.23181199999999999</v>
      </c>
      <c r="BD76">
        <f t="shared" ref="BD76:BD139" si="22">-BA76/$F$2*1000</f>
        <v>20.631358024691359</v>
      </c>
      <c r="BE76">
        <f t="shared" ref="BE76:BE139" si="23">BD76*AY76</f>
        <v>4.7945419227160491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5.7690799999999998</v>
      </c>
      <c r="I77" s="22">
        <v>-1.4727799999999999E-2</v>
      </c>
      <c r="J77" s="22">
        <v>67</v>
      </c>
      <c r="K77" s="22">
        <v>1.3418600000000001</v>
      </c>
      <c r="L77">
        <f t="shared" si="12"/>
        <v>18.182469135802467</v>
      </c>
      <c r="M77">
        <f t="shared" si="13"/>
        <v>24.412146711111106</v>
      </c>
      <c r="N77" s="9"/>
      <c r="O77" s="22">
        <v>0.237427</v>
      </c>
      <c r="P77" s="22">
        <v>9.3465699999999998</v>
      </c>
      <c r="Q77" s="22">
        <v>-1.6741900000000001E-2</v>
      </c>
      <c r="R77" s="22">
        <v>67</v>
      </c>
      <c r="S77" s="22">
        <v>0.236847</v>
      </c>
      <c r="T77">
        <f t="shared" si="14"/>
        <v>20.669012345679011</v>
      </c>
      <c r="U77">
        <f t="shared" si="15"/>
        <v>4.9073815941975303</v>
      </c>
      <c r="X77" s="9"/>
      <c r="Y77" s="22">
        <v>1.3426199999999999</v>
      </c>
      <c r="Z77" s="22">
        <v>14.652100000000001</v>
      </c>
      <c r="AA77" s="22">
        <v>-1.46576E-2</v>
      </c>
      <c r="AB77" s="22">
        <v>67</v>
      </c>
      <c r="AC77" s="22">
        <v>1.3418600000000001</v>
      </c>
      <c r="AD77">
        <f t="shared" si="16"/>
        <v>18.095802469135801</v>
      </c>
      <c r="AE77">
        <f t="shared" si="17"/>
        <v>24.295786311111108</v>
      </c>
      <c r="AF77" s="9"/>
      <c r="AG77" s="22">
        <v>0.237427</v>
      </c>
      <c r="AH77" s="22">
        <v>18.229600000000001</v>
      </c>
      <c r="AI77" s="22">
        <v>-1.6699200000000001E-2</v>
      </c>
      <c r="AJ77" s="22">
        <v>67</v>
      </c>
      <c r="AK77" s="22">
        <v>0.23693800000000001</v>
      </c>
      <c r="AL77">
        <f t="shared" si="18"/>
        <v>20.616296296296294</v>
      </c>
      <c r="AM77">
        <f t="shared" si="19"/>
        <v>4.8948653807407405</v>
      </c>
      <c r="AP77" s="9"/>
      <c r="AQ77" s="22">
        <v>1.3426199999999999</v>
      </c>
      <c r="AR77" s="22">
        <v>23.528300000000002</v>
      </c>
      <c r="AS77" s="22">
        <v>-1.46698E-2</v>
      </c>
      <c r="AT77" s="22">
        <v>67</v>
      </c>
      <c r="AU77" s="22">
        <v>1.34216</v>
      </c>
      <c r="AV77">
        <f t="shared" si="20"/>
        <v>18.110864197530866</v>
      </c>
      <c r="AW77">
        <f t="shared" si="21"/>
        <v>24.31600848888889</v>
      </c>
      <c r="AX77" s="9"/>
      <c r="AY77" s="22">
        <v>0.237427</v>
      </c>
      <c r="AZ77" s="22">
        <v>27.105799999999999</v>
      </c>
      <c r="BA77" s="22">
        <v>-1.67023E-2</v>
      </c>
      <c r="BB77" s="22">
        <v>67</v>
      </c>
      <c r="BC77" s="22">
        <v>0.236786</v>
      </c>
      <c r="BD77">
        <f t="shared" si="22"/>
        <v>20.620123456790122</v>
      </c>
      <c r="BE77">
        <f t="shared" si="23"/>
        <v>4.8957740519753079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5.7791499999999996</v>
      </c>
      <c r="I78" s="22">
        <v>-1.4742999999999999E-2</v>
      </c>
      <c r="J78" s="22">
        <v>68</v>
      </c>
      <c r="K78" s="22">
        <v>1.33667</v>
      </c>
      <c r="L78">
        <f t="shared" si="12"/>
        <v>18.201234567901235</v>
      </c>
      <c r="M78">
        <f t="shared" si="13"/>
        <v>24.345789345679012</v>
      </c>
      <c r="N78" s="9"/>
      <c r="O78" s="22">
        <v>0.24246200000000001</v>
      </c>
      <c r="P78" s="22">
        <v>9.3566400000000005</v>
      </c>
      <c r="Q78" s="22">
        <v>-1.67297E-2</v>
      </c>
      <c r="R78" s="22">
        <v>68</v>
      </c>
      <c r="S78" s="22">
        <v>0.24179100000000001</v>
      </c>
      <c r="T78">
        <f t="shared" si="14"/>
        <v>20.65395061728395</v>
      </c>
      <c r="U78">
        <f t="shared" si="15"/>
        <v>5.0077981745679017</v>
      </c>
      <c r="X78" s="9"/>
      <c r="Y78" s="22">
        <v>1.3375900000000001</v>
      </c>
      <c r="Z78" s="22">
        <v>14.6622</v>
      </c>
      <c r="AA78" s="22">
        <v>-1.46698E-2</v>
      </c>
      <c r="AB78" s="22">
        <v>68</v>
      </c>
      <c r="AC78" s="22">
        <v>1.33636</v>
      </c>
      <c r="AD78">
        <f t="shared" si="16"/>
        <v>18.110864197530866</v>
      </c>
      <c r="AE78">
        <f t="shared" si="17"/>
        <v>24.224910841975312</v>
      </c>
      <c r="AF78" s="9"/>
      <c r="AG78" s="22">
        <v>0.24246200000000001</v>
      </c>
      <c r="AH78" s="22">
        <v>18.239699999999999</v>
      </c>
      <c r="AI78" s="22">
        <v>-1.6684000000000001E-2</v>
      </c>
      <c r="AJ78" s="22">
        <v>68</v>
      </c>
      <c r="AK78" s="22">
        <v>0.24188200000000001</v>
      </c>
      <c r="AL78">
        <f t="shared" si="18"/>
        <v>20.597530864197534</v>
      </c>
      <c r="AM78">
        <f t="shared" si="19"/>
        <v>4.9941185283950631</v>
      </c>
      <c r="AP78" s="9"/>
      <c r="AQ78" s="22">
        <v>1.3375900000000001</v>
      </c>
      <c r="AR78" s="22">
        <v>23.538399999999999</v>
      </c>
      <c r="AS78" s="22">
        <v>-1.4682000000000001E-2</v>
      </c>
      <c r="AT78" s="22">
        <v>68</v>
      </c>
      <c r="AU78" s="22">
        <v>1.33636</v>
      </c>
      <c r="AV78">
        <f t="shared" si="20"/>
        <v>18.125925925925923</v>
      </c>
      <c r="AW78">
        <f t="shared" si="21"/>
        <v>24.245057259259255</v>
      </c>
      <c r="AX78" s="9"/>
      <c r="AY78" s="22">
        <v>0.24246200000000001</v>
      </c>
      <c r="AZ78" s="22">
        <v>27.1159</v>
      </c>
      <c r="BA78" s="22">
        <v>-1.6690099999999999E-2</v>
      </c>
      <c r="BB78" s="22">
        <v>68</v>
      </c>
      <c r="BC78" s="22">
        <v>0.242004</v>
      </c>
      <c r="BD78">
        <f t="shared" si="22"/>
        <v>20.605061728395061</v>
      </c>
      <c r="BE78">
        <f t="shared" si="23"/>
        <v>4.9959444767901235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5.7892200000000003</v>
      </c>
      <c r="I79" s="22">
        <v>-1.47583E-2</v>
      </c>
      <c r="J79" s="22">
        <v>69</v>
      </c>
      <c r="K79" s="22">
        <v>1.33148</v>
      </c>
      <c r="L79">
        <f t="shared" si="12"/>
        <v>18.22012345679012</v>
      </c>
      <c r="M79">
        <f t="shared" si="13"/>
        <v>24.279225512345672</v>
      </c>
      <c r="N79" s="9"/>
      <c r="O79" s="22">
        <v>0.247498</v>
      </c>
      <c r="P79" s="22">
        <v>9.3667099999999994</v>
      </c>
      <c r="Q79" s="22">
        <v>-1.6720599999999999E-2</v>
      </c>
      <c r="R79" s="22">
        <v>69</v>
      </c>
      <c r="S79" s="22">
        <v>0.24710099999999999</v>
      </c>
      <c r="T79">
        <f t="shared" si="14"/>
        <v>20.642716049382713</v>
      </c>
      <c r="U79">
        <f t="shared" si="15"/>
        <v>5.1090309367901225</v>
      </c>
      <c r="X79" s="9"/>
      <c r="Y79" s="22">
        <v>1.3325499999999999</v>
      </c>
      <c r="Z79" s="22">
        <v>14.6723</v>
      </c>
      <c r="AA79" s="22">
        <v>-1.46851E-2</v>
      </c>
      <c r="AB79" s="22">
        <v>69</v>
      </c>
      <c r="AC79" s="22">
        <v>1.33209</v>
      </c>
      <c r="AD79">
        <f t="shared" si="16"/>
        <v>18.12975308641975</v>
      </c>
      <c r="AE79">
        <f t="shared" si="17"/>
        <v>24.158802475308637</v>
      </c>
      <c r="AF79" s="9"/>
      <c r="AG79" s="22">
        <v>0.247498</v>
      </c>
      <c r="AH79" s="22">
        <v>18.2498</v>
      </c>
      <c r="AI79" s="22">
        <v>-1.6677899999999999E-2</v>
      </c>
      <c r="AJ79" s="22">
        <v>69</v>
      </c>
      <c r="AK79" s="22">
        <v>0.24704000000000001</v>
      </c>
      <c r="AL79">
        <f t="shared" si="18"/>
        <v>20.589999999999996</v>
      </c>
      <c r="AM79">
        <f t="shared" si="19"/>
        <v>5.0959838199999989</v>
      </c>
      <c r="AP79" s="9"/>
      <c r="AQ79" s="22">
        <v>1.3325499999999999</v>
      </c>
      <c r="AR79" s="22">
        <v>23.548500000000001</v>
      </c>
      <c r="AS79" s="22">
        <v>-1.46912E-2</v>
      </c>
      <c r="AT79" s="22">
        <v>69</v>
      </c>
      <c r="AU79" s="22">
        <v>1.33179</v>
      </c>
      <c r="AV79">
        <f t="shared" si="20"/>
        <v>18.137283950617284</v>
      </c>
      <c r="AW79">
        <f t="shared" si="21"/>
        <v>24.168837728395062</v>
      </c>
      <c r="AX79" s="9"/>
      <c r="AY79" s="22">
        <v>0.247498</v>
      </c>
      <c r="AZ79" s="22">
        <v>27.125900000000001</v>
      </c>
      <c r="BA79" s="22">
        <v>-1.6677899999999999E-2</v>
      </c>
      <c r="BB79" s="22">
        <v>69</v>
      </c>
      <c r="BC79" s="22">
        <v>0.24704000000000001</v>
      </c>
      <c r="BD79">
        <f t="shared" si="22"/>
        <v>20.589999999999996</v>
      </c>
      <c r="BE79">
        <f t="shared" si="23"/>
        <v>5.0959838199999989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5.7992900000000001</v>
      </c>
      <c r="I80" s="22">
        <v>-1.4770500000000001E-2</v>
      </c>
      <c r="J80" s="22">
        <v>70</v>
      </c>
      <c r="K80" s="22">
        <v>1.32629</v>
      </c>
      <c r="L80">
        <f t="shared" si="12"/>
        <v>18.235185185185184</v>
      </c>
      <c r="M80">
        <f t="shared" si="13"/>
        <v>24.207390685185182</v>
      </c>
      <c r="N80" s="9"/>
      <c r="O80" s="22">
        <v>0.25253300000000001</v>
      </c>
      <c r="P80" s="22">
        <v>9.3767800000000001</v>
      </c>
      <c r="Q80" s="22">
        <v>-1.6708400000000002E-2</v>
      </c>
      <c r="R80" s="22">
        <v>70</v>
      </c>
      <c r="S80" s="22">
        <v>0.25207499999999999</v>
      </c>
      <c r="T80">
        <f t="shared" si="14"/>
        <v>20.627654320987656</v>
      </c>
      <c r="U80">
        <f t="shared" si="15"/>
        <v>5.2091634286419755</v>
      </c>
      <c r="X80" s="9"/>
      <c r="Y80" s="22">
        <v>1.32751</v>
      </c>
      <c r="Z80" s="22">
        <v>14.6823</v>
      </c>
      <c r="AA80" s="22">
        <v>-1.46973E-2</v>
      </c>
      <c r="AB80" s="22">
        <v>70</v>
      </c>
      <c r="AC80" s="22">
        <v>1.3269</v>
      </c>
      <c r="AD80">
        <f t="shared" si="16"/>
        <v>18.144814814814815</v>
      </c>
      <c r="AE80">
        <f t="shared" si="17"/>
        <v>24.087423114814815</v>
      </c>
      <c r="AF80" s="9"/>
      <c r="AG80" s="22">
        <v>0.25253300000000001</v>
      </c>
      <c r="AH80" s="22">
        <v>18.259799999999998</v>
      </c>
      <c r="AI80" s="22">
        <v>-1.6668700000000002E-2</v>
      </c>
      <c r="AJ80" s="22">
        <v>70</v>
      </c>
      <c r="AK80" s="22">
        <v>0.25183100000000003</v>
      </c>
      <c r="AL80">
        <f t="shared" si="18"/>
        <v>20.578641975308642</v>
      </c>
      <c r="AM80">
        <f t="shared" si="19"/>
        <v>5.1967861939506177</v>
      </c>
      <c r="AP80" s="9"/>
      <c r="AQ80" s="22">
        <v>1.32751</v>
      </c>
      <c r="AR80" s="22">
        <v>23.558499999999999</v>
      </c>
      <c r="AS80" s="22">
        <v>-1.47034E-2</v>
      </c>
      <c r="AT80" s="22">
        <v>70</v>
      </c>
      <c r="AU80" s="22">
        <v>1.32629</v>
      </c>
      <c r="AV80">
        <f t="shared" si="20"/>
        <v>18.152345679012342</v>
      </c>
      <c r="AW80">
        <f t="shared" si="21"/>
        <v>24.097420412345674</v>
      </c>
      <c r="AX80" s="9"/>
      <c r="AY80" s="22">
        <v>0.25253300000000001</v>
      </c>
      <c r="AZ80" s="22">
        <v>27.135999999999999</v>
      </c>
      <c r="BA80" s="22">
        <v>-1.6668700000000002E-2</v>
      </c>
      <c r="BB80" s="22">
        <v>70</v>
      </c>
      <c r="BC80" s="22">
        <v>0.25183100000000003</v>
      </c>
      <c r="BD80">
        <f t="shared" si="22"/>
        <v>20.578641975308642</v>
      </c>
      <c r="BE80">
        <f t="shared" si="23"/>
        <v>5.1967861939506177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5.8093700000000004</v>
      </c>
      <c r="I81" s="22">
        <v>-1.4782699999999999E-2</v>
      </c>
      <c r="J81" s="22">
        <v>71</v>
      </c>
      <c r="K81" s="22">
        <v>1.32172</v>
      </c>
      <c r="L81">
        <f t="shared" si="12"/>
        <v>18.250246913580245</v>
      </c>
      <c r="M81">
        <f t="shared" si="13"/>
        <v>24.135586538271603</v>
      </c>
      <c r="N81" s="9"/>
      <c r="O81" s="22">
        <v>0.25756800000000002</v>
      </c>
      <c r="P81" s="22">
        <v>9.3868500000000008</v>
      </c>
      <c r="Q81" s="22">
        <v>-1.6699200000000001E-2</v>
      </c>
      <c r="R81" s="22">
        <v>71</v>
      </c>
      <c r="S81" s="22">
        <v>0.25695800000000002</v>
      </c>
      <c r="T81">
        <f t="shared" si="14"/>
        <v>20.616296296296294</v>
      </c>
      <c r="U81">
        <f t="shared" si="15"/>
        <v>5.3100982044444445</v>
      </c>
      <c r="X81" s="9"/>
      <c r="Y81" s="22">
        <v>1.3224800000000001</v>
      </c>
      <c r="Z81" s="22">
        <v>14.692399999999999</v>
      </c>
      <c r="AA81" s="22">
        <v>-1.47095E-2</v>
      </c>
      <c r="AB81" s="22">
        <v>71</v>
      </c>
      <c r="AC81" s="22">
        <v>1.32141</v>
      </c>
      <c r="AD81">
        <f t="shared" si="16"/>
        <v>18.159876543209876</v>
      </c>
      <c r="AE81">
        <f t="shared" si="17"/>
        <v>24.016073530864197</v>
      </c>
      <c r="AF81" s="9"/>
      <c r="AG81" s="22">
        <v>0.25756800000000002</v>
      </c>
      <c r="AH81" s="22">
        <v>18.2699</v>
      </c>
      <c r="AI81" s="22">
        <v>-1.6656500000000001E-2</v>
      </c>
      <c r="AJ81" s="22">
        <v>71</v>
      </c>
      <c r="AK81" s="22">
        <v>0.25705</v>
      </c>
      <c r="AL81">
        <f t="shared" si="18"/>
        <v>20.563580246913581</v>
      </c>
      <c r="AM81">
        <f t="shared" si="19"/>
        <v>5.2965202370370372</v>
      </c>
      <c r="AP81" s="9"/>
      <c r="AQ81" s="22">
        <v>1.3224800000000001</v>
      </c>
      <c r="AR81" s="22">
        <v>23.5686</v>
      </c>
      <c r="AS81" s="22">
        <v>-1.4715600000000001E-2</v>
      </c>
      <c r="AT81" s="22">
        <v>71</v>
      </c>
      <c r="AU81" s="22">
        <v>1.32202</v>
      </c>
      <c r="AV81">
        <f t="shared" si="20"/>
        <v>18.167407407407406</v>
      </c>
      <c r="AW81">
        <f t="shared" si="21"/>
        <v>24.026032948148149</v>
      </c>
      <c r="AX81" s="9"/>
      <c r="AY81" s="22">
        <v>0.25756800000000002</v>
      </c>
      <c r="AZ81" s="22">
        <v>27.146100000000001</v>
      </c>
      <c r="BA81" s="22">
        <v>-1.6656500000000001E-2</v>
      </c>
      <c r="BB81" s="22">
        <v>71</v>
      </c>
      <c r="BC81" s="22">
        <v>0.25695800000000002</v>
      </c>
      <c r="BD81">
        <f t="shared" si="22"/>
        <v>20.563580246913581</v>
      </c>
      <c r="BE81">
        <f t="shared" si="23"/>
        <v>5.2965202370370372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5.8194400000000002</v>
      </c>
      <c r="I82" s="22">
        <v>-1.47949E-2</v>
      </c>
      <c r="J82" s="22">
        <v>72</v>
      </c>
      <c r="K82" s="22">
        <v>1.31714</v>
      </c>
      <c r="L82">
        <f t="shared" si="12"/>
        <v>18.265308641975306</v>
      </c>
      <c r="M82">
        <f t="shared" si="13"/>
        <v>24.063448217283945</v>
      </c>
      <c r="N82" s="9"/>
      <c r="O82" s="22">
        <v>0.262604</v>
      </c>
      <c r="P82" s="22">
        <v>9.3969199999999997</v>
      </c>
      <c r="Q82" s="22">
        <v>-1.6687E-2</v>
      </c>
      <c r="R82" s="22">
        <v>72</v>
      </c>
      <c r="S82" s="22">
        <v>0.26187100000000002</v>
      </c>
      <c r="T82">
        <f t="shared" si="14"/>
        <v>20.601234567901233</v>
      </c>
      <c r="U82">
        <f t="shared" si="15"/>
        <v>5.4099666024691357</v>
      </c>
      <c r="X82" s="9"/>
      <c r="Y82" s="22">
        <v>1.3174399999999999</v>
      </c>
      <c r="Z82" s="22">
        <v>14.702500000000001</v>
      </c>
      <c r="AA82" s="22">
        <v>-1.4721700000000001E-2</v>
      </c>
      <c r="AB82" s="22">
        <v>72</v>
      </c>
      <c r="AC82" s="22">
        <v>1.3162199999999999</v>
      </c>
      <c r="AD82">
        <f t="shared" si="16"/>
        <v>18.174938271604937</v>
      </c>
      <c r="AE82">
        <f t="shared" si="17"/>
        <v>23.944390676543208</v>
      </c>
      <c r="AF82" s="9"/>
      <c r="AG82" s="22">
        <v>0.262604</v>
      </c>
      <c r="AH82" s="22">
        <v>18.28</v>
      </c>
      <c r="AI82" s="22">
        <v>-1.66473E-2</v>
      </c>
      <c r="AJ82" s="22">
        <v>72</v>
      </c>
      <c r="AK82" s="22">
        <v>0.26174900000000001</v>
      </c>
      <c r="AL82">
        <f t="shared" si="18"/>
        <v>20.552222222222223</v>
      </c>
      <c r="AM82">
        <f t="shared" si="19"/>
        <v>5.3970957644444448</v>
      </c>
      <c r="AP82" s="9"/>
      <c r="AQ82" s="22">
        <v>1.3174399999999999</v>
      </c>
      <c r="AR82" s="22">
        <v>23.578700000000001</v>
      </c>
      <c r="AS82" s="22">
        <v>-1.4727799999999999E-2</v>
      </c>
      <c r="AT82" s="22">
        <v>72</v>
      </c>
      <c r="AU82" s="22">
        <v>1.31653</v>
      </c>
      <c r="AV82">
        <f t="shared" si="20"/>
        <v>18.182469135802467</v>
      </c>
      <c r="AW82">
        <f t="shared" si="21"/>
        <v>23.9543121382716</v>
      </c>
      <c r="AX82" s="9"/>
      <c r="AY82" s="22">
        <v>0.262604</v>
      </c>
      <c r="AZ82" s="22">
        <v>27.156099999999999</v>
      </c>
      <c r="BA82" s="22">
        <v>-1.66473E-2</v>
      </c>
      <c r="BB82" s="22">
        <v>72</v>
      </c>
      <c r="BC82" s="22">
        <v>0.26202399999999998</v>
      </c>
      <c r="BD82">
        <f t="shared" si="22"/>
        <v>20.552222222222223</v>
      </c>
      <c r="BE82">
        <f t="shared" si="23"/>
        <v>5.3970957644444448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5.82951</v>
      </c>
      <c r="I83" s="22">
        <v>-1.4810200000000001E-2</v>
      </c>
      <c r="J83" s="22">
        <v>73</v>
      </c>
      <c r="K83" s="22">
        <v>1.3119499999999999</v>
      </c>
      <c r="L83">
        <f t="shared" si="12"/>
        <v>18.284197530864198</v>
      </c>
      <c r="M83">
        <f t="shared" si="13"/>
        <v>23.996363681481483</v>
      </c>
      <c r="N83" s="9"/>
      <c r="O83" s="22">
        <v>0.26763900000000002</v>
      </c>
      <c r="P83" s="22">
        <v>9.4069900000000004</v>
      </c>
      <c r="Q83" s="22">
        <v>-1.66748E-2</v>
      </c>
      <c r="R83" s="22">
        <v>73</v>
      </c>
      <c r="S83" s="22">
        <v>0.26678499999999999</v>
      </c>
      <c r="T83">
        <f t="shared" si="14"/>
        <v>20.586172839506172</v>
      </c>
      <c r="U83">
        <f t="shared" si="15"/>
        <v>5.5096627125925925</v>
      </c>
      <c r="X83" s="9"/>
      <c r="Y83" s="22">
        <v>1.3124100000000001</v>
      </c>
      <c r="Z83" s="22">
        <v>14.7126</v>
      </c>
      <c r="AA83" s="22">
        <v>-1.4727799999999999E-2</v>
      </c>
      <c r="AB83" s="22">
        <v>73</v>
      </c>
      <c r="AC83" s="22">
        <v>1.3119499999999999</v>
      </c>
      <c r="AD83">
        <f t="shared" si="16"/>
        <v>18.182469135802467</v>
      </c>
      <c r="AE83">
        <f t="shared" si="17"/>
        <v>23.862854318518519</v>
      </c>
      <c r="AF83" s="9"/>
      <c r="AG83" s="22">
        <v>0.26763900000000002</v>
      </c>
      <c r="AH83" s="22">
        <v>18.29</v>
      </c>
      <c r="AI83" s="22">
        <v>-1.66351E-2</v>
      </c>
      <c r="AJ83" s="22">
        <v>73</v>
      </c>
      <c r="AK83" s="22">
        <v>0.26705899999999999</v>
      </c>
      <c r="AL83">
        <f t="shared" si="18"/>
        <v>20.537160493827159</v>
      </c>
      <c r="AM83">
        <f t="shared" si="19"/>
        <v>5.4965450974074077</v>
      </c>
      <c r="AP83" s="9"/>
      <c r="AQ83" s="22">
        <v>1.3124100000000001</v>
      </c>
      <c r="AR83" s="22">
        <v>23.588699999999999</v>
      </c>
      <c r="AS83" s="22">
        <v>-1.4736900000000001E-2</v>
      </c>
      <c r="AT83" s="22">
        <v>73</v>
      </c>
      <c r="AU83" s="22">
        <v>1.3119499999999999</v>
      </c>
      <c r="AV83">
        <f t="shared" si="20"/>
        <v>18.193703703703704</v>
      </c>
      <c r="AW83">
        <f t="shared" si="21"/>
        <v>23.87759867777778</v>
      </c>
      <c r="AX83" s="9"/>
      <c r="AY83" s="22">
        <v>0.26763900000000002</v>
      </c>
      <c r="AZ83" s="22">
        <v>27.1662</v>
      </c>
      <c r="BA83" s="22">
        <v>-1.66351E-2</v>
      </c>
      <c r="BB83" s="22">
        <v>73</v>
      </c>
      <c r="BC83" s="22">
        <v>0.26721200000000001</v>
      </c>
      <c r="BD83">
        <f t="shared" si="22"/>
        <v>20.537160493827159</v>
      </c>
      <c r="BE83">
        <f t="shared" si="23"/>
        <v>5.4965450974074077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5.8395799999999998</v>
      </c>
      <c r="I84" s="22">
        <v>-1.4822399999999999E-2</v>
      </c>
      <c r="J84" s="22">
        <v>74</v>
      </c>
      <c r="K84" s="22">
        <v>1.30646</v>
      </c>
      <c r="L84">
        <f t="shared" si="12"/>
        <v>18.299259259259259</v>
      </c>
      <c r="M84">
        <f t="shared" si="13"/>
        <v>23.923902577777774</v>
      </c>
      <c r="N84" s="9"/>
      <c r="O84" s="22">
        <v>0.272675</v>
      </c>
      <c r="P84" s="22">
        <v>9.4170599999999993</v>
      </c>
      <c r="Q84" s="22">
        <v>-1.6668700000000002E-2</v>
      </c>
      <c r="R84" s="22">
        <v>74</v>
      </c>
      <c r="S84" s="22">
        <v>0.27191199999999999</v>
      </c>
      <c r="T84">
        <f t="shared" si="14"/>
        <v>20.578641975308642</v>
      </c>
      <c r="U84">
        <f t="shared" si="15"/>
        <v>5.6112812006172836</v>
      </c>
      <c r="X84" s="9"/>
      <c r="Y84" s="22">
        <v>1.3073699999999999</v>
      </c>
      <c r="Z84" s="22">
        <v>14.7226</v>
      </c>
      <c r="AA84" s="22">
        <v>-1.474E-2</v>
      </c>
      <c r="AB84" s="22">
        <v>74</v>
      </c>
      <c r="AC84" s="22">
        <v>1.30707</v>
      </c>
      <c r="AD84">
        <f t="shared" si="16"/>
        <v>18.197530864197528</v>
      </c>
      <c r="AE84">
        <f t="shared" si="17"/>
        <v>23.790905925925919</v>
      </c>
      <c r="AF84" s="9"/>
      <c r="AG84" s="22">
        <v>0.272675</v>
      </c>
      <c r="AH84" s="22">
        <v>18.3001</v>
      </c>
      <c r="AI84" s="22">
        <v>-1.6625999999999998E-2</v>
      </c>
      <c r="AJ84" s="22">
        <v>74</v>
      </c>
      <c r="AK84" s="22">
        <v>0.27215600000000001</v>
      </c>
      <c r="AL84">
        <f t="shared" si="18"/>
        <v>20.525925925925922</v>
      </c>
      <c r="AM84">
        <f t="shared" si="19"/>
        <v>5.596906851851851</v>
      </c>
      <c r="AP84" s="9"/>
      <c r="AQ84" s="22">
        <v>1.3073699999999999</v>
      </c>
      <c r="AR84" s="22">
        <v>23.598800000000001</v>
      </c>
      <c r="AS84" s="22">
        <v>-1.4749099999999999E-2</v>
      </c>
      <c r="AT84" s="22">
        <v>74</v>
      </c>
      <c r="AU84" s="22">
        <v>1.3067599999999999</v>
      </c>
      <c r="AV84">
        <f t="shared" si="20"/>
        <v>18.208765432098765</v>
      </c>
      <c r="AW84">
        <f t="shared" si="21"/>
        <v>23.805593662962963</v>
      </c>
      <c r="AX84" s="9"/>
      <c r="AY84" s="22">
        <v>0.272675</v>
      </c>
      <c r="AZ84" s="22">
        <v>27.176300000000001</v>
      </c>
      <c r="BA84" s="22">
        <v>-1.6625999999999998E-2</v>
      </c>
      <c r="BB84" s="22">
        <v>74</v>
      </c>
      <c r="BC84" s="22">
        <v>0.27197300000000002</v>
      </c>
      <c r="BD84">
        <f t="shared" si="22"/>
        <v>20.525925925925922</v>
      </c>
      <c r="BE84">
        <f t="shared" si="23"/>
        <v>5.596906851851851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5.8496499999999996</v>
      </c>
      <c r="I85" s="22">
        <v>-1.4831499999999999E-2</v>
      </c>
      <c r="J85" s="22">
        <v>75</v>
      </c>
      <c r="K85" s="22">
        <v>1.3015699999999999</v>
      </c>
      <c r="L85">
        <f t="shared" si="12"/>
        <v>18.310493827160489</v>
      </c>
      <c r="M85">
        <f t="shared" si="13"/>
        <v>23.846488530864193</v>
      </c>
      <c r="N85" s="9"/>
      <c r="O85" s="22">
        <v>0.27771000000000001</v>
      </c>
      <c r="P85" s="22">
        <v>9.42713</v>
      </c>
      <c r="Q85" s="22">
        <v>-1.6659500000000001E-2</v>
      </c>
      <c r="R85" s="22">
        <v>75</v>
      </c>
      <c r="S85" s="22">
        <v>0.27712999999999999</v>
      </c>
      <c r="T85">
        <f t="shared" si="14"/>
        <v>20.567283950617284</v>
      </c>
      <c r="U85">
        <f t="shared" si="15"/>
        <v>5.7117404259259263</v>
      </c>
      <c r="X85" s="9"/>
      <c r="Y85" s="22">
        <v>1.3023400000000001</v>
      </c>
      <c r="Z85" s="22">
        <v>14.732699999999999</v>
      </c>
      <c r="AA85" s="22">
        <v>-1.4749099999999999E-2</v>
      </c>
      <c r="AB85" s="22">
        <v>75</v>
      </c>
      <c r="AC85" s="22">
        <v>1.3012699999999999</v>
      </c>
      <c r="AD85">
        <f t="shared" si="16"/>
        <v>18.208765432098765</v>
      </c>
      <c r="AE85">
        <f t="shared" si="17"/>
        <v>23.714003572839506</v>
      </c>
      <c r="AF85" s="9"/>
      <c r="AG85" s="22">
        <v>0.27771000000000001</v>
      </c>
      <c r="AH85" s="22">
        <v>18.310199999999998</v>
      </c>
      <c r="AI85" s="22">
        <v>-1.6613800000000001E-2</v>
      </c>
      <c r="AJ85" s="22">
        <v>75</v>
      </c>
      <c r="AK85" s="22">
        <v>0.27679399999999998</v>
      </c>
      <c r="AL85">
        <f t="shared" si="18"/>
        <v>20.510864197530864</v>
      </c>
      <c r="AM85">
        <f t="shared" si="19"/>
        <v>5.6960720962962963</v>
      </c>
      <c r="AP85" s="9"/>
      <c r="AQ85" s="22">
        <v>1.3023400000000001</v>
      </c>
      <c r="AR85" s="22">
        <v>23.608899999999998</v>
      </c>
      <c r="AS85" s="22">
        <v>-1.47583E-2</v>
      </c>
      <c r="AT85" s="22">
        <v>75</v>
      </c>
      <c r="AU85" s="22">
        <v>1.3012699999999999</v>
      </c>
      <c r="AV85">
        <f t="shared" si="20"/>
        <v>18.22012345679012</v>
      </c>
      <c r="AW85">
        <f t="shared" si="21"/>
        <v>23.728795582716046</v>
      </c>
      <c r="AX85" s="9"/>
      <c r="AY85" s="22">
        <v>0.27771000000000001</v>
      </c>
      <c r="AZ85" s="22">
        <v>27.186399999999999</v>
      </c>
      <c r="BA85" s="22">
        <v>-1.6613800000000001E-2</v>
      </c>
      <c r="BB85" s="22">
        <v>75</v>
      </c>
      <c r="BC85" s="22">
        <v>0.27706900000000001</v>
      </c>
      <c r="BD85">
        <f t="shared" si="22"/>
        <v>20.510864197530864</v>
      </c>
      <c r="BE85">
        <f t="shared" si="23"/>
        <v>5.6960720962962963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5.8597200000000003</v>
      </c>
      <c r="I86" s="22">
        <v>-1.48407E-2</v>
      </c>
      <c r="J86" s="22">
        <v>76</v>
      </c>
      <c r="K86" s="22">
        <v>1.2960799999999999</v>
      </c>
      <c r="L86">
        <f t="shared" si="12"/>
        <v>18.32185185185185</v>
      </c>
      <c r="M86">
        <f t="shared" si="13"/>
        <v>23.768938407407404</v>
      </c>
      <c r="N86" s="9"/>
      <c r="O86" s="22">
        <v>0.28274500000000002</v>
      </c>
      <c r="P86" s="22">
        <v>9.4372000000000007</v>
      </c>
      <c r="Q86" s="22">
        <v>-1.66473E-2</v>
      </c>
      <c r="R86" s="22">
        <v>76</v>
      </c>
      <c r="S86" s="22">
        <v>0.282196</v>
      </c>
      <c r="T86">
        <f t="shared" si="14"/>
        <v>20.552222222222223</v>
      </c>
      <c r="U86">
        <f t="shared" si="15"/>
        <v>5.8110380722222228</v>
      </c>
      <c r="X86" s="9"/>
      <c r="Y86" s="22">
        <v>1.2972999999999999</v>
      </c>
      <c r="Z86" s="22">
        <v>14.742800000000001</v>
      </c>
      <c r="AA86" s="22">
        <v>-1.4761399999999999E-2</v>
      </c>
      <c r="AB86" s="22">
        <v>76</v>
      </c>
      <c r="AC86" s="22">
        <v>1.2966899999999999</v>
      </c>
      <c r="AD86">
        <f t="shared" si="16"/>
        <v>18.22395061728395</v>
      </c>
      <c r="AE86">
        <f t="shared" si="17"/>
        <v>23.641931135802466</v>
      </c>
      <c r="AF86" s="9"/>
      <c r="AG86" s="22">
        <v>0.28274500000000002</v>
      </c>
      <c r="AH86" s="22">
        <v>18.3202</v>
      </c>
      <c r="AI86" s="22">
        <v>-1.6601600000000001E-2</v>
      </c>
      <c r="AJ86" s="22">
        <v>76</v>
      </c>
      <c r="AK86" s="22">
        <v>0.28201300000000001</v>
      </c>
      <c r="AL86">
        <f t="shared" si="18"/>
        <v>20.495802469135803</v>
      </c>
      <c r="AM86">
        <f t="shared" si="19"/>
        <v>5.795085669135803</v>
      </c>
      <c r="AP86" s="9"/>
      <c r="AQ86" s="22">
        <v>1.2972999999999999</v>
      </c>
      <c r="AR86" s="22">
        <v>23.6189</v>
      </c>
      <c r="AS86" s="22">
        <v>-1.4770500000000001E-2</v>
      </c>
      <c r="AT86" s="22">
        <v>76</v>
      </c>
      <c r="AU86" s="22">
        <v>1.2966899999999999</v>
      </c>
      <c r="AV86">
        <f t="shared" si="20"/>
        <v>18.235185185185184</v>
      </c>
      <c r="AW86">
        <f t="shared" si="21"/>
        <v>23.656505740740737</v>
      </c>
      <c r="AX86" s="9"/>
      <c r="AY86" s="22">
        <v>0.28274500000000002</v>
      </c>
      <c r="AZ86" s="22">
        <v>27.196400000000001</v>
      </c>
      <c r="BA86" s="22">
        <v>-1.6604600000000001E-2</v>
      </c>
      <c r="BB86" s="22">
        <v>76</v>
      </c>
      <c r="BC86" s="22">
        <v>0.28216599999999997</v>
      </c>
      <c r="BD86">
        <f t="shared" si="22"/>
        <v>20.499506172839506</v>
      </c>
      <c r="BE86">
        <f t="shared" si="23"/>
        <v>5.7961328728395065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5.8697900000000001</v>
      </c>
      <c r="I87" s="22">
        <v>-1.48529E-2</v>
      </c>
      <c r="J87" s="22">
        <v>77</v>
      </c>
      <c r="K87" s="22">
        <v>1.2918099999999999</v>
      </c>
      <c r="L87">
        <f t="shared" si="12"/>
        <v>18.336913580246915</v>
      </c>
      <c r="M87">
        <f t="shared" si="13"/>
        <v>23.696243312345679</v>
      </c>
      <c r="N87" s="9"/>
      <c r="O87" s="22">
        <v>0.28778100000000001</v>
      </c>
      <c r="P87" s="22">
        <v>9.4472799999999992</v>
      </c>
      <c r="Q87" s="22">
        <v>-1.66321E-2</v>
      </c>
      <c r="R87" s="22">
        <v>77</v>
      </c>
      <c r="S87" s="22">
        <v>0.28714000000000001</v>
      </c>
      <c r="T87">
        <f t="shared" si="14"/>
        <v>20.533456790123456</v>
      </c>
      <c r="U87">
        <f t="shared" si="15"/>
        <v>5.909138728518518</v>
      </c>
      <c r="X87" s="9"/>
      <c r="Y87" s="22">
        <v>1.29227</v>
      </c>
      <c r="Z87" s="22">
        <v>14.752800000000001</v>
      </c>
      <c r="AA87" s="22">
        <v>-1.47736E-2</v>
      </c>
      <c r="AB87" s="22">
        <v>77</v>
      </c>
      <c r="AC87" s="22">
        <v>1.2918099999999999</v>
      </c>
      <c r="AD87">
        <f t="shared" si="16"/>
        <v>18.239012345679011</v>
      </c>
      <c r="AE87">
        <f t="shared" si="17"/>
        <v>23.569728483950616</v>
      </c>
      <c r="AF87" s="9"/>
      <c r="AG87" s="22">
        <v>0.28778100000000001</v>
      </c>
      <c r="AH87" s="22">
        <v>18.330300000000001</v>
      </c>
      <c r="AI87" s="22">
        <v>-1.6589400000000001E-2</v>
      </c>
      <c r="AJ87" s="22">
        <v>77</v>
      </c>
      <c r="AK87" s="22">
        <v>0.28723100000000001</v>
      </c>
      <c r="AL87">
        <f t="shared" si="18"/>
        <v>20.480740740740739</v>
      </c>
      <c r="AM87">
        <f t="shared" si="19"/>
        <v>5.893968051111111</v>
      </c>
      <c r="AP87" s="9"/>
      <c r="AQ87" s="22">
        <v>1.29227</v>
      </c>
      <c r="AR87" s="22">
        <v>23.629000000000001</v>
      </c>
      <c r="AS87" s="22">
        <v>-1.4782699999999999E-2</v>
      </c>
      <c r="AT87" s="22">
        <v>77</v>
      </c>
      <c r="AU87" s="22">
        <v>1.2915000000000001</v>
      </c>
      <c r="AV87">
        <f t="shared" si="20"/>
        <v>18.250246913580245</v>
      </c>
      <c r="AW87">
        <f t="shared" si="21"/>
        <v>23.584246579012344</v>
      </c>
      <c r="AX87" s="9"/>
      <c r="AY87" s="22">
        <v>0.28778100000000001</v>
      </c>
      <c r="AZ87" s="22">
        <v>27.206499999999998</v>
      </c>
      <c r="BA87" s="22">
        <v>-1.65924E-2</v>
      </c>
      <c r="BB87" s="22">
        <v>77</v>
      </c>
      <c r="BC87" s="22">
        <v>0.28707899999999997</v>
      </c>
      <c r="BD87">
        <f t="shared" si="22"/>
        <v>20.484444444444446</v>
      </c>
      <c r="BE87">
        <f t="shared" si="23"/>
        <v>5.8950339066666668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5.8798599999999999</v>
      </c>
      <c r="I88" s="22">
        <v>-1.4865099999999999E-2</v>
      </c>
      <c r="J88" s="22">
        <v>78</v>
      </c>
      <c r="K88" s="22">
        <v>1.2866200000000001</v>
      </c>
      <c r="L88">
        <f t="shared" si="12"/>
        <v>18.351975308641972</v>
      </c>
      <c r="M88">
        <f t="shared" si="13"/>
        <v>23.623213176543207</v>
      </c>
      <c r="N88" s="9"/>
      <c r="O88" s="22">
        <v>0.29281600000000002</v>
      </c>
      <c r="P88" s="22">
        <v>9.4573499999999999</v>
      </c>
      <c r="Q88" s="22">
        <v>-1.6622899999999999E-2</v>
      </c>
      <c r="R88" s="22">
        <v>78</v>
      </c>
      <c r="S88" s="22">
        <v>0.292236</v>
      </c>
      <c r="T88">
        <f t="shared" si="14"/>
        <v>20.522098765432094</v>
      </c>
      <c r="U88">
        <f t="shared" si="15"/>
        <v>6.0091988720987644</v>
      </c>
      <c r="X88" s="9"/>
      <c r="Y88" s="22">
        <v>1.2872300000000001</v>
      </c>
      <c r="Z88" s="22">
        <v>14.7629</v>
      </c>
      <c r="AA88" s="22">
        <v>-1.47888E-2</v>
      </c>
      <c r="AB88" s="22">
        <v>78</v>
      </c>
      <c r="AC88" s="22">
        <v>1.2866200000000001</v>
      </c>
      <c r="AD88">
        <f t="shared" si="16"/>
        <v>18.257777777777775</v>
      </c>
      <c r="AE88">
        <f t="shared" si="17"/>
        <v>23.501959288888887</v>
      </c>
      <c r="AF88" s="9"/>
      <c r="AG88" s="22">
        <v>0.29281600000000002</v>
      </c>
      <c r="AH88" s="22">
        <v>18.340399999999999</v>
      </c>
      <c r="AI88" s="22">
        <v>-1.65802E-2</v>
      </c>
      <c r="AJ88" s="22">
        <v>78</v>
      </c>
      <c r="AK88" s="22">
        <v>0.29220600000000002</v>
      </c>
      <c r="AL88">
        <f t="shared" si="18"/>
        <v>20.469382716049381</v>
      </c>
      <c r="AM88">
        <f t="shared" si="19"/>
        <v>5.993762769382716</v>
      </c>
      <c r="AP88" s="9"/>
      <c r="AQ88" s="22">
        <v>1.2872300000000001</v>
      </c>
      <c r="AR88" s="22">
        <v>23.639099999999999</v>
      </c>
      <c r="AS88" s="22">
        <v>-1.47919E-2</v>
      </c>
      <c r="AT88" s="22">
        <v>78</v>
      </c>
      <c r="AU88" s="22">
        <v>1.2866200000000001</v>
      </c>
      <c r="AV88">
        <f t="shared" si="20"/>
        <v>18.261604938271603</v>
      </c>
      <c r="AW88">
        <f t="shared" si="21"/>
        <v>23.506885724691358</v>
      </c>
      <c r="AX88" s="9"/>
      <c r="AY88" s="22">
        <v>0.29281600000000002</v>
      </c>
      <c r="AZ88" s="22">
        <v>27.2166</v>
      </c>
      <c r="BA88" s="22">
        <v>-1.6583299999999999E-2</v>
      </c>
      <c r="BB88" s="22">
        <v>78</v>
      </c>
      <c r="BC88" s="22">
        <v>0.29254200000000002</v>
      </c>
      <c r="BD88">
        <f t="shared" si="22"/>
        <v>20.473209876543208</v>
      </c>
      <c r="BE88">
        <f t="shared" si="23"/>
        <v>5.9948834232098767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5.8899299999999997</v>
      </c>
      <c r="I89" s="22">
        <v>-1.48773E-2</v>
      </c>
      <c r="J89" s="22">
        <v>79</v>
      </c>
      <c r="K89" s="22">
        <v>1.2811300000000001</v>
      </c>
      <c r="L89">
        <f t="shared" si="12"/>
        <v>18.367037037037036</v>
      </c>
      <c r="M89">
        <f t="shared" si="13"/>
        <v>23.550214888888888</v>
      </c>
      <c r="N89" s="9"/>
      <c r="O89" s="22">
        <v>0.29785200000000001</v>
      </c>
      <c r="P89" s="22">
        <v>9.4674200000000006</v>
      </c>
      <c r="Q89" s="22">
        <v>-1.66077E-2</v>
      </c>
      <c r="R89" s="22">
        <v>79</v>
      </c>
      <c r="S89" s="22">
        <v>0.29736299999999999</v>
      </c>
      <c r="T89">
        <f t="shared" si="14"/>
        <v>20.50333333333333</v>
      </c>
      <c r="U89">
        <f t="shared" si="15"/>
        <v>6.106958839999999</v>
      </c>
      <c r="X89" s="9"/>
      <c r="Y89" s="22">
        <v>1.2822</v>
      </c>
      <c r="Z89" s="22">
        <v>14.773</v>
      </c>
      <c r="AA89" s="22">
        <v>-1.4801E-2</v>
      </c>
      <c r="AB89" s="22">
        <v>79</v>
      </c>
      <c r="AC89" s="22">
        <v>1.2811300000000001</v>
      </c>
      <c r="AD89">
        <f t="shared" si="16"/>
        <v>18.27283950617284</v>
      </c>
      <c r="AE89">
        <f t="shared" si="17"/>
        <v>23.429434814814815</v>
      </c>
      <c r="AF89" s="9"/>
      <c r="AG89" s="22">
        <v>0.29785200000000001</v>
      </c>
      <c r="AH89" s="22">
        <v>18.3505</v>
      </c>
      <c r="AI89" s="22">
        <v>-1.6570999999999999E-2</v>
      </c>
      <c r="AJ89" s="22">
        <v>79</v>
      </c>
      <c r="AK89" s="22">
        <v>0.29727199999999998</v>
      </c>
      <c r="AL89">
        <f t="shared" si="18"/>
        <v>20.45802469135802</v>
      </c>
      <c r="AM89">
        <f t="shared" si="19"/>
        <v>6.0934635703703686</v>
      </c>
      <c r="AP89" s="9"/>
      <c r="AQ89" s="22">
        <v>1.2822</v>
      </c>
      <c r="AR89" s="22">
        <v>23.6492</v>
      </c>
      <c r="AS89" s="22">
        <v>-1.4801E-2</v>
      </c>
      <c r="AT89" s="22">
        <v>79</v>
      </c>
      <c r="AU89" s="22">
        <v>1.2811300000000001</v>
      </c>
      <c r="AV89">
        <f t="shared" si="20"/>
        <v>18.27283950617284</v>
      </c>
      <c r="AW89">
        <f t="shared" si="21"/>
        <v>23.429434814814815</v>
      </c>
      <c r="AX89" s="9"/>
      <c r="AY89" s="22">
        <v>0.29785200000000001</v>
      </c>
      <c r="AZ89" s="22">
        <v>27.226600000000001</v>
      </c>
      <c r="BA89" s="22">
        <v>-1.6574100000000001E-2</v>
      </c>
      <c r="BB89" s="22">
        <v>79</v>
      </c>
      <c r="BC89" s="22">
        <v>0.29733300000000001</v>
      </c>
      <c r="BD89">
        <f t="shared" si="22"/>
        <v>20.461851851851854</v>
      </c>
      <c r="BE89">
        <f t="shared" si="23"/>
        <v>6.0946034977777783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5.9</v>
      </c>
      <c r="I90" s="22">
        <v>-1.48865E-2</v>
      </c>
      <c r="J90" s="22">
        <v>80</v>
      </c>
      <c r="K90" s="22">
        <v>1.27563</v>
      </c>
      <c r="L90">
        <f t="shared" si="12"/>
        <v>18.378395061728394</v>
      </c>
      <c r="M90">
        <f t="shared" si="13"/>
        <v>23.472151037037037</v>
      </c>
      <c r="N90" s="9"/>
      <c r="O90" s="22">
        <v>0.30288700000000002</v>
      </c>
      <c r="P90" s="22">
        <v>9.4774899999999995</v>
      </c>
      <c r="Q90" s="22">
        <v>-1.6601600000000001E-2</v>
      </c>
      <c r="R90" s="22">
        <v>80</v>
      </c>
      <c r="S90" s="22">
        <v>0.30218499999999998</v>
      </c>
      <c r="T90">
        <f t="shared" si="14"/>
        <v>20.495802469135803</v>
      </c>
      <c r="U90">
        <f t="shared" si="15"/>
        <v>6.2079121224691365</v>
      </c>
      <c r="X90" s="9"/>
      <c r="Y90" s="22">
        <v>1.2771600000000001</v>
      </c>
      <c r="Z90" s="22">
        <v>14.782999999999999</v>
      </c>
      <c r="AA90" s="22">
        <v>-1.48132E-2</v>
      </c>
      <c r="AB90" s="22">
        <v>80</v>
      </c>
      <c r="AC90" s="22">
        <v>1.2762500000000001</v>
      </c>
      <c r="AD90">
        <f t="shared" si="16"/>
        <v>18.287901234567901</v>
      </c>
      <c r="AE90">
        <f t="shared" si="17"/>
        <v>23.35657594074074</v>
      </c>
      <c r="AF90" s="9"/>
      <c r="AG90" s="22">
        <v>0.30288700000000002</v>
      </c>
      <c r="AH90" s="22">
        <v>18.360499999999998</v>
      </c>
      <c r="AI90" s="22">
        <v>-1.6558799999999999E-2</v>
      </c>
      <c r="AJ90" s="22">
        <v>80</v>
      </c>
      <c r="AK90" s="22">
        <v>0.30227700000000002</v>
      </c>
      <c r="AL90">
        <f t="shared" si="18"/>
        <v>20.442962962962962</v>
      </c>
      <c r="AM90">
        <f t="shared" si="19"/>
        <v>6.1919077229629629</v>
      </c>
      <c r="AP90" s="9"/>
      <c r="AQ90" s="22">
        <v>1.2771600000000001</v>
      </c>
      <c r="AR90" s="22">
        <v>23.659199999999998</v>
      </c>
      <c r="AS90" s="22">
        <v>-1.48132E-2</v>
      </c>
      <c r="AT90" s="22">
        <v>80</v>
      </c>
      <c r="AU90" s="22">
        <v>1.2765500000000001</v>
      </c>
      <c r="AV90">
        <f t="shared" si="20"/>
        <v>18.287901234567901</v>
      </c>
      <c r="AW90">
        <f t="shared" si="21"/>
        <v>23.35657594074074</v>
      </c>
      <c r="AX90" s="9"/>
      <c r="AY90" s="22">
        <v>0.30288700000000002</v>
      </c>
      <c r="AZ90" s="22">
        <v>27.236699999999999</v>
      </c>
      <c r="BA90" s="22">
        <v>-1.6561900000000001E-2</v>
      </c>
      <c r="BB90" s="22">
        <v>80</v>
      </c>
      <c r="BC90" s="22">
        <v>0.30224600000000001</v>
      </c>
      <c r="BD90">
        <f t="shared" si="22"/>
        <v>20.44679012345679</v>
      </c>
      <c r="BE90">
        <f t="shared" si="23"/>
        <v>6.1930669201234574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5.9100799999999998</v>
      </c>
      <c r="I91" s="22">
        <v>-1.4898700000000001E-2</v>
      </c>
      <c r="J91" s="22">
        <v>81</v>
      </c>
      <c r="K91" s="22">
        <v>1.27075</v>
      </c>
      <c r="L91">
        <f t="shared" si="12"/>
        <v>18.393456790123455</v>
      </c>
      <c r="M91">
        <f t="shared" si="13"/>
        <v>23.398868186419751</v>
      </c>
      <c r="N91" s="9"/>
      <c r="O91" s="22">
        <v>0.30792199999999997</v>
      </c>
      <c r="P91" s="22">
        <v>9.4875600000000002</v>
      </c>
      <c r="Q91" s="22">
        <v>-1.6589400000000001E-2</v>
      </c>
      <c r="R91" s="22">
        <v>81</v>
      </c>
      <c r="S91" s="22">
        <v>0.30731199999999997</v>
      </c>
      <c r="T91">
        <f t="shared" si="14"/>
        <v>20.480740740740739</v>
      </c>
      <c r="U91">
        <f t="shared" si="15"/>
        <v>6.3064706503703691</v>
      </c>
      <c r="X91" s="9"/>
      <c r="Y91" s="22">
        <v>1.27213</v>
      </c>
      <c r="Z91" s="22">
        <v>14.793100000000001</v>
      </c>
      <c r="AA91" s="22">
        <v>-1.4822399999999999E-2</v>
      </c>
      <c r="AB91" s="22">
        <v>81</v>
      </c>
      <c r="AC91" s="22">
        <v>1.2716700000000001</v>
      </c>
      <c r="AD91">
        <f t="shared" si="16"/>
        <v>18.299259259259259</v>
      </c>
      <c r="AE91">
        <f t="shared" si="17"/>
        <v>23.279036681481479</v>
      </c>
      <c r="AF91" s="9"/>
      <c r="AG91" s="22">
        <v>0.30792199999999997</v>
      </c>
      <c r="AH91" s="22">
        <v>18.3706</v>
      </c>
      <c r="AI91" s="22">
        <v>-1.6549700000000001E-2</v>
      </c>
      <c r="AJ91" s="22">
        <v>81</v>
      </c>
      <c r="AK91" s="22">
        <v>0.30715900000000002</v>
      </c>
      <c r="AL91">
        <f t="shared" si="18"/>
        <v>20.431728395061725</v>
      </c>
      <c r="AM91">
        <f t="shared" si="19"/>
        <v>6.2913786708641961</v>
      </c>
      <c r="AP91" s="9"/>
      <c r="AQ91" s="22">
        <v>1.27213</v>
      </c>
      <c r="AR91" s="22">
        <v>23.6693</v>
      </c>
      <c r="AS91" s="22">
        <v>-1.4822399999999999E-2</v>
      </c>
      <c r="AT91" s="22">
        <v>81</v>
      </c>
      <c r="AU91" s="22">
        <v>1.27075</v>
      </c>
      <c r="AV91">
        <f t="shared" si="20"/>
        <v>18.299259259259259</v>
      </c>
      <c r="AW91">
        <f t="shared" si="21"/>
        <v>23.279036681481479</v>
      </c>
      <c r="AX91" s="9"/>
      <c r="AY91" s="22">
        <v>0.30792199999999997</v>
      </c>
      <c r="AZ91" s="22">
        <v>27.2468</v>
      </c>
      <c r="BA91" s="22">
        <v>-1.6555799999999999E-2</v>
      </c>
      <c r="BB91" s="22">
        <v>81</v>
      </c>
      <c r="BC91" s="22">
        <v>0.307251</v>
      </c>
      <c r="BD91">
        <f t="shared" si="22"/>
        <v>20.439259259259259</v>
      </c>
      <c r="BE91">
        <f t="shared" si="23"/>
        <v>6.2936975896296294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5.9201499999999996</v>
      </c>
      <c r="I92" s="22">
        <v>-1.4904799999999999E-2</v>
      </c>
      <c r="J92" s="22">
        <v>82</v>
      </c>
      <c r="K92" s="22">
        <v>1.26617</v>
      </c>
      <c r="L92">
        <f t="shared" si="12"/>
        <v>18.400987654320986</v>
      </c>
      <c r="M92">
        <f t="shared" si="13"/>
        <v>23.315707446913578</v>
      </c>
      <c r="N92" s="9"/>
      <c r="O92" s="22">
        <v>0.31295800000000001</v>
      </c>
      <c r="P92" s="22">
        <v>9.4976299999999991</v>
      </c>
      <c r="Q92" s="22">
        <v>-1.65802E-2</v>
      </c>
      <c r="R92" s="22">
        <v>82</v>
      </c>
      <c r="S92" s="22">
        <v>0.31198100000000001</v>
      </c>
      <c r="T92">
        <f t="shared" si="14"/>
        <v>20.469382716049381</v>
      </c>
      <c r="U92">
        <f t="shared" si="15"/>
        <v>6.4060570760493825</v>
      </c>
      <c r="X92" s="9"/>
      <c r="Y92" s="22">
        <v>1.26709</v>
      </c>
      <c r="Z92" s="22">
        <v>14.8032</v>
      </c>
      <c r="AA92" s="22">
        <v>-1.4831499999999999E-2</v>
      </c>
      <c r="AB92" s="22">
        <v>82</v>
      </c>
      <c r="AC92" s="22">
        <v>1.26678</v>
      </c>
      <c r="AD92">
        <f t="shared" si="16"/>
        <v>18.310493827160489</v>
      </c>
      <c r="AE92">
        <f t="shared" si="17"/>
        <v>23.201043623456783</v>
      </c>
      <c r="AF92" s="9"/>
      <c r="AG92" s="22">
        <v>0.31295800000000001</v>
      </c>
      <c r="AH92" s="22">
        <v>18.380700000000001</v>
      </c>
      <c r="AI92" s="22">
        <v>-1.65405E-2</v>
      </c>
      <c r="AJ92" s="22">
        <v>82</v>
      </c>
      <c r="AK92" s="22">
        <v>0.31210300000000002</v>
      </c>
      <c r="AL92">
        <f t="shared" si="18"/>
        <v>20.420370370370371</v>
      </c>
      <c r="AM92">
        <f t="shared" si="19"/>
        <v>6.3907182703703711</v>
      </c>
      <c r="AP92" s="9"/>
      <c r="AQ92" s="22">
        <v>1.26709</v>
      </c>
      <c r="AR92" s="22">
        <v>23.679400000000001</v>
      </c>
      <c r="AS92" s="22">
        <v>-1.4837599999999999E-2</v>
      </c>
      <c r="AT92" s="22">
        <v>82</v>
      </c>
      <c r="AU92" s="22">
        <v>1.2664800000000001</v>
      </c>
      <c r="AV92">
        <f t="shared" si="20"/>
        <v>18.318024691358023</v>
      </c>
      <c r="AW92">
        <f t="shared" si="21"/>
        <v>23.210585906172838</v>
      </c>
      <c r="AX92" s="9"/>
      <c r="AY92" s="22">
        <v>0.31295800000000001</v>
      </c>
      <c r="AZ92" s="22">
        <v>27.256900000000002</v>
      </c>
      <c r="BA92" s="22">
        <v>-1.6546600000000002E-2</v>
      </c>
      <c r="BB92" s="22">
        <v>82</v>
      </c>
      <c r="BC92" s="22">
        <v>0.31228600000000001</v>
      </c>
      <c r="BD92">
        <f t="shared" si="22"/>
        <v>20.427901234567901</v>
      </c>
      <c r="BE92">
        <f t="shared" si="23"/>
        <v>6.3930751145679015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5.9302200000000003</v>
      </c>
      <c r="I93" s="22">
        <v>-1.4917E-2</v>
      </c>
      <c r="J93" s="22">
        <v>83</v>
      </c>
      <c r="K93" s="22">
        <v>1.2616000000000001</v>
      </c>
      <c r="L93">
        <f t="shared" si="12"/>
        <v>18.416049382716047</v>
      </c>
      <c r="M93">
        <f t="shared" si="13"/>
        <v>23.241975123456786</v>
      </c>
      <c r="N93" s="9"/>
      <c r="O93" s="22">
        <v>0.31799300000000003</v>
      </c>
      <c r="P93" s="22">
        <v>9.5076999999999998</v>
      </c>
      <c r="Q93" s="22">
        <v>-1.6570999999999999E-2</v>
      </c>
      <c r="R93" s="22">
        <v>83</v>
      </c>
      <c r="S93" s="22">
        <v>0.31726100000000002</v>
      </c>
      <c r="T93">
        <f t="shared" si="14"/>
        <v>20.45802469135802</v>
      </c>
      <c r="U93">
        <f t="shared" si="15"/>
        <v>6.5055086456790114</v>
      </c>
      <c r="X93" s="9"/>
      <c r="Y93" s="22">
        <v>1.2620499999999999</v>
      </c>
      <c r="Z93" s="22">
        <v>14.8133</v>
      </c>
      <c r="AA93" s="22">
        <v>-1.4843800000000001E-2</v>
      </c>
      <c r="AB93" s="22">
        <v>83</v>
      </c>
      <c r="AC93" s="22">
        <v>1.26129</v>
      </c>
      <c r="AD93">
        <f t="shared" si="16"/>
        <v>18.325679012345677</v>
      </c>
      <c r="AE93">
        <f t="shared" si="17"/>
        <v>23.127923197530862</v>
      </c>
      <c r="AF93" s="9"/>
      <c r="AG93" s="22">
        <v>0.31799300000000003</v>
      </c>
      <c r="AH93" s="22">
        <v>18.390699999999999</v>
      </c>
      <c r="AI93" s="22">
        <v>-1.6528299999999999E-2</v>
      </c>
      <c r="AJ93" s="22">
        <v>83</v>
      </c>
      <c r="AK93" s="22">
        <v>0.31726100000000002</v>
      </c>
      <c r="AL93">
        <f t="shared" si="18"/>
        <v>20.405308641975306</v>
      </c>
      <c r="AM93">
        <f t="shared" si="19"/>
        <v>6.4887453109876541</v>
      </c>
      <c r="AP93" s="9"/>
      <c r="AQ93" s="22">
        <v>1.2620499999999999</v>
      </c>
      <c r="AR93" s="22">
        <v>23.689399999999999</v>
      </c>
      <c r="AS93" s="22">
        <v>-1.48468E-2</v>
      </c>
      <c r="AT93" s="22">
        <v>83</v>
      </c>
      <c r="AU93" s="22">
        <v>1.2603800000000001</v>
      </c>
      <c r="AV93">
        <f t="shared" si="20"/>
        <v>18.329382716049381</v>
      </c>
      <c r="AW93">
        <f t="shared" si="21"/>
        <v>23.132597456790119</v>
      </c>
      <c r="AX93" s="9"/>
      <c r="AY93" s="22">
        <v>0.31799300000000003</v>
      </c>
      <c r="AZ93" s="22">
        <v>27.2669</v>
      </c>
      <c r="BA93" s="22">
        <v>-1.6534400000000001E-2</v>
      </c>
      <c r="BB93" s="22">
        <v>83</v>
      </c>
      <c r="BC93" s="22">
        <v>0.31738300000000003</v>
      </c>
      <c r="BD93">
        <f t="shared" si="22"/>
        <v>20.412839506172837</v>
      </c>
      <c r="BE93">
        <f t="shared" si="23"/>
        <v>6.4911400730864193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5.9402900000000001</v>
      </c>
      <c r="I94" s="22">
        <v>-1.4926099999999999E-2</v>
      </c>
      <c r="J94" s="22">
        <v>84</v>
      </c>
      <c r="K94" s="22">
        <v>1.2561</v>
      </c>
      <c r="L94">
        <f t="shared" si="12"/>
        <v>18.427283950617284</v>
      </c>
      <c r="M94">
        <f t="shared" si="13"/>
        <v>23.163464471604939</v>
      </c>
      <c r="N94" s="9"/>
      <c r="O94" s="22">
        <v>0.32302900000000001</v>
      </c>
      <c r="P94" s="22">
        <v>9.5177700000000005</v>
      </c>
      <c r="Q94" s="22">
        <v>-1.6561900000000001E-2</v>
      </c>
      <c r="R94" s="22">
        <v>84</v>
      </c>
      <c r="S94" s="22">
        <v>0.32253999999999999</v>
      </c>
      <c r="T94">
        <f t="shared" si="14"/>
        <v>20.44679012345679</v>
      </c>
      <c r="U94">
        <f t="shared" si="15"/>
        <v>6.6049061667901237</v>
      </c>
      <c r="X94" s="9"/>
      <c r="Y94" s="22">
        <v>1.25702</v>
      </c>
      <c r="Z94" s="22">
        <v>14.8233</v>
      </c>
      <c r="AA94" s="22">
        <v>-1.48529E-2</v>
      </c>
      <c r="AB94" s="22">
        <v>84</v>
      </c>
      <c r="AC94" s="22">
        <v>1.25549</v>
      </c>
      <c r="AD94">
        <f t="shared" si="16"/>
        <v>18.336913580246915</v>
      </c>
      <c r="AE94">
        <f t="shared" si="17"/>
        <v>23.049867108641976</v>
      </c>
      <c r="AF94" s="9"/>
      <c r="AG94" s="22">
        <v>0.32302900000000001</v>
      </c>
      <c r="AH94" s="22">
        <v>18.4008</v>
      </c>
      <c r="AI94" s="22">
        <v>-1.6519200000000001E-2</v>
      </c>
      <c r="AJ94" s="22">
        <v>84</v>
      </c>
      <c r="AK94" s="22">
        <v>0.32244899999999999</v>
      </c>
      <c r="AL94">
        <f t="shared" si="18"/>
        <v>20.394074074074076</v>
      </c>
      <c r="AM94">
        <f t="shared" si="19"/>
        <v>6.5878773540740747</v>
      </c>
      <c r="AP94" s="9"/>
      <c r="AQ94" s="22">
        <v>1.25702</v>
      </c>
      <c r="AR94" s="22">
        <v>23.6995</v>
      </c>
      <c r="AS94" s="22">
        <v>-1.4855999999999999E-2</v>
      </c>
      <c r="AT94" s="22">
        <v>84</v>
      </c>
      <c r="AU94" s="22">
        <v>1.25549</v>
      </c>
      <c r="AV94">
        <f t="shared" si="20"/>
        <v>18.340740740740738</v>
      </c>
      <c r="AW94">
        <f t="shared" si="21"/>
        <v>23.054677925925922</v>
      </c>
      <c r="AX94" s="9"/>
      <c r="AY94" s="22">
        <v>0.32302900000000001</v>
      </c>
      <c r="AZ94" s="22">
        <v>27.277000000000001</v>
      </c>
      <c r="BA94" s="22">
        <v>-1.65253E-2</v>
      </c>
      <c r="BB94" s="22">
        <v>84</v>
      </c>
      <c r="BC94" s="22">
        <v>0.32229600000000003</v>
      </c>
      <c r="BD94">
        <f t="shared" si="22"/>
        <v>20.401604938271603</v>
      </c>
      <c r="BE94">
        <f t="shared" si="23"/>
        <v>6.5903100416049378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5.9503599999999999</v>
      </c>
      <c r="I95" s="22">
        <v>-1.49353E-2</v>
      </c>
      <c r="J95" s="22">
        <v>85</v>
      </c>
      <c r="K95" s="22">
        <v>1.25061</v>
      </c>
      <c r="L95">
        <f t="shared" si="12"/>
        <v>18.438641975308641</v>
      </c>
      <c r="M95">
        <f t="shared" si="13"/>
        <v>23.084810980246914</v>
      </c>
      <c r="N95" s="9"/>
      <c r="O95" s="22">
        <v>0.32806400000000002</v>
      </c>
      <c r="P95" s="22">
        <v>9.5278399999999994</v>
      </c>
      <c r="Q95" s="22">
        <v>-1.65527E-2</v>
      </c>
      <c r="R95" s="22">
        <v>85</v>
      </c>
      <c r="S95" s="22">
        <v>0.32742300000000002</v>
      </c>
      <c r="T95">
        <f t="shared" si="14"/>
        <v>20.435432098765428</v>
      </c>
      <c r="U95">
        <f t="shared" si="15"/>
        <v>6.7041295960493823</v>
      </c>
      <c r="X95" s="9"/>
      <c r="Y95" s="22">
        <v>1.2519800000000001</v>
      </c>
      <c r="Z95" s="22">
        <v>14.833399999999999</v>
      </c>
      <c r="AA95" s="22">
        <v>-1.4859000000000001E-2</v>
      </c>
      <c r="AB95" s="22">
        <v>85</v>
      </c>
      <c r="AC95" s="22">
        <v>1.25122</v>
      </c>
      <c r="AD95">
        <f t="shared" si="16"/>
        <v>18.344444444444445</v>
      </c>
      <c r="AE95">
        <f t="shared" si="17"/>
        <v>22.966877555555559</v>
      </c>
      <c r="AF95" s="9"/>
      <c r="AG95" s="22">
        <v>0.32806400000000002</v>
      </c>
      <c r="AH95" s="22">
        <v>18.410900000000002</v>
      </c>
      <c r="AI95" s="22">
        <v>-1.6507000000000001E-2</v>
      </c>
      <c r="AJ95" s="22">
        <v>85</v>
      </c>
      <c r="AK95" s="22">
        <v>0.32739299999999999</v>
      </c>
      <c r="AL95">
        <f t="shared" si="18"/>
        <v>20.379012345679012</v>
      </c>
      <c r="AM95">
        <f t="shared" si="19"/>
        <v>6.6856203061728401</v>
      </c>
      <c r="AP95" s="9"/>
      <c r="AQ95" s="22">
        <v>1.2519800000000001</v>
      </c>
      <c r="AR95" s="22">
        <v>23.709599999999998</v>
      </c>
      <c r="AS95" s="22">
        <v>-1.4865099999999999E-2</v>
      </c>
      <c r="AT95" s="22">
        <v>85</v>
      </c>
      <c r="AU95" s="22">
        <v>1.25122</v>
      </c>
      <c r="AV95">
        <f t="shared" si="20"/>
        <v>18.351975308641972</v>
      </c>
      <c r="AW95">
        <f t="shared" si="21"/>
        <v>22.976306046913578</v>
      </c>
      <c r="AX95" s="9"/>
      <c r="AY95" s="22">
        <v>0.32806400000000002</v>
      </c>
      <c r="AZ95" s="22">
        <v>27.287099999999999</v>
      </c>
      <c r="BA95" s="22">
        <v>-1.6519200000000001E-2</v>
      </c>
      <c r="BB95" s="22">
        <v>85</v>
      </c>
      <c r="BC95" s="22">
        <v>0.327484</v>
      </c>
      <c r="BD95">
        <f t="shared" si="22"/>
        <v>20.394074074074076</v>
      </c>
      <c r="BE95">
        <f t="shared" si="23"/>
        <v>6.6905615170370378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5.9604299999999997</v>
      </c>
      <c r="I96" s="22">
        <v>-1.4944499999999999E-2</v>
      </c>
      <c r="J96" s="22">
        <v>86</v>
      </c>
      <c r="K96" s="22">
        <v>1.24573</v>
      </c>
      <c r="L96">
        <f t="shared" si="12"/>
        <v>18.45</v>
      </c>
      <c r="M96">
        <f t="shared" si="13"/>
        <v>23.006227499999998</v>
      </c>
      <c r="N96" s="9"/>
      <c r="O96" s="22">
        <v>0.33309899999999998</v>
      </c>
      <c r="P96" s="22">
        <v>9.5379100000000001</v>
      </c>
      <c r="Q96" s="22">
        <v>-1.6543599999999999E-2</v>
      </c>
      <c r="R96" s="22">
        <v>86</v>
      </c>
      <c r="S96" s="22">
        <v>0.33236700000000002</v>
      </c>
      <c r="T96">
        <f t="shared" si="14"/>
        <v>20.424197530864195</v>
      </c>
      <c r="U96">
        <f t="shared" si="15"/>
        <v>6.8032797733333323</v>
      </c>
      <c r="X96" s="9"/>
      <c r="Y96" s="22">
        <v>1.24695</v>
      </c>
      <c r="Z96" s="22">
        <v>14.843500000000001</v>
      </c>
      <c r="AA96" s="22">
        <v>-1.48682E-2</v>
      </c>
      <c r="AB96" s="22">
        <v>86</v>
      </c>
      <c r="AC96" s="22">
        <v>1.24634</v>
      </c>
      <c r="AD96">
        <f t="shared" si="16"/>
        <v>18.355802469135799</v>
      </c>
      <c r="AE96">
        <f t="shared" si="17"/>
        <v>22.888767888888886</v>
      </c>
      <c r="AF96" s="9"/>
      <c r="AG96" s="22">
        <v>0.33309899999999998</v>
      </c>
      <c r="AH96" s="22">
        <v>18.420999999999999</v>
      </c>
      <c r="AI96" s="22">
        <v>-1.64948E-2</v>
      </c>
      <c r="AJ96" s="22">
        <v>86</v>
      </c>
      <c r="AK96" s="22">
        <v>0.33248899999999998</v>
      </c>
      <c r="AL96">
        <f t="shared" si="18"/>
        <v>20.363950617283948</v>
      </c>
      <c r="AM96">
        <f t="shared" si="19"/>
        <v>6.7832115866666651</v>
      </c>
      <c r="AP96" s="9"/>
      <c r="AQ96" s="22">
        <v>1.24695</v>
      </c>
      <c r="AR96" s="22">
        <v>23.7197</v>
      </c>
      <c r="AS96" s="22">
        <v>-1.4871199999999999E-2</v>
      </c>
      <c r="AT96" s="22">
        <v>86</v>
      </c>
      <c r="AU96" s="22">
        <v>1.24634</v>
      </c>
      <c r="AV96">
        <f t="shared" si="20"/>
        <v>18.359506172839506</v>
      </c>
      <c r="AW96">
        <f t="shared" si="21"/>
        <v>22.893386222222222</v>
      </c>
      <c r="AX96" s="9"/>
      <c r="AY96" s="22">
        <v>0.33309899999999998</v>
      </c>
      <c r="AZ96" s="22">
        <v>27.2971</v>
      </c>
      <c r="BA96" s="22">
        <v>-1.651E-2</v>
      </c>
      <c r="BB96" s="22">
        <v>86</v>
      </c>
      <c r="BC96" s="22">
        <v>0.33255000000000001</v>
      </c>
      <c r="BD96">
        <f t="shared" si="22"/>
        <v>20.382716049382715</v>
      </c>
      <c r="BE96">
        <f t="shared" si="23"/>
        <v>6.7894623333333328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5.9705000000000004</v>
      </c>
      <c r="I97" s="22">
        <v>-1.4953599999999999E-2</v>
      </c>
      <c r="J97" s="22">
        <v>87</v>
      </c>
      <c r="K97" s="22">
        <v>1.24115</v>
      </c>
      <c r="L97">
        <f t="shared" si="12"/>
        <v>18.461234567901233</v>
      </c>
      <c r="M97">
        <f t="shared" si="13"/>
        <v>22.92719182222222</v>
      </c>
      <c r="N97" s="9"/>
      <c r="O97" s="22">
        <v>0.33813500000000002</v>
      </c>
      <c r="P97" s="22">
        <v>9.5479900000000004</v>
      </c>
      <c r="Q97" s="22">
        <v>-1.6531400000000002E-2</v>
      </c>
      <c r="R97" s="22">
        <v>87</v>
      </c>
      <c r="S97" s="22">
        <v>0.33749400000000002</v>
      </c>
      <c r="T97">
        <f t="shared" si="14"/>
        <v>20.409135802469137</v>
      </c>
      <c r="U97">
        <f t="shared" si="15"/>
        <v>6.9010431345679022</v>
      </c>
      <c r="X97" s="9"/>
      <c r="Y97" s="22">
        <v>1.2419100000000001</v>
      </c>
      <c r="Z97" s="22">
        <v>14.8535</v>
      </c>
      <c r="AA97" s="22">
        <v>-1.48773E-2</v>
      </c>
      <c r="AB97" s="22">
        <v>87</v>
      </c>
      <c r="AC97" s="22">
        <v>1.24054</v>
      </c>
      <c r="AD97">
        <f t="shared" si="16"/>
        <v>18.367037037037036</v>
      </c>
      <c r="AE97">
        <f t="shared" si="17"/>
        <v>22.810206966666666</v>
      </c>
      <c r="AF97" s="9"/>
      <c r="AG97" s="22">
        <v>0.33813500000000002</v>
      </c>
      <c r="AH97" s="22">
        <v>18.431000000000001</v>
      </c>
      <c r="AI97" s="22">
        <v>-1.64856E-2</v>
      </c>
      <c r="AJ97" s="22">
        <v>87</v>
      </c>
      <c r="AK97" s="22">
        <v>0.33743299999999998</v>
      </c>
      <c r="AL97">
        <f t="shared" si="18"/>
        <v>20.352592592592593</v>
      </c>
      <c r="AM97">
        <f t="shared" si="19"/>
        <v>6.8819238962962972</v>
      </c>
      <c r="AP97" s="9"/>
      <c r="AQ97" s="22">
        <v>1.2419100000000001</v>
      </c>
      <c r="AR97" s="22">
        <v>23.729700000000001</v>
      </c>
      <c r="AS97" s="22">
        <v>-1.48773E-2</v>
      </c>
      <c r="AT97" s="22">
        <v>87</v>
      </c>
      <c r="AU97" s="22">
        <v>1.24115</v>
      </c>
      <c r="AV97">
        <f t="shared" si="20"/>
        <v>18.367037037037036</v>
      </c>
      <c r="AW97">
        <f t="shared" si="21"/>
        <v>22.810206966666666</v>
      </c>
      <c r="AX97" s="9"/>
      <c r="AY97" s="22">
        <v>0.33813500000000002</v>
      </c>
      <c r="AZ97" s="22">
        <v>27.307200000000002</v>
      </c>
      <c r="BA97" s="22">
        <v>-1.64978E-2</v>
      </c>
      <c r="BB97" s="22">
        <v>87</v>
      </c>
      <c r="BC97" s="22">
        <v>0.33761600000000003</v>
      </c>
      <c r="BD97">
        <f t="shared" si="22"/>
        <v>20.367654320987651</v>
      </c>
      <c r="BE97">
        <f t="shared" si="23"/>
        <v>6.8870167938271596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5.9805700000000002</v>
      </c>
      <c r="I98" s="22">
        <v>-1.49628E-2</v>
      </c>
      <c r="J98" s="22">
        <v>88</v>
      </c>
      <c r="K98" s="22">
        <v>1.23627</v>
      </c>
      <c r="L98">
        <f t="shared" si="12"/>
        <v>18.472592592592594</v>
      </c>
      <c r="M98">
        <f t="shared" si="13"/>
        <v>22.848380325925927</v>
      </c>
      <c r="N98" s="9"/>
      <c r="O98" s="22">
        <v>0.34316999999999998</v>
      </c>
      <c r="P98" s="22">
        <v>9.5580599999999993</v>
      </c>
      <c r="Q98" s="22">
        <v>-1.6519200000000001E-2</v>
      </c>
      <c r="R98" s="22">
        <v>88</v>
      </c>
      <c r="S98" s="22">
        <v>0.34240700000000002</v>
      </c>
      <c r="T98">
        <f t="shared" si="14"/>
        <v>20.394074074074076</v>
      </c>
      <c r="U98">
        <f t="shared" si="15"/>
        <v>6.9986344000000003</v>
      </c>
      <c r="X98" s="9"/>
      <c r="Y98" s="22">
        <v>1.23688</v>
      </c>
      <c r="Z98" s="22">
        <v>14.8636</v>
      </c>
      <c r="AA98" s="22">
        <v>-1.48895E-2</v>
      </c>
      <c r="AB98" s="22">
        <v>88</v>
      </c>
      <c r="AC98" s="22">
        <v>1.2359599999999999</v>
      </c>
      <c r="AD98">
        <f t="shared" si="16"/>
        <v>18.382098765432101</v>
      </c>
      <c r="AE98">
        <f t="shared" si="17"/>
        <v>22.736450320987657</v>
      </c>
      <c r="AF98" s="9"/>
      <c r="AG98" s="22">
        <v>0.34316999999999998</v>
      </c>
      <c r="AH98" s="22">
        <v>18.441099999999999</v>
      </c>
      <c r="AI98" s="22">
        <v>-1.6476399999999999E-2</v>
      </c>
      <c r="AJ98" s="22">
        <v>88</v>
      </c>
      <c r="AK98" s="22">
        <v>0.34252899999999997</v>
      </c>
      <c r="AL98">
        <f t="shared" si="18"/>
        <v>20.341234567901232</v>
      </c>
      <c r="AM98">
        <f t="shared" si="19"/>
        <v>6.9805014666666656</v>
      </c>
      <c r="AP98" s="9"/>
      <c r="AQ98" s="22">
        <v>1.23688</v>
      </c>
      <c r="AR98" s="22">
        <v>23.739799999999999</v>
      </c>
      <c r="AS98" s="22">
        <v>-1.48865E-2</v>
      </c>
      <c r="AT98" s="22">
        <v>88</v>
      </c>
      <c r="AU98" s="22">
        <v>1.2359599999999999</v>
      </c>
      <c r="AV98">
        <f t="shared" si="20"/>
        <v>18.378395061728394</v>
      </c>
      <c r="AW98">
        <f t="shared" si="21"/>
        <v>22.731869283950616</v>
      </c>
      <c r="AX98" s="9"/>
      <c r="AY98" s="22">
        <v>0.34316999999999998</v>
      </c>
      <c r="AZ98" s="22">
        <v>27.317299999999999</v>
      </c>
      <c r="BA98" s="22">
        <v>-1.64856E-2</v>
      </c>
      <c r="BB98" s="22">
        <v>88</v>
      </c>
      <c r="BC98" s="22">
        <v>0.34243800000000002</v>
      </c>
      <c r="BD98">
        <f t="shared" si="22"/>
        <v>20.352592592592593</v>
      </c>
      <c r="BE98">
        <f t="shared" si="23"/>
        <v>6.9843991999999995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5.99064</v>
      </c>
      <c r="I99" s="22">
        <v>-1.49719E-2</v>
      </c>
      <c r="J99" s="22">
        <v>89</v>
      </c>
      <c r="K99" s="22">
        <v>1.2313799999999999</v>
      </c>
      <c r="L99">
        <f t="shared" si="12"/>
        <v>18.483827160493824</v>
      </c>
      <c r="M99">
        <f t="shared" si="13"/>
        <v>22.769117649382714</v>
      </c>
      <c r="N99" s="9"/>
      <c r="O99" s="22">
        <v>0.34820600000000002</v>
      </c>
      <c r="P99" s="22">
        <v>9.56813</v>
      </c>
      <c r="Q99" s="22">
        <v>-1.6507000000000001E-2</v>
      </c>
      <c r="R99" s="22">
        <v>89</v>
      </c>
      <c r="S99" s="22">
        <v>0.34735100000000002</v>
      </c>
      <c r="T99">
        <f t="shared" si="14"/>
        <v>20.379012345679012</v>
      </c>
      <c r="U99">
        <f t="shared" si="15"/>
        <v>7.0960943728395067</v>
      </c>
      <c r="X99" s="9"/>
      <c r="Y99" s="22">
        <v>1.23184</v>
      </c>
      <c r="Z99" s="22">
        <v>14.873699999999999</v>
      </c>
      <c r="AA99" s="22">
        <v>-1.4898700000000001E-2</v>
      </c>
      <c r="AB99" s="22">
        <v>89</v>
      </c>
      <c r="AC99" s="22">
        <v>1.2307699999999999</v>
      </c>
      <c r="AD99">
        <f t="shared" si="16"/>
        <v>18.393456790123455</v>
      </c>
      <c r="AE99">
        <f t="shared" si="17"/>
        <v>22.657795812345679</v>
      </c>
      <c r="AF99" s="9"/>
      <c r="AG99" s="22">
        <v>0.34820600000000002</v>
      </c>
      <c r="AH99" s="22">
        <v>18.4512</v>
      </c>
      <c r="AI99" s="22">
        <v>-1.6464199999999998E-2</v>
      </c>
      <c r="AJ99" s="22">
        <v>89</v>
      </c>
      <c r="AK99" s="22">
        <v>0.34753400000000001</v>
      </c>
      <c r="AL99">
        <f t="shared" si="18"/>
        <v>20.326172839506171</v>
      </c>
      <c r="AM99">
        <f t="shared" si="19"/>
        <v>7.0776953397530864</v>
      </c>
      <c r="AP99" s="9"/>
      <c r="AQ99" s="22">
        <v>1.23184</v>
      </c>
      <c r="AR99" s="22">
        <v>23.7499</v>
      </c>
      <c r="AS99" s="22">
        <v>-1.48956E-2</v>
      </c>
      <c r="AT99" s="22">
        <v>89</v>
      </c>
      <c r="AU99" s="22">
        <v>1.23108</v>
      </c>
      <c r="AV99">
        <f t="shared" si="20"/>
        <v>18.389629629629628</v>
      </c>
      <c r="AW99">
        <f t="shared" si="21"/>
        <v>22.653081362962961</v>
      </c>
      <c r="AX99" s="9"/>
      <c r="AY99" s="22">
        <v>0.34820600000000002</v>
      </c>
      <c r="AZ99" s="22">
        <v>27.327400000000001</v>
      </c>
      <c r="BA99" s="22">
        <v>-1.6473399999999999E-2</v>
      </c>
      <c r="BB99" s="22">
        <v>89</v>
      </c>
      <c r="BC99" s="22">
        <v>0.34759499999999999</v>
      </c>
      <c r="BD99">
        <f t="shared" si="22"/>
        <v>20.337530864197529</v>
      </c>
      <c r="BE99">
        <f t="shared" si="23"/>
        <v>7.0816502720987646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6.0007099999999998</v>
      </c>
      <c r="I100" s="22">
        <v>-1.4981100000000001E-2</v>
      </c>
      <c r="J100" s="22">
        <v>90</v>
      </c>
      <c r="K100" s="22">
        <v>1.22498</v>
      </c>
      <c r="L100">
        <f t="shared" si="12"/>
        <v>18.495185185185186</v>
      </c>
      <c r="M100">
        <f t="shared" si="13"/>
        <v>22.690078137037037</v>
      </c>
      <c r="N100" s="9"/>
      <c r="O100" s="22">
        <v>0.35324100000000003</v>
      </c>
      <c r="P100" s="22">
        <v>9.5782000000000007</v>
      </c>
      <c r="Q100" s="22">
        <v>-1.64978E-2</v>
      </c>
      <c r="R100" s="22">
        <v>90</v>
      </c>
      <c r="S100" s="22">
        <v>0.35275299999999998</v>
      </c>
      <c r="T100">
        <f t="shared" si="14"/>
        <v>20.367654320987651</v>
      </c>
      <c r="U100">
        <f t="shared" si="15"/>
        <v>7.1946905799999996</v>
      </c>
      <c r="X100" s="9"/>
      <c r="Y100" s="22">
        <v>1.22681</v>
      </c>
      <c r="Z100" s="22">
        <v>14.883800000000001</v>
      </c>
      <c r="AA100" s="22">
        <v>-1.4907800000000001E-2</v>
      </c>
      <c r="AB100" s="22">
        <v>90</v>
      </c>
      <c r="AC100" s="22">
        <v>1.2258899999999999</v>
      </c>
      <c r="AD100">
        <f t="shared" si="16"/>
        <v>18.404691358024692</v>
      </c>
      <c r="AE100">
        <f t="shared" si="17"/>
        <v>22.57905940493827</v>
      </c>
      <c r="AF100" s="9"/>
      <c r="AG100" s="22">
        <v>0.35324100000000003</v>
      </c>
      <c r="AH100" s="22">
        <v>18.461200000000002</v>
      </c>
      <c r="AI100" s="22">
        <v>-1.64551E-2</v>
      </c>
      <c r="AJ100" s="22">
        <v>90</v>
      </c>
      <c r="AK100" s="22">
        <v>0.35260000000000002</v>
      </c>
      <c r="AL100">
        <f t="shared" si="18"/>
        <v>20.314938271604937</v>
      </c>
      <c r="AM100">
        <f t="shared" si="19"/>
        <v>7.1760691100000003</v>
      </c>
      <c r="AP100" s="9"/>
      <c r="AQ100" s="22">
        <v>1.22681</v>
      </c>
      <c r="AR100" s="22">
        <v>23.759899999999998</v>
      </c>
      <c r="AS100" s="22">
        <v>-1.4907800000000001E-2</v>
      </c>
      <c r="AT100" s="22">
        <v>90</v>
      </c>
      <c r="AU100" s="22">
        <v>1.2262</v>
      </c>
      <c r="AV100">
        <f t="shared" si="20"/>
        <v>18.404691358024692</v>
      </c>
      <c r="AW100">
        <f t="shared" si="21"/>
        <v>22.57905940493827</v>
      </c>
      <c r="AX100" s="9"/>
      <c r="AY100" s="22">
        <v>0.35324100000000003</v>
      </c>
      <c r="AZ100" s="22">
        <v>27.337399999999999</v>
      </c>
      <c r="BA100" s="22">
        <v>-1.6464199999999998E-2</v>
      </c>
      <c r="BB100" s="22">
        <v>90</v>
      </c>
      <c r="BC100" s="22">
        <v>0.35250900000000002</v>
      </c>
      <c r="BD100">
        <f t="shared" si="22"/>
        <v>20.326172839506171</v>
      </c>
      <c r="BE100">
        <f t="shared" si="23"/>
        <v>7.1800376200000002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6.0107900000000001</v>
      </c>
      <c r="I101" s="22">
        <v>-1.49902E-2</v>
      </c>
      <c r="J101" s="22">
        <v>91</v>
      </c>
      <c r="K101" s="22">
        <v>1.2216199999999999</v>
      </c>
      <c r="L101">
        <f t="shared" si="12"/>
        <v>18.506419753086419</v>
      </c>
      <c r="M101">
        <f t="shared" si="13"/>
        <v>22.610588461728394</v>
      </c>
      <c r="N101" s="9"/>
      <c r="O101" s="22">
        <v>0.35827599999999998</v>
      </c>
      <c r="P101" s="22">
        <v>9.5882699999999996</v>
      </c>
      <c r="Q101" s="22">
        <v>-1.64856E-2</v>
      </c>
      <c r="R101" s="22">
        <v>91</v>
      </c>
      <c r="S101" s="22">
        <v>0.35769699999999999</v>
      </c>
      <c r="T101">
        <f t="shared" si="14"/>
        <v>20.352592592592593</v>
      </c>
      <c r="U101">
        <f t="shared" si="15"/>
        <v>7.2918454637037033</v>
      </c>
      <c r="X101" s="9"/>
      <c r="Y101" s="22">
        <v>1.22177</v>
      </c>
      <c r="Z101" s="22">
        <v>14.893800000000001</v>
      </c>
      <c r="AA101" s="22">
        <v>-1.4917E-2</v>
      </c>
      <c r="AB101" s="22">
        <v>91</v>
      </c>
      <c r="AC101" s="22">
        <v>1.2213099999999999</v>
      </c>
      <c r="AD101">
        <f t="shared" si="16"/>
        <v>18.416049382716047</v>
      </c>
      <c r="AE101">
        <f t="shared" si="17"/>
        <v>22.500176654320985</v>
      </c>
      <c r="AF101" s="9"/>
      <c r="AG101" s="22">
        <v>0.35827599999999998</v>
      </c>
      <c r="AH101" s="22">
        <v>18.471299999999999</v>
      </c>
      <c r="AI101" s="22">
        <v>-1.6445899999999999E-2</v>
      </c>
      <c r="AJ101" s="22">
        <v>91</v>
      </c>
      <c r="AK101" s="22">
        <v>0.35760500000000001</v>
      </c>
      <c r="AL101">
        <f t="shared" si="18"/>
        <v>20.30358024691358</v>
      </c>
      <c r="AM101">
        <f t="shared" si="19"/>
        <v>7.274285516543209</v>
      </c>
      <c r="AP101" s="9"/>
      <c r="AQ101" s="22">
        <v>1.22177</v>
      </c>
      <c r="AR101" s="22">
        <v>23.77</v>
      </c>
      <c r="AS101" s="22">
        <v>-1.4919999999999999E-2</v>
      </c>
      <c r="AT101" s="22">
        <v>91</v>
      </c>
      <c r="AU101" s="22">
        <v>1.2200899999999999</v>
      </c>
      <c r="AV101">
        <f t="shared" si="20"/>
        <v>18.41975308641975</v>
      </c>
      <c r="AW101">
        <f t="shared" si="21"/>
        <v>22.504701728395059</v>
      </c>
      <c r="AX101" s="9"/>
      <c r="AY101" s="22">
        <v>0.35827599999999998</v>
      </c>
      <c r="AZ101" s="22">
        <v>27.3475</v>
      </c>
      <c r="BA101" s="22">
        <v>-1.6452000000000001E-2</v>
      </c>
      <c r="BB101" s="22">
        <v>91</v>
      </c>
      <c r="BC101" s="22">
        <v>0.35766599999999998</v>
      </c>
      <c r="BD101">
        <f t="shared" si="22"/>
        <v>20.311111111111114</v>
      </c>
      <c r="BE101">
        <f t="shared" si="23"/>
        <v>7.2769836444444449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6.0208599999999999</v>
      </c>
      <c r="I102" s="22">
        <v>-1.5002400000000001E-2</v>
      </c>
      <c r="J102" s="22">
        <v>92</v>
      </c>
      <c r="K102" s="22">
        <v>1.2158199999999999</v>
      </c>
      <c r="L102">
        <f t="shared" si="12"/>
        <v>18.521481481481484</v>
      </c>
      <c r="M102">
        <f t="shared" si="13"/>
        <v>22.535827377777778</v>
      </c>
      <c r="N102" s="9"/>
      <c r="O102" s="22">
        <v>0.36331200000000002</v>
      </c>
      <c r="P102" s="22">
        <v>9.5983400000000003</v>
      </c>
      <c r="Q102" s="22">
        <v>-1.6473399999999999E-2</v>
      </c>
      <c r="R102" s="22">
        <v>92</v>
      </c>
      <c r="S102" s="22">
        <v>0.362732</v>
      </c>
      <c r="T102">
        <f t="shared" si="14"/>
        <v>20.337530864197529</v>
      </c>
      <c r="U102">
        <f t="shared" si="15"/>
        <v>7.3888690133333332</v>
      </c>
      <c r="X102" s="9"/>
      <c r="Y102" s="22">
        <v>1.2167399999999999</v>
      </c>
      <c r="Z102" s="22">
        <v>14.9039</v>
      </c>
      <c r="AA102" s="22">
        <v>-1.4926099999999999E-2</v>
      </c>
      <c r="AB102" s="22">
        <v>92</v>
      </c>
      <c r="AC102" s="22">
        <v>1.2152099999999999</v>
      </c>
      <c r="AD102">
        <f t="shared" si="16"/>
        <v>18.427283950617284</v>
      </c>
      <c r="AE102">
        <f t="shared" si="17"/>
        <v>22.421213474074072</v>
      </c>
      <c r="AF102" s="9"/>
      <c r="AG102" s="22">
        <v>0.36331200000000002</v>
      </c>
      <c r="AH102" s="22">
        <v>18.481400000000001</v>
      </c>
      <c r="AI102" s="22">
        <v>-1.6436800000000001E-2</v>
      </c>
      <c r="AJ102" s="22">
        <v>92</v>
      </c>
      <c r="AK102" s="22">
        <v>0.36257899999999998</v>
      </c>
      <c r="AL102">
        <f t="shared" si="18"/>
        <v>20.292345679012346</v>
      </c>
      <c r="AM102">
        <f t="shared" si="19"/>
        <v>7.3724526933333339</v>
      </c>
      <c r="AP102" s="9"/>
      <c r="AQ102" s="22">
        <v>1.2167399999999999</v>
      </c>
      <c r="AR102" s="22">
        <v>23.780100000000001</v>
      </c>
      <c r="AS102" s="22">
        <v>-1.49292E-2</v>
      </c>
      <c r="AT102" s="22">
        <v>92</v>
      </c>
      <c r="AU102" s="22">
        <v>1.2161299999999999</v>
      </c>
      <c r="AV102">
        <f t="shared" si="20"/>
        <v>18.431111111111111</v>
      </c>
      <c r="AW102">
        <f t="shared" si="21"/>
        <v>22.425870133333333</v>
      </c>
      <c r="AX102" s="9"/>
      <c r="AY102" s="22">
        <v>0.36331200000000002</v>
      </c>
      <c r="AZ102" s="22">
        <v>27.357600000000001</v>
      </c>
      <c r="BA102" s="22">
        <v>-1.6445899999999999E-2</v>
      </c>
      <c r="BB102" s="22">
        <v>92</v>
      </c>
      <c r="BC102" s="22">
        <v>0.362701</v>
      </c>
      <c r="BD102">
        <f t="shared" si="22"/>
        <v>20.30358024691358</v>
      </c>
      <c r="BE102">
        <f t="shared" si="23"/>
        <v>7.3765343466666673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6.0309299999999997</v>
      </c>
      <c r="I103" s="22">
        <v>-1.50116E-2</v>
      </c>
      <c r="J103" s="22">
        <v>93</v>
      </c>
      <c r="K103" s="22">
        <v>1.2109399999999999</v>
      </c>
      <c r="L103">
        <f t="shared" si="12"/>
        <v>18.532839506172838</v>
      </c>
      <c r="M103">
        <f t="shared" si="13"/>
        <v>22.456241629629627</v>
      </c>
      <c r="N103" s="9"/>
      <c r="O103" s="22">
        <v>0.36834699999999998</v>
      </c>
      <c r="P103" s="22">
        <v>9.6084099999999992</v>
      </c>
      <c r="Q103" s="22">
        <v>-1.6464199999999998E-2</v>
      </c>
      <c r="R103" s="22">
        <v>93</v>
      </c>
      <c r="S103" s="22">
        <v>0.36773699999999998</v>
      </c>
      <c r="T103">
        <f t="shared" si="14"/>
        <v>20.326172839506171</v>
      </c>
      <c r="U103">
        <f t="shared" si="15"/>
        <v>7.487084786913579</v>
      </c>
      <c r="X103" s="9"/>
      <c r="Y103" s="22">
        <v>1.2117</v>
      </c>
      <c r="Z103" s="22">
        <v>14.914</v>
      </c>
      <c r="AA103" s="22">
        <v>-1.49353E-2</v>
      </c>
      <c r="AB103" s="22">
        <v>93</v>
      </c>
      <c r="AC103" s="22">
        <v>1.2106300000000001</v>
      </c>
      <c r="AD103">
        <f t="shared" si="16"/>
        <v>18.438641975308641</v>
      </c>
      <c r="AE103">
        <f t="shared" si="17"/>
        <v>22.342102481481479</v>
      </c>
      <c r="AF103" s="9"/>
      <c r="AG103" s="22">
        <v>0.36834699999999998</v>
      </c>
      <c r="AH103" s="22">
        <v>18.491499999999998</v>
      </c>
      <c r="AI103" s="22">
        <v>-1.6427600000000001E-2</v>
      </c>
      <c r="AJ103" s="22">
        <v>93</v>
      </c>
      <c r="AK103" s="22">
        <v>0.36758400000000002</v>
      </c>
      <c r="AL103">
        <f t="shared" si="18"/>
        <v>20.280987654320988</v>
      </c>
      <c r="AM103">
        <f t="shared" si="19"/>
        <v>7.4704409595061723</v>
      </c>
      <c r="AP103" s="9"/>
      <c r="AQ103" s="22">
        <v>1.2117</v>
      </c>
      <c r="AR103" s="22">
        <v>23.790199999999999</v>
      </c>
      <c r="AS103" s="22">
        <v>-1.4938399999999999E-2</v>
      </c>
      <c r="AT103" s="22">
        <v>93</v>
      </c>
      <c r="AU103" s="22">
        <v>1.2103299999999999</v>
      </c>
      <c r="AV103">
        <f t="shared" si="20"/>
        <v>18.442469135802465</v>
      </c>
      <c r="AW103">
        <f t="shared" si="21"/>
        <v>22.346739851851847</v>
      </c>
      <c r="AX103" s="9"/>
      <c r="AY103" s="22">
        <v>0.36834699999999998</v>
      </c>
      <c r="AZ103" s="22">
        <v>27.367599999999999</v>
      </c>
      <c r="BA103" s="22">
        <v>-1.6436800000000001E-2</v>
      </c>
      <c r="BB103" s="22">
        <v>93</v>
      </c>
      <c r="BC103" s="22">
        <v>0.367645</v>
      </c>
      <c r="BD103">
        <f t="shared" si="22"/>
        <v>20.292345679012346</v>
      </c>
      <c r="BE103">
        <f t="shared" si="23"/>
        <v>7.4746246538271599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6.0410000000000004</v>
      </c>
      <c r="I104" s="22">
        <v>-1.5020800000000001E-2</v>
      </c>
      <c r="J104" s="22">
        <v>94</v>
      </c>
      <c r="K104" s="22">
        <v>1.2057500000000001</v>
      </c>
      <c r="L104">
        <f t="shared" si="12"/>
        <v>18.544197530864199</v>
      </c>
      <c r="M104">
        <f t="shared" si="13"/>
        <v>22.376726834567901</v>
      </c>
      <c r="N104" s="9"/>
      <c r="O104" s="22">
        <v>0.37338300000000002</v>
      </c>
      <c r="P104" s="22">
        <v>9.6184799999999999</v>
      </c>
      <c r="Q104" s="22">
        <v>-1.64551E-2</v>
      </c>
      <c r="R104" s="22">
        <v>94</v>
      </c>
      <c r="S104" s="22">
        <v>0.37277199999999999</v>
      </c>
      <c r="T104">
        <f t="shared" si="14"/>
        <v>20.314938271604937</v>
      </c>
      <c r="U104">
        <f t="shared" si="15"/>
        <v>7.5852525966666668</v>
      </c>
      <c r="X104" s="9"/>
      <c r="Y104" s="22">
        <v>1.2066699999999999</v>
      </c>
      <c r="Z104" s="22">
        <v>14.923999999999999</v>
      </c>
      <c r="AA104" s="22">
        <v>-1.4947500000000001E-2</v>
      </c>
      <c r="AB104" s="22">
        <v>94</v>
      </c>
      <c r="AC104" s="22">
        <v>1.2057500000000001</v>
      </c>
      <c r="AD104">
        <f t="shared" si="16"/>
        <v>18.453703703703706</v>
      </c>
      <c r="AE104">
        <f t="shared" si="17"/>
        <v>22.267530648148149</v>
      </c>
      <c r="AF104" s="9"/>
      <c r="AG104" s="22">
        <v>0.37338300000000002</v>
      </c>
      <c r="AH104" s="22">
        <v>18.5015</v>
      </c>
      <c r="AI104" s="22">
        <v>-1.64154E-2</v>
      </c>
      <c r="AJ104" s="22">
        <v>94</v>
      </c>
      <c r="AK104" s="22">
        <v>0.37271100000000001</v>
      </c>
      <c r="AL104">
        <f t="shared" si="18"/>
        <v>20.265925925925924</v>
      </c>
      <c r="AM104">
        <f t="shared" si="19"/>
        <v>7.5669522199999992</v>
      </c>
      <c r="AP104" s="9"/>
      <c r="AQ104" s="22">
        <v>1.2066699999999999</v>
      </c>
      <c r="AR104" s="22">
        <v>23.8002</v>
      </c>
      <c r="AS104" s="22">
        <v>-1.4941400000000001E-2</v>
      </c>
      <c r="AT104" s="22">
        <v>94</v>
      </c>
      <c r="AU104" s="22">
        <v>1.2054400000000001</v>
      </c>
      <c r="AV104">
        <f t="shared" si="20"/>
        <v>18.446172839506172</v>
      </c>
      <c r="AW104">
        <f t="shared" si="21"/>
        <v>22.258443380246909</v>
      </c>
      <c r="AX104" s="9"/>
      <c r="AY104" s="22">
        <v>0.37338300000000002</v>
      </c>
      <c r="AZ104" s="22">
        <v>27.377700000000001</v>
      </c>
      <c r="BA104" s="22">
        <v>-1.6427600000000001E-2</v>
      </c>
      <c r="BB104" s="22">
        <v>94</v>
      </c>
      <c r="BC104" s="22">
        <v>0.372803</v>
      </c>
      <c r="BD104">
        <f t="shared" si="22"/>
        <v>20.280987654320988</v>
      </c>
      <c r="BE104">
        <f t="shared" si="23"/>
        <v>7.5725760133333342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6.0510700000000002</v>
      </c>
      <c r="I105" s="22">
        <v>-1.5029900000000001E-2</v>
      </c>
      <c r="J105" s="22">
        <v>95</v>
      </c>
      <c r="K105" s="22">
        <v>1.2008700000000001</v>
      </c>
      <c r="L105">
        <f t="shared" si="12"/>
        <v>18.555432098765429</v>
      </c>
      <c r="M105">
        <f t="shared" si="13"/>
        <v>22.296763872839502</v>
      </c>
      <c r="N105" s="9"/>
      <c r="O105" s="22">
        <v>0.37841799999999998</v>
      </c>
      <c r="P105" s="22">
        <v>9.6285500000000006</v>
      </c>
      <c r="Q105" s="22">
        <v>-1.6445899999999999E-2</v>
      </c>
      <c r="R105" s="22">
        <v>95</v>
      </c>
      <c r="S105" s="22">
        <v>0.377716</v>
      </c>
      <c r="T105">
        <f t="shared" si="14"/>
        <v>20.30358024691358</v>
      </c>
      <c r="U105">
        <f t="shared" si="15"/>
        <v>7.6832402298765423</v>
      </c>
      <c r="X105" s="9"/>
      <c r="Y105" s="22">
        <v>1.20163</v>
      </c>
      <c r="Z105" s="22">
        <v>14.934100000000001</v>
      </c>
      <c r="AA105" s="22">
        <v>-1.49567E-2</v>
      </c>
      <c r="AB105" s="22">
        <v>95</v>
      </c>
      <c r="AC105" s="22">
        <v>1.2005600000000001</v>
      </c>
      <c r="AD105">
        <f t="shared" si="16"/>
        <v>18.46506172839506</v>
      </c>
      <c r="AE105">
        <f t="shared" si="17"/>
        <v>22.188172124691356</v>
      </c>
      <c r="AF105" s="9"/>
      <c r="AG105" s="22">
        <v>0.37841799999999998</v>
      </c>
      <c r="AH105" s="22">
        <v>18.511600000000001</v>
      </c>
      <c r="AI105" s="22">
        <v>-1.6406299999999999E-2</v>
      </c>
      <c r="AJ105" s="22">
        <v>95</v>
      </c>
      <c r="AK105" s="22">
        <v>0.37777699999999997</v>
      </c>
      <c r="AL105">
        <f t="shared" si="18"/>
        <v>20.254691358024687</v>
      </c>
      <c r="AM105">
        <f t="shared" si="19"/>
        <v>7.664739794320985</v>
      </c>
      <c r="AP105" s="9"/>
      <c r="AQ105" s="22">
        <v>1.20163</v>
      </c>
      <c r="AR105" s="22">
        <v>23.810300000000002</v>
      </c>
      <c r="AS105" s="22">
        <v>-1.4947500000000001E-2</v>
      </c>
      <c r="AT105" s="22">
        <v>95</v>
      </c>
      <c r="AU105" s="22">
        <v>1.2005600000000001</v>
      </c>
      <c r="AV105">
        <f t="shared" si="20"/>
        <v>18.453703703703706</v>
      </c>
      <c r="AW105">
        <f t="shared" si="21"/>
        <v>22.174523981481485</v>
      </c>
      <c r="AX105" s="9"/>
      <c r="AY105" s="22">
        <v>0.37841799999999998</v>
      </c>
      <c r="AZ105" s="22">
        <v>27.387799999999999</v>
      </c>
      <c r="BA105" s="22">
        <v>-1.6418499999999999E-2</v>
      </c>
      <c r="BB105" s="22">
        <v>95</v>
      </c>
      <c r="BC105" s="22">
        <v>0.37753300000000001</v>
      </c>
      <c r="BD105">
        <f t="shared" si="22"/>
        <v>20.269753086419751</v>
      </c>
      <c r="BE105">
        <f t="shared" si="23"/>
        <v>7.6704394234567888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6.06114</v>
      </c>
      <c r="I106" s="22">
        <v>-1.5042099999999999E-2</v>
      </c>
      <c r="J106" s="22">
        <v>96</v>
      </c>
      <c r="K106" s="22">
        <v>1.19598</v>
      </c>
      <c r="L106">
        <f t="shared" si="12"/>
        <v>18.570493827160494</v>
      </c>
      <c r="M106">
        <f t="shared" si="13"/>
        <v>22.221267208641976</v>
      </c>
      <c r="N106" s="9"/>
      <c r="O106" s="22">
        <v>0.38345299999999999</v>
      </c>
      <c r="P106" s="22">
        <v>9.6386199999999995</v>
      </c>
      <c r="Q106" s="22">
        <v>-1.6430699999999999E-2</v>
      </c>
      <c r="R106" s="22">
        <v>96</v>
      </c>
      <c r="S106" s="22">
        <v>0.38284299999999999</v>
      </c>
      <c r="T106">
        <f t="shared" si="14"/>
        <v>20.284814814814816</v>
      </c>
      <c r="U106">
        <f t="shared" si="15"/>
        <v>7.7782730951851855</v>
      </c>
      <c r="X106" s="9"/>
      <c r="Y106" s="22">
        <v>1.19659</v>
      </c>
      <c r="Z106" s="22">
        <v>14.9442</v>
      </c>
      <c r="AA106" s="22">
        <v>-1.49658E-2</v>
      </c>
      <c r="AB106" s="22">
        <v>96</v>
      </c>
      <c r="AC106" s="22">
        <v>1.1956800000000001</v>
      </c>
      <c r="AD106">
        <f t="shared" si="16"/>
        <v>18.476296296296297</v>
      </c>
      <c r="AE106">
        <f t="shared" si="17"/>
        <v>22.108551385185187</v>
      </c>
      <c r="AF106" s="9"/>
      <c r="AG106" s="22">
        <v>0.38345299999999999</v>
      </c>
      <c r="AH106" s="22">
        <v>18.521699999999999</v>
      </c>
      <c r="AI106" s="22">
        <v>-1.6397100000000001E-2</v>
      </c>
      <c r="AJ106" s="22">
        <v>96</v>
      </c>
      <c r="AK106" s="22">
        <v>0.38284299999999999</v>
      </c>
      <c r="AL106">
        <f t="shared" si="18"/>
        <v>20.243333333333332</v>
      </c>
      <c r="AM106">
        <f t="shared" si="19"/>
        <v>7.7623668966666663</v>
      </c>
      <c r="AP106" s="9"/>
      <c r="AQ106" s="22">
        <v>1.19659</v>
      </c>
      <c r="AR106" s="22">
        <v>23.820399999999999</v>
      </c>
      <c r="AS106" s="22">
        <v>-1.4959699999999999E-2</v>
      </c>
      <c r="AT106" s="22">
        <v>96</v>
      </c>
      <c r="AU106" s="22">
        <v>1.19537</v>
      </c>
      <c r="AV106">
        <f t="shared" si="20"/>
        <v>18.468765432098763</v>
      </c>
      <c r="AW106">
        <f t="shared" si="21"/>
        <v>22.099540028395062</v>
      </c>
      <c r="AX106" s="9"/>
      <c r="AY106" s="22">
        <v>0.38345299999999999</v>
      </c>
      <c r="AZ106" s="22">
        <v>27.3979</v>
      </c>
      <c r="BA106" s="22">
        <v>-1.6406299999999999E-2</v>
      </c>
      <c r="BB106" s="22">
        <v>96</v>
      </c>
      <c r="BC106" s="22">
        <v>0.38278200000000001</v>
      </c>
      <c r="BD106">
        <f t="shared" si="22"/>
        <v>20.254691358024687</v>
      </c>
      <c r="BE106">
        <f t="shared" si="23"/>
        <v>7.7667221653086402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6.0712099999999998</v>
      </c>
      <c r="I107" s="22">
        <v>-1.50513E-2</v>
      </c>
      <c r="J107" s="22">
        <v>97</v>
      </c>
      <c r="K107" s="22">
        <v>1.1908000000000001</v>
      </c>
      <c r="L107">
        <f t="shared" si="12"/>
        <v>18.581851851851848</v>
      </c>
      <c r="M107">
        <f t="shared" si="13"/>
        <v>22.141391392592588</v>
      </c>
      <c r="N107" s="9"/>
      <c r="O107" s="22">
        <v>0.38848899999999997</v>
      </c>
      <c r="P107" s="22">
        <v>9.6486999999999998</v>
      </c>
      <c r="Q107" s="22">
        <v>-1.6418499999999999E-2</v>
      </c>
      <c r="R107" s="22">
        <v>97</v>
      </c>
      <c r="S107" s="22">
        <v>0.38803100000000001</v>
      </c>
      <c r="T107">
        <f t="shared" si="14"/>
        <v>20.269753086419751</v>
      </c>
      <c r="U107">
        <f t="shared" si="15"/>
        <v>7.8745761067901219</v>
      </c>
      <c r="X107" s="9"/>
      <c r="Y107" s="22">
        <v>1.19156</v>
      </c>
      <c r="Z107" s="22">
        <v>14.9543</v>
      </c>
      <c r="AA107" s="22">
        <v>-1.4978E-2</v>
      </c>
      <c r="AB107" s="22">
        <v>97</v>
      </c>
      <c r="AC107" s="22">
        <v>1.1908000000000001</v>
      </c>
      <c r="AD107">
        <f t="shared" si="16"/>
        <v>18.491358024691355</v>
      </c>
      <c r="AE107">
        <f t="shared" si="17"/>
        <v>22.033562567901228</v>
      </c>
      <c r="AF107" s="9"/>
      <c r="AG107" s="22">
        <v>0.38848899999999997</v>
      </c>
      <c r="AH107" s="22">
        <v>18.531700000000001</v>
      </c>
      <c r="AI107" s="22">
        <v>-1.63879E-2</v>
      </c>
      <c r="AJ107" s="22">
        <v>97</v>
      </c>
      <c r="AK107" s="22">
        <v>0.38793899999999998</v>
      </c>
      <c r="AL107">
        <f t="shared" si="18"/>
        <v>20.231975308641974</v>
      </c>
      <c r="AM107">
        <f t="shared" si="19"/>
        <v>7.8598998556790116</v>
      </c>
      <c r="AP107" s="9"/>
      <c r="AQ107" s="22">
        <v>1.19156</v>
      </c>
      <c r="AR107" s="22">
        <v>23.830400000000001</v>
      </c>
      <c r="AS107" s="22">
        <v>-1.49689E-2</v>
      </c>
      <c r="AT107" s="22">
        <v>97</v>
      </c>
      <c r="AU107" s="22">
        <v>1.19049</v>
      </c>
      <c r="AV107">
        <f t="shared" si="20"/>
        <v>18.480123456790125</v>
      </c>
      <c r="AW107">
        <f t="shared" si="21"/>
        <v>22.020175906172842</v>
      </c>
      <c r="AX107" s="9"/>
      <c r="AY107" s="22">
        <v>0.38848899999999997</v>
      </c>
      <c r="AZ107" s="22">
        <v>27.407900000000001</v>
      </c>
      <c r="BA107" s="22">
        <v>-1.6393999999999999E-2</v>
      </c>
      <c r="BB107" s="22">
        <v>97</v>
      </c>
      <c r="BC107" s="22">
        <v>0.38781700000000002</v>
      </c>
      <c r="BD107">
        <f t="shared" si="22"/>
        <v>20.239506172839505</v>
      </c>
      <c r="BE107">
        <f t="shared" si="23"/>
        <v>7.8628255135802458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6.0812799999999996</v>
      </c>
      <c r="I108" s="22">
        <v>-1.50604E-2</v>
      </c>
      <c r="J108" s="22">
        <v>98</v>
      </c>
      <c r="K108" s="22">
        <v>1.1853</v>
      </c>
      <c r="L108">
        <f t="shared" si="12"/>
        <v>18.593086419753085</v>
      </c>
      <c r="M108">
        <f t="shared" si="13"/>
        <v>22.061068898765431</v>
      </c>
      <c r="N108" s="9"/>
      <c r="O108" s="22">
        <v>0.39352399999999998</v>
      </c>
      <c r="P108" s="22">
        <v>9.6587700000000005</v>
      </c>
      <c r="Q108" s="22">
        <v>-1.6406299999999999E-2</v>
      </c>
      <c r="R108" s="22">
        <v>98</v>
      </c>
      <c r="S108" s="22">
        <v>0.39291399999999999</v>
      </c>
      <c r="T108">
        <f t="shared" si="14"/>
        <v>20.254691358024687</v>
      </c>
      <c r="U108">
        <f t="shared" si="15"/>
        <v>7.970707161975306</v>
      </c>
      <c r="X108" s="9"/>
      <c r="Y108" s="22">
        <v>1.18652</v>
      </c>
      <c r="Z108" s="22">
        <v>14.9643</v>
      </c>
      <c r="AA108" s="22">
        <v>-1.4987199999999999E-2</v>
      </c>
      <c r="AB108" s="22">
        <v>98</v>
      </c>
      <c r="AC108" s="22">
        <v>1.1853</v>
      </c>
      <c r="AD108">
        <f t="shared" si="16"/>
        <v>18.502716049382713</v>
      </c>
      <c r="AE108">
        <f t="shared" si="17"/>
        <v>21.953842646913575</v>
      </c>
      <c r="AF108" s="9"/>
      <c r="AG108" s="22">
        <v>0.39352399999999998</v>
      </c>
      <c r="AH108" s="22">
        <v>18.541799999999999</v>
      </c>
      <c r="AI108" s="22">
        <v>-1.63757E-2</v>
      </c>
      <c r="AJ108" s="22">
        <v>98</v>
      </c>
      <c r="AK108" s="22">
        <v>0.39288299999999998</v>
      </c>
      <c r="AL108">
        <f t="shared" si="18"/>
        <v>20.216913580246914</v>
      </c>
      <c r="AM108">
        <f t="shared" si="19"/>
        <v>7.9558406997530859</v>
      </c>
      <c r="AP108" s="9"/>
      <c r="AQ108" s="22">
        <v>1.18652</v>
      </c>
      <c r="AR108" s="22">
        <v>23.840499999999999</v>
      </c>
      <c r="AS108" s="22">
        <v>-1.4978E-2</v>
      </c>
      <c r="AT108" s="22">
        <v>98</v>
      </c>
      <c r="AU108" s="22">
        <v>1.18591</v>
      </c>
      <c r="AV108">
        <f t="shared" si="20"/>
        <v>18.491358024691355</v>
      </c>
      <c r="AW108">
        <f t="shared" si="21"/>
        <v>21.940366123456787</v>
      </c>
      <c r="AX108" s="9"/>
      <c r="AY108" s="22">
        <v>0.39352399999999998</v>
      </c>
      <c r="AZ108" s="22">
        <v>27.417999999999999</v>
      </c>
      <c r="BA108" s="22">
        <v>-1.6381799999999998E-2</v>
      </c>
      <c r="BB108" s="22">
        <v>98</v>
      </c>
      <c r="BC108" s="22">
        <v>0.39288299999999998</v>
      </c>
      <c r="BD108">
        <f t="shared" si="22"/>
        <v>20.22444444444444</v>
      </c>
      <c r="BE108">
        <f t="shared" si="23"/>
        <v>7.9588042755555533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6.0913500000000003</v>
      </c>
      <c r="I109" s="22">
        <v>-1.50726E-2</v>
      </c>
      <c r="J109" s="22">
        <v>99</v>
      </c>
      <c r="K109" s="22">
        <v>1.18042</v>
      </c>
      <c r="L109">
        <f t="shared" si="12"/>
        <v>18.60814814814815</v>
      </c>
      <c r="M109">
        <f t="shared" si="13"/>
        <v>21.985340955555557</v>
      </c>
      <c r="N109" s="9"/>
      <c r="O109" s="22">
        <v>0.39856000000000003</v>
      </c>
      <c r="P109" s="22">
        <v>9.6688399999999994</v>
      </c>
      <c r="Q109" s="22">
        <v>-1.6397100000000001E-2</v>
      </c>
      <c r="R109" s="22">
        <v>99</v>
      </c>
      <c r="S109" s="22">
        <v>0.39770499999999998</v>
      </c>
      <c r="T109">
        <f t="shared" si="14"/>
        <v>20.243333333333332</v>
      </c>
      <c r="U109">
        <f t="shared" si="15"/>
        <v>8.0681829333333326</v>
      </c>
      <c r="X109" s="9"/>
      <c r="Y109" s="22">
        <v>1.1814899999999999</v>
      </c>
      <c r="Z109" s="22">
        <v>14.974399999999999</v>
      </c>
      <c r="AA109" s="22">
        <v>-1.4996300000000001E-2</v>
      </c>
      <c r="AB109" s="22">
        <v>99</v>
      </c>
      <c r="AC109" s="22">
        <v>1.18011</v>
      </c>
      <c r="AD109">
        <f t="shared" si="16"/>
        <v>18.51395061728395</v>
      </c>
      <c r="AE109">
        <f t="shared" si="17"/>
        <v>21.874047514814812</v>
      </c>
      <c r="AF109" s="9"/>
      <c r="AG109" s="22">
        <v>0.39856000000000003</v>
      </c>
      <c r="AH109" s="22">
        <v>18.5519</v>
      </c>
      <c r="AI109" s="22">
        <v>-1.63635E-2</v>
      </c>
      <c r="AJ109" s="22">
        <v>99</v>
      </c>
      <c r="AK109" s="22">
        <v>0.39791900000000002</v>
      </c>
      <c r="AL109">
        <f t="shared" si="18"/>
        <v>20.201851851851849</v>
      </c>
      <c r="AM109">
        <f t="shared" si="19"/>
        <v>8.0516500740740735</v>
      </c>
      <c r="AP109" s="9"/>
      <c r="AQ109" s="22">
        <v>1.1814899999999999</v>
      </c>
      <c r="AR109" s="22">
        <v>23.8506</v>
      </c>
      <c r="AS109" s="22">
        <v>-1.49902E-2</v>
      </c>
      <c r="AT109" s="22">
        <v>99</v>
      </c>
      <c r="AU109" s="22">
        <v>1.18103</v>
      </c>
      <c r="AV109">
        <f t="shared" si="20"/>
        <v>18.506419753086419</v>
      </c>
      <c r="AW109">
        <f t="shared" si="21"/>
        <v>21.865149874074071</v>
      </c>
      <c r="AX109" s="9"/>
      <c r="AY109" s="22">
        <v>0.39856000000000003</v>
      </c>
      <c r="AZ109" s="22">
        <v>27.428100000000001</v>
      </c>
      <c r="BA109" s="22">
        <v>-1.63727E-2</v>
      </c>
      <c r="BB109" s="22">
        <v>99</v>
      </c>
      <c r="BC109" s="22">
        <v>0.39800999999999997</v>
      </c>
      <c r="BD109">
        <f t="shared" si="22"/>
        <v>20.21320987654321</v>
      </c>
      <c r="BE109">
        <f t="shared" si="23"/>
        <v>8.0561769283950628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6.1014200000000001</v>
      </c>
      <c r="I110" s="22">
        <v>-1.5081799999999999E-2</v>
      </c>
      <c r="J110" s="22">
        <v>100</v>
      </c>
      <c r="K110" s="22">
        <v>1.17584</v>
      </c>
      <c r="L110">
        <f t="shared" si="12"/>
        <v>18.619506172839504</v>
      </c>
      <c r="M110">
        <f t="shared" si="13"/>
        <v>21.904918037037035</v>
      </c>
      <c r="N110" s="9"/>
      <c r="O110" s="22">
        <v>0.40359499999999998</v>
      </c>
      <c r="P110" s="22">
        <v>9.6789100000000001</v>
      </c>
      <c r="Q110" s="22">
        <v>-1.63879E-2</v>
      </c>
      <c r="R110" s="22">
        <v>100</v>
      </c>
      <c r="S110" s="22">
        <v>0.40298499999999998</v>
      </c>
      <c r="T110">
        <f t="shared" si="14"/>
        <v>20.231975308641974</v>
      </c>
      <c r="U110">
        <f t="shared" si="15"/>
        <v>8.1655240746913567</v>
      </c>
      <c r="X110" s="9"/>
      <c r="Y110" s="22">
        <v>1.17645</v>
      </c>
      <c r="Z110" s="22">
        <v>14.984500000000001</v>
      </c>
      <c r="AA110" s="22">
        <v>-1.5008499999999999E-2</v>
      </c>
      <c r="AB110" s="22">
        <v>100</v>
      </c>
      <c r="AC110" s="22">
        <v>1.17462</v>
      </c>
      <c r="AD110">
        <f t="shared" si="16"/>
        <v>18.529012345679011</v>
      </c>
      <c r="AE110">
        <f t="shared" si="17"/>
        <v>21.798456574074073</v>
      </c>
      <c r="AF110" s="9"/>
      <c r="AG110" s="22">
        <v>0.40359499999999998</v>
      </c>
      <c r="AH110" s="22">
        <v>18.562000000000001</v>
      </c>
      <c r="AI110" s="22">
        <v>-1.6354400000000002E-2</v>
      </c>
      <c r="AJ110" s="22">
        <v>100</v>
      </c>
      <c r="AK110" s="22">
        <v>0.40301500000000001</v>
      </c>
      <c r="AL110">
        <f t="shared" si="18"/>
        <v>20.190617283950619</v>
      </c>
      <c r="AM110">
        <f t="shared" si="19"/>
        <v>8.148832182716049</v>
      </c>
      <c r="AP110" s="9"/>
      <c r="AQ110" s="22">
        <v>1.17645</v>
      </c>
      <c r="AR110" s="22">
        <v>23.860700000000001</v>
      </c>
      <c r="AS110" s="22">
        <v>-1.49994E-2</v>
      </c>
      <c r="AT110" s="22">
        <v>100</v>
      </c>
      <c r="AU110" s="22">
        <v>1.17584</v>
      </c>
      <c r="AV110">
        <f t="shared" si="20"/>
        <v>18.517777777777777</v>
      </c>
      <c r="AW110">
        <f t="shared" si="21"/>
        <v>21.785239666666666</v>
      </c>
      <c r="AX110" s="9"/>
      <c r="AY110" s="22">
        <v>0.40359499999999998</v>
      </c>
      <c r="AZ110" s="22">
        <v>27.438099999999999</v>
      </c>
      <c r="BA110" s="22">
        <v>-1.63635E-2</v>
      </c>
      <c r="BB110" s="22">
        <v>100</v>
      </c>
      <c r="BC110" s="22">
        <v>0.40271000000000001</v>
      </c>
      <c r="BD110">
        <f t="shared" si="22"/>
        <v>20.201851851851849</v>
      </c>
      <c r="BE110">
        <f t="shared" si="23"/>
        <v>8.1533663981481475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6.1115000000000004</v>
      </c>
      <c r="I111" s="22">
        <v>-1.5090900000000001E-2</v>
      </c>
      <c r="J111" s="22">
        <v>101</v>
      </c>
      <c r="K111" s="22">
        <v>1.17004</v>
      </c>
      <c r="L111">
        <f t="shared" si="12"/>
        <v>18.630740740740741</v>
      </c>
      <c r="M111">
        <f t="shared" si="13"/>
        <v>21.824422318518518</v>
      </c>
      <c r="N111" s="9"/>
      <c r="O111" s="22">
        <v>0.40862999999999999</v>
      </c>
      <c r="P111" s="22">
        <v>9.6889800000000008</v>
      </c>
      <c r="Q111" s="22">
        <v>-1.6378799999999999E-2</v>
      </c>
      <c r="R111" s="22">
        <v>101</v>
      </c>
      <c r="S111" s="22">
        <v>0.40792800000000001</v>
      </c>
      <c r="T111">
        <f t="shared" si="14"/>
        <v>20.220740740740737</v>
      </c>
      <c r="U111">
        <f t="shared" si="15"/>
        <v>8.2628012888888875</v>
      </c>
      <c r="X111" s="9"/>
      <c r="Y111" s="22">
        <v>1.1714199999999999</v>
      </c>
      <c r="Z111" s="22">
        <v>14.9945</v>
      </c>
      <c r="AA111" s="22">
        <v>-1.50177E-2</v>
      </c>
      <c r="AB111" s="22">
        <v>101</v>
      </c>
      <c r="AC111" s="22">
        <v>1.17065</v>
      </c>
      <c r="AD111">
        <f t="shared" si="16"/>
        <v>18.540370370370372</v>
      </c>
      <c r="AE111">
        <f t="shared" si="17"/>
        <v>21.718560659259261</v>
      </c>
      <c r="AF111" s="9"/>
      <c r="AG111" s="22">
        <v>0.40862999999999999</v>
      </c>
      <c r="AH111" s="22">
        <v>18.571999999999999</v>
      </c>
      <c r="AI111" s="22">
        <v>-1.6342200000000001E-2</v>
      </c>
      <c r="AJ111" s="22">
        <v>101</v>
      </c>
      <c r="AK111" s="22">
        <v>0.40789799999999998</v>
      </c>
      <c r="AL111">
        <f t="shared" si="18"/>
        <v>20.175555555555555</v>
      </c>
      <c r="AM111">
        <f t="shared" si="19"/>
        <v>8.2443372666666654</v>
      </c>
      <c r="AP111" s="9"/>
      <c r="AQ111" s="22">
        <v>1.1714199999999999</v>
      </c>
      <c r="AR111" s="22">
        <v>23.870699999999999</v>
      </c>
      <c r="AS111" s="22">
        <v>-1.50055E-2</v>
      </c>
      <c r="AT111" s="22">
        <v>101</v>
      </c>
      <c r="AU111" s="22">
        <v>1.17035</v>
      </c>
      <c r="AV111">
        <f t="shared" si="20"/>
        <v>18.525308641975307</v>
      </c>
      <c r="AW111">
        <f t="shared" si="21"/>
        <v>21.700917049382713</v>
      </c>
      <c r="AX111" s="9"/>
      <c r="AY111" s="22">
        <v>0.40862999999999999</v>
      </c>
      <c r="AZ111" s="22">
        <v>27.4482</v>
      </c>
      <c r="BA111" s="22">
        <v>-1.6354400000000002E-2</v>
      </c>
      <c r="BB111" s="22">
        <v>101</v>
      </c>
      <c r="BC111" s="22">
        <v>0.40792800000000001</v>
      </c>
      <c r="BD111">
        <f t="shared" si="22"/>
        <v>20.190617283950619</v>
      </c>
      <c r="BE111">
        <f t="shared" si="23"/>
        <v>8.2504919407407407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6.1215700000000002</v>
      </c>
      <c r="I112" s="22">
        <v>-1.51031E-2</v>
      </c>
      <c r="J112" s="22">
        <v>102</v>
      </c>
      <c r="K112" s="22">
        <v>1.16486</v>
      </c>
      <c r="L112">
        <f t="shared" si="12"/>
        <v>18.645802469135798</v>
      </c>
      <c r="M112">
        <f t="shared" si="13"/>
        <v>21.748091083950612</v>
      </c>
      <c r="N112" s="9"/>
      <c r="O112" s="22">
        <v>0.41366599999999998</v>
      </c>
      <c r="P112" s="22">
        <v>9.6990499999999997</v>
      </c>
      <c r="Q112" s="22">
        <v>-1.6369600000000002E-2</v>
      </c>
      <c r="R112" s="22">
        <v>102</v>
      </c>
      <c r="S112" s="22">
        <v>0.41284199999999999</v>
      </c>
      <c r="T112">
        <f t="shared" si="14"/>
        <v>20.209382716049383</v>
      </c>
      <c r="U112">
        <f t="shared" si="15"/>
        <v>8.3599345106172844</v>
      </c>
      <c r="X112" s="9"/>
      <c r="Y112" s="22">
        <v>1.16638</v>
      </c>
      <c r="Z112" s="22">
        <v>15.0046</v>
      </c>
      <c r="AA112" s="22">
        <v>-1.50238E-2</v>
      </c>
      <c r="AB112" s="22">
        <v>102</v>
      </c>
      <c r="AC112" s="22">
        <v>1.16577</v>
      </c>
      <c r="AD112">
        <f t="shared" si="16"/>
        <v>18.547901234567902</v>
      </c>
      <c r="AE112">
        <f t="shared" si="17"/>
        <v>21.63390104197531</v>
      </c>
      <c r="AF112" s="9"/>
      <c r="AG112" s="22">
        <v>0.41366599999999998</v>
      </c>
      <c r="AH112" s="22">
        <v>18.582100000000001</v>
      </c>
      <c r="AI112" s="22">
        <v>-1.6333E-2</v>
      </c>
      <c r="AJ112" s="22">
        <v>102</v>
      </c>
      <c r="AK112" s="22">
        <v>0.412964</v>
      </c>
      <c r="AL112">
        <f t="shared" si="18"/>
        <v>20.164197530864197</v>
      </c>
      <c r="AM112">
        <f t="shared" si="19"/>
        <v>8.3412429358024678</v>
      </c>
      <c r="AP112" s="9"/>
      <c r="AQ112" s="22">
        <v>1.16638</v>
      </c>
      <c r="AR112" s="22">
        <v>23.880800000000001</v>
      </c>
      <c r="AS112" s="22">
        <v>-1.5014599999999999E-2</v>
      </c>
      <c r="AT112" s="22">
        <v>102</v>
      </c>
      <c r="AU112" s="22">
        <v>1.16547</v>
      </c>
      <c r="AV112">
        <f t="shared" si="20"/>
        <v>18.536543209876541</v>
      </c>
      <c r="AW112">
        <f t="shared" si="21"/>
        <v>21.620653269135801</v>
      </c>
      <c r="AX112" s="9"/>
      <c r="AY112" s="22">
        <v>0.41366599999999998</v>
      </c>
      <c r="AZ112" s="22">
        <v>27.458300000000001</v>
      </c>
      <c r="BA112" s="22">
        <v>-1.6345200000000001E-2</v>
      </c>
      <c r="BB112" s="22">
        <v>102</v>
      </c>
      <c r="BC112" s="22">
        <v>0.41317700000000002</v>
      </c>
      <c r="BD112">
        <f t="shared" si="22"/>
        <v>20.179259259259258</v>
      </c>
      <c r="BE112">
        <f t="shared" si="23"/>
        <v>8.3474734607407388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6.13164</v>
      </c>
      <c r="I113" s="22">
        <v>-1.51123E-2</v>
      </c>
      <c r="J113" s="22">
        <v>103</v>
      </c>
      <c r="K113" s="22">
        <v>1.1599699999999999</v>
      </c>
      <c r="L113">
        <f t="shared" si="12"/>
        <v>18.65716049382716</v>
      </c>
      <c r="M113">
        <f t="shared" si="13"/>
        <v>21.667493339506173</v>
      </c>
      <c r="N113" s="9"/>
      <c r="O113" s="22">
        <v>0.41870099999999999</v>
      </c>
      <c r="P113" s="22">
        <v>9.7091200000000004</v>
      </c>
      <c r="Q113" s="22">
        <v>-1.63635E-2</v>
      </c>
      <c r="R113" s="22">
        <v>103</v>
      </c>
      <c r="S113" s="22">
        <v>0.41793799999999998</v>
      </c>
      <c r="T113">
        <f t="shared" si="14"/>
        <v>20.201851851851849</v>
      </c>
      <c r="U113">
        <f t="shared" si="15"/>
        <v>8.4585355722222211</v>
      </c>
      <c r="X113" s="9"/>
      <c r="Y113" s="22">
        <v>1.1613500000000001</v>
      </c>
      <c r="Z113" s="22">
        <v>15.014699999999999</v>
      </c>
      <c r="AA113" s="22">
        <v>-1.5032999999999999E-2</v>
      </c>
      <c r="AB113" s="22">
        <v>103</v>
      </c>
      <c r="AC113" s="22">
        <v>1.16089</v>
      </c>
      <c r="AD113">
        <f t="shared" si="16"/>
        <v>18.559259259259257</v>
      </c>
      <c r="AE113">
        <f t="shared" si="17"/>
        <v>21.553795740740739</v>
      </c>
      <c r="AF113" s="9"/>
      <c r="AG113" s="22">
        <v>0.41870099999999999</v>
      </c>
      <c r="AH113" s="22">
        <v>18.592199999999998</v>
      </c>
      <c r="AI113" s="22">
        <v>-1.63208E-2</v>
      </c>
      <c r="AJ113" s="22">
        <v>103</v>
      </c>
      <c r="AK113" s="22">
        <v>0.417877</v>
      </c>
      <c r="AL113">
        <f t="shared" si="18"/>
        <v>20.149135802469136</v>
      </c>
      <c r="AM113">
        <f t="shared" si="19"/>
        <v>8.4364633096296302</v>
      </c>
      <c r="AP113" s="9"/>
      <c r="AQ113" s="22">
        <v>1.1613500000000001</v>
      </c>
      <c r="AR113" s="22">
        <v>23.890899999999998</v>
      </c>
      <c r="AS113" s="22">
        <v>-1.50238E-2</v>
      </c>
      <c r="AT113" s="22">
        <v>103</v>
      </c>
      <c r="AU113" s="22">
        <v>1.16028</v>
      </c>
      <c r="AV113">
        <f t="shared" si="20"/>
        <v>18.547901234567902</v>
      </c>
      <c r="AW113">
        <f t="shared" si="21"/>
        <v>21.540605098765436</v>
      </c>
      <c r="AX113" s="9"/>
      <c r="AY113" s="22">
        <v>0.41870099999999999</v>
      </c>
      <c r="AZ113" s="22">
        <v>27.468299999999999</v>
      </c>
      <c r="BA113" s="22">
        <v>-1.6336099999999999E-2</v>
      </c>
      <c r="BB113" s="22">
        <v>103</v>
      </c>
      <c r="BC113" s="22">
        <v>0.41805999999999999</v>
      </c>
      <c r="BD113">
        <f t="shared" si="22"/>
        <v>20.168024691358024</v>
      </c>
      <c r="BE113">
        <f t="shared" si="23"/>
        <v>8.4443721062962958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6.1417099999999998</v>
      </c>
      <c r="I114" s="22">
        <v>-1.51215E-2</v>
      </c>
      <c r="J114" s="22">
        <v>104</v>
      </c>
      <c r="K114" s="22">
        <v>1.1554</v>
      </c>
      <c r="L114">
        <f t="shared" si="12"/>
        <v>18.668518518518518</v>
      </c>
      <c r="M114">
        <f t="shared" si="13"/>
        <v>21.586594648148147</v>
      </c>
      <c r="N114" s="9"/>
      <c r="O114" s="22">
        <v>0.42373699999999997</v>
      </c>
      <c r="P114" s="22">
        <v>9.7191899999999993</v>
      </c>
      <c r="Q114" s="22">
        <v>-1.6351299999999999E-2</v>
      </c>
      <c r="R114" s="22">
        <v>104</v>
      </c>
      <c r="S114" s="22">
        <v>0.42306500000000002</v>
      </c>
      <c r="T114">
        <f t="shared" si="14"/>
        <v>20.186790123456785</v>
      </c>
      <c r="U114">
        <f t="shared" si="15"/>
        <v>8.5538898865432067</v>
      </c>
      <c r="X114" s="9"/>
      <c r="Y114" s="22">
        <v>1.1563099999999999</v>
      </c>
      <c r="Z114" s="22">
        <v>15.024800000000001</v>
      </c>
      <c r="AA114" s="22">
        <v>-1.50452E-2</v>
      </c>
      <c r="AB114" s="22">
        <v>104</v>
      </c>
      <c r="AC114" s="22">
        <v>1.1554</v>
      </c>
      <c r="AD114">
        <f t="shared" si="16"/>
        <v>18.574320987654321</v>
      </c>
      <c r="AE114">
        <f t="shared" si="17"/>
        <v>21.477673101234569</v>
      </c>
      <c r="AF114" s="9"/>
      <c r="AG114" s="22">
        <v>0.42373699999999997</v>
      </c>
      <c r="AH114" s="22">
        <v>18.6022</v>
      </c>
      <c r="AI114" s="22">
        <v>-1.6311599999999999E-2</v>
      </c>
      <c r="AJ114" s="22">
        <v>104</v>
      </c>
      <c r="AK114" s="22">
        <v>0.42321799999999998</v>
      </c>
      <c r="AL114">
        <f t="shared" si="18"/>
        <v>20.137777777777774</v>
      </c>
      <c r="AM114">
        <f t="shared" si="19"/>
        <v>8.5331215422222204</v>
      </c>
      <c r="AP114" s="9"/>
      <c r="AQ114" s="22">
        <v>1.1563099999999999</v>
      </c>
      <c r="AR114" s="22">
        <v>23.9009</v>
      </c>
      <c r="AS114" s="22">
        <v>-1.5032999999999999E-2</v>
      </c>
      <c r="AT114" s="22">
        <v>104</v>
      </c>
      <c r="AU114" s="22">
        <v>1.1554</v>
      </c>
      <c r="AV114">
        <f t="shared" si="20"/>
        <v>18.559259259259257</v>
      </c>
      <c r="AW114">
        <f t="shared" si="21"/>
        <v>21.460257074074072</v>
      </c>
      <c r="AX114" s="9"/>
      <c r="AY114" s="22">
        <v>0.42373699999999997</v>
      </c>
      <c r="AZ114" s="22">
        <v>27.478400000000001</v>
      </c>
      <c r="BA114" s="22">
        <v>-1.6326899999999998E-2</v>
      </c>
      <c r="BB114" s="22">
        <v>104</v>
      </c>
      <c r="BC114" s="22">
        <v>0.42315700000000001</v>
      </c>
      <c r="BD114">
        <f t="shared" si="22"/>
        <v>20.156666666666663</v>
      </c>
      <c r="BE114">
        <f t="shared" si="23"/>
        <v>8.5411254633333318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6.1517799999999996</v>
      </c>
      <c r="I115" s="22">
        <v>-1.51337E-2</v>
      </c>
      <c r="J115" s="22">
        <v>105</v>
      </c>
      <c r="K115" s="22">
        <v>1.15021</v>
      </c>
      <c r="L115">
        <f t="shared" si="12"/>
        <v>18.683580246913579</v>
      </c>
      <c r="M115">
        <f t="shared" si="13"/>
        <v>21.510032266666666</v>
      </c>
      <c r="N115" s="9"/>
      <c r="O115" s="22">
        <v>0.42877199999999999</v>
      </c>
      <c r="P115" s="22">
        <v>9.72926</v>
      </c>
      <c r="Q115" s="22">
        <v>-1.6342200000000001E-2</v>
      </c>
      <c r="R115" s="22">
        <v>105</v>
      </c>
      <c r="S115" s="22">
        <v>0.42803999999999998</v>
      </c>
      <c r="T115">
        <f t="shared" si="14"/>
        <v>20.175555555555555</v>
      </c>
      <c r="U115">
        <f t="shared" si="15"/>
        <v>8.6507133066666668</v>
      </c>
      <c r="X115" s="9"/>
      <c r="Y115" s="22">
        <v>1.1512800000000001</v>
      </c>
      <c r="Z115" s="22">
        <v>15.034800000000001</v>
      </c>
      <c r="AA115" s="22">
        <v>-1.50574E-2</v>
      </c>
      <c r="AB115" s="22">
        <v>105</v>
      </c>
      <c r="AC115" s="22">
        <v>1.1496</v>
      </c>
      <c r="AD115">
        <f t="shared" si="16"/>
        <v>18.589382716049382</v>
      </c>
      <c r="AE115">
        <f t="shared" si="17"/>
        <v>21.401584533333335</v>
      </c>
      <c r="AF115" s="9"/>
      <c r="AG115" s="22">
        <v>0.42877199999999999</v>
      </c>
      <c r="AH115" s="22">
        <v>18.612300000000001</v>
      </c>
      <c r="AI115" s="22">
        <v>-1.6302500000000001E-2</v>
      </c>
      <c r="AJ115" s="22">
        <v>105</v>
      </c>
      <c r="AK115" s="22">
        <v>0.42810100000000001</v>
      </c>
      <c r="AL115">
        <f t="shared" si="18"/>
        <v>20.126543209876544</v>
      </c>
      <c r="AM115">
        <f t="shared" si="19"/>
        <v>8.6296981851851857</v>
      </c>
      <c r="AP115" s="9"/>
      <c r="AQ115" s="22">
        <v>1.1512800000000001</v>
      </c>
      <c r="AR115" s="22">
        <v>23.911000000000001</v>
      </c>
      <c r="AS115" s="22">
        <v>-1.5042099999999999E-2</v>
      </c>
      <c r="AT115" s="22">
        <v>105</v>
      </c>
      <c r="AU115" s="22">
        <v>1.1505099999999999</v>
      </c>
      <c r="AV115">
        <f t="shared" si="20"/>
        <v>18.570493827160494</v>
      </c>
      <c r="AW115">
        <f t="shared" si="21"/>
        <v>21.379838133333333</v>
      </c>
      <c r="AX115" s="9"/>
      <c r="AY115" s="22">
        <v>0.42877199999999999</v>
      </c>
      <c r="AZ115" s="22">
        <v>27.488499999999998</v>
      </c>
      <c r="BA115" s="22">
        <v>-1.6311599999999999E-2</v>
      </c>
      <c r="BB115" s="22">
        <v>105</v>
      </c>
      <c r="BC115" s="22">
        <v>0.42807000000000001</v>
      </c>
      <c r="BD115">
        <f t="shared" si="22"/>
        <v>20.137777777777774</v>
      </c>
      <c r="BE115">
        <f t="shared" si="23"/>
        <v>8.6345152533333316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6.1618500000000003</v>
      </c>
      <c r="I116" s="22">
        <v>-1.51428E-2</v>
      </c>
      <c r="J116" s="22">
        <v>106</v>
      </c>
      <c r="K116" s="22">
        <v>1.1447099999999999</v>
      </c>
      <c r="L116">
        <f t="shared" si="12"/>
        <v>18.694814814814812</v>
      </c>
      <c r="M116">
        <f t="shared" si="13"/>
        <v>21.42874453333333</v>
      </c>
      <c r="N116" s="9"/>
      <c r="O116" s="22">
        <v>0.433807</v>
      </c>
      <c r="P116" s="22">
        <v>9.7393300000000007</v>
      </c>
      <c r="Q116" s="22">
        <v>-1.6333E-2</v>
      </c>
      <c r="R116" s="22">
        <v>106</v>
      </c>
      <c r="S116" s="22">
        <v>0.43325799999999998</v>
      </c>
      <c r="T116">
        <f t="shared" si="14"/>
        <v>20.164197530864197</v>
      </c>
      <c r="U116">
        <f t="shared" si="15"/>
        <v>8.7473700382716046</v>
      </c>
      <c r="X116" s="9"/>
      <c r="Y116" s="22">
        <v>1.1462399999999999</v>
      </c>
      <c r="Z116" s="22">
        <v>15.0449</v>
      </c>
      <c r="AA116" s="22">
        <v>-1.50665E-2</v>
      </c>
      <c r="AB116" s="22">
        <v>106</v>
      </c>
      <c r="AC116" s="22">
        <v>1.1456299999999999</v>
      </c>
      <c r="AD116">
        <f t="shared" si="16"/>
        <v>18.600617283950616</v>
      </c>
      <c r="AE116">
        <f t="shared" si="17"/>
        <v>21.320771555555552</v>
      </c>
      <c r="AF116" s="9"/>
      <c r="AG116" s="22">
        <v>0.433807</v>
      </c>
      <c r="AH116" s="22">
        <v>18.622399999999999</v>
      </c>
      <c r="AI116" s="22">
        <v>-1.6290300000000001E-2</v>
      </c>
      <c r="AJ116" s="22">
        <v>106</v>
      </c>
      <c r="AK116" s="22">
        <v>0.43331900000000001</v>
      </c>
      <c r="AL116">
        <f t="shared" si="18"/>
        <v>20.11148148148148</v>
      </c>
      <c r="AM116">
        <f t="shared" si="19"/>
        <v>8.7245014470370368</v>
      </c>
      <c r="AP116" s="9"/>
      <c r="AQ116" s="22">
        <v>1.1462399999999999</v>
      </c>
      <c r="AR116" s="22">
        <v>23.921099999999999</v>
      </c>
      <c r="AS116" s="22">
        <v>-1.50543E-2</v>
      </c>
      <c r="AT116" s="22">
        <v>106</v>
      </c>
      <c r="AU116" s="22">
        <v>1.1453199999999999</v>
      </c>
      <c r="AV116">
        <f t="shared" si="20"/>
        <v>18.585555555555555</v>
      </c>
      <c r="AW116">
        <f t="shared" si="21"/>
        <v>21.303507199999999</v>
      </c>
      <c r="AX116" s="9"/>
      <c r="AY116" s="22">
        <v>0.433807</v>
      </c>
      <c r="AZ116" s="22">
        <v>27.4986</v>
      </c>
      <c r="BA116" s="22">
        <v>-1.6302500000000001E-2</v>
      </c>
      <c r="BB116" s="22">
        <v>106</v>
      </c>
      <c r="BC116" s="22">
        <v>0.43313600000000002</v>
      </c>
      <c r="BD116">
        <f t="shared" si="22"/>
        <v>20.126543209876544</v>
      </c>
      <c r="BE116">
        <f t="shared" si="23"/>
        <v>8.7310353302469146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6.1719200000000001</v>
      </c>
      <c r="I117" s="22">
        <v>-1.5152000000000001E-2</v>
      </c>
      <c r="J117" s="22">
        <v>107</v>
      </c>
      <c r="K117" s="22">
        <v>1.1401399999999999</v>
      </c>
      <c r="L117">
        <f t="shared" si="12"/>
        <v>18.706172839506173</v>
      </c>
      <c r="M117">
        <f t="shared" si="13"/>
        <v>21.347484444444444</v>
      </c>
      <c r="N117" s="9"/>
      <c r="O117" s="22">
        <v>0.43884299999999998</v>
      </c>
      <c r="P117" s="22">
        <v>9.7494099999999992</v>
      </c>
      <c r="Q117" s="22">
        <v>-1.6323899999999999E-2</v>
      </c>
      <c r="R117" s="22">
        <v>107</v>
      </c>
      <c r="S117" s="22">
        <v>0.43823200000000001</v>
      </c>
      <c r="T117">
        <f t="shared" si="14"/>
        <v>20.15296296296296</v>
      </c>
      <c r="U117">
        <f t="shared" si="15"/>
        <v>8.8439867255555544</v>
      </c>
      <c r="X117" s="9"/>
      <c r="Y117" s="22">
        <v>1.1412</v>
      </c>
      <c r="Z117" s="22">
        <v>15.055</v>
      </c>
      <c r="AA117" s="22">
        <v>-1.50726E-2</v>
      </c>
      <c r="AB117" s="22">
        <v>107</v>
      </c>
      <c r="AC117" s="22">
        <v>1.1401399999999999</v>
      </c>
      <c r="AD117">
        <f t="shared" si="16"/>
        <v>18.60814814814815</v>
      </c>
      <c r="AE117">
        <f t="shared" si="17"/>
        <v>21.235618666666667</v>
      </c>
      <c r="AF117" s="9"/>
      <c r="AG117" s="22">
        <v>0.43884299999999998</v>
      </c>
      <c r="AH117" s="22">
        <v>18.6325</v>
      </c>
      <c r="AI117" s="22">
        <v>-1.62811E-2</v>
      </c>
      <c r="AJ117" s="22">
        <v>107</v>
      </c>
      <c r="AK117" s="22">
        <v>0.43808000000000002</v>
      </c>
      <c r="AL117">
        <f t="shared" si="18"/>
        <v>20.100123456790122</v>
      </c>
      <c r="AM117">
        <f t="shared" si="19"/>
        <v>8.8207984781481468</v>
      </c>
      <c r="AP117" s="9"/>
      <c r="AQ117" s="22">
        <v>1.1412</v>
      </c>
      <c r="AR117" s="22">
        <v>23.931100000000001</v>
      </c>
      <c r="AS117" s="22">
        <v>-1.5063500000000001E-2</v>
      </c>
      <c r="AT117" s="22">
        <v>107</v>
      </c>
      <c r="AU117" s="22">
        <v>1.1398299999999999</v>
      </c>
      <c r="AV117">
        <f t="shared" si="20"/>
        <v>18.596913580246913</v>
      </c>
      <c r="AW117">
        <f t="shared" si="21"/>
        <v>21.222797777777778</v>
      </c>
      <c r="AX117" s="9"/>
      <c r="AY117" s="22">
        <v>0.43884299999999998</v>
      </c>
      <c r="AZ117" s="22">
        <v>27.508600000000001</v>
      </c>
      <c r="BA117" s="22">
        <v>-1.6290300000000001E-2</v>
      </c>
      <c r="BB117" s="22">
        <v>107</v>
      </c>
      <c r="BC117" s="22">
        <v>0.43804900000000002</v>
      </c>
      <c r="BD117">
        <f t="shared" si="22"/>
        <v>20.11148148148148</v>
      </c>
      <c r="BE117">
        <f t="shared" si="23"/>
        <v>8.825782867777777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6.1819899999999999</v>
      </c>
      <c r="I118" s="22">
        <v>-1.5164199999999999E-2</v>
      </c>
      <c r="J118" s="22">
        <v>108</v>
      </c>
      <c r="K118" s="22">
        <v>1.1352500000000001</v>
      </c>
      <c r="L118">
        <f t="shared" si="12"/>
        <v>18.721234567901234</v>
      </c>
      <c r="M118">
        <f t="shared" si="13"/>
        <v>21.270505079012345</v>
      </c>
      <c r="N118" s="9"/>
      <c r="O118" s="22">
        <v>0.44387799999999999</v>
      </c>
      <c r="P118" s="22">
        <v>9.7594799999999999</v>
      </c>
      <c r="Q118" s="22">
        <v>-1.6314700000000001E-2</v>
      </c>
      <c r="R118" s="22">
        <v>108</v>
      </c>
      <c r="S118" s="22">
        <v>0.44345099999999998</v>
      </c>
      <c r="T118">
        <f t="shared" si="14"/>
        <v>20.141604938271605</v>
      </c>
      <c r="U118">
        <f t="shared" si="15"/>
        <v>8.9404153167901228</v>
      </c>
      <c r="X118" s="9"/>
      <c r="Y118" s="22">
        <v>1.1361699999999999</v>
      </c>
      <c r="Z118" s="22">
        <v>15.065</v>
      </c>
      <c r="AA118" s="22">
        <v>-1.5081799999999999E-2</v>
      </c>
      <c r="AB118" s="22">
        <v>108</v>
      </c>
      <c r="AC118" s="22">
        <v>1.1355599999999999</v>
      </c>
      <c r="AD118">
        <f t="shared" si="16"/>
        <v>18.619506172839504</v>
      </c>
      <c r="AE118">
        <f t="shared" si="17"/>
        <v>21.154924328395058</v>
      </c>
      <c r="AF118" s="9"/>
      <c r="AG118" s="22">
        <v>0.44387799999999999</v>
      </c>
      <c r="AH118" s="22">
        <v>18.642499999999998</v>
      </c>
      <c r="AI118" s="22">
        <v>-1.6275000000000001E-2</v>
      </c>
      <c r="AJ118" s="22">
        <v>108</v>
      </c>
      <c r="AK118" s="22">
        <v>0.44323699999999999</v>
      </c>
      <c r="AL118">
        <f t="shared" si="18"/>
        <v>20.092592592592592</v>
      </c>
      <c r="AM118">
        <f t="shared" si="19"/>
        <v>8.9186598148148146</v>
      </c>
      <c r="AP118" s="9"/>
      <c r="AQ118" s="22">
        <v>1.1361699999999999</v>
      </c>
      <c r="AR118" s="22">
        <v>23.941199999999998</v>
      </c>
      <c r="AS118" s="22">
        <v>-1.5069600000000001E-2</v>
      </c>
      <c r="AT118" s="22">
        <v>108</v>
      </c>
      <c r="AU118" s="22">
        <v>1.1349499999999999</v>
      </c>
      <c r="AV118">
        <f t="shared" si="20"/>
        <v>18.604444444444443</v>
      </c>
      <c r="AW118">
        <f t="shared" si="21"/>
        <v>21.13781164444444</v>
      </c>
      <c r="AX118" s="9"/>
      <c r="AY118" s="22">
        <v>0.44387799999999999</v>
      </c>
      <c r="AZ118" s="22">
        <v>27.518699999999999</v>
      </c>
      <c r="BA118" s="22">
        <v>-1.62811E-2</v>
      </c>
      <c r="BB118" s="22">
        <v>108</v>
      </c>
      <c r="BC118" s="22">
        <v>0.44332899999999997</v>
      </c>
      <c r="BD118">
        <f t="shared" si="22"/>
        <v>20.100123456790122</v>
      </c>
      <c r="BE118">
        <f t="shared" si="23"/>
        <v>8.9220025997530854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6.1920599999999997</v>
      </c>
      <c r="I119" s="22">
        <v>-1.5173300000000001E-2</v>
      </c>
      <c r="J119" s="22">
        <v>109</v>
      </c>
      <c r="K119" s="22">
        <v>1.1306799999999999</v>
      </c>
      <c r="L119">
        <f t="shared" si="12"/>
        <v>18.732469135802468</v>
      </c>
      <c r="M119">
        <f t="shared" si="13"/>
        <v>21.188857813580245</v>
      </c>
      <c r="N119" s="9"/>
      <c r="O119" s="22">
        <v>0.44891399999999998</v>
      </c>
      <c r="P119" s="22">
        <v>9.7695500000000006</v>
      </c>
      <c r="Q119" s="22">
        <v>-1.6308599999999999E-2</v>
      </c>
      <c r="R119" s="22">
        <v>109</v>
      </c>
      <c r="S119" s="22">
        <v>0.44830300000000001</v>
      </c>
      <c r="T119">
        <f t="shared" si="14"/>
        <v>20.134074074074071</v>
      </c>
      <c r="U119">
        <f t="shared" si="15"/>
        <v>9.0384677288888877</v>
      </c>
      <c r="X119" s="9"/>
      <c r="Y119" s="22">
        <v>1.13113</v>
      </c>
      <c r="Z119" s="22">
        <v>15.075100000000001</v>
      </c>
      <c r="AA119" s="22">
        <v>-1.5090900000000001E-2</v>
      </c>
      <c r="AB119" s="22">
        <v>109</v>
      </c>
      <c r="AC119" s="22">
        <v>1.1303700000000001</v>
      </c>
      <c r="AD119">
        <f t="shared" si="16"/>
        <v>18.630740740740741</v>
      </c>
      <c r="AE119">
        <f t="shared" si="17"/>
        <v>21.073789774074076</v>
      </c>
      <c r="AF119" s="9"/>
      <c r="AG119" s="22">
        <v>0.44891399999999998</v>
      </c>
      <c r="AH119" s="22">
        <v>18.6526</v>
      </c>
      <c r="AI119" s="22">
        <v>-1.62659E-2</v>
      </c>
      <c r="AJ119" s="22">
        <v>109</v>
      </c>
      <c r="AK119" s="22">
        <v>0.44833400000000001</v>
      </c>
      <c r="AL119">
        <f t="shared" si="18"/>
        <v>20.081358024691358</v>
      </c>
      <c r="AM119">
        <f t="shared" si="19"/>
        <v>9.0148027562962962</v>
      </c>
      <c r="AP119" s="9"/>
      <c r="AQ119" s="22">
        <v>1.13113</v>
      </c>
      <c r="AR119" s="22">
        <v>23.9513</v>
      </c>
      <c r="AS119" s="22">
        <v>-1.50787E-2</v>
      </c>
      <c r="AT119" s="22">
        <v>109</v>
      </c>
      <c r="AU119" s="22">
        <v>1.1306799999999999</v>
      </c>
      <c r="AV119">
        <f t="shared" si="20"/>
        <v>18.61567901234568</v>
      </c>
      <c r="AW119">
        <f t="shared" si="21"/>
        <v>21.056753001234569</v>
      </c>
      <c r="AX119" s="9"/>
      <c r="AY119" s="22">
        <v>0.44891399999999998</v>
      </c>
      <c r="AZ119" s="22">
        <v>27.5288</v>
      </c>
      <c r="BA119" s="22">
        <v>-1.6271999999999998E-2</v>
      </c>
      <c r="BB119" s="22">
        <v>109</v>
      </c>
      <c r="BC119" s="22">
        <v>0.448212</v>
      </c>
      <c r="BD119">
        <f t="shared" si="22"/>
        <v>20.088888888888885</v>
      </c>
      <c r="BE119">
        <f t="shared" si="23"/>
        <v>9.0181834666666649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6.2021300000000004</v>
      </c>
      <c r="I120" s="22">
        <v>-1.51825E-2</v>
      </c>
      <c r="J120" s="22">
        <v>110</v>
      </c>
      <c r="K120" s="22">
        <v>1.1248800000000001</v>
      </c>
      <c r="L120">
        <f t="shared" si="12"/>
        <v>18.743827160493826</v>
      </c>
      <c r="M120">
        <f t="shared" si="13"/>
        <v>21.107423765432099</v>
      </c>
      <c r="N120" s="9"/>
      <c r="O120" s="22">
        <v>0.45394899999999999</v>
      </c>
      <c r="P120" s="22">
        <v>9.7796199999999995</v>
      </c>
      <c r="Q120" s="22">
        <v>-1.6296399999999999E-2</v>
      </c>
      <c r="R120" s="22">
        <v>110</v>
      </c>
      <c r="S120" s="22">
        <v>0.45330799999999999</v>
      </c>
      <c r="T120">
        <f t="shared" si="14"/>
        <v>20.119012345679007</v>
      </c>
      <c r="U120">
        <f t="shared" si="15"/>
        <v>9.133005535308639</v>
      </c>
      <c r="X120" s="9"/>
      <c r="Y120" s="22">
        <v>1.1261000000000001</v>
      </c>
      <c r="Z120" s="22">
        <v>15.0852</v>
      </c>
      <c r="AA120" s="22">
        <v>-1.51001E-2</v>
      </c>
      <c r="AB120" s="22">
        <v>110</v>
      </c>
      <c r="AC120" s="22">
        <v>1.1251800000000001</v>
      </c>
      <c r="AD120">
        <f t="shared" si="16"/>
        <v>18.642098765432099</v>
      </c>
      <c r="AE120">
        <f t="shared" si="17"/>
        <v>20.99286741975309</v>
      </c>
      <c r="AF120" s="9"/>
      <c r="AG120" s="22">
        <v>0.45394899999999999</v>
      </c>
      <c r="AH120" s="22">
        <v>18.662700000000001</v>
      </c>
      <c r="AI120" s="22">
        <v>-1.6256699999999999E-2</v>
      </c>
      <c r="AJ120" s="22">
        <v>110</v>
      </c>
      <c r="AK120" s="22">
        <v>0.453094</v>
      </c>
      <c r="AL120">
        <f t="shared" si="18"/>
        <v>20.069999999999997</v>
      </c>
      <c r="AM120">
        <f t="shared" si="19"/>
        <v>9.1107564299999986</v>
      </c>
      <c r="AP120" s="9"/>
      <c r="AQ120" s="22">
        <v>1.1261000000000001</v>
      </c>
      <c r="AR120" s="22">
        <v>23.961400000000001</v>
      </c>
      <c r="AS120" s="22">
        <v>-1.50879E-2</v>
      </c>
      <c r="AT120" s="22">
        <v>110</v>
      </c>
      <c r="AU120" s="22">
        <v>1.1245700000000001</v>
      </c>
      <c r="AV120">
        <f t="shared" si="20"/>
        <v>18.627037037037034</v>
      </c>
      <c r="AW120">
        <f t="shared" si="21"/>
        <v>20.975906407407408</v>
      </c>
      <c r="AX120" s="9"/>
      <c r="AY120" s="22">
        <v>0.45394899999999999</v>
      </c>
      <c r="AZ120" s="22">
        <v>27.538799999999998</v>
      </c>
      <c r="BA120" s="22">
        <v>-1.6262800000000001E-2</v>
      </c>
      <c r="BB120" s="22">
        <v>110</v>
      </c>
      <c r="BC120" s="22">
        <v>0.45340000000000003</v>
      </c>
      <c r="BD120">
        <f t="shared" si="22"/>
        <v>20.077530864197531</v>
      </c>
      <c r="BE120">
        <f t="shared" si="23"/>
        <v>9.1141750582716039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6.2122099999999998</v>
      </c>
      <c r="I121" s="22">
        <v>-1.51886E-2</v>
      </c>
      <c r="J121" s="22">
        <v>111</v>
      </c>
      <c r="K121" s="22">
        <v>1.1200000000000001</v>
      </c>
      <c r="L121">
        <f t="shared" si="12"/>
        <v>18.751358024691356</v>
      </c>
      <c r="M121">
        <f t="shared" si="13"/>
        <v>21.02139742716049</v>
      </c>
      <c r="N121" s="9"/>
      <c r="O121" s="22">
        <v>0.458984</v>
      </c>
      <c r="P121" s="22">
        <v>9.7896900000000002</v>
      </c>
      <c r="Q121" s="22">
        <v>-1.6287200000000002E-2</v>
      </c>
      <c r="R121" s="22">
        <v>111</v>
      </c>
      <c r="S121" s="22">
        <v>0.45828200000000002</v>
      </c>
      <c r="T121">
        <f t="shared" si="14"/>
        <v>20.107654320987656</v>
      </c>
      <c r="U121">
        <f t="shared" si="15"/>
        <v>9.2290916108641987</v>
      </c>
      <c r="X121" s="9"/>
      <c r="Y121" s="22">
        <v>1.1210599999999999</v>
      </c>
      <c r="Z121" s="22">
        <v>15.0953</v>
      </c>
      <c r="AA121" s="22">
        <v>-1.5109300000000001E-2</v>
      </c>
      <c r="AB121" s="22">
        <v>111</v>
      </c>
      <c r="AC121" s="22">
        <v>1.1203000000000001</v>
      </c>
      <c r="AD121">
        <f t="shared" si="16"/>
        <v>18.653456790123457</v>
      </c>
      <c r="AE121">
        <f t="shared" si="17"/>
        <v>20.911644269135802</v>
      </c>
      <c r="AF121" s="9"/>
      <c r="AG121" s="22">
        <v>0.458984</v>
      </c>
      <c r="AH121" s="22">
        <v>18.672699999999999</v>
      </c>
      <c r="AI121" s="22">
        <v>-1.62506E-2</v>
      </c>
      <c r="AJ121" s="22">
        <v>111</v>
      </c>
      <c r="AK121" s="22">
        <v>0.45840500000000001</v>
      </c>
      <c r="AL121">
        <f t="shared" si="18"/>
        <v>20.06246913580247</v>
      </c>
      <c r="AM121">
        <f t="shared" si="19"/>
        <v>9.2083523338271611</v>
      </c>
      <c r="AP121" s="9"/>
      <c r="AQ121" s="22">
        <v>1.1210599999999999</v>
      </c>
      <c r="AR121" s="22">
        <v>23.971399999999999</v>
      </c>
      <c r="AS121" s="22">
        <v>-1.5096999999999999E-2</v>
      </c>
      <c r="AT121" s="22">
        <v>111</v>
      </c>
      <c r="AU121" s="22">
        <v>1.1200000000000001</v>
      </c>
      <c r="AV121">
        <f t="shared" si="20"/>
        <v>18.638271604938272</v>
      </c>
      <c r="AW121">
        <f t="shared" si="21"/>
        <v>20.894620765432098</v>
      </c>
      <c r="AX121" s="9"/>
      <c r="AY121" s="22">
        <v>0.458984</v>
      </c>
      <c r="AZ121" s="22">
        <v>27.5489</v>
      </c>
      <c r="BA121" s="22">
        <v>-1.6253699999999999E-2</v>
      </c>
      <c r="BB121" s="22">
        <v>111</v>
      </c>
      <c r="BC121" s="22">
        <v>0.45849600000000001</v>
      </c>
      <c r="BD121">
        <f t="shared" si="22"/>
        <v>20.066296296296294</v>
      </c>
      <c r="BE121">
        <f t="shared" si="23"/>
        <v>9.2101089392592588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6.2222799999999996</v>
      </c>
      <c r="I122" s="22">
        <v>-1.51947E-2</v>
      </c>
      <c r="J122" s="22">
        <v>112</v>
      </c>
      <c r="K122" s="22">
        <v>1.11511</v>
      </c>
      <c r="L122">
        <f t="shared" si="12"/>
        <v>18.758888888888887</v>
      </c>
      <c r="M122">
        <f t="shared" si="13"/>
        <v>20.935482766666667</v>
      </c>
      <c r="N122" s="9"/>
      <c r="O122" s="22">
        <v>0.46401999999999999</v>
      </c>
      <c r="P122" s="22">
        <v>9.7997599999999991</v>
      </c>
      <c r="Q122" s="22">
        <v>-1.6275000000000001E-2</v>
      </c>
      <c r="R122" s="22">
        <v>112</v>
      </c>
      <c r="S122" s="22">
        <v>0.46340900000000002</v>
      </c>
      <c r="T122">
        <f t="shared" si="14"/>
        <v>20.092592592592592</v>
      </c>
      <c r="U122">
        <f t="shared" si="15"/>
        <v>9.3233648148148145</v>
      </c>
      <c r="X122" s="9"/>
      <c r="Y122" s="22">
        <v>1.1160300000000001</v>
      </c>
      <c r="Z122" s="22">
        <v>15.1053</v>
      </c>
      <c r="AA122" s="22">
        <v>-1.5118400000000001E-2</v>
      </c>
      <c r="AB122" s="22">
        <v>112</v>
      </c>
      <c r="AC122" s="22">
        <v>1.1154200000000001</v>
      </c>
      <c r="AD122">
        <f t="shared" si="16"/>
        <v>18.66469135802469</v>
      </c>
      <c r="AE122">
        <f t="shared" si="17"/>
        <v>20.830355496296296</v>
      </c>
      <c r="AF122" s="9"/>
      <c r="AG122" s="22">
        <v>0.46401999999999999</v>
      </c>
      <c r="AH122" s="22">
        <v>18.6828</v>
      </c>
      <c r="AI122" s="22">
        <v>-1.6241499999999999E-2</v>
      </c>
      <c r="AJ122" s="22">
        <v>112</v>
      </c>
      <c r="AK122" s="22">
        <v>0.46325699999999997</v>
      </c>
      <c r="AL122">
        <f t="shared" si="18"/>
        <v>20.051234567901229</v>
      </c>
      <c r="AM122">
        <f t="shared" si="19"/>
        <v>9.3041738641975282</v>
      </c>
      <c r="AP122" s="9"/>
      <c r="AQ122" s="22">
        <v>1.1160300000000001</v>
      </c>
      <c r="AR122" s="22">
        <v>23.9815</v>
      </c>
      <c r="AS122" s="22">
        <v>-1.5109300000000001E-2</v>
      </c>
      <c r="AT122" s="22">
        <v>112</v>
      </c>
      <c r="AU122" s="22">
        <v>1.1145</v>
      </c>
      <c r="AV122">
        <f t="shared" si="20"/>
        <v>18.653456790123457</v>
      </c>
      <c r="AW122">
        <f t="shared" si="21"/>
        <v>20.817817381481483</v>
      </c>
      <c r="AX122" s="9"/>
      <c r="AY122" s="22">
        <v>0.46401999999999999</v>
      </c>
      <c r="AZ122" s="22">
        <v>27.559000000000001</v>
      </c>
      <c r="BA122" s="22">
        <v>-1.6244499999999999E-2</v>
      </c>
      <c r="BB122" s="22">
        <v>112</v>
      </c>
      <c r="BC122" s="22">
        <v>0.46325699999999997</v>
      </c>
      <c r="BD122">
        <f t="shared" si="22"/>
        <v>20.054938271604936</v>
      </c>
      <c r="BE122">
        <f t="shared" si="23"/>
        <v>9.3058924567901222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6.2323500000000003</v>
      </c>
      <c r="I123" s="22">
        <v>-1.5203899999999999E-2</v>
      </c>
      <c r="J123" s="22">
        <v>113</v>
      </c>
      <c r="K123" s="22">
        <v>1.1102300000000001</v>
      </c>
      <c r="L123">
        <f t="shared" si="12"/>
        <v>18.770246913580245</v>
      </c>
      <c r="M123">
        <f t="shared" si="13"/>
        <v>20.853556618518514</v>
      </c>
      <c r="N123" s="9"/>
      <c r="O123" s="22">
        <v>0.469055</v>
      </c>
      <c r="P123" s="22">
        <v>9.8098299999999998</v>
      </c>
      <c r="Q123" s="22">
        <v>-1.62659E-2</v>
      </c>
      <c r="R123" s="22">
        <v>113</v>
      </c>
      <c r="S123" s="22">
        <v>0.46826200000000001</v>
      </c>
      <c r="T123">
        <f t="shared" si="14"/>
        <v>20.081358024691358</v>
      </c>
      <c r="U123">
        <f t="shared" si="15"/>
        <v>9.4192613882716056</v>
      </c>
      <c r="X123" s="9"/>
      <c r="Y123" s="22">
        <v>1.1109899999999999</v>
      </c>
      <c r="Z123" s="22">
        <v>15.115399999999999</v>
      </c>
      <c r="AA123" s="22">
        <v>-1.51276E-2</v>
      </c>
      <c r="AB123" s="22">
        <v>113</v>
      </c>
      <c r="AC123" s="22">
        <v>1.10992</v>
      </c>
      <c r="AD123">
        <f t="shared" si="16"/>
        <v>18.676049382716048</v>
      </c>
      <c r="AE123">
        <f t="shared" si="17"/>
        <v>20.748904103703701</v>
      </c>
      <c r="AF123" s="9"/>
      <c r="AG123" s="22">
        <v>0.469055</v>
      </c>
      <c r="AH123" s="22">
        <v>18.692900000000002</v>
      </c>
      <c r="AI123" s="22">
        <v>-1.6229199999999999E-2</v>
      </c>
      <c r="AJ123" s="22">
        <v>113</v>
      </c>
      <c r="AK123" s="22">
        <v>0.46835300000000002</v>
      </c>
      <c r="AL123">
        <f t="shared" si="18"/>
        <v>20.036049382716048</v>
      </c>
      <c r="AM123">
        <f t="shared" si="19"/>
        <v>9.398009143209876</v>
      </c>
      <c r="AP123" s="9"/>
      <c r="AQ123" s="22">
        <v>1.1109899999999999</v>
      </c>
      <c r="AR123" s="22">
        <v>23.991599999999998</v>
      </c>
      <c r="AS123" s="22">
        <v>-1.51215E-2</v>
      </c>
      <c r="AT123" s="22">
        <v>113</v>
      </c>
      <c r="AU123" s="22">
        <v>1.11053</v>
      </c>
      <c r="AV123">
        <f t="shared" si="20"/>
        <v>18.668518518518518</v>
      </c>
      <c r="AW123">
        <f t="shared" si="21"/>
        <v>20.740537388888885</v>
      </c>
      <c r="AX123" s="9"/>
      <c r="AY123" s="22">
        <v>0.469055</v>
      </c>
      <c r="AZ123" s="22">
        <v>27.569099999999999</v>
      </c>
      <c r="BA123" s="22">
        <v>-1.6232300000000002E-2</v>
      </c>
      <c r="BB123" s="22">
        <v>113</v>
      </c>
      <c r="BC123" s="22">
        <v>0.468445</v>
      </c>
      <c r="BD123">
        <f t="shared" si="22"/>
        <v>20.039876543209878</v>
      </c>
      <c r="BE123">
        <f t="shared" si="23"/>
        <v>9.3998042919753093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6.2424200000000001</v>
      </c>
      <c r="I124" s="22">
        <v>-1.5213000000000001E-2</v>
      </c>
      <c r="J124" s="22">
        <v>114</v>
      </c>
      <c r="K124" s="22">
        <v>1.1053500000000001</v>
      </c>
      <c r="L124">
        <f t="shared" si="12"/>
        <v>18.781481481481482</v>
      </c>
      <c r="M124">
        <f t="shared" si="13"/>
        <v>20.77156725925926</v>
      </c>
      <c r="N124" s="9"/>
      <c r="O124" s="22">
        <v>0.47409099999999998</v>
      </c>
      <c r="P124" s="22">
        <v>9.8199000000000005</v>
      </c>
      <c r="Q124" s="22">
        <v>-1.6253699999999999E-2</v>
      </c>
      <c r="R124" s="22">
        <v>114</v>
      </c>
      <c r="S124" s="22">
        <v>0.47341899999999998</v>
      </c>
      <c r="T124">
        <f t="shared" si="14"/>
        <v>20.066296296296294</v>
      </c>
      <c r="U124">
        <f t="shared" si="15"/>
        <v>9.5132504774074054</v>
      </c>
      <c r="X124" s="9"/>
      <c r="Y124" s="22">
        <v>1.1059600000000001</v>
      </c>
      <c r="Z124" s="22">
        <v>15.125500000000001</v>
      </c>
      <c r="AA124" s="22">
        <v>-1.5136699999999999E-2</v>
      </c>
      <c r="AB124" s="22">
        <v>114</v>
      </c>
      <c r="AC124" s="22">
        <v>1.10504</v>
      </c>
      <c r="AD124">
        <f t="shared" si="16"/>
        <v>18.687283950617282</v>
      </c>
      <c r="AE124">
        <f t="shared" si="17"/>
        <v>20.66738855802469</v>
      </c>
      <c r="AF124" s="9"/>
      <c r="AG124" s="22">
        <v>0.47409099999999998</v>
      </c>
      <c r="AH124" s="22">
        <v>18.7029</v>
      </c>
      <c r="AI124" s="22">
        <v>-1.6220100000000001E-2</v>
      </c>
      <c r="AJ124" s="22">
        <v>114</v>
      </c>
      <c r="AK124" s="22">
        <v>0.47326699999999999</v>
      </c>
      <c r="AL124">
        <f t="shared" si="18"/>
        <v>20.024814814814814</v>
      </c>
      <c r="AM124">
        <f t="shared" si="19"/>
        <v>9.4935844803703695</v>
      </c>
      <c r="AP124" s="9"/>
      <c r="AQ124" s="22">
        <v>1.1059600000000001</v>
      </c>
      <c r="AR124" s="22">
        <v>24.0016</v>
      </c>
      <c r="AS124" s="22">
        <v>-1.51337E-2</v>
      </c>
      <c r="AT124" s="22">
        <v>114</v>
      </c>
      <c r="AU124" s="22">
        <v>1.1047400000000001</v>
      </c>
      <c r="AV124">
        <f t="shared" si="20"/>
        <v>18.683580246913579</v>
      </c>
      <c r="AW124">
        <f t="shared" si="21"/>
        <v>20.663292409876544</v>
      </c>
      <c r="AX124" s="9"/>
      <c r="AY124" s="22">
        <v>0.47409099999999998</v>
      </c>
      <c r="AZ124" s="22">
        <v>27.5791</v>
      </c>
      <c r="BA124" s="22">
        <v>-1.6223100000000001E-2</v>
      </c>
      <c r="BB124" s="22">
        <v>114</v>
      </c>
      <c r="BC124" s="22">
        <v>0.47332800000000003</v>
      </c>
      <c r="BD124">
        <f t="shared" si="22"/>
        <v>20.028518518518517</v>
      </c>
      <c r="BE124">
        <f t="shared" si="23"/>
        <v>9.4953403729629624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6.2524899999999999</v>
      </c>
      <c r="I125" s="22">
        <v>-1.5225199999999999E-2</v>
      </c>
      <c r="J125" s="22">
        <v>115</v>
      </c>
      <c r="K125" s="22">
        <v>1.10016</v>
      </c>
      <c r="L125">
        <f t="shared" si="12"/>
        <v>18.796543209876543</v>
      </c>
      <c r="M125">
        <f t="shared" si="13"/>
        <v>20.693490350617282</v>
      </c>
      <c r="N125" s="9"/>
      <c r="O125" s="22">
        <v>0.479126</v>
      </c>
      <c r="P125" s="22">
        <v>9.8299699999999994</v>
      </c>
      <c r="Q125" s="22">
        <v>-1.6244499999999999E-2</v>
      </c>
      <c r="R125" s="22">
        <v>115</v>
      </c>
      <c r="S125" s="22">
        <v>0.47839399999999999</v>
      </c>
      <c r="T125">
        <f t="shared" si="14"/>
        <v>20.054938271604936</v>
      </c>
      <c r="U125">
        <f t="shared" si="15"/>
        <v>9.608842354320986</v>
      </c>
      <c r="X125" s="9"/>
      <c r="Y125" s="22">
        <v>1.1009199999999999</v>
      </c>
      <c r="Z125" s="22">
        <v>15.1355</v>
      </c>
      <c r="AA125" s="22">
        <v>-1.51459E-2</v>
      </c>
      <c r="AB125" s="22">
        <v>115</v>
      </c>
      <c r="AC125" s="22">
        <v>1.10016</v>
      </c>
      <c r="AD125">
        <f t="shared" si="16"/>
        <v>18.698641975308643</v>
      </c>
      <c r="AE125">
        <f t="shared" si="17"/>
        <v>20.585708923456789</v>
      </c>
      <c r="AF125" s="9"/>
      <c r="AG125" s="22">
        <v>0.479126</v>
      </c>
      <c r="AH125" s="22">
        <v>18.713000000000001</v>
      </c>
      <c r="AI125" s="22">
        <v>-1.62109E-2</v>
      </c>
      <c r="AJ125" s="22">
        <v>115</v>
      </c>
      <c r="AK125" s="22">
        <v>0.47854600000000003</v>
      </c>
      <c r="AL125">
        <f t="shared" si="18"/>
        <v>20.013456790123456</v>
      </c>
      <c r="AM125">
        <f t="shared" si="19"/>
        <v>9.5889674980246902</v>
      </c>
      <c r="AP125" s="9"/>
      <c r="AQ125" s="22">
        <v>1.1009199999999999</v>
      </c>
      <c r="AR125" s="22">
        <v>24.011700000000001</v>
      </c>
      <c r="AS125" s="22">
        <v>-1.51428E-2</v>
      </c>
      <c r="AT125" s="22">
        <v>115</v>
      </c>
      <c r="AU125" s="22">
        <v>1.09955</v>
      </c>
      <c r="AV125">
        <f t="shared" si="20"/>
        <v>18.694814814814812</v>
      </c>
      <c r="AW125">
        <f t="shared" si="21"/>
        <v>20.58149552592592</v>
      </c>
      <c r="AX125" s="9"/>
      <c r="AY125" s="22">
        <v>0.479126</v>
      </c>
      <c r="AZ125" s="22">
        <v>27.589200000000002</v>
      </c>
      <c r="BA125" s="22">
        <v>-1.6216999999999999E-2</v>
      </c>
      <c r="BB125" s="22">
        <v>115</v>
      </c>
      <c r="BC125" s="22">
        <v>0.47839399999999999</v>
      </c>
      <c r="BD125">
        <f t="shared" si="22"/>
        <v>20.020987654320983</v>
      </c>
      <c r="BE125">
        <f t="shared" si="23"/>
        <v>9.5925757308641959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6.2625599999999997</v>
      </c>
      <c r="I126" s="22">
        <v>-1.52344E-2</v>
      </c>
      <c r="J126" s="22">
        <v>116</v>
      </c>
      <c r="K126" s="22">
        <v>1.09528</v>
      </c>
      <c r="L126">
        <f t="shared" si="12"/>
        <v>18.8079012345679</v>
      </c>
      <c r="M126">
        <f t="shared" si="13"/>
        <v>20.611390883950616</v>
      </c>
      <c r="N126" s="9"/>
      <c r="O126" s="22">
        <v>0.48416100000000001</v>
      </c>
      <c r="P126" s="22">
        <v>9.8400400000000001</v>
      </c>
      <c r="Q126" s="22">
        <v>-1.6229199999999999E-2</v>
      </c>
      <c r="R126" s="22">
        <v>116</v>
      </c>
      <c r="S126" s="22">
        <v>0.48355100000000001</v>
      </c>
      <c r="T126">
        <f t="shared" si="14"/>
        <v>20.036049382716048</v>
      </c>
      <c r="U126">
        <f t="shared" si="15"/>
        <v>9.700673705185185</v>
      </c>
      <c r="X126" s="9"/>
      <c r="Y126" s="22">
        <v>1.09589</v>
      </c>
      <c r="Z126" s="22">
        <v>15.1456</v>
      </c>
      <c r="AA126" s="22">
        <v>-1.5155E-2</v>
      </c>
      <c r="AB126" s="22">
        <v>116</v>
      </c>
      <c r="AC126" s="22">
        <v>1.09528</v>
      </c>
      <c r="AD126">
        <f t="shared" si="16"/>
        <v>18.709876543209877</v>
      </c>
      <c r="AE126">
        <f t="shared" si="17"/>
        <v>20.503966604938274</v>
      </c>
      <c r="AF126" s="9"/>
      <c r="AG126" s="22">
        <v>0.48416100000000001</v>
      </c>
      <c r="AH126" s="22">
        <v>18.723099999999999</v>
      </c>
      <c r="AI126" s="22">
        <v>-1.61987E-2</v>
      </c>
      <c r="AJ126" s="22">
        <v>116</v>
      </c>
      <c r="AK126" s="22">
        <v>0.48327599999999998</v>
      </c>
      <c r="AL126">
        <f t="shared" si="18"/>
        <v>19.998395061728392</v>
      </c>
      <c r="AM126">
        <f t="shared" si="19"/>
        <v>9.6824429514814803</v>
      </c>
      <c r="AP126" s="9"/>
      <c r="AQ126" s="22">
        <v>1.09589</v>
      </c>
      <c r="AR126" s="22">
        <v>24.021799999999999</v>
      </c>
      <c r="AS126" s="22">
        <v>-1.5152000000000001E-2</v>
      </c>
      <c r="AT126" s="22">
        <v>116</v>
      </c>
      <c r="AU126" s="22">
        <v>1.09406</v>
      </c>
      <c r="AV126">
        <f t="shared" si="20"/>
        <v>18.706172839506173</v>
      </c>
      <c r="AW126">
        <f t="shared" si="21"/>
        <v>20.499907753086422</v>
      </c>
      <c r="AX126" s="9"/>
      <c r="AY126" s="22">
        <v>0.48416100000000001</v>
      </c>
      <c r="AZ126" s="22">
        <v>27.599299999999999</v>
      </c>
      <c r="BA126" s="22">
        <v>-1.6207900000000001E-2</v>
      </c>
      <c r="BB126" s="22">
        <v>116</v>
      </c>
      <c r="BC126" s="22">
        <v>0.48358200000000001</v>
      </c>
      <c r="BD126">
        <f t="shared" si="22"/>
        <v>20.009753086419753</v>
      </c>
      <c r="BE126">
        <f t="shared" si="23"/>
        <v>9.6879420640740737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6.2726300000000004</v>
      </c>
      <c r="I127" s="22">
        <v>-1.5246600000000001E-2</v>
      </c>
      <c r="J127" s="22">
        <v>117</v>
      </c>
      <c r="K127" s="22">
        <v>1.08978</v>
      </c>
      <c r="L127">
        <f t="shared" si="12"/>
        <v>18.822962962962961</v>
      </c>
      <c r="M127">
        <f t="shared" si="13"/>
        <v>20.533029148148149</v>
      </c>
      <c r="N127" s="9"/>
      <c r="O127" s="22">
        <v>0.48919699999999999</v>
      </c>
      <c r="P127" s="22">
        <v>9.8501200000000004</v>
      </c>
      <c r="Q127" s="22">
        <v>-1.6220100000000001E-2</v>
      </c>
      <c r="R127" s="22">
        <v>117</v>
      </c>
      <c r="S127" s="22">
        <v>0.48858600000000002</v>
      </c>
      <c r="T127">
        <f t="shared" si="14"/>
        <v>20.024814814814814</v>
      </c>
      <c r="U127">
        <f t="shared" si="15"/>
        <v>9.7960793329629627</v>
      </c>
      <c r="X127" s="9"/>
      <c r="Y127" s="22">
        <v>1.0908500000000001</v>
      </c>
      <c r="Z127" s="22">
        <v>15.1557</v>
      </c>
      <c r="AA127" s="22">
        <v>-1.5164199999999999E-2</v>
      </c>
      <c r="AB127" s="22">
        <v>117</v>
      </c>
      <c r="AC127" s="22">
        <v>1.08948</v>
      </c>
      <c r="AD127">
        <f t="shared" si="16"/>
        <v>18.721234567901234</v>
      </c>
      <c r="AE127">
        <f t="shared" si="17"/>
        <v>20.422058728395065</v>
      </c>
      <c r="AF127" s="9"/>
      <c r="AG127" s="22">
        <v>0.48919699999999999</v>
      </c>
      <c r="AH127" s="22">
        <v>18.7332</v>
      </c>
      <c r="AI127" s="22">
        <v>-1.6189599999999998E-2</v>
      </c>
      <c r="AJ127" s="22">
        <v>117</v>
      </c>
      <c r="AK127" s="22">
        <v>0.48828100000000002</v>
      </c>
      <c r="AL127">
        <f t="shared" si="18"/>
        <v>19.987160493827158</v>
      </c>
      <c r="AM127">
        <f t="shared" si="19"/>
        <v>9.7776589520987649</v>
      </c>
      <c r="AP127" s="9"/>
      <c r="AQ127" s="22">
        <v>1.0908500000000001</v>
      </c>
      <c r="AR127" s="22">
        <v>24.0319</v>
      </c>
      <c r="AS127" s="22">
        <v>-1.51611E-2</v>
      </c>
      <c r="AT127" s="22">
        <v>117</v>
      </c>
      <c r="AU127" s="22">
        <v>1.08948</v>
      </c>
      <c r="AV127">
        <f t="shared" si="20"/>
        <v>18.717407407407403</v>
      </c>
      <c r="AW127">
        <f t="shared" si="21"/>
        <v>20.417883870370368</v>
      </c>
      <c r="AX127" s="9"/>
      <c r="AY127" s="22">
        <v>0.48919699999999999</v>
      </c>
      <c r="AZ127" s="22">
        <v>27.609300000000001</v>
      </c>
      <c r="BA127" s="22">
        <v>-1.6201799999999999E-2</v>
      </c>
      <c r="BB127" s="22">
        <v>117</v>
      </c>
      <c r="BC127" s="22">
        <v>0.48852499999999999</v>
      </c>
      <c r="BD127">
        <f t="shared" si="22"/>
        <v>20.002222222222219</v>
      </c>
      <c r="BE127">
        <f t="shared" si="23"/>
        <v>9.7850271044444419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6.2827000000000002</v>
      </c>
      <c r="I128" s="22">
        <v>-1.5258799999999999E-2</v>
      </c>
      <c r="J128" s="22">
        <v>118</v>
      </c>
      <c r="K128" s="22">
        <v>1.08551</v>
      </c>
      <c r="L128">
        <f t="shared" si="12"/>
        <v>18.838024691358022</v>
      </c>
      <c r="M128">
        <f t="shared" si="13"/>
        <v>20.454703970370367</v>
      </c>
      <c r="N128" s="9"/>
      <c r="O128" s="22">
        <v>0.494232</v>
      </c>
      <c r="P128" s="22">
        <v>9.8601899999999993</v>
      </c>
      <c r="Q128" s="22">
        <v>-1.62109E-2</v>
      </c>
      <c r="R128" s="22">
        <v>118</v>
      </c>
      <c r="S128" s="22">
        <v>0.493591</v>
      </c>
      <c r="T128">
        <f t="shared" si="14"/>
        <v>20.013456790123456</v>
      </c>
      <c r="U128">
        <f t="shared" si="15"/>
        <v>9.8912907762962963</v>
      </c>
      <c r="X128" s="9"/>
      <c r="Y128" s="22">
        <v>1.08582</v>
      </c>
      <c r="Z128" s="22">
        <v>15.165699999999999</v>
      </c>
      <c r="AA128" s="22">
        <v>-1.51764E-2</v>
      </c>
      <c r="AB128" s="22">
        <v>118</v>
      </c>
      <c r="AC128" s="22">
        <v>1.0849</v>
      </c>
      <c r="AD128">
        <f t="shared" si="16"/>
        <v>18.736296296296295</v>
      </c>
      <c r="AE128">
        <f t="shared" si="17"/>
        <v>20.344245244444444</v>
      </c>
      <c r="AF128" s="9"/>
      <c r="AG128" s="22">
        <v>0.494232</v>
      </c>
      <c r="AH128" s="22">
        <v>18.743200000000002</v>
      </c>
      <c r="AI128" s="22">
        <v>-1.6180400000000001E-2</v>
      </c>
      <c r="AJ128" s="22">
        <v>118</v>
      </c>
      <c r="AK128" s="22">
        <v>0.49343900000000002</v>
      </c>
      <c r="AL128">
        <f t="shared" si="18"/>
        <v>19.975802469135804</v>
      </c>
      <c r="AM128">
        <f t="shared" si="19"/>
        <v>9.8726808059259259</v>
      </c>
      <c r="AP128" s="9"/>
      <c r="AQ128" s="22">
        <v>1.08582</v>
      </c>
      <c r="AR128" s="22">
        <v>24.041899999999998</v>
      </c>
      <c r="AS128" s="22">
        <v>-1.5170299999999999E-2</v>
      </c>
      <c r="AT128" s="22">
        <v>118</v>
      </c>
      <c r="AU128" s="22">
        <v>1.0845899999999999</v>
      </c>
      <c r="AV128">
        <f t="shared" si="20"/>
        <v>18.728765432098765</v>
      </c>
      <c r="AW128">
        <f t="shared" si="21"/>
        <v>20.336068081481482</v>
      </c>
      <c r="AX128" s="9"/>
      <c r="AY128" s="22">
        <v>0.494232</v>
      </c>
      <c r="AZ128" s="22">
        <v>27.619399999999999</v>
      </c>
      <c r="BA128" s="22">
        <v>-1.6189599999999998E-2</v>
      </c>
      <c r="BB128" s="22">
        <v>118</v>
      </c>
      <c r="BC128" s="22">
        <v>0.49340800000000001</v>
      </c>
      <c r="BD128">
        <f t="shared" si="22"/>
        <v>19.987160493827158</v>
      </c>
      <c r="BE128">
        <f t="shared" si="23"/>
        <v>9.8782943051851841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6.29277</v>
      </c>
      <c r="I129" s="22">
        <v>-1.52649E-2</v>
      </c>
      <c r="J129" s="22">
        <v>119</v>
      </c>
      <c r="K129" s="22">
        <v>1.0790999999999999</v>
      </c>
      <c r="L129">
        <f t="shared" si="12"/>
        <v>18.845555555555553</v>
      </c>
      <c r="M129">
        <f t="shared" si="13"/>
        <v>20.367899533333333</v>
      </c>
      <c r="N129" s="9"/>
      <c r="O129" s="22">
        <v>0.49926799999999999</v>
      </c>
      <c r="P129" s="22">
        <v>9.87026</v>
      </c>
      <c r="Q129" s="22">
        <v>-1.61987E-2</v>
      </c>
      <c r="R129" s="22">
        <v>119</v>
      </c>
      <c r="S129" s="22">
        <v>0.49832199999999999</v>
      </c>
      <c r="T129">
        <f t="shared" si="14"/>
        <v>19.998395061728392</v>
      </c>
      <c r="U129">
        <f t="shared" si="15"/>
        <v>9.9845587056790102</v>
      </c>
      <c r="X129" s="9"/>
      <c r="Y129" s="22">
        <v>1.0807800000000001</v>
      </c>
      <c r="Z129" s="22">
        <v>15.175800000000001</v>
      </c>
      <c r="AA129" s="22">
        <v>-1.51886E-2</v>
      </c>
      <c r="AB129" s="22">
        <v>119</v>
      </c>
      <c r="AC129" s="22">
        <v>1.07941</v>
      </c>
      <c r="AD129">
        <f t="shared" si="16"/>
        <v>18.751358024691356</v>
      </c>
      <c r="AE129">
        <f t="shared" si="17"/>
        <v>20.266092725925926</v>
      </c>
      <c r="AF129" s="9"/>
      <c r="AG129" s="22">
        <v>0.49926799999999999</v>
      </c>
      <c r="AH129" s="22">
        <v>18.753299999999999</v>
      </c>
      <c r="AI129" s="22">
        <v>-1.61713E-2</v>
      </c>
      <c r="AJ129" s="22">
        <v>119</v>
      </c>
      <c r="AK129" s="22">
        <v>0.49865700000000002</v>
      </c>
      <c r="AL129">
        <f t="shared" si="18"/>
        <v>19.964567901234567</v>
      </c>
      <c r="AM129">
        <f t="shared" si="19"/>
        <v>9.9676698869135798</v>
      </c>
      <c r="AP129" s="9"/>
      <c r="AQ129" s="22">
        <v>1.0807800000000001</v>
      </c>
      <c r="AR129" s="22">
        <v>24.052</v>
      </c>
      <c r="AS129" s="22">
        <v>-1.5179399999999999E-2</v>
      </c>
      <c r="AT129" s="22">
        <v>119</v>
      </c>
      <c r="AU129" s="22">
        <v>1.07941</v>
      </c>
      <c r="AV129">
        <f t="shared" si="20"/>
        <v>18.739999999999995</v>
      </c>
      <c r="AW129">
        <f t="shared" si="21"/>
        <v>20.253817199999997</v>
      </c>
      <c r="AX129" s="9"/>
      <c r="AY129" s="22">
        <v>0.49926799999999999</v>
      </c>
      <c r="AZ129" s="22">
        <v>27.6295</v>
      </c>
      <c r="BA129" s="22">
        <v>-1.6180400000000001E-2</v>
      </c>
      <c r="BB129" s="22">
        <v>119</v>
      </c>
      <c r="BC129" s="22">
        <v>0.49856600000000001</v>
      </c>
      <c r="BD129">
        <f t="shared" si="22"/>
        <v>19.975802469135804</v>
      </c>
      <c r="BE129">
        <f t="shared" si="23"/>
        <v>9.9732789471604946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6.3028399999999998</v>
      </c>
      <c r="I130" s="22">
        <v>-1.52771E-2</v>
      </c>
      <c r="J130" s="22">
        <v>120</v>
      </c>
      <c r="K130" s="22">
        <v>1.07483</v>
      </c>
      <c r="L130">
        <f t="shared" si="12"/>
        <v>18.860617283950617</v>
      </c>
      <c r="M130">
        <f t="shared" si="13"/>
        <v>20.289120437037035</v>
      </c>
      <c r="N130" s="9"/>
      <c r="O130" s="22">
        <v>0.50430299999999995</v>
      </c>
      <c r="P130" s="22">
        <v>9.8803300000000007</v>
      </c>
      <c r="Q130" s="22">
        <v>-1.6189599999999998E-2</v>
      </c>
      <c r="R130" s="22">
        <v>120</v>
      </c>
      <c r="S130" s="22">
        <v>0.50353999999999999</v>
      </c>
      <c r="T130">
        <f t="shared" si="14"/>
        <v>19.987160493827158</v>
      </c>
      <c r="U130">
        <f t="shared" si="15"/>
        <v>10.079584998518516</v>
      </c>
      <c r="X130" s="9"/>
      <c r="Y130" s="22">
        <v>1.0757399999999999</v>
      </c>
      <c r="Z130" s="22">
        <v>15.1859</v>
      </c>
      <c r="AA130" s="22">
        <v>-1.5197799999999999E-2</v>
      </c>
      <c r="AB130" s="22">
        <v>120</v>
      </c>
      <c r="AC130" s="22">
        <v>1.07544</v>
      </c>
      <c r="AD130">
        <f t="shared" si="16"/>
        <v>18.762716049382714</v>
      </c>
      <c r="AE130">
        <f t="shared" si="17"/>
        <v>20.183804162962961</v>
      </c>
      <c r="AF130" s="9"/>
      <c r="AG130" s="22">
        <v>0.50430299999999995</v>
      </c>
      <c r="AH130" s="22">
        <v>18.763400000000001</v>
      </c>
      <c r="AI130" s="22">
        <v>-1.6162099999999999E-2</v>
      </c>
      <c r="AJ130" s="22">
        <v>120</v>
      </c>
      <c r="AK130" s="22">
        <v>0.50363199999999997</v>
      </c>
      <c r="AL130">
        <f t="shared" si="18"/>
        <v>19.953209876543205</v>
      </c>
      <c r="AM130">
        <f t="shared" si="19"/>
        <v>10.062463600370368</v>
      </c>
      <c r="AP130" s="9"/>
      <c r="AQ130" s="22">
        <v>1.0757399999999999</v>
      </c>
      <c r="AR130" s="22">
        <v>24.062100000000001</v>
      </c>
      <c r="AS130" s="22">
        <v>-1.51886E-2</v>
      </c>
      <c r="AT130" s="22">
        <v>120</v>
      </c>
      <c r="AU130" s="22">
        <v>1.07422</v>
      </c>
      <c r="AV130">
        <f t="shared" si="20"/>
        <v>18.751358024691356</v>
      </c>
      <c r="AW130">
        <f t="shared" si="21"/>
        <v>20.171585881481477</v>
      </c>
      <c r="AX130" s="9"/>
      <c r="AY130" s="22">
        <v>0.50430299999999995</v>
      </c>
      <c r="AZ130" s="22">
        <v>27.639600000000002</v>
      </c>
      <c r="BA130" s="22">
        <v>-1.61713E-2</v>
      </c>
      <c r="BB130" s="22">
        <v>120</v>
      </c>
      <c r="BC130" s="22">
        <v>0.50363199999999997</v>
      </c>
      <c r="BD130">
        <f t="shared" si="22"/>
        <v>19.964567901234567</v>
      </c>
      <c r="BE130">
        <f t="shared" si="23"/>
        <v>10.068191486296294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6.3129200000000001</v>
      </c>
      <c r="I131" s="22">
        <v>-1.5286299999999999E-2</v>
      </c>
      <c r="J131" s="22">
        <v>121</v>
      </c>
      <c r="K131" s="22">
        <v>1.06995</v>
      </c>
      <c r="L131">
        <f t="shared" si="12"/>
        <v>18.871975308641971</v>
      </c>
      <c r="M131">
        <f t="shared" si="13"/>
        <v>20.206412682716046</v>
      </c>
      <c r="N131" s="9"/>
      <c r="O131" s="22">
        <v>0.50933799999999996</v>
      </c>
      <c r="P131" s="22">
        <v>9.8903999999999996</v>
      </c>
      <c r="Q131" s="22">
        <v>-1.6180400000000001E-2</v>
      </c>
      <c r="R131" s="22">
        <v>121</v>
      </c>
      <c r="S131" s="22">
        <v>0.50848400000000005</v>
      </c>
      <c r="T131">
        <f t="shared" si="14"/>
        <v>19.975802469135804</v>
      </c>
      <c r="U131">
        <f t="shared" si="15"/>
        <v>10.174435278024692</v>
      </c>
      <c r="X131" s="9"/>
      <c r="Y131" s="22">
        <v>1.0707100000000001</v>
      </c>
      <c r="Z131" s="22">
        <v>15.196</v>
      </c>
      <c r="AA131" s="22">
        <v>-1.5203899999999999E-2</v>
      </c>
      <c r="AB131" s="22">
        <v>121</v>
      </c>
      <c r="AC131" s="22">
        <v>1.0690299999999999</v>
      </c>
      <c r="AD131">
        <f t="shared" si="16"/>
        <v>18.770246913580245</v>
      </c>
      <c r="AE131">
        <f t="shared" si="17"/>
        <v>20.097491072839503</v>
      </c>
      <c r="AF131" s="9"/>
      <c r="AG131" s="22">
        <v>0.50933799999999996</v>
      </c>
      <c r="AH131" s="22">
        <v>18.773399999999999</v>
      </c>
      <c r="AI131" s="22">
        <v>-1.6156E-2</v>
      </c>
      <c r="AJ131" s="22">
        <v>121</v>
      </c>
      <c r="AK131" s="22">
        <v>0.50863599999999998</v>
      </c>
      <c r="AL131">
        <f t="shared" si="18"/>
        <v>19.945679012345678</v>
      </c>
      <c r="AM131">
        <f t="shared" si="19"/>
        <v>10.159092256790123</v>
      </c>
      <c r="AP131" s="9"/>
      <c r="AQ131" s="22">
        <v>1.0707100000000001</v>
      </c>
      <c r="AR131" s="22">
        <v>24.072099999999999</v>
      </c>
      <c r="AS131" s="22">
        <v>-1.51947E-2</v>
      </c>
      <c r="AT131" s="22">
        <v>121</v>
      </c>
      <c r="AU131" s="22">
        <v>1.06995</v>
      </c>
      <c r="AV131">
        <f t="shared" si="20"/>
        <v>18.758888888888887</v>
      </c>
      <c r="AW131">
        <f t="shared" si="21"/>
        <v>20.085329922222222</v>
      </c>
      <c r="AX131" s="9"/>
      <c r="AY131" s="22">
        <v>0.50933799999999996</v>
      </c>
      <c r="AZ131" s="22">
        <v>27.6496</v>
      </c>
      <c r="BA131" s="22">
        <v>-1.6165200000000001E-2</v>
      </c>
      <c r="BB131" s="22">
        <v>121</v>
      </c>
      <c r="BC131" s="22">
        <v>0.50872799999999996</v>
      </c>
      <c r="BD131">
        <f t="shared" si="22"/>
        <v>19.957037037037036</v>
      </c>
      <c r="BE131">
        <f t="shared" si="23"/>
        <v>10.16487733037037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6.3229899999999999</v>
      </c>
      <c r="I132" s="22">
        <v>-1.5295400000000001E-2</v>
      </c>
      <c r="J132" s="22">
        <v>122</v>
      </c>
      <c r="K132" s="22">
        <v>1.0647599999999999</v>
      </c>
      <c r="L132">
        <f t="shared" si="12"/>
        <v>18.883209876543212</v>
      </c>
      <c r="M132">
        <f t="shared" si="13"/>
        <v>20.123270269135801</v>
      </c>
      <c r="N132" s="9"/>
      <c r="O132" s="22">
        <v>0.514374</v>
      </c>
      <c r="P132" s="22">
        <v>9.9004700000000003</v>
      </c>
      <c r="Q132" s="22">
        <v>-1.61713E-2</v>
      </c>
      <c r="R132" s="22">
        <v>122</v>
      </c>
      <c r="S132" s="22">
        <v>0.51358000000000004</v>
      </c>
      <c r="T132">
        <f t="shared" si="14"/>
        <v>19.964567901234567</v>
      </c>
      <c r="U132">
        <f t="shared" si="15"/>
        <v>10.269254649629628</v>
      </c>
      <c r="X132" s="9"/>
      <c r="Y132" s="22">
        <v>1.0656699999999999</v>
      </c>
      <c r="Z132" s="22">
        <v>15.206</v>
      </c>
      <c r="AA132" s="22">
        <v>-1.521E-2</v>
      </c>
      <c r="AB132" s="22">
        <v>122</v>
      </c>
      <c r="AC132" s="22">
        <v>1.0647599999999999</v>
      </c>
      <c r="AD132">
        <f t="shared" si="16"/>
        <v>18.777777777777775</v>
      </c>
      <c r="AE132">
        <f t="shared" si="17"/>
        <v>20.010914444444438</v>
      </c>
      <c r="AF132" s="9"/>
      <c r="AG132" s="22">
        <v>0.514374</v>
      </c>
      <c r="AH132" s="22">
        <v>18.7835</v>
      </c>
      <c r="AI132" s="22">
        <v>-1.6146899999999999E-2</v>
      </c>
      <c r="AJ132" s="22">
        <v>122</v>
      </c>
      <c r="AK132" s="22">
        <v>0.513733</v>
      </c>
      <c r="AL132">
        <f t="shared" si="18"/>
        <v>19.934444444444441</v>
      </c>
      <c r="AM132">
        <f t="shared" si="19"/>
        <v>10.253759926666666</v>
      </c>
      <c r="AP132" s="9"/>
      <c r="AQ132" s="22">
        <v>1.0656699999999999</v>
      </c>
      <c r="AR132" s="22">
        <v>24.0822</v>
      </c>
      <c r="AS132" s="22">
        <v>-1.5203899999999999E-2</v>
      </c>
      <c r="AT132" s="22">
        <v>122</v>
      </c>
      <c r="AU132" s="22">
        <v>1.0650599999999999</v>
      </c>
      <c r="AV132">
        <f t="shared" si="20"/>
        <v>18.770246913580245</v>
      </c>
      <c r="AW132">
        <f t="shared" si="21"/>
        <v>20.002889028395057</v>
      </c>
      <c r="AX132" s="9"/>
      <c r="AY132" s="22">
        <v>0.514374</v>
      </c>
      <c r="AZ132" s="22">
        <v>27.659700000000001</v>
      </c>
      <c r="BA132" s="22">
        <v>-1.6156E-2</v>
      </c>
      <c r="BB132" s="22">
        <v>122</v>
      </c>
      <c r="BC132" s="22">
        <v>0.51367200000000002</v>
      </c>
      <c r="BD132">
        <f t="shared" si="22"/>
        <v>19.945679012345678</v>
      </c>
      <c r="BE132">
        <f t="shared" si="23"/>
        <v>10.259538696296296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6.3330599999999997</v>
      </c>
      <c r="I133" s="22">
        <v>-1.53046E-2</v>
      </c>
      <c r="J133" s="22">
        <v>123</v>
      </c>
      <c r="K133" s="22">
        <v>1.0595699999999999</v>
      </c>
      <c r="L133">
        <f t="shared" si="12"/>
        <v>18.894567901234566</v>
      </c>
      <c r="M133">
        <f t="shared" si="13"/>
        <v>20.040334498765432</v>
      </c>
      <c r="N133" s="9"/>
      <c r="O133" s="22">
        <v>0.51940900000000001</v>
      </c>
      <c r="P133" s="22">
        <v>9.9105399999999992</v>
      </c>
      <c r="Q133" s="22">
        <v>-1.6165200000000001E-2</v>
      </c>
      <c r="R133" s="22">
        <v>123</v>
      </c>
      <c r="S133" s="22">
        <v>0.51864600000000005</v>
      </c>
      <c r="T133">
        <f t="shared" si="14"/>
        <v>19.957037037037036</v>
      </c>
      <c r="U133">
        <f t="shared" si="15"/>
        <v>10.365864650370369</v>
      </c>
      <c r="X133" s="9"/>
      <c r="Y133" s="22">
        <v>1.06064</v>
      </c>
      <c r="Z133" s="22">
        <v>15.216100000000001</v>
      </c>
      <c r="AA133" s="22">
        <v>-1.5219099999999999E-2</v>
      </c>
      <c r="AB133" s="22">
        <v>123</v>
      </c>
      <c r="AC133" s="22">
        <v>1.0592699999999999</v>
      </c>
      <c r="AD133">
        <f t="shared" si="16"/>
        <v>18.789012345679012</v>
      </c>
      <c r="AE133">
        <f t="shared" si="17"/>
        <v>19.928378054320987</v>
      </c>
      <c r="AF133" s="9"/>
      <c r="AG133" s="22">
        <v>0.51940900000000001</v>
      </c>
      <c r="AH133" s="22">
        <v>18.793600000000001</v>
      </c>
      <c r="AI133" s="22">
        <v>-1.6137700000000001E-2</v>
      </c>
      <c r="AJ133" s="22">
        <v>123</v>
      </c>
      <c r="AK133" s="22">
        <v>0.51864600000000005</v>
      </c>
      <c r="AL133">
        <f t="shared" si="18"/>
        <v>19.923086419753087</v>
      </c>
      <c r="AM133">
        <f t="shared" si="19"/>
        <v>10.348230394197531</v>
      </c>
      <c r="AP133" s="9"/>
      <c r="AQ133" s="22">
        <v>1.06064</v>
      </c>
      <c r="AR133" s="22">
        <v>24.092300000000002</v>
      </c>
      <c r="AS133" s="22">
        <v>-1.521E-2</v>
      </c>
      <c r="AT133" s="22">
        <v>123</v>
      </c>
      <c r="AU133" s="22">
        <v>1.0598799999999999</v>
      </c>
      <c r="AV133">
        <f t="shared" si="20"/>
        <v>18.777777777777775</v>
      </c>
      <c r="AW133">
        <f t="shared" si="21"/>
        <v>19.916462222222219</v>
      </c>
      <c r="AX133" s="9"/>
      <c r="AY133" s="22">
        <v>0.51940900000000001</v>
      </c>
      <c r="AZ133" s="22">
        <v>27.669799999999999</v>
      </c>
      <c r="BA133" s="22">
        <v>-1.6146899999999999E-2</v>
      </c>
      <c r="BB133" s="22">
        <v>123</v>
      </c>
      <c r="BC133" s="22">
        <v>0.51846300000000001</v>
      </c>
      <c r="BD133">
        <f t="shared" si="22"/>
        <v>19.934444444444441</v>
      </c>
      <c r="BE133">
        <f t="shared" si="23"/>
        <v>10.354129854444443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6.3431300000000004</v>
      </c>
      <c r="I134" s="22">
        <v>-1.53137E-2</v>
      </c>
      <c r="J134" s="22">
        <v>124</v>
      </c>
      <c r="K134" s="22">
        <v>1.0549900000000001</v>
      </c>
      <c r="L134">
        <f t="shared" si="12"/>
        <v>18.9058024691358</v>
      </c>
      <c r="M134">
        <f t="shared" si="13"/>
        <v>19.956965086419753</v>
      </c>
      <c r="N134" s="9"/>
      <c r="O134" s="22">
        <v>0.52444500000000005</v>
      </c>
      <c r="P134" s="22">
        <v>9.9206099999999999</v>
      </c>
      <c r="Q134" s="22">
        <v>-1.6159099999999999E-2</v>
      </c>
      <c r="R134" s="22">
        <v>124</v>
      </c>
      <c r="S134" s="22">
        <v>0.52374299999999996</v>
      </c>
      <c r="T134">
        <f t="shared" si="14"/>
        <v>19.949506172839506</v>
      </c>
      <c r="U134">
        <f t="shared" si="15"/>
        <v>10.462418764814815</v>
      </c>
      <c r="X134" s="9"/>
      <c r="Y134" s="22">
        <v>1.0556000000000001</v>
      </c>
      <c r="Z134" s="22">
        <v>15.2262</v>
      </c>
      <c r="AA134" s="22">
        <v>-1.52283E-2</v>
      </c>
      <c r="AB134" s="22">
        <v>124</v>
      </c>
      <c r="AC134" s="22">
        <v>1.0540799999999999</v>
      </c>
      <c r="AD134">
        <f t="shared" si="16"/>
        <v>18.80037037037037</v>
      </c>
      <c r="AE134">
        <f t="shared" si="17"/>
        <v>19.845670962962963</v>
      </c>
      <c r="AF134" s="9"/>
      <c r="AG134" s="22">
        <v>0.52444500000000005</v>
      </c>
      <c r="AH134" s="22">
        <v>18.803699999999999</v>
      </c>
      <c r="AI134" s="22">
        <v>-1.6125500000000001E-2</v>
      </c>
      <c r="AJ134" s="22">
        <v>124</v>
      </c>
      <c r="AK134" s="22">
        <v>0.52346800000000004</v>
      </c>
      <c r="AL134">
        <f t="shared" si="18"/>
        <v>19.908024691358026</v>
      </c>
      <c r="AM134">
        <f t="shared" si="19"/>
        <v>10.440664009259262</v>
      </c>
      <c r="AP134" s="9"/>
      <c r="AQ134" s="22">
        <v>1.0556000000000001</v>
      </c>
      <c r="AR134" s="22">
        <v>24.102399999999999</v>
      </c>
      <c r="AS134" s="22">
        <v>-1.5219099999999999E-2</v>
      </c>
      <c r="AT134" s="22">
        <v>124</v>
      </c>
      <c r="AU134" s="22">
        <v>1.0540799999999999</v>
      </c>
      <c r="AV134">
        <f t="shared" si="20"/>
        <v>18.789012345679012</v>
      </c>
      <c r="AW134">
        <f t="shared" si="21"/>
        <v>19.833681432098768</v>
      </c>
      <c r="AX134" s="9"/>
      <c r="AY134" s="22">
        <v>0.52444500000000005</v>
      </c>
      <c r="AZ134" s="22">
        <v>27.6798</v>
      </c>
      <c r="BA134" s="22">
        <v>-1.6134599999999999E-2</v>
      </c>
      <c r="BB134" s="22">
        <v>124</v>
      </c>
      <c r="BC134" s="22">
        <v>0.52380400000000005</v>
      </c>
      <c r="BD134">
        <f t="shared" si="22"/>
        <v>19.91925925925926</v>
      </c>
      <c r="BE134">
        <f t="shared" si="23"/>
        <v>10.446555922222224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6.3532000000000002</v>
      </c>
      <c r="I135" s="22">
        <v>-1.53198E-2</v>
      </c>
      <c r="J135" s="22">
        <v>125</v>
      </c>
      <c r="K135" s="22">
        <v>1.0498000000000001</v>
      </c>
      <c r="L135">
        <f t="shared" si="12"/>
        <v>18.91333333333333</v>
      </c>
      <c r="M135">
        <f t="shared" si="13"/>
        <v>19.869780599999999</v>
      </c>
      <c r="N135" s="9"/>
      <c r="O135" s="22">
        <v>0.52947999999999995</v>
      </c>
      <c r="P135" s="22">
        <v>9.9306800000000006</v>
      </c>
      <c r="Q135" s="22">
        <v>-1.6149899999999998E-2</v>
      </c>
      <c r="R135" s="22">
        <v>125</v>
      </c>
      <c r="S135" s="22">
        <v>0.52877799999999997</v>
      </c>
      <c r="T135">
        <f t="shared" si="14"/>
        <v>19.938148148148144</v>
      </c>
      <c r="U135">
        <f t="shared" si="15"/>
        <v>10.556850681481478</v>
      </c>
      <c r="X135" s="9"/>
      <c r="Y135" s="22">
        <v>1.05057</v>
      </c>
      <c r="Z135" s="22">
        <v>15.2362</v>
      </c>
      <c r="AA135" s="22">
        <v>-1.52344E-2</v>
      </c>
      <c r="AB135" s="22">
        <v>125</v>
      </c>
      <c r="AC135" s="22">
        <v>1.0488900000000001</v>
      </c>
      <c r="AD135">
        <f t="shared" si="16"/>
        <v>18.8079012345679</v>
      </c>
      <c r="AE135">
        <f t="shared" si="17"/>
        <v>19.759016799999998</v>
      </c>
      <c r="AF135" s="9"/>
      <c r="AG135" s="22">
        <v>0.52947999999999995</v>
      </c>
      <c r="AH135" s="22">
        <v>18.813700000000001</v>
      </c>
      <c r="AI135" s="22">
        <v>-1.61163E-2</v>
      </c>
      <c r="AJ135" s="22">
        <v>125</v>
      </c>
      <c r="AK135" s="22">
        <v>0.52877799999999997</v>
      </c>
      <c r="AL135">
        <f t="shared" si="18"/>
        <v>19.896666666666668</v>
      </c>
      <c r="AM135">
        <f t="shared" si="19"/>
        <v>10.534887066666666</v>
      </c>
      <c r="AP135" s="9"/>
      <c r="AQ135" s="22">
        <v>1.05057</v>
      </c>
      <c r="AR135" s="22">
        <v>24.112400000000001</v>
      </c>
      <c r="AS135" s="22">
        <v>-1.52283E-2</v>
      </c>
      <c r="AT135" s="22">
        <v>125</v>
      </c>
      <c r="AU135" s="22">
        <v>1.0491900000000001</v>
      </c>
      <c r="AV135">
        <f t="shared" si="20"/>
        <v>18.80037037037037</v>
      </c>
      <c r="AW135">
        <f t="shared" si="21"/>
        <v>19.7511051</v>
      </c>
      <c r="AX135" s="9"/>
      <c r="AY135" s="22">
        <v>0.52947999999999995</v>
      </c>
      <c r="AZ135" s="22">
        <v>27.689900000000002</v>
      </c>
      <c r="BA135" s="22">
        <v>-1.6125500000000001E-2</v>
      </c>
      <c r="BB135" s="22">
        <v>125</v>
      </c>
      <c r="BC135" s="22">
        <v>0.52880899999999997</v>
      </c>
      <c r="BD135">
        <f t="shared" si="22"/>
        <v>19.908024691358026</v>
      </c>
      <c r="BE135">
        <f t="shared" si="23"/>
        <v>10.540900913580247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6.36327</v>
      </c>
      <c r="I136" s="22">
        <v>-1.53259E-2</v>
      </c>
      <c r="J136" s="22">
        <v>126</v>
      </c>
      <c r="K136" s="22">
        <v>1.0446200000000001</v>
      </c>
      <c r="L136">
        <f t="shared" si="12"/>
        <v>18.920864197530861</v>
      </c>
      <c r="M136">
        <f t="shared" si="13"/>
        <v>19.782331144444441</v>
      </c>
      <c r="N136" s="9"/>
      <c r="O136" s="22">
        <v>0.53451499999999996</v>
      </c>
      <c r="P136" s="22">
        <v>9.9407499999999995</v>
      </c>
      <c r="Q136" s="22">
        <v>-1.6140700000000001E-2</v>
      </c>
      <c r="R136" s="22">
        <v>126</v>
      </c>
      <c r="S136" s="22">
        <v>0.53381299999999998</v>
      </c>
      <c r="T136">
        <f t="shared" si="14"/>
        <v>19.92679012345679</v>
      </c>
      <c r="U136">
        <f t="shared" si="15"/>
        <v>10.651168222839505</v>
      </c>
      <c r="X136" s="9"/>
      <c r="Y136" s="22">
        <v>1.0455300000000001</v>
      </c>
      <c r="Z136" s="22">
        <v>15.2463</v>
      </c>
      <c r="AA136" s="22">
        <v>-1.52435E-2</v>
      </c>
      <c r="AB136" s="22">
        <v>126</v>
      </c>
      <c r="AC136" s="22">
        <v>1.0437000000000001</v>
      </c>
      <c r="AD136">
        <f t="shared" si="16"/>
        <v>18.819135802469134</v>
      </c>
      <c r="AE136">
        <f t="shared" si="17"/>
        <v>19.675971055555554</v>
      </c>
      <c r="AF136" s="9"/>
      <c r="AG136" s="22">
        <v>0.53451499999999996</v>
      </c>
      <c r="AH136" s="22">
        <v>18.823799999999999</v>
      </c>
      <c r="AI136" s="22">
        <v>-1.6107199999999999E-2</v>
      </c>
      <c r="AJ136" s="22">
        <v>126</v>
      </c>
      <c r="AK136" s="22">
        <v>0.53387499999999999</v>
      </c>
      <c r="AL136">
        <f t="shared" si="18"/>
        <v>19.885432098765428</v>
      </c>
      <c r="AM136">
        <f t="shared" si="19"/>
        <v>10.629061738271602</v>
      </c>
      <c r="AP136" s="9"/>
      <c r="AQ136" s="22">
        <v>1.0455300000000001</v>
      </c>
      <c r="AR136" s="22">
        <v>24.122499999999999</v>
      </c>
      <c r="AS136" s="22">
        <v>-1.52374E-2</v>
      </c>
      <c r="AT136" s="22">
        <v>126</v>
      </c>
      <c r="AU136" s="22">
        <v>1.0440100000000001</v>
      </c>
      <c r="AV136">
        <f t="shared" si="20"/>
        <v>18.811604938271604</v>
      </c>
      <c r="AW136">
        <f t="shared" si="21"/>
        <v>19.668097311111111</v>
      </c>
      <c r="AX136" s="9"/>
      <c r="AY136" s="22">
        <v>0.53451499999999996</v>
      </c>
      <c r="AZ136" s="22">
        <v>27.7</v>
      </c>
      <c r="BA136" s="22">
        <v>-1.61163E-2</v>
      </c>
      <c r="BB136" s="22">
        <v>126</v>
      </c>
      <c r="BC136" s="22">
        <v>0.53381299999999998</v>
      </c>
      <c r="BD136">
        <f t="shared" si="22"/>
        <v>19.896666666666668</v>
      </c>
      <c r="BE136">
        <f t="shared" si="23"/>
        <v>10.635066783333334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6.3733399999999998</v>
      </c>
      <c r="I137" s="22">
        <v>-1.5332E-2</v>
      </c>
      <c r="J137" s="22">
        <v>127</v>
      </c>
      <c r="K137" s="22">
        <v>1.0394300000000001</v>
      </c>
      <c r="L137">
        <f t="shared" si="12"/>
        <v>18.928395061728395</v>
      </c>
      <c r="M137">
        <f t="shared" si="13"/>
        <v>19.694995061728395</v>
      </c>
      <c r="N137" s="9"/>
      <c r="O137" s="22">
        <v>0.539551</v>
      </c>
      <c r="P137" s="22">
        <v>9.9508299999999998</v>
      </c>
      <c r="Q137" s="22">
        <v>-1.6131599999999999E-2</v>
      </c>
      <c r="R137" s="22">
        <v>127</v>
      </c>
      <c r="S137" s="22">
        <v>0.53884900000000002</v>
      </c>
      <c r="T137">
        <f t="shared" si="14"/>
        <v>19.915555555555553</v>
      </c>
      <c r="U137">
        <f t="shared" si="15"/>
        <v>10.745457915555555</v>
      </c>
      <c r="X137" s="9"/>
      <c r="Y137" s="22">
        <v>1.0405</v>
      </c>
      <c r="Z137" s="22">
        <v>15.256399999999999</v>
      </c>
      <c r="AA137" s="22">
        <v>-1.5252699999999999E-2</v>
      </c>
      <c r="AB137" s="22">
        <v>127</v>
      </c>
      <c r="AC137" s="22">
        <v>1.03912</v>
      </c>
      <c r="AD137">
        <f t="shared" si="16"/>
        <v>18.830493827160492</v>
      </c>
      <c r="AE137">
        <f t="shared" si="17"/>
        <v>19.593128827160491</v>
      </c>
      <c r="AF137" s="9"/>
      <c r="AG137" s="22">
        <v>0.539551</v>
      </c>
      <c r="AH137" s="22">
        <v>18.8339</v>
      </c>
      <c r="AI137" s="22">
        <v>-1.6098000000000001E-2</v>
      </c>
      <c r="AJ137" s="22">
        <v>127</v>
      </c>
      <c r="AK137" s="22">
        <v>0.53903199999999996</v>
      </c>
      <c r="AL137">
        <f t="shared" si="18"/>
        <v>19.874074074074077</v>
      </c>
      <c r="AM137">
        <f t="shared" si="19"/>
        <v>10.723076540740742</v>
      </c>
      <c r="AP137" s="9"/>
      <c r="AQ137" s="22">
        <v>1.0405</v>
      </c>
      <c r="AR137" s="22">
        <v>24.1326</v>
      </c>
      <c r="AS137" s="22">
        <v>-1.52435E-2</v>
      </c>
      <c r="AT137" s="22">
        <v>127</v>
      </c>
      <c r="AU137" s="22">
        <v>1.03912</v>
      </c>
      <c r="AV137">
        <f t="shared" si="20"/>
        <v>18.819135802469134</v>
      </c>
      <c r="AW137">
        <f t="shared" si="21"/>
        <v>19.581310802469133</v>
      </c>
      <c r="AX137" s="9"/>
      <c r="AY137" s="22">
        <v>0.539551</v>
      </c>
      <c r="AZ137" s="22">
        <v>27.710100000000001</v>
      </c>
      <c r="BA137" s="22">
        <v>-1.6110200000000002E-2</v>
      </c>
      <c r="BB137" s="22">
        <v>127</v>
      </c>
      <c r="BC137" s="22">
        <v>0.538879</v>
      </c>
      <c r="BD137">
        <f t="shared" si="22"/>
        <v>19.889135802469134</v>
      </c>
      <c r="BE137">
        <f t="shared" si="23"/>
        <v>10.731203111358024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6.3834099999999996</v>
      </c>
      <c r="I138" s="22">
        <v>-1.5341199999999999E-2</v>
      </c>
      <c r="J138" s="22">
        <v>128</v>
      </c>
      <c r="K138" s="22">
        <v>1.0339400000000001</v>
      </c>
      <c r="L138">
        <f t="shared" si="12"/>
        <v>18.939753086419749</v>
      </c>
      <c r="M138">
        <f t="shared" si="13"/>
        <v>19.611356730864195</v>
      </c>
      <c r="N138" s="9"/>
      <c r="O138" s="22">
        <v>0.54458600000000001</v>
      </c>
      <c r="P138" s="22">
        <v>9.9609000000000005</v>
      </c>
      <c r="Q138" s="22">
        <v>-1.6119399999999999E-2</v>
      </c>
      <c r="R138" s="22">
        <v>128</v>
      </c>
      <c r="S138" s="22">
        <v>0.54397600000000002</v>
      </c>
      <c r="T138">
        <f t="shared" si="14"/>
        <v>19.900493827160492</v>
      </c>
      <c r="U138">
        <f t="shared" si="15"/>
        <v>10.837530331358025</v>
      </c>
      <c r="X138" s="9"/>
      <c r="Y138" s="22">
        <v>1.03546</v>
      </c>
      <c r="Z138" s="22">
        <v>15.266500000000001</v>
      </c>
      <c r="AA138" s="22">
        <v>-1.5261800000000001E-2</v>
      </c>
      <c r="AB138" s="22">
        <v>128</v>
      </c>
      <c r="AC138" s="22">
        <v>1.03485</v>
      </c>
      <c r="AD138">
        <f t="shared" si="16"/>
        <v>18.841728395061729</v>
      </c>
      <c r="AE138">
        <f t="shared" si="17"/>
        <v>19.50985608395062</v>
      </c>
      <c r="AF138" s="9"/>
      <c r="AG138" s="22">
        <v>0.54458600000000001</v>
      </c>
      <c r="AH138" s="22">
        <v>18.843900000000001</v>
      </c>
      <c r="AI138" s="22">
        <v>-1.60889E-2</v>
      </c>
      <c r="AJ138" s="22">
        <v>128</v>
      </c>
      <c r="AK138" s="22">
        <v>0.54391500000000004</v>
      </c>
      <c r="AL138">
        <f t="shared" si="18"/>
        <v>19.862839506172836</v>
      </c>
      <c r="AM138">
        <f t="shared" si="19"/>
        <v>10.81702431530864</v>
      </c>
      <c r="AP138" s="9"/>
      <c r="AQ138" s="22">
        <v>1.03546</v>
      </c>
      <c r="AR138" s="22">
        <v>24.142600000000002</v>
      </c>
      <c r="AS138" s="22">
        <v>-1.5252699999999999E-2</v>
      </c>
      <c r="AT138" s="22">
        <v>128</v>
      </c>
      <c r="AU138" s="22">
        <v>1.0345500000000001</v>
      </c>
      <c r="AV138">
        <f t="shared" si="20"/>
        <v>18.830493827160492</v>
      </c>
      <c r="AW138">
        <f t="shared" si="21"/>
        <v>19.498223138271605</v>
      </c>
      <c r="AX138" s="9"/>
      <c r="AY138" s="22">
        <v>0.54458600000000001</v>
      </c>
      <c r="AZ138" s="22">
        <v>27.720099999999999</v>
      </c>
      <c r="BA138" s="22">
        <v>-1.6107199999999999E-2</v>
      </c>
      <c r="BB138" s="22">
        <v>128</v>
      </c>
      <c r="BC138" s="22">
        <v>0.54394500000000001</v>
      </c>
      <c r="BD138">
        <f t="shared" si="22"/>
        <v>19.885432098765428</v>
      </c>
      <c r="BE138">
        <f t="shared" si="23"/>
        <v>10.829327924938269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6.3934800000000003</v>
      </c>
      <c r="I139" s="22">
        <v>-1.53534E-2</v>
      </c>
      <c r="J139" s="22">
        <v>129</v>
      </c>
      <c r="K139" s="22">
        <v>1.0293600000000001</v>
      </c>
      <c r="L139">
        <f t="shared" si="12"/>
        <v>18.954814814814814</v>
      </c>
      <c r="M139">
        <f t="shared" si="13"/>
        <v>19.531609829629627</v>
      </c>
      <c r="N139" s="9"/>
      <c r="O139" s="22">
        <v>0.54962200000000005</v>
      </c>
      <c r="P139" s="22">
        <v>9.9709699999999994</v>
      </c>
      <c r="Q139" s="22">
        <v>-1.6107199999999999E-2</v>
      </c>
      <c r="R139" s="22">
        <v>129</v>
      </c>
      <c r="S139" s="22">
        <v>0.54928600000000005</v>
      </c>
      <c r="T139">
        <f t="shared" si="14"/>
        <v>19.885432098765428</v>
      </c>
      <c r="U139">
        <f t="shared" si="15"/>
        <v>10.929470960987652</v>
      </c>
      <c r="X139" s="9"/>
      <c r="Y139" s="22">
        <v>1.03043</v>
      </c>
      <c r="Z139" s="22">
        <v>15.2765</v>
      </c>
      <c r="AA139" s="22">
        <v>-1.5273999999999999E-2</v>
      </c>
      <c r="AB139" s="22">
        <v>129</v>
      </c>
      <c r="AC139" s="22">
        <v>1.02905</v>
      </c>
      <c r="AD139">
        <f t="shared" si="16"/>
        <v>18.85679012345679</v>
      </c>
      <c r="AE139">
        <f t="shared" si="17"/>
        <v>19.43060224691358</v>
      </c>
      <c r="AF139" s="9"/>
      <c r="AG139" s="22">
        <v>0.54962200000000005</v>
      </c>
      <c r="AH139" s="22">
        <v>18.853999999999999</v>
      </c>
      <c r="AI139" s="22">
        <v>-1.6079699999999999E-2</v>
      </c>
      <c r="AJ139" s="22">
        <v>129</v>
      </c>
      <c r="AK139" s="22">
        <v>0.54888899999999996</v>
      </c>
      <c r="AL139">
        <f t="shared" si="18"/>
        <v>19.851481481481482</v>
      </c>
      <c r="AM139">
        <f t="shared" si="19"/>
        <v>10.910810954814815</v>
      </c>
      <c r="AP139" s="9"/>
      <c r="AQ139" s="22">
        <v>1.03043</v>
      </c>
      <c r="AR139" s="22">
        <v>24.152699999999999</v>
      </c>
      <c r="AS139" s="22">
        <v>-1.5261800000000001E-2</v>
      </c>
      <c r="AT139" s="22">
        <v>129</v>
      </c>
      <c r="AU139" s="22">
        <v>1.0293600000000001</v>
      </c>
      <c r="AV139">
        <f t="shared" si="20"/>
        <v>18.841728395061729</v>
      </c>
      <c r="AW139">
        <f t="shared" si="21"/>
        <v>19.415082190123456</v>
      </c>
      <c r="AX139" s="9"/>
      <c r="AY139" s="22">
        <v>0.54962200000000005</v>
      </c>
      <c r="AZ139" s="22">
        <v>27.7302</v>
      </c>
      <c r="BA139" s="22">
        <v>-1.6098000000000001E-2</v>
      </c>
      <c r="BB139" s="22">
        <v>129</v>
      </c>
      <c r="BC139" s="22">
        <v>0.54898100000000005</v>
      </c>
      <c r="BD139">
        <f t="shared" si="22"/>
        <v>19.874074074074077</v>
      </c>
      <c r="BE139">
        <f t="shared" si="23"/>
        <v>10.923228340740744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6.4035500000000001</v>
      </c>
      <c r="I140" s="22">
        <v>-1.53595E-2</v>
      </c>
      <c r="J140" s="22">
        <v>130</v>
      </c>
      <c r="K140" s="22">
        <v>1.0244800000000001</v>
      </c>
      <c r="L140">
        <f t="shared" ref="L140:L203" si="24">-I140/$F$2*1000</f>
        <v>18.962345679012344</v>
      </c>
      <c r="M140">
        <f t="shared" ref="M140:M203" si="25">L140*G140</f>
        <v>19.443799635802467</v>
      </c>
      <c r="N140" s="9"/>
      <c r="O140" s="22">
        <v>0.55465699999999996</v>
      </c>
      <c r="P140" s="22">
        <v>9.9810400000000001</v>
      </c>
      <c r="Q140" s="22">
        <v>-1.6095000000000002E-2</v>
      </c>
      <c r="R140" s="22">
        <v>130</v>
      </c>
      <c r="S140" s="22">
        <v>0.55401599999999995</v>
      </c>
      <c r="T140">
        <f t="shared" ref="T140:T203" si="26">-Q140/$F$2*1000</f>
        <v>19.87037037037037</v>
      </c>
      <c r="U140">
        <f t="shared" ref="U140:U203" si="27">T140*O140</f>
        <v>11.021240018518517</v>
      </c>
      <c r="X140" s="9"/>
      <c r="Y140" s="22">
        <v>1.02539</v>
      </c>
      <c r="Z140" s="22">
        <v>15.2866</v>
      </c>
      <c r="AA140" s="22">
        <v>-1.52832E-2</v>
      </c>
      <c r="AB140" s="22">
        <v>130</v>
      </c>
      <c r="AC140" s="22">
        <v>1.02478</v>
      </c>
      <c r="AD140">
        <f t="shared" ref="AD140:AD203" si="28">-AA140/$F$2*1000</f>
        <v>18.868148148148148</v>
      </c>
      <c r="AE140">
        <f t="shared" ref="AE140:AE203" si="29">AD140*Y140</f>
        <v>19.34721042962963</v>
      </c>
      <c r="AF140" s="9"/>
      <c r="AG140" s="22">
        <v>0.55465699999999996</v>
      </c>
      <c r="AH140" s="22">
        <v>18.864100000000001</v>
      </c>
      <c r="AI140" s="22">
        <v>-1.6070600000000001E-2</v>
      </c>
      <c r="AJ140" s="22">
        <v>130</v>
      </c>
      <c r="AK140" s="22">
        <v>0.55383300000000002</v>
      </c>
      <c r="AL140">
        <f t="shared" ref="AL140:AL203" si="30">-AI140/$F$2*1000</f>
        <v>19.840246913580245</v>
      </c>
      <c r="AM140">
        <f t="shared" ref="AM140:AM203" si="31">AL140*AG140</f>
        <v>11.004531832345677</v>
      </c>
      <c r="AP140" s="9"/>
      <c r="AQ140" s="22">
        <v>1.02539</v>
      </c>
      <c r="AR140" s="22">
        <v>24.162800000000001</v>
      </c>
      <c r="AS140" s="22">
        <v>-1.5271E-2</v>
      </c>
      <c r="AT140" s="22">
        <v>130</v>
      </c>
      <c r="AU140" s="22">
        <v>1.02417</v>
      </c>
      <c r="AV140">
        <f t="shared" ref="AV140:AV203" si="32">-AS140/$F$2*1000</f>
        <v>18.853086419753083</v>
      </c>
      <c r="AW140">
        <f t="shared" ref="AW140:AW203" si="33">AV140*AQ140</f>
        <v>19.331766283950614</v>
      </c>
      <c r="AX140" s="9"/>
      <c r="AY140" s="22">
        <v>0.55465699999999996</v>
      </c>
      <c r="AZ140" s="22">
        <v>27.740300000000001</v>
      </c>
      <c r="BA140" s="22">
        <v>-1.60889E-2</v>
      </c>
      <c r="BB140" s="22">
        <v>130</v>
      </c>
      <c r="BC140" s="22">
        <v>0.55383300000000002</v>
      </c>
      <c r="BD140">
        <f t="shared" ref="BD140:BD203" si="34">-BA140/$F$2*1000</f>
        <v>19.862839506172836</v>
      </c>
      <c r="BE140">
        <f t="shared" ref="BE140:BE203" si="35">BD140*AY140</f>
        <v>11.017062971975307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6.4136300000000004</v>
      </c>
      <c r="I141" s="22">
        <v>-1.5368700000000001E-2</v>
      </c>
      <c r="J141" s="22">
        <v>131</v>
      </c>
      <c r="K141" s="22">
        <v>1.01929</v>
      </c>
      <c r="L141">
        <f t="shared" si="24"/>
        <v>18.973703703703706</v>
      </c>
      <c r="M141">
        <f t="shared" si="25"/>
        <v>19.360008311111113</v>
      </c>
      <c r="N141" s="9"/>
      <c r="O141" s="22">
        <v>0.55969199999999997</v>
      </c>
      <c r="P141" s="22">
        <v>9.9911100000000008</v>
      </c>
      <c r="Q141" s="22">
        <v>-1.6085800000000001E-2</v>
      </c>
      <c r="R141" s="22">
        <v>131</v>
      </c>
      <c r="S141" s="22">
        <v>0.55896000000000001</v>
      </c>
      <c r="T141">
        <f t="shared" si="26"/>
        <v>19.859012345679012</v>
      </c>
      <c r="U141">
        <f t="shared" si="27"/>
        <v>11.114930337777777</v>
      </c>
      <c r="X141" s="9"/>
      <c r="Y141" s="22">
        <v>1.0203599999999999</v>
      </c>
      <c r="Z141" s="22">
        <v>15.2967</v>
      </c>
      <c r="AA141" s="22">
        <v>-1.5292399999999999E-2</v>
      </c>
      <c r="AB141" s="22">
        <v>131</v>
      </c>
      <c r="AC141" s="22">
        <v>1.01959</v>
      </c>
      <c r="AD141">
        <f t="shared" si="28"/>
        <v>18.879506172839505</v>
      </c>
      <c r="AE141">
        <f t="shared" si="29"/>
        <v>19.263892918518515</v>
      </c>
      <c r="AF141" s="9"/>
      <c r="AG141" s="22">
        <v>0.55969199999999997</v>
      </c>
      <c r="AH141" s="22">
        <v>18.874199999999998</v>
      </c>
      <c r="AI141" s="22">
        <v>-1.60614E-2</v>
      </c>
      <c r="AJ141" s="22">
        <v>131</v>
      </c>
      <c r="AK141" s="22">
        <v>0.55896000000000001</v>
      </c>
      <c r="AL141">
        <f t="shared" si="30"/>
        <v>19.828888888888891</v>
      </c>
      <c r="AM141">
        <f t="shared" si="31"/>
        <v>11.098070480000001</v>
      </c>
      <c r="AP141" s="9"/>
      <c r="AQ141" s="22">
        <v>1.0203599999999999</v>
      </c>
      <c r="AR141" s="22">
        <v>24.172899999999998</v>
      </c>
      <c r="AS141" s="22">
        <v>-1.52832E-2</v>
      </c>
      <c r="AT141" s="22">
        <v>131</v>
      </c>
      <c r="AU141" s="22">
        <v>1.01959</v>
      </c>
      <c r="AV141">
        <f t="shared" si="32"/>
        <v>18.868148148148148</v>
      </c>
      <c r="AW141">
        <f t="shared" si="33"/>
        <v>19.252303644444442</v>
      </c>
      <c r="AX141" s="9"/>
      <c r="AY141" s="22">
        <v>0.55969199999999997</v>
      </c>
      <c r="AZ141" s="22">
        <v>27.750299999999999</v>
      </c>
      <c r="BA141" s="22">
        <v>-1.6079699999999999E-2</v>
      </c>
      <c r="BB141" s="22">
        <v>131</v>
      </c>
      <c r="BC141" s="22">
        <v>0.55898999999999999</v>
      </c>
      <c r="BD141">
        <f t="shared" si="34"/>
        <v>19.851481481481482</v>
      </c>
      <c r="BE141">
        <f t="shared" si="35"/>
        <v>11.110715373333333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6.4237000000000002</v>
      </c>
      <c r="I142" s="22">
        <v>-1.5380899999999999E-2</v>
      </c>
      <c r="J142" s="22">
        <v>132</v>
      </c>
      <c r="K142" s="22">
        <v>1.0144</v>
      </c>
      <c r="L142">
        <f t="shared" si="24"/>
        <v>18.988765432098763</v>
      </c>
      <c r="M142">
        <f t="shared" si="25"/>
        <v>19.279673318518515</v>
      </c>
      <c r="N142" s="9"/>
      <c r="O142" s="22">
        <v>0.56472800000000001</v>
      </c>
      <c r="P142" s="22">
        <v>10.001200000000001</v>
      </c>
      <c r="Q142" s="22">
        <v>-1.6076699999999999E-2</v>
      </c>
      <c r="R142" s="22">
        <v>132</v>
      </c>
      <c r="S142" s="22">
        <v>0.56396500000000005</v>
      </c>
      <c r="T142">
        <f t="shared" si="26"/>
        <v>19.847777777777775</v>
      </c>
      <c r="U142">
        <f t="shared" si="27"/>
        <v>11.208595848888887</v>
      </c>
      <c r="X142" s="9"/>
      <c r="Y142" s="22">
        <v>1.01532</v>
      </c>
      <c r="Z142" s="22">
        <v>15.306699999999999</v>
      </c>
      <c r="AA142" s="22">
        <v>-1.5301500000000001E-2</v>
      </c>
      <c r="AB142" s="22">
        <v>132</v>
      </c>
      <c r="AC142" s="22">
        <v>1.0141</v>
      </c>
      <c r="AD142">
        <f t="shared" si="28"/>
        <v>18.890740740740739</v>
      </c>
      <c r="AE142">
        <f t="shared" si="29"/>
        <v>19.180146888888888</v>
      </c>
      <c r="AF142" s="9"/>
      <c r="AG142" s="22">
        <v>0.56472800000000001</v>
      </c>
      <c r="AH142" s="22">
        <v>18.8842</v>
      </c>
      <c r="AI142" s="22">
        <v>-1.6055300000000002E-2</v>
      </c>
      <c r="AJ142" s="22">
        <v>132</v>
      </c>
      <c r="AK142" s="22">
        <v>0.56381199999999998</v>
      </c>
      <c r="AL142">
        <f t="shared" si="30"/>
        <v>19.821358024691357</v>
      </c>
      <c r="AM142">
        <f t="shared" si="31"/>
        <v>11.1936758745679</v>
      </c>
      <c r="AP142" s="9"/>
      <c r="AQ142" s="22">
        <v>1.01532</v>
      </c>
      <c r="AR142" s="22">
        <v>24.1829</v>
      </c>
      <c r="AS142" s="22">
        <v>-1.5292399999999999E-2</v>
      </c>
      <c r="AT142" s="22">
        <v>132</v>
      </c>
      <c r="AU142" s="22">
        <v>1.01471</v>
      </c>
      <c r="AV142">
        <f t="shared" si="32"/>
        <v>18.879506172839505</v>
      </c>
      <c r="AW142">
        <f t="shared" si="33"/>
        <v>19.168740207407406</v>
      </c>
      <c r="AX142" s="9"/>
      <c r="AY142" s="22">
        <v>0.56472800000000001</v>
      </c>
      <c r="AZ142" s="22">
        <v>27.760400000000001</v>
      </c>
      <c r="BA142" s="22">
        <v>-1.6067499999999998E-2</v>
      </c>
      <c r="BB142" s="22">
        <v>132</v>
      </c>
      <c r="BC142" s="22">
        <v>0.56390399999999996</v>
      </c>
      <c r="BD142">
        <f t="shared" si="34"/>
        <v>19.836419753086417</v>
      </c>
      <c r="BE142">
        <f t="shared" si="35"/>
        <v>11.202181654320986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6.43377</v>
      </c>
      <c r="I143" s="22">
        <v>-1.5389999999999999E-2</v>
      </c>
      <c r="J143" s="22">
        <v>133</v>
      </c>
      <c r="K143" s="22">
        <v>1.00952</v>
      </c>
      <c r="L143">
        <f t="shared" si="24"/>
        <v>18.999999999999996</v>
      </c>
      <c r="M143">
        <f t="shared" si="25"/>
        <v>19.195319999999999</v>
      </c>
      <c r="N143" s="9"/>
      <c r="O143" s="22">
        <v>0.56976300000000002</v>
      </c>
      <c r="P143" s="22">
        <v>10.0113</v>
      </c>
      <c r="Q143" s="22">
        <v>-1.6067499999999998E-2</v>
      </c>
      <c r="R143" s="22">
        <v>133</v>
      </c>
      <c r="S143" s="22">
        <v>0.56903099999999995</v>
      </c>
      <c r="T143">
        <f t="shared" si="26"/>
        <v>19.836419753086417</v>
      </c>
      <c r="U143">
        <f t="shared" si="27"/>
        <v>11.302058027777777</v>
      </c>
      <c r="X143" s="9"/>
      <c r="Y143" s="22">
        <v>1.0102800000000001</v>
      </c>
      <c r="Z143" s="22">
        <v>15.316800000000001</v>
      </c>
      <c r="AA143" s="22">
        <v>-1.53107E-2</v>
      </c>
      <c r="AB143" s="22">
        <v>133</v>
      </c>
      <c r="AC143" s="22">
        <v>1.00922</v>
      </c>
      <c r="AD143">
        <f t="shared" si="28"/>
        <v>18.9020987654321</v>
      </c>
      <c r="AE143">
        <f t="shared" si="29"/>
        <v>19.096412340740745</v>
      </c>
      <c r="AF143" s="9"/>
      <c r="AG143" s="22">
        <v>0.56976300000000002</v>
      </c>
      <c r="AH143" s="22">
        <v>18.894300000000001</v>
      </c>
      <c r="AI143" s="22">
        <v>-1.6046100000000001E-2</v>
      </c>
      <c r="AJ143" s="22">
        <v>133</v>
      </c>
      <c r="AK143" s="22">
        <v>0.56909200000000004</v>
      </c>
      <c r="AL143">
        <f t="shared" si="30"/>
        <v>19.810000000000002</v>
      </c>
      <c r="AM143">
        <f t="shared" si="31"/>
        <v>11.287005030000001</v>
      </c>
      <c r="AP143" s="9"/>
      <c r="AQ143" s="22">
        <v>1.0102800000000001</v>
      </c>
      <c r="AR143" s="22">
        <v>24.193000000000001</v>
      </c>
      <c r="AS143" s="22">
        <v>-1.52985E-2</v>
      </c>
      <c r="AT143" s="22">
        <v>133</v>
      </c>
      <c r="AU143" s="22">
        <v>1.00952</v>
      </c>
      <c r="AV143">
        <f t="shared" si="32"/>
        <v>18.887037037037036</v>
      </c>
      <c r="AW143">
        <f t="shared" si="33"/>
        <v>19.081195777777779</v>
      </c>
      <c r="AX143" s="9"/>
      <c r="AY143" s="22">
        <v>0.56976300000000002</v>
      </c>
      <c r="AZ143" s="22">
        <v>27.770499999999998</v>
      </c>
      <c r="BA143" s="22">
        <v>-1.6058300000000001E-2</v>
      </c>
      <c r="BB143" s="22">
        <v>133</v>
      </c>
      <c r="BC143" s="22">
        <v>0.56906100000000004</v>
      </c>
      <c r="BD143">
        <f t="shared" si="34"/>
        <v>19.82506172839506</v>
      </c>
      <c r="BE143">
        <f t="shared" si="35"/>
        <v>11.295586645555554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6.4438399999999998</v>
      </c>
      <c r="I144" s="22">
        <v>-1.54022E-2</v>
      </c>
      <c r="J144" s="22">
        <v>134</v>
      </c>
      <c r="K144" s="22">
        <v>1.00464</v>
      </c>
      <c r="L144">
        <f t="shared" si="24"/>
        <v>19.015061728395061</v>
      </c>
      <c r="M144">
        <f t="shared" si="25"/>
        <v>19.114890802469134</v>
      </c>
      <c r="N144" s="9"/>
      <c r="O144" s="22">
        <v>0.57479899999999995</v>
      </c>
      <c r="P144" s="22">
        <v>10.0213</v>
      </c>
      <c r="Q144" s="22">
        <v>-1.6058300000000001E-2</v>
      </c>
      <c r="R144" s="22">
        <v>134</v>
      </c>
      <c r="S144" s="22">
        <v>0.57400499999999999</v>
      </c>
      <c r="T144">
        <f t="shared" si="26"/>
        <v>19.82506172839506</v>
      </c>
      <c r="U144">
        <f t="shared" si="27"/>
        <v>11.39542565641975</v>
      </c>
      <c r="X144" s="9"/>
      <c r="Y144" s="22">
        <v>1.00525</v>
      </c>
      <c r="Z144" s="22">
        <v>15.3269</v>
      </c>
      <c r="AA144" s="22">
        <v>-1.53168E-2</v>
      </c>
      <c r="AB144" s="22">
        <v>134</v>
      </c>
      <c r="AC144" s="22">
        <v>1.0037199999999999</v>
      </c>
      <c r="AD144">
        <f t="shared" si="28"/>
        <v>18.909629629629627</v>
      </c>
      <c r="AE144">
        <f t="shared" si="29"/>
        <v>19.008905185185181</v>
      </c>
      <c r="AF144" s="9"/>
      <c r="AG144" s="22">
        <v>0.57479899999999995</v>
      </c>
      <c r="AH144" s="22">
        <v>18.904399999999999</v>
      </c>
      <c r="AI144" s="22">
        <v>-1.6039999999999999E-2</v>
      </c>
      <c r="AJ144" s="22">
        <v>134</v>
      </c>
      <c r="AK144" s="22">
        <v>0.57409699999999997</v>
      </c>
      <c r="AL144">
        <f t="shared" si="30"/>
        <v>19.802469135802465</v>
      </c>
      <c r="AM144">
        <f t="shared" si="31"/>
        <v>11.38243945679012</v>
      </c>
      <c r="AP144" s="9"/>
      <c r="AQ144" s="22">
        <v>1.00525</v>
      </c>
      <c r="AR144" s="22">
        <v>24.203099999999999</v>
      </c>
      <c r="AS144" s="22">
        <v>-1.5307599999999999E-2</v>
      </c>
      <c r="AT144" s="22">
        <v>134</v>
      </c>
      <c r="AU144" s="22">
        <v>1.0043299999999999</v>
      </c>
      <c r="AV144">
        <f t="shared" si="32"/>
        <v>18.89827160493827</v>
      </c>
      <c r="AW144">
        <f t="shared" si="33"/>
        <v>18.997487530864195</v>
      </c>
      <c r="AX144" s="9"/>
      <c r="AY144" s="22">
        <v>0.57479899999999995</v>
      </c>
      <c r="AZ144" s="22">
        <v>27.7806</v>
      </c>
      <c r="BA144" s="22">
        <v>-1.60492E-2</v>
      </c>
      <c r="BB144" s="22">
        <v>134</v>
      </c>
      <c r="BC144" s="22">
        <v>0.57415799999999995</v>
      </c>
      <c r="BD144">
        <f t="shared" si="34"/>
        <v>19.813827160493826</v>
      </c>
      <c r="BE144">
        <f t="shared" si="35"/>
        <v>11.388968038024689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6.4539099999999996</v>
      </c>
      <c r="I145" s="22">
        <v>-1.54083E-2</v>
      </c>
      <c r="J145" s="22">
        <v>135</v>
      </c>
      <c r="K145" s="22">
        <v>0.99975599999999998</v>
      </c>
      <c r="L145">
        <f t="shared" si="24"/>
        <v>19.022592592592591</v>
      </c>
      <c r="M145">
        <f t="shared" si="25"/>
        <v>19.026587337037036</v>
      </c>
      <c r="N145" s="9"/>
      <c r="O145" s="22">
        <v>0.57983399999999996</v>
      </c>
      <c r="P145" s="22">
        <v>10.0314</v>
      </c>
      <c r="Q145" s="22">
        <v>-1.6052199999999999E-2</v>
      </c>
      <c r="R145" s="22">
        <v>135</v>
      </c>
      <c r="S145" s="22">
        <v>0.579071</v>
      </c>
      <c r="T145">
        <f t="shared" si="26"/>
        <v>19.817530864197529</v>
      </c>
      <c r="U145">
        <f t="shared" si="27"/>
        <v>11.49087819111111</v>
      </c>
      <c r="X145" s="9"/>
      <c r="Y145" s="22">
        <v>1.00021</v>
      </c>
      <c r="Z145" s="22">
        <v>15.337</v>
      </c>
      <c r="AA145" s="22">
        <v>-1.53259E-2</v>
      </c>
      <c r="AB145" s="22">
        <v>135</v>
      </c>
      <c r="AC145" s="22">
        <v>0.99945099999999998</v>
      </c>
      <c r="AD145">
        <f t="shared" si="28"/>
        <v>18.920864197530861</v>
      </c>
      <c r="AE145">
        <f t="shared" si="29"/>
        <v>18.924837579012344</v>
      </c>
      <c r="AF145" s="9"/>
      <c r="AG145" s="22">
        <v>0.57983399999999996</v>
      </c>
      <c r="AH145" s="22">
        <v>18.914400000000001</v>
      </c>
      <c r="AI145" s="22">
        <v>-1.6030900000000001E-2</v>
      </c>
      <c r="AJ145" s="22">
        <v>135</v>
      </c>
      <c r="AK145" s="22">
        <v>0.57919299999999996</v>
      </c>
      <c r="AL145">
        <f t="shared" si="30"/>
        <v>19.791234567901235</v>
      </c>
      <c r="AM145">
        <f t="shared" si="31"/>
        <v>11.475630704444443</v>
      </c>
      <c r="AP145" s="9"/>
      <c r="AQ145" s="22">
        <v>1.00021</v>
      </c>
      <c r="AR145" s="22">
        <v>24.213100000000001</v>
      </c>
      <c r="AS145" s="22">
        <v>-1.53168E-2</v>
      </c>
      <c r="AT145" s="22">
        <v>135</v>
      </c>
      <c r="AU145" s="22">
        <v>0.99914599999999998</v>
      </c>
      <c r="AV145">
        <f t="shared" si="32"/>
        <v>18.909629629629627</v>
      </c>
      <c r="AW145">
        <f t="shared" si="33"/>
        <v>18.913600651851851</v>
      </c>
      <c r="AX145" s="9"/>
      <c r="AY145" s="22">
        <v>0.57983399999999996</v>
      </c>
      <c r="AZ145" s="22">
        <v>27.790600000000001</v>
      </c>
      <c r="BA145" s="22">
        <v>-1.6043100000000001E-2</v>
      </c>
      <c r="BB145" s="22">
        <v>135</v>
      </c>
      <c r="BC145" s="22">
        <v>0.57922399999999996</v>
      </c>
      <c r="BD145">
        <f t="shared" si="34"/>
        <v>19.806296296296299</v>
      </c>
      <c r="BE145">
        <f t="shared" si="35"/>
        <v>11.484364006666668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6.4639800000000003</v>
      </c>
      <c r="I146" s="22">
        <v>-1.5417500000000001E-2</v>
      </c>
      <c r="J146" s="22">
        <v>136</v>
      </c>
      <c r="K146" s="22">
        <v>0.99395800000000001</v>
      </c>
      <c r="L146">
        <f t="shared" si="24"/>
        <v>19.033950617283949</v>
      </c>
      <c r="M146">
        <f t="shared" si="25"/>
        <v>18.942168907407407</v>
      </c>
      <c r="N146" s="9"/>
      <c r="O146" s="22">
        <v>0.58486899999999997</v>
      </c>
      <c r="P146" s="22">
        <v>10.041499999999999</v>
      </c>
      <c r="Q146" s="22">
        <v>-1.6043100000000001E-2</v>
      </c>
      <c r="R146" s="22">
        <v>136</v>
      </c>
      <c r="S146" s="22">
        <v>0.584198</v>
      </c>
      <c r="T146">
        <f t="shared" si="26"/>
        <v>19.806296296296299</v>
      </c>
      <c r="U146">
        <f t="shared" si="27"/>
        <v>11.58408870851852</v>
      </c>
      <c r="X146" s="9"/>
      <c r="Y146" s="22">
        <v>0.99517800000000001</v>
      </c>
      <c r="Z146" s="22">
        <v>15.347</v>
      </c>
      <c r="AA146" s="22">
        <v>-1.5335100000000001E-2</v>
      </c>
      <c r="AB146" s="22">
        <v>136</v>
      </c>
      <c r="AC146" s="22">
        <v>0.99426300000000001</v>
      </c>
      <c r="AD146">
        <f t="shared" si="28"/>
        <v>18.932222222222222</v>
      </c>
      <c r="AE146">
        <f t="shared" si="29"/>
        <v>18.840931046666668</v>
      </c>
      <c r="AF146" s="9"/>
      <c r="AG146" s="22">
        <v>0.58486899999999997</v>
      </c>
      <c r="AH146" s="22">
        <v>18.924499999999998</v>
      </c>
      <c r="AI146" s="22">
        <v>-1.60217E-2</v>
      </c>
      <c r="AJ146" s="22">
        <v>136</v>
      </c>
      <c r="AK146" s="22">
        <v>0.58398399999999995</v>
      </c>
      <c r="AL146">
        <f t="shared" si="30"/>
        <v>19.779876543209873</v>
      </c>
      <c r="AM146">
        <f t="shared" si="31"/>
        <v>11.568636613950614</v>
      </c>
      <c r="AP146" s="9"/>
      <c r="AQ146" s="22">
        <v>0.99517800000000001</v>
      </c>
      <c r="AR146" s="22">
        <v>24.223199999999999</v>
      </c>
      <c r="AS146" s="22">
        <v>-1.53259E-2</v>
      </c>
      <c r="AT146" s="22">
        <v>136</v>
      </c>
      <c r="AU146" s="22">
        <v>0.99365199999999998</v>
      </c>
      <c r="AV146">
        <f t="shared" si="32"/>
        <v>18.920864197530861</v>
      </c>
      <c r="AW146">
        <f t="shared" si="33"/>
        <v>18.829627790370367</v>
      </c>
      <c r="AX146" s="9"/>
      <c r="AY146" s="22">
        <v>0.58486899999999997</v>
      </c>
      <c r="AZ146" s="22">
        <v>27.800699999999999</v>
      </c>
      <c r="BA146" s="22">
        <v>-1.60339E-2</v>
      </c>
      <c r="BB146" s="22">
        <v>136</v>
      </c>
      <c r="BC146" s="22">
        <v>0.58425899999999997</v>
      </c>
      <c r="BD146">
        <f t="shared" si="34"/>
        <v>19.794938271604938</v>
      </c>
      <c r="BE146">
        <f t="shared" si="35"/>
        <v>11.577445751975308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6.4740500000000001</v>
      </c>
      <c r="I147" s="22">
        <v>-1.5423600000000001E-2</v>
      </c>
      <c r="J147" s="22">
        <v>137</v>
      </c>
      <c r="K147" s="22">
        <v>0.98907500000000004</v>
      </c>
      <c r="L147">
        <f t="shared" si="24"/>
        <v>19.041481481481483</v>
      </c>
      <c r="M147">
        <f t="shared" si="25"/>
        <v>18.853789598518521</v>
      </c>
      <c r="N147" s="9"/>
      <c r="O147" s="22">
        <v>0.58990500000000001</v>
      </c>
      <c r="P147" s="22">
        <v>10.051500000000001</v>
      </c>
      <c r="Q147" s="22">
        <v>-1.6030900000000001E-2</v>
      </c>
      <c r="R147" s="22">
        <v>137</v>
      </c>
      <c r="S147" s="22">
        <v>0.58953900000000004</v>
      </c>
      <c r="T147">
        <f t="shared" si="26"/>
        <v>19.791234567901235</v>
      </c>
      <c r="U147">
        <f t="shared" si="27"/>
        <v>11.674948227777778</v>
      </c>
      <c r="X147" s="9"/>
      <c r="Y147" s="22">
        <v>0.990143</v>
      </c>
      <c r="Z147" s="22">
        <v>15.357100000000001</v>
      </c>
      <c r="AA147" s="22">
        <v>-1.5341199999999999E-2</v>
      </c>
      <c r="AB147" s="22">
        <v>137</v>
      </c>
      <c r="AC147" s="22">
        <v>0.98907500000000004</v>
      </c>
      <c r="AD147">
        <f t="shared" si="28"/>
        <v>18.939753086419749</v>
      </c>
      <c r="AE147">
        <f t="shared" si="29"/>
        <v>18.753063940246911</v>
      </c>
      <c r="AF147" s="9"/>
      <c r="AG147" s="22">
        <v>0.58990500000000001</v>
      </c>
      <c r="AH147" s="22">
        <v>18.9346</v>
      </c>
      <c r="AI147" s="22">
        <v>-1.6009499999999999E-2</v>
      </c>
      <c r="AJ147" s="22">
        <v>137</v>
      </c>
      <c r="AK147" s="22">
        <v>0.58914200000000005</v>
      </c>
      <c r="AL147">
        <f t="shared" si="30"/>
        <v>19.764814814814812</v>
      </c>
      <c r="AM147">
        <f t="shared" si="31"/>
        <v>11.659363083333332</v>
      </c>
      <c r="AP147" s="9"/>
      <c r="AQ147" s="22">
        <v>0.990143</v>
      </c>
      <c r="AR147" s="22">
        <v>24.2333</v>
      </c>
      <c r="AS147" s="22">
        <v>-1.5335100000000001E-2</v>
      </c>
      <c r="AT147" s="22">
        <v>137</v>
      </c>
      <c r="AU147" s="22">
        <v>0.98938000000000004</v>
      </c>
      <c r="AV147">
        <f t="shared" si="32"/>
        <v>18.932222222222222</v>
      </c>
      <c r="AW147">
        <f t="shared" si="33"/>
        <v>18.745607307777778</v>
      </c>
      <c r="AX147" s="9"/>
      <c r="AY147" s="22">
        <v>0.58990500000000001</v>
      </c>
      <c r="AZ147" s="22">
        <v>27.8108</v>
      </c>
      <c r="BA147" s="22">
        <v>-1.60187E-2</v>
      </c>
      <c r="BB147" s="22">
        <v>137</v>
      </c>
      <c r="BC147" s="22">
        <v>0.58926400000000001</v>
      </c>
      <c r="BD147">
        <f t="shared" si="34"/>
        <v>19.77617283950617</v>
      </c>
      <c r="BE147">
        <f t="shared" si="35"/>
        <v>11.666063238888887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6.4841199999999999</v>
      </c>
      <c r="I148" s="22">
        <v>-1.5429699999999999E-2</v>
      </c>
      <c r="J148" s="22">
        <v>138</v>
      </c>
      <c r="K148" s="22">
        <v>0.98449699999999996</v>
      </c>
      <c r="L148">
        <f t="shared" si="24"/>
        <v>19.04901234567901</v>
      </c>
      <c r="M148">
        <f t="shared" si="25"/>
        <v>18.76531540481481</v>
      </c>
      <c r="N148" s="9"/>
      <c r="O148" s="22">
        <v>0.59494000000000002</v>
      </c>
      <c r="P148" s="22">
        <v>10.0616</v>
      </c>
      <c r="Q148" s="22">
        <v>-1.60217E-2</v>
      </c>
      <c r="R148" s="22">
        <v>138</v>
      </c>
      <c r="S148" s="22">
        <v>0.59417699999999996</v>
      </c>
      <c r="T148">
        <f t="shared" si="26"/>
        <v>19.779876543209873</v>
      </c>
      <c r="U148">
        <f t="shared" si="27"/>
        <v>11.767839750617282</v>
      </c>
      <c r="X148" s="9"/>
      <c r="Y148" s="22">
        <v>0.98510699999999995</v>
      </c>
      <c r="Z148" s="22">
        <v>15.3672</v>
      </c>
      <c r="AA148" s="22">
        <v>-1.5350300000000001E-2</v>
      </c>
      <c r="AB148" s="22">
        <v>138</v>
      </c>
      <c r="AC148" s="22">
        <v>0.98419199999999996</v>
      </c>
      <c r="AD148">
        <f t="shared" si="28"/>
        <v>18.95098765432099</v>
      </c>
      <c r="AE148">
        <f t="shared" si="29"/>
        <v>18.668750595185188</v>
      </c>
      <c r="AF148" s="9"/>
      <c r="AG148" s="22">
        <v>0.59494000000000002</v>
      </c>
      <c r="AH148" s="22">
        <v>18.944700000000001</v>
      </c>
      <c r="AI148" s="22">
        <v>-1.6000400000000001E-2</v>
      </c>
      <c r="AJ148" s="22">
        <v>138</v>
      </c>
      <c r="AK148" s="22">
        <v>0.59426900000000005</v>
      </c>
      <c r="AL148">
        <f t="shared" si="30"/>
        <v>19.753580246913579</v>
      </c>
      <c r="AM148">
        <f t="shared" si="31"/>
        <v>11.752195032098765</v>
      </c>
      <c r="AP148" s="9"/>
      <c r="AQ148" s="22">
        <v>0.98510699999999995</v>
      </c>
      <c r="AR148" s="22">
        <v>24.243300000000001</v>
      </c>
      <c r="AS148" s="22">
        <v>-1.5344200000000001E-2</v>
      </c>
      <c r="AT148" s="22">
        <v>138</v>
      </c>
      <c r="AU148" s="22">
        <v>0.98419199999999996</v>
      </c>
      <c r="AV148">
        <f t="shared" si="32"/>
        <v>18.943456790123456</v>
      </c>
      <c r="AW148">
        <f t="shared" si="33"/>
        <v>18.661331888148148</v>
      </c>
      <c r="AX148" s="9"/>
      <c r="AY148" s="22">
        <v>0.59494000000000002</v>
      </c>
      <c r="AZ148" s="22">
        <v>27.820799999999998</v>
      </c>
      <c r="BA148" s="22">
        <v>-1.6009499999999999E-2</v>
      </c>
      <c r="BB148" s="22">
        <v>138</v>
      </c>
      <c r="BC148" s="22">
        <v>0.59420799999999996</v>
      </c>
      <c r="BD148">
        <f t="shared" si="34"/>
        <v>19.764814814814812</v>
      </c>
      <c r="BE148">
        <f t="shared" si="35"/>
        <v>11.758878925925925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6.4941899999999997</v>
      </c>
      <c r="I149" s="22">
        <v>-1.5438800000000001E-2</v>
      </c>
      <c r="J149" s="22">
        <v>139</v>
      </c>
      <c r="K149" s="22">
        <v>0.97900399999999999</v>
      </c>
      <c r="L149">
        <f t="shared" si="24"/>
        <v>19.060246913580247</v>
      </c>
      <c r="M149">
        <f t="shared" si="25"/>
        <v>18.68041431308642</v>
      </c>
      <c r="N149" s="9"/>
      <c r="O149" s="22">
        <v>0.59997599999999995</v>
      </c>
      <c r="P149" s="22">
        <v>10.0717</v>
      </c>
      <c r="Q149" s="22">
        <v>-1.6009499999999999E-2</v>
      </c>
      <c r="R149" s="22">
        <v>139</v>
      </c>
      <c r="S149" s="22">
        <v>0.59933499999999995</v>
      </c>
      <c r="T149">
        <f t="shared" si="26"/>
        <v>19.764814814814812</v>
      </c>
      <c r="U149">
        <f t="shared" si="27"/>
        <v>11.858414533333331</v>
      </c>
      <c r="X149" s="9"/>
      <c r="Y149" s="22">
        <v>0.98007200000000005</v>
      </c>
      <c r="Z149" s="22">
        <v>15.3772</v>
      </c>
      <c r="AA149" s="22">
        <v>-1.53595E-2</v>
      </c>
      <c r="AB149" s="22">
        <v>139</v>
      </c>
      <c r="AC149" s="22">
        <v>0.97961399999999998</v>
      </c>
      <c r="AD149">
        <f t="shared" si="28"/>
        <v>18.962345679012344</v>
      </c>
      <c r="AE149">
        <f t="shared" si="29"/>
        <v>18.584464054320986</v>
      </c>
      <c r="AF149" s="9"/>
      <c r="AG149" s="22">
        <v>0.59997599999999995</v>
      </c>
      <c r="AH149" s="22">
        <v>18.954699999999999</v>
      </c>
      <c r="AI149" s="22">
        <v>-1.5991200000000001E-2</v>
      </c>
      <c r="AJ149" s="22">
        <v>139</v>
      </c>
      <c r="AK149" s="22">
        <v>0.59933499999999995</v>
      </c>
      <c r="AL149">
        <f t="shared" si="30"/>
        <v>19.742222222222221</v>
      </c>
      <c r="AM149">
        <f t="shared" si="31"/>
        <v>11.844859519999998</v>
      </c>
      <c r="AP149" s="9"/>
      <c r="AQ149" s="22">
        <v>0.98007200000000005</v>
      </c>
      <c r="AR149" s="22">
        <v>24.253399999999999</v>
      </c>
      <c r="AS149" s="22">
        <v>-1.53534E-2</v>
      </c>
      <c r="AT149" s="22">
        <v>139</v>
      </c>
      <c r="AU149" s="22">
        <v>0.97900399999999999</v>
      </c>
      <c r="AV149">
        <f t="shared" si="32"/>
        <v>18.954814814814814</v>
      </c>
      <c r="AW149">
        <f t="shared" si="33"/>
        <v>18.577083265185184</v>
      </c>
      <c r="AX149" s="9"/>
      <c r="AY149" s="22">
        <v>0.59997599999999995</v>
      </c>
      <c r="AZ149" s="22">
        <v>27.8309</v>
      </c>
      <c r="BA149" s="22">
        <v>-1.5997299999999999E-2</v>
      </c>
      <c r="BB149" s="22">
        <v>139</v>
      </c>
      <c r="BC149" s="22">
        <v>0.59927399999999997</v>
      </c>
      <c r="BD149">
        <f t="shared" si="34"/>
        <v>19.749753086419751</v>
      </c>
      <c r="BE149">
        <f t="shared" si="35"/>
        <v>11.849377857777776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6.5042600000000004</v>
      </c>
      <c r="I150" s="22">
        <v>-1.5448E-2</v>
      </c>
      <c r="J150" s="22">
        <v>140</v>
      </c>
      <c r="K150" s="22">
        <v>0.97381600000000001</v>
      </c>
      <c r="L150">
        <f t="shared" si="24"/>
        <v>19.071604938271605</v>
      </c>
      <c r="M150">
        <f t="shared" si="25"/>
        <v>18.595520464197531</v>
      </c>
      <c r="N150" s="9"/>
      <c r="O150" s="22">
        <v>0.60501099999999997</v>
      </c>
      <c r="P150" s="22">
        <v>10.0817</v>
      </c>
      <c r="Q150" s="22">
        <v>-1.6000400000000001E-2</v>
      </c>
      <c r="R150" s="22">
        <v>140</v>
      </c>
      <c r="S150" s="22">
        <v>0.60430899999999999</v>
      </c>
      <c r="T150">
        <f t="shared" si="26"/>
        <v>19.753580246913579</v>
      </c>
      <c r="U150">
        <f t="shared" si="27"/>
        <v>11.95113333876543</v>
      </c>
      <c r="X150" s="9"/>
      <c r="Y150" s="22">
        <v>0.97503700000000004</v>
      </c>
      <c r="Z150" s="22">
        <v>15.3873</v>
      </c>
      <c r="AA150" s="22">
        <v>-1.5368700000000001E-2</v>
      </c>
      <c r="AB150" s="22">
        <v>140</v>
      </c>
      <c r="AC150" s="22">
        <v>0.97381600000000001</v>
      </c>
      <c r="AD150">
        <f t="shared" si="28"/>
        <v>18.973703703703706</v>
      </c>
      <c r="AE150">
        <f t="shared" si="29"/>
        <v>18.50006313814815</v>
      </c>
      <c r="AF150" s="9"/>
      <c r="AG150" s="22">
        <v>0.60501099999999997</v>
      </c>
      <c r="AH150" s="22">
        <v>18.9648</v>
      </c>
      <c r="AI150" s="22">
        <v>-1.5985099999999999E-2</v>
      </c>
      <c r="AJ150" s="22">
        <v>140</v>
      </c>
      <c r="AK150" s="22">
        <v>0.60430899999999999</v>
      </c>
      <c r="AL150">
        <f t="shared" si="30"/>
        <v>19.734691358024687</v>
      </c>
      <c r="AM150">
        <f t="shared" si="31"/>
        <v>11.939705353209874</v>
      </c>
      <c r="AP150" s="9"/>
      <c r="AQ150" s="22">
        <v>0.97503700000000004</v>
      </c>
      <c r="AR150" s="22">
        <v>24.263500000000001</v>
      </c>
      <c r="AS150" s="22">
        <v>-1.53595E-2</v>
      </c>
      <c r="AT150" s="22">
        <v>140</v>
      </c>
      <c r="AU150" s="22">
        <v>0.97381600000000001</v>
      </c>
      <c r="AV150">
        <f t="shared" si="32"/>
        <v>18.962345679012344</v>
      </c>
      <c r="AW150">
        <f t="shared" si="33"/>
        <v>18.48898864382716</v>
      </c>
      <c r="AX150" s="9"/>
      <c r="AY150" s="22">
        <v>0.60501099999999997</v>
      </c>
      <c r="AZ150" s="22">
        <v>27.841000000000001</v>
      </c>
      <c r="BA150" s="22">
        <v>-1.5988200000000001E-2</v>
      </c>
      <c r="BB150" s="22">
        <v>140</v>
      </c>
      <c r="BC150" s="22">
        <v>0.60436999999999996</v>
      </c>
      <c r="BD150">
        <f t="shared" si="34"/>
        <v>19.738518518518521</v>
      </c>
      <c r="BE150">
        <f t="shared" si="35"/>
        <v>11.942020827407408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6.5143399999999998</v>
      </c>
      <c r="I151" s="22">
        <v>-1.5457200000000001E-2</v>
      </c>
      <c r="J151" s="22">
        <v>141</v>
      </c>
      <c r="K151" s="22">
        <v>0.96893300000000004</v>
      </c>
      <c r="L151">
        <f t="shared" si="24"/>
        <v>19.082962962962963</v>
      </c>
      <c r="M151">
        <f t="shared" si="25"/>
        <v>18.510493157037036</v>
      </c>
      <c r="N151" s="9"/>
      <c r="O151" s="22">
        <v>0.61004599999999998</v>
      </c>
      <c r="P151" s="22">
        <v>10.091799999999999</v>
      </c>
      <c r="Q151" s="22">
        <v>-1.5994299999999999E-2</v>
      </c>
      <c r="R151" s="22">
        <v>141</v>
      </c>
      <c r="S151" s="22">
        <v>0.609344</v>
      </c>
      <c r="T151">
        <f t="shared" si="26"/>
        <v>19.746049382716048</v>
      </c>
      <c r="U151">
        <f t="shared" si="27"/>
        <v>12.045998441728393</v>
      </c>
      <c r="X151" s="9"/>
      <c r="Y151" s="22">
        <v>0.970001</v>
      </c>
      <c r="Z151" s="22">
        <v>15.397399999999999</v>
      </c>
      <c r="AA151" s="22">
        <v>-1.53778E-2</v>
      </c>
      <c r="AB151" s="22">
        <v>141</v>
      </c>
      <c r="AC151" s="22">
        <v>0.96893300000000004</v>
      </c>
      <c r="AD151">
        <f t="shared" si="28"/>
        <v>18.984938271604936</v>
      </c>
      <c r="AE151">
        <f t="shared" si="29"/>
        <v>18.41540910839506</v>
      </c>
      <c r="AF151" s="9"/>
      <c r="AG151" s="22">
        <v>0.61004599999999998</v>
      </c>
      <c r="AH151" s="22">
        <v>18.974900000000002</v>
      </c>
      <c r="AI151" s="22">
        <v>-1.5976000000000001E-2</v>
      </c>
      <c r="AJ151" s="22">
        <v>141</v>
      </c>
      <c r="AK151" s="22">
        <v>0.60943599999999998</v>
      </c>
      <c r="AL151">
        <f t="shared" si="30"/>
        <v>19.723456790123457</v>
      </c>
      <c r="AM151">
        <f t="shared" si="31"/>
        <v>12.032215920987653</v>
      </c>
      <c r="AP151" s="9"/>
      <c r="AQ151" s="22">
        <v>0.970001</v>
      </c>
      <c r="AR151" s="22">
        <v>24.273599999999998</v>
      </c>
      <c r="AS151" s="22">
        <v>-1.53656E-2</v>
      </c>
      <c r="AT151" s="22">
        <v>141</v>
      </c>
      <c r="AU151" s="22">
        <v>0.96923800000000004</v>
      </c>
      <c r="AV151">
        <f t="shared" si="32"/>
        <v>18.969876543209878</v>
      </c>
      <c r="AW151">
        <f t="shared" si="33"/>
        <v>18.400799216790126</v>
      </c>
      <c r="AX151" s="9"/>
      <c r="AY151" s="22">
        <v>0.61004599999999998</v>
      </c>
      <c r="AZ151" s="22">
        <v>27.850999999999999</v>
      </c>
      <c r="BA151" s="22">
        <v>-1.5979E-2</v>
      </c>
      <c r="BB151" s="22">
        <v>141</v>
      </c>
      <c r="BC151" s="22">
        <v>0.609375</v>
      </c>
      <c r="BD151">
        <f t="shared" si="34"/>
        <v>19.72716049382716</v>
      </c>
      <c r="BE151">
        <f t="shared" si="35"/>
        <v>12.034475350617283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6.5244099999999996</v>
      </c>
      <c r="I152" s="22">
        <v>-1.5463299999999999E-2</v>
      </c>
      <c r="J152" s="22">
        <v>142</v>
      </c>
      <c r="K152" s="22">
        <v>0.96343999999999996</v>
      </c>
      <c r="L152">
        <f t="shared" si="24"/>
        <v>19.090493827160493</v>
      </c>
      <c r="M152">
        <f t="shared" si="25"/>
        <v>18.421677466419752</v>
      </c>
      <c r="N152" s="9"/>
      <c r="O152" s="22">
        <v>0.61508200000000002</v>
      </c>
      <c r="P152" s="22">
        <v>10.101900000000001</v>
      </c>
      <c r="Q152" s="22">
        <v>-1.5988200000000001E-2</v>
      </c>
      <c r="R152" s="22">
        <v>142</v>
      </c>
      <c r="S152" s="22">
        <v>0.61453199999999997</v>
      </c>
      <c r="T152">
        <f t="shared" si="26"/>
        <v>19.738518518518521</v>
      </c>
      <c r="U152">
        <f t="shared" si="27"/>
        <v>12.140807447407409</v>
      </c>
      <c r="X152" s="9"/>
      <c r="Y152" s="22">
        <v>0.96496599999999999</v>
      </c>
      <c r="Z152" s="22">
        <v>15.407500000000001</v>
      </c>
      <c r="AA152" s="22">
        <v>-1.5387E-2</v>
      </c>
      <c r="AB152" s="22">
        <v>142</v>
      </c>
      <c r="AC152" s="22">
        <v>0.96404999999999996</v>
      </c>
      <c r="AD152">
        <f t="shared" si="28"/>
        <v>18.996296296296297</v>
      </c>
      <c r="AE152">
        <f t="shared" si="29"/>
        <v>18.330780051851853</v>
      </c>
      <c r="AF152" s="9"/>
      <c r="AG152" s="22">
        <v>0.61508200000000002</v>
      </c>
      <c r="AH152" s="22">
        <v>18.9849</v>
      </c>
      <c r="AI152" s="22">
        <v>-1.5963700000000001E-2</v>
      </c>
      <c r="AJ152" s="22">
        <v>142</v>
      </c>
      <c r="AK152" s="22">
        <v>0.61447099999999999</v>
      </c>
      <c r="AL152">
        <f t="shared" si="30"/>
        <v>19.708271604938272</v>
      </c>
      <c r="AM152">
        <f t="shared" si="31"/>
        <v>12.122203115308642</v>
      </c>
      <c r="AP152" s="9"/>
      <c r="AQ152" s="22">
        <v>0.96496599999999999</v>
      </c>
      <c r="AR152" s="22">
        <v>24.2836</v>
      </c>
      <c r="AS152" s="22">
        <v>-1.5374799999999999E-2</v>
      </c>
      <c r="AT152" s="22">
        <v>142</v>
      </c>
      <c r="AU152" s="22">
        <v>0.96404999999999996</v>
      </c>
      <c r="AV152">
        <f t="shared" si="32"/>
        <v>18.981234567901232</v>
      </c>
      <c r="AW152">
        <f t="shared" si="33"/>
        <v>18.316245996049382</v>
      </c>
      <c r="AX152" s="9"/>
      <c r="AY152" s="22">
        <v>0.61508200000000002</v>
      </c>
      <c r="AZ152" s="22">
        <v>27.8611</v>
      </c>
      <c r="BA152" s="22">
        <v>-1.5969799999999999E-2</v>
      </c>
      <c r="BB152" s="22">
        <v>142</v>
      </c>
      <c r="BC152" s="22">
        <v>0.61447099999999999</v>
      </c>
      <c r="BD152">
        <f t="shared" si="34"/>
        <v>19.715802469135802</v>
      </c>
      <c r="BE152">
        <f t="shared" si="35"/>
        <v>12.126835214320987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6.5344800000000003</v>
      </c>
      <c r="I153" s="22">
        <v>-1.5472400000000001E-2</v>
      </c>
      <c r="J153" s="22">
        <v>143</v>
      </c>
      <c r="K153" s="22">
        <v>0.95855699999999999</v>
      </c>
      <c r="L153">
        <f t="shared" si="24"/>
        <v>19.101728395061727</v>
      </c>
      <c r="M153">
        <f t="shared" si="25"/>
        <v>18.336322138271601</v>
      </c>
      <c r="N153" s="9"/>
      <c r="O153" s="22">
        <v>0.62011700000000003</v>
      </c>
      <c r="P153" s="22">
        <v>10.112</v>
      </c>
      <c r="Q153" s="22">
        <v>-1.5982099999999999E-2</v>
      </c>
      <c r="R153" s="22">
        <v>143</v>
      </c>
      <c r="S153" s="22">
        <v>0.61932399999999999</v>
      </c>
      <c r="T153">
        <f t="shared" si="26"/>
        <v>19.730987654320984</v>
      </c>
      <c r="U153">
        <f t="shared" si="27"/>
        <v>12.235520871234566</v>
      </c>
      <c r="X153" s="9"/>
      <c r="Y153" s="22">
        <v>0.95992999999999995</v>
      </c>
      <c r="Z153" s="22">
        <v>15.4175</v>
      </c>
      <c r="AA153" s="22">
        <v>-1.5396099999999999E-2</v>
      </c>
      <c r="AB153" s="22">
        <v>143</v>
      </c>
      <c r="AC153" s="22">
        <v>0.95855699999999999</v>
      </c>
      <c r="AD153">
        <f t="shared" si="28"/>
        <v>19.007530864197527</v>
      </c>
      <c r="AE153">
        <f t="shared" si="29"/>
        <v>18.245899102469131</v>
      </c>
      <c r="AF153" s="9"/>
      <c r="AG153" s="22">
        <v>0.62011700000000003</v>
      </c>
      <c r="AH153" s="22">
        <v>18.995000000000001</v>
      </c>
      <c r="AI153" s="22">
        <v>-1.59515E-2</v>
      </c>
      <c r="AJ153" s="22">
        <v>143</v>
      </c>
      <c r="AK153" s="22">
        <v>0.61935399999999996</v>
      </c>
      <c r="AL153">
        <f t="shared" si="30"/>
        <v>19.693209876543211</v>
      </c>
      <c r="AM153">
        <f t="shared" si="31"/>
        <v>12.212094229012347</v>
      </c>
      <c r="AP153" s="9"/>
      <c r="AQ153" s="22">
        <v>0.95992999999999995</v>
      </c>
      <c r="AR153" s="22">
        <v>24.293700000000001</v>
      </c>
      <c r="AS153" s="22">
        <v>-1.5380899999999999E-2</v>
      </c>
      <c r="AT153" s="22">
        <v>143</v>
      </c>
      <c r="AU153" s="22">
        <v>0.95855699999999999</v>
      </c>
      <c r="AV153">
        <f t="shared" si="32"/>
        <v>18.988765432098763</v>
      </c>
      <c r="AW153">
        <f t="shared" si="33"/>
        <v>18.227885601234565</v>
      </c>
      <c r="AX153" s="9"/>
      <c r="AY153" s="22">
        <v>0.62011700000000003</v>
      </c>
      <c r="AZ153" s="22">
        <v>27.871200000000002</v>
      </c>
      <c r="BA153" s="22">
        <v>-1.5960700000000001E-2</v>
      </c>
      <c r="BB153" s="22">
        <v>143</v>
      </c>
      <c r="BC153" s="22">
        <v>0.61941500000000005</v>
      </c>
      <c r="BD153">
        <f t="shared" si="34"/>
        <v>19.704567901234569</v>
      </c>
      <c r="BE153">
        <f t="shared" si="35"/>
        <v>12.219137533209878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6.5445500000000001</v>
      </c>
      <c r="I154" s="22">
        <v>-1.5484599999999999E-2</v>
      </c>
      <c r="J154" s="22">
        <v>144</v>
      </c>
      <c r="K154" s="22">
        <v>0.95397900000000002</v>
      </c>
      <c r="L154">
        <f t="shared" si="24"/>
        <v>19.116790123456788</v>
      </c>
      <c r="M154">
        <f t="shared" si="25"/>
        <v>18.254527304938271</v>
      </c>
      <c r="N154" s="9"/>
      <c r="O154" s="22">
        <v>0.62515299999999996</v>
      </c>
      <c r="P154" s="22">
        <v>10.122</v>
      </c>
      <c r="Q154" s="22">
        <v>-1.5976000000000001E-2</v>
      </c>
      <c r="R154" s="22">
        <v>144</v>
      </c>
      <c r="S154" s="22">
        <v>0.62451199999999996</v>
      </c>
      <c r="T154">
        <f t="shared" si="26"/>
        <v>19.723456790123457</v>
      </c>
      <c r="U154">
        <f t="shared" si="27"/>
        <v>12.330178182716049</v>
      </c>
      <c r="X154" s="9"/>
      <c r="Y154" s="22">
        <v>0.95489500000000005</v>
      </c>
      <c r="Z154" s="22">
        <v>15.4276</v>
      </c>
      <c r="AA154" s="22">
        <v>-1.54053E-2</v>
      </c>
      <c r="AB154" s="22">
        <v>144</v>
      </c>
      <c r="AC154" s="22">
        <v>0.95397900000000002</v>
      </c>
      <c r="AD154">
        <f t="shared" si="28"/>
        <v>19.018888888888888</v>
      </c>
      <c r="AE154">
        <f t="shared" si="29"/>
        <v>18.161041905555557</v>
      </c>
      <c r="AF154" s="9"/>
      <c r="AG154" s="22">
        <v>0.62515299999999996</v>
      </c>
      <c r="AH154" s="22">
        <v>19.005099999999999</v>
      </c>
      <c r="AI154" s="22">
        <v>-1.5942399999999999E-2</v>
      </c>
      <c r="AJ154" s="22">
        <v>144</v>
      </c>
      <c r="AK154" s="22">
        <v>0.62451199999999996</v>
      </c>
      <c r="AL154">
        <f t="shared" si="30"/>
        <v>19.681975308641974</v>
      </c>
      <c r="AM154">
        <f t="shared" si="31"/>
        <v>12.304245910123456</v>
      </c>
      <c r="AP154" s="9"/>
      <c r="AQ154" s="22">
        <v>0.95489500000000005</v>
      </c>
      <c r="AR154" s="22">
        <v>24.303799999999999</v>
      </c>
      <c r="AS154" s="22">
        <v>-1.5389999999999999E-2</v>
      </c>
      <c r="AT154" s="22">
        <v>144</v>
      </c>
      <c r="AU154" s="22">
        <v>0.95367400000000002</v>
      </c>
      <c r="AV154">
        <f t="shared" si="32"/>
        <v>18.999999999999996</v>
      </c>
      <c r="AW154">
        <f t="shared" si="33"/>
        <v>18.143004999999999</v>
      </c>
      <c r="AX154" s="9"/>
      <c r="AY154" s="22">
        <v>0.62515299999999996</v>
      </c>
      <c r="AZ154" s="22">
        <v>27.8813</v>
      </c>
      <c r="BA154" s="22">
        <v>-1.59515E-2</v>
      </c>
      <c r="BB154" s="22">
        <v>144</v>
      </c>
      <c r="BC154" s="22">
        <v>0.62441999999999998</v>
      </c>
      <c r="BD154">
        <f t="shared" si="34"/>
        <v>19.693209876543211</v>
      </c>
      <c r="BE154">
        <f t="shared" si="35"/>
        <v>12.311269233950616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6.5546199999999999</v>
      </c>
      <c r="I155" s="22">
        <v>-1.54907E-2</v>
      </c>
      <c r="J155" s="22">
        <v>145</v>
      </c>
      <c r="K155" s="22">
        <v>0.94848600000000005</v>
      </c>
      <c r="L155">
        <f t="shared" si="24"/>
        <v>19.124320987654318</v>
      </c>
      <c r="M155">
        <f t="shared" si="25"/>
        <v>18.165427533333332</v>
      </c>
      <c r="N155" s="9"/>
      <c r="O155" s="22">
        <v>0.63018799999999997</v>
      </c>
      <c r="P155" s="22">
        <v>10.132099999999999</v>
      </c>
      <c r="Q155" s="22">
        <v>-1.5969799999999999E-2</v>
      </c>
      <c r="R155" s="22">
        <v>145</v>
      </c>
      <c r="S155" s="22">
        <v>0.62948599999999999</v>
      </c>
      <c r="T155">
        <f t="shared" si="26"/>
        <v>19.715802469135802</v>
      </c>
      <c r="U155">
        <f t="shared" si="27"/>
        <v>12.424662126419753</v>
      </c>
      <c r="X155" s="9"/>
      <c r="Y155" s="22">
        <v>0.94986000000000004</v>
      </c>
      <c r="Z155" s="22">
        <v>15.4377</v>
      </c>
      <c r="AA155" s="22">
        <v>-1.54114E-2</v>
      </c>
      <c r="AB155" s="22">
        <v>145</v>
      </c>
      <c r="AC155" s="22">
        <v>0.94879199999999997</v>
      </c>
      <c r="AD155">
        <f t="shared" si="28"/>
        <v>19.026419753086419</v>
      </c>
      <c r="AE155">
        <f t="shared" si="29"/>
        <v>18.072435066666667</v>
      </c>
      <c r="AF155" s="9"/>
      <c r="AG155" s="22">
        <v>0.63018799999999997</v>
      </c>
      <c r="AH155" s="22">
        <v>19.0151</v>
      </c>
      <c r="AI155" s="22">
        <v>-1.5933200000000002E-2</v>
      </c>
      <c r="AJ155" s="22">
        <v>145</v>
      </c>
      <c r="AK155" s="22">
        <v>0.62963899999999995</v>
      </c>
      <c r="AL155">
        <f t="shared" si="30"/>
        <v>19.670617283950619</v>
      </c>
      <c r="AM155">
        <f t="shared" si="31"/>
        <v>12.396186964938272</v>
      </c>
      <c r="AP155" s="9"/>
      <c r="AQ155" s="22">
        <v>0.94986000000000004</v>
      </c>
      <c r="AR155" s="22">
        <v>24.313800000000001</v>
      </c>
      <c r="AS155" s="22">
        <v>-1.5396099999999999E-2</v>
      </c>
      <c r="AT155" s="22">
        <v>145</v>
      </c>
      <c r="AU155" s="22">
        <v>0.94909699999999997</v>
      </c>
      <c r="AV155">
        <f t="shared" si="32"/>
        <v>19.007530864197527</v>
      </c>
      <c r="AW155">
        <f t="shared" si="33"/>
        <v>18.054493266666665</v>
      </c>
      <c r="AX155" s="9"/>
      <c r="AY155" s="22">
        <v>0.63018799999999997</v>
      </c>
      <c r="AZ155" s="22">
        <v>27.891300000000001</v>
      </c>
      <c r="BA155" s="22">
        <v>-1.5945399999999998E-2</v>
      </c>
      <c r="BB155" s="22">
        <v>145</v>
      </c>
      <c r="BC155" s="22">
        <v>0.62942500000000001</v>
      </c>
      <c r="BD155">
        <f t="shared" si="34"/>
        <v>19.685679012345673</v>
      </c>
      <c r="BE155">
        <f t="shared" si="35"/>
        <v>12.405678685432095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6.5646899999999997</v>
      </c>
      <c r="I156" s="22">
        <v>-1.54999E-2</v>
      </c>
      <c r="J156" s="22">
        <v>146</v>
      </c>
      <c r="K156" s="22">
        <v>0.944214</v>
      </c>
      <c r="L156">
        <f t="shared" si="24"/>
        <v>19.13567901234568</v>
      </c>
      <c r="M156">
        <f t="shared" si="25"/>
        <v>18.079848787160493</v>
      </c>
      <c r="N156" s="9"/>
      <c r="O156" s="22">
        <v>0.63522299999999998</v>
      </c>
      <c r="P156" s="22">
        <v>10.142200000000001</v>
      </c>
      <c r="Q156" s="22">
        <v>-1.5960700000000001E-2</v>
      </c>
      <c r="R156" s="22">
        <v>146</v>
      </c>
      <c r="S156" s="22">
        <v>0.63458300000000001</v>
      </c>
      <c r="T156">
        <f t="shared" si="26"/>
        <v>19.704567901234569</v>
      </c>
      <c r="U156">
        <f t="shared" si="27"/>
        <v>12.516794735925926</v>
      </c>
      <c r="X156" s="9"/>
      <c r="Y156" s="22">
        <v>0.944824</v>
      </c>
      <c r="Z156" s="22">
        <v>15.447699999999999</v>
      </c>
      <c r="AA156" s="22">
        <v>-1.54205E-2</v>
      </c>
      <c r="AB156" s="22">
        <v>146</v>
      </c>
      <c r="AC156" s="22">
        <v>0.943604</v>
      </c>
      <c r="AD156">
        <f t="shared" si="28"/>
        <v>19.037654320987656</v>
      </c>
      <c r="AE156">
        <f t="shared" si="29"/>
        <v>17.98723270617284</v>
      </c>
      <c r="AF156" s="9"/>
      <c r="AG156" s="22">
        <v>0.63522299999999998</v>
      </c>
      <c r="AH156" s="22">
        <v>19.025200000000002</v>
      </c>
      <c r="AI156" s="22">
        <v>-1.59241E-2</v>
      </c>
      <c r="AJ156" s="22">
        <v>146</v>
      </c>
      <c r="AK156" s="22">
        <v>0.63433799999999996</v>
      </c>
      <c r="AL156">
        <f t="shared" si="30"/>
        <v>19.659382716049382</v>
      </c>
      <c r="AM156">
        <f t="shared" si="31"/>
        <v>12.488092067037037</v>
      </c>
      <c r="AP156" s="9"/>
      <c r="AQ156" s="22">
        <v>0.944824</v>
      </c>
      <c r="AR156" s="22">
        <v>24.323899999999998</v>
      </c>
      <c r="AS156" s="22">
        <v>-1.54053E-2</v>
      </c>
      <c r="AT156" s="22">
        <v>146</v>
      </c>
      <c r="AU156" s="22">
        <v>0.944214</v>
      </c>
      <c r="AV156">
        <f t="shared" si="32"/>
        <v>19.018888888888888</v>
      </c>
      <c r="AW156">
        <f t="shared" si="33"/>
        <v>17.969502675555557</v>
      </c>
      <c r="AX156" s="9"/>
      <c r="AY156" s="22">
        <v>0.63522299999999998</v>
      </c>
      <c r="AZ156" s="22">
        <v>27.901399999999999</v>
      </c>
      <c r="BA156" s="22">
        <v>-1.59363E-2</v>
      </c>
      <c r="BB156" s="22">
        <v>146</v>
      </c>
      <c r="BC156" s="22">
        <v>0.63470499999999996</v>
      </c>
      <c r="BD156">
        <f t="shared" si="34"/>
        <v>19.674444444444443</v>
      </c>
      <c r="BE156">
        <f t="shared" si="35"/>
        <v>12.497659623333332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6.5747600000000004</v>
      </c>
      <c r="I157" s="22">
        <v>-1.5509E-2</v>
      </c>
      <c r="J157" s="22">
        <v>147</v>
      </c>
      <c r="K157" s="22">
        <v>0.93872100000000003</v>
      </c>
      <c r="L157">
        <f t="shared" si="24"/>
        <v>19.14691358024691</v>
      </c>
      <c r="M157">
        <f t="shared" si="25"/>
        <v>17.994058766666662</v>
      </c>
      <c r="N157" s="9"/>
      <c r="O157" s="22">
        <v>0.64025900000000002</v>
      </c>
      <c r="P157" s="22">
        <v>10.152200000000001</v>
      </c>
      <c r="Q157" s="22">
        <v>-1.59515E-2</v>
      </c>
      <c r="R157" s="22">
        <v>147</v>
      </c>
      <c r="S157" s="22">
        <v>0.63946499999999995</v>
      </c>
      <c r="T157">
        <f t="shared" si="26"/>
        <v>19.693209876543211</v>
      </c>
      <c r="U157">
        <f t="shared" si="27"/>
        <v>12.60875486234568</v>
      </c>
      <c r="X157" s="9"/>
      <c r="Y157" s="22">
        <v>0.93978899999999999</v>
      </c>
      <c r="Z157" s="22">
        <v>15.457800000000001</v>
      </c>
      <c r="AA157" s="22">
        <v>-1.5429699999999999E-2</v>
      </c>
      <c r="AB157" s="22">
        <v>147</v>
      </c>
      <c r="AC157" s="22">
        <v>0.93872100000000003</v>
      </c>
      <c r="AD157">
        <f t="shared" si="28"/>
        <v>19.04901234567901</v>
      </c>
      <c r="AE157">
        <f t="shared" si="29"/>
        <v>17.902052263333331</v>
      </c>
      <c r="AF157" s="9"/>
      <c r="AG157" s="22">
        <v>0.64025900000000002</v>
      </c>
      <c r="AH157" s="22">
        <v>19.035299999999999</v>
      </c>
      <c r="AI157" s="22">
        <v>-1.5918000000000002E-2</v>
      </c>
      <c r="AJ157" s="22">
        <v>147</v>
      </c>
      <c r="AK157" s="22">
        <v>0.63949599999999995</v>
      </c>
      <c r="AL157">
        <f t="shared" si="30"/>
        <v>19.651851851851852</v>
      </c>
      <c r="AM157">
        <f t="shared" si="31"/>
        <v>12.582275014814815</v>
      </c>
      <c r="AP157" s="9"/>
      <c r="AQ157" s="22">
        <v>0.93978899999999999</v>
      </c>
      <c r="AR157" s="22">
        <v>24.334</v>
      </c>
      <c r="AS157" s="22">
        <v>-1.54114E-2</v>
      </c>
      <c r="AT157" s="22">
        <v>147</v>
      </c>
      <c r="AU157" s="22">
        <v>0.93872100000000003</v>
      </c>
      <c r="AV157">
        <f t="shared" si="32"/>
        <v>19.026419753086419</v>
      </c>
      <c r="AW157">
        <f t="shared" si="33"/>
        <v>17.880819993333333</v>
      </c>
      <c r="AX157" s="9"/>
      <c r="AY157" s="22">
        <v>0.64025900000000002</v>
      </c>
      <c r="AZ157" s="22">
        <v>27.9115</v>
      </c>
      <c r="BA157" s="22">
        <v>-1.5930199999999999E-2</v>
      </c>
      <c r="BB157" s="22">
        <v>147</v>
      </c>
      <c r="BC157" s="22">
        <v>0.63946499999999995</v>
      </c>
      <c r="BD157">
        <f t="shared" si="34"/>
        <v>19.666913580246909</v>
      </c>
      <c r="BE157">
        <f t="shared" si="35"/>
        <v>12.591918421975306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6.5848300000000002</v>
      </c>
      <c r="I158" s="22">
        <v>-1.5518199999999999E-2</v>
      </c>
      <c r="J158" s="22">
        <v>148</v>
      </c>
      <c r="K158" s="22">
        <v>0.93414299999999995</v>
      </c>
      <c r="L158">
        <f t="shared" si="24"/>
        <v>19.158271604938271</v>
      </c>
      <c r="M158">
        <f t="shared" si="25"/>
        <v>17.908251857530864</v>
      </c>
      <c r="N158" s="9"/>
      <c r="O158" s="22">
        <v>0.64529400000000003</v>
      </c>
      <c r="P158" s="22">
        <v>10.1623</v>
      </c>
      <c r="Q158" s="22">
        <v>-1.5942399999999999E-2</v>
      </c>
      <c r="R158" s="22">
        <v>148</v>
      </c>
      <c r="S158" s="22">
        <v>0.64462299999999995</v>
      </c>
      <c r="T158">
        <f t="shared" si="26"/>
        <v>19.681975308641974</v>
      </c>
      <c r="U158">
        <f t="shared" si="27"/>
        <v>12.700660574814815</v>
      </c>
      <c r="X158" s="9"/>
      <c r="Y158" s="22">
        <v>0.93475299999999995</v>
      </c>
      <c r="Z158" s="22">
        <v>15.4679</v>
      </c>
      <c r="AA158" s="22">
        <v>-1.5438800000000001E-2</v>
      </c>
      <c r="AB158" s="22">
        <v>148</v>
      </c>
      <c r="AC158" s="22">
        <v>0.93414299999999995</v>
      </c>
      <c r="AD158">
        <f t="shared" si="28"/>
        <v>19.060246913580247</v>
      </c>
      <c r="AE158">
        <f t="shared" si="29"/>
        <v>17.816622983209875</v>
      </c>
      <c r="AF158" s="9"/>
      <c r="AG158" s="22">
        <v>0.64529400000000003</v>
      </c>
      <c r="AH158" s="22">
        <v>19.045400000000001</v>
      </c>
      <c r="AI158" s="22">
        <v>-1.5908800000000001E-2</v>
      </c>
      <c r="AJ158" s="22">
        <v>148</v>
      </c>
      <c r="AK158" s="22">
        <v>0.64459200000000005</v>
      </c>
      <c r="AL158">
        <f t="shared" si="30"/>
        <v>19.640493827160494</v>
      </c>
      <c r="AM158">
        <f t="shared" si="31"/>
        <v>12.673892823703705</v>
      </c>
      <c r="AP158" s="9"/>
      <c r="AQ158" s="22">
        <v>0.93475299999999995</v>
      </c>
      <c r="AR158" s="22">
        <v>24.344100000000001</v>
      </c>
      <c r="AS158" s="22">
        <v>-1.54205E-2</v>
      </c>
      <c r="AT158" s="22">
        <v>148</v>
      </c>
      <c r="AU158" s="22">
        <v>0.93353299999999995</v>
      </c>
      <c r="AV158">
        <f t="shared" si="32"/>
        <v>19.037654320987656</v>
      </c>
      <c r="AW158">
        <f t="shared" si="33"/>
        <v>17.795504489506172</v>
      </c>
      <c r="AX158" s="9"/>
      <c r="AY158" s="22">
        <v>0.64529400000000003</v>
      </c>
      <c r="AZ158" s="22">
        <v>27.921500000000002</v>
      </c>
      <c r="BA158" s="22">
        <v>-1.5921000000000001E-2</v>
      </c>
      <c r="BB158" s="22">
        <v>148</v>
      </c>
      <c r="BC158" s="22">
        <v>0.64459200000000005</v>
      </c>
      <c r="BD158">
        <f t="shared" si="34"/>
        <v>19.655555555555555</v>
      </c>
      <c r="BE158">
        <f t="shared" si="35"/>
        <v>12.683612066666667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6.5949</v>
      </c>
      <c r="I159" s="22">
        <v>-1.55243E-2</v>
      </c>
      <c r="J159" s="22">
        <v>149</v>
      </c>
      <c r="K159" s="22">
        <v>0.92895499999999998</v>
      </c>
      <c r="L159">
        <f t="shared" si="24"/>
        <v>19.165802469135802</v>
      </c>
      <c r="M159">
        <f t="shared" si="25"/>
        <v>17.818791539999999</v>
      </c>
      <c r="N159" s="9"/>
      <c r="O159" s="22">
        <v>0.65032999999999996</v>
      </c>
      <c r="P159" s="22">
        <v>10.1724</v>
      </c>
      <c r="Q159" s="22">
        <v>-1.5933200000000002E-2</v>
      </c>
      <c r="R159" s="22">
        <v>149</v>
      </c>
      <c r="S159" s="22">
        <v>0.64962799999999998</v>
      </c>
      <c r="T159">
        <f t="shared" si="26"/>
        <v>19.670617283950619</v>
      </c>
      <c r="U159">
        <f t="shared" si="27"/>
        <v>12.792392538271606</v>
      </c>
      <c r="X159" s="9"/>
      <c r="Y159" s="22">
        <v>0.92971800000000004</v>
      </c>
      <c r="Z159" s="22">
        <v>15.4779</v>
      </c>
      <c r="AA159" s="22">
        <v>-1.5448E-2</v>
      </c>
      <c r="AB159" s="22">
        <v>149</v>
      </c>
      <c r="AC159" s="22">
        <v>0.92864999999999998</v>
      </c>
      <c r="AD159">
        <f t="shared" si="28"/>
        <v>19.071604938271605</v>
      </c>
      <c r="AE159">
        <f t="shared" si="29"/>
        <v>17.731214400000002</v>
      </c>
      <c r="AF159" s="9"/>
      <c r="AG159" s="22">
        <v>0.65032999999999996</v>
      </c>
      <c r="AH159" s="22">
        <v>19.055399999999999</v>
      </c>
      <c r="AI159" s="22">
        <v>-1.5899699999999999E-2</v>
      </c>
      <c r="AJ159" s="22">
        <v>149</v>
      </c>
      <c r="AK159" s="22">
        <v>0.649536</v>
      </c>
      <c r="AL159">
        <f t="shared" si="30"/>
        <v>19.629259259259257</v>
      </c>
      <c r="AM159">
        <f t="shared" si="31"/>
        <v>12.765496174074071</v>
      </c>
      <c r="AP159" s="9"/>
      <c r="AQ159" s="22">
        <v>0.92971800000000004</v>
      </c>
      <c r="AR159" s="22">
        <v>24.354099999999999</v>
      </c>
      <c r="AS159" s="22">
        <v>-1.54266E-2</v>
      </c>
      <c r="AT159" s="22">
        <v>149</v>
      </c>
      <c r="AU159" s="22">
        <v>0.92895499999999998</v>
      </c>
      <c r="AV159">
        <f t="shared" si="32"/>
        <v>19.045185185185186</v>
      </c>
      <c r="AW159">
        <f t="shared" si="33"/>
        <v>17.706651480000001</v>
      </c>
      <c r="AX159" s="9"/>
      <c r="AY159" s="22">
        <v>0.65032999999999996</v>
      </c>
      <c r="AZ159" s="22">
        <v>27.9316</v>
      </c>
      <c r="BA159" s="22">
        <v>-1.59119E-2</v>
      </c>
      <c r="BB159" s="22">
        <v>149</v>
      </c>
      <c r="BC159" s="22">
        <v>0.64956700000000001</v>
      </c>
      <c r="BD159">
        <f t="shared" si="34"/>
        <v>19.644320987654318</v>
      </c>
      <c r="BE159">
        <f t="shared" si="35"/>
        <v>12.775291267901231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6.6049699999999998</v>
      </c>
      <c r="I160" s="22">
        <v>-1.5533399999999999E-2</v>
      </c>
      <c r="J160" s="22">
        <v>150</v>
      </c>
      <c r="K160" s="22">
        <v>0.924072</v>
      </c>
      <c r="L160">
        <f t="shared" si="24"/>
        <v>19.177037037037035</v>
      </c>
      <c r="M160">
        <f t="shared" si="25"/>
        <v>17.732680138518518</v>
      </c>
      <c r="N160" s="9"/>
      <c r="O160" s="22">
        <v>0.65536499999999998</v>
      </c>
      <c r="P160" s="22">
        <v>10.182499999999999</v>
      </c>
      <c r="Q160" s="22">
        <v>-1.5921000000000001E-2</v>
      </c>
      <c r="R160" s="22">
        <v>150</v>
      </c>
      <c r="S160" s="22">
        <v>0.65466299999999999</v>
      </c>
      <c r="T160">
        <f t="shared" si="26"/>
        <v>19.655555555555555</v>
      </c>
      <c r="U160">
        <f t="shared" si="27"/>
        <v>12.881563166666666</v>
      </c>
      <c r="X160" s="9"/>
      <c r="Y160" s="22">
        <v>0.92468300000000003</v>
      </c>
      <c r="Z160" s="22">
        <v>15.488</v>
      </c>
      <c r="AA160" s="22">
        <v>-1.54602E-2</v>
      </c>
      <c r="AB160" s="22">
        <v>150</v>
      </c>
      <c r="AC160" s="22">
        <v>0.923767</v>
      </c>
      <c r="AD160">
        <f t="shared" si="28"/>
        <v>19.086666666666666</v>
      </c>
      <c r="AE160">
        <f t="shared" si="29"/>
        <v>17.649116193333334</v>
      </c>
      <c r="AF160" s="9"/>
      <c r="AG160" s="22">
        <v>0.65536499999999998</v>
      </c>
      <c r="AH160" s="22">
        <v>19.0655</v>
      </c>
      <c r="AI160" s="22">
        <v>-1.5887499999999999E-2</v>
      </c>
      <c r="AJ160" s="22">
        <v>150</v>
      </c>
      <c r="AK160" s="22">
        <v>0.65463300000000002</v>
      </c>
      <c r="AL160">
        <f t="shared" si="30"/>
        <v>19.614197530864196</v>
      </c>
      <c r="AM160">
        <f t="shared" si="31"/>
        <v>12.854458564814813</v>
      </c>
      <c r="AP160" s="9"/>
      <c r="AQ160" s="22">
        <v>0.92468300000000003</v>
      </c>
      <c r="AR160" s="22">
        <v>24.3642</v>
      </c>
      <c r="AS160" s="22">
        <v>-1.54358E-2</v>
      </c>
      <c r="AT160" s="22">
        <v>150</v>
      </c>
      <c r="AU160" s="22">
        <v>0.923767</v>
      </c>
      <c r="AV160">
        <f t="shared" si="32"/>
        <v>19.056543209876541</v>
      </c>
      <c r="AW160">
        <f t="shared" si="33"/>
        <v>17.621261544938271</v>
      </c>
      <c r="AX160" s="9"/>
      <c r="AY160" s="22">
        <v>0.65536499999999998</v>
      </c>
      <c r="AZ160" s="22">
        <v>27.941700000000001</v>
      </c>
      <c r="BA160" s="22">
        <v>-1.5905800000000001E-2</v>
      </c>
      <c r="BB160" s="22">
        <v>150</v>
      </c>
      <c r="BC160" s="22">
        <v>0.654694</v>
      </c>
      <c r="BD160">
        <f t="shared" si="34"/>
        <v>19.636790123456791</v>
      </c>
      <c r="BE160">
        <f t="shared" si="35"/>
        <v>12.86926495925926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6.6150500000000001</v>
      </c>
      <c r="I161" s="22">
        <v>-1.55426E-2</v>
      </c>
      <c r="J161" s="22">
        <v>151</v>
      </c>
      <c r="K161" s="22">
        <v>0.91888400000000003</v>
      </c>
      <c r="L161">
        <f t="shared" si="24"/>
        <v>19.188395061728393</v>
      </c>
      <c r="M161">
        <f t="shared" si="25"/>
        <v>17.646549953333331</v>
      </c>
      <c r="N161" s="9"/>
      <c r="O161" s="22">
        <v>0.66039999999999999</v>
      </c>
      <c r="P161" s="22">
        <v>10.192500000000001</v>
      </c>
      <c r="Q161" s="22">
        <v>-1.59119E-2</v>
      </c>
      <c r="R161" s="22">
        <v>151</v>
      </c>
      <c r="S161" s="22">
        <v>0.65963700000000003</v>
      </c>
      <c r="T161">
        <f t="shared" si="26"/>
        <v>19.644320987654318</v>
      </c>
      <c r="U161">
        <f t="shared" si="27"/>
        <v>12.973109580246911</v>
      </c>
      <c r="X161" s="9"/>
      <c r="Y161" s="22">
        <v>0.91964699999999999</v>
      </c>
      <c r="Z161" s="22">
        <v>15.498100000000001</v>
      </c>
      <c r="AA161" s="22">
        <v>-1.5466300000000001E-2</v>
      </c>
      <c r="AB161" s="22">
        <v>151</v>
      </c>
      <c r="AC161" s="22">
        <v>0.91888400000000003</v>
      </c>
      <c r="AD161">
        <f t="shared" si="28"/>
        <v>19.094197530864196</v>
      </c>
      <c r="AE161">
        <f t="shared" si="29"/>
        <v>17.559921476666666</v>
      </c>
      <c r="AF161" s="9"/>
      <c r="AG161" s="22">
        <v>0.66039999999999999</v>
      </c>
      <c r="AH161" s="22">
        <v>19.075600000000001</v>
      </c>
      <c r="AI161" s="22">
        <v>-1.5878300000000001E-2</v>
      </c>
      <c r="AJ161" s="22">
        <v>151</v>
      </c>
      <c r="AK161" s="22">
        <v>0.65957600000000005</v>
      </c>
      <c r="AL161">
        <f t="shared" si="30"/>
        <v>19.602839506172842</v>
      </c>
      <c r="AM161">
        <f t="shared" si="31"/>
        <v>12.945715209876544</v>
      </c>
      <c r="AP161" s="9"/>
      <c r="AQ161" s="22">
        <v>0.91964699999999999</v>
      </c>
      <c r="AR161" s="22">
        <v>24.374300000000002</v>
      </c>
      <c r="AS161" s="22">
        <v>-1.5444899999999999E-2</v>
      </c>
      <c r="AT161" s="22">
        <v>151</v>
      </c>
      <c r="AU161" s="22">
        <v>0.91888400000000003</v>
      </c>
      <c r="AV161">
        <f t="shared" si="32"/>
        <v>19.067777777777778</v>
      </c>
      <c r="AW161">
        <f t="shared" si="33"/>
        <v>17.535624630000001</v>
      </c>
      <c r="AX161" s="9"/>
      <c r="AY161" s="22">
        <v>0.66039999999999999</v>
      </c>
      <c r="AZ161" s="22">
        <v>27.951799999999999</v>
      </c>
      <c r="BA161" s="22">
        <v>-1.5899699999999999E-2</v>
      </c>
      <c r="BB161" s="22">
        <v>151</v>
      </c>
      <c r="BC161" s="22">
        <v>0.65969800000000001</v>
      </c>
      <c r="BD161">
        <f t="shared" si="34"/>
        <v>19.629259259259257</v>
      </c>
      <c r="BE161">
        <f t="shared" si="35"/>
        <v>12.963162814814813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6.6251199999999999</v>
      </c>
      <c r="I162" s="22">
        <v>-1.5551799999999999E-2</v>
      </c>
      <c r="J162" s="22">
        <v>152</v>
      </c>
      <c r="K162" s="22">
        <v>0.91339099999999995</v>
      </c>
      <c r="L162">
        <f t="shared" si="24"/>
        <v>19.199753086419751</v>
      </c>
      <c r="M162">
        <f t="shared" si="25"/>
        <v>17.560324569876542</v>
      </c>
      <c r="N162" s="9"/>
      <c r="O162" s="22">
        <v>0.66543600000000003</v>
      </c>
      <c r="P162" s="22">
        <v>10.2026</v>
      </c>
      <c r="Q162" s="22">
        <v>-1.5899699999999999E-2</v>
      </c>
      <c r="R162" s="22">
        <v>152</v>
      </c>
      <c r="S162" s="22">
        <v>0.66473400000000005</v>
      </c>
      <c r="T162">
        <f t="shared" si="26"/>
        <v>19.629259259259257</v>
      </c>
      <c r="U162">
        <f t="shared" si="27"/>
        <v>13.062015764444444</v>
      </c>
      <c r="X162" s="9"/>
      <c r="Y162" s="22">
        <v>0.91461199999999998</v>
      </c>
      <c r="Z162" s="22">
        <v>15.5082</v>
      </c>
      <c r="AA162" s="22">
        <v>-1.54755E-2</v>
      </c>
      <c r="AB162" s="22">
        <v>152</v>
      </c>
      <c r="AC162" s="22">
        <v>0.91369599999999995</v>
      </c>
      <c r="AD162">
        <f t="shared" si="28"/>
        <v>19.105555555555554</v>
      </c>
      <c r="AE162">
        <f t="shared" si="29"/>
        <v>17.474170377777778</v>
      </c>
      <c r="AF162" s="9"/>
      <c r="AG162" s="22">
        <v>0.66543600000000003</v>
      </c>
      <c r="AH162" s="22">
        <v>19.085599999999999</v>
      </c>
      <c r="AI162" s="22">
        <v>-1.5866100000000001E-2</v>
      </c>
      <c r="AJ162" s="22">
        <v>152</v>
      </c>
      <c r="AK162" s="22">
        <v>0.66467299999999996</v>
      </c>
      <c r="AL162">
        <f t="shared" si="30"/>
        <v>19.587777777777777</v>
      </c>
      <c r="AM162">
        <f t="shared" si="31"/>
        <v>13.034412493333333</v>
      </c>
      <c r="AP162" s="9"/>
      <c r="AQ162" s="22">
        <v>0.91461199999999998</v>
      </c>
      <c r="AR162" s="22">
        <v>24.3843</v>
      </c>
      <c r="AS162" s="22">
        <v>-1.54541E-2</v>
      </c>
      <c r="AT162" s="22">
        <v>152</v>
      </c>
      <c r="AU162" s="22">
        <v>0.91400099999999995</v>
      </c>
      <c r="AV162">
        <f t="shared" si="32"/>
        <v>19.079135802469132</v>
      </c>
      <c r="AW162">
        <f t="shared" si="33"/>
        <v>17.450006554567896</v>
      </c>
      <c r="AX162" s="9"/>
      <c r="AY162" s="22">
        <v>0.66543600000000003</v>
      </c>
      <c r="AZ162" s="22">
        <v>27.9618</v>
      </c>
      <c r="BA162" s="22">
        <v>-1.5890499999999998E-2</v>
      </c>
      <c r="BB162" s="22">
        <v>152</v>
      </c>
      <c r="BC162" s="22">
        <v>0.66479500000000002</v>
      </c>
      <c r="BD162">
        <f t="shared" si="34"/>
        <v>19.617901234567896</v>
      </c>
      <c r="BE162">
        <f t="shared" si="35"/>
        <v>13.054457725925923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6.6351899999999997</v>
      </c>
      <c r="I163" s="22">
        <v>-1.5560900000000001E-2</v>
      </c>
      <c r="J163" s="22">
        <v>153</v>
      </c>
      <c r="K163" s="22">
        <v>0.90881299999999998</v>
      </c>
      <c r="L163">
        <f t="shared" si="24"/>
        <v>19.210987654320988</v>
      </c>
      <c r="M163">
        <f t="shared" si="25"/>
        <v>17.473853306666669</v>
      </c>
      <c r="N163" s="9"/>
      <c r="O163" s="22">
        <v>0.67047100000000004</v>
      </c>
      <c r="P163" s="22">
        <v>10.2127</v>
      </c>
      <c r="Q163" s="22">
        <v>-1.5893600000000001E-2</v>
      </c>
      <c r="R163" s="22">
        <v>153</v>
      </c>
      <c r="S163" s="22">
        <v>0.66961700000000002</v>
      </c>
      <c r="T163">
        <f t="shared" si="26"/>
        <v>19.621728395061727</v>
      </c>
      <c r="U163">
        <f t="shared" si="27"/>
        <v>13.155799858765432</v>
      </c>
      <c r="X163" s="9"/>
      <c r="Y163" s="22">
        <v>0.90957600000000005</v>
      </c>
      <c r="Z163" s="22">
        <v>15.5182</v>
      </c>
      <c r="AA163" s="22">
        <v>-1.5484599999999999E-2</v>
      </c>
      <c r="AB163" s="22">
        <v>153</v>
      </c>
      <c r="AC163" s="22">
        <v>0.90881299999999998</v>
      </c>
      <c r="AD163">
        <f t="shared" si="28"/>
        <v>19.116790123456788</v>
      </c>
      <c r="AE163">
        <f t="shared" si="29"/>
        <v>17.388173493333333</v>
      </c>
      <c r="AF163" s="9"/>
      <c r="AG163" s="22">
        <v>0.67047100000000004</v>
      </c>
      <c r="AH163" s="22">
        <v>19.095700000000001</v>
      </c>
      <c r="AI163" s="22">
        <v>-1.5862999999999999E-2</v>
      </c>
      <c r="AJ163" s="22">
        <v>153</v>
      </c>
      <c r="AK163" s="22">
        <v>0.66979999999999995</v>
      </c>
      <c r="AL163">
        <f t="shared" si="30"/>
        <v>19.58395061728395</v>
      </c>
      <c r="AM163">
        <f t="shared" si="31"/>
        <v>13.130470954320987</v>
      </c>
      <c r="AP163" s="9"/>
      <c r="AQ163" s="22">
        <v>0.90957600000000005</v>
      </c>
      <c r="AR163" s="22">
        <v>24.394400000000001</v>
      </c>
      <c r="AS163" s="22">
        <v>-1.54602E-2</v>
      </c>
      <c r="AT163" s="22">
        <v>153</v>
      </c>
      <c r="AU163" s="22">
        <v>0.90850799999999998</v>
      </c>
      <c r="AV163">
        <f t="shared" si="32"/>
        <v>19.086666666666666</v>
      </c>
      <c r="AW163">
        <f t="shared" si="33"/>
        <v>17.36077392</v>
      </c>
      <c r="AX163" s="9"/>
      <c r="AY163" s="22">
        <v>0.67047100000000004</v>
      </c>
      <c r="AZ163" s="22">
        <v>27.971900000000002</v>
      </c>
      <c r="BA163" s="22">
        <v>-1.5881300000000001E-2</v>
      </c>
      <c r="BB163" s="22">
        <v>153</v>
      </c>
      <c r="BC163" s="22">
        <v>0.66983000000000004</v>
      </c>
      <c r="BD163">
        <f t="shared" si="34"/>
        <v>19.606543209876545</v>
      </c>
      <c r="BE163">
        <f t="shared" si="35"/>
        <v>13.145618632469137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6.6452600000000004</v>
      </c>
      <c r="I164" s="22">
        <v>-1.5566999999999999E-2</v>
      </c>
      <c r="J164" s="22">
        <v>154</v>
      </c>
      <c r="K164" s="22">
        <v>0.90393100000000004</v>
      </c>
      <c r="L164">
        <f t="shared" si="24"/>
        <v>19.218518518518518</v>
      </c>
      <c r="M164">
        <f t="shared" si="25"/>
        <v>17.38393795925926</v>
      </c>
      <c r="N164" s="9"/>
      <c r="O164" s="22">
        <v>0.67550699999999997</v>
      </c>
      <c r="P164" s="22">
        <v>10.2227</v>
      </c>
      <c r="Q164" s="22">
        <v>-1.58844E-2</v>
      </c>
      <c r="R164" s="22">
        <v>154</v>
      </c>
      <c r="S164" s="22">
        <v>0.67474400000000001</v>
      </c>
      <c r="T164">
        <f t="shared" si="26"/>
        <v>19.610370370370369</v>
      </c>
      <c r="U164">
        <f t="shared" si="27"/>
        <v>13.246942457777775</v>
      </c>
      <c r="X164" s="9"/>
      <c r="Y164" s="22">
        <v>0.90454100000000004</v>
      </c>
      <c r="Z164" s="22">
        <v>15.5283</v>
      </c>
      <c r="AA164" s="22">
        <v>-1.54938E-2</v>
      </c>
      <c r="AB164" s="22">
        <v>154</v>
      </c>
      <c r="AC164" s="22">
        <v>0.90393100000000004</v>
      </c>
      <c r="AD164">
        <f t="shared" si="28"/>
        <v>19.128148148148149</v>
      </c>
      <c r="AE164">
        <f t="shared" si="29"/>
        <v>17.302194254074077</v>
      </c>
      <c r="AF164" s="9"/>
      <c r="AG164" s="22">
        <v>0.67550699999999997</v>
      </c>
      <c r="AH164" s="22">
        <v>19.105799999999999</v>
      </c>
      <c r="AI164" s="22">
        <v>-1.5853900000000001E-2</v>
      </c>
      <c r="AJ164" s="22">
        <v>154</v>
      </c>
      <c r="AK164" s="22">
        <v>0.67477399999999998</v>
      </c>
      <c r="AL164">
        <f t="shared" si="30"/>
        <v>19.572716049382716</v>
      </c>
      <c r="AM164">
        <f t="shared" si="31"/>
        <v>13.221506700370369</v>
      </c>
      <c r="AP164" s="9"/>
      <c r="AQ164" s="22">
        <v>0.90454100000000004</v>
      </c>
      <c r="AR164" s="22">
        <v>24.404499999999999</v>
      </c>
      <c r="AS164" s="22">
        <v>-1.5472400000000001E-2</v>
      </c>
      <c r="AT164" s="22">
        <v>154</v>
      </c>
      <c r="AU164" s="22">
        <v>0.90362500000000001</v>
      </c>
      <c r="AV164">
        <f t="shared" si="32"/>
        <v>19.101728395061727</v>
      </c>
      <c r="AW164">
        <f t="shared" si="33"/>
        <v>17.278296504197531</v>
      </c>
      <c r="AX164" s="9"/>
      <c r="AY164" s="22">
        <v>0.67550699999999997</v>
      </c>
      <c r="AZ164" s="22">
        <v>27.981999999999999</v>
      </c>
      <c r="BA164" s="22">
        <v>-1.58722E-2</v>
      </c>
      <c r="BB164" s="22">
        <v>154</v>
      </c>
      <c r="BC164" s="22">
        <v>0.67474400000000001</v>
      </c>
      <c r="BD164">
        <f t="shared" si="34"/>
        <v>19.595308641975304</v>
      </c>
      <c r="BE164">
        <f t="shared" si="35"/>
        <v>13.236768154814811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6.6553300000000002</v>
      </c>
      <c r="I165" s="22">
        <v>-1.55762E-2</v>
      </c>
      <c r="J165" s="22">
        <v>155</v>
      </c>
      <c r="K165" s="22">
        <v>0.89904799999999996</v>
      </c>
      <c r="L165">
        <f t="shared" si="24"/>
        <v>19.229876543209876</v>
      </c>
      <c r="M165">
        <f t="shared" si="25"/>
        <v>17.297389329876545</v>
      </c>
      <c r="N165" s="9"/>
      <c r="O165" s="22">
        <v>0.68054199999999998</v>
      </c>
      <c r="P165" s="22">
        <v>10.232799999999999</v>
      </c>
      <c r="Q165" s="22">
        <v>-1.5875199999999999E-2</v>
      </c>
      <c r="R165" s="22">
        <v>155</v>
      </c>
      <c r="S165" s="22">
        <v>0.67974900000000005</v>
      </c>
      <c r="T165">
        <f t="shared" si="26"/>
        <v>19.599012345679007</v>
      </c>
      <c r="U165">
        <f t="shared" si="27"/>
        <v>13.337951059753083</v>
      </c>
      <c r="X165" s="9"/>
      <c r="Y165" s="22">
        <v>0.89950600000000003</v>
      </c>
      <c r="Z165" s="22">
        <v>15.538399999999999</v>
      </c>
      <c r="AA165" s="22">
        <v>-1.54999E-2</v>
      </c>
      <c r="AB165" s="22">
        <v>155</v>
      </c>
      <c r="AC165" s="22">
        <v>0.89874299999999996</v>
      </c>
      <c r="AD165">
        <f t="shared" si="28"/>
        <v>19.13567901234568</v>
      </c>
      <c r="AE165">
        <f t="shared" si="29"/>
        <v>17.212658085679013</v>
      </c>
      <c r="AF165" s="9"/>
      <c r="AG165" s="22">
        <v>0.68054199999999998</v>
      </c>
      <c r="AH165" s="22">
        <v>19.1159</v>
      </c>
      <c r="AI165" s="22">
        <v>-1.5847799999999999E-2</v>
      </c>
      <c r="AJ165" s="22">
        <v>155</v>
      </c>
      <c r="AK165" s="22">
        <v>0.67996199999999996</v>
      </c>
      <c r="AL165">
        <f t="shared" si="30"/>
        <v>19.565185185185182</v>
      </c>
      <c r="AM165">
        <f t="shared" si="31"/>
        <v>13.314930256296295</v>
      </c>
      <c r="AP165" s="9"/>
      <c r="AQ165" s="22">
        <v>0.89950600000000003</v>
      </c>
      <c r="AR165" s="22">
        <v>24.4146</v>
      </c>
      <c r="AS165" s="22">
        <v>-1.54816E-2</v>
      </c>
      <c r="AT165" s="22">
        <v>155</v>
      </c>
      <c r="AU165" s="22">
        <v>0.89874299999999996</v>
      </c>
      <c r="AV165">
        <f t="shared" si="32"/>
        <v>19.113086419753085</v>
      </c>
      <c r="AW165">
        <f t="shared" si="33"/>
        <v>17.192335913086417</v>
      </c>
      <c r="AX165" s="9"/>
      <c r="AY165" s="22">
        <v>0.68054199999999998</v>
      </c>
      <c r="AZ165" s="22">
        <v>27.992000000000001</v>
      </c>
      <c r="BA165" s="22">
        <v>-1.5862999999999999E-2</v>
      </c>
      <c r="BB165" s="22">
        <v>155</v>
      </c>
      <c r="BC165" s="22">
        <v>0.679871</v>
      </c>
      <c r="BD165">
        <f t="shared" si="34"/>
        <v>19.58395061728395</v>
      </c>
      <c r="BE165">
        <f t="shared" si="35"/>
        <v>13.327700920987654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6.6654</v>
      </c>
      <c r="I166" s="22">
        <v>-1.55853E-2</v>
      </c>
      <c r="J166" s="22">
        <v>156</v>
      </c>
      <c r="K166" s="22">
        <v>0.89355499999999999</v>
      </c>
      <c r="L166">
        <f t="shared" si="24"/>
        <v>19.24111111111111</v>
      </c>
      <c r="M166">
        <f t="shared" si="25"/>
        <v>17.210596655555555</v>
      </c>
      <c r="N166" s="9"/>
      <c r="O166" s="22">
        <v>0.68557699999999999</v>
      </c>
      <c r="P166" s="22">
        <v>10.242900000000001</v>
      </c>
      <c r="Q166" s="22">
        <v>-1.5866100000000001E-2</v>
      </c>
      <c r="R166" s="22">
        <v>156</v>
      </c>
      <c r="S166" s="22">
        <v>0.68484500000000004</v>
      </c>
      <c r="T166">
        <f t="shared" si="26"/>
        <v>19.587777777777777</v>
      </c>
      <c r="U166">
        <f t="shared" si="27"/>
        <v>13.428929925555556</v>
      </c>
      <c r="X166" s="9"/>
      <c r="Y166" s="22">
        <v>0.89446999999999999</v>
      </c>
      <c r="Z166" s="22">
        <v>15.548400000000001</v>
      </c>
      <c r="AA166" s="22">
        <v>-1.5509E-2</v>
      </c>
      <c r="AB166" s="22">
        <v>156</v>
      </c>
      <c r="AC166" s="22">
        <v>0.89355499999999999</v>
      </c>
      <c r="AD166">
        <f t="shared" si="28"/>
        <v>19.14691358024691</v>
      </c>
      <c r="AE166">
        <f t="shared" si="29"/>
        <v>17.126339790123453</v>
      </c>
      <c r="AF166" s="9"/>
      <c r="AG166" s="22">
        <v>0.68557699999999999</v>
      </c>
      <c r="AH166" s="22">
        <v>19.125900000000001</v>
      </c>
      <c r="AI166" s="22">
        <v>-1.5838600000000001E-2</v>
      </c>
      <c r="AJ166" s="22">
        <v>156</v>
      </c>
      <c r="AK166" s="22">
        <v>0.68478399999999995</v>
      </c>
      <c r="AL166">
        <f t="shared" si="30"/>
        <v>19.553827160493825</v>
      </c>
      <c r="AM166">
        <f t="shared" si="31"/>
        <v>13.405654163209874</v>
      </c>
      <c r="AP166" s="9"/>
      <c r="AQ166" s="22">
        <v>0.89446999999999999</v>
      </c>
      <c r="AR166" s="22">
        <v>24.424600000000002</v>
      </c>
      <c r="AS166" s="22">
        <v>-1.54907E-2</v>
      </c>
      <c r="AT166" s="22">
        <v>156</v>
      </c>
      <c r="AU166" s="22">
        <v>0.89416499999999999</v>
      </c>
      <c r="AV166">
        <f t="shared" si="32"/>
        <v>19.124320987654318</v>
      </c>
      <c r="AW166">
        <f t="shared" si="33"/>
        <v>17.106131393827159</v>
      </c>
      <c r="AX166" s="9"/>
      <c r="AY166" s="22">
        <v>0.68557699999999999</v>
      </c>
      <c r="AZ166" s="22">
        <v>28.002099999999999</v>
      </c>
      <c r="BA166" s="22">
        <v>-1.5850800000000002E-2</v>
      </c>
      <c r="BB166" s="22">
        <v>156</v>
      </c>
      <c r="BC166" s="22">
        <v>0.68472299999999997</v>
      </c>
      <c r="BD166">
        <f t="shared" si="34"/>
        <v>19.568888888888889</v>
      </c>
      <c r="BE166">
        <f t="shared" si="35"/>
        <v>13.415980137777778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6.6754699999999998</v>
      </c>
      <c r="I167" s="22">
        <v>-1.5594500000000001E-2</v>
      </c>
      <c r="J167" s="22">
        <v>157</v>
      </c>
      <c r="K167" s="22">
        <v>0.88897700000000002</v>
      </c>
      <c r="L167">
        <f t="shared" si="24"/>
        <v>19.252469135802468</v>
      </c>
      <c r="M167">
        <f t="shared" si="25"/>
        <v>17.123819885802469</v>
      </c>
      <c r="N167" s="9"/>
      <c r="O167" s="22">
        <v>0.69061300000000003</v>
      </c>
      <c r="P167" s="22">
        <v>10.253</v>
      </c>
      <c r="Q167" s="22">
        <v>-1.5859999999999999E-2</v>
      </c>
      <c r="R167" s="22">
        <v>157</v>
      </c>
      <c r="S167" s="22">
        <v>0.68972800000000001</v>
      </c>
      <c r="T167">
        <f t="shared" si="26"/>
        <v>19.580246913580247</v>
      </c>
      <c r="U167">
        <f t="shared" si="27"/>
        <v>13.522373061728395</v>
      </c>
      <c r="X167" s="9"/>
      <c r="Y167" s="22">
        <v>0.88943499999999998</v>
      </c>
      <c r="Z167" s="22">
        <v>15.5585</v>
      </c>
      <c r="AA167" s="22">
        <v>-1.5518199999999999E-2</v>
      </c>
      <c r="AB167" s="22">
        <v>157</v>
      </c>
      <c r="AC167" s="22">
        <v>0.88867200000000002</v>
      </c>
      <c r="AD167">
        <f t="shared" si="28"/>
        <v>19.158271604938271</v>
      </c>
      <c r="AE167">
        <f t="shared" si="29"/>
        <v>17.04003730493827</v>
      </c>
      <c r="AF167" s="9"/>
      <c r="AG167" s="22">
        <v>0.69061300000000003</v>
      </c>
      <c r="AH167" s="22">
        <v>19.135999999999999</v>
      </c>
      <c r="AI167" s="22">
        <v>-1.58295E-2</v>
      </c>
      <c r="AJ167" s="22">
        <v>157</v>
      </c>
      <c r="AK167" s="22">
        <v>0.69006299999999998</v>
      </c>
      <c r="AL167">
        <f t="shared" si="30"/>
        <v>19.542592592592591</v>
      </c>
      <c r="AM167">
        <f t="shared" si="31"/>
        <v>13.496368498148147</v>
      </c>
      <c r="AP167" s="9"/>
      <c r="AQ167" s="22">
        <v>0.88943499999999998</v>
      </c>
      <c r="AR167" s="22">
        <v>24.434699999999999</v>
      </c>
      <c r="AS167" s="22">
        <v>-1.54999E-2</v>
      </c>
      <c r="AT167" s="22">
        <v>157</v>
      </c>
      <c r="AU167" s="22">
        <v>0.88836700000000002</v>
      </c>
      <c r="AV167">
        <f t="shared" si="32"/>
        <v>19.13567901234568</v>
      </c>
      <c r="AW167">
        <f t="shared" si="33"/>
        <v>17.019942662345681</v>
      </c>
      <c r="AX167" s="9"/>
      <c r="AY167" s="22">
        <v>0.69061300000000003</v>
      </c>
      <c r="AZ167" s="22">
        <v>28.0122</v>
      </c>
      <c r="BA167" s="22">
        <v>-1.58417E-2</v>
      </c>
      <c r="BB167" s="22">
        <v>157</v>
      </c>
      <c r="BC167" s="22">
        <v>0.68981899999999996</v>
      </c>
      <c r="BD167">
        <f t="shared" si="34"/>
        <v>19.557654320987655</v>
      </c>
      <c r="BE167">
        <f t="shared" si="35"/>
        <v>13.506770323580248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6.6855399999999996</v>
      </c>
      <c r="I168" s="22">
        <v>-1.56036E-2</v>
      </c>
      <c r="J168" s="22">
        <v>158</v>
      </c>
      <c r="K168" s="22">
        <v>0.88317900000000005</v>
      </c>
      <c r="L168">
        <f t="shared" si="24"/>
        <v>19.263703703703705</v>
      </c>
      <c r="M168">
        <f t="shared" si="25"/>
        <v>17.036800291851854</v>
      </c>
      <c r="N168" s="9"/>
      <c r="O168" s="22">
        <v>0.69564800000000004</v>
      </c>
      <c r="P168" s="22">
        <v>10.263</v>
      </c>
      <c r="Q168" s="22">
        <v>-1.5847799999999999E-2</v>
      </c>
      <c r="R168" s="22">
        <v>158</v>
      </c>
      <c r="S168" s="22">
        <v>0.69516</v>
      </c>
      <c r="T168">
        <f t="shared" si="26"/>
        <v>19.565185185185182</v>
      </c>
      <c r="U168">
        <f t="shared" si="27"/>
        <v>13.610481943703702</v>
      </c>
      <c r="X168" s="9"/>
      <c r="Y168" s="22">
        <v>0.88439900000000005</v>
      </c>
      <c r="Z168" s="22">
        <v>15.5686</v>
      </c>
      <c r="AA168" s="22">
        <v>-1.5527300000000001E-2</v>
      </c>
      <c r="AB168" s="22">
        <v>158</v>
      </c>
      <c r="AC168" s="22">
        <v>0.88348400000000005</v>
      </c>
      <c r="AD168">
        <f t="shared" si="28"/>
        <v>19.169506172839505</v>
      </c>
      <c r="AE168">
        <f t="shared" si="29"/>
        <v>16.953492089753087</v>
      </c>
      <c r="AF168" s="9"/>
      <c r="AG168" s="22">
        <v>0.69564800000000004</v>
      </c>
      <c r="AH168" s="22">
        <v>19.146100000000001</v>
      </c>
      <c r="AI168" s="22">
        <v>-1.5823400000000001E-2</v>
      </c>
      <c r="AJ168" s="22">
        <v>158</v>
      </c>
      <c r="AK168" s="22">
        <v>0.69488499999999997</v>
      </c>
      <c r="AL168">
        <f t="shared" si="30"/>
        <v>19.535061728395064</v>
      </c>
      <c r="AM168">
        <f t="shared" si="31"/>
        <v>13.589526621234571</v>
      </c>
      <c r="AP168" s="9"/>
      <c r="AQ168" s="22">
        <v>0.88439900000000005</v>
      </c>
      <c r="AR168" s="22">
        <v>24.444800000000001</v>
      </c>
      <c r="AS168" s="22">
        <v>-1.5509E-2</v>
      </c>
      <c r="AT168" s="22">
        <v>158</v>
      </c>
      <c r="AU168" s="22">
        <v>0.88348400000000005</v>
      </c>
      <c r="AV168">
        <f t="shared" si="32"/>
        <v>19.14691358024691</v>
      </c>
      <c r="AW168">
        <f t="shared" si="33"/>
        <v>16.933511223456787</v>
      </c>
      <c r="AX168" s="9"/>
      <c r="AY168" s="22">
        <v>0.69564800000000004</v>
      </c>
      <c r="AZ168" s="22">
        <v>28.022300000000001</v>
      </c>
      <c r="BA168" s="22">
        <v>-1.5835599999999998E-2</v>
      </c>
      <c r="BB168" s="22">
        <v>158</v>
      </c>
      <c r="BC168" s="22">
        <v>0.69461099999999998</v>
      </c>
      <c r="BD168">
        <f t="shared" si="34"/>
        <v>19.550123456790118</v>
      </c>
      <c r="BE168">
        <f t="shared" si="35"/>
        <v>13.600004282469133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6.6956100000000003</v>
      </c>
      <c r="I169" s="22">
        <v>-1.5609700000000001E-2</v>
      </c>
      <c r="J169" s="22">
        <v>159</v>
      </c>
      <c r="K169" s="22">
        <v>0.87829599999999997</v>
      </c>
      <c r="L169">
        <f t="shared" si="24"/>
        <v>19.271234567901235</v>
      </c>
      <c r="M169">
        <f t="shared" si="25"/>
        <v>16.946429914567901</v>
      </c>
      <c r="N169" s="9"/>
      <c r="O169" s="22">
        <v>0.70068399999999997</v>
      </c>
      <c r="P169" s="22">
        <v>10.273099999999999</v>
      </c>
      <c r="Q169" s="22">
        <v>-1.5835599999999998E-2</v>
      </c>
      <c r="R169" s="22">
        <v>159</v>
      </c>
      <c r="S169" s="22">
        <v>0.69992100000000002</v>
      </c>
      <c r="T169">
        <f t="shared" si="26"/>
        <v>19.550123456790118</v>
      </c>
      <c r="U169">
        <f t="shared" si="27"/>
        <v>13.698458704197526</v>
      </c>
      <c r="X169" s="9"/>
      <c r="Y169" s="22">
        <v>0.87936400000000003</v>
      </c>
      <c r="Z169" s="22">
        <v>15.5787</v>
      </c>
      <c r="AA169" s="22">
        <v>-1.5539600000000001E-2</v>
      </c>
      <c r="AB169" s="22">
        <v>159</v>
      </c>
      <c r="AC169" s="22">
        <v>0.87829599999999997</v>
      </c>
      <c r="AD169">
        <f t="shared" si="28"/>
        <v>19.18469135802469</v>
      </c>
      <c r="AE169">
        <f t="shared" si="29"/>
        <v>16.870326931358026</v>
      </c>
      <c r="AF169" s="9"/>
      <c r="AG169" s="22">
        <v>0.70068399999999997</v>
      </c>
      <c r="AH169" s="22">
        <v>19.156099999999999</v>
      </c>
      <c r="AI169" s="22">
        <v>-1.5817299999999999E-2</v>
      </c>
      <c r="AJ169" s="22">
        <v>159</v>
      </c>
      <c r="AK169" s="22">
        <v>0.70010399999999995</v>
      </c>
      <c r="AL169">
        <f t="shared" si="30"/>
        <v>19.527530864197526</v>
      </c>
      <c r="AM169">
        <f t="shared" si="31"/>
        <v>13.682628436049379</v>
      </c>
      <c r="AP169" s="9"/>
      <c r="AQ169" s="22">
        <v>0.87936400000000003</v>
      </c>
      <c r="AR169" s="22">
        <v>24.454799999999999</v>
      </c>
      <c r="AS169" s="22">
        <v>-1.55151E-2</v>
      </c>
      <c r="AT169" s="22">
        <v>159</v>
      </c>
      <c r="AU169" s="22">
        <v>0.87829599999999997</v>
      </c>
      <c r="AV169">
        <f t="shared" si="32"/>
        <v>19.154444444444444</v>
      </c>
      <c r="AW169">
        <f t="shared" si="33"/>
        <v>16.843728884444445</v>
      </c>
      <c r="AX169" s="9"/>
      <c r="AY169" s="22">
        <v>0.70068399999999997</v>
      </c>
      <c r="AZ169" s="22">
        <v>28.032299999999999</v>
      </c>
      <c r="BA169" s="22">
        <v>-1.5826400000000001E-2</v>
      </c>
      <c r="BB169" s="22">
        <v>159</v>
      </c>
      <c r="BC169" s="22">
        <v>0.70010399999999995</v>
      </c>
      <c r="BD169">
        <f t="shared" si="34"/>
        <v>19.538765432098767</v>
      </c>
      <c r="BE169">
        <f t="shared" si="35"/>
        <v>13.690500318024693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6.7056800000000001</v>
      </c>
      <c r="I170" s="22">
        <v>-1.56189E-2</v>
      </c>
      <c r="J170" s="22">
        <v>160</v>
      </c>
      <c r="K170" s="22">
        <v>0.87371799999999999</v>
      </c>
      <c r="L170">
        <f t="shared" si="24"/>
        <v>19.282592592592589</v>
      </c>
      <c r="M170">
        <f t="shared" si="25"/>
        <v>16.859329898888888</v>
      </c>
      <c r="N170" s="9"/>
      <c r="O170" s="22">
        <v>0.70571899999999999</v>
      </c>
      <c r="P170" s="22">
        <v>10.283200000000001</v>
      </c>
      <c r="Q170" s="22">
        <v>-1.58295E-2</v>
      </c>
      <c r="R170" s="22">
        <v>160</v>
      </c>
      <c r="S170" s="22">
        <v>0.70507799999999998</v>
      </c>
      <c r="T170">
        <f t="shared" si="26"/>
        <v>19.542592592592591</v>
      </c>
      <c r="U170">
        <f t="shared" si="27"/>
        <v>13.79157890185185</v>
      </c>
      <c r="X170" s="9"/>
      <c r="Y170" s="22">
        <v>0.87432900000000002</v>
      </c>
      <c r="Z170" s="22">
        <v>15.588699999999999</v>
      </c>
      <c r="AA170" s="22">
        <v>-1.55487E-2</v>
      </c>
      <c r="AB170" s="22">
        <v>160</v>
      </c>
      <c r="AC170" s="22">
        <v>0.872803</v>
      </c>
      <c r="AD170">
        <f t="shared" si="28"/>
        <v>19.195925925925927</v>
      </c>
      <c r="AE170">
        <f t="shared" si="29"/>
        <v>16.78355471888889</v>
      </c>
      <c r="AF170" s="9"/>
      <c r="AG170" s="22">
        <v>0.70571899999999999</v>
      </c>
      <c r="AH170" s="22">
        <v>19.1662</v>
      </c>
      <c r="AI170" s="22">
        <v>-1.5811200000000001E-2</v>
      </c>
      <c r="AJ170" s="22">
        <v>160</v>
      </c>
      <c r="AK170" s="22">
        <v>0.70486499999999996</v>
      </c>
      <c r="AL170">
        <f t="shared" si="30"/>
        <v>19.52</v>
      </c>
      <c r="AM170">
        <f t="shared" si="31"/>
        <v>13.77563488</v>
      </c>
      <c r="AP170" s="9"/>
      <c r="AQ170" s="22">
        <v>0.87432900000000002</v>
      </c>
      <c r="AR170" s="22">
        <v>24.4649</v>
      </c>
      <c r="AS170" s="22">
        <v>-1.5521200000000001E-2</v>
      </c>
      <c r="AT170" s="22">
        <v>160</v>
      </c>
      <c r="AU170" s="22">
        <v>0.87341299999999999</v>
      </c>
      <c r="AV170">
        <f t="shared" si="32"/>
        <v>19.161975308641974</v>
      </c>
      <c r="AW170">
        <f t="shared" si="33"/>
        <v>16.753870709629631</v>
      </c>
      <c r="AX170" s="9"/>
      <c r="AY170" s="22">
        <v>0.70571899999999999</v>
      </c>
      <c r="AZ170" s="22">
        <v>28.042400000000001</v>
      </c>
      <c r="BA170" s="22">
        <v>-1.5817299999999999E-2</v>
      </c>
      <c r="BB170" s="22">
        <v>160</v>
      </c>
      <c r="BC170" s="22">
        <v>0.70504800000000001</v>
      </c>
      <c r="BD170">
        <f t="shared" si="34"/>
        <v>19.527530864197526</v>
      </c>
      <c r="BE170">
        <f t="shared" si="35"/>
        <v>13.780949553950613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6.7157600000000004</v>
      </c>
      <c r="I171" s="22">
        <v>-1.5625E-2</v>
      </c>
      <c r="J171" s="22">
        <v>161</v>
      </c>
      <c r="K171" s="22">
        <v>0.86822500000000002</v>
      </c>
      <c r="L171">
        <f t="shared" si="24"/>
        <v>19.290123456790123</v>
      </c>
      <c r="M171">
        <f t="shared" si="25"/>
        <v>16.768769290123455</v>
      </c>
      <c r="N171" s="9"/>
      <c r="O171" s="22">
        <v>0.710754</v>
      </c>
      <c r="P171" s="22">
        <v>10.293200000000001</v>
      </c>
      <c r="Q171" s="22">
        <v>-1.5820299999999999E-2</v>
      </c>
      <c r="R171" s="22">
        <v>161</v>
      </c>
      <c r="S171" s="22">
        <v>0.70992999999999995</v>
      </c>
      <c r="T171">
        <f t="shared" si="26"/>
        <v>19.53123456790123</v>
      </c>
      <c r="U171">
        <f t="shared" si="27"/>
        <v>13.881903094074071</v>
      </c>
      <c r="X171" s="9"/>
      <c r="Y171" s="22">
        <v>0.86929299999999998</v>
      </c>
      <c r="Z171" s="22">
        <v>15.598800000000001</v>
      </c>
      <c r="AA171" s="22">
        <v>-1.5554800000000001E-2</v>
      </c>
      <c r="AB171" s="22">
        <v>161</v>
      </c>
      <c r="AC171" s="22">
        <v>0.86792000000000002</v>
      </c>
      <c r="AD171">
        <f t="shared" si="28"/>
        <v>19.203456790123457</v>
      </c>
      <c r="AE171">
        <f t="shared" si="29"/>
        <v>16.69343056345679</v>
      </c>
      <c r="AF171" s="9"/>
      <c r="AG171" s="22">
        <v>0.710754</v>
      </c>
      <c r="AH171" s="22">
        <v>19.176300000000001</v>
      </c>
      <c r="AI171" s="22">
        <v>-1.5802E-2</v>
      </c>
      <c r="AJ171" s="22">
        <v>161</v>
      </c>
      <c r="AK171" s="22">
        <v>0.70992999999999995</v>
      </c>
      <c r="AL171">
        <f t="shared" si="30"/>
        <v>19.508641975308638</v>
      </c>
      <c r="AM171">
        <f t="shared" si="31"/>
        <v>13.865845318518517</v>
      </c>
      <c r="AP171" s="9"/>
      <c r="AQ171" s="22">
        <v>0.86929299999999998</v>
      </c>
      <c r="AR171" s="22">
        <v>24.475000000000001</v>
      </c>
      <c r="AS171" s="22">
        <v>-1.5533399999999999E-2</v>
      </c>
      <c r="AT171" s="22">
        <v>161</v>
      </c>
      <c r="AU171" s="22">
        <v>0.86792000000000002</v>
      </c>
      <c r="AV171">
        <f t="shared" si="32"/>
        <v>19.177037037037035</v>
      </c>
      <c r="AW171">
        <f t="shared" si="33"/>
        <v>16.670464057037034</v>
      </c>
      <c r="AX171" s="9"/>
      <c r="AY171" s="22">
        <v>0.710754</v>
      </c>
      <c r="AZ171" s="22">
        <v>28.052499999999998</v>
      </c>
      <c r="BA171" s="22">
        <v>-1.5811200000000001E-2</v>
      </c>
      <c r="BB171" s="22">
        <v>161</v>
      </c>
      <c r="BC171" s="22">
        <v>0.71011400000000002</v>
      </c>
      <c r="BD171">
        <f t="shared" si="34"/>
        <v>19.52</v>
      </c>
      <c r="BE171">
        <f t="shared" si="35"/>
        <v>13.873918079999999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6.7258300000000002</v>
      </c>
      <c r="I172" s="22">
        <v>-1.5634200000000001E-2</v>
      </c>
      <c r="J172" s="22">
        <v>162</v>
      </c>
      <c r="K172" s="22">
        <v>0.86303700000000005</v>
      </c>
      <c r="L172">
        <f t="shared" si="24"/>
        <v>19.301481481481481</v>
      </c>
      <c r="M172">
        <f t="shared" si="25"/>
        <v>16.68145978222222</v>
      </c>
      <c r="N172" s="9"/>
      <c r="O172" s="22">
        <v>0.71579000000000004</v>
      </c>
      <c r="P172" s="22">
        <v>10.3033</v>
      </c>
      <c r="Q172" s="22">
        <v>-1.5811200000000001E-2</v>
      </c>
      <c r="R172" s="22">
        <v>162</v>
      </c>
      <c r="S172" s="22">
        <v>0.71521000000000001</v>
      </c>
      <c r="T172">
        <f t="shared" si="26"/>
        <v>19.52</v>
      </c>
      <c r="U172">
        <f t="shared" si="27"/>
        <v>13.972220800000001</v>
      </c>
      <c r="X172" s="9"/>
      <c r="Y172" s="22">
        <v>0.86425799999999997</v>
      </c>
      <c r="Z172" s="22">
        <v>15.6089</v>
      </c>
      <c r="AA172" s="22">
        <v>-1.5564E-2</v>
      </c>
      <c r="AB172" s="22">
        <v>162</v>
      </c>
      <c r="AC172" s="22">
        <v>0.86364700000000005</v>
      </c>
      <c r="AD172">
        <f t="shared" si="28"/>
        <v>19.214814814814812</v>
      </c>
      <c r="AE172">
        <f t="shared" si="29"/>
        <v>16.60655742222222</v>
      </c>
      <c r="AF172" s="9"/>
      <c r="AG172" s="22">
        <v>0.71579000000000004</v>
      </c>
      <c r="AH172" s="22">
        <v>19.186399999999999</v>
      </c>
      <c r="AI172" s="22">
        <v>-1.57898E-2</v>
      </c>
      <c r="AJ172" s="22">
        <v>162</v>
      </c>
      <c r="AK172" s="22">
        <v>0.71505700000000005</v>
      </c>
      <c r="AL172">
        <f t="shared" si="30"/>
        <v>19.493580246913581</v>
      </c>
      <c r="AM172">
        <f t="shared" si="31"/>
        <v>13.953309804938273</v>
      </c>
      <c r="AP172" s="9"/>
      <c r="AQ172" s="22">
        <v>0.86425799999999997</v>
      </c>
      <c r="AR172" s="22">
        <v>24.485099999999999</v>
      </c>
      <c r="AS172" s="22">
        <v>-1.55426E-2</v>
      </c>
      <c r="AT172" s="22">
        <v>162</v>
      </c>
      <c r="AU172" s="22">
        <v>0.86364700000000005</v>
      </c>
      <c r="AV172">
        <f t="shared" si="32"/>
        <v>19.188395061728393</v>
      </c>
      <c r="AW172">
        <f t="shared" si="33"/>
        <v>16.583723939259258</v>
      </c>
      <c r="AX172" s="9"/>
      <c r="AY172" s="22">
        <v>0.71579000000000004</v>
      </c>
      <c r="AZ172" s="22">
        <v>28.0625</v>
      </c>
      <c r="BA172" s="22">
        <v>-1.5802E-2</v>
      </c>
      <c r="BB172" s="22">
        <v>162</v>
      </c>
      <c r="BC172" s="22">
        <v>0.71496599999999999</v>
      </c>
      <c r="BD172">
        <f t="shared" si="34"/>
        <v>19.508641975308638</v>
      </c>
      <c r="BE172">
        <f t="shared" si="35"/>
        <v>13.96409083950617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6.7359</v>
      </c>
      <c r="I173" s="22">
        <v>-1.5643299999999999E-2</v>
      </c>
      <c r="J173" s="22">
        <v>163</v>
      </c>
      <c r="K173" s="22">
        <v>0.85815399999999997</v>
      </c>
      <c r="L173">
        <f t="shared" si="24"/>
        <v>19.312716049382715</v>
      </c>
      <c r="M173">
        <f t="shared" si="25"/>
        <v>16.593910509382717</v>
      </c>
      <c r="N173" s="9"/>
      <c r="O173" s="22">
        <v>0.72082500000000005</v>
      </c>
      <c r="P173" s="22">
        <v>10.3134</v>
      </c>
      <c r="Q173" s="22">
        <v>-1.5805099999999999E-2</v>
      </c>
      <c r="R173" s="22">
        <v>163</v>
      </c>
      <c r="S173" s="22">
        <v>0.72009299999999998</v>
      </c>
      <c r="T173">
        <f t="shared" si="26"/>
        <v>19.512469135802469</v>
      </c>
      <c r="U173">
        <f t="shared" si="27"/>
        <v>14.065075564814816</v>
      </c>
      <c r="X173" s="9"/>
      <c r="Y173" s="22">
        <v>0.85922200000000004</v>
      </c>
      <c r="Z173" s="22">
        <v>15.6189</v>
      </c>
      <c r="AA173" s="22">
        <v>-1.55701E-2</v>
      </c>
      <c r="AB173" s="22">
        <v>163</v>
      </c>
      <c r="AC173" s="22">
        <v>0.85784899999999997</v>
      </c>
      <c r="AD173">
        <f t="shared" si="28"/>
        <v>19.222345679012346</v>
      </c>
      <c r="AE173">
        <f t="shared" si="29"/>
        <v>16.516262299012347</v>
      </c>
      <c r="AF173" s="9"/>
      <c r="AG173" s="22">
        <v>0.72082500000000005</v>
      </c>
      <c r="AH173" s="22">
        <v>19.196400000000001</v>
      </c>
      <c r="AI173" s="22">
        <v>-1.5783700000000001E-2</v>
      </c>
      <c r="AJ173" s="22">
        <v>163</v>
      </c>
      <c r="AK173" s="22">
        <v>0.72015399999999996</v>
      </c>
      <c r="AL173">
        <f t="shared" si="30"/>
        <v>19.486049382716047</v>
      </c>
      <c r="AM173">
        <f t="shared" si="31"/>
        <v>14.046031546296295</v>
      </c>
      <c r="AP173" s="9"/>
      <c r="AQ173" s="22">
        <v>0.85922200000000004</v>
      </c>
      <c r="AR173" s="22">
        <v>24.495100000000001</v>
      </c>
      <c r="AS173" s="22">
        <v>-1.5551799999999999E-2</v>
      </c>
      <c r="AT173" s="22">
        <v>163</v>
      </c>
      <c r="AU173" s="22">
        <v>0.85907</v>
      </c>
      <c r="AV173">
        <f t="shared" si="32"/>
        <v>19.199753086419751</v>
      </c>
      <c r="AW173">
        <f t="shared" si="33"/>
        <v>16.496850246419751</v>
      </c>
      <c r="AX173" s="9"/>
      <c r="AY173" s="22">
        <v>0.72082500000000005</v>
      </c>
      <c r="AZ173" s="22">
        <v>28.072600000000001</v>
      </c>
      <c r="BA173" s="22">
        <v>-1.5792799999999999E-2</v>
      </c>
      <c r="BB173" s="22">
        <v>163</v>
      </c>
      <c r="BC173" s="22">
        <v>0.71994000000000002</v>
      </c>
      <c r="BD173">
        <f t="shared" si="34"/>
        <v>19.49728395061728</v>
      </c>
      <c r="BE173">
        <f t="shared" si="35"/>
        <v>14.054129703703703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6.7459699999999998</v>
      </c>
      <c r="I174" s="22">
        <v>-1.5655499999999999E-2</v>
      </c>
      <c r="J174" s="22">
        <v>164</v>
      </c>
      <c r="K174" s="22">
        <v>0.853271</v>
      </c>
      <c r="L174">
        <f t="shared" si="24"/>
        <v>19.327777777777776</v>
      </c>
      <c r="M174">
        <f t="shared" si="25"/>
        <v>16.509536516666664</v>
      </c>
      <c r="N174" s="9"/>
      <c r="O174" s="22">
        <v>0.72586099999999998</v>
      </c>
      <c r="P174" s="22">
        <v>10.323499999999999</v>
      </c>
      <c r="Q174" s="22">
        <v>-1.5795900000000002E-2</v>
      </c>
      <c r="R174" s="22">
        <v>164</v>
      </c>
      <c r="S174" s="22">
        <v>0.72512799999999999</v>
      </c>
      <c r="T174">
        <f t="shared" si="26"/>
        <v>19.501111111111111</v>
      </c>
      <c r="U174">
        <f t="shared" si="27"/>
        <v>14.155096012222222</v>
      </c>
      <c r="X174" s="9"/>
      <c r="Y174" s="22">
        <v>0.85418700000000003</v>
      </c>
      <c r="Z174" s="22">
        <v>15.629</v>
      </c>
      <c r="AA174" s="22">
        <v>-1.55792E-2</v>
      </c>
      <c r="AB174" s="22">
        <v>164</v>
      </c>
      <c r="AC174" s="22">
        <v>0.852966</v>
      </c>
      <c r="AD174">
        <f t="shared" si="28"/>
        <v>19.233580246913579</v>
      </c>
      <c r="AE174">
        <f t="shared" si="29"/>
        <v>16.42907421037037</v>
      </c>
      <c r="AF174" s="9"/>
      <c r="AG174" s="22">
        <v>0.72586099999999998</v>
      </c>
      <c r="AH174" s="22">
        <v>19.206499999999998</v>
      </c>
      <c r="AI174" s="22">
        <v>-1.5771500000000001E-2</v>
      </c>
      <c r="AJ174" s="22">
        <v>164</v>
      </c>
      <c r="AK174" s="22">
        <v>0.72524999999999995</v>
      </c>
      <c r="AL174">
        <f t="shared" si="30"/>
        <v>19.470987654320989</v>
      </c>
      <c r="AM174">
        <f t="shared" si="31"/>
        <v>14.133230569753087</v>
      </c>
      <c r="AP174" s="9"/>
      <c r="AQ174" s="22">
        <v>0.85418700000000003</v>
      </c>
      <c r="AR174" s="22">
        <v>24.505199999999999</v>
      </c>
      <c r="AS174" s="22">
        <v>-1.55579E-2</v>
      </c>
      <c r="AT174" s="22">
        <v>164</v>
      </c>
      <c r="AU174" s="22">
        <v>0.853271</v>
      </c>
      <c r="AV174">
        <f t="shared" si="32"/>
        <v>19.207283950617281</v>
      </c>
      <c r="AW174">
        <f t="shared" si="33"/>
        <v>16.406612255925925</v>
      </c>
      <c r="AX174" s="9"/>
      <c r="AY174" s="22">
        <v>0.72586099999999998</v>
      </c>
      <c r="AZ174" s="22">
        <v>28.082699999999999</v>
      </c>
      <c r="BA174" s="22">
        <v>-1.5783700000000001E-2</v>
      </c>
      <c r="BB174" s="22">
        <v>164</v>
      </c>
      <c r="BC174" s="22">
        <v>0.72500600000000004</v>
      </c>
      <c r="BD174">
        <f t="shared" si="34"/>
        <v>19.486049382716047</v>
      </c>
      <c r="BE174">
        <f t="shared" si="35"/>
        <v>14.144163290987652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6.7560399999999996</v>
      </c>
      <c r="I175" s="22">
        <v>-1.5661600000000001E-2</v>
      </c>
      <c r="J175" s="22">
        <v>165</v>
      </c>
      <c r="K175" s="22">
        <v>0.84838899999999995</v>
      </c>
      <c r="L175">
        <f t="shared" si="24"/>
        <v>19.33530864197531</v>
      </c>
      <c r="M175">
        <f t="shared" si="25"/>
        <v>16.418616003950618</v>
      </c>
      <c r="N175" s="9"/>
      <c r="O175" s="22">
        <v>0.73089599999999999</v>
      </c>
      <c r="P175" s="22">
        <v>10.333500000000001</v>
      </c>
      <c r="Q175" s="22">
        <v>-1.5786700000000001E-2</v>
      </c>
      <c r="R175" s="22">
        <v>165</v>
      </c>
      <c r="S175" s="22">
        <v>0.73034699999999997</v>
      </c>
      <c r="T175">
        <f t="shared" si="26"/>
        <v>19.489753086419753</v>
      </c>
      <c r="U175">
        <f t="shared" si="27"/>
        <v>14.244982571851851</v>
      </c>
      <c r="X175" s="9"/>
      <c r="Y175" s="22">
        <v>0.84915200000000002</v>
      </c>
      <c r="Z175" s="22">
        <v>15.639099999999999</v>
      </c>
      <c r="AA175" s="22">
        <v>-1.55914E-2</v>
      </c>
      <c r="AB175" s="22">
        <v>165</v>
      </c>
      <c r="AC175" s="22">
        <v>0.84838899999999995</v>
      </c>
      <c r="AD175">
        <f t="shared" si="28"/>
        <v>19.24864197530864</v>
      </c>
      <c r="AE175">
        <f t="shared" si="29"/>
        <v>16.345022830617282</v>
      </c>
      <c r="AF175" s="9"/>
      <c r="AG175" s="22">
        <v>0.73089599999999999</v>
      </c>
      <c r="AH175" s="22">
        <v>19.2166</v>
      </c>
      <c r="AI175" s="22">
        <v>-1.57623E-2</v>
      </c>
      <c r="AJ175" s="22">
        <v>165</v>
      </c>
      <c r="AK175" s="22">
        <v>0.73019400000000001</v>
      </c>
      <c r="AL175">
        <f t="shared" si="30"/>
        <v>19.459629629629628</v>
      </c>
      <c r="AM175">
        <f t="shared" si="31"/>
        <v>14.222965457777777</v>
      </c>
      <c r="AP175" s="9"/>
      <c r="AQ175" s="22">
        <v>0.84915200000000002</v>
      </c>
      <c r="AR175" s="22">
        <v>24.5153</v>
      </c>
      <c r="AS175" s="22">
        <v>-1.55701E-2</v>
      </c>
      <c r="AT175" s="22">
        <v>165</v>
      </c>
      <c r="AU175" s="22">
        <v>0.84777800000000003</v>
      </c>
      <c r="AV175">
        <f t="shared" si="32"/>
        <v>19.222345679012346</v>
      </c>
      <c r="AW175">
        <f t="shared" si="33"/>
        <v>16.32269327802469</v>
      </c>
      <c r="AX175" s="9"/>
      <c r="AY175" s="22">
        <v>0.73089599999999999</v>
      </c>
      <c r="AZ175" s="22">
        <v>28.0928</v>
      </c>
      <c r="BA175" s="22">
        <v>-1.57745E-2</v>
      </c>
      <c r="BB175" s="22">
        <v>165</v>
      </c>
      <c r="BC175" s="22">
        <v>0.73016400000000004</v>
      </c>
      <c r="BD175">
        <f t="shared" si="34"/>
        <v>19.474691358024693</v>
      </c>
      <c r="BE175">
        <f t="shared" si="35"/>
        <v>14.233974014814816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6.7661100000000003</v>
      </c>
      <c r="I176" s="22">
        <v>-1.5673800000000002E-2</v>
      </c>
      <c r="J176" s="22">
        <v>166</v>
      </c>
      <c r="K176" s="22">
        <v>0.84289599999999998</v>
      </c>
      <c r="L176">
        <f t="shared" si="24"/>
        <v>19.350370370370371</v>
      </c>
      <c r="M176">
        <f t="shared" si="25"/>
        <v>16.333957235555555</v>
      </c>
      <c r="N176" s="9"/>
      <c r="O176" s="22">
        <v>0.735931</v>
      </c>
      <c r="P176" s="22">
        <v>10.3436</v>
      </c>
      <c r="Q176" s="22">
        <v>-1.5777599999999999E-2</v>
      </c>
      <c r="R176" s="22">
        <v>166</v>
      </c>
      <c r="S176" s="22">
        <v>0.735016</v>
      </c>
      <c r="T176">
        <f t="shared" si="26"/>
        <v>19.478518518518516</v>
      </c>
      <c r="U176">
        <f t="shared" si="27"/>
        <v>14.334845611851851</v>
      </c>
      <c r="X176" s="9"/>
      <c r="Y176" s="22">
        <v>0.84411599999999998</v>
      </c>
      <c r="Z176" s="22">
        <v>15.6492</v>
      </c>
      <c r="AA176" s="22">
        <v>-1.55975E-2</v>
      </c>
      <c r="AB176" s="22">
        <v>166</v>
      </c>
      <c r="AC176" s="22">
        <v>0.84289599999999998</v>
      </c>
      <c r="AD176">
        <f t="shared" si="28"/>
        <v>19.256172839506171</v>
      </c>
      <c r="AE176">
        <f t="shared" si="29"/>
        <v>16.25444359259259</v>
      </c>
      <c r="AF176" s="9"/>
      <c r="AG176" s="22">
        <v>0.735931</v>
      </c>
      <c r="AH176" s="22">
        <v>19.226600000000001</v>
      </c>
      <c r="AI176" s="22">
        <v>-1.5756200000000001E-2</v>
      </c>
      <c r="AJ176" s="22">
        <v>166</v>
      </c>
      <c r="AK176" s="22">
        <v>0.73522900000000002</v>
      </c>
      <c r="AL176">
        <f t="shared" si="30"/>
        <v>19.452098765432101</v>
      </c>
      <c r="AM176">
        <f t="shared" si="31"/>
        <v>14.315402496543213</v>
      </c>
      <c r="AP176" s="9"/>
      <c r="AQ176" s="22">
        <v>0.84411599999999998</v>
      </c>
      <c r="AR176" s="22">
        <v>24.525300000000001</v>
      </c>
      <c r="AS176" s="22">
        <v>-1.55792E-2</v>
      </c>
      <c r="AT176" s="22">
        <v>166</v>
      </c>
      <c r="AU176" s="22">
        <v>0.84289599999999998</v>
      </c>
      <c r="AV176">
        <f t="shared" si="32"/>
        <v>19.233580246913579</v>
      </c>
      <c r="AW176">
        <f t="shared" si="33"/>
        <v>16.235372823703702</v>
      </c>
      <c r="AX176" s="9"/>
      <c r="AY176" s="22">
        <v>0.735931</v>
      </c>
      <c r="AZ176" s="22">
        <v>28.102799999999998</v>
      </c>
      <c r="BA176" s="22">
        <v>-1.5768399999999998E-2</v>
      </c>
      <c r="BB176" s="22">
        <v>166</v>
      </c>
      <c r="BC176" s="22">
        <v>0.73526000000000002</v>
      </c>
      <c r="BD176">
        <f t="shared" si="34"/>
        <v>19.467160493827159</v>
      </c>
      <c r="BE176">
        <f t="shared" si="35"/>
        <v>14.326486889382714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6.7761800000000001</v>
      </c>
      <c r="I177" s="22">
        <v>-1.5682999999999999E-2</v>
      </c>
      <c r="J177" s="22">
        <v>167</v>
      </c>
      <c r="K177" s="22">
        <v>0.83862300000000001</v>
      </c>
      <c r="L177">
        <f t="shared" si="24"/>
        <v>19.361728395061725</v>
      </c>
      <c r="M177">
        <f t="shared" si="25"/>
        <v>16.246058423456788</v>
      </c>
      <c r="N177" s="9"/>
      <c r="O177" s="22">
        <v>0.74096700000000004</v>
      </c>
      <c r="P177" s="22">
        <v>10.3537</v>
      </c>
      <c r="Q177" s="22">
        <v>-1.5771500000000001E-2</v>
      </c>
      <c r="R177" s="22">
        <v>167</v>
      </c>
      <c r="S177" s="22">
        <v>0.74023399999999995</v>
      </c>
      <c r="T177">
        <f t="shared" si="26"/>
        <v>19.470987654320989</v>
      </c>
      <c r="U177">
        <f t="shared" si="27"/>
        <v>14.427359309259261</v>
      </c>
      <c r="X177" s="9"/>
      <c r="Y177" s="22">
        <v>0.83908099999999997</v>
      </c>
      <c r="Z177" s="22">
        <v>15.6592</v>
      </c>
      <c r="AA177" s="22">
        <v>-1.56036E-2</v>
      </c>
      <c r="AB177" s="22">
        <v>167</v>
      </c>
      <c r="AC177" s="22">
        <v>0.83801300000000001</v>
      </c>
      <c r="AD177">
        <f t="shared" si="28"/>
        <v>19.263703703703705</v>
      </c>
      <c r="AE177">
        <f t="shared" si="29"/>
        <v>16.163807767407409</v>
      </c>
      <c r="AF177" s="9"/>
      <c r="AG177" s="22">
        <v>0.74096700000000004</v>
      </c>
      <c r="AH177" s="22">
        <v>19.236699999999999</v>
      </c>
      <c r="AI177" s="22">
        <v>-1.57471E-2</v>
      </c>
      <c r="AJ177" s="22">
        <v>167</v>
      </c>
      <c r="AK177" s="22">
        <v>0.74023399999999995</v>
      </c>
      <c r="AL177">
        <f t="shared" si="30"/>
        <v>19.44086419753086</v>
      </c>
      <c r="AM177">
        <f t="shared" si="31"/>
        <v>14.40503882185185</v>
      </c>
      <c r="AP177" s="9"/>
      <c r="AQ177" s="22">
        <v>0.83908099999999997</v>
      </c>
      <c r="AR177" s="22">
        <v>24.535399999999999</v>
      </c>
      <c r="AS177" s="22">
        <v>-1.55914E-2</v>
      </c>
      <c r="AT177" s="22">
        <v>167</v>
      </c>
      <c r="AU177" s="22">
        <v>0.83770800000000001</v>
      </c>
      <c r="AV177">
        <f t="shared" si="32"/>
        <v>19.24864197530864</v>
      </c>
      <c r="AW177">
        <f t="shared" si="33"/>
        <v>16.151169757283949</v>
      </c>
      <c r="AX177" s="9"/>
      <c r="AY177" s="22">
        <v>0.74096700000000004</v>
      </c>
      <c r="AZ177" s="22">
        <v>28.1129</v>
      </c>
      <c r="BA177" s="22">
        <v>-1.57593E-2</v>
      </c>
      <c r="BB177" s="22">
        <v>167</v>
      </c>
      <c r="BC177" s="22">
        <v>0.74029500000000004</v>
      </c>
      <c r="BD177">
        <f t="shared" si="34"/>
        <v>19.455925925925925</v>
      </c>
      <c r="BE177">
        <f t="shared" si="35"/>
        <v>14.416199065555556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6.7862499999999999</v>
      </c>
      <c r="I178" s="22">
        <v>-1.5685999999999999E-2</v>
      </c>
      <c r="J178" s="22">
        <v>168</v>
      </c>
      <c r="K178" s="22">
        <v>0.83313000000000004</v>
      </c>
      <c r="L178">
        <f t="shared" si="24"/>
        <v>19.365432098765428</v>
      </c>
      <c r="M178">
        <f t="shared" si="25"/>
        <v>16.151641814814813</v>
      </c>
      <c r="N178" s="9"/>
      <c r="O178" s="22">
        <v>0.74600200000000005</v>
      </c>
      <c r="P178" s="22">
        <v>10.3637</v>
      </c>
      <c r="Q178" s="22">
        <v>-1.57623E-2</v>
      </c>
      <c r="R178" s="22">
        <v>168</v>
      </c>
      <c r="S178" s="22">
        <v>0.74557499999999999</v>
      </c>
      <c r="T178">
        <f t="shared" si="26"/>
        <v>19.459629629629628</v>
      </c>
      <c r="U178">
        <f t="shared" si="27"/>
        <v>14.516922622962962</v>
      </c>
      <c r="X178" s="9"/>
      <c r="Y178" s="22">
        <v>0.83404500000000004</v>
      </c>
      <c r="Z178" s="22">
        <v>15.6693</v>
      </c>
      <c r="AA178" s="22">
        <v>-1.56128E-2</v>
      </c>
      <c r="AB178" s="22">
        <v>168</v>
      </c>
      <c r="AC178" s="22">
        <v>0.83343500000000004</v>
      </c>
      <c r="AD178">
        <f t="shared" si="28"/>
        <v>19.275061728395059</v>
      </c>
      <c r="AE178">
        <f t="shared" si="29"/>
        <v>16.076268859259258</v>
      </c>
      <c r="AF178" s="9"/>
      <c r="AG178" s="22">
        <v>0.74600200000000005</v>
      </c>
      <c r="AH178" s="22">
        <v>19.2468</v>
      </c>
      <c r="AI178" s="22">
        <v>-1.5741000000000002E-2</v>
      </c>
      <c r="AJ178" s="22">
        <v>168</v>
      </c>
      <c r="AK178" s="22">
        <v>0.74523899999999998</v>
      </c>
      <c r="AL178">
        <f t="shared" si="30"/>
        <v>19.433333333333334</v>
      </c>
      <c r="AM178">
        <f t="shared" si="31"/>
        <v>14.497305533333334</v>
      </c>
      <c r="AP178" s="9"/>
      <c r="AQ178" s="22">
        <v>0.83404500000000004</v>
      </c>
      <c r="AR178" s="22">
        <v>24.545500000000001</v>
      </c>
      <c r="AS178" s="22">
        <v>-1.5600599999999999E-2</v>
      </c>
      <c r="AT178" s="22">
        <v>168</v>
      </c>
      <c r="AU178" s="22">
        <v>0.83282500000000004</v>
      </c>
      <c r="AV178">
        <f t="shared" si="32"/>
        <v>19.259999999999998</v>
      </c>
      <c r="AW178">
        <f t="shared" si="33"/>
        <v>16.063706699999997</v>
      </c>
      <c r="AX178" s="9"/>
      <c r="AY178" s="22">
        <v>0.74600200000000005</v>
      </c>
      <c r="AZ178" s="22">
        <v>28.123000000000001</v>
      </c>
      <c r="BA178" s="22">
        <v>-1.57501E-2</v>
      </c>
      <c r="BB178" s="22">
        <v>168</v>
      </c>
      <c r="BC178" s="22">
        <v>0.74542200000000003</v>
      </c>
      <c r="BD178">
        <f t="shared" si="34"/>
        <v>19.444567901234567</v>
      </c>
      <c r="BE178">
        <f t="shared" si="35"/>
        <v>14.505686543456791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6.7963199999999997</v>
      </c>
      <c r="I179" s="22">
        <v>-1.56921E-2</v>
      </c>
      <c r="J179" s="22">
        <v>169</v>
      </c>
      <c r="K179" s="22">
        <v>0.82763699999999996</v>
      </c>
      <c r="L179">
        <f t="shared" si="24"/>
        <v>19.372962962962962</v>
      </c>
      <c r="M179">
        <f t="shared" si="25"/>
        <v>16.060380025925927</v>
      </c>
      <c r="N179" s="9"/>
      <c r="O179" s="22">
        <v>0.75103799999999998</v>
      </c>
      <c r="P179" s="22">
        <v>10.373799999999999</v>
      </c>
      <c r="Q179" s="22">
        <v>-1.5753199999999998E-2</v>
      </c>
      <c r="R179" s="22">
        <v>169</v>
      </c>
      <c r="S179" s="22">
        <v>0.750305</v>
      </c>
      <c r="T179">
        <f t="shared" si="26"/>
        <v>19.448395061728394</v>
      </c>
      <c r="U179">
        <f t="shared" si="27"/>
        <v>14.606483730370369</v>
      </c>
      <c r="X179" s="9"/>
      <c r="Y179" s="22">
        <v>0.82901000000000002</v>
      </c>
      <c r="Z179" s="22">
        <v>15.679399999999999</v>
      </c>
      <c r="AA179" s="22">
        <v>-1.5621899999999999E-2</v>
      </c>
      <c r="AB179" s="22">
        <v>169</v>
      </c>
      <c r="AC179" s="22">
        <v>0.82763699999999996</v>
      </c>
      <c r="AD179">
        <f t="shared" si="28"/>
        <v>19.286296296296296</v>
      </c>
      <c r="AE179">
        <f t="shared" si="29"/>
        <v>15.988532492592594</v>
      </c>
      <c r="AF179" s="9"/>
      <c r="AG179" s="22">
        <v>0.75103799999999998</v>
      </c>
      <c r="AH179" s="22">
        <v>19.256900000000002</v>
      </c>
      <c r="AI179" s="22">
        <v>-1.57349E-2</v>
      </c>
      <c r="AJ179" s="22">
        <v>169</v>
      </c>
      <c r="AK179" s="22">
        <v>0.75018300000000004</v>
      </c>
      <c r="AL179">
        <f t="shared" si="30"/>
        <v>19.425802469135803</v>
      </c>
      <c r="AM179">
        <f t="shared" si="31"/>
        <v>14.589515834814815</v>
      </c>
      <c r="AP179" s="9"/>
      <c r="AQ179" s="22">
        <v>0.82901000000000002</v>
      </c>
      <c r="AR179" s="22">
        <v>24.555599999999998</v>
      </c>
      <c r="AS179" s="22">
        <v>-1.5609700000000001E-2</v>
      </c>
      <c r="AT179" s="22">
        <v>169</v>
      </c>
      <c r="AU179" s="22">
        <v>0.82824699999999996</v>
      </c>
      <c r="AV179">
        <f t="shared" si="32"/>
        <v>19.271234567901235</v>
      </c>
      <c r="AW179">
        <f t="shared" si="33"/>
        <v>15.976046169135804</v>
      </c>
      <c r="AX179" s="9"/>
      <c r="AY179" s="22">
        <v>0.75103799999999998</v>
      </c>
      <c r="AZ179" s="22">
        <v>28.132999999999999</v>
      </c>
      <c r="BA179" s="22">
        <v>-1.5741000000000002E-2</v>
      </c>
      <c r="BB179" s="22">
        <v>169</v>
      </c>
      <c r="BC179" s="22">
        <v>0.75021400000000005</v>
      </c>
      <c r="BD179">
        <f t="shared" si="34"/>
        <v>19.433333333333334</v>
      </c>
      <c r="BE179">
        <f t="shared" si="35"/>
        <v>14.595171799999999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6.8063900000000004</v>
      </c>
      <c r="I180" s="22">
        <v>-1.5701300000000001E-2</v>
      </c>
      <c r="J180" s="22">
        <v>170</v>
      </c>
      <c r="K180" s="22">
        <v>0.82305899999999999</v>
      </c>
      <c r="L180">
        <f t="shared" si="24"/>
        <v>19.384320987654323</v>
      </c>
      <c r="M180">
        <f t="shared" si="25"/>
        <v>15.972195885802471</v>
      </c>
      <c r="N180" s="9"/>
      <c r="O180" s="22">
        <v>0.756073</v>
      </c>
      <c r="P180" s="22">
        <v>10.383900000000001</v>
      </c>
      <c r="Q180" s="22">
        <v>-1.5744000000000001E-2</v>
      </c>
      <c r="R180" s="22">
        <v>170</v>
      </c>
      <c r="S180" s="22">
        <v>0.75531000000000004</v>
      </c>
      <c r="T180">
        <f t="shared" si="26"/>
        <v>19.437037037037037</v>
      </c>
      <c r="U180">
        <f t="shared" si="27"/>
        <v>14.695818903703703</v>
      </c>
      <c r="X180" s="9"/>
      <c r="Y180" s="22">
        <v>0.82397500000000001</v>
      </c>
      <c r="Z180" s="22">
        <v>15.689399999999999</v>
      </c>
      <c r="AA180" s="22">
        <v>-1.5631099999999998E-2</v>
      </c>
      <c r="AB180" s="22">
        <v>170</v>
      </c>
      <c r="AC180" s="22">
        <v>0.82305899999999999</v>
      </c>
      <c r="AD180">
        <f t="shared" si="28"/>
        <v>19.29765432098765</v>
      </c>
      <c r="AE180">
        <f t="shared" si="29"/>
        <v>15.9007847191358</v>
      </c>
      <c r="AF180" s="9"/>
      <c r="AG180" s="22">
        <v>0.756073</v>
      </c>
      <c r="AH180" s="22">
        <v>19.2669</v>
      </c>
      <c r="AI180" s="22">
        <v>-1.5725699999999999E-2</v>
      </c>
      <c r="AJ180" s="22">
        <v>170</v>
      </c>
      <c r="AK180" s="22">
        <v>0.75531000000000004</v>
      </c>
      <c r="AL180">
        <f t="shared" si="30"/>
        <v>19.414444444444442</v>
      </c>
      <c r="AM180">
        <f t="shared" si="31"/>
        <v>14.678737254444442</v>
      </c>
      <c r="AP180" s="9"/>
      <c r="AQ180" s="22">
        <v>0.82397500000000001</v>
      </c>
      <c r="AR180" s="22">
        <v>24.5656</v>
      </c>
      <c r="AS180" s="22">
        <v>-1.56189E-2</v>
      </c>
      <c r="AT180" s="22">
        <v>170</v>
      </c>
      <c r="AU180" s="22">
        <v>0.82305899999999999</v>
      </c>
      <c r="AV180">
        <f t="shared" si="32"/>
        <v>19.282592592592589</v>
      </c>
      <c r="AW180">
        <f t="shared" si="33"/>
        <v>15.88837423148148</v>
      </c>
      <c r="AX180" s="9"/>
      <c r="AY180" s="22">
        <v>0.756073</v>
      </c>
      <c r="AZ180" s="22">
        <v>28.1431</v>
      </c>
      <c r="BA180" s="22">
        <v>-1.5731800000000001E-2</v>
      </c>
      <c r="BB180" s="22">
        <v>170</v>
      </c>
      <c r="BC180" s="22">
        <v>0.75500500000000004</v>
      </c>
      <c r="BD180">
        <f t="shared" si="34"/>
        <v>19.421975308641976</v>
      </c>
      <c r="BE180">
        <f t="shared" si="35"/>
        <v>14.684431137530865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6.8164699999999998</v>
      </c>
      <c r="I181" s="22">
        <v>-1.57074E-2</v>
      </c>
      <c r="J181" s="22">
        <v>171</v>
      </c>
      <c r="K181" s="22">
        <v>0.81848100000000001</v>
      </c>
      <c r="L181">
        <f t="shared" si="24"/>
        <v>19.39185185185185</v>
      </c>
      <c r="M181">
        <f t="shared" si="25"/>
        <v>15.880743763703702</v>
      </c>
      <c r="N181" s="9"/>
      <c r="O181" s="22">
        <v>0.76110800000000001</v>
      </c>
      <c r="P181" s="22">
        <v>10.3939</v>
      </c>
      <c r="Q181" s="22">
        <v>-1.5737899999999999E-2</v>
      </c>
      <c r="R181" s="22">
        <v>171</v>
      </c>
      <c r="S181" s="22">
        <v>0.76019300000000001</v>
      </c>
      <c r="T181">
        <f t="shared" si="26"/>
        <v>19.429506172839503</v>
      </c>
      <c r="U181">
        <f t="shared" si="27"/>
        <v>14.787952584197528</v>
      </c>
      <c r="X181" s="9"/>
      <c r="Y181" s="22">
        <v>0.81893899999999997</v>
      </c>
      <c r="Z181" s="22">
        <v>15.6995</v>
      </c>
      <c r="AA181" s="22">
        <v>-1.5640299999999999E-2</v>
      </c>
      <c r="AB181" s="22">
        <v>171</v>
      </c>
      <c r="AC181" s="22">
        <v>0.81787100000000001</v>
      </c>
      <c r="AD181">
        <f t="shared" si="28"/>
        <v>19.309012345679012</v>
      </c>
      <c r="AE181">
        <f t="shared" si="29"/>
        <v>15.812903261358024</v>
      </c>
      <c r="AF181" s="9"/>
      <c r="AG181" s="22">
        <v>0.76110800000000001</v>
      </c>
      <c r="AH181" s="22">
        <v>19.277000000000001</v>
      </c>
      <c r="AI181" s="22">
        <v>-1.5716600000000001E-2</v>
      </c>
      <c r="AJ181" s="22">
        <v>171</v>
      </c>
      <c r="AK181" s="22">
        <v>0.76019300000000001</v>
      </c>
      <c r="AL181">
        <f t="shared" si="30"/>
        <v>19.403209876543212</v>
      </c>
      <c r="AM181">
        <f t="shared" si="31"/>
        <v>14.767938262716051</v>
      </c>
      <c r="AP181" s="9"/>
      <c r="AQ181" s="22">
        <v>0.81893899999999997</v>
      </c>
      <c r="AR181" s="22">
        <v>24.575700000000001</v>
      </c>
      <c r="AS181" s="22">
        <v>-1.5621899999999999E-2</v>
      </c>
      <c r="AT181" s="22">
        <v>171</v>
      </c>
      <c r="AU181" s="22">
        <v>0.81848100000000001</v>
      </c>
      <c r="AV181">
        <f t="shared" si="32"/>
        <v>19.286296296296296</v>
      </c>
      <c r="AW181">
        <f t="shared" si="33"/>
        <v>15.794300202592591</v>
      </c>
      <c r="AX181" s="9"/>
      <c r="AY181" s="22">
        <v>0.76110800000000001</v>
      </c>
      <c r="AZ181" s="22">
        <v>28.153199999999998</v>
      </c>
      <c r="BA181" s="22">
        <v>-1.5725699999999999E-2</v>
      </c>
      <c r="BB181" s="22">
        <v>171</v>
      </c>
      <c r="BC181" s="22">
        <v>0.75988800000000001</v>
      </c>
      <c r="BD181">
        <f t="shared" si="34"/>
        <v>19.414444444444442</v>
      </c>
      <c r="BE181">
        <f t="shared" si="35"/>
        <v>14.776488982222221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6.8265399999999996</v>
      </c>
      <c r="I182" s="22">
        <v>-1.5716600000000001E-2</v>
      </c>
      <c r="J182" s="22">
        <v>172</v>
      </c>
      <c r="K182" s="22">
        <v>0.81298800000000004</v>
      </c>
      <c r="L182">
        <f t="shared" si="24"/>
        <v>19.403209876543212</v>
      </c>
      <c r="M182">
        <f t="shared" si="25"/>
        <v>15.792350131358026</v>
      </c>
      <c r="N182" s="9"/>
      <c r="O182" s="22">
        <v>0.76614400000000005</v>
      </c>
      <c r="P182" s="22">
        <v>10.404</v>
      </c>
      <c r="Q182" s="22">
        <v>-1.5728800000000001E-2</v>
      </c>
      <c r="R182" s="22">
        <v>172</v>
      </c>
      <c r="S182" s="22">
        <v>0.76477099999999998</v>
      </c>
      <c r="T182">
        <f t="shared" si="26"/>
        <v>19.418271604938269</v>
      </c>
      <c r="U182">
        <f t="shared" si="27"/>
        <v>14.877192280493826</v>
      </c>
      <c r="X182" s="9"/>
      <c r="Y182" s="22">
        <v>0.81390399999999996</v>
      </c>
      <c r="Z182" s="22">
        <v>15.7096</v>
      </c>
      <c r="AA182" s="22">
        <v>-1.5649400000000001E-2</v>
      </c>
      <c r="AB182" s="22">
        <v>172</v>
      </c>
      <c r="AC182" s="22">
        <v>0.81268300000000004</v>
      </c>
      <c r="AD182">
        <f t="shared" si="28"/>
        <v>19.320246913580245</v>
      </c>
      <c r="AE182">
        <f t="shared" si="29"/>
        <v>15.724826243950615</v>
      </c>
      <c r="AF182" s="9"/>
      <c r="AG182" s="22">
        <v>0.76614400000000005</v>
      </c>
      <c r="AH182" s="22">
        <v>19.287099999999999</v>
      </c>
      <c r="AI182" s="22">
        <v>-1.57074E-2</v>
      </c>
      <c r="AJ182" s="22">
        <v>172</v>
      </c>
      <c r="AK182" s="22">
        <v>0.76507599999999998</v>
      </c>
      <c r="AL182">
        <f t="shared" si="30"/>
        <v>19.39185185185185</v>
      </c>
      <c r="AM182">
        <f t="shared" si="31"/>
        <v>14.856950945185185</v>
      </c>
      <c r="AP182" s="9"/>
      <c r="AQ182" s="22">
        <v>0.81390399999999996</v>
      </c>
      <c r="AR182" s="22">
        <v>24.585799999999999</v>
      </c>
      <c r="AS182" s="22">
        <v>-1.5631099999999998E-2</v>
      </c>
      <c r="AT182" s="22">
        <v>172</v>
      </c>
      <c r="AU182" s="22">
        <v>0.81359899999999996</v>
      </c>
      <c r="AV182">
        <f t="shared" si="32"/>
        <v>19.29765432098765</v>
      </c>
      <c r="AW182">
        <f t="shared" si="33"/>
        <v>15.706438042469133</v>
      </c>
      <c r="AX182" s="9"/>
      <c r="AY182" s="22">
        <v>0.76614400000000005</v>
      </c>
      <c r="AZ182" s="22">
        <v>28.1632</v>
      </c>
      <c r="BA182" s="22">
        <v>-1.5716600000000001E-2</v>
      </c>
      <c r="BB182" s="22">
        <v>172</v>
      </c>
      <c r="BC182" s="22">
        <v>0.76507599999999998</v>
      </c>
      <c r="BD182">
        <f t="shared" si="34"/>
        <v>19.403209876543212</v>
      </c>
      <c r="BE182">
        <f t="shared" si="35"/>
        <v>14.865652827654323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6.8366100000000003</v>
      </c>
      <c r="I183" s="22">
        <v>-1.5725699999999999E-2</v>
      </c>
      <c r="J183" s="22">
        <v>173</v>
      </c>
      <c r="K183" s="22">
        <v>0.80810499999999996</v>
      </c>
      <c r="L183">
        <f t="shared" si="24"/>
        <v>19.414444444444442</v>
      </c>
      <c r="M183">
        <f t="shared" si="25"/>
        <v>15.703722848888887</v>
      </c>
      <c r="N183" s="9"/>
      <c r="O183" s="22">
        <v>0.77117899999999995</v>
      </c>
      <c r="P183" s="22">
        <v>10.414099999999999</v>
      </c>
      <c r="Q183" s="22">
        <v>-1.5722699999999999E-2</v>
      </c>
      <c r="R183" s="22">
        <v>173</v>
      </c>
      <c r="S183" s="22">
        <v>0.77087399999999995</v>
      </c>
      <c r="T183">
        <f t="shared" si="26"/>
        <v>19.410740740740739</v>
      </c>
      <c r="U183">
        <f t="shared" si="27"/>
        <v>14.969155633703702</v>
      </c>
      <c r="X183" s="9"/>
      <c r="Y183" s="22">
        <v>0.80886800000000003</v>
      </c>
      <c r="Z183" s="22">
        <v>15.7197</v>
      </c>
      <c r="AA183" s="22">
        <v>-1.5655499999999999E-2</v>
      </c>
      <c r="AB183" s="22">
        <v>173</v>
      </c>
      <c r="AC183" s="22">
        <v>0.80810499999999996</v>
      </c>
      <c r="AD183">
        <f t="shared" si="28"/>
        <v>19.327777777777776</v>
      </c>
      <c r="AE183">
        <f t="shared" si="29"/>
        <v>15.633620955555555</v>
      </c>
      <c r="AF183" s="9"/>
      <c r="AG183" s="22">
        <v>0.77117899999999995</v>
      </c>
      <c r="AH183" s="22">
        <v>19.2971</v>
      </c>
      <c r="AI183" s="22">
        <v>-1.5695199999999999E-2</v>
      </c>
      <c r="AJ183" s="22">
        <v>173</v>
      </c>
      <c r="AK183" s="22">
        <v>0.77026399999999995</v>
      </c>
      <c r="AL183">
        <f t="shared" si="30"/>
        <v>19.376790123456789</v>
      </c>
      <c r="AM183">
        <f t="shared" si="31"/>
        <v>14.942973630617283</v>
      </c>
      <c r="AP183" s="9"/>
      <c r="AQ183" s="22">
        <v>0.80886800000000003</v>
      </c>
      <c r="AR183" s="22">
        <v>24.595800000000001</v>
      </c>
      <c r="AS183" s="22">
        <v>-1.5640299999999999E-2</v>
      </c>
      <c r="AT183" s="22">
        <v>173</v>
      </c>
      <c r="AU183" s="22">
        <v>0.80810499999999996</v>
      </c>
      <c r="AV183">
        <f t="shared" si="32"/>
        <v>19.309012345679012</v>
      </c>
      <c r="AW183">
        <f t="shared" si="33"/>
        <v>15.618442198024692</v>
      </c>
      <c r="AX183" s="9"/>
      <c r="AY183" s="22">
        <v>0.77117899999999995</v>
      </c>
      <c r="AZ183" s="22">
        <v>28.173300000000001</v>
      </c>
      <c r="BA183" s="22">
        <v>-1.57074E-2</v>
      </c>
      <c r="BB183" s="22">
        <v>173</v>
      </c>
      <c r="BC183" s="22">
        <v>0.77087399999999995</v>
      </c>
      <c r="BD183">
        <f t="shared" si="34"/>
        <v>19.39185185185185</v>
      </c>
      <c r="BE183">
        <f t="shared" si="35"/>
        <v>14.954588919259256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6.8466800000000001</v>
      </c>
      <c r="I184" s="22">
        <v>-1.57349E-2</v>
      </c>
      <c r="J184" s="22">
        <v>174</v>
      </c>
      <c r="K184" s="22">
        <v>0.80322300000000002</v>
      </c>
      <c r="L184">
        <f t="shared" si="24"/>
        <v>19.425802469135803</v>
      </c>
      <c r="M184">
        <f t="shared" si="25"/>
        <v>15.61510107617284</v>
      </c>
      <c r="N184" s="9"/>
      <c r="O184" s="22">
        <v>0.77621499999999999</v>
      </c>
      <c r="P184" s="22">
        <v>10.424200000000001</v>
      </c>
      <c r="Q184" s="22">
        <v>-1.5713499999999998E-2</v>
      </c>
      <c r="R184" s="22">
        <v>174</v>
      </c>
      <c r="S184" s="22">
        <v>0.77545200000000003</v>
      </c>
      <c r="T184">
        <f t="shared" si="26"/>
        <v>19.399382716049381</v>
      </c>
      <c r="U184">
        <f t="shared" si="27"/>
        <v>15.058091854938271</v>
      </c>
      <c r="X184" s="9"/>
      <c r="Y184" s="22">
        <v>0.80383300000000002</v>
      </c>
      <c r="Z184" s="22">
        <v>15.729699999999999</v>
      </c>
      <c r="AA184" s="22">
        <v>-1.5661600000000001E-2</v>
      </c>
      <c r="AB184" s="22">
        <v>174</v>
      </c>
      <c r="AC184" s="22">
        <v>0.80291699999999999</v>
      </c>
      <c r="AD184">
        <f t="shared" si="28"/>
        <v>19.33530864197531</v>
      </c>
      <c r="AE184">
        <f t="shared" si="29"/>
        <v>15.54235915160494</v>
      </c>
      <c r="AF184" s="9"/>
      <c r="AG184" s="22">
        <v>0.77621499999999999</v>
      </c>
      <c r="AH184" s="22">
        <v>19.307200000000002</v>
      </c>
      <c r="AI184" s="22">
        <v>-1.5685999999999999E-2</v>
      </c>
      <c r="AJ184" s="22">
        <v>174</v>
      </c>
      <c r="AK184" s="22">
        <v>0.77545200000000003</v>
      </c>
      <c r="AL184">
        <f t="shared" si="30"/>
        <v>19.365432098765428</v>
      </c>
      <c r="AM184">
        <f t="shared" si="31"/>
        <v>15.031738876543207</v>
      </c>
      <c r="AP184" s="9"/>
      <c r="AQ184" s="22">
        <v>0.80383300000000002</v>
      </c>
      <c r="AR184" s="22">
        <v>24.605899999999998</v>
      </c>
      <c r="AS184" s="22">
        <v>-1.5649400000000001E-2</v>
      </c>
      <c r="AT184" s="22">
        <v>174</v>
      </c>
      <c r="AU184" s="22">
        <v>0.80291699999999999</v>
      </c>
      <c r="AV184">
        <f t="shared" si="32"/>
        <v>19.320246913580245</v>
      </c>
      <c r="AW184">
        <f t="shared" si="33"/>
        <v>15.530252037283949</v>
      </c>
      <c r="AX184" s="9"/>
      <c r="AY184" s="22">
        <v>0.77621499999999999</v>
      </c>
      <c r="AZ184" s="22">
        <v>28.183399999999999</v>
      </c>
      <c r="BA184" s="22">
        <v>-1.5701300000000001E-2</v>
      </c>
      <c r="BB184" s="22">
        <v>174</v>
      </c>
      <c r="BC184" s="22">
        <v>0.774841</v>
      </c>
      <c r="BD184">
        <f t="shared" si="34"/>
        <v>19.384320987654323</v>
      </c>
      <c r="BE184">
        <f t="shared" si="35"/>
        <v>15.0464007154321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6.8567499999999999</v>
      </c>
      <c r="I185" s="22">
        <v>-1.5744000000000001E-2</v>
      </c>
      <c r="J185" s="22">
        <v>175</v>
      </c>
      <c r="K185" s="22">
        <v>0.79772900000000002</v>
      </c>
      <c r="L185">
        <f t="shared" si="24"/>
        <v>19.437037037037037</v>
      </c>
      <c r="M185">
        <f t="shared" si="25"/>
        <v>15.526266311111112</v>
      </c>
      <c r="N185" s="9"/>
      <c r="O185" s="22">
        <v>0.78125</v>
      </c>
      <c r="P185" s="22">
        <v>10.434200000000001</v>
      </c>
      <c r="Q185" s="22">
        <v>-1.5704300000000001E-2</v>
      </c>
      <c r="R185" s="22">
        <v>175</v>
      </c>
      <c r="S185" s="22">
        <v>0.78064</v>
      </c>
      <c r="T185">
        <f t="shared" si="26"/>
        <v>19.388024691358023</v>
      </c>
      <c r="U185">
        <f t="shared" si="27"/>
        <v>15.146894290123456</v>
      </c>
      <c r="X185" s="9"/>
      <c r="Y185" s="22">
        <v>0.79879800000000001</v>
      </c>
      <c r="Z185" s="22">
        <v>15.739800000000001</v>
      </c>
      <c r="AA185" s="22">
        <v>-1.5670799999999999E-2</v>
      </c>
      <c r="AB185" s="22">
        <v>175</v>
      </c>
      <c r="AC185" s="22">
        <v>0.79834000000000005</v>
      </c>
      <c r="AD185">
        <f t="shared" si="28"/>
        <v>19.346666666666664</v>
      </c>
      <c r="AE185">
        <f t="shared" si="29"/>
        <v>15.454078639999999</v>
      </c>
      <c r="AF185" s="9"/>
      <c r="AG185" s="22">
        <v>0.78125</v>
      </c>
      <c r="AH185" s="22">
        <v>19.317299999999999</v>
      </c>
      <c r="AI185" s="22">
        <v>-1.5673800000000002E-2</v>
      </c>
      <c r="AJ185" s="22">
        <v>175</v>
      </c>
      <c r="AK185" s="22">
        <v>0.78033399999999997</v>
      </c>
      <c r="AL185">
        <f t="shared" si="30"/>
        <v>19.350370370370371</v>
      </c>
      <c r="AM185">
        <f t="shared" si="31"/>
        <v>15.117476851851851</v>
      </c>
      <c r="AP185" s="9"/>
      <c r="AQ185" s="22">
        <v>0.79879800000000001</v>
      </c>
      <c r="AR185" s="22">
        <v>24.616</v>
      </c>
      <c r="AS185" s="22">
        <v>-1.5658600000000002E-2</v>
      </c>
      <c r="AT185" s="22">
        <v>175</v>
      </c>
      <c r="AU185" s="22">
        <v>0.79864500000000005</v>
      </c>
      <c r="AV185">
        <f t="shared" si="32"/>
        <v>19.331604938271607</v>
      </c>
      <c r="AW185">
        <f t="shared" si="33"/>
        <v>15.442047361481483</v>
      </c>
      <c r="AX185" s="9"/>
      <c r="AY185" s="22">
        <v>0.78125</v>
      </c>
      <c r="AZ185" s="22">
        <v>28.1935</v>
      </c>
      <c r="BA185" s="22">
        <v>-1.56921E-2</v>
      </c>
      <c r="BB185" s="22">
        <v>175</v>
      </c>
      <c r="BC185" s="22">
        <v>0.78033399999999997</v>
      </c>
      <c r="BD185">
        <f t="shared" si="34"/>
        <v>19.372962962962962</v>
      </c>
      <c r="BE185">
        <f t="shared" si="35"/>
        <v>15.135127314814815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6.8668199999999997</v>
      </c>
      <c r="I186" s="22">
        <v>-1.57501E-2</v>
      </c>
      <c r="J186" s="22">
        <v>176</v>
      </c>
      <c r="K186" s="22">
        <v>0.79284699999999997</v>
      </c>
      <c r="L186">
        <f t="shared" si="24"/>
        <v>19.444567901234567</v>
      </c>
      <c r="M186">
        <f t="shared" si="25"/>
        <v>15.434359106419752</v>
      </c>
      <c r="N186" s="9"/>
      <c r="O186" s="22">
        <v>0.78628500000000001</v>
      </c>
      <c r="P186" s="22">
        <v>10.4443</v>
      </c>
      <c r="Q186" s="22">
        <v>-1.5695199999999999E-2</v>
      </c>
      <c r="R186" s="22">
        <v>176</v>
      </c>
      <c r="S186" s="22">
        <v>0.78552200000000005</v>
      </c>
      <c r="T186">
        <f t="shared" si="26"/>
        <v>19.376790123456789</v>
      </c>
      <c r="U186">
        <f t="shared" si="27"/>
        <v>15.235679422222223</v>
      </c>
      <c r="X186" s="9"/>
      <c r="Y186" s="22">
        <v>0.79376199999999997</v>
      </c>
      <c r="Z186" s="22">
        <v>15.7499</v>
      </c>
      <c r="AA186" s="22">
        <v>-1.56799E-2</v>
      </c>
      <c r="AB186" s="22">
        <v>176</v>
      </c>
      <c r="AC186" s="22">
        <v>0.79254199999999997</v>
      </c>
      <c r="AD186">
        <f t="shared" si="28"/>
        <v>19.357901234567901</v>
      </c>
      <c r="AE186">
        <f t="shared" si="29"/>
        <v>15.365566399753085</v>
      </c>
      <c r="AF186" s="9"/>
      <c r="AG186" s="22">
        <v>0.78628500000000001</v>
      </c>
      <c r="AH186" s="22">
        <v>19.327300000000001</v>
      </c>
      <c r="AI186" s="22">
        <v>-1.56647E-2</v>
      </c>
      <c r="AJ186" s="22">
        <v>176</v>
      </c>
      <c r="AK186" s="22">
        <v>0.78552200000000005</v>
      </c>
      <c r="AL186">
        <f t="shared" si="30"/>
        <v>19.339135802469134</v>
      </c>
      <c r="AM186">
        <f t="shared" si="31"/>
        <v>15.206072394444442</v>
      </c>
      <c r="AP186" s="9"/>
      <c r="AQ186" s="22">
        <v>0.79376199999999997</v>
      </c>
      <c r="AR186" s="22">
        <v>24.626000000000001</v>
      </c>
      <c r="AS186" s="22">
        <v>-1.56647E-2</v>
      </c>
      <c r="AT186" s="22">
        <v>176</v>
      </c>
      <c r="AU186" s="22">
        <v>0.79254199999999997</v>
      </c>
      <c r="AV186">
        <f t="shared" si="32"/>
        <v>19.339135802469134</v>
      </c>
      <c r="AW186">
        <f t="shared" si="33"/>
        <v>15.350671112839503</v>
      </c>
      <c r="AX186" s="9"/>
      <c r="AY186" s="22">
        <v>0.78628500000000001</v>
      </c>
      <c r="AZ186" s="22">
        <v>28.203499999999998</v>
      </c>
      <c r="BA186" s="22">
        <v>-1.56799E-2</v>
      </c>
      <c r="BB186" s="22">
        <v>176</v>
      </c>
      <c r="BC186" s="22">
        <v>0.78521700000000005</v>
      </c>
      <c r="BD186">
        <f t="shared" si="34"/>
        <v>19.357901234567901</v>
      </c>
      <c r="BE186">
        <f t="shared" si="35"/>
        <v>15.220827372222223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6.8768900000000004</v>
      </c>
      <c r="I187" s="22">
        <v>-1.5756200000000001E-2</v>
      </c>
      <c r="J187" s="22">
        <v>177</v>
      </c>
      <c r="K187" s="22">
        <v>0.787964</v>
      </c>
      <c r="L187">
        <f t="shared" si="24"/>
        <v>19.452098765432101</v>
      </c>
      <c r="M187">
        <f t="shared" si="25"/>
        <v>15.342395502962964</v>
      </c>
      <c r="N187" s="9"/>
      <c r="O187" s="22">
        <v>0.79132100000000005</v>
      </c>
      <c r="P187" s="22">
        <v>10.4544</v>
      </c>
      <c r="Q187" s="22">
        <v>-1.5685999999999999E-2</v>
      </c>
      <c r="R187" s="22">
        <v>177</v>
      </c>
      <c r="S187" s="22">
        <v>0.79071000000000002</v>
      </c>
      <c r="T187">
        <f t="shared" si="26"/>
        <v>19.365432098765428</v>
      </c>
      <c r="U187">
        <f t="shared" si="27"/>
        <v>15.324273093827157</v>
      </c>
      <c r="X187" s="9"/>
      <c r="Y187" s="22">
        <v>0.78872699999999996</v>
      </c>
      <c r="Z187" s="22">
        <v>15.7599</v>
      </c>
      <c r="AA187" s="22">
        <v>-1.5685999999999999E-2</v>
      </c>
      <c r="AB187" s="22">
        <v>177</v>
      </c>
      <c r="AC187" s="22">
        <v>0.787659</v>
      </c>
      <c r="AD187">
        <f t="shared" si="28"/>
        <v>19.365432098765428</v>
      </c>
      <c r="AE187">
        <f t="shared" si="29"/>
        <v>15.274039162962959</v>
      </c>
      <c r="AF187" s="9"/>
      <c r="AG187" s="22">
        <v>0.79132100000000005</v>
      </c>
      <c r="AH187" s="22">
        <v>19.337399999999999</v>
      </c>
      <c r="AI187" s="22">
        <v>-1.5655499999999999E-2</v>
      </c>
      <c r="AJ187" s="22">
        <v>177</v>
      </c>
      <c r="AK187" s="22">
        <v>0.79010000000000002</v>
      </c>
      <c r="AL187">
        <f t="shared" si="30"/>
        <v>19.327777777777776</v>
      </c>
      <c r="AM187">
        <f t="shared" si="31"/>
        <v>15.294476438888887</v>
      </c>
      <c r="AP187" s="9"/>
      <c r="AQ187" s="22">
        <v>0.78872699999999996</v>
      </c>
      <c r="AR187" s="22">
        <v>24.636099999999999</v>
      </c>
      <c r="AS187" s="22">
        <v>-1.5670799999999999E-2</v>
      </c>
      <c r="AT187" s="22">
        <v>177</v>
      </c>
      <c r="AU187" s="22">
        <v>0.787964</v>
      </c>
      <c r="AV187">
        <f t="shared" si="32"/>
        <v>19.346666666666664</v>
      </c>
      <c r="AW187">
        <f t="shared" si="33"/>
        <v>15.259238359999998</v>
      </c>
      <c r="AX187" s="9"/>
      <c r="AY187" s="22">
        <v>0.79132100000000005</v>
      </c>
      <c r="AZ187" s="22">
        <v>28.2136</v>
      </c>
      <c r="BA187" s="22">
        <v>-1.5670799999999999E-2</v>
      </c>
      <c r="BB187" s="22">
        <v>177</v>
      </c>
      <c r="BC187" s="22">
        <v>0.79071000000000002</v>
      </c>
      <c r="BD187">
        <f t="shared" si="34"/>
        <v>19.346666666666664</v>
      </c>
      <c r="BE187">
        <f t="shared" si="35"/>
        <v>15.309423613333331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6.8869600000000002</v>
      </c>
      <c r="I188" s="22">
        <v>-1.5765399999999999E-2</v>
      </c>
      <c r="J188" s="22">
        <v>178</v>
      </c>
      <c r="K188" s="22">
        <v>0.78277600000000003</v>
      </c>
      <c r="L188">
        <f t="shared" si="24"/>
        <v>19.463456790123452</v>
      </c>
      <c r="M188">
        <f t="shared" si="25"/>
        <v>15.253335915308639</v>
      </c>
      <c r="N188" s="9"/>
      <c r="O188" s="22">
        <v>0.79635599999999995</v>
      </c>
      <c r="P188" s="22">
        <v>10.464399999999999</v>
      </c>
      <c r="Q188" s="22">
        <v>-1.5676900000000001E-2</v>
      </c>
      <c r="R188" s="22">
        <v>178</v>
      </c>
      <c r="S188" s="22">
        <v>0.79620400000000002</v>
      </c>
      <c r="T188">
        <f t="shared" si="26"/>
        <v>19.354197530864198</v>
      </c>
      <c r="U188">
        <f t="shared" si="27"/>
        <v>15.412831328888888</v>
      </c>
      <c r="X188" s="9"/>
      <c r="Y188" s="22">
        <v>0.78369100000000003</v>
      </c>
      <c r="Z188" s="22">
        <v>15.77</v>
      </c>
      <c r="AA188" s="22">
        <v>-1.5695199999999999E-2</v>
      </c>
      <c r="AB188" s="22">
        <v>178</v>
      </c>
      <c r="AC188" s="22">
        <v>0.78277600000000003</v>
      </c>
      <c r="AD188">
        <f t="shared" si="28"/>
        <v>19.376790123456789</v>
      </c>
      <c r="AE188">
        <f t="shared" si="29"/>
        <v>15.185416028641976</v>
      </c>
      <c r="AF188" s="9"/>
      <c r="AG188" s="22">
        <v>0.79635599999999995</v>
      </c>
      <c r="AH188" s="22">
        <v>19.3475</v>
      </c>
      <c r="AI188" s="22">
        <v>-1.5649400000000001E-2</v>
      </c>
      <c r="AJ188" s="22">
        <v>178</v>
      </c>
      <c r="AK188" s="22">
        <v>0.79589799999999999</v>
      </c>
      <c r="AL188">
        <f t="shared" si="30"/>
        <v>19.320246913580245</v>
      </c>
      <c r="AM188">
        <f t="shared" si="31"/>
        <v>15.385794551111109</v>
      </c>
      <c r="AP188" s="9"/>
      <c r="AQ188" s="22">
        <v>0.78369100000000003</v>
      </c>
      <c r="AR188" s="22">
        <v>24.6462</v>
      </c>
      <c r="AS188" s="22">
        <v>-1.5676900000000001E-2</v>
      </c>
      <c r="AT188" s="22">
        <v>178</v>
      </c>
      <c r="AU188" s="22">
        <v>0.78277600000000003</v>
      </c>
      <c r="AV188">
        <f t="shared" si="32"/>
        <v>19.354197530864198</v>
      </c>
      <c r="AW188">
        <f t="shared" si="33"/>
        <v>15.167710417160494</v>
      </c>
      <c r="AX188" s="9"/>
      <c r="AY188" s="22">
        <v>0.79635599999999995</v>
      </c>
      <c r="AZ188" s="22">
        <v>28.223700000000001</v>
      </c>
      <c r="BA188" s="22">
        <v>-1.5661600000000001E-2</v>
      </c>
      <c r="BB188" s="22">
        <v>178</v>
      </c>
      <c r="BC188" s="22">
        <v>0.79559299999999999</v>
      </c>
      <c r="BD188">
        <f t="shared" si="34"/>
        <v>19.33530864197531</v>
      </c>
      <c r="BE188">
        <f t="shared" si="35"/>
        <v>15.397789048888889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6.89703</v>
      </c>
      <c r="I189" s="22">
        <v>-1.5771500000000001E-2</v>
      </c>
      <c r="J189" s="22">
        <v>179</v>
      </c>
      <c r="K189" s="22">
        <v>0.77789299999999995</v>
      </c>
      <c r="L189">
        <f t="shared" si="24"/>
        <v>19.470987654320989</v>
      </c>
      <c r="M189">
        <f t="shared" si="25"/>
        <v>15.161201362962965</v>
      </c>
      <c r="N189" s="9"/>
      <c r="O189" s="22">
        <v>0.80139199999999999</v>
      </c>
      <c r="P189" s="22">
        <v>10.474500000000001</v>
      </c>
      <c r="Q189" s="22">
        <v>-1.5670799999999999E-2</v>
      </c>
      <c r="R189" s="22">
        <v>179</v>
      </c>
      <c r="S189" s="22">
        <v>0.80047599999999997</v>
      </c>
      <c r="T189">
        <f t="shared" si="26"/>
        <v>19.346666666666664</v>
      </c>
      <c r="U189">
        <f t="shared" si="27"/>
        <v>15.504263893333331</v>
      </c>
      <c r="X189" s="9"/>
      <c r="Y189" s="22">
        <v>0.77865600000000001</v>
      </c>
      <c r="Z189" s="22">
        <v>15.780099999999999</v>
      </c>
      <c r="AA189" s="22">
        <v>-1.5704300000000001E-2</v>
      </c>
      <c r="AB189" s="22">
        <v>179</v>
      </c>
      <c r="AC189" s="22">
        <v>0.77728299999999995</v>
      </c>
      <c r="AD189">
        <f t="shared" si="28"/>
        <v>19.388024691358023</v>
      </c>
      <c r="AE189">
        <f t="shared" si="29"/>
        <v>15.096601754074072</v>
      </c>
      <c r="AF189" s="9"/>
      <c r="AG189" s="22">
        <v>0.80139199999999999</v>
      </c>
      <c r="AH189" s="22">
        <v>19.357600000000001</v>
      </c>
      <c r="AI189" s="22">
        <v>-1.5643299999999999E-2</v>
      </c>
      <c r="AJ189" s="22">
        <v>179</v>
      </c>
      <c r="AK189" s="22">
        <v>0.80078099999999997</v>
      </c>
      <c r="AL189">
        <f t="shared" si="30"/>
        <v>19.312716049382715</v>
      </c>
      <c r="AM189">
        <f t="shared" si="31"/>
        <v>15.477056140246912</v>
      </c>
      <c r="AP189" s="9"/>
      <c r="AQ189" s="22">
        <v>0.77865600000000001</v>
      </c>
      <c r="AR189" s="22">
        <v>24.656300000000002</v>
      </c>
      <c r="AS189" s="22">
        <v>-1.5689100000000001E-2</v>
      </c>
      <c r="AT189" s="22">
        <v>179</v>
      </c>
      <c r="AU189" s="22">
        <v>0.77697799999999995</v>
      </c>
      <c r="AV189">
        <f t="shared" si="32"/>
        <v>19.369259259259259</v>
      </c>
      <c r="AW189">
        <f t="shared" si="33"/>
        <v>15.081989937777777</v>
      </c>
      <c r="AX189" s="9"/>
      <c r="AY189" s="22">
        <v>0.80139199999999999</v>
      </c>
      <c r="AZ189" s="22">
        <v>28.233699999999999</v>
      </c>
      <c r="BA189" s="22">
        <v>-1.56525E-2</v>
      </c>
      <c r="BB189" s="22">
        <v>179</v>
      </c>
      <c r="BC189" s="22">
        <v>0.80047599999999997</v>
      </c>
      <c r="BD189">
        <f t="shared" si="34"/>
        <v>19.324074074074073</v>
      </c>
      <c r="BE189">
        <f t="shared" si="35"/>
        <v>15.486158370370369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6.9070999999999998</v>
      </c>
      <c r="I190" s="22">
        <v>-1.5777599999999999E-2</v>
      </c>
      <c r="J190" s="22">
        <v>180</v>
      </c>
      <c r="K190" s="22">
        <v>0.77209499999999998</v>
      </c>
      <c r="L190">
        <f t="shared" si="24"/>
        <v>19.478518518518516</v>
      </c>
      <c r="M190">
        <f t="shared" si="25"/>
        <v>15.068990974814813</v>
      </c>
      <c r="N190" s="9"/>
      <c r="O190" s="22">
        <v>0.806427</v>
      </c>
      <c r="P190" s="22">
        <v>10.4846</v>
      </c>
      <c r="Q190" s="22">
        <v>-1.5661600000000001E-2</v>
      </c>
      <c r="R190" s="22">
        <v>180</v>
      </c>
      <c r="S190" s="22">
        <v>0.80566400000000005</v>
      </c>
      <c r="T190">
        <f t="shared" si="26"/>
        <v>19.33530864197531</v>
      </c>
      <c r="U190">
        <f t="shared" si="27"/>
        <v>15.592514942222223</v>
      </c>
      <c r="X190" s="9"/>
      <c r="Y190" s="22">
        <v>0.773621</v>
      </c>
      <c r="Z190" s="22">
        <v>15.790100000000001</v>
      </c>
      <c r="AA190" s="22">
        <v>-1.5713499999999998E-2</v>
      </c>
      <c r="AB190" s="22">
        <v>180</v>
      </c>
      <c r="AC190" s="22">
        <v>0.77239999999999998</v>
      </c>
      <c r="AD190">
        <f t="shared" si="28"/>
        <v>19.399382716049381</v>
      </c>
      <c r="AE190">
        <f t="shared" si="29"/>
        <v>15.007769856172837</v>
      </c>
      <c r="AF190" s="9"/>
      <c r="AG190" s="22">
        <v>0.806427</v>
      </c>
      <c r="AH190" s="22">
        <v>19.367599999999999</v>
      </c>
      <c r="AI190" s="22">
        <v>-1.56372E-2</v>
      </c>
      <c r="AJ190" s="22">
        <v>180</v>
      </c>
      <c r="AK190" s="22">
        <v>0.80535900000000005</v>
      </c>
      <c r="AL190">
        <f t="shared" si="30"/>
        <v>19.305185185185184</v>
      </c>
      <c r="AM190">
        <f t="shared" si="31"/>
        <v>15.568222573333333</v>
      </c>
      <c r="AP190" s="9"/>
      <c r="AQ190" s="22">
        <v>0.773621</v>
      </c>
      <c r="AR190" s="22">
        <v>24.6663</v>
      </c>
      <c r="AS190" s="22">
        <v>-1.56921E-2</v>
      </c>
      <c r="AT190" s="22">
        <v>180</v>
      </c>
      <c r="AU190" s="22">
        <v>0.77300999999999997</v>
      </c>
      <c r="AV190">
        <f t="shared" si="32"/>
        <v>19.372962962962962</v>
      </c>
      <c r="AW190">
        <f t="shared" si="33"/>
        <v>14.98733098037037</v>
      </c>
      <c r="AX190" s="9"/>
      <c r="AY190" s="22">
        <v>0.806427</v>
      </c>
      <c r="AZ190" s="22">
        <v>28.2438</v>
      </c>
      <c r="BA190" s="22">
        <v>-1.5643299999999999E-2</v>
      </c>
      <c r="BB190" s="22">
        <v>180</v>
      </c>
      <c r="BC190" s="22">
        <v>0.80505400000000005</v>
      </c>
      <c r="BD190">
        <f t="shared" si="34"/>
        <v>19.312716049382715</v>
      </c>
      <c r="BE190">
        <f t="shared" si="35"/>
        <v>15.574295665555555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6.9171800000000001</v>
      </c>
      <c r="I191" s="22">
        <v>-1.5786700000000001E-2</v>
      </c>
      <c r="J191" s="22">
        <v>181</v>
      </c>
      <c r="K191" s="22">
        <v>0.767822</v>
      </c>
      <c r="L191">
        <f t="shared" si="24"/>
        <v>19.489753086419753</v>
      </c>
      <c r="M191">
        <f t="shared" si="25"/>
        <v>14.979531875925925</v>
      </c>
      <c r="N191" s="9"/>
      <c r="O191" s="22">
        <v>0.81146200000000002</v>
      </c>
      <c r="P191" s="22">
        <v>10.4947</v>
      </c>
      <c r="Q191" s="22">
        <v>-1.56525E-2</v>
      </c>
      <c r="R191" s="22">
        <v>181</v>
      </c>
      <c r="S191" s="22">
        <v>0.80993700000000002</v>
      </c>
      <c r="T191">
        <f t="shared" si="26"/>
        <v>19.324074074074073</v>
      </c>
      <c r="U191">
        <f t="shared" si="27"/>
        <v>15.680751796296295</v>
      </c>
      <c r="X191" s="9"/>
      <c r="Y191" s="22">
        <v>0.76858499999999996</v>
      </c>
      <c r="Z191" s="22">
        <v>15.8002</v>
      </c>
      <c r="AA191" s="22">
        <v>-1.5722699999999999E-2</v>
      </c>
      <c r="AB191" s="22">
        <v>181</v>
      </c>
      <c r="AC191" s="22">
        <v>0.767517</v>
      </c>
      <c r="AD191">
        <f t="shared" si="28"/>
        <v>19.410740740740739</v>
      </c>
      <c r="AE191">
        <f t="shared" si="29"/>
        <v>14.91880417222222</v>
      </c>
      <c r="AF191" s="9"/>
      <c r="AG191" s="22">
        <v>0.81146200000000002</v>
      </c>
      <c r="AH191" s="22">
        <v>19.377700000000001</v>
      </c>
      <c r="AI191" s="22">
        <v>-1.5628099999999999E-2</v>
      </c>
      <c r="AJ191" s="22">
        <v>181</v>
      </c>
      <c r="AK191" s="22">
        <v>0.81054700000000002</v>
      </c>
      <c r="AL191">
        <f t="shared" si="30"/>
        <v>19.293950617283947</v>
      </c>
      <c r="AM191">
        <f t="shared" si="31"/>
        <v>15.656307755802466</v>
      </c>
      <c r="AP191" s="9"/>
      <c r="AQ191" s="22">
        <v>0.76858499999999996</v>
      </c>
      <c r="AR191" s="22">
        <v>24.676400000000001</v>
      </c>
      <c r="AS191" s="22">
        <v>-1.5701300000000001E-2</v>
      </c>
      <c r="AT191" s="22">
        <v>181</v>
      </c>
      <c r="AU191" s="22">
        <v>0.76721200000000001</v>
      </c>
      <c r="AV191">
        <f t="shared" si="32"/>
        <v>19.384320987654323</v>
      </c>
      <c r="AW191">
        <f t="shared" si="33"/>
        <v>14.898498346296298</v>
      </c>
      <c r="AX191" s="9"/>
      <c r="AY191" s="22">
        <v>0.81146200000000002</v>
      </c>
      <c r="AZ191" s="22">
        <v>28.253900000000002</v>
      </c>
      <c r="BA191" s="22">
        <v>-1.5634200000000001E-2</v>
      </c>
      <c r="BB191" s="22">
        <v>181</v>
      </c>
      <c r="BC191" s="22">
        <v>0.81085200000000002</v>
      </c>
      <c r="BD191">
        <f t="shared" si="34"/>
        <v>19.301481481481481</v>
      </c>
      <c r="BE191">
        <f t="shared" si="35"/>
        <v>15.662418765925926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6.9272499999999999</v>
      </c>
      <c r="I192" s="22">
        <v>-1.5799000000000001E-2</v>
      </c>
      <c r="J192" s="22">
        <v>182</v>
      </c>
      <c r="K192" s="22">
        <v>0.76263400000000003</v>
      </c>
      <c r="L192">
        <f t="shared" si="24"/>
        <v>19.504938271604939</v>
      </c>
      <c r="M192">
        <f t="shared" si="25"/>
        <v>14.892995617283949</v>
      </c>
      <c r="N192" s="9"/>
      <c r="O192" s="22">
        <v>0.81649799999999995</v>
      </c>
      <c r="P192" s="22">
        <v>10.5047</v>
      </c>
      <c r="Q192" s="22">
        <v>-1.5640299999999999E-2</v>
      </c>
      <c r="R192" s="22">
        <v>182</v>
      </c>
      <c r="S192" s="22">
        <v>0.81603999999999999</v>
      </c>
      <c r="T192">
        <f t="shared" si="26"/>
        <v>19.309012345679012</v>
      </c>
      <c r="U192">
        <f t="shared" si="27"/>
        <v>15.765769962222221</v>
      </c>
      <c r="X192" s="9"/>
      <c r="Y192" s="22">
        <v>0.76354999999999995</v>
      </c>
      <c r="Z192" s="22">
        <v>15.8103</v>
      </c>
      <c r="AA192" s="22">
        <v>-1.5728800000000001E-2</v>
      </c>
      <c r="AB192" s="22">
        <v>182</v>
      </c>
      <c r="AC192" s="22">
        <v>0.76293900000000003</v>
      </c>
      <c r="AD192">
        <f t="shared" si="28"/>
        <v>19.418271604938269</v>
      </c>
      <c r="AE192">
        <f t="shared" si="29"/>
        <v>14.826821283950615</v>
      </c>
      <c r="AF192" s="9"/>
      <c r="AG192" s="22">
        <v>0.81649799999999995</v>
      </c>
      <c r="AH192" s="22">
        <v>19.387799999999999</v>
      </c>
      <c r="AI192" s="22">
        <v>-1.5621899999999999E-2</v>
      </c>
      <c r="AJ192" s="22">
        <v>182</v>
      </c>
      <c r="AK192" s="22">
        <v>0.81542999999999999</v>
      </c>
      <c r="AL192">
        <f t="shared" si="30"/>
        <v>19.286296296296296</v>
      </c>
      <c r="AM192">
        <f t="shared" si="31"/>
        <v>15.747222353333331</v>
      </c>
      <c r="AP192" s="9"/>
      <c r="AQ192" s="22">
        <v>0.76354999999999995</v>
      </c>
      <c r="AR192" s="22">
        <v>24.686499999999999</v>
      </c>
      <c r="AS192" s="22">
        <v>-1.5710399999999999E-2</v>
      </c>
      <c r="AT192" s="22">
        <v>182</v>
      </c>
      <c r="AU192" s="22">
        <v>0.76293900000000003</v>
      </c>
      <c r="AV192">
        <f t="shared" si="32"/>
        <v>19.395555555555553</v>
      </c>
      <c r="AW192">
        <f t="shared" si="33"/>
        <v>14.809476444444442</v>
      </c>
      <c r="AX192" s="9"/>
      <c r="AY192" s="22">
        <v>0.81649799999999995</v>
      </c>
      <c r="AZ192" s="22">
        <v>28.263999999999999</v>
      </c>
      <c r="BA192" s="22">
        <v>-1.5628099999999999E-2</v>
      </c>
      <c r="BB192" s="22">
        <v>182</v>
      </c>
      <c r="BC192" s="22">
        <v>0.81542999999999999</v>
      </c>
      <c r="BD192">
        <f t="shared" si="34"/>
        <v>19.293950617283947</v>
      </c>
      <c r="BE192">
        <f t="shared" si="35"/>
        <v>15.753472091111107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6.9373199999999997</v>
      </c>
      <c r="I193" s="22">
        <v>-1.5805099999999999E-2</v>
      </c>
      <c r="J193" s="22">
        <v>183</v>
      </c>
      <c r="K193" s="22">
        <v>0.75805699999999998</v>
      </c>
      <c r="L193">
        <f t="shared" si="24"/>
        <v>19.512469135802469</v>
      </c>
      <c r="M193">
        <f t="shared" si="25"/>
        <v>14.800481014074075</v>
      </c>
      <c r="N193" s="9"/>
      <c r="O193" s="22">
        <v>0.82153299999999996</v>
      </c>
      <c r="P193" s="22">
        <v>10.514799999999999</v>
      </c>
      <c r="Q193" s="22">
        <v>-1.5631099999999998E-2</v>
      </c>
      <c r="R193" s="22">
        <v>183</v>
      </c>
      <c r="S193" s="22">
        <v>0.82061799999999996</v>
      </c>
      <c r="T193">
        <f t="shared" si="26"/>
        <v>19.29765432098765</v>
      </c>
      <c r="U193">
        <f t="shared" si="27"/>
        <v>15.853659847283947</v>
      </c>
      <c r="X193" s="9"/>
      <c r="Y193" s="22">
        <v>0.75851400000000002</v>
      </c>
      <c r="Z193" s="22">
        <v>15.820399999999999</v>
      </c>
      <c r="AA193" s="22">
        <v>-1.5737899999999999E-2</v>
      </c>
      <c r="AB193" s="22">
        <v>183</v>
      </c>
      <c r="AC193" s="22">
        <v>0.75775099999999995</v>
      </c>
      <c r="AD193">
        <f t="shared" si="28"/>
        <v>19.429506172839503</v>
      </c>
      <c r="AE193">
        <f t="shared" si="29"/>
        <v>14.737552445185184</v>
      </c>
      <c r="AF193" s="9"/>
      <c r="AG193" s="22">
        <v>0.82153299999999996</v>
      </c>
      <c r="AH193" s="22">
        <v>19.3978</v>
      </c>
      <c r="AI193" s="22">
        <v>-1.56128E-2</v>
      </c>
      <c r="AJ193" s="22">
        <v>183</v>
      </c>
      <c r="AK193" s="22">
        <v>0.82031299999999996</v>
      </c>
      <c r="AL193">
        <f t="shared" si="30"/>
        <v>19.275061728395059</v>
      </c>
      <c r="AM193">
        <f t="shared" si="31"/>
        <v>15.835099286913577</v>
      </c>
      <c r="AP193" s="9"/>
      <c r="AQ193" s="22">
        <v>0.75851400000000002</v>
      </c>
      <c r="AR193" s="22">
        <v>24.6965</v>
      </c>
      <c r="AS193" s="22">
        <v>-1.5716600000000001E-2</v>
      </c>
      <c r="AT193" s="22">
        <v>183</v>
      </c>
      <c r="AU193" s="22">
        <v>0.75744599999999995</v>
      </c>
      <c r="AV193">
        <f t="shared" si="32"/>
        <v>19.403209876543212</v>
      </c>
      <c r="AW193">
        <f t="shared" si="33"/>
        <v>14.717606336296297</v>
      </c>
      <c r="AX193" s="9"/>
      <c r="AY193" s="22">
        <v>0.82153299999999996</v>
      </c>
      <c r="AZ193" s="22">
        <v>28.274000000000001</v>
      </c>
      <c r="BA193" s="22">
        <v>-1.56189E-2</v>
      </c>
      <c r="BB193" s="22">
        <v>183</v>
      </c>
      <c r="BC193" s="22">
        <v>0.82000700000000004</v>
      </c>
      <c r="BD193">
        <f t="shared" si="34"/>
        <v>19.282592592592589</v>
      </c>
      <c r="BE193">
        <f t="shared" si="35"/>
        <v>15.841286140370366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6.9473900000000004</v>
      </c>
      <c r="I194" s="22">
        <v>-1.58142E-2</v>
      </c>
      <c r="J194" s="22">
        <v>184</v>
      </c>
      <c r="K194" s="22">
        <v>0.75164799999999998</v>
      </c>
      <c r="L194">
        <f t="shared" si="24"/>
        <v>19.523703703703703</v>
      </c>
      <c r="M194">
        <f t="shared" si="25"/>
        <v>14.710700742962963</v>
      </c>
      <c r="N194" s="9"/>
      <c r="O194" s="22">
        <v>0.826569</v>
      </c>
      <c r="P194" s="22">
        <v>10.524900000000001</v>
      </c>
      <c r="Q194" s="22">
        <v>-1.5621899999999999E-2</v>
      </c>
      <c r="R194" s="22">
        <v>184</v>
      </c>
      <c r="S194" s="22">
        <v>0.82550000000000001</v>
      </c>
      <c r="T194">
        <f t="shared" si="26"/>
        <v>19.286296296296296</v>
      </c>
      <c r="U194">
        <f t="shared" si="27"/>
        <v>15.941454643333334</v>
      </c>
      <c r="X194" s="9"/>
      <c r="Y194" s="22">
        <v>0.75347900000000001</v>
      </c>
      <c r="Z194" s="22">
        <v>15.830399999999999</v>
      </c>
      <c r="AA194" s="22">
        <v>-1.5744000000000001E-2</v>
      </c>
      <c r="AB194" s="22">
        <v>184</v>
      </c>
      <c r="AC194" s="22">
        <v>0.75256299999999998</v>
      </c>
      <c r="AD194">
        <f t="shared" si="28"/>
        <v>19.437037037037037</v>
      </c>
      <c r="AE194">
        <f t="shared" si="29"/>
        <v>14.64539922962963</v>
      </c>
      <c r="AF194" s="9"/>
      <c r="AG194" s="22">
        <v>0.826569</v>
      </c>
      <c r="AH194" s="22">
        <v>19.407900000000001</v>
      </c>
      <c r="AI194" s="22">
        <v>-1.5606699999999999E-2</v>
      </c>
      <c r="AJ194" s="22">
        <v>184</v>
      </c>
      <c r="AK194" s="22">
        <v>0.82550000000000001</v>
      </c>
      <c r="AL194">
        <f t="shared" si="30"/>
        <v>19.267530864197528</v>
      </c>
      <c r="AM194">
        <f t="shared" si="31"/>
        <v>15.925943718888886</v>
      </c>
      <c r="AP194" s="9"/>
      <c r="AQ194" s="22">
        <v>0.75347900000000001</v>
      </c>
      <c r="AR194" s="22">
        <v>24.706600000000002</v>
      </c>
      <c r="AS194" s="22">
        <v>-1.5725699999999999E-2</v>
      </c>
      <c r="AT194" s="22">
        <v>184</v>
      </c>
      <c r="AU194" s="22">
        <v>0.75347900000000001</v>
      </c>
      <c r="AV194">
        <f t="shared" si="32"/>
        <v>19.414444444444442</v>
      </c>
      <c r="AW194">
        <f t="shared" si="33"/>
        <v>14.628376185555554</v>
      </c>
      <c r="AX194" s="9"/>
      <c r="AY194" s="22">
        <v>0.826569</v>
      </c>
      <c r="AZ194" s="22">
        <v>28.284099999999999</v>
      </c>
      <c r="BA194" s="22">
        <v>-1.56128E-2</v>
      </c>
      <c r="BB194" s="22">
        <v>184</v>
      </c>
      <c r="BC194" s="22">
        <v>0.82550000000000001</v>
      </c>
      <c r="BD194">
        <f t="shared" si="34"/>
        <v>19.275061728395059</v>
      </c>
      <c r="BE194">
        <f t="shared" si="35"/>
        <v>15.932168497777775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6.9574600000000002</v>
      </c>
      <c r="I195" s="22">
        <v>-1.5823400000000001E-2</v>
      </c>
      <c r="J195" s="22">
        <v>185</v>
      </c>
      <c r="K195" s="22">
        <v>0.74761999999999995</v>
      </c>
      <c r="L195">
        <f t="shared" si="24"/>
        <v>19.535061728395064</v>
      </c>
      <c r="M195">
        <f t="shared" si="25"/>
        <v>14.620899740246916</v>
      </c>
      <c r="N195" s="9"/>
      <c r="O195" s="22">
        <v>0.83160400000000001</v>
      </c>
      <c r="P195" s="22">
        <v>10.5349</v>
      </c>
      <c r="Q195" s="22">
        <v>-1.56128E-2</v>
      </c>
      <c r="R195" s="22">
        <v>185</v>
      </c>
      <c r="S195" s="22">
        <v>0.83038299999999998</v>
      </c>
      <c r="T195">
        <f t="shared" si="26"/>
        <v>19.275061728395059</v>
      </c>
      <c r="U195">
        <f t="shared" si="27"/>
        <v>16.029218433580244</v>
      </c>
      <c r="X195" s="9"/>
      <c r="Y195" s="22">
        <v>0.748444</v>
      </c>
      <c r="Z195" s="22">
        <v>15.8405</v>
      </c>
      <c r="AA195" s="22">
        <v>-1.5753199999999998E-2</v>
      </c>
      <c r="AB195" s="22">
        <v>185</v>
      </c>
      <c r="AC195" s="22">
        <v>0.747803</v>
      </c>
      <c r="AD195">
        <f t="shared" si="28"/>
        <v>19.448395061728394</v>
      </c>
      <c r="AE195">
        <f t="shared" si="29"/>
        <v>14.556034593580247</v>
      </c>
      <c r="AF195" s="9"/>
      <c r="AG195" s="22">
        <v>0.83160400000000001</v>
      </c>
      <c r="AH195" s="22">
        <v>19.417999999999999</v>
      </c>
      <c r="AI195" s="22">
        <v>-1.55975E-2</v>
      </c>
      <c r="AJ195" s="22">
        <v>185</v>
      </c>
      <c r="AK195" s="22">
        <v>0.83068799999999998</v>
      </c>
      <c r="AL195">
        <f t="shared" si="30"/>
        <v>19.256172839506171</v>
      </c>
      <c r="AM195">
        <f t="shared" si="31"/>
        <v>16.013510358024689</v>
      </c>
      <c r="AP195" s="9"/>
      <c r="AQ195" s="22">
        <v>0.748444</v>
      </c>
      <c r="AR195" s="22">
        <v>24.716699999999999</v>
      </c>
      <c r="AS195" s="22">
        <v>-1.57349E-2</v>
      </c>
      <c r="AT195" s="22">
        <v>185</v>
      </c>
      <c r="AU195" s="22">
        <v>0.74771100000000001</v>
      </c>
      <c r="AV195">
        <f t="shared" si="32"/>
        <v>19.425802469135803</v>
      </c>
      <c r="AW195">
        <f t="shared" si="33"/>
        <v>14.539125303209877</v>
      </c>
      <c r="AX195" s="9"/>
      <c r="AY195" s="22">
        <v>0.83160400000000001</v>
      </c>
      <c r="AZ195" s="22">
        <v>28.2942</v>
      </c>
      <c r="BA195" s="22">
        <v>-1.5606699999999999E-2</v>
      </c>
      <c r="BB195" s="22">
        <v>185</v>
      </c>
      <c r="BC195" s="22">
        <v>0.83007799999999998</v>
      </c>
      <c r="BD195">
        <f t="shared" si="34"/>
        <v>19.267530864197528</v>
      </c>
      <c r="BE195">
        <f t="shared" si="35"/>
        <v>16.02295573679012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6.96753</v>
      </c>
      <c r="I196" s="22">
        <v>-1.5835599999999998E-2</v>
      </c>
      <c r="J196" s="22">
        <v>186</v>
      </c>
      <c r="K196" s="22">
        <v>0.74252300000000004</v>
      </c>
      <c r="L196">
        <f t="shared" si="24"/>
        <v>19.550123456790118</v>
      </c>
      <c r="M196">
        <f t="shared" si="25"/>
        <v>14.533718178765428</v>
      </c>
      <c r="N196" s="9"/>
      <c r="O196" s="22">
        <v>0.83663900000000002</v>
      </c>
      <c r="P196" s="22">
        <v>10.545</v>
      </c>
      <c r="Q196" s="22">
        <v>-1.5606699999999999E-2</v>
      </c>
      <c r="R196" s="22">
        <v>186</v>
      </c>
      <c r="S196" s="22">
        <v>0.83557099999999995</v>
      </c>
      <c r="T196">
        <f t="shared" si="26"/>
        <v>19.267530864197528</v>
      </c>
      <c r="U196">
        <f t="shared" si="27"/>
        <v>16.119967754691356</v>
      </c>
      <c r="X196" s="9"/>
      <c r="Y196" s="22">
        <v>0.74340799999999996</v>
      </c>
      <c r="Z196" s="22">
        <v>15.8506</v>
      </c>
      <c r="AA196" s="22">
        <v>-1.57623E-2</v>
      </c>
      <c r="AB196" s="22">
        <v>186</v>
      </c>
      <c r="AC196" s="22">
        <v>0.74270599999999998</v>
      </c>
      <c r="AD196">
        <f t="shared" si="28"/>
        <v>19.459629629629628</v>
      </c>
      <c r="AE196">
        <f t="shared" si="29"/>
        <v>14.466444343703701</v>
      </c>
      <c r="AF196" s="9"/>
      <c r="AG196" s="22">
        <v>0.83663900000000002</v>
      </c>
      <c r="AH196" s="22">
        <v>19.428100000000001</v>
      </c>
      <c r="AI196" s="22">
        <v>-1.5588400000000001E-2</v>
      </c>
      <c r="AJ196" s="22">
        <v>186</v>
      </c>
      <c r="AK196" s="22">
        <v>0.83587599999999995</v>
      </c>
      <c r="AL196">
        <f t="shared" si="30"/>
        <v>19.244938271604937</v>
      </c>
      <c r="AM196">
        <f t="shared" si="31"/>
        <v>16.101065910617283</v>
      </c>
      <c r="AP196" s="9"/>
      <c r="AQ196" s="22">
        <v>0.74340799999999996</v>
      </c>
      <c r="AR196" s="22">
        <v>24.726800000000001</v>
      </c>
      <c r="AS196" s="22">
        <v>-1.57471E-2</v>
      </c>
      <c r="AT196" s="22">
        <v>186</v>
      </c>
      <c r="AU196" s="22">
        <v>0.74255400000000005</v>
      </c>
      <c r="AV196">
        <f t="shared" si="32"/>
        <v>19.44086419753086</v>
      </c>
      <c r="AW196">
        <f t="shared" si="33"/>
        <v>14.45249397135802</v>
      </c>
      <c r="AX196" s="9"/>
      <c r="AY196" s="22">
        <v>0.83663900000000002</v>
      </c>
      <c r="AZ196" s="22">
        <v>28.304200000000002</v>
      </c>
      <c r="BA196" s="22">
        <v>-1.55975E-2</v>
      </c>
      <c r="BB196" s="22">
        <v>186</v>
      </c>
      <c r="BC196" s="22">
        <v>0.83557099999999995</v>
      </c>
      <c r="BD196">
        <f t="shared" si="34"/>
        <v>19.256172839506171</v>
      </c>
      <c r="BE196">
        <f t="shared" si="35"/>
        <v>16.110465188271604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6.9775999999999998</v>
      </c>
      <c r="I197" s="22">
        <v>-1.58417E-2</v>
      </c>
      <c r="J197" s="22">
        <v>187</v>
      </c>
      <c r="K197" s="22">
        <v>0.73760999999999999</v>
      </c>
      <c r="L197">
        <f t="shared" si="24"/>
        <v>19.557654320987655</v>
      </c>
      <c r="M197">
        <f t="shared" si="25"/>
        <v>14.440843893950618</v>
      </c>
      <c r="N197" s="9"/>
      <c r="O197" s="22">
        <v>0.84167499999999995</v>
      </c>
      <c r="P197" s="22">
        <v>10.555099999999999</v>
      </c>
      <c r="Q197" s="22">
        <v>-1.5600599999999999E-2</v>
      </c>
      <c r="R197" s="22">
        <v>187</v>
      </c>
      <c r="S197" s="22">
        <v>0.84106400000000003</v>
      </c>
      <c r="T197">
        <f t="shared" si="26"/>
        <v>19.259999999999998</v>
      </c>
      <c r="U197">
        <f t="shared" si="27"/>
        <v>16.210660499999996</v>
      </c>
      <c r="X197" s="9"/>
      <c r="Y197" s="22">
        <v>0.73837299999999995</v>
      </c>
      <c r="Z197" s="22">
        <v>15.8606</v>
      </c>
      <c r="AA197" s="22">
        <v>-1.5771500000000001E-2</v>
      </c>
      <c r="AB197" s="22">
        <v>187</v>
      </c>
      <c r="AC197" s="22">
        <v>0.73770100000000005</v>
      </c>
      <c r="AD197">
        <f t="shared" si="28"/>
        <v>19.470987654320989</v>
      </c>
      <c r="AE197">
        <f t="shared" si="29"/>
        <v>14.376851567283952</v>
      </c>
      <c r="AF197" s="9"/>
      <c r="AG197" s="22">
        <v>0.84167499999999995</v>
      </c>
      <c r="AH197" s="22">
        <v>19.438099999999999</v>
      </c>
      <c r="AI197" s="22">
        <v>-1.55823E-2</v>
      </c>
      <c r="AJ197" s="22">
        <v>187</v>
      </c>
      <c r="AK197" s="22">
        <v>0.84075900000000003</v>
      </c>
      <c r="AL197">
        <f t="shared" si="30"/>
        <v>19.237407407407407</v>
      </c>
      <c r="AM197">
        <f t="shared" si="31"/>
        <v>16.191644879629628</v>
      </c>
      <c r="AP197" s="9"/>
      <c r="AQ197" s="22">
        <v>0.73837299999999995</v>
      </c>
      <c r="AR197" s="22">
        <v>24.736799999999999</v>
      </c>
      <c r="AS197" s="22">
        <v>-1.5756200000000001E-2</v>
      </c>
      <c r="AT197" s="22">
        <v>187</v>
      </c>
      <c r="AU197" s="22">
        <v>0.73754900000000001</v>
      </c>
      <c r="AV197">
        <f t="shared" si="32"/>
        <v>19.452098765432101</v>
      </c>
      <c r="AW197">
        <f t="shared" si="33"/>
        <v>14.362904521728396</v>
      </c>
      <c r="AX197" s="9"/>
      <c r="AY197" s="22">
        <v>0.84167499999999995</v>
      </c>
      <c r="AZ197" s="22">
        <v>28.314299999999999</v>
      </c>
      <c r="BA197" s="22">
        <v>-1.5588400000000001E-2</v>
      </c>
      <c r="BB197" s="22">
        <v>187</v>
      </c>
      <c r="BC197" s="22">
        <v>0.84136999999999995</v>
      </c>
      <c r="BD197">
        <f t="shared" si="34"/>
        <v>19.244938271604937</v>
      </c>
      <c r="BE197">
        <f t="shared" si="35"/>
        <v>16.197983419753083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6.9876699999999996</v>
      </c>
      <c r="I198" s="22">
        <v>-1.5850800000000002E-2</v>
      </c>
      <c r="J198" s="22">
        <v>188</v>
      </c>
      <c r="K198" s="22">
        <v>0.73269700000000004</v>
      </c>
      <c r="L198">
        <f t="shared" si="24"/>
        <v>19.568888888888889</v>
      </c>
      <c r="M198">
        <f t="shared" si="25"/>
        <v>14.350590271111111</v>
      </c>
      <c r="N198" s="9"/>
      <c r="O198" s="22">
        <v>0.84670999999999996</v>
      </c>
      <c r="P198" s="22">
        <v>10.565200000000001</v>
      </c>
      <c r="Q198" s="22">
        <v>-1.55914E-2</v>
      </c>
      <c r="R198" s="22">
        <v>188</v>
      </c>
      <c r="S198" s="22">
        <v>0.84503200000000001</v>
      </c>
      <c r="T198">
        <f t="shared" si="26"/>
        <v>19.24864197530864</v>
      </c>
      <c r="U198">
        <f t="shared" si="27"/>
        <v>16.298017646913578</v>
      </c>
      <c r="X198" s="9"/>
      <c r="Y198" s="22">
        <v>0.73333700000000002</v>
      </c>
      <c r="Z198" s="22">
        <v>15.870699999999999</v>
      </c>
      <c r="AA198" s="22">
        <v>-1.5780599999999999E-2</v>
      </c>
      <c r="AB198" s="22">
        <v>188</v>
      </c>
      <c r="AC198" s="22">
        <v>0.73236100000000004</v>
      </c>
      <c r="AD198">
        <f t="shared" si="28"/>
        <v>19.482222222222219</v>
      </c>
      <c r="AE198">
        <f t="shared" si="29"/>
        <v>14.287034397777775</v>
      </c>
      <c r="AF198" s="9"/>
      <c r="AG198" s="22">
        <v>0.84670999999999996</v>
      </c>
      <c r="AH198" s="22">
        <v>19.4482</v>
      </c>
      <c r="AI198" s="22">
        <v>-1.55762E-2</v>
      </c>
      <c r="AJ198" s="22">
        <v>188</v>
      </c>
      <c r="AK198" s="22">
        <v>0.845947</v>
      </c>
      <c r="AL198">
        <f t="shared" si="30"/>
        <v>19.229876543209876</v>
      </c>
      <c r="AM198">
        <f t="shared" si="31"/>
        <v>16.282128767901234</v>
      </c>
      <c r="AP198" s="9"/>
      <c r="AQ198" s="22">
        <v>0.73333700000000002</v>
      </c>
      <c r="AR198" s="22">
        <v>24.7469</v>
      </c>
      <c r="AS198" s="22">
        <v>-1.57623E-2</v>
      </c>
      <c r="AT198" s="22">
        <v>188</v>
      </c>
      <c r="AU198" s="22">
        <v>0.73260499999999995</v>
      </c>
      <c r="AV198">
        <f t="shared" si="32"/>
        <v>19.459629629629628</v>
      </c>
      <c r="AW198">
        <f t="shared" si="33"/>
        <v>14.270466413703703</v>
      </c>
      <c r="AX198" s="9"/>
      <c r="AY198" s="22">
        <v>0.84670999999999996</v>
      </c>
      <c r="AZ198" s="22">
        <v>28.324400000000001</v>
      </c>
      <c r="BA198" s="22">
        <v>-1.55792E-2</v>
      </c>
      <c r="BB198" s="22">
        <v>188</v>
      </c>
      <c r="BC198" s="22">
        <v>0.845642</v>
      </c>
      <c r="BD198">
        <f t="shared" si="34"/>
        <v>19.233580246913579</v>
      </c>
      <c r="BE198">
        <f t="shared" si="35"/>
        <v>16.285264730864196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6.9977400000000003</v>
      </c>
      <c r="I199" s="22">
        <v>-1.58569E-2</v>
      </c>
      <c r="J199" s="22">
        <v>189</v>
      </c>
      <c r="K199" s="22">
        <v>0.72763100000000003</v>
      </c>
      <c r="L199">
        <f t="shared" si="24"/>
        <v>19.576419753086416</v>
      </c>
      <c r="M199">
        <f t="shared" si="25"/>
        <v>14.257545659012344</v>
      </c>
      <c r="N199" s="9"/>
      <c r="O199" s="22">
        <v>0.851746</v>
      </c>
      <c r="P199" s="22">
        <v>10.575200000000001</v>
      </c>
      <c r="Q199" s="22">
        <v>-1.55853E-2</v>
      </c>
      <c r="R199" s="22">
        <v>189</v>
      </c>
      <c r="S199" s="22">
        <v>0.85052499999999998</v>
      </c>
      <c r="T199">
        <f t="shared" si="26"/>
        <v>19.24111111111111</v>
      </c>
      <c r="U199">
        <f t="shared" si="27"/>
        <v>16.388539424444442</v>
      </c>
      <c r="X199" s="9"/>
      <c r="Y199" s="22">
        <v>0.728302</v>
      </c>
      <c r="Z199" s="22">
        <v>15.880800000000001</v>
      </c>
      <c r="AA199" s="22">
        <v>-1.57898E-2</v>
      </c>
      <c r="AB199" s="22">
        <v>189</v>
      </c>
      <c r="AC199" s="22">
        <v>0.72760000000000002</v>
      </c>
      <c r="AD199">
        <f t="shared" si="28"/>
        <v>19.493580246913581</v>
      </c>
      <c r="AE199">
        <f t="shared" si="29"/>
        <v>14.197213480987655</v>
      </c>
      <c r="AF199" s="9"/>
      <c r="AG199" s="22">
        <v>0.851746</v>
      </c>
      <c r="AH199" s="22">
        <v>19.458300000000001</v>
      </c>
      <c r="AI199" s="22">
        <v>-1.5566999999999999E-2</v>
      </c>
      <c r="AJ199" s="22">
        <v>189</v>
      </c>
      <c r="AK199" s="22">
        <v>0.85052499999999998</v>
      </c>
      <c r="AL199">
        <f t="shared" si="30"/>
        <v>19.218518518518518</v>
      </c>
      <c r="AM199">
        <f t="shared" si="31"/>
        <v>16.369296274074074</v>
      </c>
      <c r="AP199" s="9"/>
      <c r="AQ199" s="22">
        <v>0.728302</v>
      </c>
      <c r="AR199" s="22">
        <v>24.757000000000001</v>
      </c>
      <c r="AS199" s="22">
        <v>-1.5771500000000001E-2</v>
      </c>
      <c r="AT199" s="22">
        <v>189</v>
      </c>
      <c r="AU199" s="22">
        <v>0.72757000000000005</v>
      </c>
      <c r="AV199">
        <f t="shared" si="32"/>
        <v>19.470987654320989</v>
      </c>
      <c r="AW199">
        <f t="shared" si="33"/>
        <v>14.180759250617285</v>
      </c>
      <c r="AX199" s="9"/>
      <c r="AY199" s="22">
        <v>0.851746</v>
      </c>
      <c r="AZ199" s="22">
        <v>28.334499999999998</v>
      </c>
      <c r="BA199" s="22">
        <v>-1.55701E-2</v>
      </c>
      <c r="BB199" s="22">
        <v>189</v>
      </c>
      <c r="BC199" s="22">
        <v>0.85082999999999998</v>
      </c>
      <c r="BD199">
        <f t="shared" si="34"/>
        <v>19.222345679012346</v>
      </c>
      <c r="BE199">
        <f t="shared" si="35"/>
        <v>16.372556042716049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7.0078100000000001</v>
      </c>
      <c r="I200" s="22">
        <v>-1.5862999999999999E-2</v>
      </c>
      <c r="J200" s="22">
        <v>190</v>
      </c>
      <c r="K200" s="22">
        <v>0.72253400000000001</v>
      </c>
      <c r="L200">
        <f t="shared" si="24"/>
        <v>19.58395061728395</v>
      </c>
      <c r="M200">
        <f t="shared" si="25"/>
        <v>14.16442521111111</v>
      </c>
      <c r="N200" s="9"/>
      <c r="O200" s="22">
        <v>0.85678100000000001</v>
      </c>
      <c r="P200" s="22">
        <v>10.5853</v>
      </c>
      <c r="Q200" s="22">
        <v>-1.5573099999999999E-2</v>
      </c>
      <c r="R200" s="22">
        <v>190</v>
      </c>
      <c r="S200" s="22">
        <v>0.85662799999999995</v>
      </c>
      <c r="T200">
        <f t="shared" si="26"/>
        <v>19.226049382716049</v>
      </c>
      <c r="U200">
        <f t="shared" si="27"/>
        <v>16.472513816172839</v>
      </c>
      <c r="X200" s="9"/>
      <c r="Y200" s="22">
        <v>0.72326699999999999</v>
      </c>
      <c r="Z200" s="22">
        <v>15.8909</v>
      </c>
      <c r="AA200" s="22">
        <v>-1.5802E-2</v>
      </c>
      <c r="AB200" s="22">
        <v>190</v>
      </c>
      <c r="AC200" s="22">
        <v>0.72259499999999999</v>
      </c>
      <c r="AD200">
        <f t="shared" si="28"/>
        <v>19.508641975308638</v>
      </c>
      <c r="AE200">
        <f t="shared" si="29"/>
        <v>14.109956955555553</v>
      </c>
      <c r="AF200" s="9"/>
      <c r="AG200" s="22">
        <v>0.85678100000000001</v>
      </c>
      <c r="AH200" s="22">
        <v>19.468299999999999</v>
      </c>
      <c r="AI200" s="22">
        <v>-1.55579E-2</v>
      </c>
      <c r="AJ200" s="22">
        <v>190</v>
      </c>
      <c r="AK200" s="22">
        <v>0.85571299999999995</v>
      </c>
      <c r="AL200">
        <f t="shared" si="30"/>
        <v>19.207283950617281</v>
      </c>
      <c r="AM200">
        <f t="shared" si="31"/>
        <v>16.456435950493827</v>
      </c>
      <c r="AP200" s="9"/>
      <c r="AQ200" s="22">
        <v>0.72326699999999999</v>
      </c>
      <c r="AR200" s="22">
        <v>24.766999999999999</v>
      </c>
      <c r="AS200" s="22">
        <v>-1.5780599999999999E-2</v>
      </c>
      <c r="AT200" s="22">
        <v>190</v>
      </c>
      <c r="AU200" s="22">
        <v>0.72256500000000001</v>
      </c>
      <c r="AV200">
        <f t="shared" si="32"/>
        <v>19.482222222222219</v>
      </c>
      <c r="AW200">
        <f t="shared" si="33"/>
        <v>14.090848419999999</v>
      </c>
      <c r="AX200" s="9"/>
      <c r="AY200" s="22">
        <v>0.85678100000000001</v>
      </c>
      <c r="AZ200" s="22">
        <v>28.3445</v>
      </c>
      <c r="BA200" s="22">
        <v>-1.5560900000000001E-2</v>
      </c>
      <c r="BB200" s="22">
        <v>190</v>
      </c>
      <c r="BC200" s="22">
        <v>0.85571299999999995</v>
      </c>
      <c r="BD200">
        <f t="shared" si="34"/>
        <v>19.210987654320988</v>
      </c>
      <c r="BE200">
        <f t="shared" si="35"/>
        <v>16.45960921345679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7.0178900000000004</v>
      </c>
      <c r="I201" s="22">
        <v>-1.5875199999999999E-2</v>
      </c>
      <c r="J201" s="22">
        <v>191</v>
      </c>
      <c r="K201" s="22">
        <v>0.71752899999999997</v>
      </c>
      <c r="L201">
        <f t="shared" si="24"/>
        <v>19.599012345679007</v>
      </c>
      <c r="M201">
        <f t="shared" si="25"/>
        <v>14.076618236049379</v>
      </c>
      <c r="N201" s="9"/>
      <c r="O201" s="22">
        <v>0.86181600000000003</v>
      </c>
      <c r="P201" s="22">
        <v>10.5954</v>
      </c>
      <c r="Q201" s="22">
        <v>-1.5566999999999999E-2</v>
      </c>
      <c r="R201" s="22">
        <v>191</v>
      </c>
      <c r="S201" s="22">
        <v>0.86120600000000003</v>
      </c>
      <c r="T201">
        <f t="shared" si="26"/>
        <v>19.218518518518518</v>
      </c>
      <c r="U201">
        <f t="shared" si="27"/>
        <v>16.562826755555555</v>
      </c>
      <c r="X201" s="9"/>
      <c r="Y201" s="22">
        <v>0.71823099999999995</v>
      </c>
      <c r="Z201" s="22">
        <v>15.9009</v>
      </c>
      <c r="AA201" s="22">
        <v>-1.5811200000000001E-2</v>
      </c>
      <c r="AB201" s="22">
        <v>191</v>
      </c>
      <c r="AC201" s="22">
        <v>0.71740700000000002</v>
      </c>
      <c r="AD201">
        <f t="shared" si="28"/>
        <v>19.52</v>
      </c>
      <c r="AE201">
        <f t="shared" si="29"/>
        <v>14.019869119999999</v>
      </c>
      <c r="AF201" s="9"/>
      <c r="AG201" s="22">
        <v>0.86181600000000003</v>
      </c>
      <c r="AH201" s="22">
        <v>19.478400000000001</v>
      </c>
      <c r="AI201" s="22">
        <v>-1.5545700000000001E-2</v>
      </c>
      <c r="AJ201" s="22">
        <v>191</v>
      </c>
      <c r="AK201" s="22">
        <v>0.86120600000000003</v>
      </c>
      <c r="AL201">
        <f t="shared" si="30"/>
        <v>19.19222222222222</v>
      </c>
      <c r="AM201">
        <f t="shared" si="31"/>
        <v>16.540164186666665</v>
      </c>
      <c r="AP201" s="9"/>
      <c r="AQ201" s="22">
        <v>0.71823099999999995</v>
      </c>
      <c r="AR201" s="22">
        <v>24.777100000000001</v>
      </c>
      <c r="AS201" s="22">
        <v>-1.5786700000000001E-2</v>
      </c>
      <c r="AT201" s="22">
        <v>191</v>
      </c>
      <c r="AU201" s="22">
        <v>0.71740700000000002</v>
      </c>
      <c r="AV201">
        <f t="shared" si="32"/>
        <v>19.489753086419753</v>
      </c>
      <c r="AW201">
        <f t="shared" si="33"/>
        <v>13.998144849012345</v>
      </c>
      <c r="AX201" s="9"/>
      <c r="AY201" s="22">
        <v>0.86181600000000003</v>
      </c>
      <c r="AZ201" s="22">
        <v>28.354600000000001</v>
      </c>
      <c r="BA201" s="22">
        <v>-1.5551799999999999E-2</v>
      </c>
      <c r="BB201" s="22">
        <v>191</v>
      </c>
      <c r="BC201" s="22">
        <v>0.86029100000000003</v>
      </c>
      <c r="BD201">
        <f t="shared" si="34"/>
        <v>19.199753086419751</v>
      </c>
      <c r="BE201">
        <f t="shared" si="35"/>
        <v>16.546654405925924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7.0279600000000002</v>
      </c>
      <c r="I202" s="22">
        <v>-1.58844E-2</v>
      </c>
      <c r="J202" s="22">
        <v>192</v>
      </c>
      <c r="K202" s="22">
        <v>0.71243299999999998</v>
      </c>
      <c r="L202">
        <f t="shared" si="24"/>
        <v>19.610370370370369</v>
      </c>
      <c r="M202">
        <f t="shared" si="25"/>
        <v>13.986037706666666</v>
      </c>
      <c r="N202" s="9"/>
      <c r="O202" s="22">
        <v>0.86685199999999996</v>
      </c>
      <c r="P202" s="22">
        <v>10.605399999999999</v>
      </c>
      <c r="Q202" s="22">
        <v>-1.55579E-2</v>
      </c>
      <c r="R202" s="22">
        <v>192</v>
      </c>
      <c r="S202" s="22">
        <v>0.865784</v>
      </c>
      <c r="T202">
        <f t="shared" si="26"/>
        <v>19.207283950617281</v>
      </c>
      <c r="U202">
        <f t="shared" si="27"/>
        <v>16.649872507160492</v>
      </c>
      <c r="X202" s="9"/>
      <c r="Y202" s="22">
        <v>0.71319600000000005</v>
      </c>
      <c r="Z202" s="22">
        <v>15.911</v>
      </c>
      <c r="AA202" s="22">
        <v>-1.5820299999999999E-2</v>
      </c>
      <c r="AB202" s="22">
        <v>192</v>
      </c>
      <c r="AC202" s="22">
        <v>0.71249399999999996</v>
      </c>
      <c r="AD202">
        <f t="shared" si="28"/>
        <v>19.53123456790123</v>
      </c>
      <c r="AE202">
        <f t="shared" si="29"/>
        <v>13.929598368888886</v>
      </c>
      <c r="AF202" s="9"/>
      <c r="AG202" s="22">
        <v>0.86685199999999996</v>
      </c>
      <c r="AH202" s="22">
        <v>19.488499999999998</v>
      </c>
      <c r="AI202" s="22">
        <v>-1.55365E-2</v>
      </c>
      <c r="AJ202" s="22">
        <v>192</v>
      </c>
      <c r="AK202" s="22">
        <v>0.866089</v>
      </c>
      <c r="AL202">
        <f t="shared" si="30"/>
        <v>19.180864197530862</v>
      </c>
      <c r="AM202">
        <f t="shared" si="31"/>
        <v>16.626970491358023</v>
      </c>
      <c r="AP202" s="9"/>
      <c r="AQ202" s="22">
        <v>0.71319600000000005</v>
      </c>
      <c r="AR202" s="22">
        <v>24.787199999999999</v>
      </c>
      <c r="AS202" s="22">
        <v>-1.5792799999999999E-2</v>
      </c>
      <c r="AT202" s="22">
        <v>192</v>
      </c>
      <c r="AU202" s="22">
        <v>0.71249399999999996</v>
      </c>
      <c r="AV202">
        <f t="shared" si="32"/>
        <v>19.49728395061728</v>
      </c>
      <c r="AW202">
        <f t="shared" si="33"/>
        <v>13.905384924444443</v>
      </c>
      <c r="AX202" s="9"/>
      <c r="AY202" s="22">
        <v>0.86685199999999996</v>
      </c>
      <c r="AZ202" s="22">
        <v>28.364699999999999</v>
      </c>
      <c r="BA202" s="22">
        <v>-1.5545700000000001E-2</v>
      </c>
      <c r="BB202" s="22">
        <v>192</v>
      </c>
      <c r="BC202" s="22">
        <v>0.866089</v>
      </c>
      <c r="BD202">
        <f t="shared" si="34"/>
        <v>19.19222222222222</v>
      </c>
      <c r="BE202">
        <f t="shared" si="35"/>
        <v>16.636816217777774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7.03803</v>
      </c>
      <c r="I203" s="22">
        <v>-1.58966E-2</v>
      </c>
      <c r="J203" s="22">
        <v>193</v>
      </c>
      <c r="K203" s="22">
        <v>0.70758100000000002</v>
      </c>
      <c r="L203">
        <f t="shared" si="24"/>
        <v>19.625432098765433</v>
      </c>
      <c r="M203">
        <f t="shared" si="25"/>
        <v>13.897945995061729</v>
      </c>
      <c r="N203" s="9"/>
      <c r="O203" s="22">
        <v>0.87188699999999997</v>
      </c>
      <c r="P203" s="22">
        <v>10.615500000000001</v>
      </c>
      <c r="Q203" s="22">
        <v>-1.5551799999999999E-2</v>
      </c>
      <c r="R203" s="22">
        <v>193</v>
      </c>
      <c r="S203" s="22">
        <v>0.87066699999999997</v>
      </c>
      <c r="T203">
        <f t="shared" si="26"/>
        <v>19.199753086419751</v>
      </c>
      <c r="U203">
        <f t="shared" si="27"/>
        <v>16.740015119259258</v>
      </c>
      <c r="X203" s="9"/>
      <c r="Y203" s="22">
        <v>0.70816000000000001</v>
      </c>
      <c r="Z203" s="22">
        <v>15.921099999999999</v>
      </c>
      <c r="AA203" s="22">
        <v>-1.58295E-2</v>
      </c>
      <c r="AB203" s="22">
        <v>193</v>
      </c>
      <c r="AC203" s="22">
        <v>0.70730599999999999</v>
      </c>
      <c r="AD203">
        <f t="shared" si="28"/>
        <v>19.542592592592591</v>
      </c>
      <c r="AE203">
        <f t="shared" si="29"/>
        <v>13.83928237037037</v>
      </c>
      <c r="AF203" s="9"/>
      <c r="AG203" s="22">
        <v>0.87188699999999997</v>
      </c>
      <c r="AH203" s="22">
        <v>19.4986</v>
      </c>
      <c r="AI203" s="22">
        <v>-1.5527300000000001E-2</v>
      </c>
      <c r="AJ203" s="22">
        <v>193</v>
      </c>
      <c r="AK203" s="22">
        <v>0.87127699999999997</v>
      </c>
      <c r="AL203">
        <f t="shared" si="30"/>
        <v>19.169506172839505</v>
      </c>
      <c r="AM203">
        <f t="shared" si="31"/>
        <v>16.713643228518517</v>
      </c>
      <c r="AP203" s="9"/>
      <c r="AQ203" s="22">
        <v>0.70816000000000001</v>
      </c>
      <c r="AR203" s="22">
        <v>24.7973</v>
      </c>
      <c r="AS203" s="22">
        <v>-1.5805099999999999E-2</v>
      </c>
      <c r="AT203" s="22">
        <v>193</v>
      </c>
      <c r="AU203" s="22">
        <v>0.70748900000000003</v>
      </c>
      <c r="AV203">
        <f t="shared" si="32"/>
        <v>19.512469135802469</v>
      </c>
      <c r="AW203">
        <f t="shared" si="33"/>
        <v>13.817950143209877</v>
      </c>
      <c r="AX203" s="9"/>
      <c r="AY203" s="22">
        <v>0.87188699999999997</v>
      </c>
      <c r="AZ203" s="22">
        <v>28.374700000000001</v>
      </c>
      <c r="BA203" s="22">
        <v>-1.5539600000000001E-2</v>
      </c>
      <c r="BB203" s="22">
        <v>193</v>
      </c>
      <c r="BC203" s="22">
        <v>0.87127699999999997</v>
      </c>
      <c r="BD203">
        <f t="shared" si="34"/>
        <v>19.18469135802469</v>
      </c>
      <c r="BE203">
        <f t="shared" si="35"/>
        <v>16.726882994074071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7.0480999999999998</v>
      </c>
      <c r="I204" s="22">
        <v>-1.5902699999999999E-2</v>
      </c>
      <c r="J204" s="22">
        <v>194</v>
      </c>
      <c r="K204" s="22">
        <v>0.70233199999999996</v>
      </c>
      <c r="L204">
        <f t="shared" ref="L204:L267" si="36">-I204/$F$2*1000</f>
        <v>19.63296296296296</v>
      </c>
      <c r="M204">
        <f t="shared" ref="M204:M267" si="37">L204*G204</f>
        <v>13.804427083333332</v>
      </c>
      <c r="N204" s="9"/>
      <c r="O204" s="22">
        <v>0.87692300000000001</v>
      </c>
      <c r="P204" s="22">
        <v>10.6256</v>
      </c>
      <c r="Q204" s="22">
        <v>-1.55426E-2</v>
      </c>
      <c r="R204" s="22">
        <v>194</v>
      </c>
      <c r="S204" s="22">
        <v>0.87585400000000002</v>
      </c>
      <c r="T204">
        <f t="shared" ref="T204:T267" si="38">-Q204/$F$2*1000</f>
        <v>19.188395061728393</v>
      </c>
      <c r="U204">
        <f t="shared" ref="U204:U267" si="39">T204*O204</f>
        <v>16.826744962716049</v>
      </c>
      <c r="X204" s="9"/>
      <c r="Y204" s="22">
        <v>0.703125</v>
      </c>
      <c r="Z204" s="22">
        <v>15.931100000000001</v>
      </c>
      <c r="AA204" s="22">
        <v>-1.5835599999999998E-2</v>
      </c>
      <c r="AB204" s="22">
        <v>194</v>
      </c>
      <c r="AC204" s="22">
        <v>0.702515</v>
      </c>
      <c r="AD204">
        <f t="shared" ref="AD204:AD267" si="40">-AA204/$F$2*1000</f>
        <v>19.550123456790118</v>
      </c>
      <c r="AE204">
        <f t="shared" ref="AE204:AE267" si="41">AD204*Y204</f>
        <v>13.746180555555551</v>
      </c>
      <c r="AF204" s="9"/>
      <c r="AG204" s="22">
        <v>0.87692300000000001</v>
      </c>
      <c r="AH204" s="22">
        <v>19.508600000000001</v>
      </c>
      <c r="AI204" s="22">
        <v>-1.5518199999999999E-2</v>
      </c>
      <c r="AJ204" s="22">
        <v>194</v>
      </c>
      <c r="AK204" s="22">
        <v>0.87616000000000005</v>
      </c>
      <c r="AL204">
        <f t="shared" ref="AL204:AL267" si="42">-AI204/$F$2*1000</f>
        <v>19.158271604938271</v>
      </c>
      <c r="AM204">
        <f t="shared" ref="AM204:AM267" si="43">AL204*AG204</f>
        <v>16.800329010617283</v>
      </c>
      <c r="AP204" s="9"/>
      <c r="AQ204" s="22">
        <v>0.703125</v>
      </c>
      <c r="AR204" s="22">
        <v>24.807300000000001</v>
      </c>
      <c r="AS204" s="22">
        <v>-1.58142E-2</v>
      </c>
      <c r="AT204" s="22">
        <v>194</v>
      </c>
      <c r="AU204" s="22">
        <v>0.70239300000000005</v>
      </c>
      <c r="AV204">
        <f t="shared" ref="AV204:AV267" si="44">-AS204/$F$2*1000</f>
        <v>19.523703703703703</v>
      </c>
      <c r="AW204">
        <f t="shared" ref="AW204:AW267" si="45">AV204*AQ204</f>
        <v>13.727604166666666</v>
      </c>
      <c r="AX204" s="9"/>
      <c r="AY204" s="22">
        <v>0.87692300000000001</v>
      </c>
      <c r="AZ204" s="22">
        <v>28.384799999999998</v>
      </c>
      <c r="BA204" s="22">
        <v>-1.55304E-2</v>
      </c>
      <c r="BB204" s="22">
        <v>194</v>
      </c>
      <c r="BC204" s="22">
        <v>0.87493900000000002</v>
      </c>
      <c r="BD204">
        <f t="shared" ref="BD204:BD267" si="46">-BA204/$F$2*1000</f>
        <v>19.173333333333332</v>
      </c>
      <c r="BE204">
        <f t="shared" ref="BE204:BE267" si="47">BD204*AY204</f>
        <v>16.813536986666666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7.0581699999999996</v>
      </c>
      <c r="I205" s="22">
        <v>-1.59119E-2</v>
      </c>
      <c r="J205" s="22">
        <v>195</v>
      </c>
      <c r="K205" s="22">
        <v>0.69741799999999998</v>
      </c>
      <c r="L205">
        <f t="shared" si="36"/>
        <v>19.644320987654318</v>
      </c>
      <c r="M205">
        <f t="shared" si="37"/>
        <v>13.713504038271603</v>
      </c>
      <c r="N205" s="9"/>
      <c r="O205" s="22">
        <v>0.88195800000000002</v>
      </c>
      <c r="P205" s="22">
        <v>10.6357</v>
      </c>
      <c r="Q205" s="22">
        <v>-1.5533399999999999E-2</v>
      </c>
      <c r="R205" s="22">
        <v>195</v>
      </c>
      <c r="S205" s="22">
        <v>0.88165300000000002</v>
      </c>
      <c r="T205">
        <f t="shared" si="38"/>
        <v>19.177037037037035</v>
      </c>
      <c r="U205">
        <f t="shared" si="39"/>
        <v>16.913341231111112</v>
      </c>
      <c r="X205" s="9"/>
      <c r="Y205" s="22">
        <v>0.69808999999999999</v>
      </c>
      <c r="Z205" s="22">
        <v>15.9412</v>
      </c>
      <c r="AA205" s="22">
        <v>-1.58417E-2</v>
      </c>
      <c r="AB205" s="22">
        <v>195</v>
      </c>
      <c r="AC205" s="22">
        <v>0.69741799999999998</v>
      </c>
      <c r="AD205">
        <f t="shared" si="40"/>
        <v>19.557654320987655</v>
      </c>
      <c r="AE205">
        <f t="shared" si="41"/>
        <v>13.653002904938273</v>
      </c>
      <c r="AF205" s="9"/>
      <c r="AG205" s="22">
        <v>0.88195800000000002</v>
      </c>
      <c r="AH205" s="22">
        <v>19.518699999999999</v>
      </c>
      <c r="AI205" s="22">
        <v>-1.5509E-2</v>
      </c>
      <c r="AJ205" s="22">
        <v>195</v>
      </c>
      <c r="AK205" s="22">
        <v>0.88043199999999999</v>
      </c>
      <c r="AL205">
        <f t="shared" si="42"/>
        <v>19.14691358024691</v>
      </c>
      <c r="AM205">
        <f t="shared" si="43"/>
        <v>16.886773607407406</v>
      </c>
      <c r="AP205" s="9"/>
      <c r="AQ205" s="22">
        <v>0.69808999999999999</v>
      </c>
      <c r="AR205" s="22">
        <v>24.817399999999999</v>
      </c>
      <c r="AS205" s="22">
        <v>-1.5820299999999999E-2</v>
      </c>
      <c r="AT205" s="22">
        <v>195</v>
      </c>
      <c r="AU205" s="22">
        <v>0.69726600000000005</v>
      </c>
      <c r="AV205">
        <f t="shared" si="44"/>
        <v>19.53123456790123</v>
      </c>
      <c r="AW205">
        <f t="shared" si="45"/>
        <v>13.634559539506169</v>
      </c>
      <c r="AX205" s="9"/>
      <c r="AY205" s="22">
        <v>0.88195800000000002</v>
      </c>
      <c r="AZ205" s="22">
        <v>28.3949</v>
      </c>
      <c r="BA205" s="22">
        <v>-1.5518199999999999E-2</v>
      </c>
      <c r="BB205" s="22">
        <v>195</v>
      </c>
      <c r="BC205" s="22">
        <v>0.88104199999999999</v>
      </c>
      <c r="BD205">
        <f t="shared" si="46"/>
        <v>19.158271604938271</v>
      </c>
      <c r="BE205">
        <f t="shared" si="47"/>
        <v>16.896790908148148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7.0682400000000003</v>
      </c>
      <c r="I206" s="22">
        <v>-1.5921000000000001E-2</v>
      </c>
      <c r="J206" s="22">
        <v>196</v>
      </c>
      <c r="K206" s="22">
        <v>0.69241299999999995</v>
      </c>
      <c r="L206">
        <f t="shared" si="36"/>
        <v>19.655555555555555</v>
      </c>
      <c r="M206">
        <f t="shared" si="37"/>
        <v>13.622361399999999</v>
      </c>
      <c r="N206" s="9"/>
      <c r="O206" s="22">
        <v>0.88699300000000003</v>
      </c>
      <c r="P206" s="22">
        <v>10.6457</v>
      </c>
      <c r="Q206" s="22">
        <v>-1.55243E-2</v>
      </c>
      <c r="R206" s="22">
        <v>196</v>
      </c>
      <c r="S206" s="22">
        <v>0.88622999999999996</v>
      </c>
      <c r="T206">
        <f t="shared" si="38"/>
        <v>19.165802469135802</v>
      </c>
      <c r="U206">
        <f t="shared" si="39"/>
        <v>16.999932629506173</v>
      </c>
      <c r="X206" s="9"/>
      <c r="Y206" s="22">
        <v>0.69305399999999995</v>
      </c>
      <c r="Z206" s="22">
        <v>15.9513</v>
      </c>
      <c r="AA206" s="22">
        <v>-1.5850800000000002E-2</v>
      </c>
      <c r="AB206" s="22">
        <v>196</v>
      </c>
      <c r="AC206" s="22">
        <v>0.69241299999999995</v>
      </c>
      <c r="AD206">
        <f t="shared" si="40"/>
        <v>19.568888888888889</v>
      </c>
      <c r="AE206">
        <f t="shared" si="41"/>
        <v>13.562296719999999</v>
      </c>
      <c r="AF206" s="9"/>
      <c r="AG206" s="22">
        <v>0.88699300000000003</v>
      </c>
      <c r="AH206" s="22">
        <v>19.5288</v>
      </c>
      <c r="AI206" s="22">
        <v>-1.55029E-2</v>
      </c>
      <c r="AJ206" s="22">
        <v>196</v>
      </c>
      <c r="AK206" s="22">
        <v>0.88622999999999996</v>
      </c>
      <c r="AL206">
        <f t="shared" si="42"/>
        <v>19.139382716049383</v>
      </c>
      <c r="AM206">
        <f t="shared" si="43"/>
        <v>16.976498493456791</v>
      </c>
      <c r="AP206" s="9"/>
      <c r="AQ206" s="22">
        <v>0.69305399999999995</v>
      </c>
      <c r="AR206" s="22">
        <v>24.827500000000001</v>
      </c>
      <c r="AS206" s="22">
        <v>-1.5832499999999999E-2</v>
      </c>
      <c r="AT206" s="22">
        <v>196</v>
      </c>
      <c r="AU206" s="22">
        <v>0.69235199999999997</v>
      </c>
      <c r="AV206">
        <f t="shared" si="44"/>
        <v>19.546296296296294</v>
      </c>
      <c r="AW206">
        <f t="shared" si="45"/>
        <v>13.546638833333331</v>
      </c>
      <c r="AX206" s="9"/>
      <c r="AY206" s="22">
        <v>0.88699300000000003</v>
      </c>
      <c r="AZ206" s="22">
        <v>28.405000000000001</v>
      </c>
      <c r="BA206" s="22">
        <v>-1.5509E-2</v>
      </c>
      <c r="BB206" s="22">
        <v>196</v>
      </c>
      <c r="BC206" s="22">
        <v>0.88653599999999999</v>
      </c>
      <c r="BD206">
        <f t="shared" si="46"/>
        <v>19.14691358024691</v>
      </c>
      <c r="BE206">
        <f t="shared" si="47"/>
        <v>16.983178317283947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7.0783100000000001</v>
      </c>
      <c r="I207" s="22">
        <v>-1.59271E-2</v>
      </c>
      <c r="J207" s="22">
        <v>197</v>
      </c>
      <c r="K207" s="22">
        <v>0.68710300000000002</v>
      </c>
      <c r="L207">
        <f t="shared" si="36"/>
        <v>19.663086419753085</v>
      </c>
      <c r="M207">
        <f t="shared" si="37"/>
        <v>13.528577055432098</v>
      </c>
      <c r="N207" s="9"/>
      <c r="O207" s="22">
        <v>0.89202899999999996</v>
      </c>
      <c r="P207" s="22">
        <v>10.655799999999999</v>
      </c>
      <c r="Q207" s="22">
        <v>-1.55151E-2</v>
      </c>
      <c r="R207" s="22">
        <v>197</v>
      </c>
      <c r="S207" s="22">
        <v>0.89080800000000004</v>
      </c>
      <c r="T207">
        <f t="shared" si="38"/>
        <v>19.154444444444444</v>
      </c>
      <c r="U207">
        <f t="shared" si="39"/>
        <v>17.086319923333331</v>
      </c>
      <c r="X207" s="9"/>
      <c r="Y207" s="22">
        <v>0.68801900000000005</v>
      </c>
      <c r="Z207" s="22">
        <v>15.961399999999999</v>
      </c>
      <c r="AA207" s="22">
        <v>-1.58569E-2</v>
      </c>
      <c r="AB207" s="22">
        <v>197</v>
      </c>
      <c r="AC207" s="22">
        <v>0.687195</v>
      </c>
      <c r="AD207">
        <f t="shared" si="40"/>
        <v>19.576419753086416</v>
      </c>
      <c r="AE207">
        <f t="shared" si="41"/>
        <v>13.468948742098764</v>
      </c>
      <c r="AF207" s="9"/>
      <c r="AG207" s="22">
        <v>0.89202899999999996</v>
      </c>
      <c r="AH207" s="22">
        <v>19.538799999999998</v>
      </c>
      <c r="AI207" s="22">
        <v>-1.54938E-2</v>
      </c>
      <c r="AJ207" s="22">
        <v>197</v>
      </c>
      <c r="AK207" s="22">
        <v>0.89050300000000004</v>
      </c>
      <c r="AL207">
        <f t="shared" si="42"/>
        <v>19.128148148148149</v>
      </c>
      <c r="AM207">
        <f t="shared" si="43"/>
        <v>17.062862864444444</v>
      </c>
      <c r="AP207" s="9"/>
      <c r="AQ207" s="22">
        <v>0.68801900000000005</v>
      </c>
      <c r="AR207" s="22">
        <v>24.837499999999999</v>
      </c>
      <c r="AS207" s="22">
        <v>-1.5835599999999998E-2</v>
      </c>
      <c r="AT207" s="22">
        <v>197</v>
      </c>
      <c r="AU207" s="22">
        <v>0.68728599999999995</v>
      </c>
      <c r="AV207">
        <f t="shared" si="44"/>
        <v>19.550123456790118</v>
      </c>
      <c r="AW207">
        <f t="shared" si="45"/>
        <v>13.450856390617281</v>
      </c>
      <c r="AX207" s="9"/>
      <c r="AY207" s="22">
        <v>0.89202899999999996</v>
      </c>
      <c r="AZ207" s="22">
        <v>28.414999999999999</v>
      </c>
      <c r="BA207" s="22">
        <v>-1.54968E-2</v>
      </c>
      <c r="BB207" s="22">
        <v>197</v>
      </c>
      <c r="BC207" s="22">
        <v>0.89141800000000004</v>
      </c>
      <c r="BD207">
        <f t="shared" si="46"/>
        <v>19.131851851851852</v>
      </c>
      <c r="BE207">
        <f t="shared" si="47"/>
        <v>17.066166675555554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7.0883799999999999</v>
      </c>
      <c r="I208" s="22">
        <v>-1.59363E-2</v>
      </c>
      <c r="J208" s="22">
        <v>198</v>
      </c>
      <c r="K208" s="22">
        <v>0.68237300000000001</v>
      </c>
      <c r="L208">
        <f t="shared" si="36"/>
        <v>19.674444444444443</v>
      </c>
      <c r="M208">
        <f t="shared" si="37"/>
        <v>13.43731109</v>
      </c>
      <c r="N208" s="9"/>
      <c r="O208" s="22">
        <v>0.89706399999999997</v>
      </c>
      <c r="P208" s="22">
        <v>10.665900000000001</v>
      </c>
      <c r="Q208" s="22">
        <v>-1.5509E-2</v>
      </c>
      <c r="R208" s="22">
        <v>198</v>
      </c>
      <c r="S208" s="22">
        <v>0.89691200000000004</v>
      </c>
      <c r="T208">
        <f t="shared" si="38"/>
        <v>19.14691358024691</v>
      </c>
      <c r="U208">
        <f t="shared" si="39"/>
        <v>17.176006883950613</v>
      </c>
      <c r="X208" s="9"/>
      <c r="Y208" s="22">
        <v>0.68298300000000001</v>
      </c>
      <c r="Z208" s="22">
        <v>15.971399999999999</v>
      </c>
      <c r="AA208" s="22">
        <v>-1.5866100000000001E-2</v>
      </c>
      <c r="AB208" s="22">
        <v>198</v>
      </c>
      <c r="AC208" s="22">
        <v>0.68218999999999996</v>
      </c>
      <c r="AD208">
        <f t="shared" si="40"/>
        <v>19.587777777777777</v>
      </c>
      <c r="AE208">
        <f t="shared" si="41"/>
        <v>13.378119229999999</v>
      </c>
      <c r="AF208" s="9"/>
      <c r="AG208" s="22">
        <v>0.89706399999999997</v>
      </c>
      <c r="AH208" s="22">
        <v>19.5489</v>
      </c>
      <c r="AI208" s="22">
        <v>-1.5484599999999999E-2</v>
      </c>
      <c r="AJ208" s="22">
        <v>198</v>
      </c>
      <c r="AK208" s="22">
        <v>0.89691200000000004</v>
      </c>
      <c r="AL208">
        <f t="shared" si="42"/>
        <v>19.116790123456788</v>
      </c>
      <c r="AM208">
        <f t="shared" si="43"/>
        <v>17.148984215308641</v>
      </c>
      <c r="AP208" s="9"/>
      <c r="AQ208" s="22">
        <v>0.68298300000000001</v>
      </c>
      <c r="AR208" s="22">
        <v>24.8476</v>
      </c>
      <c r="AS208" s="22">
        <v>-1.58447E-2</v>
      </c>
      <c r="AT208" s="22">
        <v>198</v>
      </c>
      <c r="AU208" s="22">
        <v>0.68237300000000001</v>
      </c>
      <c r="AV208">
        <f t="shared" si="44"/>
        <v>19.561358024691359</v>
      </c>
      <c r="AW208">
        <f t="shared" si="45"/>
        <v>13.360074987777779</v>
      </c>
      <c r="AX208" s="9"/>
      <c r="AY208" s="22">
        <v>0.89706399999999997</v>
      </c>
      <c r="AZ208" s="22">
        <v>28.4251</v>
      </c>
      <c r="BA208" s="22">
        <v>-1.54877E-2</v>
      </c>
      <c r="BB208" s="22">
        <v>198</v>
      </c>
      <c r="BC208" s="22">
        <v>0.89599600000000001</v>
      </c>
      <c r="BD208">
        <f t="shared" si="46"/>
        <v>19.120617283950615</v>
      </c>
      <c r="BE208">
        <f t="shared" si="47"/>
        <v>17.152417423209876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7.0984499999999997</v>
      </c>
      <c r="I209" s="22">
        <v>-1.5942399999999999E-2</v>
      </c>
      <c r="J209" s="22">
        <v>199</v>
      </c>
      <c r="K209" s="22">
        <v>0.67706299999999997</v>
      </c>
      <c r="L209">
        <f t="shared" si="36"/>
        <v>19.681975308641974</v>
      </c>
      <c r="M209">
        <f t="shared" si="37"/>
        <v>13.343355796543209</v>
      </c>
      <c r="N209" s="9"/>
      <c r="O209" s="22">
        <v>0.90210000000000001</v>
      </c>
      <c r="P209" s="22">
        <v>10.6759</v>
      </c>
      <c r="Q209" s="22">
        <v>-1.54968E-2</v>
      </c>
      <c r="R209" s="22">
        <v>199</v>
      </c>
      <c r="S209" s="22">
        <v>0.90118399999999999</v>
      </c>
      <c r="T209">
        <f t="shared" si="38"/>
        <v>19.131851851851852</v>
      </c>
      <c r="U209">
        <f t="shared" si="39"/>
        <v>17.258843555555558</v>
      </c>
      <c r="X209" s="9"/>
      <c r="Y209" s="22">
        <v>0.677948</v>
      </c>
      <c r="Z209" s="22">
        <v>15.9815</v>
      </c>
      <c r="AA209" s="22">
        <v>-1.5878300000000001E-2</v>
      </c>
      <c r="AB209" s="22">
        <v>199</v>
      </c>
      <c r="AC209" s="22">
        <v>0.67730699999999999</v>
      </c>
      <c r="AD209">
        <f t="shared" si="40"/>
        <v>19.602839506172842</v>
      </c>
      <c r="AE209">
        <f t="shared" si="41"/>
        <v>13.289705837530866</v>
      </c>
      <c r="AF209" s="9"/>
      <c r="AG209" s="22">
        <v>0.90210000000000001</v>
      </c>
      <c r="AH209" s="22">
        <v>19.559000000000001</v>
      </c>
      <c r="AI209" s="22">
        <v>-1.5478499999999999E-2</v>
      </c>
      <c r="AJ209" s="22">
        <v>199</v>
      </c>
      <c r="AK209" s="22">
        <v>0.90118399999999999</v>
      </c>
      <c r="AL209">
        <f t="shared" si="42"/>
        <v>19.109259259259257</v>
      </c>
      <c r="AM209">
        <f t="shared" si="43"/>
        <v>17.238462777777777</v>
      </c>
      <c r="AP209" s="9"/>
      <c r="AQ209" s="22">
        <v>0.677948</v>
      </c>
      <c r="AR209" s="22">
        <v>24.857700000000001</v>
      </c>
      <c r="AS209" s="22">
        <v>-1.5853900000000001E-2</v>
      </c>
      <c r="AT209" s="22">
        <v>199</v>
      </c>
      <c r="AU209" s="22">
        <v>0.67718500000000004</v>
      </c>
      <c r="AV209">
        <f t="shared" si="44"/>
        <v>19.572716049382716</v>
      </c>
      <c r="AW209">
        <f t="shared" si="45"/>
        <v>13.269283700246914</v>
      </c>
      <c r="AX209" s="9"/>
      <c r="AY209" s="22">
        <v>0.90210000000000001</v>
      </c>
      <c r="AZ209" s="22">
        <v>28.435199999999998</v>
      </c>
      <c r="BA209" s="22">
        <v>-1.5478499999999999E-2</v>
      </c>
      <c r="BB209" s="22">
        <v>199</v>
      </c>
      <c r="BC209" s="22">
        <v>0.90087899999999999</v>
      </c>
      <c r="BD209">
        <f t="shared" si="46"/>
        <v>19.109259259259257</v>
      </c>
      <c r="BE209">
        <f t="shared" si="47"/>
        <v>17.238462777777777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7.1085200000000004</v>
      </c>
      <c r="I210" s="22">
        <v>-1.5948500000000001E-2</v>
      </c>
      <c r="J210" s="22">
        <v>200</v>
      </c>
      <c r="K210" s="22">
        <v>0.67224099999999998</v>
      </c>
      <c r="L210">
        <f t="shared" si="36"/>
        <v>19.689506172839504</v>
      </c>
      <c r="M210">
        <f t="shared" si="37"/>
        <v>13.249324667283949</v>
      </c>
      <c r="N210" s="9"/>
      <c r="O210" s="22">
        <v>0.90713500000000002</v>
      </c>
      <c r="P210" s="22">
        <v>10.686</v>
      </c>
      <c r="Q210" s="22">
        <v>-1.54877E-2</v>
      </c>
      <c r="R210" s="22">
        <v>200</v>
      </c>
      <c r="S210" s="22">
        <v>0.90576199999999996</v>
      </c>
      <c r="T210">
        <f t="shared" si="38"/>
        <v>19.120617283950615</v>
      </c>
      <c r="U210">
        <f t="shared" si="39"/>
        <v>17.344981159876543</v>
      </c>
      <c r="X210" s="9"/>
      <c r="Y210" s="22">
        <v>0.67291299999999998</v>
      </c>
      <c r="Z210" s="22">
        <v>15.9916</v>
      </c>
      <c r="AA210" s="22">
        <v>-1.5887499999999999E-2</v>
      </c>
      <c r="AB210" s="22">
        <v>200</v>
      </c>
      <c r="AC210" s="22">
        <v>0.67211900000000002</v>
      </c>
      <c r="AD210">
        <f t="shared" si="40"/>
        <v>19.614197530864196</v>
      </c>
      <c r="AE210">
        <f t="shared" si="41"/>
        <v>13.198648503086419</v>
      </c>
      <c r="AF210" s="9"/>
      <c r="AG210" s="22">
        <v>0.90713500000000002</v>
      </c>
      <c r="AH210" s="22">
        <v>19.569099999999999</v>
      </c>
      <c r="AI210" s="22">
        <v>-1.5472400000000001E-2</v>
      </c>
      <c r="AJ210" s="22">
        <v>200</v>
      </c>
      <c r="AK210" s="22">
        <v>0.90606699999999996</v>
      </c>
      <c r="AL210">
        <f t="shared" si="42"/>
        <v>19.101728395061727</v>
      </c>
      <c r="AM210">
        <f t="shared" si="43"/>
        <v>17.327846387654319</v>
      </c>
      <c r="AP210" s="9"/>
      <c r="AQ210" s="22">
        <v>0.67291299999999998</v>
      </c>
      <c r="AR210" s="22">
        <v>24.867799999999999</v>
      </c>
      <c r="AS210" s="22">
        <v>-1.5859999999999999E-2</v>
      </c>
      <c r="AT210" s="22">
        <v>200</v>
      </c>
      <c r="AU210" s="22">
        <v>0.67218</v>
      </c>
      <c r="AV210">
        <f t="shared" si="44"/>
        <v>19.580246913580247</v>
      </c>
      <c r="AW210">
        <f t="shared" si="45"/>
        <v>13.175802691358024</v>
      </c>
      <c r="AX210" s="9"/>
      <c r="AY210" s="22">
        <v>0.90713500000000002</v>
      </c>
      <c r="AZ210" s="22">
        <v>28.4452</v>
      </c>
      <c r="BA210" s="22">
        <v>-1.5472400000000001E-2</v>
      </c>
      <c r="BB210" s="22">
        <v>200</v>
      </c>
      <c r="BC210" s="22">
        <v>0.90667699999999996</v>
      </c>
      <c r="BD210">
        <f t="shared" si="46"/>
        <v>19.101728395061727</v>
      </c>
      <c r="BE210">
        <f t="shared" si="47"/>
        <v>17.327846387654319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7.1185999999999998</v>
      </c>
      <c r="I211" s="22">
        <v>-1.5954599999999999E-2</v>
      </c>
      <c r="J211" s="22">
        <v>201</v>
      </c>
      <c r="K211" s="22">
        <v>0.66693100000000005</v>
      </c>
      <c r="L211">
        <f t="shared" si="36"/>
        <v>19.697037037037035</v>
      </c>
      <c r="M211">
        <f t="shared" si="37"/>
        <v>13.155198005185184</v>
      </c>
      <c r="N211" s="9"/>
      <c r="O211" s="22">
        <v>0.91217000000000004</v>
      </c>
      <c r="P211" s="22">
        <v>10.696099999999999</v>
      </c>
      <c r="Q211" s="22">
        <v>-1.54755E-2</v>
      </c>
      <c r="R211" s="22">
        <v>201</v>
      </c>
      <c r="S211" s="22">
        <v>0.91095000000000004</v>
      </c>
      <c r="T211">
        <f t="shared" si="38"/>
        <v>19.105555555555554</v>
      </c>
      <c r="U211">
        <f t="shared" si="39"/>
        <v>17.427514611111111</v>
      </c>
      <c r="X211" s="9"/>
      <c r="Y211" s="22">
        <v>0.66787700000000005</v>
      </c>
      <c r="Z211" s="22">
        <v>16.0016</v>
      </c>
      <c r="AA211" s="22">
        <v>-1.58966E-2</v>
      </c>
      <c r="AB211" s="22">
        <v>201</v>
      </c>
      <c r="AC211" s="22">
        <v>0.66714499999999999</v>
      </c>
      <c r="AD211">
        <f t="shared" si="40"/>
        <v>19.625432098765433</v>
      </c>
      <c r="AE211">
        <f t="shared" si="41"/>
        <v>13.107374713827163</v>
      </c>
      <c r="AF211" s="9"/>
      <c r="AG211" s="22">
        <v>0.91217000000000004</v>
      </c>
      <c r="AH211" s="22">
        <v>19.5791</v>
      </c>
      <c r="AI211" s="22">
        <v>-1.5463299999999999E-2</v>
      </c>
      <c r="AJ211" s="22">
        <v>201</v>
      </c>
      <c r="AK211" s="22">
        <v>0.91156000000000004</v>
      </c>
      <c r="AL211">
        <f t="shared" si="42"/>
        <v>19.090493827160493</v>
      </c>
      <c r="AM211">
        <f t="shared" si="43"/>
        <v>17.413775754320987</v>
      </c>
      <c r="AP211" s="9"/>
      <c r="AQ211" s="22">
        <v>0.66787700000000005</v>
      </c>
      <c r="AR211" s="22">
        <v>24.877800000000001</v>
      </c>
      <c r="AS211" s="22">
        <v>-1.5869100000000001E-2</v>
      </c>
      <c r="AT211" s="22">
        <v>201</v>
      </c>
      <c r="AU211" s="22">
        <v>0.66729700000000003</v>
      </c>
      <c r="AV211">
        <f t="shared" si="44"/>
        <v>19.59148148148148</v>
      </c>
      <c r="AW211">
        <f t="shared" si="45"/>
        <v>13.084699877407408</v>
      </c>
      <c r="AX211" s="9"/>
      <c r="AY211" s="22">
        <v>0.91217000000000004</v>
      </c>
      <c r="AZ211" s="22">
        <v>28.455300000000001</v>
      </c>
      <c r="BA211" s="22">
        <v>-1.54602E-2</v>
      </c>
      <c r="BB211" s="22">
        <v>201</v>
      </c>
      <c r="BC211" s="22">
        <v>0.91156000000000004</v>
      </c>
      <c r="BD211">
        <f t="shared" si="46"/>
        <v>19.086666666666666</v>
      </c>
      <c r="BE211">
        <f t="shared" si="47"/>
        <v>17.410284733333334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7.1286699999999996</v>
      </c>
      <c r="I212" s="22">
        <v>-1.5963700000000001E-2</v>
      </c>
      <c r="J212" s="22">
        <v>202</v>
      </c>
      <c r="K212" s="22">
        <v>0.66207899999999997</v>
      </c>
      <c r="L212">
        <f t="shared" si="36"/>
        <v>19.708271604938272</v>
      </c>
      <c r="M212">
        <f t="shared" si="37"/>
        <v>13.063470167160494</v>
      </c>
      <c r="N212" s="9"/>
      <c r="O212" s="22">
        <v>0.91720599999999997</v>
      </c>
      <c r="P212" s="22">
        <v>10.706200000000001</v>
      </c>
      <c r="Q212" s="22">
        <v>-1.5469399999999999E-2</v>
      </c>
      <c r="R212" s="22">
        <v>202</v>
      </c>
      <c r="S212" s="22">
        <v>0.91613800000000001</v>
      </c>
      <c r="T212">
        <f t="shared" si="38"/>
        <v>19.09802469135802</v>
      </c>
      <c r="U212">
        <f t="shared" si="39"/>
        <v>17.516822835061724</v>
      </c>
      <c r="X212" s="9"/>
      <c r="Y212" s="22">
        <v>0.66284200000000004</v>
      </c>
      <c r="Z212" s="22">
        <v>16.011700000000001</v>
      </c>
      <c r="AA212" s="22">
        <v>-1.5908800000000001E-2</v>
      </c>
      <c r="AB212" s="22">
        <v>202</v>
      </c>
      <c r="AC212" s="22">
        <v>0.66204799999999997</v>
      </c>
      <c r="AD212">
        <f t="shared" si="40"/>
        <v>19.640493827160494</v>
      </c>
      <c r="AE212">
        <f t="shared" si="41"/>
        <v>13.018544209382718</v>
      </c>
      <c r="AF212" s="9"/>
      <c r="AG212" s="22">
        <v>0.91720599999999997</v>
      </c>
      <c r="AH212" s="22">
        <v>19.589200000000002</v>
      </c>
      <c r="AI212" s="22">
        <v>-1.54541E-2</v>
      </c>
      <c r="AJ212" s="22">
        <v>202</v>
      </c>
      <c r="AK212" s="22">
        <v>0.91644300000000001</v>
      </c>
      <c r="AL212">
        <f t="shared" si="42"/>
        <v>19.079135802469132</v>
      </c>
      <c r="AM212">
        <f t="shared" si="43"/>
        <v>17.499497832839502</v>
      </c>
      <c r="AP212" s="9"/>
      <c r="AQ212" s="22">
        <v>0.66284200000000004</v>
      </c>
      <c r="AR212" s="22">
        <v>24.887899999999998</v>
      </c>
      <c r="AS212" s="22">
        <v>-1.5878300000000001E-2</v>
      </c>
      <c r="AT212" s="22">
        <v>202</v>
      </c>
      <c r="AU212" s="22">
        <v>0.66220100000000004</v>
      </c>
      <c r="AV212">
        <f t="shared" si="44"/>
        <v>19.602839506172842</v>
      </c>
      <c r="AW212">
        <f t="shared" si="45"/>
        <v>12.99358534395062</v>
      </c>
      <c r="AX212" s="9"/>
      <c r="AY212" s="22">
        <v>0.91720599999999997</v>
      </c>
      <c r="AZ212" s="22">
        <v>28.465399999999999</v>
      </c>
      <c r="BA212" s="22">
        <v>-1.54541E-2</v>
      </c>
      <c r="BB212" s="22">
        <v>202</v>
      </c>
      <c r="BC212" s="22">
        <v>0.91583300000000001</v>
      </c>
      <c r="BD212">
        <f t="shared" si="46"/>
        <v>19.079135802469132</v>
      </c>
      <c r="BE212">
        <f t="shared" si="47"/>
        <v>17.499497832839502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7.1387400000000003</v>
      </c>
      <c r="I213" s="22">
        <v>-1.5972900000000002E-2</v>
      </c>
      <c r="J213" s="22">
        <v>203</v>
      </c>
      <c r="K213" s="22">
        <v>0.65713500000000002</v>
      </c>
      <c r="L213">
        <f t="shared" si="36"/>
        <v>19.719629629629633</v>
      </c>
      <c r="M213">
        <f t="shared" si="37"/>
        <v>12.971690688148151</v>
      </c>
      <c r="N213" s="9"/>
      <c r="O213" s="22">
        <v>0.92224099999999998</v>
      </c>
      <c r="P213" s="22">
        <v>10.716200000000001</v>
      </c>
      <c r="Q213" s="22">
        <v>-1.54602E-2</v>
      </c>
      <c r="R213" s="22">
        <v>203</v>
      </c>
      <c r="S213" s="22">
        <v>0.92132599999999998</v>
      </c>
      <c r="T213">
        <f t="shared" si="38"/>
        <v>19.086666666666666</v>
      </c>
      <c r="U213">
        <f t="shared" si="39"/>
        <v>17.602506553333331</v>
      </c>
      <c r="X213" s="9"/>
      <c r="Y213" s="22">
        <v>0.657806</v>
      </c>
      <c r="Z213" s="22">
        <v>16.021799999999999</v>
      </c>
      <c r="AA213" s="22">
        <v>-1.5918000000000002E-2</v>
      </c>
      <c r="AB213" s="22">
        <v>203</v>
      </c>
      <c r="AC213" s="22">
        <v>0.65704300000000004</v>
      </c>
      <c r="AD213">
        <f t="shared" si="40"/>
        <v>19.651851851851852</v>
      </c>
      <c r="AE213">
        <f t="shared" si="41"/>
        <v>12.927106059259259</v>
      </c>
      <c r="AF213" s="9"/>
      <c r="AG213" s="22">
        <v>0.92224099999999998</v>
      </c>
      <c r="AH213" s="22">
        <v>19.599299999999999</v>
      </c>
      <c r="AI213" s="22">
        <v>-1.5444899999999999E-2</v>
      </c>
      <c r="AJ213" s="22">
        <v>203</v>
      </c>
      <c r="AK213" s="22">
        <v>0.92132599999999998</v>
      </c>
      <c r="AL213">
        <f t="shared" si="42"/>
        <v>19.067777777777778</v>
      </c>
      <c r="AM213">
        <f t="shared" si="43"/>
        <v>17.585086445555554</v>
      </c>
      <c r="AP213" s="9"/>
      <c r="AQ213" s="22">
        <v>0.657806</v>
      </c>
      <c r="AR213" s="22">
        <v>24.898</v>
      </c>
      <c r="AS213" s="22">
        <v>-1.5887499999999999E-2</v>
      </c>
      <c r="AT213" s="22">
        <v>203</v>
      </c>
      <c r="AU213" s="22">
        <v>0.65713500000000002</v>
      </c>
      <c r="AV213">
        <f t="shared" si="44"/>
        <v>19.614197530864196</v>
      </c>
      <c r="AW213">
        <f t="shared" si="45"/>
        <v>12.902336820987653</v>
      </c>
      <c r="AX213" s="9"/>
      <c r="AY213" s="22">
        <v>0.92224099999999998</v>
      </c>
      <c r="AZ213" s="22">
        <v>28.4754</v>
      </c>
      <c r="BA213" s="22">
        <v>-1.5444899999999999E-2</v>
      </c>
      <c r="BB213" s="22">
        <v>203</v>
      </c>
      <c r="BC213" s="22">
        <v>0.92132599999999998</v>
      </c>
      <c r="BD213">
        <f t="shared" si="46"/>
        <v>19.067777777777778</v>
      </c>
      <c r="BE213">
        <f t="shared" si="47"/>
        <v>17.585086445555554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7.1488100000000001</v>
      </c>
      <c r="I214" s="22">
        <v>-1.5982099999999999E-2</v>
      </c>
      <c r="J214" s="22">
        <v>204</v>
      </c>
      <c r="K214" s="22">
        <v>0.65206900000000001</v>
      </c>
      <c r="L214">
        <f t="shared" si="36"/>
        <v>19.730987654320984</v>
      </c>
      <c r="M214">
        <f t="shared" si="37"/>
        <v>12.879816542098762</v>
      </c>
      <c r="N214" s="9"/>
      <c r="O214" s="22">
        <v>0.92727700000000002</v>
      </c>
      <c r="P214" s="22">
        <v>10.7263</v>
      </c>
      <c r="Q214" s="22">
        <v>-1.5450999999999999E-2</v>
      </c>
      <c r="R214" s="22">
        <v>204</v>
      </c>
      <c r="S214" s="22">
        <v>0.92590300000000003</v>
      </c>
      <c r="T214">
        <f t="shared" si="38"/>
        <v>19.075308641975305</v>
      </c>
      <c r="U214">
        <f t="shared" si="39"/>
        <v>17.688094971604936</v>
      </c>
      <c r="X214" s="9"/>
      <c r="Y214" s="22">
        <v>0.65277099999999999</v>
      </c>
      <c r="Z214" s="22">
        <v>16.0319</v>
      </c>
      <c r="AA214" s="22">
        <v>-1.59271E-2</v>
      </c>
      <c r="AB214" s="22">
        <v>204</v>
      </c>
      <c r="AC214" s="22">
        <v>0.65206900000000001</v>
      </c>
      <c r="AD214">
        <f t="shared" si="40"/>
        <v>19.663086419753085</v>
      </c>
      <c r="AE214">
        <f t="shared" si="41"/>
        <v>12.835492585308641</v>
      </c>
      <c r="AF214" s="9"/>
      <c r="AG214" s="22">
        <v>0.92727700000000002</v>
      </c>
      <c r="AH214" s="22">
        <v>19.609300000000001</v>
      </c>
      <c r="AI214" s="22">
        <v>-1.5432700000000001E-2</v>
      </c>
      <c r="AJ214" s="22">
        <v>204</v>
      </c>
      <c r="AK214" s="22">
        <v>0.92620800000000003</v>
      </c>
      <c r="AL214">
        <f t="shared" si="42"/>
        <v>19.052716049382713</v>
      </c>
      <c r="AM214">
        <f t="shared" si="43"/>
        <v>17.667145380123454</v>
      </c>
      <c r="AP214" s="9"/>
      <c r="AQ214" s="22">
        <v>0.65277099999999999</v>
      </c>
      <c r="AR214" s="22">
        <v>24.908000000000001</v>
      </c>
      <c r="AS214" s="22">
        <v>-1.5893600000000001E-2</v>
      </c>
      <c r="AT214" s="22">
        <v>204</v>
      </c>
      <c r="AU214" s="22">
        <v>0.65212999999999999</v>
      </c>
      <c r="AV214">
        <f t="shared" si="44"/>
        <v>19.621728395061727</v>
      </c>
      <c r="AW214">
        <f t="shared" si="45"/>
        <v>12.808495266172837</v>
      </c>
      <c r="AX214" s="9"/>
      <c r="AY214" s="22">
        <v>0.92727700000000002</v>
      </c>
      <c r="AZ214" s="22">
        <v>28.485499999999998</v>
      </c>
      <c r="BA214" s="22">
        <v>-1.54358E-2</v>
      </c>
      <c r="BB214" s="22">
        <v>204</v>
      </c>
      <c r="BC214" s="22">
        <v>0.92620800000000003</v>
      </c>
      <c r="BD214">
        <f t="shared" si="46"/>
        <v>19.056543209876541</v>
      </c>
      <c r="BE214">
        <f t="shared" si="47"/>
        <v>17.670694218024689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7.1588799999999999</v>
      </c>
      <c r="I215" s="22">
        <v>-1.5991200000000001E-2</v>
      </c>
      <c r="J215" s="22">
        <v>205</v>
      </c>
      <c r="K215" s="22">
        <v>0.64691200000000004</v>
      </c>
      <c r="L215">
        <f t="shared" si="36"/>
        <v>19.742222222222221</v>
      </c>
      <c r="M215">
        <f t="shared" si="37"/>
        <v>12.787748053333333</v>
      </c>
      <c r="N215" s="9"/>
      <c r="O215" s="22">
        <v>0.93231200000000003</v>
      </c>
      <c r="P215" s="22">
        <v>10.7364</v>
      </c>
      <c r="Q215" s="22">
        <v>-1.5438800000000001E-2</v>
      </c>
      <c r="R215" s="22">
        <v>205</v>
      </c>
      <c r="S215" s="22">
        <v>0.931396</v>
      </c>
      <c r="T215">
        <f t="shared" si="38"/>
        <v>19.060246913580247</v>
      </c>
      <c r="U215">
        <f t="shared" si="39"/>
        <v>17.770096920493827</v>
      </c>
      <c r="X215" s="9"/>
      <c r="Y215" s="22">
        <v>0.64773599999999998</v>
      </c>
      <c r="Z215" s="22">
        <v>16.041899999999998</v>
      </c>
      <c r="AA215" s="22">
        <v>-1.59363E-2</v>
      </c>
      <c r="AB215" s="22">
        <v>205</v>
      </c>
      <c r="AC215" s="22">
        <v>0.64697300000000002</v>
      </c>
      <c r="AD215">
        <f t="shared" si="40"/>
        <v>19.674444444444443</v>
      </c>
      <c r="AE215">
        <f t="shared" si="41"/>
        <v>12.743845946666665</v>
      </c>
      <c r="AF215" s="9"/>
      <c r="AG215" s="22">
        <v>0.93231200000000003</v>
      </c>
      <c r="AH215" s="22">
        <v>19.619399999999999</v>
      </c>
      <c r="AI215" s="22">
        <v>-1.5423600000000001E-2</v>
      </c>
      <c r="AJ215" s="22">
        <v>205</v>
      </c>
      <c r="AK215" s="22">
        <v>0.93170200000000003</v>
      </c>
      <c r="AL215">
        <f t="shared" si="42"/>
        <v>19.041481481481483</v>
      </c>
      <c r="AM215">
        <f t="shared" si="43"/>
        <v>17.752601682962965</v>
      </c>
      <c r="AP215" s="9"/>
      <c r="AQ215" s="22">
        <v>0.64773599999999998</v>
      </c>
      <c r="AR215" s="22">
        <v>24.918099999999999</v>
      </c>
      <c r="AS215" s="22">
        <v>-1.5902699999999999E-2</v>
      </c>
      <c r="AT215" s="22">
        <v>205</v>
      </c>
      <c r="AU215" s="22">
        <v>0.64700299999999999</v>
      </c>
      <c r="AV215">
        <f t="shared" si="44"/>
        <v>19.63296296296296</v>
      </c>
      <c r="AW215">
        <f t="shared" si="45"/>
        <v>12.716976897777775</v>
      </c>
      <c r="AX215" s="9"/>
      <c r="AY215" s="22">
        <v>0.93231200000000003</v>
      </c>
      <c r="AZ215" s="22">
        <v>28.4956</v>
      </c>
      <c r="BA215" s="22">
        <v>-1.5429699999999999E-2</v>
      </c>
      <c r="BB215" s="22">
        <v>205</v>
      </c>
      <c r="BC215" s="22">
        <v>0.931396</v>
      </c>
      <c r="BD215">
        <f t="shared" si="46"/>
        <v>19.04901234567901</v>
      </c>
      <c r="BE215">
        <f t="shared" si="47"/>
        <v>17.75962279802469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7.1689499999999997</v>
      </c>
      <c r="I216" s="22">
        <v>-1.5997299999999999E-2</v>
      </c>
      <c r="J216" s="22">
        <v>206</v>
      </c>
      <c r="K216" s="22">
        <v>0.64212000000000002</v>
      </c>
      <c r="L216">
        <f t="shared" si="36"/>
        <v>19.749753086419751</v>
      </c>
      <c r="M216">
        <f t="shared" si="37"/>
        <v>12.693166308641976</v>
      </c>
      <c r="N216" s="9"/>
      <c r="O216" s="22">
        <v>0.93734700000000004</v>
      </c>
      <c r="P216" s="22">
        <v>10.7464</v>
      </c>
      <c r="Q216" s="22">
        <v>-1.54266E-2</v>
      </c>
      <c r="R216" s="22">
        <v>206</v>
      </c>
      <c r="S216" s="22">
        <v>0.93689</v>
      </c>
      <c r="T216">
        <f t="shared" si="38"/>
        <v>19.045185185185186</v>
      </c>
      <c r="U216">
        <f t="shared" si="39"/>
        <v>17.851947197777779</v>
      </c>
      <c r="X216" s="9"/>
      <c r="Y216" s="22">
        <v>0.64270000000000005</v>
      </c>
      <c r="Z216" s="22">
        <v>16.052</v>
      </c>
      <c r="AA216" s="22">
        <v>-1.5945399999999998E-2</v>
      </c>
      <c r="AB216" s="22">
        <v>206</v>
      </c>
      <c r="AC216" s="22">
        <v>0.64190700000000001</v>
      </c>
      <c r="AD216">
        <f t="shared" si="40"/>
        <v>19.685679012345673</v>
      </c>
      <c r="AE216">
        <f t="shared" si="41"/>
        <v>12.651985901234566</v>
      </c>
      <c r="AF216" s="9"/>
      <c r="AG216" s="22">
        <v>0.93734700000000004</v>
      </c>
      <c r="AH216" s="22">
        <v>19.6295</v>
      </c>
      <c r="AI216" s="22">
        <v>-1.5417500000000001E-2</v>
      </c>
      <c r="AJ216" s="22">
        <v>206</v>
      </c>
      <c r="AK216" s="22">
        <v>0.93658399999999997</v>
      </c>
      <c r="AL216">
        <f t="shared" si="42"/>
        <v>19.033950617283949</v>
      </c>
      <c r="AM216">
        <f t="shared" si="43"/>
        <v>17.841416509259258</v>
      </c>
      <c r="AP216" s="9"/>
      <c r="AQ216" s="22">
        <v>0.64270000000000005</v>
      </c>
      <c r="AR216" s="22">
        <v>24.9282</v>
      </c>
      <c r="AS216" s="22">
        <v>-1.59119E-2</v>
      </c>
      <c r="AT216" s="22">
        <v>206</v>
      </c>
      <c r="AU216" s="22">
        <v>0.64193699999999998</v>
      </c>
      <c r="AV216">
        <f t="shared" si="44"/>
        <v>19.644320987654318</v>
      </c>
      <c r="AW216">
        <f t="shared" si="45"/>
        <v>12.62540509876543</v>
      </c>
      <c r="AX216" s="9"/>
      <c r="AY216" s="22">
        <v>0.93734700000000004</v>
      </c>
      <c r="AZ216" s="22">
        <v>28.505700000000001</v>
      </c>
      <c r="BA216" s="22">
        <v>-1.5423600000000001E-2</v>
      </c>
      <c r="BB216" s="22">
        <v>206</v>
      </c>
      <c r="BC216" s="22">
        <v>0.93597399999999997</v>
      </c>
      <c r="BD216">
        <f t="shared" si="46"/>
        <v>19.041481481481483</v>
      </c>
      <c r="BE216">
        <f t="shared" si="47"/>
        <v>17.848475542222225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7.1790200000000004</v>
      </c>
      <c r="I217" s="22">
        <v>-1.60065E-2</v>
      </c>
      <c r="J217" s="22">
        <v>207</v>
      </c>
      <c r="K217" s="22">
        <v>0.63690199999999997</v>
      </c>
      <c r="L217">
        <f t="shared" si="36"/>
        <v>19.761111111111113</v>
      </c>
      <c r="M217">
        <f t="shared" si="37"/>
        <v>12.600968916666668</v>
      </c>
      <c r="N217" s="9"/>
      <c r="O217" s="22">
        <v>0.94238299999999997</v>
      </c>
      <c r="P217" s="22">
        <v>10.756500000000001</v>
      </c>
      <c r="Q217" s="22">
        <v>-1.54205E-2</v>
      </c>
      <c r="R217" s="22">
        <v>207</v>
      </c>
      <c r="S217" s="22">
        <v>0.94116200000000005</v>
      </c>
      <c r="T217">
        <f t="shared" si="38"/>
        <v>19.037654320987656</v>
      </c>
      <c r="U217">
        <f t="shared" si="39"/>
        <v>17.940761791975309</v>
      </c>
      <c r="X217" s="9"/>
      <c r="Y217" s="22">
        <v>0.63766500000000004</v>
      </c>
      <c r="Z217" s="22">
        <v>16.062100000000001</v>
      </c>
      <c r="AA217" s="22">
        <v>-1.59515E-2</v>
      </c>
      <c r="AB217" s="22">
        <v>207</v>
      </c>
      <c r="AC217" s="22">
        <v>0.63708500000000001</v>
      </c>
      <c r="AD217">
        <f t="shared" si="40"/>
        <v>19.693209876543211</v>
      </c>
      <c r="AE217">
        <f t="shared" si="41"/>
        <v>12.557670675925927</v>
      </c>
      <c r="AF217" s="9"/>
      <c r="AG217" s="22">
        <v>0.94238299999999997</v>
      </c>
      <c r="AH217" s="22">
        <v>19.639600000000002</v>
      </c>
      <c r="AI217" s="22">
        <v>-1.54083E-2</v>
      </c>
      <c r="AJ217" s="22">
        <v>207</v>
      </c>
      <c r="AK217" s="22">
        <v>0.94116200000000005</v>
      </c>
      <c r="AL217">
        <f t="shared" si="42"/>
        <v>19.022592592592591</v>
      </c>
      <c r="AM217">
        <f t="shared" si="43"/>
        <v>17.926567875185185</v>
      </c>
      <c r="AP217" s="9"/>
      <c r="AQ217" s="22">
        <v>0.63766500000000004</v>
      </c>
      <c r="AR217" s="22">
        <v>24.938199999999998</v>
      </c>
      <c r="AS217" s="22">
        <v>-1.5921000000000001E-2</v>
      </c>
      <c r="AT217" s="22">
        <v>207</v>
      </c>
      <c r="AU217" s="22">
        <v>0.63702400000000003</v>
      </c>
      <c r="AV217">
        <f t="shared" si="44"/>
        <v>19.655555555555555</v>
      </c>
      <c r="AW217">
        <f t="shared" si="45"/>
        <v>12.533659833333333</v>
      </c>
      <c r="AX217" s="9"/>
      <c r="AY217" s="22">
        <v>0.94238299999999997</v>
      </c>
      <c r="AZ217" s="22">
        <v>28.515699999999999</v>
      </c>
      <c r="BA217" s="22">
        <v>-1.54144E-2</v>
      </c>
      <c r="BB217" s="22">
        <v>207</v>
      </c>
      <c r="BC217" s="22">
        <v>0.94146700000000005</v>
      </c>
      <c r="BD217">
        <f t="shared" si="46"/>
        <v>19.030123456790122</v>
      </c>
      <c r="BE217">
        <f t="shared" si="47"/>
        <v>17.933664833580245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7.1890900000000002</v>
      </c>
      <c r="I218" s="22">
        <v>-1.60187E-2</v>
      </c>
      <c r="J218" s="22">
        <v>208</v>
      </c>
      <c r="K218" s="22">
        <v>0.63186600000000004</v>
      </c>
      <c r="L218">
        <f t="shared" si="36"/>
        <v>19.77617283950617</v>
      </c>
      <c r="M218">
        <f t="shared" si="37"/>
        <v>12.510980447283949</v>
      </c>
      <c r="N218" s="9"/>
      <c r="O218" s="22">
        <v>0.94741799999999998</v>
      </c>
      <c r="P218" s="22">
        <v>10.7666</v>
      </c>
      <c r="Q218" s="22">
        <v>-1.54114E-2</v>
      </c>
      <c r="R218" s="22">
        <v>208</v>
      </c>
      <c r="S218" s="22">
        <v>0.94635000000000002</v>
      </c>
      <c r="T218">
        <f t="shared" si="38"/>
        <v>19.026419753086419</v>
      </c>
      <c r="U218">
        <f t="shared" si="39"/>
        <v>18.025972549629628</v>
      </c>
      <c r="X218" s="9"/>
      <c r="Y218" s="22">
        <v>0.632629</v>
      </c>
      <c r="Z218" s="22">
        <v>16.072099999999999</v>
      </c>
      <c r="AA218" s="22">
        <v>-1.5960700000000001E-2</v>
      </c>
      <c r="AB218" s="22">
        <v>208</v>
      </c>
      <c r="AC218" s="22">
        <v>0.63195800000000002</v>
      </c>
      <c r="AD218">
        <f t="shared" si="40"/>
        <v>19.704567901234569</v>
      </c>
      <c r="AE218">
        <f t="shared" si="41"/>
        <v>12.465681086790124</v>
      </c>
      <c r="AF218" s="9"/>
      <c r="AG218" s="22">
        <v>0.94741799999999998</v>
      </c>
      <c r="AH218" s="22">
        <v>19.6496</v>
      </c>
      <c r="AI218" s="22">
        <v>-1.54022E-2</v>
      </c>
      <c r="AJ218" s="22">
        <v>208</v>
      </c>
      <c r="AK218" s="22">
        <v>0.94635000000000002</v>
      </c>
      <c r="AL218">
        <f t="shared" si="42"/>
        <v>19.015061728395061</v>
      </c>
      <c r="AM218">
        <f t="shared" si="43"/>
        <v>18.015211752592592</v>
      </c>
      <c r="AP218" s="9"/>
      <c r="AQ218" s="22">
        <v>0.632629</v>
      </c>
      <c r="AR218" s="22">
        <v>24.9483</v>
      </c>
      <c r="AS218" s="22">
        <v>-1.59271E-2</v>
      </c>
      <c r="AT218" s="22">
        <v>208</v>
      </c>
      <c r="AU218" s="22">
        <v>0.63211099999999998</v>
      </c>
      <c r="AV218">
        <f t="shared" si="44"/>
        <v>19.663086419753085</v>
      </c>
      <c r="AW218">
        <f t="shared" si="45"/>
        <v>12.439438698641975</v>
      </c>
      <c r="AX218" s="9"/>
      <c r="AY218" s="22">
        <v>0.94741799999999998</v>
      </c>
      <c r="AZ218" s="22">
        <v>28.5258</v>
      </c>
      <c r="BA218" s="22">
        <v>-1.54083E-2</v>
      </c>
      <c r="BB218" s="22">
        <v>208</v>
      </c>
      <c r="BC218" s="22">
        <v>0.94665500000000002</v>
      </c>
      <c r="BD218">
        <f t="shared" si="46"/>
        <v>19.022592592592591</v>
      </c>
      <c r="BE218">
        <f t="shared" si="47"/>
        <v>18.022346628888886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7.19916</v>
      </c>
      <c r="I219" s="22">
        <v>-1.6027799999999998E-2</v>
      </c>
      <c r="J219" s="22">
        <v>209</v>
      </c>
      <c r="K219" s="22">
        <v>0.62695299999999998</v>
      </c>
      <c r="L219">
        <f t="shared" si="36"/>
        <v>19.787407407407404</v>
      </c>
      <c r="M219">
        <f t="shared" si="37"/>
        <v>12.418458164444441</v>
      </c>
      <c r="N219" s="9"/>
      <c r="O219" s="22">
        <v>0.95245400000000002</v>
      </c>
      <c r="P219" s="22">
        <v>10.7766</v>
      </c>
      <c r="Q219" s="22">
        <v>-1.54022E-2</v>
      </c>
      <c r="R219" s="22">
        <v>209</v>
      </c>
      <c r="S219" s="22">
        <v>0.95184299999999999</v>
      </c>
      <c r="T219">
        <f t="shared" si="38"/>
        <v>19.015061728395061</v>
      </c>
      <c r="U219">
        <f t="shared" si="39"/>
        <v>18.11097160345679</v>
      </c>
      <c r="X219" s="9"/>
      <c r="Y219" s="22">
        <v>0.62759399999999999</v>
      </c>
      <c r="Z219" s="22">
        <v>16.0822</v>
      </c>
      <c r="AA219" s="22">
        <v>-1.5969799999999999E-2</v>
      </c>
      <c r="AB219" s="22">
        <v>209</v>
      </c>
      <c r="AC219" s="22">
        <v>0.62680100000000005</v>
      </c>
      <c r="AD219">
        <f t="shared" si="40"/>
        <v>19.715802469135802</v>
      </c>
      <c r="AE219">
        <f t="shared" si="41"/>
        <v>12.373519334814814</v>
      </c>
      <c r="AF219" s="9"/>
      <c r="AG219" s="22">
        <v>0.95245400000000002</v>
      </c>
      <c r="AH219" s="22">
        <v>19.659700000000001</v>
      </c>
      <c r="AI219" s="22">
        <v>-1.53931E-2</v>
      </c>
      <c r="AJ219" s="22">
        <v>209</v>
      </c>
      <c r="AK219" s="22">
        <v>0.951233</v>
      </c>
      <c r="AL219">
        <f t="shared" si="42"/>
        <v>19.003827160493824</v>
      </c>
      <c r="AM219">
        <f t="shared" si="43"/>
        <v>18.100271194320985</v>
      </c>
      <c r="AP219" s="9"/>
      <c r="AQ219" s="22">
        <v>0.62759399999999999</v>
      </c>
      <c r="AR219" s="22">
        <v>24.958400000000001</v>
      </c>
      <c r="AS219" s="22">
        <v>-1.5933200000000002E-2</v>
      </c>
      <c r="AT219" s="22">
        <v>209</v>
      </c>
      <c r="AU219" s="22">
        <v>0.62683100000000003</v>
      </c>
      <c r="AV219">
        <f t="shared" si="44"/>
        <v>19.670617283950619</v>
      </c>
      <c r="AW219">
        <f t="shared" si="45"/>
        <v>12.345161383703704</v>
      </c>
      <c r="AX219" s="9"/>
      <c r="AY219" s="22">
        <v>0.95245400000000002</v>
      </c>
      <c r="AZ219" s="22">
        <v>28.535900000000002</v>
      </c>
      <c r="BA219" s="22">
        <v>-1.53992E-2</v>
      </c>
      <c r="BB219" s="22">
        <v>209</v>
      </c>
      <c r="BC219" s="22">
        <v>0.951233</v>
      </c>
      <c r="BD219">
        <f t="shared" si="46"/>
        <v>19.011358024691354</v>
      </c>
      <c r="BE219">
        <f t="shared" si="47"/>
        <v>18.10744399604938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7.2092299999999998</v>
      </c>
      <c r="I220" s="22">
        <v>-1.6030900000000001E-2</v>
      </c>
      <c r="J220" s="22">
        <v>210</v>
      </c>
      <c r="K220" s="22">
        <v>0.62176500000000001</v>
      </c>
      <c r="L220">
        <f t="shared" si="36"/>
        <v>19.791234567901235</v>
      </c>
      <c r="M220">
        <f t="shared" si="37"/>
        <v>12.321211201358024</v>
      </c>
      <c r="N220" s="9"/>
      <c r="O220" s="22">
        <v>0.95748900000000003</v>
      </c>
      <c r="P220" s="22">
        <v>10.7867</v>
      </c>
      <c r="Q220" s="22">
        <v>-1.5396099999999999E-2</v>
      </c>
      <c r="R220" s="22">
        <v>210</v>
      </c>
      <c r="S220" s="22">
        <v>0.95611599999999997</v>
      </c>
      <c r="T220">
        <f t="shared" si="38"/>
        <v>19.007530864197527</v>
      </c>
      <c r="U220">
        <f t="shared" si="39"/>
        <v>18.199501719629627</v>
      </c>
      <c r="X220" s="9"/>
      <c r="Y220" s="22">
        <v>0.62255899999999997</v>
      </c>
      <c r="Z220" s="22">
        <v>16.092300000000002</v>
      </c>
      <c r="AA220" s="22">
        <v>-1.5976000000000001E-2</v>
      </c>
      <c r="AB220" s="22">
        <v>210</v>
      </c>
      <c r="AC220" s="22">
        <v>0.62210100000000002</v>
      </c>
      <c r="AD220">
        <f t="shared" si="40"/>
        <v>19.723456790123457</v>
      </c>
      <c r="AE220">
        <f t="shared" si="41"/>
        <v>12.279015535802468</v>
      </c>
      <c r="AF220" s="9"/>
      <c r="AG220" s="22">
        <v>0.95748900000000003</v>
      </c>
      <c r="AH220" s="22">
        <v>19.669799999999999</v>
      </c>
      <c r="AI220" s="22">
        <v>-1.5383900000000001E-2</v>
      </c>
      <c r="AJ220" s="22">
        <v>210</v>
      </c>
      <c r="AK220" s="22">
        <v>0.95672599999999997</v>
      </c>
      <c r="AL220">
        <f t="shared" si="42"/>
        <v>18.99246913580247</v>
      </c>
      <c r="AM220">
        <f t="shared" si="43"/>
        <v>18.185080280370371</v>
      </c>
      <c r="AP220" s="9"/>
      <c r="AQ220" s="22">
        <v>0.62255899999999997</v>
      </c>
      <c r="AR220" s="22">
        <v>24.968499999999999</v>
      </c>
      <c r="AS220" s="22">
        <v>-1.59393E-2</v>
      </c>
      <c r="AT220" s="22">
        <v>210</v>
      </c>
      <c r="AU220" s="22">
        <v>0.62173500000000004</v>
      </c>
      <c r="AV220">
        <f t="shared" si="44"/>
        <v>19.678148148148146</v>
      </c>
      <c r="AW220">
        <f t="shared" si="45"/>
        <v>12.250808232962962</v>
      </c>
      <c r="AX220" s="9"/>
      <c r="AY220" s="22">
        <v>0.95748900000000003</v>
      </c>
      <c r="AZ220" s="22">
        <v>28.5459</v>
      </c>
      <c r="BA220" s="22">
        <v>-1.53931E-2</v>
      </c>
      <c r="BB220" s="22">
        <v>210</v>
      </c>
      <c r="BC220" s="22">
        <v>0.95672599999999997</v>
      </c>
      <c r="BD220">
        <f t="shared" si="46"/>
        <v>19.003827160493824</v>
      </c>
      <c r="BE220">
        <f t="shared" si="47"/>
        <v>18.195955464074071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7.2193100000000001</v>
      </c>
      <c r="I221" s="22">
        <v>-1.6039999999999999E-2</v>
      </c>
      <c r="J221" s="22">
        <v>211</v>
      </c>
      <c r="K221" s="22">
        <v>0.61682099999999995</v>
      </c>
      <c r="L221">
        <f t="shared" si="36"/>
        <v>19.802469135802465</v>
      </c>
      <c r="M221">
        <f t="shared" si="37"/>
        <v>12.228480148148146</v>
      </c>
      <c r="N221" s="9"/>
      <c r="O221" s="22">
        <v>0.96252400000000005</v>
      </c>
      <c r="P221" s="22">
        <v>10.796799999999999</v>
      </c>
      <c r="Q221" s="22">
        <v>-1.5387E-2</v>
      </c>
      <c r="R221" s="22">
        <v>211</v>
      </c>
      <c r="S221" s="22">
        <v>0.96130400000000005</v>
      </c>
      <c r="T221">
        <f t="shared" si="38"/>
        <v>18.996296296296297</v>
      </c>
      <c r="U221">
        <f t="shared" si="39"/>
        <v>18.284391096296297</v>
      </c>
      <c r="X221" s="9"/>
      <c r="Y221" s="22">
        <v>0.61752300000000004</v>
      </c>
      <c r="Z221" s="22">
        <v>16.102399999999999</v>
      </c>
      <c r="AA221" s="22">
        <v>-1.5985099999999999E-2</v>
      </c>
      <c r="AB221" s="22">
        <v>211</v>
      </c>
      <c r="AC221" s="22">
        <v>0.61679099999999998</v>
      </c>
      <c r="AD221">
        <f t="shared" si="40"/>
        <v>19.734691358024687</v>
      </c>
      <c r="AE221">
        <f t="shared" si="41"/>
        <v>12.18662581148148</v>
      </c>
      <c r="AF221" s="9"/>
      <c r="AG221" s="22">
        <v>0.96252400000000005</v>
      </c>
      <c r="AH221" s="22">
        <v>19.6798</v>
      </c>
      <c r="AI221" s="22">
        <v>-1.53778E-2</v>
      </c>
      <c r="AJ221" s="22">
        <v>211</v>
      </c>
      <c r="AK221" s="22">
        <v>0.96191400000000005</v>
      </c>
      <c r="AL221">
        <f t="shared" si="42"/>
        <v>18.984938271604936</v>
      </c>
      <c r="AM221">
        <f t="shared" si="43"/>
        <v>18.273458724938269</v>
      </c>
      <c r="AP221" s="9"/>
      <c r="AQ221" s="22">
        <v>0.61752300000000004</v>
      </c>
      <c r="AR221" s="22">
        <v>24.9785</v>
      </c>
      <c r="AS221" s="22">
        <v>-1.5948500000000001E-2</v>
      </c>
      <c r="AT221" s="22">
        <v>211</v>
      </c>
      <c r="AU221" s="22">
        <v>0.61663800000000002</v>
      </c>
      <c r="AV221">
        <f t="shared" si="44"/>
        <v>19.689506172839504</v>
      </c>
      <c r="AW221">
        <f t="shared" si="45"/>
        <v>12.158722920370369</v>
      </c>
      <c r="AX221" s="9"/>
      <c r="AY221" s="22">
        <v>0.96252400000000005</v>
      </c>
      <c r="AZ221" s="22">
        <v>28.556000000000001</v>
      </c>
      <c r="BA221" s="22">
        <v>-1.5383900000000001E-2</v>
      </c>
      <c r="BB221" s="22">
        <v>211</v>
      </c>
      <c r="BC221" s="22">
        <v>0.96130400000000005</v>
      </c>
      <c r="BD221">
        <f t="shared" si="46"/>
        <v>18.99246913580247</v>
      </c>
      <c r="BE221">
        <f t="shared" si="47"/>
        <v>18.280707362469137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7.2293799999999999</v>
      </c>
      <c r="I222" s="22">
        <v>-1.6046100000000001E-2</v>
      </c>
      <c r="J222" s="22">
        <v>212</v>
      </c>
      <c r="K222" s="22">
        <v>0.61190800000000001</v>
      </c>
      <c r="L222">
        <f t="shared" si="36"/>
        <v>19.810000000000002</v>
      </c>
      <c r="M222">
        <f t="shared" si="37"/>
        <v>12.133387280000003</v>
      </c>
      <c r="N222" s="9"/>
      <c r="O222" s="22">
        <v>0.96755999999999998</v>
      </c>
      <c r="P222" s="22">
        <v>10.806900000000001</v>
      </c>
      <c r="Q222" s="22">
        <v>-1.5380899999999999E-2</v>
      </c>
      <c r="R222" s="22">
        <v>212</v>
      </c>
      <c r="S222" s="22">
        <v>0.96649200000000002</v>
      </c>
      <c r="T222">
        <f t="shared" si="38"/>
        <v>18.988765432098763</v>
      </c>
      <c r="U222">
        <f t="shared" si="39"/>
        <v>18.372769881481478</v>
      </c>
      <c r="X222" s="9"/>
      <c r="Y222" s="22">
        <v>0.61248800000000003</v>
      </c>
      <c r="Z222" s="22">
        <v>16.112400000000001</v>
      </c>
      <c r="AA222" s="22">
        <v>-1.5991200000000001E-2</v>
      </c>
      <c r="AB222" s="22">
        <v>212</v>
      </c>
      <c r="AC222" s="22">
        <v>0.61163299999999998</v>
      </c>
      <c r="AD222">
        <f t="shared" si="40"/>
        <v>19.742222222222221</v>
      </c>
      <c r="AE222">
        <f t="shared" si="41"/>
        <v>12.091874204444444</v>
      </c>
      <c r="AF222" s="9"/>
      <c r="AG222" s="22">
        <v>0.96755999999999998</v>
      </c>
      <c r="AH222" s="22">
        <v>19.689900000000002</v>
      </c>
      <c r="AI222" s="22">
        <v>-1.5368700000000001E-2</v>
      </c>
      <c r="AJ222" s="22">
        <v>212</v>
      </c>
      <c r="AK222" s="22">
        <v>0.96649200000000002</v>
      </c>
      <c r="AL222">
        <f t="shared" si="42"/>
        <v>18.973703703703706</v>
      </c>
      <c r="AM222">
        <f t="shared" si="43"/>
        <v>18.358196755555557</v>
      </c>
      <c r="AP222" s="9"/>
      <c r="AQ222" s="22">
        <v>0.61248800000000003</v>
      </c>
      <c r="AR222" s="22">
        <v>24.988600000000002</v>
      </c>
      <c r="AS222" s="22">
        <v>-1.5957599999999999E-2</v>
      </c>
      <c r="AT222" s="22">
        <v>212</v>
      </c>
      <c r="AU222" s="22">
        <v>0.61178600000000005</v>
      </c>
      <c r="AV222">
        <f t="shared" si="44"/>
        <v>19.700740740740738</v>
      </c>
      <c r="AW222">
        <f t="shared" si="45"/>
        <v>12.066467294814814</v>
      </c>
      <c r="AX222" s="9"/>
      <c r="AY222" s="22">
        <v>0.96755999999999998</v>
      </c>
      <c r="AZ222" s="22">
        <v>28.566099999999999</v>
      </c>
      <c r="BA222" s="22">
        <v>-1.5374799999999999E-2</v>
      </c>
      <c r="BB222" s="22">
        <v>212</v>
      </c>
      <c r="BC222" s="22">
        <v>0.96588099999999999</v>
      </c>
      <c r="BD222">
        <f t="shared" si="46"/>
        <v>18.981234567901232</v>
      </c>
      <c r="BE222">
        <f t="shared" si="47"/>
        <v>18.365483318518518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7.2394499999999997</v>
      </c>
      <c r="I223" s="22">
        <v>-1.6052199999999999E-2</v>
      </c>
      <c r="J223" s="22">
        <v>213</v>
      </c>
      <c r="K223" s="22">
        <v>0.60672000000000004</v>
      </c>
      <c r="L223">
        <f t="shared" si="36"/>
        <v>19.817530864197529</v>
      </c>
      <c r="M223">
        <f t="shared" si="37"/>
        <v>12.038198758518517</v>
      </c>
      <c r="N223" s="9"/>
      <c r="O223" s="22">
        <v>0.97259499999999999</v>
      </c>
      <c r="P223" s="22">
        <v>10.8169</v>
      </c>
      <c r="Q223" s="22">
        <v>-1.5374799999999999E-2</v>
      </c>
      <c r="R223" s="22">
        <v>213</v>
      </c>
      <c r="S223" s="22">
        <v>0.97106899999999996</v>
      </c>
      <c r="T223">
        <f t="shared" si="38"/>
        <v>18.981234567901232</v>
      </c>
      <c r="U223">
        <f t="shared" si="39"/>
        <v>18.461053834567899</v>
      </c>
      <c r="X223" s="9"/>
      <c r="Y223" s="22">
        <v>0.60745199999999999</v>
      </c>
      <c r="Z223" s="22">
        <v>16.122499999999999</v>
      </c>
      <c r="AA223" s="22">
        <v>-1.6000400000000001E-2</v>
      </c>
      <c r="AB223" s="22">
        <v>213</v>
      </c>
      <c r="AC223" s="22">
        <v>0.60678100000000001</v>
      </c>
      <c r="AD223">
        <f t="shared" si="40"/>
        <v>19.753580246913579</v>
      </c>
      <c r="AE223">
        <f t="shared" si="41"/>
        <v>11.999351828148146</v>
      </c>
      <c r="AF223" s="9"/>
      <c r="AG223" s="22">
        <v>0.97259499999999999</v>
      </c>
      <c r="AH223" s="22">
        <v>19.7</v>
      </c>
      <c r="AI223" s="22">
        <v>-1.5362499999999999E-2</v>
      </c>
      <c r="AJ223" s="22">
        <v>213</v>
      </c>
      <c r="AK223" s="22">
        <v>0.97198499999999999</v>
      </c>
      <c r="AL223">
        <f t="shared" si="42"/>
        <v>18.966049382716047</v>
      </c>
      <c r="AM223">
        <f t="shared" si="43"/>
        <v>18.446284799382713</v>
      </c>
      <c r="AP223" s="9"/>
      <c r="AQ223" s="22">
        <v>0.60745199999999999</v>
      </c>
      <c r="AR223" s="22">
        <v>24.998699999999999</v>
      </c>
      <c r="AS223" s="22">
        <v>-1.59668E-2</v>
      </c>
      <c r="AT223" s="22">
        <v>213</v>
      </c>
      <c r="AU223" s="22">
        <v>0.60678100000000001</v>
      </c>
      <c r="AV223">
        <f t="shared" si="44"/>
        <v>19.712098765432096</v>
      </c>
      <c r="AW223">
        <f t="shared" si="45"/>
        <v>11.974153819259257</v>
      </c>
      <c r="AX223" s="9"/>
      <c r="AY223" s="22">
        <v>0.97259499999999999</v>
      </c>
      <c r="AZ223" s="22">
        <v>28.5762</v>
      </c>
      <c r="BA223" s="22">
        <v>-1.5368700000000001E-2</v>
      </c>
      <c r="BB223" s="22">
        <v>213</v>
      </c>
      <c r="BC223" s="22">
        <v>0.97167999999999999</v>
      </c>
      <c r="BD223">
        <f t="shared" si="46"/>
        <v>18.973703703703706</v>
      </c>
      <c r="BE223">
        <f t="shared" si="47"/>
        <v>18.453729353703704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7.2495200000000004</v>
      </c>
      <c r="I224" s="22">
        <v>-1.60614E-2</v>
      </c>
      <c r="J224" s="22">
        <v>214</v>
      </c>
      <c r="K224" s="22">
        <v>0.60183699999999996</v>
      </c>
      <c r="L224">
        <f t="shared" si="36"/>
        <v>19.828888888888891</v>
      </c>
      <c r="M224">
        <f t="shared" si="37"/>
        <v>11.945259757777778</v>
      </c>
      <c r="N224" s="9"/>
      <c r="O224" s="22">
        <v>0.97763100000000003</v>
      </c>
      <c r="P224" s="22">
        <v>10.827</v>
      </c>
      <c r="Q224" s="22">
        <v>-1.5362499999999999E-2</v>
      </c>
      <c r="R224" s="22">
        <v>214</v>
      </c>
      <c r="S224" s="22">
        <v>0.97625700000000004</v>
      </c>
      <c r="T224">
        <f t="shared" si="38"/>
        <v>18.966049382716047</v>
      </c>
      <c r="U224">
        <f t="shared" si="39"/>
        <v>18.541797824074074</v>
      </c>
      <c r="X224" s="9"/>
      <c r="Y224" s="22">
        <v>0.60241699999999998</v>
      </c>
      <c r="Z224" s="22">
        <v>16.1326</v>
      </c>
      <c r="AA224" s="22">
        <v>-1.60065E-2</v>
      </c>
      <c r="AB224" s="22">
        <v>214</v>
      </c>
      <c r="AC224" s="22">
        <v>0.60156299999999996</v>
      </c>
      <c r="AD224">
        <f t="shared" si="40"/>
        <v>19.761111111111113</v>
      </c>
      <c r="AE224">
        <f t="shared" si="41"/>
        <v>11.904429272222222</v>
      </c>
      <c r="AF224" s="9"/>
      <c r="AG224" s="22">
        <v>0.97763100000000003</v>
      </c>
      <c r="AH224" s="22">
        <v>19.71</v>
      </c>
      <c r="AI224" s="22">
        <v>-1.53534E-2</v>
      </c>
      <c r="AJ224" s="22">
        <v>214</v>
      </c>
      <c r="AK224" s="22">
        <v>0.97686799999999996</v>
      </c>
      <c r="AL224">
        <f t="shared" si="42"/>
        <v>18.954814814814814</v>
      </c>
      <c r="AM224">
        <f t="shared" si="43"/>
        <v>18.530814562222222</v>
      </c>
      <c r="AP224" s="9"/>
      <c r="AQ224" s="22">
        <v>0.60241699999999998</v>
      </c>
      <c r="AR224" s="22">
        <v>25.008700000000001</v>
      </c>
      <c r="AS224" s="22">
        <v>-1.5976000000000001E-2</v>
      </c>
      <c r="AT224" s="22">
        <v>214</v>
      </c>
      <c r="AU224" s="22">
        <v>0.60168500000000003</v>
      </c>
      <c r="AV224">
        <f t="shared" si="44"/>
        <v>19.723456790123457</v>
      </c>
      <c r="AW224">
        <f t="shared" si="45"/>
        <v>11.881745669135801</v>
      </c>
      <c r="AX224" s="9"/>
      <c r="AY224" s="22">
        <v>0.97763100000000003</v>
      </c>
      <c r="AZ224" s="22">
        <v>28.586200000000002</v>
      </c>
      <c r="BA224" s="22">
        <v>-1.53595E-2</v>
      </c>
      <c r="BB224" s="22">
        <v>214</v>
      </c>
      <c r="BC224" s="22">
        <v>0.97686799999999996</v>
      </c>
      <c r="BD224">
        <f t="shared" si="46"/>
        <v>18.962345679012344</v>
      </c>
      <c r="BE224">
        <f t="shared" si="47"/>
        <v>18.538176968518517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7.2595900000000002</v>
      </c>
      <c r="I225" s="22">
        <v>-1.6070600000000001E-2</v>
      </c>
      <c r="J225" s="22">
        <v>215</v>
      </c>
      <c r="K225" s="22">
        <v>0.59674099999999997</v>
      </c>
      <c r="L225">
        <f t="shared" si="36"/>
        <v>19.840246913580245</v>
      </c>
      <c r="M225">
        <f t="shared" si="37"/>
        <v>11.852206381728394</v>
      </c>
      <c r="N225" s="9"/>
      <c r="O225" s="22">
        <v>0.98266600000000004</v>
      </c>
      <c r="P225" s="22">
        <v>10.8371</v>
      </c>
      <c r="Q225" s="22">
        <v>-1.53534E-2</v>
      </c>
      <c r="R225" s="22">
        <v>215</v>
      </c>
      <c r="S225" s="22">
        <v>0.98205600000000004</v>
      </c>
      <c r="T225">
        <f t="shared" si="38"/>
        <v>18.954814814814814</v>
      </c>
      <c r="U225">
        <f t="shared" si="39"/>
        <v>18.626252054814813</v>
      </c>
      <c r="X225" s="9"/>
      <c r="Y225" s="22">
        <v>0.59738199999999997</v>
      </c>
      <c r="Z225" s="22">
        <v>16.142600000000002</v>
      </c>
      <c r="AA225" s="22">
        <v>-1.6012599999999998E-2</v>
      </c>
      <c r="AB225" s="22">
        <v>215</v>
      </c>
      <c r="AC225" s="22">
        <v>0.59643599999999997</v>
      </c>
      <c r="AD225">
        <f t="shared" si="40"/>
        <v>19.76864197530864</v>
      </c>
      <c r="AE225">
        <f t="shared" si="41"/>
        <v>11.809430880493824</v>
      </c>
      <c r="AF225" s="9"/>
      <c r="AG225" s="22">
        <v>0.98266600000000004</v>
      </c>
      <c r="AH225" s="22">
        <v>19.720099999999999</v>
      </c>
      <c r="AI225" s="22">
        <v>-1.5341199999999999E-2</v>
      </c>
      <c r="AJ225" s="22">
        <v>215</v>
      </c>
      <c r="AK225" s="22">
        <v>0.98205600000000004</v>
      </c>
      <c r="AL225">
        <f t="shared" si="42"/>
        <v>18.939753086419749</v>
      </c>
      <c r="AM225">
        <f t="shared" si="43"/>
        <v>18.61145140641975</v>
      </c>
      <c r="AP225" s="9"/>
      <c r="AQ225" s="22">
        <v>0.59738199999999997</v>
      </c>
      <c r="AR225" s="22">
        <v>25.018799999999999</v>
      </c>
      <c r="AS225" s="22">
        <v>-1.5988200000000001E-2</v>
      </c>
      <c r="AT225" s="22">
        <v>215</v>
      </c>
      <c r="AU225" s="22">
        <v>0.59667999999999999</v>
      </c>
      <c r="AV225">
        <f t="shared" si="44"/>
        <v>19.738518518518521</v>
      </c>
      <c r="AW225">
        <f t="shared" si="45"/>
        <v>11.791435669629632</v>
      </c>
      <c r="AX225" s="9"/>
      <c r="AY225" s="22">
        <v>0.98266600000000004</v>
      </c>
      <c r="AZ225" s="22">
        <v>28.596299999999999</v>
      </c>
      <c r="BA225" s="22">
        <v>-1.5350300000000001E-2</v>
      </c>
      <c r="BB225" s="22">
        <v>215</v>
      </c>
      <c r="BC225" s="22">
        <v>0.98175000000000001</v>
      </c>
      <c r="BD225">
        <f t="shared" si="46"/>
        <v>18.95098765432099</v>
      </c>
      <c r="BE225">
        <f t="shared" si="47"/>
        <v>18.622491234320989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7.26966</v>
      </c>
      <c r="I226" s="22">
        <v>-1.6082800000000001E-2</v>
      </c>
      <c r="J226" s="22">
        <v>216</v>
      </c>
      <c r="K226" s="22">
        <v>0.59167499999999995</v>
      </c>
      <c r="L226">
        <f t="shared" si="36"/>
        <v>19.855308641975309</v>
      </c>
      <c r="M226">
        <f t="shared" si="37"/>
        <v>11.761212652839507</v>
      </c>
      <c r="N226" s="9"/>
      <c r="O226" s="22">
        <v>0.98770100000000005</v>
      </c>
      <c r="P226" s="22">
        <v>10.847099999999999</v>
      </c>
      <c r="Q226" s="22">
        <v>-1.5341199999999999E-2</v>
      </c>
      <c r="R226" s="22">
        <v>216</v>
      </c>
      <c r="S226" s="22">
        <v>0.98663299999999998</v>
      </c>
      <c r="T226">
        <f t="shared" si="38"/>
        <v>18.939753086419749</v>
      </c>
      <c r="U226">
        <f t="shared" si="39"/>
        <v>18.706813063209875</v>
      </c>
      <c r="X226" s="9"/>
      <c r="Y226" s="22">
        <v>0.59234600000000004</v>
      </c>
      <c r="Z226" s="22">
        <v>16.152699999999999</v>
      </c>
      <c r="AA226" s="22">
        <v>-1.60217E-2</v>
      </c>
      <c r="AB226" s="22">
        <v>216</v>
      </c>
      <c r="AC226" s="22">
        <v>0.59149200000000002</v>
      </c>
      <c r="AD226">
        <f t="shared" si="40"/>
        <v>19.779876543209873</v>
      </c>
      <c r="AE226">
        <f t="shared" si="41"/>
        <v>11.716530750864196</v>
      </c>
      <c r="AF226" s="9"/>
      <c r="AG226" s="22">
        <v>0.98770100000000005</v>
      </c>
      <c r="AH226" s="22">
        <v>19.7302</v>
      </c>
      <c r="AI226" s="22">
        <v>-1.5335100000000001E-2</v>
      </c>
      <c r="AJ226" s="22">
        <v>216</v>
      </c>
      <c r="AK226" s="22">
        <v>0.98632799999999998</v>
      </c>
      <c r="AL226">
        <f t="shared" si="42"/>
        <v>18.932222222222222</v>
      </c>
      <c r="AM226">
        <f t="shared" si="43"/>
        <v>18.69937482111111</v>
      </c>
      <c r="AP226" s="9"/>
      <c r="AQ226" s="22">
        <v>0.59234600000000004</v>
      </c>
      <c r="AR226" s="22">
        <v>25.0289</v>
      </c>
      <c r="AS226" s="22">
        <v>-1.5997299999999999E-2</v>
      </c>
      <c r="AT226" s="22">
        <v>216</v>
      </c>
      <c r="AU226" s="22">
        <v>0.59176600000000001</v>
      </c>
      <c r="AV226">
        <f t="shared" si="44"/>
        <v>19.749753086419751</v>
      </c>
      <c r="AW226">
        <f t="shared" si="45"/>
        <v>11.698687241728395</v>
      </c>
      <c r="AX226" s="9"/>
      <c r="AY226" s="22">
        <v>0.98770100000000005</v>
      </c>
      <c r="AZ226" s="22">
        <v>28.606400000000001</v>
      </c>
      <c r="BA226" s="22">
        <v>-1.53381E-2</v>
      </c>
      <c r="BB226" s="22">
        <v>216</v>
      </c>
      <c r="BC226" s="22">
        <v>0.98724400000000001</v>
      </c>
      <c r="BD226">
        <f t="shared" si="46"/>
        <v>18.935925925925925</v>
      </c>
      <c r="BE226">
        <f t="shared" si="47"/>
        <v>18.703032972962962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7.2797299999999998</v>
      </c>
      <c r="I227" s="22">
        <v>-1.6091899999999999E-2</v>
      </c>
      <c r="J227" s="22">
        <v>217</v>
      </c>
      <c r="K227" s="22">
        <v>0.58660900000000005</v>
      </c>
      <c r="L227">
        <f t="shared" si="36"/>
        <v>19.866543209876539</v>
      </c>
      <c r="M227">
        <f t="shared" si="37"/>
        <v>11.667839359135801</v>
      </c>
      <c r="N227" s="9"/>
      <c r="O227" s="22">
        <v>0.99273699999999998</v>
      </c>
      <c r="P227" s="22">
        <v>10.857200000000001</v>
      </c>
      <c r="Q227" s="22">
        <v>-1.5335100000000001E-2</v>
      </c>
      <c r="R227" s="22">
        <v>217</v>
      </c>
      <c r="S227" s="22">
        <v>0.99212599999999995</v>
      </c>
      <c r="T227">
        <f t="shared" si="38"/>
        <v>18.932222222222222</v>
      </c>
      <c r="U227">
        <f t="shared" si="39"/>
        <v>18.794717492222222</v>
      </c>
      <c r="X227" s="9"/>
      <c r="Y227" s="22">
        <v>0.58731100000000003</v>
      </c>
      <c r="Z227" s="22">
        <v>16.162800000000001</v>
      </c>
      <c r="AA227" s="22">
        <v>-1.6030900000000001E-2</v>
      </c>
      <c r="AB227" s="22">
        <v>217</v>
      </c>
      <c r="AC227" s="22">
        <v>0.58667000000000002</v>
      </c>
      <c r="AD227">
        <f t="shared" si="40"/>
        <v>19.791234567901235</v>
      </c>
      <c r="AE227">
        <f t="shared" si="41"/>
        <v>11.623609765308643</v>
      </c>
      <c r="AF227" s="9"/>
      <c r="AG227" s="22">
        <v>0.99273699999999998</v>
      </c>
      <c r="AH227" s="22">
        <v>19.740300000000001</v>
      </c>
      <c r="AI227" s="22">
        <v>-1.53259E-2</v>
      </c>
      <c r="AJ227" s="22">
        <v>217</v>
      </c>
      <c r="AK227" s="22">
        <v>0.99151599999999995</v>
      </c>
      <c r="AL227">
        <f t="shared" si="42"/>
        <v>18.920864197530861</v>
      </c>
      <c r="AM227">
        <f t="shared" si="43"/>
        <v>18.783441960864195</v>
      </c>
      <c r="AP227" s="9"/>
      <c r="AQ227" s="22">
        <v>0.58731100000000003</v>
      </c>
      <c r="AR227" s="22">
        <v>25.039000000000001</v>
      </c>
      <c r="AS227" s="22">
        <v>-1.60065E-2</v>
      </c>
      <c r="AT227" s="22">
        <v>217</v>
      </c>
      <c r="AU227" s="22">
        <v>0.58645599999999998</v>
      </c>
      <c r="AV227">
        <f t="shared" si="44"/>
        <v>19.761111111111113</v>
      </c>
      <c r="AW227">
        <f t="shared" si="45"/>
        <v>11.60591792777778</v>
      </c>
      <c r="AX227" s="9"/>
      <c r="AY227" s="22">
        <v>0.99273699999999998</v>
      </c>
      <c r="AZ227" s="22">
        <v>28.616399999999999</v>
      </c>
      <c r="BA227" s="22">
        <v>-1.5332E-2</v>
      </c>
      <c r="BB227" s="22">
        <v>217</v>
      </c>
      <c r="BC227" s="22">
        <v>0.99212599999999995</v>
      </c>
      <c r="BD227">
        <f t="shared" si="46"/>
        <v>18.928395061728395</v>
      </c>
      <c r="BE227">
        <f t="shared" si="47"/>
        <v>18.790918128395059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7.2897999999999996</v>
      </c>
      <c r="I228" s="22">
        <v>-1.6098000000000001E-2</v>
      </c>
      <c r="J228" s="22">
        <v>218</v>
      </c>
      <c r="K228" s="22">
        <v>0.58169599999999999</v>
      </c>
      <c r="L228">
        <f t="shared" si="36"/>
        <v>19.874074074074077</v>
      </c>
      <c r="M228">
        <f t="shared" si="37"/>
        <v>11.572176481481483</v>
      </c>
      <c r="N228" s="9"/>
      <c r="O228" s="22">
        <v>0.99777199999999999</v>
      </c>
      <c r="P228" s="22">
        <v>10.8673</v>
      </c>
      <c r="Q228" s="22">
        <v>-1.53259E-2</v>
      </c>
      <c r="R228" s="22">
        <v>218</v>
      </c>
      <c r="S228" s="22">
        <v>0.99731400000000003</v>
      </c>
      <c r="T228">
        <f t="shared" si="38"/>
        <v>18.920864197530861</v>
      </c>
      <c r="U228">
        <f t="shared" si="39"/>
        <v>18.878708512098761</v>
      </c>
      <c r="X228" s="9"/>
      <c r="Y228" s="22">
        <v>0.58227499999999999</v>
      </c>
      <c r="Z228" s="22">
        <v>16.172799999999999</v>
      </c>
      <c r="AA228" s="22">
        <v>-1.6039999999999999E-2</v>
      </c>
      <c r="AB228" s="22">
        <v>218</v>
      </c>
      <c r="AC228" s="22">
        <v>0.58154300000000003</v>
      </c>
      <c r="AD228">
        <f t="shared" si="40"/>
        <v>19.802469135802465</v>
      </c>
      <c r="AE228">
        <f t="shared" si="41"/>
        <v>11.530482716049379</v>
      </c>
      <c r="AF228" s="9"/>
      <c r="AG228" s="22">
        <v>0.99777199999999999</v>
      </c>
      <c r="AH228" s="22">
        <v>19.750299999999999</v>
      </c>
      <c r="AI228" s="22">
        <v>-1.53198E-2</v>
      </c>
      <c r="AJ228" s="22">
        <v>218</v>
      </c>
      <c r="AK228" s="22">
        <v>0.99609400000000003</v>
      </c>
      <c r="AL228">
        <f t="shared" si="42"/>
        <v>18.91333333333333</v>
      </c>
      <c r="AM228">
        <f t="shared" si="43"/>
        <v>18.871194426666662</v>
      </c>
      <c r="AP228" s="9"/>
      <c r="AQ228" s="22">
        <v>0.58227499999999999</v>
      </c>
      <c r="AR228" s="22">
        <v>25.048999999999999</v>
      </c>
      <c r="AS228" s="22">
        <v>-1.6015600000000001E-2</v>
      </c>
      <c r="AT228" s="22">
        <v>218</v>
      </c>
      <c r="AU228" s="22">
        <v>0.58151200000000003</v>
      </c>
      <c r="AV228">
        <f t="shared" si="44"/>
        <v>19.772345679012346</v>
      </c>
      <c r="AW228">
        <f t="shared" si="45"/>
        <v>11.512942580246914</v>
      </c>
      <c r="AX228" s="9"/>
      <c r="AY228" s="22">
        <v>0.99777199999999999</v>
      </c>
      <c r="AZ228" s="22">
        <v>28.6265</v>
      </c>
      <c r="BA228" s="22">
        <v>-1.53229E-2</v>
      </c>
      <c r="BB228" s="22">
        <v>218</v>
      </c>
      <c r="BC228" s="22">
        <v>0.99609400000000003</v>
      </c>
      <c r="BD228">
        <f t="shared" si="46"/>
        <v>18.917160493827158</v>
      </c>
      <c r="BE228">
        <f t="shared" si="47"/>
        <v>18.875013060246911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7.2998700000000003</v>
      </c>
      <c r="I229" s="22">
        <v>-1.6107199999999999E-2</v>
      </c>
      <c r="J229" s="22">
        <v>219</v>
      </c>
      <c r="K229" s="22">
        <v>0.576569</v>
      </c>
      <c r="L229">
        <f t="shared" si="36"/>
        <v>19.885432098765428</v>
      </c>
      <c r="M229">
        <f t="shared" si="37"/>
        <v>11.478666824691356</v>
      </c>
      <c r="N229" s="9"/>
      <c r="O229" s="22">
        <v>1.00281</v>
      </c>
      <c r="P229" s="22">
        <v>10.8774</v>
      </c>
      <c r="Q229" s="22">
        <v>-1.53198E-2</v>
      </c>
      <c r="R229" s="22">
        <v>219</v>
      </c>
      <c r="S229" s="22">
        <v>1.0018899999999999</v>
      </c>
      <c r="T229">
        <f t="shared" si="38"/>
        <v>18.91333333333333</v>
      </c>
      <c r="U229">
        <f t="shared" si="39"/>
        <v>18.966479799999998</v>
      </c>
      <c r="X229" s="9"/>
      <c r="Y229" s="22">
        <v>0.57723999999999998</v>
      </c>
      <c r="Z229" s="22">
        <v>16.1829</v>
      </c>
      <c r="AA229" s="22">
        <v>-1.6052199999999999E-2</v>
      </c>
      <c r="AB229" s="22">
        <v>219</v>
      </c>
      <c r="AC229" s="22">
        <v>0.57669099999999995</v>
      </c>
      <c r="AD229">
        <f t="shared" si="40"/>
        <v>19.817530864197529</v>
      </c>
      <c r="AE229">
        <f t="shared" si="41"/>
        <v>11.439471516049382</v>
      </c>
      <c r="AF229" s="9"/>
      <c r="AG229" s="22">
        <v>1.00281</v>
      </c>
      <c r="AH229" s="22">
        <v>19.760400000000001</v>
      </c>
      <c r="AI229" s="22">
        <v>-1.53107E-2</v>
      </c>
      <c r="AJ229" s="22">
        <v>219</v>
      </c>
      <c r="AK229" s="22">
        <v>1.0018899999999999</v>
      </c>
      <c r="AL229">
        <f t="shared" si="42"/>
        <v>18.9020987654321</v>
      </c>
      <c r="AM229">
        <f t="shared" si="43"/>
        <v>18.955213662962965</v>
      </c>
      <c r="AP229" s="9"/>
      <c r="AQ229" s="22">
        <v>0.57723999999999998</v>
      </c>
      <c r="AR229" s="22">
        <v>25.059100000000001</v>
      </c>
      <c r="AS229" s="22">
        <v>-1.60217E-2</v>
      </c>
      <c r="AT229" s="22">
        <v>219</v>
      </c>
      <c r="AU229" s="22">
        <v>0.57659899999999997</v>
      </c>
      <c r="AV229">
        <f t="shared" si="44"/>
        <v>19.779876543209873</v>
      </c>
      <c r="AW229">
        <f t="shared" si="45"/>
        <v>11.417735935802467</v>
      </c>
      <c r="AX229" s="9"/>
      <c r="AY229" s="22">
        <v>1.00281</v>
      </c>
      <c r="AZ229" s="22">
        <v>28.636600000000001</v>
      </c>
      <c r="BA229" s="22">
        <v>-1.53137E-2</v>
      </c>
      <c r="BB229" s="22">
        <v>219</v>
      </c>
      <c r="BC229" s="22">
        <v>1.00159</v>
      </c>
      <c r="BD229">
        <f t="shared" si="46"/>
        <v>18.9058024691358</v>
      </c>
      <c r="BE229">
        <f t="shared" si="47"/>
        <v>18.95892777407407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7.3099400000000001</v>
      </c>
      <c r="I230" s="22">
        <v>-1.61163E-2</v>
      </c>
      <c r="J230" s="22">
        <v>220</v>
      </c>
      <c r="K230" s="22">
        <v>0.57159400000000005</v>
      </c>
      <c r="L230">
        <f t="shared" si="36"/>
        <v>19.896666666666668</v>
      </c>
      <c r="M230">
        <f t="shared" si="37"/>
        <v>11.384972149999999</v>
      </c>
      <c r="N230" s="9"/>
      <c r="O230" s="22">
        <v>1.0078400000000001</v>
      </c>
      <c r="P230" s="22">
        <v>10.8874</v>
      </c>
      <c r="Q230" s="22">
        <v>-1.53107E-2</v>
      </c>
      <c r="R230" s="22">
        <v>220</v>
      </c>
      <c r="S230" s="22">
        <v>1.00647</v>
      </c>
      <c r="T230">
        <f t="shared" si="38"/>
        <v>18.9020987654321</v>
      </c>
      <c r="U230">
        <f t="shared" si="39"/>
        <v>19.050291219753088</v>
      </c>
      <c r="X230" s="9"/>
      <c r="Y230" s="22">
        <v>0.57220499999999996</v>
      </c>
      <c r="Z230" s="22">
        <v>16.193000000000001</v>
      </c>
      <c r="AA230" s="22">
        <v>-1.60614E-2</v>
      </c>
      <c r="AB230" s="22">
        <v>220</v>
      </c>
      <c r="AC230" s="22">
        <v>0.57144200000000001</v>
      </c>
      <c r="AD230">
        <f t="shared" si="40"/>
        <v>19.828888888888891</v>
      </c>
      <c r="AE230">
        <f t="shared" si="41"/>
        <v>11.346189366666668</v>
      </c>
      <c r="AF230" s="9"/>
      <c r="AG230" s="22">
        <v>1.0078400000000001</v>
      </c>
      <c r="AH230" s="22">
        <v>19.770499999999998</v>
      </c>
      <c r="AI230" s="22">
        <v>-1.5301500000000001E-2</v>
      </c>
      <c r="AJ230" s="22">
        <v>220</v>
      </c>
      <c r="AK230" s="22">
        <v>1.0067699999999999</v>
      </c>
      <c r="AL230">
        <f t="shared" si="42"/>
        <v>18.890740740740739</v>
      </c>
      <c r="AM230">
        <f t="shared" si="43"/>
        <v>19.038844148148147</v>
      </c>
      <c r="AP230" s="9"/>
      <c r="AQ230" s="22">
        <v>0.57220499999999996</v>
      </c>
      <c r="AR230" s="22">
        <v>25.069199999999999</v>
      </c>
      <c r="AS230" s="22">
        <v>-1.6027799999999998E-2</v>
      </c>
      <c r="AT230" s="22">
        <v>220</v>
      </c>
      <c r="AU230" s="22">
        <v>0.57150299999999998</v>
      </c>
      <c r="AV230">
        <f t="shared" si="44"/>
        <v>19.787407407407404</v>
      </c>
      <c r="AW230">
        <f t="shared" si="45"/>
        <v>11.322453455555554</v>
      </c>
      <c r="AX230" s="9"/>
      <c r="AY230" s="22">
        <v>1.0078400000000001</v>
      </c>
      <c r="AZ230" s="22">
        <v>28.646699999999999</v>
      </c>
      <c r="BA230" s="22">
        <v>-1.5307599999999999E-2</v>
      </c>
      <c r="BB230" s="22">
        <v>220</v>
      </c>
      <c r="BC230" s="22">
        <v>1.00647</v>
      </c>
      <c r="BD230">
        <f t="shared" si="46"/>
        <v>18.89827160493827</v>
      </c>
      <c r="BE230">
        <f t="shared" si="47"/>
        <v>19.046434054320986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7.3200200000000004</v>
      </c>
      <c r="I231" s="22">
        <v>-1.6125500000000001E-2</v>
      </c>
      <c r="J231" s="22">
        <v>221</v>
      </c>
      <c r="K231" s="22">
        <v>0.56625400000000004</v>
      </c>
      <c r="L231">
        <f t="shared" si="36"/>
        <v>19.908024691358026</v>
      </c>
      <c r="M231">
        <f t="shared" si="37"/>
        <v>11.291214456172842</v>
      </c>
      <c r="N231" s="9"/>
      <c r="O231" s="22">
        <v>1.01288</v>
      </c>
      <c r="P231" s="22">
        <v>10.897500000000001</v>
      </c>
      <c r="Q231" s="22">
        <v>-1.5301500000000001E-2</v>
      </c>
      <c r="R231" s="22">
        <v>221</v>
      </c>
      <c r="S231" s="22">
        <v>1.01135</v>
      </c>
      <c r="T231">
        <f t="shared" si="38"/>
        <v>18.890740740740739</v>
      </c>
      <c r="U231">
        <f t="shared" si="39"/>
        <v>19.13405348148148</v>
      </c>
      <c r="X231" s="9"/>
      <c r="Y231" s="22">
        <v>0.56716900000000003</v>
      </c>
      <c r="Z231" s="22">
        <v>16.203099999999999</v>
      </c>
      <c r="AA231" s="22">
        <v>-1.60736E-2</v>
      </c>
      <c r="AB231" s="22">
        <v>221</v>
      </c>
      <c r="AC231" s="22">
        <v>0.56658900000000001</v>
      </c>
      <c r="AD231">
        <f t="shared" si="40"/>
        <v>19.843950617283948</v>
      </c>
      <c r="AE231">
        <f t="shared" si="41"/>
        <v>11.25487362765432</v>
      </c>
      <c r="AF231" s="9"/>
      <c r="AG231" s="22">
        <v>1.01288</v>
      </c>
      <c r="AH231" s="22">
        <v>19.7805</v>
      </c>
      <c r="AI231" s="22">
        <v>-1.5292399999999999E-2</v>
      </c>
      <c r="AJ231" s="22">
        <v>221</v>
      </c>
      <c r="AK231" s="22">
        <v>1.01166</v>
      </c>
      <c r="AL231">
        <f t="shared" si="42"/>
        <v>18.879506172839505</v>
      </c>
      <c r="AM231">
        <f t="shared" si="43"/>
        <v>19.122674212345679</v>
      </c>
      <c r="AP231" s="9"/>
      <c r="AQ231" s="22">
        <v>0.56716900000000003</v>
      </c>
      <c r="AR231" s="22">
        <v>25.0792</v>
      </c>
      <c r="AS231" s="22">
        <v>-1.6036999999999999E-2</v>
      </c>
      <c r="AT231" s="22">
        <v>221</v>
      </c>
      <c r="AU231" s="22">
        <v>0.56649799999999995</v>
      </c>
      <c r="AV231">
        <f t="shared" si="44"/>
        <v>19.798765432098762</v>
      </c>
      <c r="AW231">
        <f t="shared" si="45"/>
        <v>11.229245991358024</v>
      </c>
      <c r="AX231" s="9"/>
      <c r="AY231" s="22">
        <v>1.01288</v>
      </c>
      <c r="AZ231" s="22">
        <v>28.656700000000001</v>
      </c>
      <c r="BA231" s="22">
        <v>-1.5295400000000001E-2</v>
      </c>
      <c r="BB231" s="22">
        <v>221</v>
      </c>
      <c r="BC231" s="22">
        <v>1.01227</v>
      </c>
      <c r="BD231">
        <f t="shared" si="46"/>
        <v>18.883209876543212</v>
      </c>
      <c r="BE231">
        <f t="shared" si="47"/>
        <v>19.126425619753089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7.3300900000000002</v>
      </c>
      <c r="I232" s="22">
        <v>-1.6134599999999999E-2</v>
      </c>
      <c r="J232" s="22">
        <v>222</v>
      </c>
      <c r="K232" s="22">
        <v>0.56137099999999995</v>
      </c>
      <c r="L232">
        <f t="shared" si="36"/>
        <v>19.91925925925926</v>
      </c>
      <c r="M232">
        <f t="shared" si="37"/>
        <v>11.197292884444446</v>
      </c>
      <c r="N232" s="9"/>
      <c r="O232" s="22">
        <v>1.0179100000000001</v>
      </c>
      <c r="P232" s="22">
        <v>10.9076</v>
      </c>
      <c r="Q232" s="22">
        <v>-1.52893E-2</v>
      </c>
      <c r="R232" s="22">
        <v>222</v>
      </c>
      <c r="S232" s="22">
        <v>1.01715</v>
      </c>
      <c r="T232">
        <f t="shared" si="38"/>
        <v>18.875679012345678</v>
      </c>
      <c r="U232">
        <f t="shared" si="39"/>
        <v>19.21374242345679</v>
      </c>
      <c r="X232" s="9"/>
      <c r="Y232" s="22">
        <v>0.56213400000000002</v>
      </c>
      <c r="Z232" s="22">
        <v>16.213100000000001</v>
      </c>
      <c r="AA232" s="22">
        <v>-1.6082800000000001E-2</v>
      </c>
      <c r="AB232" s="22">
        <v>222</v>
      </c>
      <c r="AC232" s="22">
        <v>0.56137099999999995</v>
      </c>
      <c r="AD232">
        <f t="shared" si="40"/>
        <v>19.855308641975309</v>
      </c>
      <c r="AE232">
        <f t="shared" si="41"/>
        <v>11.161344068148148</v>
      </c>
      <c r="AF232" s="9"/>
      <c r="AG232" s="22">
        <v>1.0179100000000001</v>
      </c>
      <c r="AH232" s="22">
        <v>19.790600000000001</v>
      </c>
      <c r="AI232" s="22">
        <v>-1.5280200000000001E-2</v>
      </c>
      <c r="AJ232" s="22">
        <v>222</v>
      </c>
      <c r="AK232" s="22">
        <v>1.01685</v>
      </c>
      <c r="AL232">
        <f t="shared" si="42"/>
        <v>18.864444444444445</v>
      </c>
      <c r="AM232">
        <f t="shared" si="43"/>
        <v>19.202306644444445</v>
      </c>
      <c r="AP232" s="9"/>
      <c r="AQ232" s="22">
        <v>0.56213400000000002</v>
      </c>
      <c r="AR232" s="22">
        <v>25.089300000000001</v>
      </c>
      <c r="AS232" s="22">
        <v>-1.6043100000000001E-2</v>
      </c>
      <c r="AT232" s="22">
        <v>222</v>
      </c>
      <c r="AU232" s="22">
        <v>0.56143200000000004</v>
      </c>
      <c r="AV232">
        <f t="shared" si="44"/>
        <v>19.806296296296299</v>
      </c>
      <c r="AW232">
        <f t="shared" si="45"/>
        <v>11.133792562222224</v>
      </c>
      <c r="AX232" s="9"/>
      <c r="AY232" s="22">
        <v>1.0179100000000001</v>
      </c>
      <c r="AZ232" s="22">
        <v>28.666799999999999</v>
      </c>
      <c r="BA232" s="22">
        <v>-1.5286299999999999E-2</v>
      </c>
      <c r="BB232" s="22">
        <v>222</v>
      </c>
      <c r="BC232" s="22">
        <v>1.01715</v>
      </c>
      <c r="BD232">
        <f t="shared" si="46"/>
        <v>18.871975308641971</v>
      </c>
      <c r="BE232">
        <f t="shared" si="47"/>
        <v>19.20997238641975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7.34016</v>
      </c>
      <c r="I233" s="22">
        <v>-1.6140700000000001E-2</v>
      </c>
      <c r="J233" s="22">
        <v>223</v>
      </c>
      <c r="K233" s="22">
        <v>0.55645800000000001</v>
      </c>
      <c r="L233">
        <f t="shared" si="36"/>
        <v>19.92679012345679</v>
      </c>
      <c r="M233">
        <f t="shared" si="37"/>
        <v>11.101174924197531</v>
      </c>
      <c r="N233" s="9"/>
      <c r="O233" s="22">
        <v>1.02295</v>
      </c>
      <c r="P233" s="22">
        <v>10.9176</v>
      </c>
      <c r="Q233" s="22">
        <v>-1.5280200000000001E-2</v>
      </c>
      <c r="R233" s="22">
        <v>223</v>
      </c>
      <c r="S233" s="22">
        <v>1.02234</v>
      </c>
      <c r="T233">
        <f t="shared" si="38"/>
        <v>18.864444444444445</v>
      </c>
      <c r="U233">
        <f t="shared" si="39"/>
        <v>19.297383444444446</v>
      </c>
      <c r="X233" s="9"/>
      <c r="Y233" s="22">
        <v>0.55709799999999998</v>
      </c>
      <c r="Z233" s="22">
        <v>16.223199999999999</v>
      </c>
      <c r="AA233" s="22">
        <v>-1.6091899999999999E-2</v>
      </c>
      <c r="AB233" s="22">
        <v>223</v>
      </c>
      <c r="AC233" s="22">
        <v>0.55651899999999999</v>
      </c>
      <c r="AD233">
        <f t="shared" si="40"/>
        <v>19.866543209876539</v>
      </c>
      <c r="AE233">
        <f t="shared" si="41"/>
        <v>11.0676114891358</v>
      </c>
      <c r="AF233" s="9"/>
      <c r="AG233" s="22">
        <v>1.02295</v>
      </c>
      <c r="AH233" s="22">
        <v>19.800699999999999</v>
      </c>
      <c r="AI233" s="22">
        <v>-1.5271E-2</v>
      </c>
      <c r="AJ233" s="22">
        <v>223</v>
      </c>
      <c r="AK233" s="22">
        <v>1.02173</v>
      </c>
      <c r="AL233">
        <f t="shared" si="42"/>
        <v>18.853086419753083</v>
      </c>
      <c r="AM233">
        <f t="shared" si="43"/>
        <v>19.285764753086418</v>
      </c>
      <c r="AP233" s="9"/>
      <c r="AQ233" s="22">
        <v>0.55709799999999998</v>
      </c>
      <c r="AR233" s="22">
        <v>25.099399999999999</v>
      </c>
      <c r="AS233" s="22">
        <v>-1.6052199999999999E-2</v>
      </c>
      <c r="AT233" s="22">
        <v>223</v>
      </c>
      <c r="AU233" s="22">
        <v>0.556427</v>
      </c>
      <c r="AV233">
        <f t="shared" si="44"/>
        <v>19.817530864197529</v>
      </c>
      <c r="AW233">
        <f t="shared" si="45"/>
        <v>11.040306809382715</v>
      </c>
      <c r="AX233" s="9"/>
      <c r="AY233" s="22">
        <v>1.02295</v>
      </c>
      <c r="AZ233" s="22">
        <v>28.6769</v>
      </c>
      <c r="BA233" s="22">
        <v>-1.52771E-2</v>
      </c>
      <c r="BB233" s="22">
        <v>223</v>
      </c>
      <c r="BC233" s="22">
        <v>1.02203</v>
      </c>
      <c r="BD233">
        <f t="shared" si="46"/>
        <v>18.860617283950617</v>
      </c>
      <c r="BE233">
        <f t="shared" si="47"/>
        <v>19.293468450617283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7.3502299999999998</v>
      </c>
      <c r="I234" s="22">
        <v>-1.6146899999999999E-2</v>
      </c>
      <c r="J234" s="22">
        <v>224</v>
      </c>
      <c r="K234" s="22">
        <v>0.55142199999999997</v>
      </c>
      <c r="L234">
        <f t="shared" si="36"/>
        <v>19.934444444444441</v>
      </c>
      <c r="M234">
        <f t="shared" si="37"/>
        <v>11.005069203333331</v>
      </c>
      <c r="N234" s="9"/>
      <c r="O234" s="22">
        <v>1.0279799999999999</v>
      </c>
      <c r="P234" s="22">
        <v>10.9277</v>
      </c>
      <c r="Q234" s="22">
        <v>-1.5271E-2</v>
      </c>
      <c r="R234" s="22">
        <v>224</v>
      </c>
      <c r="S234" s="22">
        <v>1.02722</v>
      </c>
      <c r="T234">
        <f t="shared" si="38"/>
        <v>18.853086419753083</v>
      </c>
      <c r="U234">
        <f t="shared" si="39"/>
        <v>19.380595777777774</v>
      </c>
      <c r="X234" s="9"/>
      <c r="Y234" s="22">
        <v>0.55206299999999997</v>
      </c>
      <c r="Z234" s="22">
        <v>16.2333</v>
      </c>
      <c r="AA234" s="22">
        <v>-1.61011E-2</v>
      </c>
      <c r="AB234" s="22">
        <v>224</v>
      </c>
      <c r="AC234" s="22">
        <v>0.55142199999999997</v>
      </c>
      <c r="AD234">
        <f t="shared" si="40"/>
        <v>19.877901234567901</v>
      </c>
      <c r="AE234">
        <f t="shared" si="41"/>
        <v>10.973853789259259</v>
      </c>
      <c r="AF234" s="9"/>
      <c r="AG234" s="22">
        <v>1.0279799999999999</v>
      </c>
      <c r="AH234" s="22">
        <v>19.8108</v>
      </c>
      <c r="AI234" s="22">
        <v>-1.5261800000000001E-2</v>
      </c>
      <c r="AJ234" s="22">
        <v>224</v>
      </c>
      <c r="AK234" s="22">
        <v>1.02722</v>
      </c>
      <c r="AL234">
        <f t="shared" si="42"/>
        <v>18.841728395061729</v>
      </c>
      <c r="AM234">
        <f t="shared" si="43"/>
        <v>19.368919955555555</v>
      </c>
      <c r="AP234" s="9"/>
      <c r="AQ234" s="22">
        <v>0.55206299999999997</v>
      </c>
      <c r="AR234" s="22">
        <v>25.109500000000001</v>
      </c>
      <c r="AS234" s="22">
        <v>-1.60614E-2</v>
      </c>
      <c r="AT234" s="22">
        <v>224</v>
      </c>
      <c r="AU234" s="22">
        <v>0.55145299999999997</v>
      </c>
      <c r="AV234">
        <f t="shared" si="44"/>
        <v>19.828888888888891</v>
      </c>
      <c r="AW234">
        <f t="shared" si="45"/>
        <v>10.946795886666667</v>
      </c>
      <c r="AX234" s="9"/>
      <c r="AY234" s="22">
        <v>1.0279799999999999</v>
      </c>
      <c r="AZ234" s="22">
        <v>28.686900000000001</v>
      </c>
      <c r="BA234" s="22">
        <v>-1.5267899999999999E-2</v>
      </c>
      <c r="BB234" s="22">
        <v>224</v>
      </c>
      <c r="BC234" s="22">
        <v>1.02722</v>
      </c>
      <c r="BD234">
        <f t="shared" si="46"/>
        <v>18.849259259259256</v>
      </c>
      <c r="BE234">
        <f t="shared" si="47"/>
        <v>19.376661533333326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7.3602999999999996</v>
      </c>
      <c r="I235" s="22">
        <v>-1.6156E-2</v>
      </c>
      <c r="J235" s="22">
        <v>225</v>
      </c>
      <c r="K235" s="22">
        <v>0.54629499999999998</v>
      </c>
      <c r="L235">
        <f t="shared" si="36"/>
        <v>19.945679012345678</v>
      </c>
      <c r="M235">
        <f t="shared" si="37"/>
        <v>10.910844898765431</v>
      </c>
      <c r="N235" s="9"/>
      <c r="O235" s="22">
        <v>1.03302</v>
      </c>
      <c r="P235" s="22">
        <v>10.937799999999999</v>
      </c>
      <c r="Q235" s="22">
        <v>-1.5261800000000001E-2</v>
      </c>
      <c r="R235" s="22">
        <v>225</v>
      </c>
      <c r="S235" s="22">
        <v>1.0318000000000001</v>
      </c>
      <c r="T235">
        <f t="shared" si="38"/>
        <v>18.841728395061729</v>
      </c>
      <c r="U235">
        <f t="shared" si="39"/>
        <v>19.463882266666669</v>
      </c>
      <c r="X235" s="9"/>
      <c r="Y235" s="22">
        <v>0.54702799999999996</v>
      </c>
      <c r="Z235" s="22">
        <v>16.243300000000001</v>
      </c>
      <c r="AA235" s="22">
        <v>-1.6107199999999999E-2</v>
      </c>
      <c r="AB235" s="22">
        <v>225</v>
      </c>
      <c r="AC235" s="22">
        <v>0.546234</v>
      </c>
      <c r="AD235">
        <f t="shared" si="40"/>
        <v>19.885432098765428</v>
      </c>
      <c r="AE235">
        <f t="shared" si="41"/>
        <v>10.877888150123454</v>
      </c>
      <c r="AF235" s="9"/>
      <c r="AG235" s="22">
        <v>1.03302</v>
      </c>
      <c r="AH235" s="22">
        <v>19.820799999999998</v>
      </c>
      <c r="AI235" s="22">
        <v>-1.5255700000000001E-2</v>
      </c>
      <c r="AJ235" s="22">
        <v>225</v>
      </c>
      <c r="AK235" s="22">
        <v>1.0318000000000001</v>
      </c>
      <c r="AL235">
        <f t="shared" si="42"/>
        <v>18.834197530864198</v>
      </c>
      <c r="AM235">
        <f t="shared" si="43"/>
        <v>19.456102733333335</v>
      </c>
      <c r="AP235" s="9"/>
      <c r="AQ235" s="22">
        <v>0.54702799999999996</v>
      </c>
      <c r="AR235" s="22">
        <v>25.119499999999999</v>
      </c>
      <c r="AS235" s="22">
        <v>-1.6070600000000001E-2</v>
      </c>
      <c r="AT235" s="22">
        <v>225</v>
      </c>
      <c r="AU235" s="22">
        <v>0.54620400000000002</v>
      </c>
      <c r="AV235">
        <f t="shared" si="44"/>
        <v>19.840246913580245</v>
      </c>
      <c r="AW235">
        <f t="shared" si="45"/>
        <v>10.853170588641973</v>
      </c>
      <c r="AX235" s="9"/>
      <c r="AY235" s="22">
        <v>1.03302</v>
      </c>
      <c r="AZ235" s="22">
        <v>28.696999999999999</v>
      </c>
      <c r="BA235" s="22">
        <v>-1.5258799999999999E-2</v>
      </c>
      <c r="BB235" s="22">
        <v>225</v>
      </c>
      <c r="BC235" s="22">
        <v>1.03241</v>
      </c>
      <c r="BD235">
        <f t="shared" si="46"/>
        <v>18.838024691358022</v>
      </c>
      <c r="BE235">
        <f t="shared" si="47"/>
        <v>19.460056266666665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7.3703700000000003</v>
      </c>
      <c r="I236" s="22">
        <v>-1.6165200000000001E-2</v>
      </c>
      <c r="J236" s="22">
        <v>226</v>
      </c>
      <c r="K236" s="22">
        <v>0.54116799999999998</v>
      </c>
      <c r="L236">
        <f t="shared" si="36"/>
        <v>19.957037037037036</v>
      </c>
      <c r="M236">
        <f t="shared" si="37"/>
        <v>10.816554417777779</v>
      </c>
      <c r="N236" s="9"/>
      <c r="O236" s="22">
        <v>1.03806</v>
      </c>
      <c r="P236" s="22">
        <v>10.947900000000001</v>
      </c>
      <c r="Q236" s="22">
        <v>-1.5255700000000001E-2</v>
      </c>
      <c r="R236" s="22">
        <v>226</v>
      </c>
      <c r="S236" s="22">
        <v>1.0369900000000001</v>
      </c>
      <c r="T236">
        <f t="shared" si="38"/>
        <v>18.834197530864198</v>
      </c>
      <c r="U236">
        <f t="shared" si="39"/>
        <v>19.55102708888889</v>
      </c>
      <c r="X236" s="9"/>
      <c r="Y236" s="22">
        <v>0.54199200000000003</v>
      </c>
      <c r="Z236" s="22">
        <v>16.253399999999999</v>
      </c>
      <c r="AA236" s="22">
        <v>-1.6113300000000001E-2</v>
      </c>
      <c r="AB236" s="22">
        <v>226</v>
      </c>
      <c r="AC236" s="22">
        <v>0.54119899999999999</v>
      </c>
      <c r="AD236">
        <f t="shared" si="40"/>
        <v>19.892962962962962</v>
      </c>
      <c r="AE236">
        <f t="shared" si="41"/>
        <v>10.781826782222222</v>
      </c>
      <c r="AF236" s="9"/>
      <c r="AG236" s="22">
        <v>1.03806</v>
      </c>
      <c r="AH236" s="22">
        <v>19.8309</v>
      </c>
      <c r="AI236" s="22">
        <v>-1.5246600000000001E-2</v>
      </c>
      <c r="AJ236" s="22">
        <v>226</v>
      </c>
      <c r="AK236" s="22">
        <v>1.0369900000000001</v>
      </c>
      <c r="AL236">
        <f t="shared" si="42"/>
        <v>18.822962962962961</v>
      </c>
      <c r="AM236">
        <f t="shared" si="43"/>
        <v>19.539364933333331</v>
      </c>
      <c r="AP236" s="9"/>
      <c r="AQ236" s="22">
        <v>0.54199200000000003</v>
      </c>
      <c r="AR236" s="22">
        <v>25.1296</v>
      </c>
      <c r="AS236" s="22">
        <v>-1.6079699999999999E-2</v>
      </c>
      <c r="AT236" s="22">
        <v>226</v>
      </c>
      <c r="AU236" s="22">
        <v>0.54132100000000005</v>
      </c>
      <c r="AV236">
        <f t="shared" si="44"/>
        <v>19.851481481481482</v>
      </c>
      <c r="AW236">
        <f t="shared" si="45"/>
        <v>10.759344151111112</v>
      </c>
      <c r="AX236" s="9"/>
      <c r="AY236" s="22">
        <v>1.03806</v>
      </c>
      <c r="AZ236" s="22">
        <v>28.707100000000001</v>
      </c>
      <c r="BA236" s="22">
        <v>-1.52496E-2</v>
      </c>
      <c r="BB236" s="22">
        <v>226</v>
      </c>
      <c r="BC236" s="22">
        <v>1.0363800000000001</v>
      </c>
      <c r="BD236">
        <f t="shared" si="46"/>
        <v>18.826666666666664</v>
      </c>
      <c r="BE236">
        <f t="shared" si="47"/>
        <v>19.543209599999997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7.3804400000000001</v>
      </c>
      <c r="I237" s="22">
        <v>-1.6174299999999999E-2</v>
      </c>
      <c r="J237" s="22">
        <v>227</v>
      </c>
      <c r="K237" s="22">
        <v>0.53625500000000004</v>
      </c>
      <c r="L237">
        <f t="shared" si="36"/>
        <v>19.96827160493827</v>
      </c>
      <c r="M237">
        <f t="shared" si="37"/>
        <v>10.722103216172838</v>
      </c>
      <c r="N237" s="9"/>
      <c r="O237" s="22">
        <v>1.0430900000000001</v>
      </c>
      <c r="P237" s="22">
        <v>10.9579</v>
      </c>
      <c r="Q237" s="22">
        <v>-1.5246600000000001E-2</v>
      </c>
      <c r="R237" s="22">
        <v>227</v>
      </c>
      <c r="S237" s="22">
        <v>1.0418700000000001</v>
      </c>
      <c r="T237">
        <f t="shared" si="38"/>
        <v>18.822962962962961</v>
      </c>
      <c r="U237">
        <f t="shared" si="39"/>
        <v>19.634044437037037</v>
      </c>
      <c r="X237" s="9"/>
      <c r="Y237" s="22">
        <v>0.53695700000000002</v>
      </c>
      <c r="Z237" s="22">
        <v>16.263500000000001</v>
      </c>
      <c r="AA237" s="22">
        <v>-1.6119399999999999E-2</v>
      </c>
      <c r="AB237" s="22">
        <v>227</v>
      </c>
      <c r="AC237" s="22">
        <v>0.53637699999999999</v>
      </c>
      <c r="AD237">
        <f t="shared" si="40"/>
        <v>19.900493827160492</v>
      </c>
      <c r="AE237">
        <f t="shared" si="41"/>
        <v>10.685709463950616</v>
      </c>
      <c r="AF237" s="9"/>
      <c r="AG237" s="22">
        <v>1.0430900000000001</v>
      </c>
      <c r="AH237" s="22">
        <v>19.841000000000001</v>
      </c>
      <c r="AI237" s="22">
        <v>-1.5240500000000001E-2</v>
      </c>
      <c r="AJ237" s="22">
        <v>227</v>
      </c>
      <c r="AK237" s="22">
        <v>1.0421800000000001</v>
      </c>
      <c r="AL237">
        <f t="shared" si="42"/>
        <v>18.815432098765431</v>
      </c>
      <c r="AM237">
        <f t="shared" si="43"/>
        <v>19.626189067901233</v>
      </c>
      <c r="AP237" s="9"/>
      <c r="AQ237" s="22">
        <v>0.53695700000000002</v>
      </c>
      <c r="AR237" s="22">
        <v>25.139700000000001</v>
      </c>
      <c r="AS237" s="22">
        <v>-1.60889E-2</v>
      </c>
      <c r="AT237" s="22">
        <v>227</v>
      </c>
      <c r="AU237" s="22">
        <v>0.53622400000000003</v>
      </c>
      <c r="AV237">
        <f t="shared" si="44"/>
        <v>19.862839506172836</v>
      </c>
      <c r="AW237">
        <f t="shared" si="45"/>
        <v>10.665490712716048</v>
      </c>
      <c r="AX237" s="9"/>
      <c r="AY237" s="22">
        <v>1.0430900000000001</v>
      </c>
      <c r="AZ237" s="22">
        <v>28.717199999999998</v>
      </c>
      <c r="BA237" s="22">
        <v>-1.52435E-2</v>
      </c>
      <c r="BB237" s="22">
        <v>227</v>
      </c>
      <c r="BC237" s="22">
        <v>1.0421800000000001</v>
      </c>
      <c r="BD237">
        <f t="shared" si="46"/>
        <v>18.819135802469134</v>
      </c>
      <c r="BE237">
        <f t="shared" si="47"/>
        <v>19.630052364197532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7.3905099999999999</v>
      </c>
      <c r="I238" s="22">
        <v>-1.61835E-2</v>
      </c>
      <c r="J238" s="22">
        <v>228</v>
      </c>
      <c r="K238" s="22">
        <v>0.53112800000000004</v>
      </c>
      <c r="L238">
        <f t="shared" si="36"/>
        <v>19.979629629629628</v>
      </c>
      <c r="M238">
        <f t="shared" si="37"/>
        <v>10.62758457222222</v>
      </c>
      <c r="N238" s="9"/>
      <c r="O238" s="22">
        <v>1.04813</v>
      </c>
      <c r="P238" s="22">
        <v>10.968</v>
      </c>
      <c r="Q238" s="22">
        <v>-1.5240500000000001E-2</v>
      </c>
      <c r="R238" s="22">
        <v>228</v>
      </c>
      <c r="S238" s="22">
        <v>1.0467500000000001</v>
      </c>
      <c r="T238">
        <f t="shared" si="38"/>
        <v>18.815432098765431</v>
      </c>
      <c r="U238">
        <f t="shared" si="39"/>
        <v>19.721018845679012</v>
      </c>
      <c r="X238" s="9"/>
      <c r="Y238" s="22">
        <v>0.53192099999999998</v>
      </c>
      <c r="Z238" s="22">
        <v>16.273599999999998</v>
      </c>
      <c r="AA238" s="22">
        <v>-1.6131599999999999E-2</v>
      </c>
      <c r="AB238" s="22">
        <v>228</v>
      </c>
      <c r="AC238" s="22">
        <v>0.531281</v>
      </c>
      <c r="AD238">
        <f t="shared" si="40"/>
        <v>19.915555555555553</v>
      </c>
      <c r="AE238">
        <f t="shared" si="41"/>
        <v>10.593502226666665</v>
      </c>
      <c r="AF238" s="9"/>
      <c r="AG238" s="22">
        <v>1.04813</v>
      </c>
      <c r="AH238" s="22">
        <v>19.850999999999999</v>
      </c>
      <c r="AI238" s="22">
        <v>-1.52283E-2</v>
      </c>
      <c r="AJ238" s="22">
        <v>228</v>
      </c>
      <c r="AK238" s="22">
        <v>1.0467500000000001</v>
      </c>
      <c r="AL238">
        <f t="shared" si="42"/>
        <v>18.80037037037037</v>
      </c>
      <c r="AM238">
        <f t="shared" si="43"/>
        <v>19.705232196296297</v>
      </c>
      <c r="AP238" s="9"/>
      <c r="AQ238" s="22">
        <v>0.53192099999999998</v>
      </c>
      <c r="AR238" s="22">
        <v>25.149699999999999</v>
      </c>
      <c r="AS238" s="22">
        <v>-1.61011E-2</v>
      </c>
      <c r="AT238" s="22">
        <v>228</v>
      </c>
      <c r="AU238" s="22">
        <v>0.53118900000000002</v>
      </c>
      <c r="AV238">
        <f t="shared" si="44"/>
        <v>19.877901234567901</v>
      </c>
      <c r="AW238">
        <f t="shared" si="45"/>
        <v>10.573473102592592</v>
      </c>
      <c r="AX238" s="9"/>
      <c r="AY238" s="22">
        <v>1.04813</v>
      </c>
      <c r="AZ238" s="22">
        <v>28.7272</v>
      </c>
      <c r="BA238" s="22">
        <v>-1.52313E-2</v>
      </c>
      <c r="BB238" s="22">
        <v>228</v>
      </c>
      <c r="BC238" s="22">
        <v>1.0473600000000001</v>
      </c>
      <c r="BD238">
        <f t="shared" si="46"/>
        <v>18.804074074074073</v>
      </c>
      <c r="BE238">
        <f t="shared" si="47"/>
        <v>19.709114159259258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7.4005799999999997</v>
      </c>
      <c r="I239" s="22">
        <v>-1.6192600000000001E-2</v>
      </c>
      <c r="J239" s="22">
        <v>229</v>
      </c>
      <c r="K239" s="22">
        <v>0.52609300000000003</v>
      </c>
      <c r="L239">
        <f t="shared" si="36"/>
        <v>19.990864197530865</v>
      </c>
      <c r="M239">
        <f t="shared" si="37"/>
        <v>10.532906473580246</v>
      </c>
      <c r="N239" s="9"/>
      <c r="O239" s="22">
        <v>1.0531600000000001</v>
      </c>
      <c r="P239" s="22">
        <v>10.9781</v>
      </c>
      <c r="Q239" s="22">
        <v>-1.52313E-2</v>
      </c>
      <c r="R239" s="22">
        <v>229</v>
      </c>
      <c r="S239" s="22">
        <v>1.0516399999999999</v>
      </c>
      <c r="T239">
        <f t="shared" si="38"/>
        <v>18.804074074074073</v>
      </c>
      <c r="U239">
        <f t="shared" si="39"/>
        <v>19.803698651851853</v>
      </c>
      <c r="X239" s="9"/>
      <c r="Y239" s="22">
        <v>0.52688599999999997</v>
      </c>
      <c r="Z239" s="22">
        <v>16.2836</v>
      </c>
      <c r="AA239" s="22">
        <v>-1.6140700000000001E-2</v>
      </c>
      <c r="AB239" s="22">
        <v>229</v>
      </c>
      <c r="AC239" s="22">
        <v>0.52630600000000005</v>
      </c>
      <c r="AD239">
        <f t="shared" si="40"/>
        <v>19.92679012345679</v>
      </c>
      <c r="AE239">
        <f t="shared" si="41"/>
        <v>10.499146740987653</v>
      </c>
      <c r="AF239" s="9"/>
      <c r="AG239" s="22">
        <v>1.0531600000000001</v>
      </c>
      <c r="AH239" s="22">
        <v>19.8611</v>
      </c>
      <c r="AI239" s="22">
        <v>-1.52222E-2</v>
      </c>
      <c r="AJ239" s="22">
        <v>229</v>
      </c>
      <c r="AK239" s="22">
        <v>1.0522499999999999</v>
      </c>
      <c r="AL239">
        <f t="shared" si="42"/>
        <v>18.792839506172839</v>
      </c>
      <c r="AM239">
        <f t="shared" si="43"/>
        <v>19.79186685432099</v>
      </c>
      <c r="AP239" s="9"/>
      <c r="AQ239" s="22">
        <v>0.52688599999999997</v>
      </c>
      <c r="AR239" s="22">
        <v>25.159800000000001</v>
      </c>
      <c r="AS239" s="22">
        <v>-1.6110200000000002E-2</v>
      </c>
      <c r="AT239" s="22">
        <v>229</v>
      </c>
      <c r="AU239" s="22">
        <v>0.52615400000000001</v>
      </c>
      <c r="AV239">
        <f t="shared" si="44"/>
        <v>19.889135802469134</v>
      </c>
      <c r="AW239">
        <f t="shared" si="45"/>
        <v>10.479307206419751</v>
      </c>
      <c r="AX239" s="9"/>
      <c r="AY239" s="22">
        <v>1.0531600000000001</v>
      </c>
      <c r="AZ239" s="22">
        <v>28.737300000000001</v>
      </c>
      <c r="BA239" s="22">
        <v>-1.52222E-2</v>
      </c>
      <c r="BB239" s="22">
        <v>229</v>
      </c>
      <c r="BC239" s="22">
        <v>1.0516399999999999</v>
      </c>
      <c r="BD239">
        <f t="shared" si="46"/>
        <v>18.792839506172839</v>
      </c>
      <c r="BE239">
        <f t="shared" si="47"/>
        <v>19.79186685432099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7.4106500000000004</v>
      </c>
      <c r="I240" s="22">
        <v>-1.6201799999999999E-2</v>
      </c>
      <c r="J240" s="22">
        <v>230</v>
      </c>
      <c r="K240" s="22">
        <v>0.52124000000000004</v>
      </c>
      <c r="L240">
        <f t="shared" si="36"/>
        <v>20.002222222222219</v>
      </c>
      <c r="M240">
        <f t="shared" si="37"/>
        <v>10.438179668888885</v>
      </c>
      <c r="N240" s="9"/>
      <c r="O240" s="22">
        <v>1.0582</v>
      </c>
      <c r="P240" s="22">
        <v>10.988099999999999</v>
      </c>
      <c r="Q240" s="22">
        <v>-1.5225199999999999E-2</v>
      </c>
      <c r="R240" s="22">
        <v>230</v>
      </c>
      <c r="S240" s="22">
        <v>1.0571299999999999</v>
      </c>
      <c r="T240">
        <f t="shared" si="38"/>
        <v>18.796543209876543</v>
      </c>
      <c r="U240">
        <f t="shared" si="39"/>
        <v>19.890502024691358</v>
      </c>
      <c r="X240" s="9"/>
      <c r="Y240" s="22">
        <v>0.52185099999999995</v>
      </c>
      <c r="Z240" s="22">
        <v>16.293700000000001</v>
      </c>
      <c r="AA240" s="22">
        <v>-1.6149899999999998E-2</v>
      </c>
      <c r="AB240" s="22">
        <v>230</v>
      </c>
      <c r="AC240" s="22">
        <v>0.52114899999999997</v>
      </c>
      <c r="AD240">
        <f t="shared" si="40"/>
        <v>19.938148148148144</v>
      </c>
      <c r="AE240">
        <f t="shared" si="41"/>
        <v>10.404742549259256</v>
      </c>
      <c r="AF240" s="9"/>
      <c r="AG240" s="22">
        <v>1.0582</v>
      </c>
      <c r="AH240" s="22">
        <v>19.871200000000002</v>
      </c>
      <c r="AI240" s="22">
        <v>-1.5213000000000001E-2</v>
      </c>
      <c r="AJ240" s="22">
        <v>230</v>
      </c>
      <c r="AK240" s="22">
        <v>1.0571299999999999</v>
      </c>
      <c r="AL240">
        <f t="shared" si="42"/>
        <v>18.781481481481482</v>
      </c>
      <c r="AM240">
        <f t="shared" si="43"/>
        <v>19.874563703703704</v>
      </c>
      <c r="AP240" s="9"/>
      <c r="AQ240" s="22">
        <v>0.52185099999999995</v>
      </c>
      <c r="AR240" s="22">
        <v>25.169899999999998</v>
      </c>
      <c r="AS240" s="22">
        <v>-1.6119399999999999E-2</v>
      </c>
      <c r="AT240" s="22">
        <v>230</v>
      </c>
      <c r="AU240" s="22">
        <v>0.52127100000000004</v>
      </c>
      <c r="AV240">
        <f t="shared" si="44"/>
        <v>19.900493827160492</v>
      </c>
      <c r="AW240">
        <f t="shared" si="45"/>
        <v>10.38509260419753</v>
      </c>
      <c r="AX240" s="9"/>
      <c r="AY240" s="22">
        <v>1.0582</v>
      </c>
      <c r="AZ240" s="22">
        <v>28.747399999999999</v>
      </c>
      <c r="BA240" s="22">
        <v>-1.5213000000000001E-2</v>
      </c>
      <c r="BB240" s="22">
        <v>230</v>
      </c>
      <c r="BC240" s="22">
        <v>1.0574300000000001</v>
      </c>
      <c r="BD240">
        <f t="shared" si="46"/>
        <v>18.781481481481482</v>
      </c>
      <c r="BE240">
        <f t="shared" si="47"/>
        <v>19.874563703703704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7.4207299999999998</v>
      </c>
      <c r="I241" s="22">
        <v>-1.62109E-2</v>
      </c>
      <c r="J241" s="22">
        <v>231</v>
      </c>
      <c r="K241" s="22">
        <v>0.51614400000000005</v>
      </c>
      <c r="L241">
        <f t="shared" si="36"/>
        <v>20.013456790123456</v>
      </c>
      <c r="M241">
        <f t="shared" si="37"/>
        <v>10.343254670987655</v>
      </c>
      <c r="N241" s="9"/>
      <c r="O241" s="22">
        <v>1.0632299999999999</v>
      </c>
      <c r="P241" s="22">
        <v>10.998200000000001</v>
      </c>
      <c r="Q241" s="22">
        <v>-1.52161E-2</v>
      </c>
      <c r="R241" s="22">
        <v>231</v>
      </c>
      <c r="S241" s="22">
        <v>1.0620099999999999</v>
      </c>
      <c r="T241">
        <f t="shared" si="38"/>
        <v>18.785308641975305</v>
      </c>
      <c r="U241">
        <f t="shared" si="39"/>
        <v>19.973103707407404</v>
      </c>
      <c r="X241" s="9"/>
      <c r="Y241" s="22">
        <v>0.51681500000000002</v>
      </c>
      <c r="Z241" s="22">
        <v>16.303799999999999</v>
      </c>
      <c r="AA241" s="22">
        <v>-1.6159099999999999E-2</v>
      </c>
      <c r="AB241" s="22">
        <v>231</v>
      </c>
      <c r="AC241" s="22">
        <v>0.51617400000000002</v>
      </c>
      <c r="AD241">
        <f t="shared" si="40"/>
        <v>19.949506172839506</v>
      </c>
      <c r="AE241">
        <f t="shared" si="41"/>
        <v>10.310204032716049</v>
      </c>
      <c r="AF241" s="9"/>
      <c r="AG241" s="22">
        <v>1.0632299999999999</v>
      </c>
      <c r="AH241" s="22">
        <v>19.8813</v>
      </c>
      <c r="AI241" s="22">
        <v>-1.52008E-2</v>
      </c>
      <c r="AJ241" s="22">
        <v>231</v>
      </c>
      <c r="AK241" s="22">
        <v>1.0623199999999999</v>
      </c>
      <c r="AL241">
        <f t="shared" si="42"/>
        <v>18.766419753086421</v>
      </c>
      <c r="AM241">
        <f t="shared" si="43"/>
        <v>19.953020474074073</v>
      </c>
      <c r="AP241" s="9"/>
      <c r="AQ241" s="22">
        <v>0.51681500000000002</v>
      </c>
      <c r="AR241" s="22">
        <v>25.18</v>
      </c>
      <c r="AS241" s="22">
        <v>-1.61285E-2</v>
      </c>
      <c r="AT241" s="22">
        <v>231</v>
      </c>
      <c r="AU241" s="22">
        <v>0.51599099999999998</v>
      </c>
      <c r="AV241">
        <f t="shared" si="44"/>
        <v>19.911728395061726</v>
      </c>
      <c r="AW241">
        <f t="shared" si="45"/>
        <v>10.290679910493827</v>
      </c>
      <c r="AX241" s="9"/>
      <c r="AY241" s="22">
        <v>1.0632299999999999</v>
      </c>
      <c r="AZ241" s="22">
        <v>28.757400000000001</v>
      </c>
      <c r="BA241" s="22">
        <v>-1.5203899999999999E-2</v>
      </c>
      <c r="BB241" s="22">
        <v>231</v>
      </c>
      <c r="BC241" s="22">
        <v>1.0620099999999999</v>
      </c>
      <c r="BD241">
        <f t="shared" si="46"/>
        <v>18.770246913580245</v>
      </c>
      <c r="BE241">
        <f t="shared" si="47"/>
        <v>19.957089625925921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7.4307999999999996</v>
      </c>
      <c r="I242" s="22">
        <v>-1.6220100000000001E-2</v>
      </c>
      <c r="J242" s="22">
        <v>232</v>
      </c>
      <c r="K242" s="22">
        <v>0.51119999999999999</v>
      </c>
      <c r="L242">
        <f t="shared" si="36"/>
        <v>20.024814814814814</v>
      </c>
      <c r="M242">
        <f t="shared" si="37"/>
        <v>10.248299725925925</v>
      </c>
      <c r="N242" s="9"/>
      <c r="O242" s="22">
        <v>1.0682700000000001</v>
      </c>
      <c r="P242" s="22">
        <v>11.0083</v>
      </c>
      <c r="Q242" s="22">
        <v>-1.5206900000000001E-2</v>
      </c>
      <c r="R242" s="22">
        <v>232</v>
      </c>
      <c r="S242" s="22">
        <v>1.06812</v>
      </c>
      <c r="T242">
        <f t="shared" si="38"/>
        <v>18.773950617283951</v>
      </c>
      <c r="U242">
        <f t="shared" si="39"/>
        <v>20.055648225925928</v>
      </c>
      <c r="X242" s="9"/>
      <c r="Y242" s="22">
        <v>0.51178000000000001</v>
      </c>
      <c r="Z242" s="22">
        <v>16.313800000000001</v>
      </c>
      <c r="AA242" s="22">
        <v>-1.61713E-2</v>
      </c>
      <c r="AB242" s="22">
        <v>232</v>
      </c>
      <c r="AC242" s="22">
        <v>0.51104700000000003</v>
      </c>
      <c r="AD242">
        <f t="shared" si="40"/>
        <v>19.964567901234567</v>
      </c>
      <c r="AE242">
        <f t="shared" si="41"/>
        <v>10.217466560493827</v>
      </c>
      <c r="AF242" s="9"/>
      <c r="AG242" s="22">
        <v>1.0682700000000001</v>
      </c>
      <c r="AH242" s="22">
        <v>19.891300000000001</v>
      </c>
      <c r="AI242" s="22">
        <v>-1.5191700000000001E-2</v>
      </c>
      <c r="AJ242" s="22">
        <v>232</v>
      </c>
      <c r="AK242" s="22">
        <v>1.0665899999999999</v>
      </c>
      <c r="AL242">
        <f t="shared" si="42"/>
        <v>18.755185185185184</v>
      </c>
      <c r="AM242">
        <f t="shared" si="43"/>
        <v>20.035601677777777</v>
      </c>
      <c r="AP242" s="9"/>
      <c r="AQ242" s="22">
        <v>0.51178000000000001</v>
      </c>
      <c r="AR242" s="22">
        <v>25.19</v>
      </c>
      <c r="AS242" s="22">
        <v>-1.6137700000000001E-2</v>
      </c>
      <c r="AT242" s="22">
        <v>232</v>
      </c>
      <c r="AU242" s="22">
        <v>0.51113900000000001</v>
      </c>
      <c r="AV242">
        <f t="shared" si="44"/>
        <v>19.923086419753087</v>
      </c>
      <c r="AW242">
        <f t="shared" si="45"/>
        <v>10.196237167901234</v>
      </c>
      <c r="AX242" s="9"/>
      <c r="AY242" s="22">
        <v>1.0682700000000001</v>
      </c>
      <c r="AZ242" s="22">
        <v>28.767499999999998</v>
      </c>
      <c r="BA242" s="22">
        <v>-1.51947E-2</v>
      </c>
      <c r="BB242" s="22">
        <v>232</v>
      </c>
      <c r="BC242" s="22">
        <v>1.0671999999999999</v>
      </c>
      <c r="BD242">
        <f t="shared" si="46"/>
        <v>18.758888888888887</v>
      </c>
      <c r="BE242">
        <f t="shared" si="47"/>
        <v>20.039558233333331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7.4408700000000003</v>
      </c>
      <c r="I243" s="22">
        <v>-1.62262E-2</v>
      </c>
      <c r="J243" s="22">
        <v>233</v>
      </c>
      <c r="K243" s="22">
        <v>0.50601200000000002</v>
      </c>
      <c r="L243">
        <f t="shared" si="36"/>
        <v>20.032345679012344</v>
      </c>
      <c r="M243">
        <f t="shared" si="37"/>
        <v>10.151270978765432</v>
      </c>
      <c r="N243" s="9"/>
      <c r="O243" s="22">
        <v>1.0732999999999999</v>
      </c>
      <c r="P243" s="22">
        <v>11.0184</v>
      </c>
      <c r="Q243" s="22">
        <v>-1.5197799999999999E-2</v>
      </c>
      <c r="R243" s="22">
        <v>233</v>
      </c>
      <c r="S243" s="22">
        <v>1.07178</v>
      </c>
      <c r="T243">
        <f t="shared" si="38"/>
        <v>18.762716049382714</v>
      </c>
      <c r="U243">
        <f t="shared" si="39"/>
        <v>20.138023135802467</v>
      </c>
      <c r="X243" s="9"/>
      <c r="Y243" s="22">
        <v>0.50674399999999997</v>
      </c>
      <c r="Z243" s="22">
        <v>16.323899999999998</v>
      </c>
      <c r="AA243" s="22">
        <v>-1.6180400000000001E-2</v>
      </c>
      <c r="AB243" s="22">
        <v>233</v>
      </c>
      <c r="AC243" s="22">
        <v>0.50619499999999995</v>
      </c>
      <c r="AD243">
        <f t="shared" si="40"/>
        <v>19.975802469135804</v>
      </c>
      <c r="AE243">
        <f t="shared" si="41"/>
        <v>10.122618046419753</v>
      </c>
      <c r="AF243" s="9"/>
      <c r="AG243" s="22">
        <v>1.0732999999999999</v>
      </c>
      <c r="AH243" s="22">
        <v>19.901399999999999</v>
      </c>
      <c r="AI243" s="22">
        <v>-1.51825E-2</v>
      </c>
      <c r="AJ243" s="22">
        <v>233</v>
      </c>
      <c r="AK243" s="22">
        <v>1.0726899999999999</v>
      </c>
      <c r="AL243">
        <f t="shared" si="42"/>
        <v>18.743827160493826</v>
      </c>
      <c r="AM243">
        <f t="shared" si="43"/>
        <v>20.117749691358021</v>
      </c>
      <c r="AP243" s="9"/>
      <c r="AQ243" s="22">
        <v>0.50674399999999997</v>
      </c>
      <c r="AR243" s="22">
        <v>25.200099999999999</v>
      </c>
      <c r="AS243" s="22">
        <v>-1.6146899999999999E-2</v>
      </c>
      <c r="AT243" s="22">
        <v>233</v>
      </c>
      <c r="AU243" s="22">
        <v>0.50604199999999999</v>
      </c>
      <c r="AV243">
        <f t="shared" si="44"/>
        <v>19.934444444444441</v>
      </c>
      <c r="AW243">
        <f t="shared" si="45"/>
        <v>10.101660115555553</v>
      </c>
      <c r="AX243" s="9"/>
      <c r="AY243" s="22">
        <v>1.0732999999999999</v>
      </c>
      <c r="AZ243" s="22">
        <v>28.7776</v>
      </c>
      <c r="BA243" s="22">
        <v>-1.5185499999999999E-2</v>
      </c>
      <c r="BB243" s="22">
        <v>233</v>
      </c>
      <c r="BC243" s="22">
        <v>1.0714699999999999</v>
      </c>
      <c r="BD243">
        <f t="shared" si="46"/>
        <v>18.747530864197529</v>
      </c>
      <c r="BE243">
        <f t="shared" si="47"/>
        <v>20.121724876543205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7.4509400000000001</v>
      </c>
      <c r="I244" s="22">
        <v>-1.6235400000000001E-2</v>
      </c>
      <c r="J244" s="22">
        <v>234</v>
      </c>
      <c r="K244" s="22">
        <v>0.50116000000000005</v>
      </c>
      <c r="L244">
        <f t="shared" si="36"/>
        <v>20.043703703703702</v>
      </c>
      <c r="M244">
        <f t="shared" si="37"/>
        <v>10.05610654148148</v>
      </c>
      <c r="N244" s="9"/>
      <c r="O244" s="22">
        <v>1.0783400000000001</v>
      </c>
      <c r="P244" s="22">
        <v>11.0284</v>
      </c>
      <c r="Q244" s="22">
        <v>-1.5191700000000001E-2</v>
      </c>
      <c r="R244" s="22">
        <v>234</v>
      </c>
      <c r="S244" s="22">
        <v>1.0772699999999999</v>
      </c>
      <c r="T244">
        <f t="shared" si="38"/>
        <v>18.755185185185184</v>
      </c>
      <c r="U244">
        <f t="shared" si="39"/>
        <v>20.224466392592593</v>
      </c>
      <c r="X244" s="9"/>
      <c r="Y244" s="22">
        <v>0.50170899999999996</v>
      </c>
      <c r="Z244" s="22">
        <v>16.334</v>
      </c>
      <c r="AA244" s="22">
        <v>-1.6189599999999998E-2</v>
      </c>
      <c r="AB244" s="22">
        <v>234</v>
      </c>
      <c r="AC244" s="22">
        <v>0.50091600000000003</v>
      </c>
      <c r="AD244">
        <f t="shared" si="40"/>
        <v>19.987160493827158</v>
      </c>
      <c r="AE244">
        <f t="shared" si="41"/>
        <v>10.027738304197529</v>
      </c>
      <c r="AF244" s="9"/>
      <c r="AG244" s="22">
        <v>1.0783400000000001</v>
      </c>
      <c r="AH244" s="22">
        <v>19.9115</v>
      </c>
      <c r="AI244" s="22">
        <v>-1.51764E-2</v>
      </c>
      <c r="AJ244" s="22">
        <v>234</v>
      </c>
      <c r="AK244" s="22">
        <v>1.07697</v>
      </c>
      <c r="AL244">
        <f t="shared" si="42"/>
        <v>18.736296296296295</v>
      </c>
      <c r="AM244">
        <f t="shared" si="43"/>
        <v>20.204097748148147</v>
      </c>
      <c r="AP244" s="9"/>
      <c r="AQ244" s="22">
        <v>0.50170899999999996</v>
      </c>
      <c r="AR244" s="22">
        <v>25.2102</v>
      </c>
      <c r="AS244" s="22">
        <v>-1.6159099999999999E-2</v>
      </c>
      <c r="AT244" s="22">
        <v>234</v>
      </c>
      <c r="AU244" s="22">
        <v>0.50112900000000005</v>
      </c>
      <c r="AV244">
        <f t="shared" si="44"/>
        <v>19.949506172839506</v>
      </c>
      <c r="AW244">
        <f t="shared" si="45"/>
        <v>10.008846792469134</v>
      </c>
      <c r="AX244" s="9"/>
      <c r="AY244" s="22">
        <v>1.0783400000000001</v>
      </c>
      <c r="AZ244" s="22">
        <v>28.787700000000001</v>
      </c>
      <c r="BA244" s="22">
        <v>-1.5179399999999999E-2</v>
      </c>
      <c r="BB244" s="22">
        <v>234</v>
      </c>
      <c r="BC244" s="22">
        <v>1.0772699999999999</v>
      </c>
      <c r="BD244">
        <f t="shared" si="46"/>
        <v>18.739999999999995</v>
      </c>
      <c r="BE244">
        <f t="shared" si="47"/>
        <v>20.208091599999996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7.4610099999999999</v>
      </c>
      <c r="I245" s="22">
        <v>-1.6244499999999999E-2</v>
      </c>
      <c r="J245" s="22">
        <v>235</v>
      </c>
      <c r="K245" s="22">
        <v>0.49597200000000002</v>
      </c>
      <c r="L245">
        <f t="shared" si="36"/>
        <v>20.054938271604936</v>
      </c>
      <c r="M245">
        <f t="shared" si="37"/>
        <v>9.9607664111111092</v>
      </c>
      <c r="N245" s="9"/>
      <c r="O245" s="22">
        <v>1.0833699999999999</v>
      </c>
      <c r="P245" s="22">
        <v>11.038500000000001</v>
      </c>
      <c r="Q245" s="22">
        <v>-1.51825E-2</v>
      </c>
      <c r="R245" s="22">
        <v>235</v>
      </c>
      <c r="S245" s="22">
        <v>1.08246</v>
      </c>
      <c r="T245">
        <f t="shared" si="38"/>
        <v>18.743827160493826</v>
      </c>
      <c r="U245">
        <f t="shared" si="39"/>
        <v>20.306500030864196</v>
      </c>
      <c r="X245" s="9"/>
      <c r="Y245" s="22">
        <v>0.496674</v>
      </c>
      <c r="Z245" s="22">
        <v>16.344100000000001</v>
      </c>
      <c r="AA245" s="22">
        <v>-1.61987E-2</v>
      </c>
      <c r="AB245" s="22">
        <v>235</v>
      </c>
      <c r="AC245" s="22">
        <v>0.495697</v>
      </c>
      <c r="AD245">
        <f t="shared" si="40"/>
        <v>19.998395061728392</v>
      </c>
      <c r="AE245">
        <f t="shared" si="41"/>
        <v>9.9326828688888877</v>
      </c>
      <c r="AF245" s="9"/>
      <c r="AG245" s="22">
        <v>1.0833699999999999</v>
      </c>
      <c r="AH245" s="22">
        <v>19.921500000000002</v>
      </c>
      <c r="AI245" s="22">
        <v>-1.51672E-2</v>
      </c>
      <c r="AJ245" s="22">
        <v>235</v>
      </c>
      <c r="AK245" s="22">
        <v>1.08185</v>
      </c>
      <c r="AL245">
        <f t="shared" si="42"/>
        <v>18.724938271604938</v>
      </c>
      <c r="AM245">
        <f t="shared" si="43"/>
        <v>20.28603637530864</v>
      </c>
      <c r="AP245" s="9"/>
      <c r="AQ245" s="22">
        <v>0.496674</v>
      </c>
      <c r="AR245" s="22">
        <v>25.220199999999998</v>
      </c>
      <c r="AS245" s="22">
        <v>-1.6168200000000001E-2</v>
      </c>
      <c r="AT245" s="22">
        <v>235</v>
      </c>
      <c r="AU245" s="22">
        <v>0.49594100000000002</v>
      </c>
      <c r="AV245">
        <f t="shared" si="44"/>
        <v>19.960740740740739</v>
      </c>
      <c r="AW245">
        <f t="shared" si="45"/>
        <v>9.9139809466666655</v>
      </c>
      <c r="AX245" s="9"/>
      <c r="AY245" s="22">
        <v>1.0833699999999999</v>
      </c>
      <c r="AZ245" s="22">
        <v>28.797699999999999</v>
      </c>
      <c r="BA245" s="22">
        <v>-1.5170299999999999E-2</v>
      </c>
      <c r="BB245" s="22">
        <v>235</v>
      </c>
      <c r="BC245" s="22">
        <v>1.0821499999999999</v>
      </c>
      <c r="BD245">
        <f t="shared" si="46"/>
        <v>18.728765432098765</v>
      </c>
      <c r="BE245">
        <f t="shared" si="47"/>
        <v>20.290182606172838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7.4710799999999997</v>
      </c>
      <c r="I246" s="22">
        <v>-1.6253699999999999E-2</v>
      </c>
      <c r="J246" s="22">
        <v>236</v>
      </c>
      <c r="K246" s="22">
        <v>0.49075299999999999</v>
      </c>
      <c r="L246">
        <f t="shared" si="36"/>
        <v>20.066296296296294</v>
      </c>
      <c r="M246">
        <f t="shared" si="37"/>
        <v>9.8653537785185179</v>
      </c>
      <c r="N246" s="9"/>
      <c r="O246" s="22">
        <v>1.0884100000000001</v>
      </c>
      <c r="P246" s="22">
        <v>11.0486</v>
      </c>
      <c r="Q246" s="22">
        <v>-1.5173300000000001E-2</v>
      </c>
      <c r="R246" s="22">
        <v>236</v>
      </c>
      <c r="S246" s="22">
        <v>1.08734</v>
      </c>
      <c r="T246">
        <f t="shared" si="38"/>
        <v>18.732469135802468</v>
      </c>
      <c r="U246">
        <f t="shared" si="39"/>
        <v>20.388606732098765</v>
      </c>
      <c r="X246" s="9"/>
      <c r="Y246" s="22">
        <v>0.49163800000000002</v>
      </c>
      <c r="Z246" s="22">
        <v>16.354099999999999</v>
      </c>
      <c r="AA246" s="22">
        <v>-1.6207900000000001E-2</v>
      </c>
      <c r="AB246" s="22">
        <v>236</v>
      </c>
      <c r="AC246" s="22">
        <v>0.49102800000000002</v>
      </c>
      <c r="AD246">
        <f t="shared" si="40"/>
        <v>20.009753086419753</v>
      </c>
      <c r="AE246">
        <f t="shared" si="41"/>
        <v>9.8375549879012354</v>
      </c>
      <c r="AF246" s="9"/>
      <c r="AG246" s="22">
        <v>1.0884100000000001</v>
      </c>
      <c r="AH246" s="22">
        <v>19.9316</v>
      </c>
      <c r="AI246" s="22">
        <v>-1.5155E-2</v>
      </c>
      <c r="AJ246" s="22">
        <v>236</v>
      </c>
      <c r="AK246" s="22">
        <v>1.08795</v>
      </c>
      <c r="AL246">
        <f t="shared" si="42"/>
        <v>18.709876543209877</v>
      </c>
      <c r="AM246">
        <f t="shared" si="43"/>
        <v>20.364016728395065</v>
      </c>
      <c r="AP246" s="9"/>
      <c r="AQ246" s="22">
        <v>0.49163800000000002</v>
      </c>
      <c r="AR246" s="22">
        <v>25.2303</v>
      </c>
      <c r="AS246" s="22">
        <v>-1.6177400000000002E-2</v>
      </c>
      <c r="AT246" s="22">
        <v>236</v>
      </c>
      <c r="AU246" s="22">
        <v>0.49096699999999999</v>
      </c>
      <c r="AV246">
        <f t="shared" si="44"/>
        <v>19.972098765432101</v>
      </c>
      <c r="AW246">
        <f t="shared" si="45"/>
        <v>9.819042692839508</v>
      </c>
      <c r="AX246" s="9"/>
      <c r="AY246" s="22">
        <v>1.0884100000000001</v>
      </c>
      <c r="AZ246" s="22">
        <v>28.8078</v>
      </c>
      <c r="BA246" s="22">
        <v>-1.51611E-2</v>
      </c>
      <c r="BB246" s="22">
        <v>236</v>
      </c>
      <c r="BC246" s="22">
        <v>1.08765</v>
      </c>
      <c r="BD246">
        <f t="shared" si="46"/>
        <v>18.717407407407403</v>
      </c>
      <c r="BE246">
        <f t="shared" si="47"/>
        <v>20.372213396296292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7.4811500000000004</v>
      </c>
      <c r="I247" s="22">
        <v>-1.6262800000000001E-2</v>
      </c>
      <c r="J247" s="22">
        <v>237</v>
      </c>
      <c r="K247" s="22">
        <v>0.48587000000000002</v>
      </c>
      <c r="L247">
        <f t="shared" si="36"/>
        <v>20.077530864197531</v>
      </c>
      <c r="M247">
        <f t="shared" si="37"/>
        <v>9.7697867511111109</v>
      </c>
      <c r="N247" s="9"/>
      <c r="O247" s="22">
        <v>1.09344</v>
      </c>
      <c r="P247" s="22">
        <v>11.0586</v>
      </c>
      <c r="Q247" s="22">
        <v>-1.5164199999999999E-2</v>
      </c>
      <c r="R247" s="22">
        <v>237</v>
      </c>
      <c r="S247" s="22">
        <v>1.09222</v>
      </c>
      <c r="T247">
        <f t="shared" si="38"/>
        <v>18.721234567901234</v>
      </c>
      <c r="U247">
        <f t="shared" si="39"/>
        <v>20.470546725925924</v>
      </c>
      <c r="X247" s="9"/>
      <c r="Y247" s="22">
        <v>0.48660300000000001</v>
      </c>
      <c r="Z247" s="22">
        <v>16.3642</v>
      </c>
      <c r="AA247" s="22">
        <v>-1.6213999999999999E-2</v>
      </c>
      <c r="AB247" s="22">
        <v>237</v>
      </c>
      <c r="AC247" s="22">
        <v>0.48590100000000003</v>
      </c>
      <c r="AD247">
        <f t="shared" si="40"/>
        <v>20.017283950617283</v>
      </c>
      <c r="AE247">
        <f t="shared" si="41"/>
        <v>9.7404704222222218</v>
      </c>
      <c r="AF247" s="9"/>
      <c r="AG247" s="22">
        <v>1.09344</v>
      </c>
      <c r="AH247" s="22">
        <v>19.941700000000001</v>
      </c>
      <c r="AI247" s="22">
        <v>-1.51459E-2</v>
      </c>
      <c r="AJ247" s="22">
        <v>237</v>
      </c>
      <c r="AK247" s="22">
        <v>1.09192</v>
      </c>
      <c r="AL247">
        <f t="shared" si="42"/>
        <v>18.698641975308643</v>
      </c>
      <c r="AM247">
        <f t="shared" si="43"/>
        <v>20.445843081481481</v>
      </c>
      <c r="AP247" s="9"/>
      <c r="AQ247" s="22">
        <v>0.48660300000000001</v>
      </c>
      <c r="AR247" s="22">
        <v>25.240400000000001</v>
      </c>
      <c r="AS247" s="22">
        <v>-1.6186499999999999E-2</v>
      </c>
      <c r="AT247" s="22">
        <v>237</v>
      </c>
      <c r="AU247" s="22">
        <v>0.48583999999999999</v>
      </c>
      <c r="AV247">
        <f t="shared" si="44"/>
        <v>19.983333333333331</v>
      </c>
      <c r="AW247">
        <f t="shared" si="45"/>
        <v>9.7239499499999997</v>
      </c>
      <c r="AX247" s="9"/>
      <c r="AY247" s="22">
        <v>1.09344</v>
      </c>
      <c r="AZ247" s="22">
        <v>28.817900000000002</v>
      </c>
      <c r="BA247" s="22">
        <v>-1.5155E-2</v>
      </c>
      <c r="BB247" s="22">
        <v>237</v>
      </c>
      <c r="BC247" s="22">
        <v>1.09253</v>
      </c>
      <c r="BD247">
        <f t="shared" si="46"/>
        <v>18.709876543209877</v>
      </c>
      <c r="BE247">
        <f t="shared" si="47"/>
        <v>20.458127407407407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7.4912200000000002</v>
      </c>
      <c r="I248" s="22">
        <v>-1.6275000000000001E-2</v>
      </c>
      <c r="J248" s="22">
        <v>238</v>
      </c>
      <c r="K248" s="22">
        <v>0.48098800000000003</v>
      </c>
      <c r="L248">
        <f t="shared" si="36"/>
        <v>20.092592592592592</v>
      </c>
      <c r="M248">
        <f t="shared" si="37"/>
        <v>9.6759295370370371</v>
      </c>
      <c r="N248" s="9"/>
      <c r="O248" s="22">
        <v>1.0984799999999999</v>
      </c>
      <c r="P248" s="22">
        <v>11.0687</v>
      </c>
      <c r="Q248" s="22">
        <v>-1.5155E-2</v>
      </c>
      <c r="R248" s="22">
        <v>238</v>
      </c>
      <c r="S248" s="22">
        <v>1.09772</v>
      </c>
      <c r="T248">
        <f t="shared" si="38"/>
        <v>18.709876543209877</v>
      </c>
      <c r="U248">
        <f t="shared" si="39"/>
        <v>20.552425185185182</v>
      </c>
      <c r="X248" s="9"/>
      <c r="Y248" s="22">
        <v>0.48156700000000002</v>
      </c>
      <c r="Z248" s="22">
        <v>16.374300000000002</v>
      </c>
      <c r="AA248" s="22">
        <v>-1.62262E-2</v>
      </c>
      <c r="AB248" s="22">
        <v>238</v>
      </c>
      <c r="AC248" s="22">
        <v>0.48107899999999998</v>
      </c>
      <c r="AD248">
        <f t="shared" si="40"/>
        <v>20.032345679012344</v>
      </c>
      <c r="AE248">
        <f t="shared" si="41"/>
        <v>9.6469166116049383</v>
      </c>
      <c r="AF248" s="9"/>
      <c r="AG248" s="22">
        <v>1.0984799999999999</v>
      </c>
      <c r="AH248" s="22">
        <v>19.951799999999999</v>
      </c>
      <c r="AI248" s="22">
        <v>-1.5136699999999999E-2</v>
      </c>
      <c r="AJ248" s="22">
        <v>238</v>
      </c>
      <c r="AK248" s="22">
        <v>1.09741</v>
      </c>
      <c r="AL248">
        <f t="shared" si="42"/>
        <v>18.687283950617282</v>
      </c>
      <c r="AM248">
        <f t="shared" si="43"/>
        <v>20.527607674074069</v>
      </c>
      <c r="AP248" s="9"/>
      <c r="AQ248" s="22">
        <v>0.48156700000000002</v>
      </c>
      <c r="AR248" s="22">
        <v>25.250399999999999</v>
      </c>
      <c r="AS248" s="22">
        <v>-1.6192600000000001E-2</v>
      </c>
      <c r="AT248" s="22">
        <v>238</v>
      </c>
      <c r="AU248" s="22">
        <v>0.48089599999999999</v>
      </c>
      <c r="AV248">
        <f t="shared" si="44"/>
        <v>19.990864197530865</v>
      </c>
      <c r="AW248">
        <f t="shared" si="45"/>
        <v>9.6269404990123473</v>
      </c>
      <c r="AX248" s="9"/>
      <c r="AY248" s="22">
        <v>1.0984799999999999</v>
      </c>
      <c r="AZ248" s="22">
        <v>28.8279</v>
      </c>
      <c r="BA248" s="22">
        <v>-1.51459E-2</v>
      </c>
      <c r="BB248" s="22">
        <v>238</v>
      </c>
      <c r="BC248" s="22">
        <v>1.09741</v>
      </c>
      <c r="BD248">
        <f t="shared" si="46"/>
        <v>18.698641975308643</v>
      </c>
      <c r="BE248">
        <f t="shared" si="47"/>
        <v>20.540084237037036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7.50129</v>
      </c>
      <c r="I249" s="22">
        <v>-1.62811E-2</v>
      </c>
      <c r="J249" s="22">
        <v>239</v>
      </c>
      <c r="K249" s="22">
        <v>0.47586099999999998</v>
      </c>
      <c r="L249">
        <f t="shared" si="36"/>
        <v>20.100123456790122</v>
      </c>
      <c r="M249">
        <f t="shared" si="37"/>
        <v>9.5783520311111108</v>
      </c>
      <c r="N249" s="9"/>
      <c r="O249" s="22">
        <v>1.1035200000000001</v>
      </c>
      <c r="P249" s="22">
        <v>11.078799999999999</v>
      </c>
      <c r="Q249" s="22">
        <v>-1.51459E-2</v>
      </c>
      <c r="R249" s="22">
        <v>239</v>
      </c>
      <c r="S249" s="22">
        <v>1.1029100000000001</v>
      </c>
      <c r="T249">
        <f t="shared" si="38"/>
        <v>18.698641975308643</v>
      </c>
      <c r="U249">
        <f t="shared" si="39"/>
        <v>20.634325392592594</v>
      </c>
      <c r="X249" s="9"/>
      <c r="Y249" s="22">
        <v>0.47653200000000001</v>
      </c>
      <c r="Z249" s="22">
        <v>16.3843</v>
      </c>
      <c r="AA249" s="22">
        <v>-1.6232300000000002E-2</v>
      </c>
      <c r="AB249" s="22">
        <v>239</v>
      </c>
      <c r="AC249" s="22">
        <v>0.47595199999999999</v>
      </c>
      <c r="AD249">
        <f t="shared" si="40"/>
        <v>20.039876543209878</v>
      </c>
      <c r="AE249">
        <f t="shared" si="41"/>
        <v>9.5496424488888891</v>
      </c>
      <c r="AF249" s="9"/>
      <c r="AG249" s="22">
        <v>1.1035200000000001</v>
      </c>
      <c r="AH249" s="22">
        <v>19.9618</v>
      </c>
      <c r="AI249" s="22">
        <v>-1.51276E-2</v>
      </c>
      <c r="AJ249" s="22">
        <v>239</v>
      </c>
      <c r="AK249" s="22">
        <v>1.10229</v>
      </c>
      <c r="AL249">
        <f t="shared" si="42"/>
        <v>18.676049382716048</v>
      </c>
      <c r="AM249">
        <f t="shared" si="43"/>
        <v>20.609394014814814</v>
      </c>
      <c r="AP249" s="9"/>
      <c r="AQ249" s="22">
        <v>0.47653200000000001</v>
      </c>
      <c r="AR249" s="22">
        <v>25.2605</v>
      </c>
      <c r="AS249" s="22">
        <v>-1.61987E-2</v>
      </c>
      <c r="AT249" s="22">
        <v>239</v>
      </c>
      <c r="AU249" s="22">
        <v>0.47589100000000001</v>
      </c>
      <c r="AV249">
        <f t="shared" si="44"/>
        <v>19.998395061728392</v>
      </c>
      <c r="AW249">
        <f t="shared" si="45"/>
        <v>9.5298751955555545</v>
      </c>
      <c r="AX249" s="9"/>
      <c r="AY249" s="22">
        <v>1.1035200000000001</v>
      </c>
      <c r="AZ249" s="22">
        <v>28.838000000000001</v>
      </c>
      <c r="BA249" s="22">
        <v>-1.5136699999999999E-2</v>
      </c>
      <c r="BB249" s="22">
        <v>239</v>
      </c>
      <c r="BC249" s="22">
        <v>1.1029100000000001</v>
      </c>
      <c r="BD249">
        <f t="shared" si="46"/>
        <v>18.687283950617282</v>
      </c>
      <c r="BE249">
        <f t="shared" si="47"/>
        <v>20.621791585185182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7.5113599999999998</v>
      </c>
      <c r="I250" s="22">
        <v>-1.6290300000000001E-2</v>
      </c>
      <c r="J250" s="22">
        <v>240</v>
      </c>
      <c r="K250" s="22">
        <v>0.47088600000000003</v>
      </c>
      <c r="L250">
        <f t="shared" si="36"/>
        <v>20.11148148148148</v>
      </c>
      <c r="M250">
        <f t="shared" si="37"/>
        <v>9.4825031840740728</v>
      </c>
      <c r="N250" s="9"/>
      <c r="O250" s="22">
        <v>1.1085499999999999</v>
      </c>
      <c r="P250" s="22">
        <v>11.088800000000001</v>
      </c>
      <c r="Q250" s="22">
        <v>-1.5136699999999999E-2</v>
      </c>
      <c r="R250" s="22">
        <v>240</v>
      </c>
      <c r="S250" s="22">
        <v>1.1077900000000001</v>
      </c>
      <c r="T250">
        <f t="shared" si="38"/>
        <v>18.687283950617282</v>
      </c>
      <c r="U250">
        <f t="shared" si="39"/>
        <v>20.715788623456785</v>
      </c>
      <c r="X250" s="9"/>
      <c r="Y250" s="22">
        <v>0.471497</v>
      </c>
      <c r="Z250" s="22">
        <v>16.394400000000001</v>
      </c>
      <c r="AA250" s="22">
        <v>-1.6244499999999999E-2</v>
      </c>
      <c r="AB250" s="22">
        <v>240</v>
      </c>
      <c r="AC250" s="22">
        <v>0.47097800000000001</v>
      </c>
      <c r="AD250">
        <f t="shared" si="40"/>
        <v>20.054938271604936</v>
      </c>
      <c r="AE250">
        <f t="shared" si="41"/>
        <v>9.4558432302469129</v>
      </c>
      <c r="AF250" s="9"/>
      <c r="AG250" s="22">
        <v>1.1085499999999999</v>
      </c>
      <c r="AH250" s="22">
        <v>19.971900000000002</v>
      </c>
      <c r="AI250" s="22">
        <v>-1.5118400000000001E-2</v>
      </c>
      <c r="AJ250" s="22">
        <v>240</v>
      </c>
      <c r="AK250" s="22">
        <v>1.1077900000000001</v>
      </c>
      <c r="AL250">
        <f t="shared" si="42"/>
        <v>18.66469135802469</v>
      </c>
      <c r="AM250">
        <f t="shared" si="43"/>
        <v>20.69074360493827</v>
      </c>
      <c r="AP250" s="9"/>
      <c r="AQ250" s="22">
        <v>0.471497</v>
      </c>
      <c r="AR250" s="22">
        <v>25.270600000000002</v>
      </c>
      <c r="AS250" s="22">
        <v>-1.6207900000000001E-2</v>
      </c>
      <c r="AT250" s="22">
        <v>240</v>
      </c>
      <c r="AU250" s="22">
        <v>0.47103899999999999</v>
      </c>
      <c r="AV250">
        <f t="shared" si="44"/>
        <v>20.009753086419753</v>
      </c>
      <c r="AW250">
        <f t="shared" si="45"/>
        <v>9.4345385509876536</v>
      </c>
      <c r="AX250" s="9"/>
      <c r="AY250" s="22">
        <v>1.1085499999999999</v>
      </c>
      <c r="AZ250" s="22">
        <v>28.848099999999999</v>
      </c>
      <c r="BA250" s="22">
        <v>-1.5124500000000001E-2</v>
      </c>
      <c r="BB250" s="22">
        <v>240</v>
      </c>
      <c r="BC250" s="22">
        <v>1.1071800000000001</v>
      </c>
      <c r="BD250">
        <f t="shared" si="46"/>
        <v>18.672222222222221</v>
      </c>
      <c r="BE250">
        <f t="shared" si="47"/>
        <v>20.69909194444444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7.5214400000000001</v>
      </c>
      <c r="I251" s="22">
        <v>-1.6299399999999999E-2</v>
      </c>
      <c r="J251" s="22">
        <v>241</v>
      </c>
      <c r="K251" s="22">
        <v>0.46582000000000001</v>
      </c>
      <c r="L251">
        <f t="shared" si="36"/>
        <v>20.122716049382714</v>
      </c>
      <c r="M251">
        <f t="shared" si="37"/>
        <v>9.3864622511111104</v>
      </c>
      <c r="N251" s="9"/>
      <c r="O251" s="22">
        <v>1.1135900000000001</v>
      </c>
      <c r="P251" s="22">
        <v>11.0989</v>
      </c>
      <c r="Q251" s="22">
        <v>-1.51276E-2</v>
      </c>
      <c r="R251" s="22">
        <v>241</v>
      </c>
      <c r="S251" s="22">
        <v>1.11267</v>
      </c>
      <c r="T251">
        <f t="shared" si="38"/>
        <v>18.676049382716048</v>
      </c>
      <c r="U251">
        <f t="shared" si="39"/>
        <v>20.797461832098765</v>
      </c>
      <c r="X251" s="9"/>
      <c r="Y251" s="22">
        <v>0.46646100000000001</v>
      </c>
      <c r="Z251" s="22">
        <v>16.404499999999999</v>
      </c>
      <c r="AA251" s="22">
        <v>-1.62506E-2</v>
      </c>
      <c r="AB251" s="22">
        <v>241</v>
      </c>
      <c r="AC251" s="22">
        <v>0.46575899999999998</v>
      </c>
      <c r="AD251">
        <f t="shared" si="40"/>
        <v>20.06246913580247</v>
      </c>
      <c r="AE251">
        <f t="shared" si="41"/>
        <v>9.3583594155555563</v>
      </c>
      <c r="AF251" s="9"/>
      <c r="AG251" s="22">
        <v>1.1135900000000001</v>
      </c>
      <c r="AH251" s="22">
        <v>19.981999999999999</v>
      </c>
      <c r="AI251" s="22">
        <v>-1.5109300000000001E-2</v>
      </c>
      <c r="AJ251" s="22">
        <v>241</v>
      </c>
      <c r="AK251" s="22">
        <v>1.1123700000000001</v>
      </c>
      <c r="AL251">
        <f t="shared" si="42"/>
        <v>18.653456790123457</v>
      </c>
      <c r="AM251">
        <f t="shared" si="43"/>
        <v>20.77230294691358</v>
      </c>
      <c r="AP251" s="9"/>
      <c r="AQ251" s="22">
        <v>0.46646100000000001</v>
      </c>
      <c r="AR251" s="22">
        <v>25.2807</v>
      </c>
      <c r="AS251" s="22">
        <v>-1.6216999999999999E-2</v>
      </c>
      <c r="AT251" s="22">
        <v>241</v>
      </c>
      <c r="AU251" s="22">
        <v>0.46575899999999998</v>
      </c>
      <c r="AV251">
        <f t="shared" si="44"/>
        <v>20.020987654320983</v>
      </c>
      <c r="AW251">
        <f t="shared" si="45"/>
        <v>9.3390099222222211</v>
      </c>
      <c r="AX251" s="9"/>
      <c r="AY251" s="22">
        <v>1.1135900000000001</v>
      </c>
      <c r="AZ251" s="22">
        <v>28.8581</v>
      </c>
      <c r="BA251" s="22">
        <v>-1.5115399999999999E-2</v>
      </c>
      <c r="BB251" s="22">
        <v>241</v>
      </c>
      <c r="BC251" s="22">
        <v>1.11267</v>
      </c>
      <c r="BD251">
        <f t="shared" si="46"/>
        <v>18.660987654320987</v>
      </c>
      <c r="BE251">
        <f t="shared" si="47"/>
        <v>20.78068924197531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7.5315099999999999</v>
      </c>
      <c r="I252" s="22">
        <v>-1.6308599999999999E-2</v>
      </c>
      <c r="J252" s="22">
        <v>242</v>
      </c>
      <c r="K252" s="22">
        <v>0.46093800000000001</v>
      </c>
      <c r="L252">
        <f t="shared" si="36"/>
        <v>20.134074074074071</v>
      </c>
      <c r="M252">
        <f t="shared" si="37"/>
        <v>9.290385263703703</v>
      </c>
      <c r="N252" s="9"/>
      <c r="O252" s="22">
        <v>1.1186199999999999</v>
      </c>
      <c r="P252" s="22">
        <v>11.109</v>
      </c>
      <c r="Q252" s="22">
        <v>-1.5118400000000001E-2</v>
      </c>
      <c r="R252" s="22">
        <v>242</v>
      </c>
      <c r="S252" s="22">
        <v>1.11755</v>
      </c>
      <c r="T252">
        <f t="shared" si="38"/>
        <v>18.66469135802469</v>
      </c>
      <c r="U252">
        <f t="shared" si="39"/>
        <v>20.87869704691358</v>
      </c>
      <c r="X252" s="9"/>
      <c r="Y252" s="22">
        <v>0.461426</v>
      </c>
      <c r="Z252" s="22">
        <v>16.4146</v>
      </c>
      <c r="AA252" s="22">
        <v>-1.6262800000000001E-2</v>
      </c>
      <c r="AB252" s="22">
        <v>242</v>
      </c>
      <c r="AC252" s="22">
        <v>0.460754</v>
      </c>
      <c r="AD252">
        <f t="shared" si="40"/>
        <v>20.077530864197531</v>
      </c>
      <c r="AE252">
        <f t="shared" si="41"/>
        <v>9.2642947565432099</v>
      </c>
      <c r="AF252" s="9"/>
      <c r="AG252" s="22">
        <v>1.1186199999999999</v>
      </c>
      <c r="AH252" s="22">
        <v>19.992000000000001</v>
      </c>
      <c r="AI252" s="22">
        <v>-1.51001E-2</v>
      </c>
      <c r="AJ252" s="22">
        <v>242</v>
      </c>
      <c r="AK252" s="22">
        <v>1.11755</v>
      </c>
      <c r="AL252">
        <f t="shared" si="42"/>
        <v>18.642098765432099</v>
      </c>
      <c r="AM252">
        <f t="shared" si="43"/>
        <v>20.853424520987655</v>
      </c>
      <c r="AP252" s="9"/>
      <c r="AQ252" s="22">
        <v>0.461426</v>
      </c>
      <c r="AR252" s="22">
        <v>25.290700000000001</v>
      </c>
      <c r="AS252" s="22">
        <v>-1.6229199999999999E-2</v>
      </c>
      <c r="AT252" s="22">
        <v>242</v>
      </c>
      <c r="AU252" s="22">
        <v>0.46069300000000002</v>
      </c>
      <c r="AV252">
        <f t="shared" si="44"/>
        <v>20.036049382716048</v>
      </c>
      <c r="AW252">
        <f t="shared" si="45"/>
        <v>9.2451541224691347</v>
      </c>
      <c r="AX252" s="9"/>
      <c r="AY252" s="22">
        <v>1.1186199999999999</v>
      </c>
      <c r="AZ252" s="22">
        <v>28.868200000000002</v>
      </c>
      <c r="BA252" s="22">
        <v>-1.51031E-2</v>
      </c>
      <c r="BB252" s="22">
        <v>242</v>
      </c>
      <c r="BC252" s="22">
        <v>1.11755</v>
      </c>
      <c r="BD252">
        <f t="shared" si="46"/>
        <v>18.645802469135798</v>
      </c>
      <c r="BE252">
        <f t="shared" si="47"/>
        <v>20.857567558024687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7.5415799999999997</v>
      </c>
      <c r="I253" s="22">
        <v>-1.6317700000000001E-2</v>
      </c>
      <c r="J253" s="22">
        <v>243</v>
      </c>
      <c r="K253" s="22">
        <v>0.455872</v>
      </c>
      <c r="L253">
        <f t="shared" si="36"/>
        <v>20.145308641975308</v>
      </c>
      <c r="M253">
        <f t="shared" si="37"/>
        <v>9.1941174111111117</v>
      </c>
      <c r="N253" s="9"/>
      <c r="O253" s="22">
        <v>1.1236600000000001</v>
      </c>
      <c r="P253" s="22">
        <v>11.1191</v>
      </c>
      <c r="Q253" s="22">
        <v>-1.5109300000000001E-2</v>
      </c>
      <c r="R253" s="22">
        <v>243</v>
      </c>
      <c r="S253" s="22">
        <v>1.1227400000000001</v>
      </c>
      <c r="T253">
        <f t="shared" si="38"/>
        <v>18.653456790123457</v>
      </c>
      <c r="U253">
        <f t="shared" si="39"/>
        <v>20.960143256790126</v>
      </c>
      <c r="X253" s="9"/>
      <c r="Y253" s="22">
        <v>0.45639000000000002</v>
      </c>
      <c r="Z253" s="22">
        <v>16.424600000000002</v>
      </c>
      <c r="AA253" s="22">
        <v>-1.6271999999999998E-2</v>
      </c>
      <c r="AB253" s="22">
        <v>243</v>
      </c>
      <c r="AC253" s="22">
        <v>0.45568799999999998</v>
      </c>
      <c r="AD253">
        <f t="shared" si="40"/>
        <v>20.088888888888885</v>
      </c>
      <c r="AE253">
        <f t="shared" si="41"/>
        <v>9.1683679999999992</v>
      </c>
      <c r="AF253" s="9"/>
      <c r="AG253" s="22">
        <v>1.1236600000000001</v>
      </c>
      <c r="AH253" s="22">
        <v>20.002099999999999</v>
      </c>
      <c r="AI253" s="22">
        <v>-1.5094E-2</v>
      </c>
      <c r="AJ253" s="22">
        <v>243</v>
      </c>
      <c r="AK253" s="22">
        <v>1.1230500000000001</v>
      </c>
      <c r="AL253">
        <f t="shared" si="42"/>
        <v>18.634567901234568</v>
      </c>
      <c r="AM253">
        <f t="shared" si="43"/>
        <v>20.938918567901236</v>
      </c>
      <c r="AP253" s="9"/>
      <c r="AQ253" s="22">
        <v>0.45639000000000002</v>
      </c>
      <c r="AR253" s="22">
        <v>25.300799999999999</v>
      </c>
      <c r="AS253" s="22">
        <v>-1.6241499999999999E-2</v>
      </c>
      <c r="AT253" s="22">
        <v>243</v>
      </c>
      <c r="AU253" s="22">
        <v>0.45568799999999998</v>
      </c>
      <c r="AV253">
        <f t="shared" si="44"/>
        <v>20.051234567901229</v>
      </c>
      <c r="AW253">
        <f t="shared" si="45"/>
        <v>9.151182944444443</v>
      </c>
      <c r="AX253" s="9"/>
      <c r="AY253" s="22">
        <v>1.1236600000000001</v>
      </c>
      <c r="AZ253" s="22">
        <v>28.878299999999999</v>
      </c>
      <c r="BA253" s="22">
        <v>-1.5094E-2</v>
      </c>
      <c r="BB253" s="22">
        <v>243</v>
      </c>
      <c r="BC253" s="22">
        <v>1.1227400000000001</v>
      </c>
      <c r="BD253">
        <f t="shared" si="46"/>
        <v>18.634567901234568</v>
      </c>
      <c r="BE253">
        <f t="shared" si="47"/>
        <v>20.938918567901236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7.5516500000000004</v>
      </c>
      <c r="I254" s="22">
        <v>-1.6326899999999998E-2</v>
      </c>
      <c r="J254" s="22">
        <v>244</v>
      </c>
      <c r="K254" s="22">
        <v>0.45080599999999998</v>
      </c>
      <c r="L254">
        <f t="shared" si="36"/>
        <v>20.156666666666663</v>
      </c>
      <c r="M254">
        <f t="shared" si="37"/>
        <v>9.0978122833333313</v>
      </c>
      <c r="N254" s="9"/>
      <c r="O254" s="22">
        <v>1.12869</v>
      </c>
      <c r="P254" s="22">
        <v>11.129099999999999</v>
      </c>
      <c r="Q254" s="22">
        <v>-1.51001E-2</v>
      </c>
      <c r="R254" s="22">
        <v>244</v>
      </c>
      <c r="S254" s="22">
        <v>1.1273200000000001</v>
      </c>
      <c r="T254">
        <f t="shared" si="38"/>
        <v>18.642098765432099</v>
      </c>
      <c r="U254">
        <f t="shared" si="39"/>
        <v>21.041150455555556</v>
      </c>
      <c r="X254" s="9"/>
      <c r="Y254" s="22">
        <v>0.45135500000000001</v>
      </c>
      <c r="Z254" s="22">
        <v>16.434699999999999</v>
      </c>
      <c r="AA254" s="22">
        <v>-1.62811E-2</v>
      </c>
      <c r="AB254" s="22">
        <v>244</v>
      </c>
      <c r="AC254" s="22">
        <v>0.450714</v>
      </c>
      <c r="AD254">
        <f t="shared" si="40"/>
        <v>20.100123456790122</v>
      </c>
      <c r="AE254">
        <f t="shared" si="41"/>
        <v>9.072291222839505</v>
      </c>
      <c r="AF254" s="9"/>
      <c r="AG254" s="22">
        <v>1.12869</v>
      </c>
      <c r="AH254" s="22">
        <v>20.0122</v>
      </c>
      <c r="AI254" s="22">
        <v>-1.5084800000000001E-2</v>
      </c>
      <c r="AJ254" s="22">
        <v>244</v>
      </c>
      <c r="AK254" s="22">
        <v>1.1276200000000001</v>
      </c>
      <c r="AL254">
        <f t="shared" si="42"/>
        <v>18.623209876543207</v>
      </c>
      <c r="AM254">
        <f t="shared" si="43"/>
        <v>21.019830755555553</v>
      </c>
      <c r="AP254" s="9"/>
      <c r="AQ254" s="22">
        <v>0.45135500000000001</v>
      </c>
      <c r="AR254" s="22">
        <v>25.3109</v>
      </c>
      <c r="AS254" s="22">
        <v>-1.6253699999999999E-2</v>
      </c>
      <c r="AT254" s="22">
        <v>244</v>
      </c>
      <c r="AU254" s="22">
        <v>0.45089699999999999</v>
      </c>
      <c r="AV254">
        <f t="shared" si="44"/>
        <v>20.066296296296294</v>
      </c>
      <c r="AW254">
        <f t="shared" si="45"/>
        <v>9.0570231648148134</v>
      </c>
      <c r="AX254" s="9"/>
      <c r="AY254" s="22">
        <v>1.12869</v>
      </c>
      <c r="AZ254" s="22">
        <v>28.888400000000001</v>
      </c>
      <c r="BA254" s="22">
        <v>-1.5081799999999999E-2</v>
      </c>
      <c r="BB254" s="22">
        <v>244</v>
      </c>
      <c r="BC254" s="22">
        <v>1.1279300000000001</v>
      </c>
      <c r="BD254">
        <f t="shared" si="46"/>
        <v>18.619506172839504</v>
      </c>
      <c r="BE254">
        <f t="shared" si="47"/>
        <v>21.015650422222219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7.5617200000000002</v>
      </c>
      <c r="I255" s="22">
        <v>-1.6336099999999999E-2</v>
      </c>
      <c r="J255" s="22">
        <v>245</v>
      </c>
      <c r="K255" s="22">
        <v>0.44552599999999998</v>
      </c>
      <c r="L255">
        <f t="shared" si="36"/>
        <v>20.168024691358024</v>
      </c>
      <c r="M255">
        <f t="shared" si="37"/>
        <v>9.0013927802469134</v>
      </c>
      <c r="N255" s="9"/>
      <c r="O255" s="22">
        <v>1.1337299999999999</v>
      </c>
      <c r="P255" s="22">
        <v>11.139200000000001</v>
      </c>
      <c r="Q255" s="22">
        <v>-1.5090900000000001E-2</v>
      </c>
      <c r="R255" s="22">
        <v>245</v>
      </c>
      <c r="S255" s="22">
        <v>1.1331199999999999</v>
      </c>
      <c r="T255">
        <f t="shared" si="38"/>
        <v>18.630740740740741</v>
      </c>
      <c r="U255">
        <f t="shared" si="39"/>
        <v>21.122229699999998</v>
      </c>
      <c r="X255" s="9"/>
      <c r="Y255" s="22">
        <v>0.44631999999999999</v>
      </c>
      <c r="Z255" s="22">
        <v>16.444800000000001</v>
      </c>
      <c r="AA255" s="22">
        <v>-1.6290300000000001E-2</v>
      </c>
      <c r="AB255" s="22">
        <v>245</v>
      </c>
      <c r="AC255" s="22">
        <v>0.44552599999999998</v>
      </c>
      <c r="AD255">
        <f t="shared" si="40"/>
        <v>20.11148148148148</v>
      </c>
      <c r="AE255">
        <f t="shared" si="41"/>
        <v>8.9761564148148132</v>
      </c>
      <c r="AF255" s="9"/>
      <c r="AG255" s="22">
        <v>1.1337299999999999</v>
      </c>
      <c r="AH255" s="22">
        <v>20.022200000000002</v>
      </c>
      <c r="AI255" s="22">
        <v>-1.50726E-2</v>
      </c>
      <c r="AJ255" s="22">
        <v>245</v>
      </c>
      <c r="AK255" s="22">
        <v>1.1322000000000001</v>
      </c>
      <c r="AL255">
        <f t="shared" si="42"/>
        <v>18.60814814814815</v>
      </c>
      <c r="AM255">
        <f t="shared" si="43"/>
        <v>21.096615799999999</v>
      </c>
      <c r="AP255" s="9"/>
      <c r="AQ255" s="22">
        <v>0.44631999999999999</v>
      </c>
      <c r="AR255" s="22">
        <v>25.320900000000002</v>
      </c>
      <c r="AS255" s="22">
        <v>-1.6262800000000001E-2</v>
      </c>
      <c r="AT255" s="22">
        <v>245</v>
      </c>
      <c r="AU255" s="22">
        <v>0.44561800000000001</v>
      </c>
      <c r="AV255">
        <f t="shared" si="44"/>
        <v>20.077530864197531</v>
      </c>
      <c r="AW255">
        <f t="shared" si="45"/>
        <v>8.9610035753086414</v>
      </c>
      <c r="AX255" s="9"/>
      <c r="AY255" s="22">
        <v>1.1337299999999999</v>
      </c>
      <c r="AZ255" s="22">
        <v>28.898399999999999</v>
      </c>
      <c r="BA255" s="22">
        <v>-1.50726E-2</v>
      </c>
      <c r="BB255" s="22">
        <v>245</v>
      </c>
      <c r="BC255" s="22">
        <v>1.1318999999999999</v>
      </c>
      <c r="BD255">
        <f t="shared" si="46"/>
        <v>18.60814814814815</v>
      </c>
      <c r="BE255">
        <f t="shared" si="47"/>
        <v>21.096615799999999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7.57179</v>
      </c>
      <c r="I256" s="22">
        <v>-1.6345200000000001E-2</v>
      </c>
      <c r="J256" s="22">
        <v>246</v>
      </c>
      <c r="K256" s="22">
        <v>0.44067400000000001</v>
      </c>
      <c r="L256">
        <f t="shared" si="36"/>
        <v>20.179259259259258</v>
      </c>
      <c r="M256">
        <f t="shared" si="37"/>
        <v>8.9047842429629629</v>
      </c>
      <c r="N256" s="9"/>
      <c r="O256" s="22">
        <v>1.13876</v>
      </c>
      <c r="P256" s="22">
        <v>11.1493</v>
      </c>
      <c r="Q256" s="22">
        <v>-1.5081799999999999E-2</v>
      </c>
      <c r="R256" s="22">
        <v>246</v>
      </c>
      <c r="S256" s="22">
        <v>1.1376999999999999</v>
      </c>
      <c r="T256">
        <f t="shared" si="38"/>
        <v>18.619506172839504</v>
      </c>
      <c r="U256">
        <f t="shared" si="39"/>
        <v>21.203148849382714</v>
      </c>
      <c r="X256" s="9"/>
      <c r="Y256" s="22">
        <v>0.44128400000000001</v>
      </c>
      <c r="Z256" s="22">
        <v>16.454799999999999</v>
      </c>
      <c r="AA256" s="22">
        <v>-1.6299399999999999E-2</v>
      </c>
      <c r="AB256" s="22">
        <v>246</v>
      </c>
      <c r="AC256" s="22">
        <v>0.44064300000000001</v>
      </c>
      <c r="AD256">
        <f t="shared" si="40"/>
        <v>20.122716049382714</v>
      </c>
      <c r="AE256">
        <f t="shared" si="41"/>
        <v>8.8798326291358016</v>
      </c>
      <c r="AF256" s="9"/>
      <c r="AG256" s="22">
        <v>1.13876</v>
      </c>
      <c r="AH256" s="22">
        <v>20.032299999999999</v>
      </c>
      <c r="AI256" s="22">
        <v>-1.50604E-2</v>
      </c>
      <c r="AJ256" s="22">
        <v>246</v>
      </c>
      <c r="AK256" s="22">
        <v>1.1379999999999999</v>
      </c>
      <c r="AL256">
        <f t="shared" si="42"/>
        <v>18.593086419753085</v>
      </c>
      <c r="AM256">
        <f t="shared" si="43"/>
        <v>21.173063091358024</v>
      </c>
      <c r="AP256" s="9"/>
      <c r="AQ256" s="22">
        <v>0.44128400000000001</v>
      </c>
      <c r="AR256" s="22">
        <v>25.331</v>
      </c>
      <c r="AS256" s="22">
        <v>-1.6271999999999998E-2</v>
      </c>
      <c r="AT256" s="22">
        <v>246</v>
      </c>
      <c r="AU256" s="22">
        <v>0.44064300000000001</v>
      </c>
      <c r="AV256">
        <f t="shared" si="44"/>
        <v>20.088888888888885</v>
      </c>
      <c r="AW256">
        <f t="shared" si="45"/>
        <v>8.8649052444444436</v>
      </c>
      <c r="AX256" s="9"/>
      <c r="AY256" s="22">
        <v>1.13876</v>
      </c>
      <c r="AZ256" s="22">
        <v>28.9085</v>
      </c>
      <c r="BA256" s="22">
        <v>-1.5063500000000001E-2</v>
      </c>
      <c r="BB256" s="22">
        <v>246</v>
      </c>
      <c r="BC256" s="22">
        <v>1.1379999999999999</v>
      </c>
      <c r="BD256">
        <f t="shared" si="46"/>
        <v>18.596913580246913</v>
      </c>
      <c r="BE256">
        <f t="shared" si="47"/>
        <v>21.177421308641975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7.5818599999999998</v>
      </c>
      <c r="I257" s="22">
        <v>-1.6354400000000002E-2</v>
      </c>
      <c r="J257" s="22">
        <v>247</v>
      </c>
      <c r="K257" s="22">
        <v>0.435394</v>
      </c>
      <c r="L257">
        <f t="shared" si="36"/>
        <v>20.190617283950619</v>
      </c>
      <c r="M257">
        <f t="shared" si="37"/>
        <v>8.8081365995061738</v>
      </c>
      <c r="N257" s="9"/>
      <c r="O257" s="22">
        <v>1.1437999999999999</v>
      </c>
      <c r="P257" s="22">
        <v>11.1593</v>
      </c>
      <c r="Q257" s="22">
        <v>-1.5069600000000001E-2</v>
      </c>
      <c r="R257" s="22">
        <v>247</v>
      </c>
      <c r="S257" s="22">
        <v>1.1428799999999999</v>
      </c>
      <c r="T257">
        <f t="shared" si="38"/>
        <v>18.604444444444443</v>
      </c>
      <c r="U257">
        <f t="shared" si="39"/>
        <v>21.279763555555551</v>
      </c>
      <c r="X257" s="9"/>
      <c r="Y257" s="22">
        <v>0.436249</v>
      </c>
      <c r="Z257" s="22">
        <v>16.4649</v>
      </c>
      <c r="AA257" s="22">
        <v>-1.6311599999999999E-2</v>
      </c>
      <c r="AB257" s="22">
        <v>247</v>
      </c>
      <c r="AC257" s="22">
        <v>0.43566899999999997</v>
      </c>
      <c r="AD257">
        <f t="shared" si="40"/>
        <v>20.137777777777774</v>
      </c>
      <c r="AE257">
        <f t="shared" si="41"/>
        <v>8.7850854177777755</v>
      </c>
      <c r="AF257" s="9"/>
      <c r="AG257" s="22">
        <v>1.1437999999999999</v>
      </c>
      <c r="AH257" s="22">
        <v>20.042400000000001</v>
      </c>
      <c r="AI257" s="22">
        <v>-1.50543E-2</v>
      </c>
      <c r="AJ257" s="22">
        <v>247</v>
      </c>
      <c r="AK257" s="22">
        <v>1.1428799999999999</v>
      </c>
      <c r="AL257">
        <f t="shared" si="42"/>
        <v>18.585555555555555</v>
      </c>
      <c r="AM257">
        <f t="shared" si="43"/>
        <v>21.258158444444444</v>
      </c>
      <c r="AP257" s="9"/>
      <c r="AQ257" s="22">
        <v>0.436249</v>
      </c>
      <c r="AR257" s="22">
        <v>25.341100000000001</v>
      </c>
      <c r="AS257" s="22">
        <v>-1.62781E-2</v>
      </c>
      <c r="AT257" s="22">
        <v>247</v>
      </c>
      <c r="AU257" s="22">
        <v>0.435394</v>
      </c>
      <c r="AV257">
        <f t="shared" si="44"/>
        <v>20.096419753086419</v>
      </c>
      <c r="AW257">
        <f t="shared" si="45"/>
        <v>8.7670430208641967</v>
      </c>
      <c r="AX257" s="9"/>
      <c r="AY257" s="22">
        <v>1.1437999999999999</v>
      </c>
      <c r="AZ257" s="22">
        <v>28.918600000000001</v>
      </c>
      <c r="BA257" s="22">
        <v>-1.50543E-2</v>
      </c>
      <c r="BB257" s="22">
        <v>247</v>
      </c>
      <c r="BC257" s="22">
        <v>1.1428799999999999</v>
      </c>
      <c r="BD257">
        <f t="shared" si="46"/>
        <v>18.585555555555555</v>
      </c>
      <c r="BE257">
        <f t="shared" si="47"/>
        <v>21.258158444444444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7.5919299999999996</v>
      </c>
      <c r="I258" s="22">
        <v>-1.63635E-2</v>
      </c>
      <c r="J258" s="22">
        <v>248</v>
      </c>
      <c r="K258" s="22">
        <v>0.430481</v>
      </c>
      <c r="L258">
        <f t="shared" si="36"/>
        <v>20.201851851851849</v>
      </c>
      <c r="M258">
        <f t="shared" si="37"/>
        <v>8.7113011425925908</v>
      </c>
      <c r="N258" s="9"/>
      <c r="O258" s="22">
        <v>1.14883</v>
      </c>
      <c r="P258" s="22">
        <v>11.1694</v>
      </c>
      <c r="Q258" s="22">
        <v>-1.50604E-2</v>
      </c>
      <c r="R258" s="22">
        <v>248</v>
      </c>
      <c r="S258" s="22">
        <v>1.14838</v>
      </c>
      <c r="T258">
        <f t="shared" si="38"/>
        <v>18.593086419753085</v>
      </c>
      <c r="U258">
        <f t="shared" si="39"/>
        <v>21.360295471604939</v>
      </c>
      <c r="X258" s="9"/>
      <c r="Y258" s="22">
        <v>0.43121300000000001</v>
      </c>
      <c r="Z258" s="22">
        <v>16.475000000000001</v>
      </c>
      <c r="AA258" s="22">
        <v>-1.63208E-2</v>
      </c>
      <c r="AB258" s="22">
        <v>248</v>
      </c>
      <c r="AC258" s="22">
        <v>0.43051099999999998</v>
      </c>
      <c r="AD258">
        <f t="shared" si="40"/>
        <v>20.149135802469136</v>
      </c>
      <c r="AE258">
        <f t="shared" si="41"/>
        <v>8.6885692967901242</v>
      </c>
      <c r="AF258" s="9"/>
      <c r="AG258" s="22">
        <v>1.14883</v>
      </c>
      <c r="AH258" s="22">
        <v>20.052499999999998</v>
      </c>
      <c r="AI258" s="22">
        <v>-1.5048199999999999E-2</v>
      </c>
      <c r="AJ258" s="22">
        <v>248</v>
      </c>
      <c r="AK258" s="22">
        <v>1.1474599999999999</v>
      </c>
      <c r="AL258">
        <f t="shared" si="42"/>
        <v>18.578024691358021</v>
      </c>
      <c r="AM258">
        <f t="shared" si="43"/>
        <v>21.342992106172836</v>
      </c>
      <c r="AP258" s="9"/>
      <c r="AQ258" s="22">
        <v>0.43121300000000001</v>
      </c>
      <c r="AR258" s="22">
        <v>25.351199999999999</v>
      </c>
      <c r="AS258" s="22">
        <v>-1.6287200000000002E-2</v>
      </c>
      <c r="AT258" s="22">
        <v>248</v>
      </c>
      <c r="AU258" s="22">
        <v>0.430481</v>
      </c>
      <c r="AV258">
        <f t="shared" si="44"/>
        <v>20.107654320987656</v>
      </c>
      <c r="AW258">
        <f t="shared" si="45"/>
        <v>8.6706819427160511</v>
      </c>
      <c r="AX258" s="9"/>
      <c r="AY258" s="22">
        <v>1.14883</v>
      </c>
      <c r="AZ258" s="22">
        <v>28.928599999999999</v>
      </c>
      <c r="BA258" s="22">
        <v>-1.50452E-2</v>
      </c>
      <c r="BB258" s="22">
        <v>248</v>
      </c>
      <c r="BC258" s="22">
        <v>1.1486799999999999</v>
      </c>
      <c r="BD258">
        <f t="shared" si="46"/>
        <v>18.574320987654321</v>
      </c>
      <c r="BE258">
        <f t="shared" si="47"/>
        <v>21.338737180246913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7.6020000000000003</v>
      </c>
      <c r="I259" s="22">
        <v>-1.63727E-2</v>
      </c>
      <c r="J259" s="22">
        <v>249</v>
      </c>
      <c r="K259" s="22">
        <v>0.42541499999999999</v>
      </c>
      <c r="L259">
        <f t="shared" si="36"/>
        <v>20.21320987654321</v>
      </c>
      <c r="M259">
        <f t="shared" si="37"/>
        <v>8.6144253587654323</v>
      </c>
      <c r="N259" s="9"/>
      <c r="O259" s="22">
        <v>1.15387</v>
      </c>
      <c r="P259" s="22">
        <v>11.179500000000001</v>
      </c>
      <c r="Q259" s="22">
        <v>-1.50513E-2</v>
      </c>
      <c r="R259" s="22">
        <v>249</v>
      </c>
      <c r="S259" s="22">
        <v>1.1529499999999999</v>
      </c>
      <c r="T259">
        <f t="shared" si="38"/>
        <v>18.581851851851848</v>
      </c>
      <c r="U259">
        <f t="shared" si="39"/>
        <v>21.441041396296292</v>
      </c>
      <c r="X259" s="9"/>
      <c r="Y259" s="22">
        <v>0.426178</v>
      </c>
      <c r="Z259" s="22">
        <v>16.484999999999999</v>
      </c>
      <c r="AA259" s="22">
        <v>-1.6326899999999998E-2</v>
      </c>
      <c r="AB259" s="22">
        <v>249</v>
      </c>
      <c r="AC259" s="22">
        <v>0.42547600000000002</v>
      </c>
      <c r="AD259">
        <f t="shared" si="40"/>
        <v>20.156666666666663</v>
      </c>
      <c r="AE259">
        <f t="shared" si="41"/>
        <v>8.5903278866666657</v>
      </c>
      <c r="AF259" s="9"/>
      <c r="AG259" s="22">
        <v>1.15387</v>
      </c>
      <c r="AH259" s="22">
        <v>20.0625</v>
      </c>
      <c r="AI259" s="22">
        <v>-1.50391E-2</v>
      </c>
      <c r="AJ259" s="22">
        <v>249</v>
      </c>
      <c r="AK259" s="22">
        <v>1.1529499999999999</v>
      </c>
      <c r="AL259">
        <f t="shared" si="42"/>
        <v>18.566790123456791</v>
      </c>
      <c r="AM259">
        <f t="shared" si="43"/>
        <v>21.423662119753086</v>
      </c>
      <c r="AP259" s="9"/>
      <c r="AQ259" s="22">
        <v>0.426178</v>
      </c>
      <c r="AR259" s="22">
        <v>25.3612</v>
      </c>
      <c r="AS259" s="22">
        <v>-1.6296399999999999E-2</v>
      </c>
      <c r="AT259" s="22">
        <v>249</v>
      </c>
      <c r="AU259" s="22">
        <v>0.42569000000000001</v>
      </c>
      <c r="AV259">
        <f t="shared" si="44"/>
        <v>20.119012345679007</v>
      </c>
      <c r="AW259">
        <f t="shared" si="45"/>
        <v>8.5742804434567876</v>
      </c>
      <c r="AX259" s="9"/>
      <c r="AY259" s="22">
        <v>1.15387</v>
      </c>
      <c r="AZ259" s="22">
        <v>28.938700000000001</v>
      </c>
      <c r="BA259" s="22">
        <v>-1.5036000000000001E-2</v>
      </c>
      <c r="BB259" s="22">
        <v>249</v>
      </c>
      <c r="BC259" s="22">
        <v>1.15387</v>
      </c>
      <c r="BD259">
        <f t="shared" si="46"/>
        <v>18.562962962962963</v>
      </c>
      <c r="BE259">
        <f t="shared" si="47"/>
        <v>21.419246074074074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7.6120700000000001</v>
      </c>
      <c r="I260" s="22">
        <v>-1.6381799999999998E-2</v>
      </c>
      <c r="J260" s="22">
        <v>250</v>
      </c>
      <c r="K260" s="22">
        <v>0.42044100000000001</v>
      </c>
      <c r="L260">
        <f t="shared" si="36"/>
        <v>20.22444444444444</v>
      </c>
      <c r="M260">
        <f t="shared" si="37"/>
        <v>8.5173832066666648</v>
      </c>
      <c r="N260" s="9"/>
      <c r="O260" s="22">
        <v>1.1589100000000001</v>
      </c>
      <c r="P260" s="22">
        <v>11.1896</v>
      </c>
      <c r="Q260" s="22">
        <v>-1.5042099999999999E-2</v>
      </c>
      <c r="R260" s="22">
        <v>250</v>
      </c>
      <c r="S260" s="22">
        <v>1.15784</v>
      </c>
      <c r="T260">
        <f t="shared" si="38"/>
        <v>18.570493827160494</v>
      </c>
      <c r="U260">
        <f t="shared" si="39"/>
        <v>21.521531001234571</v>
      </c>
      <c r="X260" s="9"/>
      <c r="Y260" s="22">
        <v>0.42114299999999999</v>
      </c>
      <c r="Z260" s="22">
        <v>16.495100000000001</v>
      </c>
      <c r="AA260" s="22">
        <v>-1.6333E-2</v>
      </c>
      <c r="AB260" s="22">
        <v>250</v>
      </c>
      <c r="AC260" s="22">
        <v>0.42047099999999998</v>
      </c>
      <c r="AD260">
        <f t="shared" si="40"/>
        <v>20.164197530864197</v>
      </c>
      <c r="AE260">
        <f t="shared" si="41"/>
        <v>8.492010640740741</v>
      </c>
      <c r="AF260" s="9"/>
      <c r="AG260" s="22">
        <v>1.1589100000000001</v>
      </c>
      <c r="AH260" s="22">
        <v>20.072600000000001</v>
      </c>
      <c r="AI260" s="22">
        <v>-1.5029900000000001E-2</v>
      </c>
      <c r="AJ260" s="22">
        <v>250</v>
      </c>
      <c r="AK260" s="22">
        <v>1.1581399999999999</v>
      </c>
      <c r="AL260">
        <f t="shared" si="42"/>
        <v>18.555432098765429</v>
      </c>
      <c r="AM260">
        <f t="shared" si="43"/>
        <v>21.504075813580247</v>
      </c>
      <c r="AP260" s="9"/>
      <c r="AQ260" s="22">
        <v>0.42114299999999999</v>
      </c>
      <c r="AR260" s="22">
        <v>25.371300000000002</v>
      </c>
      <c r="AS260" s="22">
        <v>-1.6305500000000001E-2</v>
      </c>
      <c r="AT260" s="22">
        <v>250</v>
      </c>
      <c r="AU260" s="22">
        <v>0.42053200000000002</v>
      </c>
      <c r="AV260">
        <f t="shared" si="44"/>
        <v>20.130246913580248</v>
      </c>
      <c r="AW260">
        <f t="shared" si="45"/>
        <v>8.477712575925926</v>
      </c>
      <c r="AX260" s="9"/>
      <c r="AY260" s="22">
        <v>1.1589100000000001</v>
      </c>
      <c r="AZ260" s="22">
        <v>28.948799999999999</v>
      </c>
      <c r="BA260" s="22">
        <v>-1.5026899999999999E-2</v>
      </c>
      <c r="BB260" s="22">
        <v>250</v>
      </c>
      <c r="BC260" s="22">
        <v>1.15784</v>
      </c>
      <c r="BD260">
        <f t="shared" si="46"/>
        <v>18.551728395061726</v>
      </c>
      <c r="BE260">
        <f t="shared" si="47"/>
        <v>21.499783554320988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7.6221500000000004</v>
      </c>
      <c r="I261" s="22">
        <v>-1.6390999999999999E-2</v>
      </c>
      <c r="J261" s="22">
        <v>251</v>
      </c>
      <c r="K261" s="22">
        <v>0.41549700000000001</v>
      </c>
      <c r="L261">
        <f t="shared" si="36"/>
        <v>20.235802469135802</v>
      </c>
      <c r="M261">
        <f t="shared" si="37"/>
        <v>8.4202590580246905</v>
      </c>
      <c r="N261" s="9"/>
      <c r="O261" s="22">
        <v>1.16394</v>
      </c>
      <c r="P261" s="22">
        <v>11.1996</v>
      </c>
      <c r="Q261" s="22">
        <v>-1.5029900000000001E-2</v>
      </c>
      <c r="R261" s="22">
        <v>251</v>
      </c>
      <c r="S261" s="22">
        <v>1.1630199999999999</v>
      </c>
      <c r="T261">
        <f t="shared" si="38"/>
        <v>18.555432098765429</v>
      </c>
      <c r="U261">
        <f t="shared" si="39"/>
        <v>21.597409637037032</v>
      </c>
      <c r="X261" s="9"/>
      <c r="Y261" s="22">
        <v>0.416107</v>
      </c>
      <c r="Z261" s="22">
        <v>16.505199999999999</v>
      </c>
      <c r="AA261" s="22">
        <v>-1.6342200000000001E-2</v>
      </c>
      <c r="AB261" s="22">
        <v>251</v>
      </c>
      <c r="AC261" s="22">
        <v>0.41555799999999998</v>
      </c>
      <c r="AD261">
        <f t="shared" si="40"/>
        <v>20.175555555555555</v>
      </c>
      <c r="AE261">
        <f t="shared" si="41"/>
        <v>8.3951898955555553</v>
      </c>
      <c r="AF261" s="9"/>
      <c r="AG261" s="22">
        <v>1.16394</v>
      </c>
      <c r="AH261" s="22">
        <v>20.082699999999999</v>
      </c>
      <c r="AI261" s="22">
        <v>-1.5014599999999999E-2</v>
      </c>
      <c r="AJ261" s="22">
        <v>251</v>
      </c>
      <c r="AK261" s="22">
        <v>1.1630199999999999</v>
      </c>
      <c r="AL261">
        <f t="shared" si="42"/>
        <v>18.536543209876541</v>
      </c>
      <c r="AM261">
        <f t="shared" si="43"/>
        <v>21.5754241037037</v>
      </c>
      <c r="AP261" s="9"/>
      <c r="AQ261" s="22">
        <v>0.416107</v>
      </c>
      <c r="AR261" s="22">
        <v>25.381399999999999</v>
      </c>
      <c r="AS261" s="22">
        <v>-1.6317700000000001E-2</v>
      </c>
      <c r="AT261" s="22">
        <v>251</v>
      </c>
      <c r="AU261" s="22">
        <v>0.41525299999999998</v>
      </c>
      <c r="AV261">
        <f t="shared" si="44"/>
        <v>20.145308641975308</v>
      </c>
      <c r="AW261">
        <f t="shared" si="45"/>
        <v>8.3826039430864192</v>
      </c>
      <c r="AX261" s="9"/>
      <c r="AY261" s="22">
        <v>1.16394</v>
      </c>
      <c r="AZ261" s="22">
        <v>28.9589</v>
      </c>
      <c r="BA261" s="22">
        <v>-1.50177E-2</v>
      </c>
      <c r="BB261" s="22">
        <v>251</v>
      </c>
      <c r="BC261" s="22">
        <v>1.1630199999999999</v>
      </c>
      <c r="BD261">
        <f t="shared" si="46"/>
        <v>18.540370370370372</v>
      </c>
      <c r="BE261">
        <f t="shared" si="47"/>
        <v>21.57987868888889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7.6322200000000002</v>
      </c>
      <c r="I262" s="22">
        <v>-1.6400100000000001E-2</v>
      </c>
      <c r="J262" s="22">
        <v>252</v>
      </c>
      <c r="K262" s="22">
        <v>0.41037000000000001</v>
      </c>
      <c r="L262">
        <f t="shared" si="36"/>
        <v>20.247037037037035</v>
      </c>
      <c r="M262">
        <f t="shared" si="37"/>
        <v>8.3229900088888886</v>
      </c>
      <c r="N262" s="9"/>
      <c r="O262" s="22">
        <v>1.1689799999999999</v>
      </c>
      <c r="P262" s="22">
        <v>11.2097</v>
      </c>
      <c r="Q262" s="22">
        <v>-1.50177E-2</v>
      </c>
      <c r="R262" s="22">
        <v>252</v>
      </c>
      <c r="S262" s="22">
        <v>1.1676</v>
      </c>
      <c r="T262">
        <f t="shared" si="38"/>
        <v>18.540370370370372</v>
      </c>
      <c r="U262">
        <f t="shared" si="39"/>
        <v>21.673322155555557</v>
      </c>
      <c r="X262" s="9"/>
      <c r="Y262" s="22">
        <v>0.41107199999999999</v>
      </c>
      <c r="Z262" s="22">
        <v>16.5153</v>
      </c>
      <c r="AA262" s="22">
        <v>-1.6351299999999999E-2</v>
      </c>
      <c r="AB262" s="22">
        <v>252</v>
      </c>
      <c r="AC262" s="22">
        <v>0.41033900000000001</v>
      </c>
      <c r="AD262">
        <f t="shared" si="40"/>
        <v>20.186790123456785</v>
      </c>
      <c r="AE262">
        <f t="shared" si="41"/>
        <v>8.2982241896296269</v>
      </c>
      <c r="AF262" s="9"/>
      <c r="AG262" s="22">
        <v>1.1689799999999999</v>
      </c>
      <c r="AH262" s="22">
        <v>20.092700000000001</v>
      </c>
      <c r="AI262" s="22">
        <v>-1.5008499999999999E-2</v>
      </c>
      <c r="AJ262" s="22">
        <v>252</v>
      </c>
      <c r="AK262" s="22">
        <v>1.16852</v>
      </c>
      <c r="AL262">
        <f t="shared" si="42"/>
        <v>18.529012345679011</v>
      </c>
      <c r="AM262">
        <f t="shared" si="43"/>
        <v>21.660044851851847</v>
      </c>
      <c r="AP262" s="9"/>
      <c r="AQ262" s="22">
        <v>0.41107199999999999</v>
      </c>
      <c r="AR262" s="22">
        <v>25.391400000000001</v>
      </c>
      <c r="AS262" s="22">
        <v>-1.6326899999999998E-2</v>
      </c>
      <c r="AT262" s="22">
        <v>252</v>
      </c>
      <c r="AU262" s="22">
        <v>0.41046100000000002</v>
      </c>
      <c r="AV262">
        <f t="shared" si="44"/>
        <v>20.156666666666663</v>
      </c>
      <c r="AW262">
        <f t="shared" si="45"/>
        <v>8.2858412799999979</v>
      </c>
      <c r="AX262" s="9"/>
      <c r="AY262" s="22">
        <v>1.1689799999999999</v>
      </c>
      <c r="AZ262" s="22">
        <v>28.968900000000001</v>
      </c>
      <c r="BA262" s="22">
        <v>-1.5008499999999999E-2</v>
      </c>
      <c r="BB262" s="22">
        <v>252</v>
      </c>
      <c r="BC262" s="22">
        <v>1.16821</v>
      </c>
      <c r="BD262">
        <f t="shared" si="46"/>
        <v>18.529012345679011</v>
      </c>
      <c r="BE262">
        <f t="shared" si="47"/>
        <v>21.660044851851847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7.64229</v>
      </c>
      <c r="I263" s="22">
        <v>-1.6406299999999999E-2</v>
      </c>
      <c r="J263" s="22">
        <v>253</v>
      </c>
      <c r="K263" s="22">
        <v>0.40539599999999998</v>
      </c>
      <c r="L263">
        <f t="shared" si="36"/>
        <v>20.254691358024687</v>
      </c>
      <c r="M263">
        <f t="shared" si="37"/>
        <v>8.2241338602469121</v>
      </c>
      <c r="N263" s="9"/>
      <c r="O263" s="22">
        <v>1.17401</v>
      </c>
      <c r="P263" s="22">
        <v>11.219799999999999</v>
      </c>
      <c r="Q263" s="22">
        <v>-1.50055E-2</v>
      </c>
      <c r="R263" s="22">
        <v>253</v>
      </c>
      <c r="S263" s="22">
        <v>1.17279</v>
      </c>
      <c r="T263">
        <f t="shared" si="38"/>
        <v>18.525308641975307</v>
      </c>
      <c r="U263">
        <f t="shared" si="39"/>
        <v>21.748897598765431</v>
      </c>
      <c r="X263" s="9"/>
      <c r="Y263" s="22">
        <v>0.40603600000000001</v>
      </c>
      <c r="Z263" s="22">
        <v>16.525300000000001</v>
      </c>
      <c r="AA263" s="22">
        <v>-1.63605E-2</v>
      </c>
      <c r="AB263" s="22">
        <v>253</v>
      </c>
      <c r="AC263" s="22">
        <v>0.40536499999999998</v>
      </c>
      <c r="AD263">
        <f t="shared" si="40"/>
        <v>20.198148148148146</v>
      </c>
      <c r="AE263">
        <f t="shared" si="41"/>
        <v>8.2011752814814809</v>
      </c>
      <c r="AF263" s="9"/>
      <c r="AG263" s="22">
        <v>1.17401</v>
      </c>
      <c r="AH263" s="22">
        <v>20.102799999999998</v>
      </c>
      <c r="AI263" s="22">
        <v>-1.4996300000000001E-2</v>
      </c>
      <c r="AJ263" s="22">
        <v>253</v>
      </c>
      <c r="AK263" s="22">
        <v>1.1731</v>
      </c>
      <c r="AL263">
        <f t="shared" si="42"/>
        <v>18.51395061728395</v>
      </c>
      <c r="AM263">
        <f t="shared" si="43"/>
        <v>21.735563164197529</v>
      </c>
      <c r="AP263" s="9"/>
      <c r="AQ263" s="22">
        <v>0.40603600000000001</v>
      </c>
      <c r="AR263" s="22">
        <v>25.401499999999999</v>
      </c>
      <c r="AS263" s="22">
        <v>-1.6336099999999999E-2</v>
      </c>
      <c r="AT263" s="22">
        <v>253</v>
      </c>
      <c r="AU263" s="22">
        <v>0.40527299999999999</v>
      </c>
      <c r="AV263">
        <f t="shared" si="44"/>
        <v>20.168024691358024</v>
      </c>
      <c r="AW263">
        <f t="shared" si="45"/>
        <v>8.188944073580247</v>
      </c>
      <c r="AX263" s="9"/>
      <c r="AY263" s="22">
        <v>1.17401</v>
      </c>
      <c r="AZ263" s="22">
        <v>28.978999999999999</v>
      </c>
      <c r="BA263" s="22">
        <v>-1.49994E-2</v>
      </c>
      <c r="BB263" s="22">
        <v>253</v>
      </c>
      <c r="BC263" s="22">
        <v>1.17279</v>
      </c>
      <c r="BD263">
        <f t="shared" si="46"/>
        <v>18.517777777777777</v>
      </c>
      <c r="BE263">
        <f t="shared" si="47"/>
        <v>21.740056288888887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7.6523599999999998</v>
      </c>
      <c r="I264" s="22">
        <v>-1.64154E-2</v>
      </c>
      <c r="J264" s="22">
        <v>254</v>
      </c>
      <c r="K264" s="22">
        <v>0.40033000000000002</v>
      </c>
      <c r="L264">
        <f t="shared" si="36"/>
        <v>20.265925925925924</v>
      </c>
      <c r="M264">
        <f t="shared" si="37"/>
        <v>8.1266565622222213</v>
      </c>
      <c r="N264" s="9"/>
      <c r="O264" s="22">
        <v>1.1790499999999999</v>
      </c>
      <c r="P264" s="22">
        <v>11.229799999999999</v>
      </c>
      <c r="Q264" s="22">
        <v>-1.4993299999999999E-2</v>
      </c>
      <c r="R264" s="22">
        <v>254</v>
      </c>
      <c r="S264" s="22">
        <v>1.17737</v>
      </c>
      <c r="T264">
        <f t="shared" si="38"/>
        <v>18.510246913580243</v>
      </c>
      <c r="U264">
        <f t="shared" si="39"/>
        <v>21.824506623456784</v>
      </c>
      <c r="X264" s="9"/>
      <c r="Y264" s="22">
        <v>0.401001</v>
      </c>
      <c r="Z264" s="22">
        <v>16.535399999999999</v>
      </c>
      <c r="AA264" s="22">
        <v>-1.63727E-2</v>
      </c>
      <c r="AB264" s="22">
        <v>254</v>
      </c>
      <c r="AC264" s="22">
        <v>0.40035999999999999</v>
      </c>
      <c r="AD264">
        <f t="shared" si="40"/>
        <v>20.21320987654321</v>
      </c>
      <c r="AE264">
        <f t="shared" si="41"/>
        <v>8.1055173737037034</v>
      </c>
      <c r="AF264" s="9"/>
      <c r="AG264" s="22">
        <v>1.1790499999999999</v>
      </c>
      <c r="AH264" s="22">
        <v>20.1129</v>
      </c>
      <c r="AI264" s="22">
        <v>-1.4987199999999999E-2</v>
      </c>
      <c r="AJ264" s="22">
        <v>254</v>
      </c>
      <c r="AK264" s="22">
        <v>1.17798</v>
      </c>
      <c r="AL264">
        <f t="shared" si="42"/>
        <v>18.502716049382713</v>
      </c>
      <c r="AM264">
        <f t="shared" si="43"/>
        <v>21.815627358024685</v>
      </c>
      <c r="AP264" s="9"/>
      <c r="AQ264" s="22">
        <v>0.401001</v>
      </c>
      <c r="AR264" s="22">
        <v>25.4116</v>
      </c>
      <c r="AS264" s="22">
        <v>-1.6345200000000001E-2</v>
      </c>
      <c r="AT264" s="22">
        <v>254</v>
      </c>
      <c r="AU264" s="22">
        <v>0.40033000000000002</v>
      </c>
      <c r="AV264">
        <f t="shared" si="44"/>
        <v>20.179259259259258</v>
      </c>
      <c r="AW264">
        <f t="shared" si="45"/>
        <v>8.0919031422222218</v>
      </c>
      <c r="AX264" s="9"/>
      <c r="AY264" s="22">
        <v>1.1790499999999999</v>
      </c>
      <c r="AZ264" s="22">
        <v>28.989100000000001</v>
      </c>
      <c r="BA264" s="22">
        <v>-1.49902E-2</v>
      </c>
      <c r="BB264" s="22">
        <v>254</v>
      </c>
      <c r="BC264" s="22">
        <v>1.17859</v>
      </c>
      <c r="BD264">
        <f t="shared" si="46"/>
        <v>18.506419753086419</v>
      </c>
      <c r="BE264">
        <f t="shared" si="47"/>
        <v>21.81999420987654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7.6624299999999996</v>
      </c>
      <c r="I265" s="22">
        <v>-1.6421499999999999E-2</v>
      </c>
      <c r="J265" s="22">
        <v>255</v>
      </c>
      <c r="K265" s="22">
        <v>0.39538600000000002</v>
      </c>
      <c r="L265">
        <f t="shared" si="36"/>
        <v>20.273456790123454</v>
      </c>
      <c r="M265">
        <f t="shared" si="37"/>
        <v>8.0275995913580225</v>
      </c>
      <c r="N265" s="9"/>
      <c r="O265" s="22">
        <v>1.18408</v>
      </c>
      <c r="P265" s="22">
        <v>11.2399</v>
      </c>
      <c r="Q265" s="22">
        <v>-1.49841E-2</v>
      </c>
      <c r="R265" s="22">
        <v>255</v>
      </c>
      <c r="S265" s="22">
        <v>1.18286</v>
      </c>
      <c r="T265">
        <f t="shared" si="38"/>
        <v>18.498888888888889</v>
      </c>
      <c r="U265">
        <f t="shared" si="39"/>
        <v>21.904164355555555</v>
      </c>
      <c r="X265" s="9"/>
      <c r="Y265" s="22">
        <v>0.39596599999999998</v>
      </c>
      <c r="Z265" s="22">
        <v>16.545500000000001</v>
      </c>
      <c r="AA265" s="22">
        <v>-1.6384900000000001E-2</v>
      </c>
      <c r="AB265" s="22">
        <v>255</v>
      </c>
      <c r="AC265" s="22">
        <v>0.39538600000000002</v>
      </c>
      <c r="AD265">
        <f t="shared" si="40"/>
        <v>20.228271604938271</v>
      </c>
      <c r="AE265">
        <f t="shared" si="41"/>
        <v>8.0097077943209865</v>
      </c>
      <c r="AF265" s="9"/>
      <c r="AG265" s="22">
        <v>1.18408</v>
      </c>
      <c r="AH265" s="22">
        <v>20.123000000000001</v>
      </c>
      <c r="AI265" s="22">
        <v>-1.4978E-2</v>
      </c>
      <c r="AJ265" s="22">
        <v>255</v>
      </c>
      <c r="AK265" s="22">
        <v>1.18286</v>
      </c>
      <c r="AL265">
        <f t="shared" si="42"/>
        <v>18.491358024691355</v>
      </c>
      <c r="AM265">
        <f t="shared" si="43"/>
        <v>21.89524720987654</v>
      </c>
      <c r="AP265" s="9"/>
      <c r="AQ265" s="22">
        <v>0.39596599999999998</v>
      </c>
      <c r="AR265" s="22">
        <v>25.421700000000001</v>
      </c>
      <c r="AS265" s="22">
        <v>-1.6357400000000001E-2</v>
      </c>
      <c r="AT265" s="22">
        <v>255</v>
      </c>
      <c r="AU265" s="22">
        <v>0.39538600000000002</v>
      </c>
      <c r="AV265">
        <f t="shared" si="44"/>
        <v>20.194320987654322</v>
      </c>
      <c r="AW265">
        <f t="shared" si="45"/>
        <v>7.9962645041975309</v>
      </c>
      <c r="AX265" s="9"/>
      <c r="AY265" s="22">
        <v>1.18408</v>
      </c>
      <c r="AZ265" s="22">
        <v>28.999099999999999</v>
      </c>
      <c r="BA265" s="22">
        <v>-1.4981100000000001E-2</v>
      </c>
      <c r="BB265" s="22">
        <v>255</v>
      </c>
      <c r="BC265" s="22">
        <v>1.1831700000000001</v>
      </c>
      <c r="BD265">
        <f t="shared" si="46"/>
        <v>18.495185185185186</v>
      </c>
      <c r="BE265">
        <f t="shared" si="47"/>
        <v>21.899778874074077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7.6725000000000003</v>
      </c>
      <c r="I266" s="22">
        <v>-1.6430699999999999E-2</v>
      </c>
      <c r="J266" s="22">
        <v>256</v>
      </c>
      <c r="K266" s="22">
        <v>0.39047199999999999</v>
      </c>
      <c r="L266">
        <f t="shared" si="36"/>
        <v>20.284814814814816</v>
      </c>
      <c r="M266">
        <f t="shared" si="37"/>
        <v>7.9299426555555561</v>
      </c>
      <c r="N266" s="9"/>
      <c r="O266" s="22">
        <v>1.18912</v>
      </c>
      <c r="P266" s="22">
        <v>11.25</v>
      </c>
      <c r="Q266" s="22">
        <v>-1.4978E-2</v>
      </c>
      <c r="R266" s="22">
        <v>256</v>
      </c>
      <c r="S266" s="22">
        <v>1.18835</v>
      </c>
      <c r="T266">
        <f t="shared" si="38"/>
        <v>18.491358024691355</v>
      </c>
      <c r="U266">
        <f t="shared" si="39"/>
        <v>21.988443654320982</v>
      </c>
      <c r="X266" s="9"/>
      <c r="Y266" s="22">
        <v>0.39093</v>
      </c>
      <c r="Z266" s="22">
        <v>16.555499999999999</v>
      </c>
      <c r="AA266" s="22">
        <v>-1.6390999999999999E-2</v>
      </c>
      <c r="AB266" s="22">
        <v>256</v>
      </c>
      <c r="AC266" s="22">
        <v>0.39016699999999999</v>
      </c>
      <c r="AD266">
        <f t="shared" si="40"/>
        <v>20.235802469135802</v>
      </c>
      <c r="AE266">
        <f t="shared" si="41"/>
        <v>7.9107822592592587</v>
      </c>
      <c r="AF266" s="9"/>
      <c r="AG266" s="22">
        <v>1.18912</v>
      </c>
      <c r="AH266" s="22">
        <v>20.132999999999999</v>
      </c>
      <c r="AI266" s="22">
        <v>-1.49719E-2</v>
      </c>
      <c r="AJ266" s="22">
        <v>256</v>
      </c>
      <c r="AK266" s="22">
        <v>1.1880500000000001</v>
      </c>
      <c r="AL266">
        <f t="shared" si="42"/>
        <v>18.483827160493824</v>
      </c>
      <c r="AM266">
        <f t="shared" si="43"/>
        <v>21.979488553086416</v>
      </c>
      <c r="AP266" s="9"/>
      <c r="AQ266" s="22">
        <v>0.39093</v>
      </c>
      <c r="AR266" s="22">
        <v>25.431699999999999</v>
      </c>
      <c r="AS266" s="22">
        <v>-1.6366599999999999E-2</v>
      </c>
      <c r="AT266" s="22">
        <v>256</v>
      </c>
      <c r="AU266" s="22">
        <v>0.390289</v>
      </c>
      <c r="AV266">
        <f t="shared" si="44"/>
        <v>20.205679012345676</v>
      </c>
      <c r="AW266">
        <f t="shared" si="45"/>
        <v>7.8990060962962954</v>
      </c>
      <c r="AX266" s="9"/>
      <c r="AY266" s="22">
        <v>1.18912</v>
      </c>
      <c r="AZ266" s="22">
        <v>29.0092</v>
      </c>
      <c r="BA266" s="22">
        <v>-1.49689E-2</v>
      </c>
      <c r="BB266" s="22">
        <v>256</v>
      </c>
      <c r="BC266" s="22">
        <v>1.18835</v>
      </c>
      <c r="BD266">
        <f t="shared" si="46"/>
        <v>18.480123456790125</v>
      </c>
      <c r="BE266">
        <f t="shared" si="47"/>
        <v>21.975084404938272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7.6825700000000001</v>
      </c>
      <c r="I267" s="22">
        <v>-1.6436800000000001E-2</v>
      </c>
      <c r="J267" s="22">
        <v>257</v>
      </c>
      <c r="K267" s="22">
        <v>0.38528400000000002</v>
      </c>
      <c r="L267">
        <f t="shared" si="36"/>
        <v>20.292345679012346</v>
      </c>
      <c r="M267">
        <f t="shared" si="37"/>
        <v>7.8307147358024691</v>
      </c>
      <c r="N267" s="9"/>
      <c r="O267" s="22">
        <v>1.19415</v>
      </c>
      <c r="P267" s="22">
        <v>11.2601</v>
      </c>
      <c r="Q267" s="22">
        <v>-1.49689E-2</v>
      </c>
      <c r="R267" s="22">
        <v>257</v>
      </c>
      <c r="S267" s="22">
        <v>1.19354</v>
      </c>
      <c r="T267">
        <f t="shared" si="38"/>
        <v>18.480123456790125</v>
      </c>
      <c r="U267">
        <f t="shared" si="39"/>
        <v>22.068039425925928</v>
      </c>
      <c r="X267" s="9"/>
      <c r="Y267" s="22">
        <v>0.38589499999999999</v>
      </c>
      <c r="Z267" s="22">
        <v>16.5656</v>
      </c>
      <c r="AA267" s="22">
        <v>-1.6400100000000001E-2</v>
      </c>
      <c r="AB267" s="22">
        <v>257</v>
      </c>
      <c r="AC267" s="22">
        <v>0.385162</v>
      </c>
      <c r="AD267">
        <f t="shared" si="40"/>
        <v>20.247037037037035</v>
      </c>
      <c r="AE267">
        <f t="shared" si="41"/>
        <v>7.8132303574074067</v>
      </c>
      <c r="AF267" s="9"/>
      <c r="AG267" s="22">
        <v>1.19415</v>
      </c>
      <c r="AH267" s="22">
        <v>20.1431</v>
      </c>
      <c r="AI267" s="22">
        <v>-1.4959699999999999E-2</v>
      </c>
      <c r="AJ267" s="22">
        <v>257</v>
      </c>
      <c r="AK267" s="22">
        <v>1.1926300000000001</v>
      </c>
      <c r="AL267">
        <f t="shared" si="42"/>
        <v>18.468765432098763</v>
      </c>
      <c r="AM267">
        <f t="shared" si="43"/>
        <v>22.05447624074074</v>
      </c>
      <c r="AP267" s="9"/>
      <c r="AQ267" s="22">
        <v>0.38589499999999999</v>
      </c>
      <c r="AR267" s="22">
        <v>25.441800000000001</v>
      </c>
      <c r="AS267" s="22">
        <v>-1.63757E-2</v>
      </c>
      <c r="AT267" s="22">
        <v>257</v>
      </c>
      <c r="AU267" s="22">
        <v>0.38510100000000003</v>
      </c>
      <c r="AV267">
        <f t="shared" si="44"/>
        <v>20.216913580246914</v>
      </c>
      <c r="AW267">
        <f t="shared" si="45"/>
        <v>7.8016058660493828</v>
      </c>
      <c r="AX267" s="9"/>
      <c r="AY267" s="22">
        <v>1.19415</v>
      </c>
      <c r="AZ267" s="22">
        <v>29.019300000000001</v>
      </c>
      <c r="BA267" s="22">
        <v>-1.4959699999999999E-2</v>
      </c>
      <c r="BB267" s="22">
        <v>257</v>
      </c>
      <c r="BC267" s="22">
        <v>1.1932400000000001</v>
      </c>
      <c r="BD267">
        <f t="shared" si="46"/>
        <v>18.468765432098763</v>
      </c>
      <c r="BE267">
        <f t="shared" si="47"/>
        <v>22.05447624074074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7.6926399999999999</v>
      </c>
      <c r="I268" s="22">
        <v>-1.6445899999999999E-2</v>
      </c>
      <c r="J268" s="22">
        <v>258</v>
      </c>
      <c r="K268" s="22">
        <v>0.38030999999999998</v>
      </c>
      <c r="L268">
        <f t="shared" ref="L268:L331" si="48">-I268/$F$2*1000</f>
        <v>20.30358024691358</v>
      </c>
      <c r="M268">
        <f t="shared" ref="M268:M331" si="49">L268*G268</f>
        <v>7.7328012692592587</v>
      </c>
      <c r="N268" s="9"/>
      <c r="O268" s="22">
        <v>1.19919</v>
      </c>
      <c r="P268" s="22">
        <v>11.270099999999999</v>
      </c>
      <c r="Q268" s="22">
        <v>-1.49628E-2</v>
      </c>
      <c r="R268" s="22">
        <v>258</v>
      </c>
      <c r="S268" s="22">
        <v>1.1981200000000001</v>
      </c>
      <c r="T268">
        <f t="shared" ref="T268:T331" si="50">-Q268/$F$2*1000</f>
        <v>18.472592592592594</v>
      </c>
      <c r="U268">
        <f t="shared" ref="U268:U331" si="51">T268*O268</f>
        <v>22.152148311111112</v>
      </c>
      <c r="X268" s="9"/>
      <c r="Y268" s="22">
        <v>0.380859</v>
      </c>
      <c r="Z268" s="22">
        <v>16.575700000000001</v>
      </c>
      <c r="AA268" s="22">
        <v>-1.6409300000000002E-2</v>
      </c>
      <c r="AB268" s="22">
        <v>258</v>
      </c>
      <c r="AC268" s="22">
        <v>0.38034099999999998</v>
      </c>
      <c r="AD268">
        <f t="shared" ref="AD268:AD331" si="52">-AA268/$F$2*1000</f>
        <v>20.258395061728397</v>
      </c>
      <c r="AE268">
        <f t="shared" ref="AE268:AE331" si="53">AD268*Y268</f>
        <v>7.7155920848148156</v>
      </c>
      <c r="AF268" s="9"/>
      <c r="AG268" s="22">
        <v>1.19919</v>
      </c>
      <c r="AH268" s="22">
        <v>20.153199999999998</v>
      </c>
      <c r="AI268" s="22">
        <v>-1.49506E-2</v>
      </c>
      <c r="AJ268" s="22">
        <v>258</v>
      </c>
      <c r="AK268" s="22">
        <v>1.1984300000000001</v>
      </c>
      <c r="AL268">
        <f t="shared" ref="AL268:AL331" si="54">-AI268/$F$2*1000</f>
        <v>18.45753086419753</v>
      </c>
      <c r="AM268">
        <f t="shared" ref="AM268:AM331" si="55">AL268*AG268</f>
        <v>22.134086437037034</v>
      </c>
      <c r="AP268" s="9"/>
      <c r="AQ268" s="22">
        <v>0.380859</v>
      </c>
      <c r="AR268" s="22">
        <v>25.451899999999998</v>
      </c>
      <c r="AS268" s="22">
        <v>-1.63879E-2</v>
      </c>
      <c r="AT268" s="22">
        <v>258</v>
      </c>
      <c r="AU268" s="22">
        <v>0.38034099999999998</v>
      </c>
      <c r="AV268">
        <f t="shared" ref="AV268:AV331" si="56">-AS268/$F$2*1000</f>
        <v>20.231975308641974</v>
      </c>
      <c r="AW268">
        <f t="shared" ref="AW268:AW331" si="57">AV268*AQ268</f>
        <v>7.7055298840740738</v>
      </c>
      <c r="AX268" s="9"/>
      <c r="AY268" s="22">
        <v>1.19919</v>
      </c>
      <c r="AZ268" s="22">
        <v>29.029399999999999</v>
      </c>
      <c r="BA268" s="22">
        <v>-1.49506E-2</v>
      </c>
      <c r="BB268" s="22">
        <v>258</v>
      </c>
      <c r="BC268" s="22">
        <v>1.1984300000000001</v>
      </c>
      <c r="BD268">
        <f t="shared" ref="BD268:BD331" si="58">-BA268/$F$2*1000</f>
        <v>18.45753086419753</v>
      </c>
      <c r="BE268">
        <f t="shared" ref="BE268:BE331" si="59">BD268*AY268</f>
        <v>22.134086437037034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7.7027099999999997</v>
      </c>
      <c r="I269" s="22">
        <v>-1.64581E-2</v>
      </c>
      <c r="J269" s="22">
        <v>259</v>
      </c>
      <c r="K269" s="22">
        <v>0.37509199999999998</v>
      </c>
      <c r="L269">
        <f t="shared" si="48"/>
        <v>20.31864197530864</v>
      </c>
      <c r="M269">
        <f t="shared" si="49"/>
        <v>7.6362333017283941</v>
      </c>
      <c r="N269" s="9"/>
      <c r="O269" s="22">
        <v>1.2042200000000001</v>
      </c>
      <c r="P269" s="22">
        <v>11.280200000000001</v>
      </c>
      <c r="Q269" s="22">
        <v>-1.4953599999999999E-2</v>
      </c>
      <c r="R269" s="22">
        <v>259</v>
      </c>
      <c r="S269" s="22">
        <v>1.2023900000000001</v>
      </c>
      <c r="T269">
        <f t="shared" si="50"/>
        <v>18.461234567901233</v>
      </c>
      <c r="U269">
        <f t="shared" si="51"/>
        <v>22.231387891358025</v>
      </c>
      <c r="X269" s="9"/>
      <c r="Y269" s="22">
        <v>0.37582399999999999</v>
      </c>
      <c r="Z269" s="22">
        <v>16.585799999999999</v>
      </c>
      <c r="AA269" s="22">
        <v>-1.6418499999999999E-2</v>
      </c>
      <c r="AB269" s="22">
        <v>259</v>
      </c>
      <c r="AC269" s="22">
        <v>0.37512200000000001</v>
      </c>
      <c r="AD269">
        <f t="shared" si="52"/>
        <v>20.269753086419751</v>
      </c>
      <c r="AE269">
        <f t="shared" si="53"/>
        <v>7.6178596839506163</v>
      </c>
      <c r="AF269" s="9"/>
      <c r="AG269" s="22">
        <v>1.2042200000000001</v>
      </c>
      <c r="AH269" s="22">
        <v>20.1632</v>
      </c>
      <c r="AI269" s="22">
        <v>-1.4944499999999999E-2</v>
      </c>
      <c r="AJ269" s="22">
        <v>259</v>
      </c>
      <c r="AK269" s="22">
        <v>1.2030000000000001</v>
      </c>
      <c r="AL269">
        <f t="shared" si="54"/>
        <v>18.45</v>
      </c>
      <c r="AM269">
        <f t="shared" si="55"/>
        <v>22.217859000000001</v>
      </c>
      <c r="AP269" s="9"/>
      <c r="AQ269" s="22">
        <v>0.37582399999999999</v>
      </c>
      <c r="AR269" s="22">
        <v>25.4619</v>
      </c>
      <c r="AS269" s="22">
        <v>-1.6393999999999999E-2</v>
      </c>
      <c r="AT269" s="22">
        <v>259</v>
      </c>
      <c r="AU269" s="22">
        <v>0.37518299999999999</v>
      </c>
      <c r="AV269">
        <f t="shared" si="56"/>
        <v>20.239506172839505</v>
      </c>
      <c r="AW269">
        <f t="shared" si="57"/>
        <v>7.6064921679012336</v>
      </c>
      <c r="AX269" s="9"/>
      <c r="AY269" s="22">
        <v>1.2042200000000001</v>
      </c>
      <c r="AZ269" s="22">
        <v>29.039400000000001</v>
      </c>
      <c r="BA269" s="22">
        <v>-1.4944499999999999E-2</v>
      </c>
      <c r="BB269" s="22">
        <v>259</v>
      </c>
      <c r="BC269" s="22">
        <v>1.2033100000000001</v>
      </c>
      <c r="BD269">
        <f t="shared" si="58"/>
        <v>18.45</v>
      </c>
      <c r="BE269">
        <f t="shared" si="59"/>
        <v>22.217859000000001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7.7127800000000004</v>
      </c>
      <c r="I270" s="22">
        <v>-1.6473399999999999E-2</v>
      </c>
      <c r="J270" s="22">
        <v>260</v>
      </c>
      <c r="K270" s="22">
        <v>0.36999500000000002</v>
      </c>
      <c r="L270">
        <f t="shared" si="48"/>
        <v>20.337530864197529</v>
      </c>
      <c r="M270">
        <f t="shared" si="49"/>
        <v>7.5409327316049373</v>
      </c>
      <c r="N270" s="9"/>
      <c r="O270" s="22">
        <v>1.20926</v>
      </c>
      <c r="P270" s="22">
        <v>11.2903</v>
      </c>
      <c r="Q270" s="22">
        <v>-1.4944499999999999E-2</v>
      </c>
      <c r="R270" s="22">
        <v>260</v>
      </c>
      <c r="S270" s="22">
        <v>1.2081900000000001</v>
      </c>
      <c r="T270">
        <f t="shared" si="50"/>
        <v>18.45</v>
      </c>
      <c r="U270">
        <f t="shared" si="51"/>
        <v>22.310846999999999</v>
      </c>
      <c r="X270" s="9"/>
      <c r="Y270" s="22">
        <v>0.37078899999999998</v>
      </c>
      <c r="Z270" s="22">
        <v>16.595800000000001</v>
      </c>
      <c r="AA270" s="22">
        <v>-1.6430699999999999E-2</v>
      </c>
      <c r="AB270" s="22">
        <v>260</v>
      </c>
      <c r="AC270" s="22">
        <v>0.36993399999999999</v>
      </c>
      <c r="AD270">
        <f t="shared" si="52"/>
        <v>20.284814814814816</v>
      </c>
      <c r="AE270">
        <f t="shared" si="53"/>
        <v>7.5213862003703706</v>
      </c>
      <c r="AF270" s="9"/>
      <c r="AG270" s="22">
        <v>1.20926</v>
      </c>
      <c r="AH270" s="22">
        <v>20.173300000000001</v>
      </c>
      <c r="AI270" s="22">
        <v>-1.49353E-2</v>
      </c>
      <c r="AJ270" s="22">
        <v>260</v>
      </c>
      <c r="AK270" s="22">
        <v>1.2084999999999999</v>
      </c>
      <c r="AL270">
        <f t="shared" si="54"/>
        <v>18.438641975308641</v>
      </c>
      <c r="AM270">
        <f t="shared" si="55"/>
        <v>22.297112195061729</v>
      </c>
      <c r="AP270" s="9"/>
      <c r="AQ270" s="22">
        <v>0.37078899999999998</v>
      </c>
      <c r="AR270" s="22">
        <v>25.472000000000001</v>
      </c>
      <c r="AS270" s="22">
        <v>-1.6406299999999999E-2</v>
      </c>
      <c r="AT270" s="22">
        <v>260</v>
      </c>
      <c r="AU270" s="22">
        <v>0.37014799999999998</v>
      </c>
      <c r="AV270">
        <f t="shared" si="56"/>
        <v>20.254691358024687</v>
      </c>
      <c r="AW270">
        <f t="shared" si="57"/>
        <v>7.5102167539506155</v>
      </c>
      <c r="AX270" s="9"/>
      <c r="AY270" s="22">
        <v>1.20926</v>
      </c>
      <c r="AZ270" s="22">
        <v>29.049499999999998</v>
      </c>
      <c r="BA270" s="22">
        <v>-1.49353E-2</v>
      </c>
      <c r="BB270" s="22">
        <v>260</v>
      </c>
      <c r="BC270" s="22">
        <v>1.2084999999999999</v>
      </c>
      <c r="BD270">
        <f t="shared" si="58"/>
        <v>18.438641975308641</v>
      </c>
      <c r="BE270">
        <f t="shared" si="59"/>
        <v>22.297112195061729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7.7228599999999998</v>
      </c>
      <c r="I271" s="22">
        <v>-1.6482500000000001E-2</v>
      </c>
      <c r="J271" s="22">
        <v>261</v>
      </c>
      <c r="K271" s="22">
        <v>0.36517300000000003</v>
      </c>
      <c r="L271">
        <f t="shared" si="48"/>
        <v>20.348765432098766</v>
      </c>
      <c r="M271">
        <f t="shared" si="49"/>
        <v>7.4426220030864201</v>
      </c>
      <c r="N271" s="9"/>
      <c r="O271" s="22">
        <v>1.2142900000000001</v>
      </c>
      <c r="P271" s="22">
        <v>11.3003</v>
      </c>
      <c r="Q271" s="22">
        <v>-1.49353E-2</v>
      </c>
      <c r="R271" s="22">
        <v>261</v>
      </c>
      <c r="S271" s="22">
        <v>1.2127699999999999</v>
      </c>
      <c r="T271">
        <f t="shared" si="50"/>
        <v>18.438641975308641</v>
      </c>
      <c r="U271">
        <f t="shared" si="51"/>
        <v>22.389858564197532</v>
      </c>
      <c r="X271" s="9"/>
      <c r="Y271" s="22">
        <v>0.36575299999999999</v>
      </c>
      <c r="Z271" s="22">
        <v>16.605899999999998</v>
      </c>
      <c r="AA271" s="22">
        <v>-1.64429E-2</v>
      </c>
      <c r="AB271" s="22">
        <v>261</v>
      </c>
      <c r="AC271" s="22">
        <v>0.36508200000000002</v>
      </c>
      <c r="AD271">
        <f t="shared" si="52"/>
        <v>20.299876543209873</v>
      </c>
      <c r="AE271">
        <f t="shared" si="53"/>
        <v>7.4247407453086405</v>
      </c>
      <c r="AF271" s="9"/>
      <c r="AG271" s="22">
        <v>1.2142900000000001</v>
      </c>
      <c r="AH271" s="22">
        <v>20.183399999999999</v>
      </c>
      <c r="AI271" s="22">
        <v>-1.4926099999999999E-2</v>
      </c>
      <c r="AJ271" s="22">
        <v>261</v>
      </c>
      <c r="AK271" s="22">
        <v>1.2130700000000001</v>
      </c>
      <c r="AL271">
        <f t="shared" si="54"/>
        <v>18.427283950617284</v>
      </c>
      <c r="AM271">
        <f t="shared" si="55"/>
        <v>22.376066628395062</v>
      </c>
      <c r="AP271" s="9"/>
      <c r="AQ271" s="22">
        <v>0.36575299999999999</v>
      </c>
      <c r="AR271" s="22">
        <v>25.482099999999999</v>
      </c>
      <c r="AS271" s="22">
        <v>-1.6412400000000001E-2</v>
      </c>
      <c r="AT271" s="22">
        <v>261</v>
      </c>
      <c r="AU271" s="22">
        <v>0.365234</v>
      </c>
      <c r="AV271">
        <f t="shared" si="56"/>
        <v>20.262222222222224</v>
      </c>
      <c r="AW271">
        <f t="shared" si="57"/>
        <v>7.4109685644444454</v>
      </c>
      <c r="AX271" s="9"/>
      <c r="AY271" s="22">
        <v>1.2142900000000001</v>
      </c>
      <c r="AZ271" s="22">
        <v>29.0596</v>
      </c>
      <c r="BA271" s="22">
        <v>-1.4926099999999999E-2</v>
      </c>
      <c r="BB271" s="22">
        <v>261</v>
      </c>
      <c r="BC271" s="22">
        <v>1.2139899999999999</v>
      </c>
      <c r="BD271">
        <f t="shared" si="58"/>
        <v>18.427283950617284</v>
      </c>
      <c r="BE271">
        <f t="shared" si="59"/>
        <v>22.376066628395062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7.7329299999999996</v>
      </c>
      <c r="I272" s="22">
        <v>-1.6491700000000001E-2</v>
      </c>
      <c r="J272" s="22">
        <v>262</v>
      </c>
      <c r="K272" s="22">
        <v>0.359985</v>
      </c>
      <c r="L272">
        <f t="shared" si="48"/>
        <v>20.360123456790124</v>
      </c>
      <c r="M272">
        <f t="shared" si="49"/>
        <v>7.3442630130864197</v>
      </c>
      <c r="N272" s="9"/>
      <c r="O272" s="22">
        <v>1.21933</v>
      </c>
      <c r="P272" s="22">
        <v>11.3104</v>
      </c>
      <c r="Q272" s="22">
        <v>-1.4926099999999999E-2</v>
      </c>
      <c r="R272" s="22">
        <v>262</v>
      </c>
      <c r="S272" s="22">
        <v>1.2179599999999999</v>
      </c>
      <c r="T272">
        <f t="shared" si="50"/>
        <v>18.427283950617284</v>
      </c>
      <c r="U272">
        <f t="shared" si="51"/>
        <v>22.468940139506174</v>
      </c>
      <c r="X272" s="9"/>
      <c r="Y272" s="22">
        <v>0.36071799999999998</v>
      </c>
      <c r="Z272" s="22">
        <v>16.616</v>
      </c>
      <c r="AA272" s="22">
        <v>-1.6448999999999998E-2</v>
      </c>
      <c r="AB272" s="22">
        <v>262</v>
      </c>
      <c r="AC272" s="22">
        <v>0.360016</v>
      </c>
      <c r="AD272">
        <f t="shared" si="52"/>
        <v>20.307407407407403</v>
      </c>
      <c r="AE272">
        <f t="shared" si="53"/>
        <v>7.3252473851851834</v>
      </c>
      <c r="AF272" s="9"/>
      <c r="AG272" s="22">
        <v>1.21933</v>
      </c>
      <c r="AH272" s="22">
        <v>20.1935</v>
      </c>
      <c r="AI272" s="22">
        <v>-1.4913900000000001E-2</v>
      </c>
      <c r="AJ272" s="22">
        <v>262</v>
      </c>
      <c r="AK272" s="22">
        <v>1.2182599999999999</v>
      </c>
      <c r="AL272">
        <f t="shared" si="54"/>
        <v>18.412222222222223</v>
      </c>
      <c r="AM272">
        <f t="shared" si="55"/>
        <v>22.450574922222224</v>
      </c>
      <c r="AP272" s="9"/>
      <c r="AQ272" s="22">
        <v>0.36071799999999998</v>
      </c>
      <c r="AR272" s="22">
        <v>25.4922</v>
      </c>
      <c r="AS272" s="22">
        <v>-1.6424600000000001E-2</v>
      </c>
      <c r="AT272" s="22">
        <v>262</v>
      </c>
      <c r="AU272" s="22">
        <v>0.36004599999999998</v>
      </c>
      <c r="AV272">
        <f t="shared" si="56"/>
        <v>20.277283950617282</v>
      </c>
      <c r="AW272">
        <f t="shared" si="57"/>
        <v>7.3143813120987646</v>
      </c>
      <c r="AX272" s="9"/>
      <c r="AY272" s="22">
        <v>1.21933</v>
      </c>
      <c r="AZ272" s="22">
        <v>29.069600000000001</v>
      </c>
      <c r="BA272" s="22">
        <v>-1.4917E-2</v>
      </c>
      <c r="BB272" s="22">
        <v>262</v>
      </c>
      <c r="BC272" s="22">
        <v>1.2182599999999999</v>
      </c>
      <c r="BD272">
        <f t="shared" si="58"/>
        <v>18.416049382716047</v>
      </c>
      <c r="BE272">
        <f t="shared" si="59"/>
        <v>22.455241493827156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7.7430000000000003</v>
      </c>
      <c r="I273" s="22">
        <v>-1.6500899999999999E-2</v>
      </c>
      <c r="J273" s="22">
        <v>263</v>
      </c>
      <c r="K273" s="22">
        <v>0.35494999999999999</v>
      </c>
      <c r="L273">
        <f t="shared" si="48"/>
        <v>20.371481481481482</v>
      </c>
      <c r="M273">
        <f t="shared" si="49"/>
        <v>7.2457692762962962</v>
      </c>
      <c r="N273" s="9"/>
      <c r="O273" s="22">
        <v>1.22437</v>
      </c>
      <c r="P273" s="22">
        <v>11.320499999999999</v>
      </c>
      <c r="Q273" s="22">
        <v>-1.4917E-2</v>
      </c>
      <c r="R273" s="22">
        <v>263</v>
      </c>
      <c r="S273" s="22">
        <v>1.2234499999999999</v>
      </c>
      <c r="T273">
        <f t="shared" si="50"/>
        <v>18.416049382716047</v>
      </c>
      <c r="U273">
        <f t="shared" si="51"/>
        <v>22.548058382716047</v>
      </c>
      <c r="X273" s="9"/>
      <c r="Y273" s="22">
        <v>0.355682</v>
      </c>
      <c r="Z273" s="22">
        <v>16.626000000000001</v>
      </c>
      <c r="AA273" s="22">
        <v>-1.64581E-2</v>
      </c>
      <c r="AB273" s="22">
        <v>263</v>
      </c>
      <c r="AC273" s="22">
        <v>0.35525499999999999</v>
      </c>
      <c r="AD273">
        <f t="shared" si="52"/>
        <v>20.31864197530864</v>
      </c>
      <c r="AE273">
        <f t="shared" si="53"/>
        <v>7.2269752150617279</v>
      </c>
      <c r="AF273" s="9"/>
      <c r="AG273" s="22">
        <v>1.22437</v>
      </c>
      <c r="AH273" s="22">
        <v>20.203499999999998</v>
      </c>
      <c r="AI273" s="22">
        <v>-1.49017E-2</v>
      </c>
      <c r="AJ273" s="22">
        <v>263</v>
      </c>
      <c r="AK273" s="22">
        <v>1.2234499999999999</v>
      </c>
      <c r="AL273">
        <f t="shared" si="54"/>
        <v>18.397160493827158</v>
      </c>
      <c r="AM273">
        <f t="shared" si="55"/>
        <v>22.524931393827156</v>
      </c>
      <c r="AP273" s="9"/>
      <c r="AQ273" s="22">
        <v>0.355682</v>
      </c>
      <c r="AR273" s="22">
        <v>25.502199999999998</v>
      </c>
      <c r="AS273" s="22">
        <v>-1.6433699999999999E-2</v>
      </c>
      <c r="AT273" s="22">
        <v>263</v>
      </c>
      <c r="AU273" s="22">
        <v>0.35498000000000002</v>
      </c>
      <c r="AV273">
        <f t="shared" si="56"/>
        <v>20.288518518518515</v>
      </c>
      <c r="AW273">
        <f t="shared" si="57"/>
        <v>7.2162608437037026</v>
      </c>
      <c r="AX273" s="9"/>
      <c r="AY273" s="22">
        <v>1.22437</v>
      </c>
      <c r="AZ273" s="22">
        <v>29.079699999999999</v>
      </c>
      <c r="BA273" s="22">
        <v>-1.49109E-2</v>
      </c>
      <c r="BB273" s="22">
        <v>263</v>
      </c>
      <c r="BC273" s="22">
        <v>1.2231399999999999</v>
      </c>
      <c r="BD273">
        <f t="shared" si="58"/>
        <v>18.408518518518516</v>
      </c>
      <c r="BE273">
        <f t="shared" si="59"/>
        <v>22.538837818518516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7.7530700000000001</v>
      </c>
      <c r="I274" s="22">
        <v>-1.6513099999999999E-2</v>
      </c>
      <c r="J274" s="22">
        <v>264</v>
      </c>
      <c r="K274" s="22">
        <v>0.35012799999999999</v>
      </c>
      <c r="L274">
        <f t="shared" si="48"/>
        <v>20.386543209876539</v>
      </c>
      <c r="M274">
        <f t="shared" si="49"/>
        <v>7.1484802169135788</v>
      </c>
      <c r="N274" s="9"/>
      <c r="O274" s="22">
        <v>1.2294</v>
      </c>
      <c r="P274" s="22">
        <v>11.3306</v>
      </c>
      <c r="Q274" s="22">
        <v>-1.4907800000000001E-2</v>
      </c>
      <c r="R274" s="22">
        <v>264</v>
      </c>
      <c r="S274" s="22">
        <v>1.2283299999999999</v>
      </c>
      <c r="T274">
        <f t="shared" si="50"/>
        <v>18.404691358024692</v>
      </c>
      <c r="U274">
        <f t="shared" si="51"/>
        <v>22.626727555555558</v>
      </c>
      <c r="X274" s="9"/>
      <c r="Y274" s="22">
        <v>0.35064699999999999</v>
      </c>
      <c r="Z274" s="22">
        <v>16.636099999999999</v>
      </c>
      <c r="AA274" s="22">
        <v>-1.6467300000000001E-2</v>
      </c>
      <c r="AB274" s="22">
        <v>264</v>
      </c>
      <c r="AC274" s="22">
        <v>0.35003699999999999</v>
      </c>
      <c r="AD274">
        <f t="shared" si="52"/>
        <v>20.330000000000002</v>
      </c>
      <c r="AE274">
        <f t="shared" si="53"/>
        <v>7.1286535100000004</v>
      </c>
      <c r="AF274" s="9"/>
      <c r="AG274" s="22">
        <v>1.2294</v>
      </c>
      <c r="AH274" s="22">
        <v>20.2136</v>
      </c>
      <c r="AI274" s="22">
        <v>-1.4892600000000001E-2</v>
      </c>
      <c r="AJ274" s="22">
        <v>264</v>
      </c>
      <c r="AK274" s="22">
        <v>1.2283299999999999</v>
      </c>
      <c r="AL274">
        <f t="shared" si="54"/>
        <v>18.385925925925928</v>
      </c>
      <c r="AM274">
        <f t="shared" si="55"/>
        <v>22.603657333333338</v>
      </c>
      <c r="AP274" s="9"/>
      <c r="AQ274" s="22">
        <v>0.35064699999999999</v>
      </c>
      <c r="AR274" s="22">
        <v>25.5123</v>
      </c>
      <c r="AS274" s="22">
        <v>-1.6439800000000001E-2</v>
      </c>
      <c r="AT274" s="22">
        <v>264</v>
      </c>
      <c r="AU274" s="22">
        <v>0.34997600000000001</v>
      </c>
      <c r="AV274">
        <f t="shared" si="56"/>
        <v>20.296049382716049</v>
      </c>
      <c r="AW274">
        <f t="shared" si="57"/>
        <v>7.1167488279012341</v>
      </c>
      <c r="AX274" s="9"/>
      <c r="AY274" s="22">
        <v>1.2294</v>
      </c>
      <c r="AZ274" s="22">
        <v>29.0898</v>
      </c>
      <c r="BA274" s="22">
        <v>-1.49017E-2</v>
      </c>
      <c r="BB274" s="22">
        <v>264</v>
      </c>
      <c r="BC274" s="22">
        <v>1.22803</v>
      </c>
      <c r="BD274">
        <f t="shared" si="58"/>
        <v>18.397160493827158</v>
      </c>
      <c r="BE274">
        <f t="shared" si="59"/>
        <v>22.617469111111109</v>
      </c>
    </row>
    <row r="275" spans="6:101">
      <c r="F275" s="9"/>
      <c r="G275" s="22">
        <v>0.34561199999999997</v>
      </c>
      <c r="H275" s="22">
        <v>7.7631399999999999</v>
      </c>
      <c r="I275" s="22">
        <v>-1.6528299999999999E-2</v>
      </c>
      <c r="J275" s="22">
        <v>265</v>
      </c>
      <c r="K275" s="22">
        <v>0.34497100000000003</v>
      </c>
      <c r="L275">
        <f t="shared" si="48"/>
        <v>20.405308641975306</v>
      </c>
      <c r="M275">
        <f t="shared" si="49"/>
        <v>7.0523195303703687</v>
      </c>
      <c r="N275" s="9"/>
      <c r="O275" s="22">
        <v>1.23444</v>
      </c>
      <c r="P275" s="22">
        <v>11.3406</v>
      </c>
      <c r="Q275" s="22">
        <v>-1.4898700000000001E-2</v>
      </c>
      <c r="R275" s="22">
        <v>265</v>
      </c>
      <c r="S275" s="22">
        <v>1.23444</v>
      </c>
      <c r="T275">
        <f t="shared" si="50"/>
        <v>18.393456790123455</v>
      </c>
      <c r="U275">
        <f t="shared" si="51"/>
        <v>22.705618799999996</v>
      </c>
      <c r="X275" s="9"/>
      <c r="Y275" s="22">
        <v>0.34561199999999997</v>
      </c>
      <c r="Z275" s="22">
        <v>16.6462</v>
      </c>
      <c r="AA275" s="22">
        <v>-1.6476399999999999E-2</v>
      </c>
      <c r="AB275" s="22">
        <v>265</v>
      </c>
      <c r="AC275" s="22">
        <v>0.34503200000000001</v>
      </c>
      <c r="AD275">
        <f t="shared" si="52"/>
        <v>20.341234567901232</v>
      </c>
      <c r="AE275">
        <f t="shared" si="53"/>
        <v>7.0301747614814802</v>
      </c>
      <c r="AF275" s="9"/>
      <c r="AG275" s="22">
        <v>1.23444</v>
      </c>
      <c r="AH275" s="22">
        <v>20.223700000000001</v>
      </c>
      <c r="AI275" s="22">
        <v>-1.48865E-2</v>
      </c>
      <c r="AJ275" s="22">
        <v>265</v>
      </c>
      <c r="AK275" s="22">
        <v>1.2335199999999999</v>
      </c>
      <c r="AL275">
        <f t="shared" si="54"/>
        <v>18.378395061728394</v>
      </c>
      <c r="AM275">
        <f t="shared" si="55"/>
        <v>22.687025999999999</v>
      </c>
      <c r="AP275" s="9"/>
      <c r="AQ275" s="22">
        <v>0.34561199999999997</v>
      </c>
      <c r="AR275" s="22">
        <v>25.522400000000001</v>
      </c>
      <c r="AS275" s="22">
        <v>-1.6448999999999998E-2</v>
      </c>
      <c r="AT275" s="22">
        <v>265</v>
      </c>
      <c r="AU275" s="22">
        <v>0.34515400000000002</v>
      </c>
      <c r="AV275">
        <f t="shared" si="56"/>
        <v>20.307407407407403</v>
      </c>
      <c r="AW275">
        <f t="shared" si="57"/>
        <v>7.0184836888888871</v>
      </c>
      <c r="AX275" s="9"/>
      <c r="AY275" s="22">
        <v>1.23444</v>
      </c>
      <c r="AZ275" s="22">
        <v>29.099900000000002</v>
      </c>
      <c r="BA275" s="22">
        <v>-1.4892600000000001E-2</v>
      </c>
      <c r="BB275" s="22">
        <v>265</v>
      </c>
      <c r="BC275" s="22">
        <v>1.23383</v>
      </c>
      <c r="BD275">
        <f t="shared" si="58"/>
        <v>18.385925925925928</v>
      </c>
      <c r="BE275">
        <f t="shared" si="59"/>
        <v>22.696322400000003</v>
      </c>
    </row>
    <row r="276" spans="6:101">
      <c r="F276" s="9"/>
      <c r="G276" s="22">
        <v>0.34057599999999999</v>
      </c>
      <c r="H276" s="22">
        <v>7.7732099999999997</v>
      </c>
      <c r="I276" s="22">
        <v>-1.65405E-2</v>
      </c>
      <c r="J276" s="22">
        <v>266</v>
      </c>
      <c r="K276" s="22">
        <v>0.339783</v>
      </c>
      <c r="L276">
        <f t="shared" si="48"/>
        <v>20.420370370370371</v>
      </c>
      <c r="M276">
        <f t="shared" si="49"/>
        <v>6.9546880592592588</v>
      </c>
      <c r="N276" s="9"/>
      <c r="O276" s="22">
        <v>1.2394700000000001</v>
      </c>
      <c r="P276" s="22">
        <v>11.3507</v>
      </c>
      <c r="Q276" s="22">
        <v>-1.48865E-2</v>
      </c>
      <c r="R276" s="22">
        <v>266</v>
      </c>
      <c r="S276" s="22">
        <v>1.2383999999999999</v>
      </c>
      <c r="T276">
        <f t="shared" si="50"/>
        <v>18.378395061728394</v>
      </c>
      <c r="U276">
        <f t="shared" si="51"/>
        <v>22.779469327160495</v>
      </c>
      <c r="X276" s="9"/>
      <c r="Y276" s="22">
        <v>0.34057599999999999</v>
      </c>
      <c r="Z276" s="22">
        <v>16.656300000000002</v>
      </c>
      <c r="AA276" s="22">
        <v>-1.6488599999999999E-2</v>
      </c>
      <c r="AB276" s="22">
        <v>266</v>
      </c>
      <c r="AC276" s="22">
        <v>0.339752</v>
      </c>
      <c r="AD276">
        <f t="shared" si="52"/>
        <v>20.356296296296293</v>
      </c>
      <c r="AE276">
        <f t="shared" si="53"/>
        <v>6.9328659674074062</v>
      </c>
      <c r="AF276" s="9"/>
      <c r="AG276" s="22">
        <v>1.2394700000000001</v>
      </c>
      <c r="AH276" s="22">
        <v>20.233699999999999</v>
      </c>
      <c r="AI276" s="22">
        <v>-1.48743E-2</v>
      </c>
      <c r="AJ276" s="22">
        <v>266</v>
      </c>
      <c r="AK276" s="22">
        <v>1.2390099999999999</v>
      </c>
      <c r="AL276">
        <f t="shared" si="54"/>
        <v>18.363333333333333</v>
      </c>
      <c r="AM276">
        <f t="shared" si="55"/>
        <v>22.760800766666669</v>
      </c>
      <c r="AP276" s="9"/>
      <c r="AQ276" s="22">
        <v>0.34057599999999999</v>
      </c>
      <c r="AR276" s="22">
        <v>25.532399999999999</v>
      </c>
      <c r="AS276" s="22">
        <v>-1.6461199999999999E-2</v>
      </c>
      <c r="AT276" s="22">
        <v>266</v>
      </c>
      <c r="AU276" s="22">
        <v>0.339783</v>
      </c>
      <c r="AV276">
        <f t="shared" si="56"/>
        <v>20.322469135802464</v>
      </c>
      <c r="AW276">
        <f t="shared" si="57"/>
        <v>6.9213452483950597</v>
      </c>
      <c r="AX276" s="9"/>
      <c r="AY276" s="22">
        <v>1.2394700000000001</v>
      </c>
      <c r="AZ276" s="22">
        <v>29.1099</v>
      </c>
      <c r="BA276" s="22">
        <v>-1.48834E-2</v>
      </c>
      <c r="BB276" s="22">
        <v>266</v>
      </c>
      <c r="BC276" s="22">
        <v>1.2383999999999999</v>
      </c>
      <c r="BD276">
        <f t="shared" si="58"/>
        <v>18.374567901234567</v>
      </c>
      <c r="BE276">
        <f t="shared" si="59"/>
        <v>22.774725676543209</v>
      </c>
    </row>
    <row r="277" spans="6:101">
      <c r="F277" s="9"/>
      <c r="G277" s="22">
        <v>0.33554099999999998</v>
      </c>
      <c r="H277" s="22">
        <v>7.7832800000000004</v>
      </c>
      <c r="I277" s="22">
        <v>-1.65527E-2</v>
      </c>
      <c r="J277" s="22">
        <v>267</v>
      </c>
      <c r="K277" s="22">
        <v>0.33474700000000002</v>
      </c>
      <c r="L277">
        <f t="shared" si="48"/>
        <v>20.435432098765428</v>
      </c>
      <c r="M277">
        <f t="shared" si="49"/>
        <v>6.8569253218518504</v>
      </c>
      <c r="N277" s="9"/>
      <c r="O277" s="22">
        <v>1.24451</v>
      </c>
      <c r="P277" s="22">
        <v>11.360799999999999</v>
      </c>
      <c r="Q277" s="22">
        <v>-1.48773E-2</v>
      </c>
      <c r="R277" s="22">
        <v>267</v>
      </c>
      <c r="S277" s="22">
        <v>1.2439</v>
      </c>
      <c r="T277">
        <f t="shared" si="50"/>
        <v>18.367037037037036</v>
      </c>
      <c r="U277">
        <f t="shared" si="51"/>
        <v>22.857961262962963</v>
      </c>
      <c r="X277" s="9"/>
      <c r="Y277" s="22">
        <v>0.33554099999999998</v>
      </c>
      <c r="Z277" s="22">
        <v>16.6663</v>
      </c>
      <c r="AA277" s="22">
        <v>-1.64978E-2</v>
      </c>
      <c r="AB277" s="22">
        <v>267</v>
      </c>
      <c r="AC277" s="22">
        <v>0.334839</v>
      </c>
      <c r="AD277">
        <f t="shared" si="52"/>
        <v>20.367654320987651</v>
      </c>
      <c r="AE277">
        <f t="shared" si="53"/>
        <v>6.8341830985185172</v>
      </c>
      <c r="AF277" s="9"/>
      <c r="AG277" s="22">
        <v>1.24451</v>
      </c>
      <c r="AH277" s="22">
        <v>20.2438</v>
      </c>
      <c r="AI277" s="22">
        <v>-1.4865099999999999E-2</v>
      </c>
      <c r="AJ277" s="22">
        <v>267</v>
      </c>
      <c r="AK277" s="22">
        <v>1.24329</v>
      </c>
      <c r="AL277">
        <f t="shared" si="54"/>
        <v>18.351975308641972</v>
      </c>
      <c r="AM277">
        <f t="shared" si="55"/>
        <v>22.83921679135802</v>
      </c>
      <c r="AP277" s="9"/>
      <c r="AQ277" s="22">
        <v>0.33554099999999998</v>
      </c>
      <c r="AR277" s="22">
        <v>25.5425</v>
      </c>
      <c r="AS277" s="22">
        <v>-1.6473399999999999E-2</v>
      </c>
      <c r="AT277" s="22">
        <v>267</v>
      </c>
      <c r="AU277" s="22">
        <v>0.33496100000000001</v>
      </c>
      <c r="AV277">
        <f t="shared" si="56"/>
        <v>20.337530864197529</v>
      </c>
      <c r="AW277">
        <f t="shared" si="57"/>
        <v>6.8240754437037028</v>
      </c>
      <c r="AX277" s="9"/>
      <c r="AY277" s="22">
        <v>1.24451</v>
      </c>
      <c r="AZ277" s="22">
        <v>29.12</v>
      </c>
      <c r="BA277" s="22">
        <v>-1.4871199999999999E-2</v>
      </c>
      <c r="BB277" s="22">
        <v>267</v>
      </c>
      <c r="BC277" s="22">
        <v>1.24451</v>
      </c>
      <c r="BD277">
        <f t="shared" si="58"/>
        <v>18.359506172839506</v>
      </c>
      <c r="BE277">
        <f t="shared" si="59"/>
        <v>22.848589027160493</v>
      </c>
    </row>
    <row r="278" spans="6:101">
      <c r="F278" s="9"/>
      <c r="G278" s="22">
        <v>0.33050499999999999</v>
      </c>
      <c r="H278" s="22">
        <v>7.7933500000000002</v>
      </c>
      <c r="I278" s="22">
        <v>-1.6561900000000001E-2</v>
      </c>
      <c r="J278" s="22">
        <v>268</v>
      </c>
      <c r="K278" s="22">
        <v>0.32977299999999998</v>
      </c>
      <c r="L278">
        <f t="shared" si="48"/>
        <v>20.44679012345679</v>
      </c>
      <c r="M278">
        <f t="shared" si="49"/>
        <v>6.7577663697530861</v>
      </c>
      <c r="N278" s="9"/>
      <c r="O278" s="22">
        <v>1.2495400000000001</v>
      </c>
      <c r="P278" s="22">
        <v>11.370799999999999</v>
      </c>
      <c r="Q278" s="22">
        <v>-1.48682E-2</v>
      </c>
      <c r="R278" s="22">
        <v>268</v>
      </c>
      <c r="S278" s="22">
        <v>1.24908</v>
      </c>
      <c r="T278">
        <f t="shared" si="50"/>
        <v>18.355802469135799</v>
      </c>
      <c r="U278">
        <f t="shared" si="51"/>
        <v>22.936309417283947</v>
      </c>
      <c r="X278" s="9"/>
      <c r="Y278" s="22">
        <v>0.33050499999999999</v>
      </c>
      <c r="Z278" s="22">
        <v>16.676400000000001</v>
      </c>
      <c r="AA278" s="22">
        <v>-1.651E-2</v>
      </c>
      <c r="AB278" s="22">
        <v>268</v>
      </c>
      <c r="AC278" s="22">
        <v>0.32980300000000001</v>
      </c>
      <c r="AD278">
        <f t="shared" si="52"/>
        <v>20.382716049382715</v>
      </c>
      <c r="AE278">
        <f t="shared" si="53"/>
        <v>6.736589567901234</v>
      </c>
      <c r="AF278" s="9"/>
      <c r="AG278" s="22">
        <v>1.2495400000000001</v>
      </c>
      <c r="AH278" s="22">
        <v>20.253900000000002</v>
      </c>
      <c r="AI278" s="22">
        <v>-1.4855999999999999E-2</v>
      </c>
      <c r="AJ278" s="22">
        <v>268</v>
      </c>
      <c r="AK278" s="22">
        <v>1.24878</v>
      </c>
      <c r="AL278">
        <f t="shared" si="54"/>
        <v>18.340740740740738</v>
      </c>
      <c r="AM278">
        <f t="shared" si="55"/>
        <v>22.917489185185183</v>
      </c>
      <c r="AP278" s="9"/>
      <c r="AQ278" s="22">
        <v>0.33050499999999999</v>
      </c>
      <c r="AR278" s="22">
        <v>25.552600000000002</v>
      </c>
      <c r="AS278" s="22">
        <v>-1.6482500000000001E-2</v>
      </c>
      <c r="AT278" s="22">
        <v>268</v>
      </c>
      <c r="AU278" s="22">
        <v>0.32995600000000003</v>
      </c>
      <c r="AV278">
        <f t="shared" si="56"/>
        <v>20.348765432098766</v>
      </c>
      <c r="AW278">
        <f t="shared" si="57"/>
        <v>6.7253687191358029</v>
      </c>
      <c r="AX278" s="9"/>
      <c r="AY278" s="22">
        <v>1.2495400000000001</v>
      </c>
      <c r="AZ278" s="22">
        <v>29.130099999999999</v>
      </c>
      <c r="BA278" s="22">
        <v>-1.48621E-2</v>
      </c>
      <c r="BB278" s="22">
        <v>268</v>
      </c>
      <c r="BC278" s="22">
        <v>1.24817</v>
      </c>
      <c r="BD278">
        <f t="shared" si="58"/>
        <v>18.348271604938269</v>
      </c>
      <c r="BE278">
        <f t="shared" si="59"/>
        <v>22.926899301234567</v>
      </c>
    </row>
    <row r="279" spans="6:101">
      <c r="F279" s="9"/>
      <c r="G279" s="22">
        <v>0.32546999999999998</v>
      </c>
      <c r="H279" s="22">
        <v>7.80342</v>
      </c>
      <c r="I279" s="22">
        <v>-1.6567999999999999E-2</v>
      </c>
      <c r="J279" s="22">
        <v>269</v>
      </c>
      <c r="K279" s="22">
        <v>0.324768</v>
      </c>
      <c r="L279">
        <f t="shared" si="48"/>
        <v>20.454320987654317</v>
      </c>
      <c r="M279">
        <f t="shared" si="49"/>
        <v>6.6572678518518504</v>
      </c>
      <c r="N279" s="9"/>
      <c r="O279" s="22">
        <v>1.25458</v>
      </c>
      <c r="P279" s="22">
        <v>11.3809</v>
      </c>
      <c r="Q279" s="22">
        <v>-1.4859000000000001E-2</v>
      </c>
      <c r="R279" s="22">
        <v>269</v>
      </c>
      <c r="S279" s="22">
        <v>1.25336</v>
      </c>
      <c r="T279">
        <f t="shared" si="50"/>
        <v>18.344444444444445</v>
      </c>
      <c r="U279">
        <f t="shared" si="51"/>
        <v>23.014573111111112</v>
      </c>
      <c r="X279" s="9"/>
      <c r="Y279" s="22">
        <v>0.32546999999999998</v>
      </c>
      <c r="Z279" s="22">
        <v>16.686499999999999</v>
      </c>
      <c r="AA279" s="22">
        <v>-1.6519200000000001E-2</v>
      </c>
      <c r="AB279" s="22">
        <v>269</v>
      </c>
      <c r="AC279" s="22">
        <v>0.324799</v>
      </c>
      <c r="AD279">
        <f t="shared" si="52"/>
        <v>20.394074074074076</v>
      </c>
      <c r="AE279">
        <f t="shared" si="53"/>
        <v>6.637659288888889</v>
      </c>
      <c r="AF279" s="9"/>
      <c r="AG279" s="22">
        <v>1.25458</v>
      </c>
      <c r="AH279" s="22">
        <v>20.263999999999999</v>
      </c>
      <c r="AI279" s="22">
        <v>-1.48468E-2</v>
      </c>
      <c r="AJ279" s="22">
        <v>269</v>
      </c>
      <c r="AK279" s="22">
        <v>1.25397</v>
      </c>
      <c r="AL279">
        <f t="shared" si="54"/>
        <v>18.329382716049381</v>
      </c>
      <c r="AM279">
        <f t="shared" si="55"/>
        <v>22.995676967901233</v>
      </c>
      <c r="AP279" s="9"/>
      <c r="AQ279" s="22">
        <v>0.32546999999999998</v>
      </c>
      <c r="AR279" s="22">
        <v>25.5627</v>
      </c>
      <c r="AS279" s="22">
        <v>-1.6491700000000001E-2</v>
      </c>
      <c r="AT279" s="22">
        <v>269</v>
      </c>
      <c r="AU279" s="22">
        <v>0.32473800000000003</v>
      </c>
      <c r="AV279">
        <f t="shared" si="56"/>
        <v>20.360123456790124</v>
      </c>
      <c r="AW279">
        <f t="shared" si="57"/>
        <v>6.6266093814814813</v>
      </c>
      <c r="AX279" s="9"/>
      <c r="AY279" s="22">
        <v>1.25458</v>
      </c>
      <c r="AZ279" s="22">
        <v>29.1401</v>
      </c>
      <c r="BA279" s="22">
        <v>-1.4849899999999999E-2</v>
      </c>
      <c r="BB279" s="22">
        <v>269</v>
      </c>
      <c r="BC279" s="22">
        <v>1.25366</v>
      </c>
      <c r="BD279">
        <f t="shared" si="58"/>
        <v>18.333209876543208</v>
      </c>
      <c r="BE279">
        <f t="shared" si="59"/>
        <v>23.000478446913579</v>
      </c>
    </row>
    <row r="280" spans="6:101">
      <c r="F280" s="9"/>
      <c r="G280" s="22">
        <v>0.32043500000000003</v>
      </c>
      <c r="H280" s="22">
        <v>7.8134899999999998</v>
      </c>
      <c r="I280" s="22">
        <v>-1.6574100000000001E-2</v>
      </c>
      <c r="J280" s="22">
        <v>270</v>
      </c>
      <c r="K280" s="22">
        <v>0.31973299999999999</v>
      </c>
      <c r="L280">
        <f t="shared" si="48"/>
        <v>20.461851851851854</v>
      </c>
      <c r="M280">
        <f t="shared" si="49"/>
        <v>6.5566934981481495</v>
      </c>
      <c r="N280" s="9"/>
      <c r="O280" s="22">
        <v>1.2596099999999999</v>
      </c>
      <c r="P280" s="22">
        <v>11.391</v>
      </c>
      <c r="Q280" s="22">
        <v>-1.48468E-2</v>
      </c>
      <c r="R280" s="22">
        <v>270</v>
      </c>
      <c r="S280" s="22">
        <v>1.25824</v>
      </c>
      <c r="T280">
        <f t="shared" si="50"/>
        <v>18.329382716049381</v>
      </c>
      <c r="U280">
        <f t="shared" si="51"/>
        <v>23.087873762962957</v>
      </c>
      <c r="X280" s="9"/>
      <c r="Y280" s="22">
        <v>0.32043500000000003</v>
      </c>
      <c r="Z280" s="22">
        <v>16.6965</v>
      </c>
      <c r="AA280" s="22">
        <v>-1.6531400000000002E-2</v>
      </c>
      <c r="AB280" s="22">
        <v>270</v>
      </c>
      <c r="AC280" s="22">
        <v>0.31976300000000002</v>
      </c>
      <c r="AD280">
        <f t="shared" si="52"/>
        <v>20.409135802469137</v>
      </c>
      <c r="AE280">
        <f t="shared" si="53"/>
        <v>6.5398014308641983</v>
      </c>
      <c r="AF280" s="9"/>
      <c r="AG280" s="22">
        <v>1.2596099999999999</v>
      </c>
      <c r="AH280" s="22">
        <v>20.274000000000001</v>
      </c>
      <c r="AI280" s="22">
        <v>-1.48346E-2</v>
      </c>
      <c r="AJ280" s="22">
        <v>270</v>
      </c>
      <c r="AK280" s="22">
        <v>1.25824</v>
      </c>
      <c r="AL280">
        <f t="shared" si="54"/>
        <v>18.31432098765432</v>
      </c>
      <c r="AM280">
        <f t="shared" si="55"/>
        <v>23.068901859259256</v>
      </c>
      <c r="AP280" s="9"/>
      <c r="AQ280" s="22">
        <v>0.32043500000000003</v>
      </c>
      <c r="AR280" s="22">
        <v>25.572700000000001</v>
      </c>
      <c r="AS280" s="22">
        <v>-1.6500899999999999E-2</v>
      </c>
      <c r="AT280" s="22">
        <v>270</v>
      </c>
      <c r="AU280" s="22">
        <v>0.31976300000000002</v>
      </c>
      <c r="AV280">
        <f t="shared" si="56"/>
        <v>20.371481481481482</v>
      </c>
      <c r="AW280">
        <f t="shared" si="57"/>
        <v>6.5277356685185186</v>
      </c>
      <c r="AX280" s="9"/>
      <c r="AY280" s="22">
        <v>1.2596099999999999</v>
      </c>
      <c r="AZ280" s="22">
        <v>29.150200000000002</v>
      </c>
      <c r="BA280" s="22">
        <v>-1.4837599999999999E-2</v>
      </c>
      <c r="BB280" s="22">
        <v>270</v>
      </c>
      <c r="BC280" s="22">
        <v>1.25885</v>
      </c>
      <c r="BD280">
        <f t="shared" si="58"/>
        <v>18.318024691358023</v>
      </c>
      <c r="BE280">
        <f t="shared" si="59"/>
        <v>23.073567081481478</v>
      </c>
    </row>
    <row r="281" spans="6:101">
      <c r="F281" s="9"/>
      <c r="G281" s="22">
        <v>0.31539899999999998</v>
      </c>
      <c r="H281" s="22">
        <v>7.8235700000000001</v>
      </c>
      <c r="I281" s="22">
        <v>-1.65802E-2</v>
      </c>
      <c r="J281" s="22">
        <v>271</v>
      </c>
      <c r="K281" s="22">
        <v>0.31472800000000001</v>
      </c>
      <c r="L281">
        <f t="shared" si="48"/>
        <v>20.469382716049381</v>
      </c>
      <c r="M281">
        <f t="shared" si="49"/>
        <v>6.4560228392592585</v>
      </c>
      <c r="N281" s="9"/>
      <c r="O281" s="22">
        <v>1.2646500000000001</v>
      </c>
      <c r="P281" s="22">
        <v>11.401</v>
      </c>
      <c r="Q281" s="22">
        <v>-1.4837599999999999E-2</v>
      </c>
      <c r="R281" s="22">
        <v>271</v>
      </c>
      <c r="S281" s="22">
        <v>1.2640400000000001</v>
      </c>
      <c r="T281">
        <f t="shared" si="50"/>
        <v>18.318024691358023</v>
      </c>
      <c r="U281">
        <f t="shared" si="51"/>
        <v>23.165889925925924</v>
      </c>
      <c r="X281" s="9"/>
      <c r="Y281" s="22">
        <v>0.31539899999999998</v>
      </c>
      <c r="Z281" s="22">
        <v>16.706600000000002</v>
      </c>
      <c r="AA281" s="22">
        <v>-1.65405E-2</v>
      </c>
      <c r="AB281" s="22">
        <v>271</v>
      </c>
      <c r="AC281" s="22">
        <v>0.31478899999999999</v>
      </c>
      <c r="AD281">
        <f t="shared" si="52"/>
        <v>20.420370370370371</v>
      </c>
      <c r="AE281">
        <f t="shared" si="53"/>
        <v>6.4405643944444444</v>
      </c>
      <c r="AF281" s="9"/>
      <c r="AG281" s="22">
        <v>1.2646500000000001</v>
      </c>
      <c r="AH281" s="22">
        <v>20.284099999999999</v>
      </c>
      <c r="AI281" s="22">
        <v>-1.4825400000000001E-2</v>
      </c>
      <c r="AJ281" s="22">
        <v>271</v>
      </c>
      <c r="AK281" s="22">
        <v>1.26434</v>
      </c>
      <c r="AL281">
        <f t="shared" si="54"/>
        <v>18.302962962962962</v>
      </c>
      <c r="AM281">
        <f t="shared" si="55"/>
        <v>23.146842111111109</v>
      </c>
      <c r="AP281" s="9"/>
      <c r="AQ281" s="22">
        <v>0.31539899999999998</v>
      </c>
      <c r="AR281" s="22">
        <v>25.582799999999999</v>
      </c>
      <c r="AS281" s="22">
        <v>-1.6513099999999999E-2</v>
      </c>
      <c r="AT281" s="22">
        <v>271</v>
      </c>
      <c r="AU281" s="22">
        <v>0.31485000000000002</v>
      </c>
      <c r="AV281">
        <f t="shared" si="56"/>
        <v>20.386543209876539</v>
      </c>
      <c r="AW281">
        <f t="shared" si="57"/>
        <v>6.4298953418518501</v>
      </c>
      <c r="AX281" s="9"/>
      <c r="AY281" s="22">
        <v>1.2646500000000001</v>
      </c>
      <c r="AZ281" s="22">
        <v>29.160299999999999</v>
      </c>
      <c r="BA281" s="22">
        <v>-1.48285E-2</v>
      </c>
      <c r="BB281" s="22">
        <v>271</v>
      </c>
      <c r="BC281" s="22">
        <v>1.2640400000000001</v>
      </c>
      <c r="BD281">
        <f t="shared" si="58"/>
        <v>18.306790123456789</v>
      </c>
      <c r="BE281">
        <f t="shared" si="59"/>
        <v>23.151682129629631</v>
      </c>
    </row>
    <row r="282" spans="6:101">
      <c r="F282" s="9"/>
      <c r="G282" s="22">
        <v>0.31036399999999997</v>
      </c>
      <c r="H282" s="22">
        <v>7.8336399999999999</v>
      </c>
      <c r="I282" s="22">
        <v>-1.6589400000000001E-2</v>
      </c>
      <c r="J282" s="22">
        <v>272</v>
      </c>
      <c r="K282" s="22">
        <v>0.30966199999999999</v>
      </c>
      <c r="L282">
        <f t="shared" si="48"/>
        <v>20.480740740740739</v>
      </c>
      <c r="M282">
        <f t="shared" si="49"/>
        <v>6.3564846192592581</v>
      </c>
      <c r="N282" s="9"/>
      <c r="O282" s="22">
        <v>1.2696799999999999</v>
      </c>
      <c r="P282" s="22">
        <v>11.411099999999999</v>
      </c>
      <c r="Q282" s="22">
        <v>-1.4825400000000001E-2</v>
      </c>
      <c r="R282" s="22">
        <v>272</v>
      </c>
      <c r="S282" s="22">
        <v>1.26892</v>
      </c>
      <c r="T282">
        <f t="shared" si="50"/>
        <v>18.302962962962962</v>
      </c>
      <c r="U282">
        <f t="shared" si="51"/>
        <v>23.238906014814813</v>
      </c>
      <c r="X282" s="9"/>
      <c r="Y282" s="22">
        <v>0.31036399999999997</v>
      </c>
      <c r="Z282" s="22">
        <v>16.716699999999999</v>
      </c>
      <c r="AA282" s="22">
        <v>-1.65527E-2</v>
      </c>
      <c r="AB282" s="22">
        <v>272</v>
      </c>
      <c r="AC282" s="22">
        <v>0.30972300000000003</v>
      </c>
      <c r="AD282">
        <f t="shared" si="52"/>
        <v>20.435432098765428</v>
      </c>
      <c r="AE282">
        <f t="shared" si="53"/>
        <v>6.3424224479012326</v>
      </c>
      <c r="AF282" s="9"/>
      <c r="AG282" s="22">
        <v>1.2696799999999999</v>
      </c>
      <c r="AH282" s="22">
        <v>20.2942</v>
      </c>
      <c r="AI282" s="22">
        <v>-1.48132E-2</v>
      </c>
      <c r="AJ282" s="22">
        <v>272</v>
      </c>
      <c r="AK282" s="22">
        <v>1.2686200000000001</v>
      </c>
      <c r="AL282">
        <f t="shared" si="54"/>
        <v>18.287901234567901</v>
      </c>
      <c r="AM282">
        <f t="shared" si="55"/>
        <v>23.219782439506172</v>
      </c>
      <c r="AP282" s="9"/>
      <c r="AQ282" s="22">
        <v>0.31036399999999997</v>
      </c>
      <c r="AR282" s="22">
        <v>25.5929</v>
      </c>
      <c r="AS282" s="22">
        <v>-1.6522200000000001E-2</v>
      </c>
      <c r="AT282" s="22">
        <v>272</v>
      </c>
      <c r="AU282" s="22">
        <v>0.30972300000000003</v>
      </c>
      <c r="AV282">
        <f t="shared" si="56"/>
        <v>20.39777777777778</v>
      </c>
      <c r="AW282">
        <f t="shared" si="57"/>
        <v>6.330735902222222</v>
      </c>
      <c r="AX282" s="9"/>
      <c r="AY282" s="22">
        <v>1.2696799999999999</v>
      </c>
      <c r="AZ282" s="22">
        <v>29.170300000000001</v>
      </c>
      <c r="BA282" s="22">
        <v>-1.4819300000000001E-2</v>
      </c>
      <c r="BB282" s="22">
        <v>272</v>
      </c>
      <c r="BC282" s="22">
        <v>1.26892</v>
      </c>
      <c r="BD282">
        <f t="shared" si="58"/>
        <v>18.295432098765431</v>
      </c>
      <c r="BE282">
        <f t="shared" si="59"/>
        <v>23.229344227160492</v>
      </c>
    </row>
    <row r="283" spans="6:101">
      <c r="F283" s="9"/>
      <c r="G283" s="22">
        <v>0.30532799999999999</v>
      </c>
      <c r="H283" s="22">
        <v>7.8437099999999997</v>
      </c>
      <c r="I283" s="22">
        <v>-1.6598499999999999E-2</v>
      </c>
      <c r="J283" s="22">
        <v>273</v>
      </c>
      <c r="K283" s="22">
        <v>0.30477900000000002</v>
      </c>
      <c r="L283">
        <f t="shared" si="48"/>
        <v>20.491975308641972</v>
      </c>
      <c r="M283">
        <f t="shared" si="49"/>
        <v>6.256773837037036</v>
      </c>
      <c r="N283" s="9"/>
      <c r="O283" s="22">
        <v>1.2747200000000001</v>
      </c>
      <c r="P283" s="22">
        <v>11.421200000000001</v>
      </c>
      <c r="Q283" s="22">
        <v>-1.48132E-2</v>
      </c>
      <c r="R283" s="22">
        <v>273</v>
      </c>
      <c r="S283" s="22">
        <v>1.2735000000000001</v>
      </c>
      <c r="T283">
        <f t="shared" si="50"/>
        <v>18.287901234567901</v>
      </c>
      <c r="U283">
        <f t="shared" si="51"/>
        <v>23.311953461728397</v>
      </c>
      <c r="X283" s="9"/>
      <c r="Y283" s="22">
        <v>0.30532799999999999</v>
      </c>
      <c r="Z283" s="22">
        <v>16.726800000000001</v>
      </c>
      <c r="AA283" s="22">
        <v>-1.6561900000000001E-2</v>
      </c>
      <c r="AB283" s="22">
        <v>273</v>
      </c>
      <c r="AC283" s="22">
        <v>0.30456499999999997</v>
      </c>
      <c r="AD283">
        <f t="shared" si="52"/>
        <v>20.44679012345679</v>
      </c>
      <c r="AE283">
        <f t="shared" si="53"/>
        <v>6.2429775348148144</v>
      </c>
      <c r="AF283" s="9"/>
      <c r="AG283" s="22">
        <v>1.2747200000000001</v>
      </c>
      <c r="AH283" s="22">
        <v>20.304200000000002</v>
      </c>
      <c r="AI283" s="22">
        <v>-1.4804100000000001E-2</v>
      </c>
      <c r="AJ283" s="22">
        <v>273</v>
      </c>
      <c r="AK283" s="22">
        <v>1.2738</v>
      </c>
      <c r="AL283">
        <f t="shared" si="54"/>
        <v>18.276666666666667</v>
      </c>
      <c r="AM283">
        <f t="shared" si="55"/>
        <v>23.297632533333335</v>
      </c>
      <c r="AP283" s="9"/>
      <c r="AQ283" s="22">
        <v>0.30532799999999999</v>
      </c>
      <c r="AR283" s="22">
        <v>25.602900000000002</v>
      </c>
      <c r="AS283" s="22">
        <v>-1.6528299999999999E-2</v>
      </c>
      <c r="AT283" s="22">
        <v>273</v>
      </c>
      <c r="AU283" s="22">
        <v>0.30462600000000001</v>
      </c>
      <c r="AV283">
        <f t="shared" si="56"/>
        <v>20.405308641975306</v>
      </c>
      <c r="AW283">
        <f t="shared" si="57"/>
        <v>6.2303120770370359</v>
      </c>
      <c r="AX283" s="9"/>
      <c r="AY283" s="22">
        <v>1.2747200000000001</v>
      </c>
      <c r="AZ283" s="22">
        <v>29.180399999999999</v>
      </c>
      <c r="BA283" s="22">
        <v>-1.48071E-2</v>
      </c>
      <c r="BB283" s="22">
        <v>273</v>
      </c>
      <c r="BC283" s="22">
        <v>1.2735000000000001</v>
      </c>
      <c r="BD283">
        <f t="shared" si="58"/>
        <v>18.28037037037037</v>
      </c>
      <c r="BE283">
        <f t="shared" si="59"/>
        <v>23.302353718518521</v>
      </c>
    </row>
    <row r="284" spans="6:101">
      <c r="F284" s="9"/>
      <c r="G284" s="22">
        <v>0.30029299999999998</v>
      </c>
      <c r="H284" s="22">
        <v>7.8537800000000004</v>
      </c>
      <c r="I284" s="22">
        <v>-1.6610699999999999E-2</v>
      </c>
      <c r="J284" s="22">
        <v>274</v>
      </c>
      <c r="K284" s="22">
        <v>0.29965199999999997</v>
      </c>
      <c r="L284">
        <f t="shared" si="48"/>
        <v>20.507037037037037</v>
      </c>
      <c r="M284">
        <f t="shared" si="49"/>
        <v>6.1581196729629628</v>
      </c>
      <c r="N284" s="9"/>
      <c r="O284" s="22">
        <v>1.2797499999999999</v>
      </c>
      <c r="P284" s="22">
        <v>11.4313</v>
      </c>
      <c r="Q284" s="22">
        <v>-1.4801E-2</v>
      </c>
      <c r="R284" s="22">
        <v>274</v>
      </c>
      <c r="S284" s="22">
        <v>1.2786900000000001</v>
      </c>
      <c r="T284">
        <f t="shared" si="50"/>
        <v>18.27283950617284</v>
      </c>
      <c r="U284">
        <f t="shared" si="51"/>
        <v>23.384666358024692</v>
      </c>
      <c r="X284" s="9"/>
      <c r="Y284" s="22">
        <v>0.30029299999999998</v>
      </c>
      <c r="Z284" s="22">
        <v>16.736799999999999</v>
      </c>
      <c r="AA284" s="22">
        <v>-1.6574100000000001E-2</v>
      </c>
      <c r="AB284" s="22">
        <v>274</v>
      </c>
      <c r="AC284" s="22">
        <v>0.29956100000000002</v>
      </c>
      <c r="AD284">
        <f t="shared" si="52"/>
        <v>20.461851851851854</v>
      </c>
      <c r="AE284">
        <f t="shared" si="53"/>
        <v>6.1445508781481486</v>
      </c>
      <c r="AF284" s="9"/>
      <c r="AG284" s="22">
        <v>1.2797499999999999</v>
      </c>
      <c r="AH284" s="22">
        <v>20.314299999999999</v>
      </c>
      <c r="AI284" s="22">
        <v>-1.47919E-2</v>
      </c>
      <c r="AJ284" s="22">
        <v>274</v>
      </c>
      <c r="AK284" s="22">
        <v>1.2789900000000001</v>
      </c>
      <c r="AL284">
        <f t="shared" si="54"/>
        <v>18.261604938271603</v>
      </c>
      <c r="AM284">
        <f t="shared" si="55"/>
        <v>23.370288919753083</v>
      </c>
      <c r="AP284" s="9"/>
      <c r="AQ284" s="22">
        <v>0.30029299999999998</v>
      </c>
      <c r="AR284" s="22">
        <v>25.613</v>
      </c>
      <c r="AS284" s="22">
        <v>-1.65405E-2</v>
      </c>
      <c r="AT284" s="22">
        <v>274</v>
      </c>
      <c r="AU284" s="22">
        <v>0.29968299999999998</v>
      </c>
      <c r="AV284">
        <f t="shared" si="56"/>
        <v>20.420370370370371</v>
      </c>
      <c r="AW284">
        <f t="shared" si="57"/>
        <v>6.1320942796296292</v>
      </c>
      <c r="AX284" s="9"/>
      <c r="AY284" s="22">
        <v>1.2797499999999999</v>
      </c>
      <c r="AZ284" s="22">
        <v>29.1905</v>
      </c>
      <c r="BA284" s="22">
        <v>-1.4798E-2</v>
      </c>
      <c r="BB284" s="22">
        <v>274</v>
      </c>
      <c r="BC284" s="22">
        <v>1.2793000000000001</v>
      </c>
      <c r="BD284">
        <f t="shared" si="58"/>
        <v>18.269135802469137</v>
      </c>
      <c r="BE284">
        <f t="shared" si="59"/>
        <v>23.379926543209876</v>
      </c>
    </row>
    <row r="285" spans="6:101">
      <c r="F285" s="9"/>
      <c r="G285" s="22">
        <v>0.29525800000000002</v>
      </c>
      <c r="H285" s="22">
        <v>7.8638500000000002</v>
      </c>
      <c r="I285" s="22">
        <v>-1.6622899999999999E-2</v>
      </c>
      <c r="J285" s="22">
        <v>275</v>
      </c>
      <c r="K285" s="22">
        <v>0.29480000000000001</v>
      </c>
      <c r="L285">
        <f t="shared" si="48"/>
        <v>20.522098765432094</v>
      </c>
      <c r="M285">
        <f t="shared" si="49"/>
        <v>6.0593138372839501</v>
      </c>
      <c r="N285" s="9"/>
      <c r="O285" s="22">
        <v>1.2847900000000001</v>
      </c>
      <c r="P285" s="22">
        <v>11.4413</v>
      </c>
      <c r="Q285" s="22">
        <v>-1.47919E-2</v>
      </c>
      <c r="R285" s="22">
        <v>275</v>
      </c>
      <c r="S285" s="22">
        <v>1.2838700000000001</v>
      </c>
      <c r="T285">
        <f t="shared" si="50"/>
        <v>18.261604938271603</v>
      </c>
      <c r="U285">
        <f t="shared" si="51"/>
        <v>23.462327408641976</v>
      </c>
      <c r="X285" s="9"/>
      <c r="Y285" s="22">
        <v>0.29525800000000002</v>
      </c>
      <c r="Z285" s="22">
        <v>16.7469</v>
      </c>
      <c r="AA285" s="22">
        <v>-1.65802E-2</v>
      </c>
      <c r="AB285" s="22">
        <v>275</v>
      </c>
      <c r="AC285" s="22">
        <v>0.29473899999999997</v>
      </c>
      <c r="AD285">
        <f t="shared" si="52"/>
        <v>20.469382716049381</v>
      </c>
      <c r="AE285">
        <f t="shared" si="53"/>
        <v>6.0437490019753088</v>
      </c>
      <c r="AF285" s="9"/>
      <c r="AG285" s="22">
        <v>1.2847900000000001</v>
      </c>
      <c r="AH285" s="22">
        <v>20.324400000000001</v>
      </c>
      <c r="AI285" s="22">
        <v>-1.47797E-2</v>
      </c>
      <c r="AJ285" s="22">
        <v>275</v>
      </c>
      <c r="AK285" s="22">
        <v>1.2838700000000001</v>
      </c>
      <c r="AL285">
        <f t="shared" si="54"/>
        <v>18.246543209876542</v>
      </c>
      <c r="AM285">
        <f t="shared" si="55"/>
        <v>23.442976250617285</v>
      </c>
      <c r="AP285" s="9"/>
      <c r="AQ285" s="22">
        <v>0.29525800000000002</v>
      </c>
      <c r="AR285" s="22">
        <v>25.623100000000001</v>
      </c>
      <c r="AS285" s="22">
        <v>-1.6549700000000001E-2</v>
      </c>
      <c r="AT285" s="22">
        <v>275</v>
      </c>
      <c r="AU285" s="22">
        <v>0.29458600000000001</v>
      </c>
      <c r="AV285">
        <f t="shared" si="56"/>
        <v>20.431728395061725</v>
      </c>
      <c r="AW285">
        <f t="shared" si="57"/>
        <v>6.0326312624691356</v>
      </c>
      <c r="AX285" s="9"/>
      <c r="AY285" s="22">
        <v>1.2847900000000001</v>
      </c>
      <c r="AZ285" s="22">
        <v>29.200600000000001</v>
      </c>
      <c r="BA285" s="22">
        <v>-1.47858E-2</v>
      </c>
      <c r="BB285" s="22">
        <v>275</v>
      </c>
      <c r="BC285" s="22">
        <v>1.2838700000000001</v>
      </c>
      <c r="BD285">
        <f t="shared" si="58"/>
        <v>18.254074074074072</v>
      </c>
      <c r="BE285">
        <f t="shared" si="59"/>
        <v>23.45265182962963</v>
      </c>
    </row>
    <row r="286" spans="6:101">
      <c r="F286" s="9"/>
      <c r="G286" s="22">
        <v>0.29022199999999998</v>
      </c>
      <c r="H286" s="22">
        <v>7.87392</v>
      </c>
      <c r="I286" s="22">
        <v>-1.66321E-2</v>
      </c>
      <c r="J286" s="22">
        <v>276</v>
      </c>
      <c r="K286" s="22">
        <v>0.28967300000000001</v>
      </c>
      <c r="L286">
        <f t="shared" si="48"/>
        <v>20.533456790123456</v>
      </c>
      <c r="M286">
        <f t="shared" si="49"/>
        <v>5.959260896543209</v>
      </c>
      <c r="N286" s="9"/>
      <c r="O286" s="22">
        <v>1.28983</v>
      </c>
      <c r="P286" s="22">
        <v>11.4514</v>
      </c>
      <c r="Q286" s="22">
        <v>-1.47797E-2</v>
      </c>
      <c r="R286" s="22">
        <v>276</v>
      </c>
      <c r="S286" s="22">
        <v>1.2887599999999999</v>
      </c>
      <c r="T286">
        <f t="shared" si="50"/>
        <v>18.246543209876542</v>
      </c>
      <c r="U286">
        <f t="shared" si="51"/>
        <v>23.53493882839506</v>
      </c>
      <c r="X286" s="9"/>
      <c r="Y286" s="22">
        <v>0.29022199999999998</v>
      </c>
      <c r="Z286" s="22">
        <v>16.757000000000001</v>
      </c>
      <c r="AA286" s="22">
        <v>-1.65924E-2</v>
      </c>
      <c r="AB286" s="22">
        <v>276</v>
      </c>
      <c r="AC286" s="22">
        <v>0.28964200000000001</v>
      </c>
      <c r="AD286">
        <f t="shared" si="52"/>
        <v>20.484444444444446</v>
      </c>
      <c r="AE286">
        <f t="shared" si="53"/>
        <v>5.9450364355555552</v>
      </c>
      <c r="AF286" s="9"/>
      <c r="AG286" s="22">
        <v>1.28983</v>
      </c>
      <c r="AH286" s="22">
        <v>20.334399999999999</v>
      </c>
      <c r="AI286" s="22">
        <v>-1.4770500000000001E-2</v>
      </c>
      <c r="AJ286" s="22">
        <v>276</v>
      </c>
      <c r="AK286" s="22">
        <v>1.2884500000000001</v>
      </c>
      <c r="AL286">
        <f t="shared" si="54"/>
        <v>18.235185185185184</v>
      </c>
      <c r="AM286">
        <f t="shared" si="55"/>
        <v>23.520288907407405</v>
      </c>
      <c r="AP286" s="9"/>
      <c r="AQ286" s="22">
        <v>0.29022199999999998</v>
      </c>
      <c r="AR286" s="22">
        <v>25.633099999999999</v>
      </c>
      <c r="AS286" s="22">
        <v>-1.6561900000000001E-2</v>
      </c>
      <c r="AT286" s="22">
        <v>276</v>
      </c>
      <c r="AU286" s="22">
        <v>0.28958099999999998</v>
      </c>
      <c r="AV286">
        <f t="shared" si="56"/>
        <v>20.44679012345679</v>
      </c>
      <c r="AW286">
        <f t="shared" si="57"/>
        <v>5.9341083232098759</v>
      </c>
      <c r="AX286" s="9"/>
      <c r="AY286" s="22">
        <v>1.28983</v>
      </c>
      <c r="AZ286" s="22">
        <v>29.210599999999999</v>
      </c>
      <c r="BA286" s="22">
        <v>-1.47736E-2</v>
      </c>
      <c r="BB286" s="22">
        <v>276</v>
      </c>
      <c r="BC286" s="22">
        <v>1.2890600000000001</v>
      </c>
      <c r="BD286">
        <f t="shared" si="58"/>
        <v>18.239012345679011</v>
      </c>
      <c r="BE286">
        <f t="shared" si="59"/>
        <v>23.525225293827159</v>
      </c>
    </row>
    <row r="287" spans="6:101">
      <c r="F287" s="9"/>
      <c r="G287" s="22">
        <v>0.28518700000000002</v>
      </c>
      <c r="H287" s="22">
        <v>7.8839899999999998</v>
      </c>
      <c r="I287" s="22">
        <v>-1.6641199999999998E-2</v>
      </c>
      <c r="J287" s="22">
        <v>277</v>
      </c>
      <c r="K287" s="22">
        <v>0.28451500000000002</v>
      </c>
      <c r="L287">
        <f t="shared" si="48"/>
        <v>20.544691358024686</v>
      </c>
      <c r="M287">
        <f t="shared" si="49"/>
        <v>5.8590788943209864</v>
      </c>
      <c r="N287" s="9"/>
      <c r="O287" s="22">
        <v>1.2948599999999999</v>
      </c>
      <c r="P287" s="22">
        <v>11.461499999999999</v>
      </c>
      <c r="Q287" s="22">
        <v>-1.4770500000000001E-2</v>
      </c>
      <c r="R287" s="22">
        <v>277</v>
      </c>
      <c r="S287" s="22">
        <v>1.2939499999999999</v>
      </c>
      <c r="T287">
        <f t="shared" si="50"/>
        <v>18.235185185185184</v>
      </c>
      <c r="U287">
        <f t="shared" si="51"/>
        <v>23.612011888888887</v>
      </c>
      <c r="X287" s="9"/>
      <c r="Y287" s="22">
        <v>0.28518700000000002</v>
      </c>
      <c r="Z287" s="22">
        <v>16.766999999999999</v>
      </c>
      <c r="AA287" s="22">
        <v>-1.6604600000000001E-2</v>
      </c>
      <c r="AB287" s="22">
        <v>277</v>
      </c>
      <c r="AC287" s="22">
        <v>0.284576</v>
      </c>
      <c r="AD287">
        <f t="shared" si="52"/>
        <v>20.499506172839506</v>
      </c>
      <c r="AE287">
        <f t="shared" si="53"/>
        <v>5.8461926669135806</v>
      </c>
      <c r="AF287" s="9"/>
      <c r="AG287" s="22">
        <v>1.2948599999999999</v>
      </c>
      <c r="AH287" s="22">
        <v>20.3445</v>
      </c>
      <c r="AI287" s="22">
        <v>-1.47583E-2</v>
      </c>
      <c r="AJ287" s="22">
        <v>277</v>
      </c>
      <c r="AK287" s="22">
        <v>1.2939499999999999</v>
      </c>
      <c r="AL287">
        <f t="shared" si="54"/>
        <v>18.22012345679012</v>
      </c>
      <c r="AM287">
        <f t="shared" si="55"/>
        <v>23.592509059259253</v>
      </c>
      <c r="AP287" s="9"/>
      <c r="AQ287" s="22">
        <v>0.28518700000000002</v>
      </c>
      <c r="AR287" s="22">
        <v>25.6432</v>
      </c>
      <c r="AS287" s="22">
        <v>-1.6570999999999999E-2</v>
      </c>
      <c r="AT287" s="22">
        <v>277</v>
      </c>
      <c r="AU287" s="22">
        <v>0.28451500000000002</v>
      </c>
      <c r="AV287">
        <f t="shared" si="56"/>
        <v>20.45802469135802</v>
      </c>
      <c r="AW287">
        <f t="shared" si="57"/>
        <v>5.8343626876543198</v>
      </c>
      <c r="AX287" s="9"/>
      <c r="AY287" s="22">
        <v>1.2948599999999999</v>
      </c>
      <c r="AZ287" s="22">
        <v>29.220700000000001</v>
      </c>
      <c r="BA287" s="22">
        <v>-1.4761399999999999E-2</v>
      </c>
      <c r="BB287" s="22">
        <v>277</v>
      </c>
      <c r="BC287" s="22">
        <v>1.2942499999999999</v>
      </c>
      <c r="BD287">
        <f t="shared" si="58"/>
        <v>18.22395061728395</v>
      </c>
      <c r="BE287">
        <f t="shared" si="59"/>
        <v>23.597464696296296</v>
      </c>
    </row>
    <row r="288" spans="6:101">
      <c r="F288" s="9"/>
      <c r="G288" s="22">
        <v>0.28015099999999998</v>
      </c>
      <c r="H288" s="22">
        <v>7.8940599999999996</v>
      </c>
      <c r="I288" s="22">
        <v>-1.6650399999999999E-2</v>
      </c>
      <c r="J288" s="22">
        <v>278</v>
      </c>
      <c r="K288" s="22">
        <v>0.27954099999999998</v>
      </c>
      <c r="L288">
        <f t="shared" si="48"/>
        <v>20.556049382716047</v>
      </c>
      <c r="M288">
        <f t="shared" si="49"/>
        <v>5.7587977906172831</v>
      </c>
      <c r="N288" s="9"/>
      <c r="O288" s="22">
        <v>1.2999000000000001</v>
      </c>
      <c r="P288" s="22">
        <v>11.471500000000001</v>
      </c>
      <c r="Q288" s="22">
        <v>-1.47583E-2</v>
      </c>
      <c r="R288" s="22">
        <v>278</v>
      </c>
      <c r="S288" s="22">
        <v>1.2988299999999999</v>
      </c>
      <c r="T288">
        <f t="shared" si="50"/>
        <v>18.22012345679012</v>
      </c>
      <c r="U288">
        <f t="shared" si="51"/>
        <v>23.684338481481479</v>
      </c>
      <c r="X288" s="9"/>
      <c r="Y288" s="22">
        <v>0.28015099999999998</v>
      </c>
      <c r="Z288" s="22">
        <v>16.777100000000001</v>
      </c>
      <c r="AA288" s="22">
        <v>-1.6616800000000001E-2</v>
      </c>
      <c r="AB288" s="22">
        <v>278</v>
      </c>
      <c r="AC288" s="22">
        <v>0.27954099999999998</v>
      </c>
      <c r="AD288">
        <f t="shared" si="52"/>
        <v>20.514567901234567</v>
      </c>
      <c r="AE288">
        <f t="shared" si="53"/>
        <v>5.7471767120987653</v>
      </c>
      <c r="AF288" s="9"/>
      <c r="AG288" s="22">
        <v>1.2999000000000001</v>
      </c>
      <c r="AH288" s="22">
        <v>20.354600000000001</v>
      </c>
      <c r="AI288" s="22">
        <v>-1.4749099999999999E-2</v>
      </c>
      <c r="AJ288" s="22">
        <v>278</v>
      </c>
      <c r="AK288" s="22">
        <v>1.2991299999999999</v>
      </c>
      <c r="AL288">
        <f t="shared" si="54"/>
        <v>18.208765432098765</v>
      </c>
      <c r="AM288">
        <f t="shared" si="55"/>
        <v>23.669574185185187</v>
      </c>
      <c r="AP288" s="9"/>
      <c r="AQ288" s="22">
        <v>0.28015099999999998</v>
      </c>
      <c r="AR288" s="22">
        <v>25.653300000000002</v>
      </c>
      <c r="AS288" s="22">
        <v>-1.65802E-2</v>
      </c>
      <c r="AT288" s="22">
        <v>278</v>
      </c>
      <c r="AU288" s="22">
        <v>0.27950999999999998</v>
      </c>
      <c r="AV288">
        <f t="shared" si="56"/>
        <v>20.469382716049381</v>
      </c>
      <c r="AW288">
        <f t="shared" si="57"/>
        <v>5.7345180372839497</v>
      </c>
      <c r="AX288" s="9"/>
      <c r="AY288" s="22">
        <v>1.2999000000000001</v>
      </c>
      <c r="AZ288" s="22">
        <v>29.230799999999999</v>
      </c>
      <c r="BA288" s="22">
        <v>-1.47522E-2</v>
      </c>
      <c r="BB288" s="22">
        <v>278</v>
      </c>
      <c r="BC288" s="22">
        <v>1.2991299999999999</v>
      </c>
      <c r="BD288">
        <f t="shared" si="58"/>
        <v>18.212592592592593</v>
      </c>
      <c r="BE288">
        <f t="shared" si="59"/>
        <v>23.674549111111112</v>
      </c>
    </row>
    <row r="289" spans="6:57">
      <c r="F289" s="9"/>
      <c r="G289" s="22">
        <v>0.27511600000000003</v>
      </c>
      <c r="H289" s="22">
        <v>7.9041300000000003</v>
      </c>
      <c r="I289" s="22">
        <v>-1.66626E-2</v>
      </c>
      <c r="J289" s="22">
        <v>279</v>
      </c>
      <c r="K289" s="22">
        <v>0.27447500000000002</v>
      </c>
      <c r="L289">
        <f t="shared" si="48"/>
        <v>20.571111111111108</v>
      </c>
      <c r="M289">
        <f t="shared" si="49"/>
        <v>5.6594418044444446</v>
      </c>
      <c r="N289" s="9"/>
      <c r="O289" s="22">
        <v>1.3049299999999999</v>
      </c>
      <c r="P289" s="22">
        <v>11.4816</v>
      </c>
      <c r="Q289" s="22">
        <v>-1.4749099999999999E-2</v>
      </c>
      <c r="R289" s="22">
        <v>279</v>
      </c>
      <c r="S289" s="22">
        <v>1.30402</v>
      </c>
      <c r="T289">
        <f t="shared" si="50"/>
        <v>18.208765432098765</v>
      </c>
      <c r="U289">
        <f t="shared" si="51"/>
        <v>23.761164275308641</v>
      </c>
      <c r="X289" s="9"/>
      <c r="Y289" s="22">
        <v>0.27511600000000003</v>
      </c>
      <c r="Z289" s="22">
        <v>16.787199999999999</v>
      </c>
      <c r="AA289" s="22">
        <v>-1.6625999999999998E-2</v>
      </c>
      <c r="AB289" s="22">
        <v>279</v>
      </c>
      <c r="AC289" s="22">
        <v>0.274536</v>
      </c>
      <c r="AD289">
        <f t="shared" si="52"/>
        <v>20.525925925925922</v>
      </c>
      <c r="AE289">
        <f t="shared" si="53"/>
        <v>5.6470106370370363</v>
      </c>
      <c r="AF289" s="9"/>
      <c r="AG289" s="22">
        <v>1.3049299999999999</v>
      </c>
      <c r="AH289" s="22">
        <v>20.364699999999999</v>
      </c>
      <c r="AI289" s="22">
        <v>-1.474E-2</v>
      </c>
      <c r="AJ289" s="22">
        <v>279</v>
      </c>
      <c r="AK289" s="22">
        <v>1.3043199999999999</v>
      </c>
      <c r="AL289">
        <f t="shared" si="54"/>
        <v>18.197530864197528</v>
      </c>
      <c r="AM289">
        <f t="shared" si="55"/>
        <v>23.746503950617278</v>
      </c>
      <c r="AP289" s="9"/>
      <c r="AQ289" s="22">
        <v>0.27511600000000003</v>
      </c>
      <c r="AR289" s="22">
        <v>25.663399999999999</v>
      </c>
      <c r="AS289" s="22">
        <v>-1.6586299999999998E-2</v>
      </c>
      <c r="AT289" s="22">
        <v>279</v>
      </c>
      <c r="AU289" s="22">
        <v>0.27444499999999999</v>
      </c>
      <c r="AV289">
        <f t="shared" si="56"/>
        <v>20.476913580246908</v>
      </c>
      <c r="AW289">
        <f t="shared" si="57"/>
        <v>5.6335265565432087</v>
      </c>
      <c r="AX289" s="9"/>
      <c r="AY289" s="22">
        <v>1.3049299999999999</v>
      </c>
      <c r="AZ289" s="22">
        <v>29.2408</v>
      </c>
      <c r="BA289" s="22">
        <v>-1.4742999999999999E-2</v>
      </c>
      <c r="BB289" s="22">
        <v>279</v>
      </c>
      <c r="BC289" s="22">
        <v>1.30402</v>
      </c>
      <c r="BD289">
        <f t="shared" si="58"/>
        <v>18.201234567901235</v>
      </c>
      <c r="BE289">
        <f t="shared" si="59"/>
        <v>23.751337024691356</v>
      </c>
    </row>
    <row r="290" spans="6:57">
      <c r="F290" s="9"/>
      <c r="G290" s="22">
        <v>0.27008100000000002</v>
      </c>
      <c r="H290" s="22">
        <v>7.9142000000000001</v>
      </c>
      <c r="I290" s="22">
        <v>-1.6671800000000001E-2</v>
      </c>
      <c r="J290" s="22">
        <v>280</v>
      </c>
      <c r="K290" s="22">
        <v>0.26950099999999999</v>
      </c>
      <c r="L290">
        <f t="shared" si="48"/>
        <v>20.582469135802469</v>
      </c>
      <c r="M290">
        <f t="shared" si="49"/>
        <v>5.5589338466666671</v>
      </c>
      <c r="N290" s="9"/>
      <c r="O290" s="22">
        <v>1.3099700000000001</v>
      </c>
      <c r="P290" s="22">
        <v>11.4917</v>
      </c>
      <c r="Q290" s="22">
        <v>-1.4736900000000001E-2</v>
      </c>
      <c r="R290" s="22">
        <v>280</v>
      </c>
      <c r="S290" s="22">
        <v>1.3089</v>
      </c>
      <c r="T290">
        <f t="shared" si="50"/>
        <v>18.193703703703704</v>
      </c>
      <c r="U290">
        <f t="shared" si="51"/>
        <v>23.833206040740745</v>
      </c>
      <c r="X290" s="9"/>
      <c r="Y290" s="22">
        <v>0.27008100000000002</v>
      </c>
      <c r="Z290" s="22">
        <v>16.7972</v>
      </c>
      <c r="AA290" s="22">
        <v>-1.6638199999999999E-2</v>
      </c>
      <c r="AB290" s="22">
        <v>280</v>
      </c>
      <c r="AC290" s="22">
        <v>0.269318</v>
      </c>
      <c r="AD290">
        <f t="shared" si="52"/>
        <v>20.540987654320986</v>
      </c>
      <c r="AE290">
        <f t="shared" si="53"/>
        <v>5.5477304866666666</v>
      </c>
      <c r="AF290" s="9"/>
      <c r="AG290" s="22">
        <v>1.3099700000000001</v>
      </c>
      <c r="AH290" s="22">
        <v>20.374700000000001</v>
      </c>
      <c r="AI290" s="22">
        <v>-1.4727799999999999E-2</v>
      </c>
      <c r="AJ290" s="22">
        <v>280</v>
      </c>
      <c r="AK290" s="22">
        <v>1.3089</v>
      </c>
      <c r="AL290">
        <f t="shared" si="54"/>
        <v>18.182469135802467</v>
      </c>
      <c r="AM290">
        <f t="shared" si="55"/>
        <v>23.818489093827161</v>
      </c>
      <c r="AP290" s="9"/>
      <c r="AQ290" s="22">
        <v>0.27008100000000002</v>
      </c>
      <c r="AR290" s="22">
        <v>25.673400000000001</v>
      </c>
      <c r="AS290" s="22">
        <v>-1.6595499999999999E-2</v>
      </c>
      <c r="AT290" s="22">
        <v>280</v>
      </c>
      <c r="AU290" s="22">
        <v>0.26940900000000001</v>
      </c>
      <c r="AV290">
        <f t="shared" si="56"/>
        <v>20.488271604938269</v>
      </c>
      <c r="AW290">
        <f t="shared" si="57"/>
        <v>5.5334928833333334</v>
      </c>
      <c r="AX290" s="9"/>
      <c r="AY290" s="22">
        <v>1.3099700000000001</v>
      </c>
      <c r="AZ290" s="22">
        <v>29.250900000000001</v>
      </c>
      <c r="BA290" s="22">
        <v>-1.4733899999999999E-2</v>
      </c>
      <c r="BB290" s="22">
        <v>280</v>
      </c>
      <c r="BC290" s="22">
        <v>1.30951</v>
      </c>
      <c r="BD290">
        <f t="shared" si="58"/>
        <v>18.189999999999998</v>
      </c>
      <c r="BE290">
        <f t="shared" si="59"/>
        <v>23.828354299999997</v>
      </c>
    </row>
    <row r="291" spans="6:57">
      <c r="F291" s="9"/>
      <c r="G291" s="22">
        <v>0.26504499999999998</v>
      </c>
      <c r="H291" s="22">
        <v>7.9242800000000004</v>
      </c>
      <c r="I291" s="22">
        <v>-1.6684000000000001E-2</v>
      </c>
      <c r="J291" s="22">
        <v>281</v>
      </c>
      <c r="K291" s="22">
        <v>0.264374</v>
      </c>
      <c r="L291">
        <f t="shared" si="48"/>
        <v>20.597530864197534</v>
      </c>
      <c r="M291">
        <f t="shared" si="49"/>
        <v>5.4592725679012348</v>
      </c>
      <c r="N291" s="9"/>
      <c r="O291" s="22">
        <v>1.3149999999999999</v>
      </c>
      <c r="P291" s="22">
        <v>11.501799999999999</v>
      </c>
      <c r="Q291" s="22">
        <v>-1.47247E-2</v>
      </c>
      <c r="R291" s="22">
        <v>281</v>
      </c>
      <c r="S291" s="22">
        <v>1.31409</v>
      </c>
      <c r="T291">
        <f t="shared" si="50"/>
        <v>18.178641975308643</v>
      </c>
      <c r="U291">
        <f t="shared" si="51"/>
        <v>23.904914197530864</v>
      </c>
      <c r="X291" s="9"/>
      <c r="Y291" s="22">
        <v>0.26504499999999998</v>
      </c>
      <c r="Z291" s="22">
        <v>16.807300000000001</v>
      </c>
      <c r="AA291" s="22">
        <v>-1.6650399999999999E-2</v>
      </c>
      <c r="AB291" s="22">
        <v>281</v>
      </c>
      <c r="AC291" s="22">
        <v>0.26440399999999997</v>
      </c>
      <c r="AD291">
        <f t="shared" si="52"/>
        <v>20.556049382716047</v>
      </c>
      <c r="AE291">
        <f t="shared" si="53"/>
        <v>5.4482781086419738</v>
      </c>
      <c r="AF291" s="9"/>
      <c r="AG291" s="22">
        <v>1.3149999999999999</v>
      </c>
      <c r="AH291" s="22">
        <v>20.384799999999998</v>
      </c>
      <c r="AI291" s="22">
        <v>-1.4715600000000001E-2</v>
      </c>
      <c r="AJ291" s="22">
        <v>281</v>
      </c>
      <c r="AK291" s="22">
        <v>1.31409</v>
      </c>
      <c r="AL291">
        <f t="shared" si="54"/>
        <v>18.167407407407406</v>
      </c>
      <c r="AM291">
        <f t="shared" si="55"/>
        <v>23.890140740740737</v>
      </c>
      <c r="AP291" s="9"/>
      <c r="AQ291" s="22">
        <v>0.26504499999999998</v>
      </c>
      <c r="AR291" s="22">
        <v>25.683499999999999</v>
      </c>
      <c r="AS291" s="22">
        <v>-1.66077E-2</v>
      </c>
      <c r="AT291" s="22">
        <v>281</v>
      </c>
      <c r="AU291" s="22">
        <v>0.26428200000000002</v>
      </c>
      <c r="AV291">
        <f t="shared" si="56"/>
        <v>20.50333333333333</v>
      </c>
      <c r="AW291">
        <f t="shared" si="57"/>
        <v>5.4343059833333323</v>
      </c>
      <c r="AX291" s="9"/>
      <c r="AY291" s="22">
        <v>1.3149999999999999</v>
      </c>
      <c r="AZ291" s="22">
        <v>29.260999999999999</v>
      </c>
      <c r="BA291" s="22">
        <v>-1.47247E-2</v>
      </c>
      <c r="BB291" s="22">
        <v>281</v>
      </c>
      <c r="BC291" s="22">
        <v>1.3137799999999999</v>
      </c>
      <c r="BD291">
        <f t="shared" si="58"/>
        <v>18.178641975308643</v>
      </c>
      <c r="BE291">
        <f t="shared" si="59"/>
        <v>23.904914197530864</v>
      </c>
    </row>
    <row r="292" spans="6:57">
      <c r="F292" s="9"/>
      <c r="G292" s="22">
        <v>0.26001000000000002</v>
      </c>
      <c r="H292" s="22">
        <v>7.9343500000000002</v>
      </c>
      <c r="I292" s="22">
        <v>-1.6693099999999999E-2</v>
      </c>
      <c r="J292" s="22">
        <v>282</v>
      </c>
      <c r="K292" s="22">
        <v>0.25936900000000002</v>
      </c>
      <c r="L292">
        <f t="shared" si="48"/>
        <v>20.608765432098764</v>
      </c>
      <c r="M292">
        <f t="shared" si="49"/>
        <v>5.3584851000000002</v>
      </c>
      <c r="N292" s="9"/>
      <c r="O292" s="22">
        <v>1.3200400000000001</v>
      </c>
      <c r="P292" s="22">
        <v>11.511799999999999</v>
      </c>
      <c r="Q292" s="22">
        <v>-1.47125E-2</v>
      </c>
      <c r="R292" s="22">
        <v>282</v>
      </c>
      <c r="S292" s="22">
        <v>1.3186599999999999</v>
      </c>
      <c r="T292">
        <f t="shared" si="50"/>
        <v>18.163580246913579</v>
      </c>
      <c r="U292">
        <f t="shared" si="51"/>
        <v>23.976652469135804</v>
      </c>
      <c r="X292" s="9"/>
      <c r="Y292" s="22">
        <v>0.26001000000000002</v>
      </c>
      <c r="Z292" s="22">
        <v>16.817399999999999</v>
      </c>
      <c r="AA292" s="22">
        <v>-1.66626E-2</v>
      </c>
      <c r="AB292" s="22">
        <v>282</v>
      </c>
      <c r="AC292" s="22">
        <v>0.25936900000000002</v>
      </c>
      <c r="AD292">
        <f t="shared" si="52"/>
        <v>20.571111111111108</v>
      </c>
      <c r="AE292">
        <f t="shared" si="53"/>
        <v>5.3486946</v>
      </c>
      <c r="AF292" s="9"/>
      <c r="AG292" s="22">
        <v>1.3200400000000001</v>
      </c>
      <c r="AH292" s="22">
        <v>20.3949</v>
      </c>
      <c r="AI292" s="22">
        <v>-1.47034E-2</v>
      </c>
      <c r="AJ292" s="22">
        <v>282</v>
      </c>
      <c r="AK292" s="22">
        <v>1.31897</v>
      </c>
      <c r="AL292">
        <f t="shared" si="54"/>
        <v>18.152345679012342</v>
      </c>
      <c r="AM292">
        <f t="shared" si="55"/>
        <v>23.961822390123455</v>
      </c>
      <c r="AP292" s="9"/>
      <c r="AQ292" s="22">
        <v>0.26001000000000002</v>
      </c>
      <c r="AR292" s="22">
        <v>25.6936</v>
      </c>
      <c r="AS292" s="22">
        <v>-1.66199E-2</v>
      </c>
      <c r="AT292" s="22">
        <v>282</v>
      </c>
      <c r="AU292" s="22">
        <v>0.25936900000000002</v>
      </c>
      <c r="AV292">
        <f t="shared" si="56"/>
        <v>20.518395061728395</v>
      </c>
      <c r="AW292">
        <f t="shared" si="57"/>
        <v>5.3349879000000007</v>
      </c>
      <c r="AX292" s="9"/>
      <c r="AY292" s="22">
        <v>1.3200400000000001</v>
      </c>
      <c r="AZ292" s="22">
        <v>29.271100000000001</v>
      </c>
      <c r="BA292" s="22">
        <v>-1.4715600000000001E-2</v>
      </c>
      <c r="BB292" s="22">
        <v>282</v>
      </c>
      <c r="BC292" s="22">
        <v>1.31897</v>
      </c>
      <c r="BD292">
        <f t="shared" si="58"/>
        <v>18.167407407407406</v>
      </c>
      <c r="BE292">
        <f t="shared" si="59"/>
        <v>23.981704474074075</v>
      </c>
    </row>
    <row r="293" spans="6:57">
      <c r="F293" s="9"/>
      <c r="G293" s="22">
        <v>0.25497399999999998</v>
      </c>
      <c r="H293" s="22">
        <v>7.94442</v>
      </c>
      <c r="I293" s="22">
        <v>-1.6708400000000002E-2</v>
      </c>
      <c r="J293" s="22">
        <v>283</v>
      </c>
      <c r="K293" s="22">
        <v>0.254303</v>
      </c>
      <c r="L293">
        <f t="shared" si="48"/>
        <v>20.627654320987656</v>
      </c>
      <c r="M293">
        <f t="shared" si="49"/>
        <v>5.2595155328395062</v>
      </c>
      <c r="N293" s="9"/>
      <c r="O293" s="22">
        <v>1.32507</v>
      </c>
      <c r="P293" s="22">
        <v>11.5219</v>
      </c>
      <c r="Q293" s="22">
        <v>-1.4700299999999999E-2</v>
      </c>
      <c r="R293" s="22">
        <v>283</v>
      </c>
      <c r="S293" s="22">
        <v>1.32446</v>
      </c>
      <c r="T293">
        <f t="shared" si="50"/>
        <v>18.148518518518514</v>
      </c>
      <c r="U293">
        <f t="shared" si="51"/>
        <v>24.048057433333327</v>
      </c>
      <c r="X293" s="9"/>
      <c r="Y293" s="22">
        <v>0.25497399999999998</v>
      </c>
      <c r="Z293" s="22">
        <v>16.827500000000001</v>
      </c>
      <c r="AA293" s="22">
        <v>-1.6671800000000001E-2</v>
      </c>
      <c r="AB293" s="22">
        <v>283</v>
      </c>
      <c r="AC293" s="22">
        <v>0.25433299999999998</v>
      </c>
      <c r="AD293">
        <f t="shared" si="52"/>
        <v>20.582469135802469</v>
      </c>
      <c r="AE293">
        <f t="shared" si="53"/>
        <v>5.2479944854320983</v>
      </c>
      <c r="AF293" s="9"/>
      <c r="AG293" s="22">
        <v>1.32507</v>
      </c>
      <c r="AH293" s="22">
        <v>20.404900000000001</v>
      </c>
      <c r="AI293" s="22">
        <v>-1.46912E-2</v>
      </c>
      <c r="AJ293" s="22">
        <v>283</v>
      </c>
      <c r="AK293" s="22">
        <v>1.32446</v>
      </c>
      <c r="AL293">
        <f t="shared" si="54"/>
        <v>18.137283950617284</v>
      </c>
      <c r="AM293">
        <f t="shared" si="55"/>
        <v>24.033170844444445</v>
      </c>
      <c r="AP293" s="9"/>
      <c r="AQ293" s="22">
        <v>0.25497399999999998</v>
      </c>
      <c r="AR293" s="22">
        <v>25.703600000000002</v>
      </c>
      <c r="AS293" s="22">
        <v>-1.66321E-2</v>
      </c>
      <c r="AT293" s="22">
        <v>283</v>
      </c>
      <c r="AU293" s="22">
        <v>0.25439499999999998</v>
      </c>
      <c r="AV293">
        <f t="shared" si="56"/>
        <v>20.533456790123456</v>
      </c>
      <c r="AW293">
        <f t="shared" si="57"/>
        <v>5.2354976116049379</v>
      </c>
      <c r="AX293" s="9"/>
      <c r="AY293" s="22">
        <v>1.32507</v>
      </c>
      <c r="AZ293" s="22">
        <v>29.281099999999999</v>
      </c>
      <c r="BA293" s="22">
        <v>-1.47034E-2</v>
      </c>
      <c r="BB293" s="22">
        <v>283</v>
      </c>
      <c r="BC293" s="22">
        <v>1.32416</v>
      </c>
      <c r="BD293">
        <f t="shared" si="58"/>
        <v>18.152345679012342</v>
      </c>
      <c r="BE293">
        <f t="shared" si="59"/>
        <v>24.053128688888883</v>
      </c>
    </row>
    <row r="294" spans="6:57">
      <c r="F294" s="9"/>
      <c r="G294" s="22">
        <v>0.24993899999999999</v>
      </c>
      <c r="H294" s="22">
        <v>7.9544899999999998</v>
      </c>
      <c r="I294" s="22">
        <v>-1.6720599999999999E-2</v>
      </c>
      <c r="J294" s="22">
        <v>284</v>
      </c>
      <c r="K294" s="22">
        <v>0.24929799999999999</v>
      </c>
      <c r="L294">
        <f t="shared" si="48"/>
        <v>20.642716049382713</v>
      </c>
      <c r="M294">
        <f t="shared" si="49"/>
        <v>5.1594198066666657</v>
      </c>
      <c r="N294" s="9"/>
      <c r="O294" s="22">
        <v>1.3301099999999999</v>
      </c>
      <c r="P294" s="22">
        <v>11.532</v>
      </c>
      <c r="Q294" s="22">
        <v>-1.46912E-2</v>
      </c>
      <c r="R294" s="22">
        <v>284</v>
      </c>
      <c r="S294" s="22">
        <v>1.32935</v>
      </c>
      <c r="T294">
        <f t="shared" si="50"/>
        <v>18.137283950617284</v>
      </c>
      <c r="U294">
        <f t="shared" si="51"/>
        <v>24.124582755555554</v>
      </c>
      <c r="X294" s="9"/>
      <c r="Y294" s="22">
        <v>0.24993899999999999</v>
      </c>
      <c r="Z294" s="22">
        <v>16.837499999999999</v>
      </c>
      <c r="AA294" s="22">
        <v>-1.6677899999999999E-2</v>
      </c>
      <c r="AB294" s="22">
        <v>284</v>
      </c>
      <c r="AC294" s="22">
        <v>0.24939</v>
      </c>
      <c r="AD294">
        <f t="shared" si="52"/>
        <v>20.589999999999996</v>
      </c>
      <c r="AE294">
        <f t="shared" si="53"/>
        <v>5.1462440099999993</v>
      </c>
      <c r="AF294" s="9"/>
      <c r="AG294" s="22">
        <v>1.3301099999999999</v>
      </c>
      <c r="AH294" s="22">
        <v>20.414999999999999</v>
      </c>
      <c r="AI294" s="22">
        <v>-1.46759E-2</v>
      </c>
      <c r="AJ294" s="22">
        <v>284</v>
      </c>
      <c r="AK294" s="22">
        <v>1.32996</v>
      </c>
      <c r="AL294">
        <f t="shared" si="54"/>
        <v>18.118395061728396</v>
      </c>
      <c r="AM294">
        <f t="shared" si="55"/>
        <v>24.099458455555556</v>
      </c>
      <c r="AP294" s="9"/>
      <c r="AQ294" s="22">
        <v>0.24993899999999999</v>
      </c>
      <c r="AR294" s="22">
        <v>25.713699999999999</v>
      </c>
      <c r="AS294" s="22">
        <v>-1.6644300000000001E-2</v>
      </c>
      <c r="AT294" s="22">
        <v>284</v>
      </c>
      <c r="AU294" s="22">
        <v>0.24929799999999999</v>
      </c>
      <c r="AV294">
        <f t="shared" si="56"/>
        <v>20.548518518518517</v>
      </c>
      <c r="AW294">
        <f t="shared" si="57"/>
        <v>5.1358761699999995</v>
      </c>
      <c r="AX294" s="9"/>
      <c r="AY294" s="22">
        <v>1.3301099999999999</v>
      </c>
      <c r="AZ294" s="22">
        <v>29.2912</v>
      </c>
      <c r="BA294" s="22">
        <v>-1.46912E-2</v>
      </c>
      <c r="BB294" s="22">
        <v>284</v>
      </c>
      <c r="BC294" s="22">
        <v>1.32904</v>
      </c>
      <c r="BD294">
        <f t="shared" si="58"/>
        <v>18.137283950617284</v>
      </c>
      <c r="BE294">
        <f t="shared" si="59"/>
        <v>24.124582755555554</v>
      </c>
    </row>
    <row r="295" spans="6:57">
      <c r="F295" s="9"/>
      <c r="G295" s="22">
        <v>0.24490400000000001</v>
      </c>
      <c r="H295" s="22">
        <v>7.9645599999999996</v>
      </c>
      <c r="I295" s="22">
        <v>-1.67297E-2</v>
      </c>
      <c r="J295" s="22">
        <v>285</v>
      </c>
      <c r="K295" s="22">
        <v>0.244232</v>
      </c>
      <c r="L295">
        <f t="shared" si="48"/>
        <v>20.65395061728395</v>
      </c>
      <c r="M295">
        <f t="shared" si="49"/>
        <v>5.0582351219753088</v>
      </c>
      <c r="N295" s="9"/>
      <c r="O295" s="22">
        <v>1.33514</v>
      </c>
      <c r="P295" s="22">
        <v>11.542</v>
      </c>
      <c r="Q295" s="22">
        <v>-1.4678999999999999E-2</v>
      </c>
      <c r="R295" s="22">
        <v>285</v>
      </c>
      <c r="S295" s="22">
        <v>1.33453</v>
      </c>
      <c r="T295">
        <f t="shared" si="50"/>
        <v>18.12222222222222</v>
      </c>
      <c r="U295">
        <f t="shared" si="51"/>
        <v>24.195703777777776</v>
      </c>
      <c r="X295" s="9"/>
      <c r="Y295" s="22">
        <v>0.24490400000000001</v>
      </c>
      <c r="Z295" s="22">
        <v>16.8476</v>
      </c>
      <c r="AA295" s="22">
        <v>-1.6687E-2</v>
      </c>
      <c r="AB295" s="22">
        <v>285</v>
      </c>
      <c r="AC295" s="22">
        <v>0.24410999999999999</v>
      </c>
      <c r="AD295">
        <f t="shared" si="52"/>
        <v>20.601234567901233</v>
      </c>
      <c r="AE295">
        <f t="shared" si="53"/>
        <v>5.0453247506172838</v>
      </c>
      <c r="AF295" s="9"/>
      <c r="AG295" s="22">
        <v>1.33514</v>
      </c>
      <c r="AH295" s="22">
        <v>20.4251</v>
      </c>
      <c r="AI295" s="22">
        <v>-1.46637E-2</v>
      </c>
      <c r="AJ295" s="22">
        <v>285</v>
      </c>
      <c r="AK295" s="22">
        <v>1.33453</v>
      </c>
      <c r="AL295">
        <f t="shared" si="54"/>
        <v>18.103333333333332</v>
      </c>
      <c r="AM295">
        <f t="shared" si="55"/>
        <v>24.170484466666665</v>
      </c>
      <c r="AP295" s="9"/>
      <c r="AQ295" s="22">
        <v>0.24490400000000001</v>
      </c>
      <c r="AR295" s="22">
        <v>25.723800000000001</v>
      </c>
      <c r="AS295" s="22">
        <v>-1.6653399999999999E-2</v>
      </c>
      <c r="AT295" s="22">
        <v>285</v>
      </c>
      <c r="AU295" s="22">
        <v>0.244232</v>
      </c>
      <c r="AV295">
        <f t="shared" si="56"/>
        <v>20.55975308641975</v>
      </c>
      <c r="AW295">
        <f t="shared" si="57"/>
        <v>5.0351657698765431</v>
      </c>
      <c r="AX295" s="9"/>
      <c r="AY295" s="22">
        <v>1.33514</v>
      </c>
      <c r="AZ295" s="22">
        <v>29.301300000000001</v>
      </c>
      <c r="BA295" s="22">
        <v>-1.4678999999999999E-2</v>
      </c>
      <c r="BB295" s="22">
        <v>285</v>
      </c>
      <c r="BC295" s="22">
        <v>1.33392</v>
      </c>
      <c r="BD295">
        <f t="shared" si="58"/>
        <v>18.12222222222222</v>
      </c>
      <c r="BE295">
        <f t="shared" si="59"/>
        <v>24.195703777777776</v>
      </c>
    </row>
    <row r="296" spans="6:57">
      <c r="F296" s="9"/>
      <c r="G296" s="22">
        <v>0.239868</v>
      </c>
      <c r="H296" s="22">
        <v>7.9746300000000003</v>
      </c>
      <c r="I296" s="22">
        <v>-1.6738900000000001E-2</v>
      </c>
      <c r="J296" s="22">
        <v>286</v>
      </c>
      <c r="K296" s="22">
        <v>0.23938000000000001</v>
      </c>
      <c r="L296">
        <f t="shared" si="48"/>
        <v>20.665308641975312</v>
      </c>
      <c r="M296">
        <f t="shared" si="49"/>
        <v>4.9569462533333342</v>
      </c>
      <c r="N296" s="9"/>
      <c r="O296" s="22">
        <v>1.3401799999999999</v>
      </c>
      <c r="P296" s="22">
        <v>11.552099999999999</v>
      </c>
      <c r="Q296" s="22">
        <v>-1.46667E-2</v>
      </c>
      <c r="R296" s="22">
        <v>286</v>
      </c>
      <c r="S296" s="22">
        <v>1.3394200000000001</v>
      </c>
      <c r="T296">
        <f t="shared" si="50"/>
        <v>18.107037037037035</v>
      </c>
      <c r="U296">
        <f t="shared" si="51"/>
        <v>24.266688896296291</v>
      </c>
      <c r="X296" s="9"/>
      <c r="Y296" s="22">
        <v>0.239868</v>
      </c>
      <c r="Z296" s="22">
        <v>16.857700000000001</v>
      </c>
      <c r="AA296" s="22">
        <v>-1.6696200000000001E-2</v>
      </c>
      <c r="AB296" s="22">
        <v>286</v>
      </c>
      <c r="AC296" s="22">
        <v>0.23941000000000001</v>
      </c>
      <c r="AD296">
        <f t="shared" si="52"/>
        <v>20.612592592592591</v>
      </c>
      <c r="AE296">
        <f t="shared" si="53"/>
        <v>4.9443013599999999</v>
      </c>
      <c r="AF296" s="9"/>
      <c r="AG296" s="22">
        <v>1.3401799999999999</v>
      </c>
      <c r="AH296" s="22">
        <v>20.435199999999998</v>
      </c>
      <c r="AI296" s="22">
        <v>-1.4648400000000001E-2</v>
      </c>
      <c r="AJ296" s="22">
        <v>286</v>
      </c>
      <c r="AK296" s="22">
        <v>1.33972</v>
      </c>
      <c r="AL296">
        <f t="shared" si="54"/>
        <v>18.084444444444443</v>
      </c>
      <c r="AM296">
        <f t="shared" si="55"/>
        <v>24.236410755555553</v>
      </c>
      <c r="AP296" s="9"/>
      <c r="AQ296" s="22">
        <v>0.239868</v>
      </c>
      <c r="AR296" s="22">
        <v>25.733899999999998</v>
      </c>
      <c r="AS296" s="22">
        <v>-1.6665599999999999E-2</v>
      </c>
      <c r="AT296" s="22">
        <v>286</v>
      </c>
      <c r="AU296" s="22">
        <v>0.239258</v>
      </c>
      <c r="AV296">
        <f t="shared" si="56"/>
        <v>20.574814814814815</v>
      </c>
      <c r="AW296">
        <f t="shared" si="57"/>
        <v>4.9352396799999996</v>
      </c>
      <c r="AX296" s="9"/>
      <c r="AY296" s="22">
        <v>1.3401799999999999</v>
      </c>
      <c r="AZ296" s="22">
        <v>29.311299999999999</v>
      </c>
      <c r="BA296" s="22">
        <v>-1.4660599999999999E-2</v>
      </c>
      <c r="BB296" s="22">
        <v>286</v>
      </c>
      <c r="BC296" s="22">
        <v>1.33911</v>
      </c>
      <c r="BD296">
        <f t="shared" si="58"/>
        <v>18.099506172839504</v>
      </c>
      <c r="BE296">
        <f t="shared" si="59"/>
        <v>24.256596182716045</v>
      </c>
    </row>
    <row r="297" spans="6:57">
      <c r="F297" s="9"/>
      <c r="G297" s="22">
        <v>0.23483299999999999</v>
      </c>
      <c r="H297" s="22">
        <v>7.9847000000000001</v>
      </c>
      <c r="I297" s="22">
        <v>-1.6747999999999999E-2</v>
      </c>
      <c r="J297" s="22">
        <v>287</v>
      </c>
      <c r="K297" s="22">
        <v>0.234344</v>
      </c>
      <c r="L297">
        <f t="shared" si="48"/>
        <v>20.676543209876542</v>
      </c>
      <c r="M297">
        <f t="shared" si="49"/>
        <v>4.8555346716049375</v>
      </c>
      <c r="N297" s="9"/>
      <c r="O297" s="22">
        <v>1.34521</v>
      </c>
      <c r="P297" s="22">
        <v>11.562200000000001</v>
      </c>
      <c r="Q297" s="22">
        <v>-1.4648400000000001E-2</v>
      </c>
      <c r="R297" s="22">
        <v>287</v>
      </c>
      <c r="S297" s="22">
        <v>1.34491</v>
      </c>
      <c r="T297">
        <f t="shared" si="50"/>
        <v>18.084444444444443</v>
      </c>
      <c r="U297">
        <f t="shared" si="51"/>
        <v>24.327375511111111</v>
      </c>
      <c r="X297" s="9"/>
      <c r="Y297" s="22">
        <v>0.23483299999999999</v>
      </c>
      <c r="Z297" s="22">
        <v>16.867699999999999</v>
      </c>
      <c r="AA297" s="22">
        <v>-1.6705299999999999E-2</v>
      </c>
      <c r="AB297" s="22">
        <v>287</v>
      </c>
      <c r="AC297" s="22">
        <v>0.23452799999999999</v>
      </c>
      <c r="AD297">
        <f t="shared" si="52"/>
        <v>20.623827160493825</v>
      </c>
      <c r="AE297">
        <f t="shared" si="53"/>
        <v>4.8431552035802463</v>
      </c>
      <c r="AF297" s="9"/>
      <c r="AG297" s="22">
        <v>1.34521</v>
      </c>
      <c r="AH297" s="22">
        <v>20.4452</v>
      </c>
      <c r="AI297" s="22">
        <v>-1.4633200000000001E-2</v>
      </c>
      <c r="AJ297" s="22">
        <v>287</v>
      </c>
      <c r="AK297" s="22">
        <v>1.3446</v>
      </c>
      <c r="AL297">
        <f t="shared" si="54"/>
        <v>18.065679012345679</v>
      </c>
      <c r="AM297">
        <f t="shared" si="55"/>
        <v>24.302132064197533</v>
      </c>
      <c r="AP297" s="9"/>
      <c r="AQ297" s="22">
        <v>0.23483299999999999</v>
      </c>
      <c r="AR297" s="22">
        <v>25.7439</v>
      </c>
      <c r="AS297" s="22">
        <v>-1.66748E-2</v>
      </c>
      <c r="AT297" s="22">
        <v>287</v>
      </c>
      <c r="AU297" s="22">
        <v>0.23419200000000001</v>
      </c>
      <c r="AV297">
        <f t="shared" si="56"/>
        <v>20.586172839506172</v>
      </c>
      <c r="AW297">
        <f t="shared" si="57"/>
        <v>4.8343127264197525</v>
      </c>
      <c r="AX297" s="9"/>
      <c r="AY297" s="22">
        <v>1.34521</v>
      </c>
      <c r="AZ297" s="22">
        <v>29.321400000000001</v>
      </c>
      <c r="BA297" s="22">
        <v>-1.4645399999999999E-2</v>
      </c>
      <c r="BB297" s="22">
        <v>287</v>
      </c>
      <c r="BC297" s="22">
        <v>1.3446</v>
      </c>
      <c r="BD297">
        <f t="shared" si="58"/>
        <v>18.080740740740737</v>
      </c>
      <c r="BE297">
        <f t="shared" si="59"/>
        <v>24.322393251851846</v>
      </c>
    </row>
    <row r="298" spans="6:57">
      <c r="F298" s="9"/>
      <c r="G298" s="22">
        <v>0.229797</v>
      </c>
      <c r="H298" s="22">
        <v>7.9947699999999999</v>
      </c>
      <c r="I298" s="22">
        <v>-1.67572E-2</v>
      </c>
      <c r="J298" s="22">
        <v>288</v>
      </c>
      <c r="K298" s="22">
        <v>0.22924800000000001</v>
      </c>
      <c r="L298">
        <f t="shared" si="48"/>
        <v>20.687901234567903</v>
      </c>
      <c r="M298">
        <f t="shared" si="49"/>
        <v>4.7540176400000007</v>
      </c>
      <c r="N298" s="9"/>
      <c r="O298" s="22">
        <v>1.35025</v>
      </c>
      <c r="P298" s="22">
        <v>11.5723</v>
      </c>
      <c r="Q298" s="22">
        <v>-1.4633200000000001E-2</v>
      </c>
      <c r="R298" s="22">
        <v>288</v>
      </c>
      <c r="S298" s="22">
        <v>1.34979</v>
      </c>
      <c r="T298">
        <f t="shared" si="50"/>
        <v>18.065679012345679</v>
      </c>
      <c r="U298">
        <f t="shared" si="51"/>
        <v>24.393183086419754</v>
      </c>
      <c r="X298" s="9"/>
      <c r="Y298" s="22">
        <v>0.229797</v>
      </c>
      <c r="Z298" s="22">
        <v>16.877800000000001</v>
      </c>
      <c r="AA298" s="22">
        <v>-1.67175E-2</v>
      </c>
      <c r="AB298" s="22">
        <v>288</v>
      </c>
      <c r="AC298" s="22">
        <v>0.22924800000000001</v>
      </c>
      <c r="AD298">
        <f t="shared" si="52"/>
        <v>20.638888888888886</v>
      </c>
      <c r="AE298">
        <f t="shared" si="53"/>
        <v>4.7427547499999996</v>
      </c>
      <c r="AF298" s="9"/>
      <c r="AG298" s="22">
        <v>1.35025</v>
      </c>
      <c r="AH298" s="22">
        <v>20.455300000000001</v>
      </c>
      <c r="AI298" s="22">
        <v>-1.46179E-2</v>
      </c>
      <c r="AJ298" s="22">
        <v>288</v>
      </c>
      <c r="AK298" s="22">
        <v>1.3494900000000001</v>
      </c>
      <c r="AL298">
        <f t="shared" si="54"/>
        <v>18.046790123456791</v>
      </c>
      <c r="AM298">
        <f t="shared" si="55"/>
        <v>24.367678364197531</v>
      </c>
      <c r="AP298" s="9"/>
      <c r="AQ298" s="22">
        <v>0.229797</v>
      </c>
      <c r="AR298" s="22">
        <v>25.754000000000001</v>
      </c>
      <c r="AS298" s="22">
        <v>-1.6684000000000001E-2</v>
      </c>
      <c r="AT298" s="22">
        <v>288</v>
      </c>
      <c r="AU298" s="22">
        <v>0.229156</v>
      </c>
      <c r="AV298">
        <f t="shared" si="56"/>
        <v>20.597530864197534</v>
      </c>
      <c r="AW298">
        <f t="shared" si="57"/>
        <v>4.7332508000000004</v>
      </c>
      <c r="AX298" s="9"/>
      <c r="AY298" s="22">
        <v>1.35025</v>
      </c>
      <c r="AZ298" s="22">
        <v>29.331499999999998</v>
      </c>
      <c r="BA298" s="22">
        <v>-1.46301E-2</v>
      </c>
      <c r="BB298" s="22">
        <v>288</v>
      </c>
      <c r="BC298" s="22">
        <v>1.34918</v>
      </c>
      <c r="BD298">
        <f t="shared" si="58"/>
        <v>18.061851851851848</v>
      </c>
      <c r="BE298">
        <f t="shared" si="59"/>
        <v>24.388015462962958</v>
      </c>
    </row>
    <row r="299" spans="6:57">
      <c r="F299" s="9"/>
      <c r="G299" s="22">
        <v>0.22476199999999999</v>
      </c>
      <c r="H299" s="22">
        <v>8.0048399999999997</v>
      </c>
      <c r="I299" s="22">
        <v>-1.67694E-2</v>
      </c>
      <c r="J299" s="22">
        <v>289</v>
      </c>
      <c r="K299" s="22">
        <v>0.22415199999999999</v>
      </c>
      <c r="L299">
        <f t="shared" si="48"/>
        <v>20.70296296296296</v>
      </c>
      <c r="M299">
        <f t="shared" si="49"/>
        <v>4.6532393614814804</v>
      </c>
      <c r="N299" s="9"/>
      <c r="O299" s="22">
        <v>1.3552900000000001</v>
      </c>
      <c r="P299" s="22">
        <v>11.5823</v>
      </c>
      <c r="Q299" s="22">
        <v>-1.4611799999999999E-2</v>
      </c>
      <c r="R299" s="22">
        <v>289</v>
      </c>
      <c r="S299" s="22">
        <v>1.3543700000000001</v>
      </c>
      <c r="T299">
        <f t="shared" si="50"/>
        <v>18.039259259259257</v>
      </c>
      <c r="U299">
        <f t="shared" si="51"/>
        <v>24.44842768148148</v>
      </c>
      <c r="X299" s="9"/>
      <c r="Y299" s="22">
        <v>0.22476199999999999</v>
      </c>
      <c r="Z299" s="22">
        <v>16.887899999999998</v>
      </c>
      <c r="AA299" s="22">
        <v>-1.67297E-2</v>
      </c>
      <c r="AB299" s="22">
        <v>289</v>
      </c>
      <c r="AC299" s="22">
        <v>0.224213</v>
      </c>
      <c r="AD299">
        <f t="shared" si="52"/>
        <v>20.65395061728395</v>
      </c>
      <c r="AE299">
        <f t="shared" si="53"/>
        <v>4.642223248641975</v>
      </c>
      <c r="AF299" s="9"/>
      <c r="AG299" s="22">
        <v>1.3552900000000001</v>
      </c>
      <c r="AH299" s="22">
        <v>20.465399999999999</v>
      </c>
      <c r="AI299" s="22">
        <v>-1.4599600000000001E-2</v>
      </c>
      <c r="AJ299" s="22">
        <v>289</v>
      </c>
      <c r="AK299" s="22">
        <v>1.35406</v>
      </c>
      <c r="AL299">
        <f t="shared" si="54"/>
        <v>18.0241975308642</v>
      </c>
      <c r="AM299">
        <f t="shared" si="55"/>
        <v>24.428014671604942</v>
      </c>
      <c r="AP299" s="9"/>
      <c r="AQ299" s="22">
        <v>0.22476199999999999</v>
      </c>
      <c r="AR299" s="22">
        <v>25.764099999999999</v>
      </c>
      <c r="AS299" s="22">
        <v>-1.6693099999999999E-2</v>
      </c>
      <c r="AT299" s="22">
        <v>289</v>
      </c>
      <c r="AU299" s="22">
        <v>0.22415199999999999</v>
      </c>
      <c r="AV299">
        <f t="shared" si="56"/>
        <v>20.608765432098764</v>
      </c>
      <c r="AW299">
        <f t="shared" si="57"/>
        <v>4.6320673360493823</v>
      </c>
      <c r="AX299" s="9"/>
      <c r="AY299" s="22">
        <v>1.3552900000000001</v>
      </c>
      <c r="AZ299" s="22">
        <v>29.3416</v>
      </c>
      <c r="BA299" s="22">
        <v>-1.46149E-2</v>
      </c>
      <c r="BB299" s="22">
        <v>289</v>
      </c>
      <c r="BC299" s="22">
        <v>1.3549800000000001</v>
      </c>
      <c r="BD299">
        <f t="shared" si="58"/>
        <v>18.043086419753088</v>
      </c>
      <c r="BE299">
        <f t="shared" si="59"/>
        <v>24.453614593827165</v>
      </c>
    </row>
    <row r="300" spans="6:57">
      <c r="F300" s="9"/>
      <c r="G300" s="22">
        <v>0.21972700000000001</v>
      </c>
      <c r="H300" s="22">
        <v>8.0149100000000004</v>
      </c>
      <c r="I300" s="22">
        <v>-1.6778600000000001E-2</v>
      </c>
      <c r="J300" s="22">
        <v>290</v>
      </c>
      <c r="K300" s="22">
        <v>0.21893299999999999</v>
      </c>
      <c r="L300">
        <f t="shared" si="48"/>
        <v>20.714320987654322</v>
      </c>
      <c r="M300">
        <f t="shared" si="49"/>
        <v>4.5514956076543216</v>
      </c>
      <c r="N300" s="9"/>
      <c r="O300" s="22">
        <v>1.36032</v>
      </c>
      <c r="P300" s="22">
        <v>11.5924</v>
      </c>
      <c r="Q300" s="22">
        <v>-1.4593500000000001E-2</v>
      </c>
      <c r="R300" s="22">
        <v>290</v>
      </c>
      <c r="S300" s="22">
        <v>1.3592500000000001</v>
      </c>
      <c r="T300">
        <f t="shared" si="50"/>
        <v>18.016666666666666</v>
      </c>
      <c r="U300">
        <f t="shared" si="51"/>
        <v>24.508431999999999</v>
      </c>
      <c r="X300" s="9"/>
      <c r="Y300" s="22">
        <v>0.21972700000000001</v>
      </c>
      <c r="Z300" s="22">
        <v>16.898</v>
      </c>
      <c r="AA300" s="22">
        <v>-1.6738900000000001E-2</v>
      </c>
      <c r="AB300" s="22">
        <v>290</v>
      </c>
      <c r="AC300" s="22">
        <v>0.219055</v>
      </c>
      <c r="AD300">
        <f t="shared" si="52"/>
        <v>20.665308641975312</v>
      </c>
      <c r="AE300">
        <f t="shared" si="53"/>
        <v>4.5407262719753092</v>
      </c>
      <c r="AF300" s="9"/>
      <c r="AG300" s="22">
        <v>1.36032</v>
      </c>
      <c r="AH300" s="22">
        <v>20.4754</v>
      </c>
      <c r="AI300" s="22">
        <v>-1.45813E-2</v>
      </c>
      <c r="AJ300" s="22">
        <v>290</v>
      </c>
      <c r="AK300" s="22">
        <v>1.3592500000000001</v>
      </c>
      <c r="AL300">
        <f t="shared" si="54"/>
        <v>18.001604938271605</v>
      </c>
      <c r="AM300">
        <f t="shared" si="55"/>
        <v>24.487943229629629</v>
      </c>
      <c r="AP300" s="9"/>
      <c r="AQ300" s="22">
        <v>0.21972700000000001</v>
      </c>
      <c r="AR300" s="22">
        <v>25.774100000000001</v>
      </c>
      <c r="AS300" s="22">
        <v>-1.67023E-2</v>
      </c>
      <c r="AT300" s="22">
        <v>290</v>
      </c>
      <c r="AU300" s="22">
        <v>0.219086</v>
      </c>
      <c r="AV300">
        <f t="shared" si="56"/>
        <v>20.620123456790122</v>
      </c>
      <c r="AW300">
        <f t="shared" si="57"/>
        <v>4.530797866790123</v>
      </c>
      <c r="AX300" s="9"/>
      <c r="AY300" s="22">
        <v>1.36032</v>
      </c>
      <c r="AZ300" s="22">
        <v>29.351600000000001</v>
      </c>
      <c r="BA300" s="22">
        <v>-1.45966E-2</v>
      </c>
      <c r="BB300" s="22">
        <v>290</v>
      </c>
      <c r="BC300" s="22">
        <v>1.3592500000000001</v>
      </c>
      <c r="BD300">
        <f t="shared" si="58"/>
        <v>18.020493827160493</v>
      </c>
      <c r="BE300">
        <f t="shared" si="59"/>
        <v>24.513638162962962</v>
      </c>
    </row>
    <row r="301" spans="6:57">
      <c r="F301" s="9"/>
      <c r="G301" s="22">
        <v>0.21469099999999999</v>
      </c>
      <c r="H301" s="22">
        <v>8.0249900000000007</v>
      </c>
      <c r="I301" s="22">
        <v>-1.6790800000000002E-2</v>
      </c>
      <c r="J301" s="22">
        <v>291</v>
      </c>
      <c r="K301" s="22">
        <v>0.214172</v>
      </c>
      <c r="L301">
        <f t="shared" si="48"/>
        <v>20.729382716049383</v>
      </c>
      <c r="M301">
        <f t="shared" si="49"/>
        <v>4.4504119046913582</v>
      </c>
      <c r="N301" s="9"/>
      <c r="O301" s="22">
        <v>1.3653599999999999</v>
      </c>
      <c r="P301" s="22">
        <v>11.602499999999999</v>
      </c>
      <c r="Q301" s="22">
        <v>-1.4572099999999999E-2</v>
      </c>
      <c r="R301" s="22">
        <v>291</v>
      </c>
      <c r="S301" s="22">
        <v>1.3641399999999999</v>
      </c>
      <c r="T301">
        <f t="shared" si="50"/>
        <v>17.990246913580243</v>
      </c>
      <c r="U301">
        <f t="shared" si="51"/>
        <v>24.563163525925919</v>
      </c>
      <c r="X301" s="9"/>
      <c r="Y301" s="22">
        <v>0.21469099999999999</v>
      </c>
      <c r="Z301" s="22">
        <v>16.908000000000001</v>
      </c>
      <c r="AA301" s="22">
        <v>-1.6751100000000001E-2</v>
      </c>
      <c r="AB301" s="22">
        <v>291</v>
      </c>
      <c r="AC301" s="22">
        <v>0.214111</v>
      </c>
      <c r="AD301">
        <f t="shared" si="52"/>
        <v>20.680370370370369</v>
      </c>
      <c r="AE301">
        <f t="shared" si="53"/>
        <v>4.439889395185185</v>
      </c>
      <c r="AF301" s="9"/>
      <c r="AG301" s="22">
        <v>1.3653599999999999</v>
      </c>
      <c r="AH301" s="22">
        <v>20.485499999999998</v>
      </c>
      <c r="AI301" s="22">
        <v>-1.4563E-2</v>
      </c>
      <c r="AJ301" s="22">
        <v>291</v>
      </c>
      <c r="AK301" s="22">
        <v>1.3644400000000001</v>
      </c>
      <c r="AL301">
        <f t="shared" si="54"/>
        <v>17.979012345679013</v>
      </c>
      <c r="AM301">
        <f t="shared" si="55"/>
        <v>24.547824296296294</v>
      </c>
      <c r="AP301" s="9"/>
      <c r="AQ301" s="22">
        <v>0.21469099999999999</v>
      </c>
      <c r="AR301" s="22">
        <v>25.784199999999998</v>
      </c>
      <c r="AS301" s="22">
        <v>-1.6711400000000001E-2</v>
      </c>
      <c r="AT301" s="22">
        <v>291</v>
      </c>
      <c r="AU301" s="22">
        <v>0.214142</v>
      </c>
      <c r="AV301">
        <f t="shared" si="56"/>
        <v>20.631358024691359</v>
      </c>
      <c r="AW301">
        <f t="shared" si="57"/>
        <v>4.4293668856790127</v>
      </c>
      <c r="AX301" s="9"/>
      <c r="AY301" s="22">
        <v>1.3653599999999999</v>
      </c>
      <c r="AZ301" s="22">
        <v>29.361699999999999</v>
      </c>
      <c r="BA301" s="22">
        <v>-1.45752E-2</v>
      </c>
      <c r="BB301" s="22">
        <v>291</v>
      </c>
      <c r="BC301" s="22">
        <v>1.3644400000000001</v>
      </c>
      <c r="BD301">
        <f t="shared" si="58"/>
        <v>17.994074074074071</v>
      </c>
      <c r="BE301">
        <f t="shared" si="59"/>
        <v>24.568388977777772</v>
      </c>
    </row>
    <row r="302" spans="6:57">
      <c r="F302" s="9"/>
      <c r="G302" s="22">
        <v>0.20965600000000001</v>
      </c>
      <c r="H302" s="22">
        <v>8.0350599999999996</v>
      </c>
      <c r="I302" s="22">
        <v>-1.6806000000000001E-2</v>
      </c>
      <c r="J302" s="22">
        <v>292</v>
      </c>
      <c r="K302" s="22">
        <v>0.20907600000000001</v>
      </c>
      <c r="L302">
        <f t="shared" si="48"/>
        <v>20.748148148148147</v>
      </c>
      <c r="M302">
        <f t="shared" si="49"/>
        <v>4.3499737481481482</v>
      </c>
      <c r="N302" s="9"/>
      <c r="O302" s="22">
        <v>1.37039</v>
      </c>
      <c r="P302" s="22">
        <v>11.612500000000001</v>
      </c>
      <c r="Q302" s="22">
        <v>-1.45538E-2</v>
      </c>
      <c r="R302" s="22">
        <v>292</v>
      </c>
      <c r="S302" s="22">
        <v>1.3693200000000001</v>
      </c>
      <c r="T302">
        <f t="shared" si="50"/>
        <v>17.967654320987652</v>
      </c>
      <c r="U302">
        <f t="shared" si="51"/>
        <v>24.622693804938269</v>
      </c>
      <c r="X302" s="9"/>
      <c r="Y302" s="22">
        <v>0.20965600000000001</v>
      </c>
      <c r="Z302" s="22">
        <v>16.918099999999999</v>
      </c>
      <c r="AA302" s="22">
        <v>-1.6766400000000001E-2</v>
      </c>
      <c r="AB302" s="22">
        <v>292</v>
      </c>
      <c r="AC302" s="22">
        <v>0.20910599999999999</v>
      </c>
      <c r="AD302">
        <f t="shared" si="52"/>
        <v>20.699259259259257</v>
      </c>
      <c r="AE302">
        <f t="shared" si="53"/>
        <v>4.3397238992592593</v>
      </c>
      <c r="AF302" s="9"/>
      <c r="AG302" s="22">
        <v>1.37039</v>
      </c>
      <c r="AH302" s="22">
        <v>20.4956</v>
      </c>
      <c r="AI302" s="22">
        <v>-1.45416E-2</v>
      </c>
      <c r="AJ302" s="22">
        <v>292</v>
      </c>
      <c r="AK302" s="22">
        <v>1.3699300000000001</v>
      </c>
      <c r="AL302">
        <f t="shared" si="54"/>
        <v>17.952592592592595</v>
      </c>
      <c r="AM302">
        <f t="shared" si="55"/>
        <v>24.602053362962966</v>
      </c>
      <c r="AP302" s="9"/>
      <c r="AQ302" s="22">
        <v>0.20965600000000001</v>
      </c>
      <c r="AR302" s="22">
        <v>25.7943</v>
      </c>
      <c r="AS302" s="22">
        <v>-1.6723600000000002E-2</v>
      </c>
      <c r="AT302" s="22">
        <v>292</v>
      </c>
      <c r="AU302" s="22">
        <v>0.20932000000000001</v>
      </c>
      <c r="AV302">
        <f t="shared" si="56"/>
        <v>20.64641975308642</v>
      </c>
      <c r="AW302">
        <f t="shared" si="57"/>
        <v>4.3286457797530868</v>
      </c>
      <c r="AX302" s="9"/>
      <c r="AY302" s="22">
        <v>1.37039</v>
      </c>
      <c r="AZ302" s="22">
        <v>29.3718</v>
      </c>
      <c r="BA302" s="22">
        <v>-1.45538E-2</v>
      </c>
      <c r="BB302" s="22">
        <v>292</v>
      </c>
      <c r="BC302" s="22">
        <v>1.3696299999999999</v>
      </c>
      <c r="BD302">
        <f t="shared" si="58"/>
        <v>17.967654320987652</v>
      </c>
      <c r="BE302">
        <f t="shared" si="59"/>
        <v>24.622693804938269</v>
      </c>
    </row>
    <row r="303" spans="6:57">
      <c r="F303" s="9"/>
      <c r="G303" s="22">
        <v>0.20462</v>
      </c>
      <c r="H303" s="22">
        <v>8.0451300000000003</v>
      </c>
      <c r="I303" s="22">
        <v>-1.6818199999999998E-2</v>
      </c>
      <c r="J303" s="22">
        <v>293</v>
      </c>
      <c r="K303" s="22">
        <v>0.20410200000000001</v>
      </c>
      <c r="L303">
        <f t="shared" si="48"/>
        <v>20.763209876543208</v>
      </c>
      <c r="M303">
        <f t="shared" si="49"/>
        <v>4.2485680049382708</v>
      </c>
      <c r="N303" s="9"/>
      <c r="O303" s="22">
        <v>1.3754299999999999</v>
      </c>
      <c r="P303" s="22">
        <v>11.6226</v>
      </c>
      <c r="Q303" s="22">
        <v>-1.45294E-2</v>
      </c>
      <c r="R303" s="22">
        <v>293</v>
      </c>
      <c r="S303" s="22">
        <v>1.3748199999999999</v>
      </c>
      <c r="T303">
        <f t="shared" si="50"/>
        <v>17.93753086419753</v>
      </c>
      <c r="U303">
        <f t="shared" si="51"/>
        <v>24.671818076543207</v>
      </c>
      <c r="X303" s="9"/>
      <c r="Y303" s="22">
        <v>0.20462</v>
      </c>
      <c r="Z303" s="22">
        <v>16.9282</v>
      </c>
      <c r="AA303" s="22">
        <v>-1.6772499999999999E-2</v>
      </c>
      <c r="AB303" s="22">
        <v>293</v>
      </c>
      <c r="AC303" s="22">
        <v>0.20416300000000001</v>
      </c>
      <c r="AD303">
        <f t="shared" si="52"/>
        <v>20.706790123456788</v>
      </c>
      <c r="AE303">
        <f t="shared" si="53"/>
        <v>4.237023395061728</v>
      </c>
      <c r="AF303" s="9"/>
      <c r="AG303" s="22">
        <v>1.3754299999999999</v>
      </c>
      <c r="AH303" s="22">
        <v>20.505700000000001</v>
      </c>
      <c r="AI303" s="22">
        <v>-1.4517199999999999E-2</v>
      </c>
      <c r="AJ303" s="22">
        <v>293</v>
      </c>
      <c r="AK303" s="22">
        <v>1.3745099999999999</v>
      </c>
      <c r="AL303">
        <f t="shared" si="54"/>
        <v>17.922469135802466</v>
      </c>
      <c r="AM303">
        <f t="shared" si="55"/>
        <v>24.651101723456783</v>
      </c>
      <c r="AP303" s="9"/>
      <c r="AQ303" s="22">
        <v>0.20462</v>
      </c>
      <c r="AR303" s="22">
        <v>25.804400000000001</v>
      </c>
      <c r="AS303" s="22">
        <v>-1.6735799999999999E-2</v>
      </c>
      <c r="AT303" s="22">
        <v>293</v>
      </c>
      <c r="AU303" s="22">
        <v>0.204041</v>
      </c>
      <c r="AV303">
        <f t="shared" si="56"/>
        <v>20.661481481481477</v>
      </c>
      <c r="AW303">
        <f t="shared" si="57"/>
        <v>4.2277523407407394</v>
      </c>
      <c r="AX303" s="9"/>
      <c r="AY303" s="22">
        <v>1.3754299999999999</v>
      </c>
      <c r="AZ303" s="22">
        <v>29.381799999999998</v>
      </c>
      <c r="BA303" s="22">
        <v>-1.45325E-2</v>
      </c>
      <c r="BB303" s="22">
        <v>293</v>
      </c>
      <c r="BC303" s="22">
        <v>1.3745099999999999</v>
      </c>
      <c r="BD303">
        <f t="shared" si="58"/>
        <v>17.941358024691358</v>
      </c>
      <c r="BE303">
        <f t="shared" si="59"/>
        <v>24.677082067901232</v>
      </c>
    </row>
    <row r="304" spans="6:57">
      <c r="F304" s="9"/>
      <c r="G304" s="22">
        <v>0.19958500000000001</v>
      </c>
      <c r="H304" s="22">
        <v>8.0551999999999992</v>
      </c>
      <c r="I304" s="22">
        <v>-1.6827399999999999E-2</v>
      </c>
      <c r="J304" s="22">
        <v>294</v>
      </c>
      <c r="K304" s="22">
        <v>0.19906599999999999</v>
      </c>
      <c r="L304">
        <f t="shared" si="48"/>
        <v>20.774567901234565</v>
      </c>
      <c r="M304">
        <f t="shared" si="49"/>
        <v>4.1462921345679007</v>
      </c>
      <c r="N304" s="9"/>
      <c r="O304" s="22">
        <v>1.38046</v>
      </c>
      <c r="P304" s="22">
        <v>11.6327</v>
      </c>
      <c r="Q304" s="22">
        <v>-1.4505000000000001E-2</v>
      </c>
      <c r="R304" s="22">
        <v>294</v>
      </c>
      <c r="S304" s="22">
        <v>1.3796999999999999</v>
      </c>
      <c r="T304">
        <f t="shared" si="50"/>
        <v>17.907407407407408</v>
      </c>
      <c r="U304">
        <f t="shared" si="51"/>
        <v>24.72045962962963</v>
      </c>
      <c r="X304" s="9"/>
      <c r="Y304" s="22">
        <v>0.19958500000000001</v>
      </c>
      <c r="Z304" s="22">
        <v>16.938199999999998</v>
      </c>
      <c r="AA304" s="22">
        <v>-1.6781600000000001E-2</v>
      </c>
      <c r="AB304" s="22">
        <v>294</v>
      </c>
      <c r="AC304" s="22">
        <v>0.19900499999999999</v>
      </c>
      <c r="AD304">
        <f t="shared" si="52"/>
        <v>20.718024691358025</v>
      </c>
      <c r="AE304">
        <f t="shared" si="53"/>
        <v>4.1350069580246913</v>
      </c>
      <c r="AF304" s="9"/>
      <c r="AG304" s="22">
        <v>1.38046</v>
      </c>
      <c r="AH304" s="22">
        <v>20.515699999999999</v>
      </c>
      <c r="AI304" s="22">
        <v>-1.44928E-2</v>
      </c>
      <c r="AJ304" s="22">
        <v>294</v>
      </c>
      <c r="AK304" s="22">
        <v>1.3790899999999999</v>
      </c>
      <c r="AL304">
        <f t="shared" si="54"/>
        <v>17.892345679012344</v>
      </c>
      <c r="AM304">
        <f t="shared" si="55"/>
        <v>24.699667516049381</v>
      </c>
      <c r="AP304" s="9"/>
      <c r="AQ304" s="22">
        <v>0.19958500000000001</v>
      </c>
      <c r="AR304" s="22">
        <v>25.814399999999999</v>
      </c>
      <c r="AS304" s="22">
        <v>-1.6747999999999999E-2</v>
      </c>
      <c r="AT304" s="22">
        <v>294</v>
      </c>
      <c r="AU304" s="22">
        <v>0.199127</v>
      </c>
      <c r="AV304">
        <f t="shared" si="56"/>
        <v>20.676543209876542</v>
      </c>
      <c r="AW304">
        <f t="shared" si="57"/>
        <v>4.1267278765432094</v>
      </c>
      <c r="AX304" s="9"/>
      <c r="AY304" s="22">
        <v>1.38046</v>
      </c>
      <c r="AZ304" s="22">
        <v>29.3919</v>
      </c>
      <c r="BA304" s="22">
        <v>-1.4508099999999999E-2</v>
      </c>
      <c r="BB304" s="22">
        <v>294</v>
      </c>
      <c r="BC304" s="22">
        <v>1.3793899999999999</v>
      </c>
      <c r="BD304">
        <f t="shared" si="58"/>
        <v>17.911234567901232</v>
      </c>
      <c r="BE304">
        <f t="shared" si="59"/>
        <v>24.725742871604936</v>
      </c>
    </row>
    <row r="305" spans="6:57">
      <c r="F305" s="9"/>
      <c r="G305" s="22">
        <v>0.19455</v>
      </c>
      <c r="H305" s="22">
        <v>8.0652699999999999</v>
      </c>
      <c r="I305" s="22">
        <v>-1.6836500000000001E-2</v>
      </c>
      <c r="J305" s="22">
        <v>295</v>
      </c>
      <c r="K305" s="22">
        <v>0.19384799999999999</v>
      </c>
      <c r="L305">
        <f t="shared" si="48"/>
        <v>20.785802469135803</v>
      </c>
      <c r="M305">
        <f t="shared" si="49"/>
        <v>4.0438778703703706</v>
      </c>
      <c r="N305" s="9"/>
      <c r="O305" s="22">
        <v>1.3855</v>
      </c>
      <c r="P305" s="22">
        <v>11.642799999999999</v>
      </c>
      <c r="Q305" s="22">
        <v>-1.4477500000000001E-2</v>
      </c>
      <c r="R305" s="22">
        <v>295</v>
      </c>
      <c r="S305" s="22">
        <v>1.3845799999999999</v>
      </c>
      <c r="T305">
        <f t="shared" si="50"/>
        <v>17.873456790123456</v>
      </c>
      <c r="U305">
        <f t="shared" si="51"/>
        <v>24.763674382716047</v>
      </c>
      <c r="X305" s="9"/>
      <c r="Y305" s="22">
        <v>0.19455</v>
      </c>
      <c r="Z305" s="22">
        <v>16.9483</v>
      </c>
      <c r="AA305" s="22">
        <v>-1.6790800000000002E-2</v>
      </c>
      <c r="AB305" s="22">
        <v>295</v>
      </c>
      <c r="AC305" s="22">
        <v>0.19403100000000001</v>
      </c>
      <c r="AD305">
        <f t="shared" si="52"/>
        <v>20.729382716049383</v>
      </c>
      <c r="AE305">
        <f t="shared" si="53"/>
        <v>4.0329014074074072</v>
      </c>
      <c r="AF305" s="9"/>
      <c r="AG305" s="22">
        <v>1.3855</v>
      </c>
      <c r="AH305" s="22">
        <v>20.5258</v>
      </c>
      <c r="AI305" s="22">
        <v>-1.44653E-2</v>
      </c>
      <c r="AJ305" s="22">
        <v>295</v>
      </c>
      <c r="AK305" s="22">
        <v>1.3851899999999999</v>
      </c>
      <c r="AL305">
        <f t="shared" si="54"/>
        <v>17.858395061728395</v>
      </c>
      <c r="AM305">
        <f t="shared" si="55"/>
        <v>24.742806358024691</v>
      </c>
      <c r="AP305" s="9"/>
      <c r="AQ305" s="22">
        <v>0.19455</v>
      </c>
      <c r="AR305" s="22">
        <v>25.8245</v>
      </c>
      <c r="AS305" s="22">
        <v>-1.67572E-2</v>
      </c>
      <c r="AT305" s="22">
        <v>295</v>
      </c>
      <c r="AU305" s="22">
        <v>0.19415299999999999</v>
      </c>
      <c r="AV305">
        <f t="shared" si="56"/>
        <v>20.687901234567903</v>
      </c>
      <c r="AW305">
        <f t="shared" si="57"/>
        <v>4.0248311851851852</v>
      </c>
      <c r="AX305" s="9"/>
      <c r="AY305" s="22">
        <v>1.3855</v>
      </c>
      <c r="AZ305" s="22">
        <v>29.402000000000001</v>
      </c>
      <c r="BA305" s="22">
        <v>-1.44806E-2</v>
      </c>
      <c r="BB305" s="22">
        <v>295</v>
      </c>
      <c r="BC305" s="22">
        <v>1.38489</v>
      </c>
      <c r="BD305">
        <f t="shared" si="58"/>
        <v>17.877283950617283</v>
      </c>
      <c r="BE305">
        <f t="shared" si="59"/>
        <v>24.768976913580243</v>
      </c>
    </row>
    <row r="306" spans="6:57">
      <c r="F306" s="9"/>
      <c r="G306" s="22">
        <v>0.18951399999999999</v>
      </c>
      <c r="H306" s="22">
        <v>8.0753400000000006</v>
      </c>
      <c r="I306" s="22">
        <v>-1.6848800000000001E-2</v>
      </c>
      <c r="J306" s="22">
        <v>296</v>
      </c>
      <c r="K306" s="22">
        <v>0.18896499999999999</v>
      </c>
      <c r="L306">
        <f t="shared" si="48"/>
        <v>20.800987654320988</v>
      </c>
      <c r="M306">
        <f t="shared" si="49"/>
        <v>3.9420783743209875</v>
      </c>
      <c r="N306" s="9"/>
      <c r="O306" s="22">
        <v>1.39053</v>
      </c>
      <c r="P306" s="22">
        <v>11.652799999999999</v>
      </c>
      <c r="Q306" s="22">
        <v>-1.4447E-2</v>
      </c>
      <c r="R306" s="22">
        <v>296</v>
      </c>
      <c r="S306" s="22">
        <v>1.38947</v>
      </c>
      <c r="T306">
        <f t="shared" si="50"/>
        <v>17.8358024691358</v>
      </c>
      <c r="U306">
        <f t="shared" si="51"/>
        <v>24.801218407407404</v>
      </c>
      <c r="X306" s="9"/>
      <c r="Y306" s="22">
        <v>0.18951399999999999</v>
      </c>
      <c r="Z306" s="22">
        <v>16.958400000000001</v>
      </c>
      <c r="AA306" s="22">
        <v>-1.6806000000000001E-2</v>
      </c>
      <c r="AB306" s="22">
        <v>296</v>
      </c>
      <c r="AC306" s="22">
        <v>0.18887300000000001</v>
      </c>
      <c r="AD306">
        <f t="shared" si="52"/>
        <v>20.748148148148147</v>
      </c>
      <c r="AE306">
        <f t="shared" si="53"/>
        <v>3.9320645481481478</v>
      </c>
      <c r="AF306" s="9"/>
      <c r="AG306" s="22">
        <v>1.39053</v>
      </c>
      <c r="AH306" s="22">
        <v>20.535900000000002</v>
      </c>
      <c r="AI306" s="22">
        <v>-1.44409E-2</v>
      </c>
      <c r="AJ306" s="22">
        <v>296</v>
      </c>
      <c r="AK306" s="22">
        <v>1.3897699999999999</v>
      </c>
      <c r="AL306">
        <f t="shared" si="54"/>
        <v>17.828271604938269</v>
      </c>
      <c r="AM306">
        <f t="shared" si="55"/>
        <v>24.790746514814813</v>
      </c>
      <c r="AP306" s="9"/>
      <c r="AQ306" s="22">
        <v>0.18951399999999999</v>
      </c>
      <c r="AR306" s="22">
        <v>25.834599999999998</v>
      </c>
      <c r="AS306" s="22">
        <v>-1.6766400000000001E-2</v>
      </c>
      <c r="AT306" s="22">
        <v>296</v>
      </c>
      <c r="AU306" s="22">
        <v>0.18884300000000001</v>
      </c>
      <c r="AV306">
        <f t="shared" si="56"/>
        <v>20.699259259259257</v>
      </c>
      <c r="AW306">
        <f t="shared" si="57"/>
        <v>3.9227994192592588</v>
      </c>
      <c r="AX306" s="9"/>
      <c r="AY306" s="22">
        <v>1.39053</v>
      </c>
      <c r="AZ306" s="22">
        <v>29.412099999999999</v>
      </c>
      <c r="BA306" s="22">
        <v>-1.44531E-2</v>
      </c>
      <c r="BB306" s="22">
        <v>296</v>
      </c>
      <c r="BC306" s="22">
        <v>1.3897699999999999</v>
      </c>
      <c r="BD306">
        <f t="shared" si="58"/>
        <v>17.843333333333334</v>
      </c>
      <c r="BE306">
        <f t="shared" si="59"/>
        <v>24.811690300000002</v>
      </c>
    </row>
    <row r="307" spans="6:57">
      <c r="F307" s="9"/>
      <c r="G307" s="22">
        <v>0.184479</v>
      </c>
      <c r="H307" s="22">
        <v>8.0854099999999995</v>
      </c>
      <c r="I307" s="22">
        <v>-1.6864000000000001E-2</v>
      </c>
      <c r="J307" s="22">
        <v>297</v>
      </c>
      <c r="K307" s="22">
        <v>0.18396000000000001</v>
      </c>
      <c r="L307">
        <f t="shared" si="48"/>
        <v>20.819753086419752</v>
      </c>
      <c r="M307">
        <f t="shared" si="49"/>
        <v>3.8408072296296294</v>
      </c>
      <c r="N307" s="9"/>
      <c r="O307" s="22">
        <v>1.39557</v>
      </c>
      <c r="P307" s="22">
        <v>11.6629</v>
      </c>
      <c r="Q307" s="22">
        <v>-1.4413499999999999E-2</v>
      </c>
      <c r="R307" s="22">
        <v>297</v>
      </c>
      <c r="S307" s="22">
        <v>1.39496</v>
      </c>
      <c r="T307">
        <f t="shared" si="50"/>
        <v>17.794444444444444</v>
      </c>
      <c r="U307">
        <f t="shared" si="51"/>
        <v>24.833392833333331</v>
      </c>
      <c r="X307" s="9"/>
      <c r="Y307" s="22">
        <v>0.184479</v>
      </c>
      <c r="Z307" s="22">
        <v>16.968499999999999</v>
      </c>
      <c r="AA307" s="22">
        <v>-1.6815199999999999E-2</v>
      </c>
      <c r="AB307" s="22">
        <v>297</v>
      </c>
      <c r="AC307" s="22">
        <v>0.18371599999999999</v>
      </c>
      <c r="AD307">
        <f t="shared" si="52"/>
        <v>20.759506172839505</v>
      </c>
      <c r="AE307">
        <f t="shared" si="53"/>
        <v>3.8296929392592589</v>
      </c>
      <c r="AF307" s="9"/>
      <c r="AG307" s="22">
        <v>1.39557</v>
      </c>
      <c r="AH307" s="22">
        <v>20.5459</v>
      </c>
      <c r="AI307" s="22">
        <v>-1.4413499999999999E-2</v>
      </c>
      <c r="AJ307" s="22">
        <v>297</v>
      </c>
      <c r="AK307" s="22">
        <v>1.39496</v>
      </c>
      <c r="AL307">
        <f t="shared" si="54"/>
        <v>17.794444444444444</v>
      </c>
      <c r="AM307">
        <f t="shared" si="55"/>
        <v>24.833392833333331</v>
      </c>
      <c r="AP307" s="9"/>
      <c r="AQ307" s="22">
        <v>0.184479</v>
      </c>
      <c r="AR307" s="22">
        <v>25.8446</v>
      </c>
      <c r="AS307" s="22">
        <v>-1.6775499999999999E-2</v>
      </c>
      <c r="AT307" s="22">
        <v>297</v>
      </c>
      <c r="AU307" s="22">
        <v>0.18389900000000001</v>
      </c>
      <c r="AV307">
        <f t="shared" si="56"/>
        <v>20.710493827160491</v>
      </c>
      <c r="AW307">
        <f t="shared" si="57"/>
        <v>3.8206511907407403</v>
      </c>
      <c r="AX307" s="9"/>
      <c r="AY307" s="22">
        <v>1.39557</v>
      </c>
      <c r="AZ307" s="22">
        <v>29.4221</v>
      </c>
      <c r="BA307" s="22">
        <v>-1.4422600000000001E-2</v>
      </c>
      <c r="BB307" s="22">
        <v>297</v>
      </c>
      <c r="BC307" s="22">
        <v>1.3946499999999999</v>
      </c>
      <c r="BD307">
        <f t="shared" si="58"/>
        <v>17.805679012345678</v>
      </c>
      <c r="BE307">
        <f t="shared" si="59"/>
        <v>24.849071459259257</v>
      </c>
    </row>
    <row r="308" spans="6:57">
      <c r="F308" s="9"/>
      <c r="G308" s="22">
        <v>0.17944299999999999</v>
      </c>
      <c r="H308" s="22">
        <v>8.0954800000000002</v>
      </c>
      <c r="I308" s="22">
        <v>-1.6876200000000001E-2</v>
      </c>
      <c r="J308" s="22">
        <v>298</v>
      </c>
      <c r="K308" s="22">
        <v>0.178925</v>
      </c>
      <c r="L308">
        <f t="shared" si="48"/>
        <v>20.834814814814813</v>
      </c>
      <c r="M308">
        <f t="shared" si="49"/>
        <v>3.7386616748148143</v>
      </c>
      <c r="N308" s="9"/>
      <c r="O308" s="22">
        <v>1.4006000000000001</v>
      </c>
      <c r="P308" s="22">
        <v>11.673</v>
      </c>
      <c r="Q308" s="22">
        <v>-1.4382900000000001E-2</v>
      </c>
      <c r="R308" s="22">
        <v>298</v>
      </c>
      <c r="S308" s="22">
        <v>1.40015</v>
      </c>
      <c r="T308">
        <f t="shared" si="50"/>
        <v>17.756666666666668</v>
      </c>
      <c r="U308">
        <f t="shared" si="51"/>
        <v>24.869987333333334</v>
      </c>
      <c r="X308" s="9"/>
      <c r="Y308" s="22">
        <v>0.17944299999999999</v>
      </c>
      <c r="Z308" s="22">
        <v>16.9785</v>
      </c>
      <c r="AA308" s="22">
        <v>-1.68243E-2</v>
      </c>
      <c r="AB308" s="22">
        <v>298</v>
      </c>
      <c r="AC308" s="22">
        <v>0.178864</v>
      </c>
      <c r="AD308">
        <f t="shared" si="52"/>
        <v>20.770740740740738</v>
      </c>
      <c r="AE308">
        <f t="shared" si="53"/>
        <v>3.7271640307407399</v>
      </c>
      <c r="AF308" s="9"/>
      <c r="AG308" s="22">
        <v>1.4006000000000001</v>
      </c>
      <c r="AH308" s="22">
        <v>20.556000000000001</v>
      </c>
      <c r="AI308" s="22">
        <v>-1.4382900000000001E-2</v>
      </c>
      <c r="AJ308" s="22">
        <v>298</v>
      </c>
      <c r="AK308" s="22">
        <v>1.39984</v>
      </c>
      <c r="AL308">
        <f t="shared" si="54"/>
        <v>17.756666666666668</v>
      </c>
      <c r="AM308">
        <f t="shared" si="55"/>
        <v>24.869987333333334</v>
      </c>
      <c r="AP308" s="9"/>
      <c r="AQ308" s="22">
        <v>0.17944299999999999</v>
      </c>
      <c r="AR308" s="22">
        <v>25.854700000000001</v>
      </c>
      <c r="AS308" s="22">
        <v>-1.6787699999999999E-2</v>
      </c>
      <c r="AT308" s="22">
        <v>298</v>
      </c>
      <c r="AU308" s="22">
        <v>0.178925</v>
      </c>
      <c r="AV308">
        <f t="shared" si="56"/>
        <v>20.725555555555552</v>
      </c>
      <c r="AW308">
        <f t="shared" si="57"/>
        <v>3.7190558655555548</v>
      </c>
      <c r="AX308" s="9"/>
      <c r="AY308" s="22">
        <v>1.4006000000000001</v>
      </c>
      <c r="AZ308" s="22">
        <v>29.432200000000002</v>
      </c>
      <c r="BA308" s="22">
        <v>-1.4389000000000001E-2</v>
      </c>
      <c r="BB308" s="22">
        <v>298</v>
      </c>
      <c r="BC308" s="22">
        <v>1.39984</v>
      </c>
      <c r="BD308">
        <f t="shared" si="58"/>
        <v>17.764197530864198</v>
      </c>
      <c r="BE308">
        <f t="shared" si="59"/>
        <v>24.880535061728398</v>
      </c>
    </row>
    <row r="309" spans="6:57">
      <c r="F309" s="9"/>
      <c r="G309" s="22">
        <v>0.17440800000000001</v>
      </c>
      <c r="H309" s="22">
        <v>8.1055499999999991</v>
      </c>
      <c r="I309" s="22">
        <v>-1.6885399999999998E-2</v>
      </c>
      <c r="J309" s="22">
        <v>299</v>
      </c>
      <c r="K309" s="22">
        <v>0.17361499999999999</v>
      </c>
      <c r="L309">
        <f t="shared" si="48"/>
        <v>20.846172839506171</v>
      </c>
      <c r="M309">
        <f t="shared" si="49"/>
        <v>3.6357393125925923</v>
      </c>
      <c r="N309" s="9"/>
      <c r="O309" s="22">
        <v>1.40564</v>
      </c>
      <c r="P309" s="22">
        <v>11.683</v>
      </c>
      <c r="Q309" s="22">
        <v>-1.4346299999999999E-2</v>
      </c>
      <c r="R309" s="22">
        <v>299</v>
      </c>
      <c r="S309" s="22">
        <v>1.40472</v>
      </c>
      <c r="T309">
        <f t="shared" si="50"/>
        <v>17.711481481481481</v>
      </c>
      <c r="U309">
        <f t="shared" si="51"/>
        <v>24.895966829629629</v>
      </c>
      <c r="X309" s="9"/>
      <c r="Y309" s="22">
        <v>0.17440800000000001</v>
      </c>
      <c r="Z309" s="22">
        <v>16.988600000000002</v>
      </c>
      <c r="AA309" s="22">
        <v>-1.6836500000000001E-2</v>
      </c>
      <c r="AB309" s="22">
        <v>299</v>
      </c>
      <c r="AC309" s="22">
        <v>0.17391999999999999</v>
      </c>
      <c r="AD309">
        <f t="shared" si="52"/>
        <v>20.785802469135803</v>
      </c>
      <c r="AE309">
        <f t="shared" si="53"/>
        <v>3.6252102370370372</v>
      </c>
      <c r="AF309" s="9"/>
      <c r="AG309" s="22">
        <v>1.40564</v>
      </c>
      <c r="AH309" s="22">
        <v>20.566099999999999</v>
      </c>
      <c r="AI309" s="22">
        <v>-1.43494E-2</v>
      </c>
      <c r="AJ309" s="22">
        <v>299</v>
      </c>
      <c r="AK309" s="22">
        <v>1.40442</v>
      </c>
      <c r="AL309">
        <f t="shared" si="54"/>
        <v>17.715308641975309</v>
      </c>
      <c r="AM309">
        <f t="shared" si="55"/>
        <v>24.901346439506174</v>
      </c>
      <c r="AP309" s="9"/>
      <c r="AQ309" s="22">
        <v>0.17440800000000001</v>
      </c>
      <c r="AR309" s="22">
        <v>25.864799999999999</v>
      </c>
      <c r="AS309" s="22">
        <v>-1.6802999999999998E-2</v>
      </c>
      <c r="AT309" s="22">
        <v>299</v>
      </c>
      <c r="AU309" s="22">
        <v>0.17364499999999999</v>
      </c>
      <c r="AV309">
        <f t="shared" si="56"/>
        <v>20.74444444444444</v>
      </c>
      <c r="AW309">
        <f t="shared" si="57"/>
        <v>3.6179970666666659</v>
      </c>
      <c r="AX309" s="9"/>
      <c r="AY309" s="22">
        <v>1.40564</v>
      </c>
      <c r="AZ309" s="22">
        <v>29.442299999999999</v>
      </c>
      <c r="BA309" s="22">
        <v>-1.43585E-2</v>
      </c>
      <c r="BB309" s="22">
        <v>299</v>
      </c>
      <c r="BC309" s="22">
        <v>1.40503</v>
      </c>
      <c r="BD309">
        <f t="shared" si="58"/>
        <v>17.726543209876542</v>
      </c>
      <c r="BE309">
        <f t="shared" si="59"/>
        <v>24.917138197530864</v>
      </c>
    </row>
    <row r="310" spans="6:57">
      <c r="F310" s="9"/>
      <c r="G310" s="22">
        <v>0.169373</v>
      </c>
      <c r="H310" s="22">
        <v>8.1156199999999998</v>
      </c>
      <c r="I310" s="22">
        <v>-1.68915E-2</v>
      </c>
      <c r="J310" s="22">
        <v>300</v>
      </c>
      <c r="K310" s="22">
        <v>0.168854</v>
      </c>
      <c r="L310">
        <f t="shared" si="48"/>
        <v>20.853703703703705</v>
      </c>
      <c r="M310">
        <f t="shared" si="49"/>
        <v>3.5320543574074073</v>
      </c>
      <c r="N310" s="9"/>
      <c r="O310" s="22">
        <v>1.4106799999999999</v>
      </c>
      <c r="P310" s="22">
        <v>11.693099999999999</v>
      </c>
      <c r="Q310" s="22">
        <v>-1.4306599999999999E-2</v>
      </c>
      <c r="R310" s="22">
        <v>300</v>
      </c>
      <c r="S310" s="22">
        <v>1.40961</v>
      </c>
      <c r="T310">
        <f t="shared" si="50"/>
        <v>17.662469135802468</v>
      </c>
      <c r="U310">
        <f t="shared" si="51"/>
        <v>24.916091960493823</v>
      </c>
      <c r="X310" s="9"/>
      <c r="Y310" s="22">
        <v>0.169373</v>
      </c>
      <c r="Z310" s="22">
        <v>16.998699999999999</v>
      </c>
      <c r="AA310" s="22">
        <v>-1.6845700000000002E-2</v>
      </c>
      <c r="AB310" s="22">
        <v>300</v>
      </c>
      <c r="AC310" s="22">
        <v>0.168823</v>
      </c>
      <c r="AD310">
        <f t="shared" si="52"/>
        <v>20.79716049382716</v>
      </c>
      <c r="AE310">
        <f t="shared" si="53"/>
        <v>3.5224774643209877</v>
      </c>
      <c r="AF310" s="9"/>
      <c r="AG310" s="22">
        <v>1.4106799999999999</v>
      </c>
      <c r="AH310" s="22">
        <v>20.5762</v>
      </c>
      <c r="AI310" s="22">
        <v>-1.43158E-2</v>
      </c>
      <c r="AJ310" s="22">
        <v>300</v>
      </c>
      <c r="AK310" s="22">
        <v>1.41022</v>
      </c>
      <c r="AL310">
        <f t="shared" si="54"/>
        <v>17.673827160493826</v>
      </c>
      <c r="AM310">
        <f t="shared" si="55"/>
        <v>24.932114498765429</v>
      </c>
      <c r="AP310" s="9"/>
      <c r="AQ310" s="22">
        <v>0.169373</v>
      </c>
      <c r="AR310" s="22">
        <v>25.8749</v>
      </c>
      <c r="AS310" s="22">
        <v>-1.6815199999999999E-2</v>
      </c>
      <c r="AT310" s="22">
        <v>300</v>
      </c>
      <c r="AU310" s="22">
        <v>0.16873199999999999</v>
      </c>
      <c r="AV310">
        <f t="shared" si="56"/>
        <v>20.759506172839505</v>
      </c>
      <c r="AW310">
        <f t="shared" si="57"/>
        <v>3.5160998390123455</v>
      </c>
      <c r="AX310" s="9"/>
      <c r="AY310" s="22">
        <v>1.4106799999999999</v>
      </c>
      <c r="AZ310" s="22">
        <v>29.452300000000001</v>
      </c>
      <c r="BA310" s="22">
        <v>-1.4324999999999999E-2</v>
      </c>
      <c r="BB310" s="22">
        <v>300</v>
      </c>
      <c r="BC310" s="22">
        <v>1.40991</v>
      </c>
      <c r="BD310">
        <f t="shared" si="58"/>
        <v>17.685185185185183</v>
      </c>
      <c r="BE310">
        <f t="shared" si="59"/>
        <v>24.948137037037032</v>
      </c>
    </row>
    <row r="311" spans="6:57">
      <c r="F311" s="9"/>
      <c r="G311" s="22">
        <v>0.16433700000000001</v>
      </c>
      <c r="H311" s="22">
        <v>8.1257000000000001</v>
      </c>
      <c r="I311" s="22">
        <v>-1.6900600000000002E-2</v>
      </c>
      <c r="J311" s="22">
        <v>301</v>
      </c>
      <c r="K311" s="22">
        <v>0.16366600000000001</v>
      </c>
      <c r="L311">
        <f t="shared" si="48"/>
        <v>20.864938271604938</v>
      </c>
      <c r="M311">
        <f t="shared" si="49"/>
        <v>3.4288813607407409</v>
      </c>
      <c r="N311" s="9"/>
      <c r="O311" s="22">
        <v>1.41571</v>
      </c>
      <c r="P311" s="22">
        <v>11.703200000000001</v>
      </c>
      <c r="Q311" s="22">
        <v>-1.4263899999999999E-2</v>
      </c>
      <c r="R311" s="22">
        <v>301</v>
      </c>
      <c r="S311" s="22">
        <v>1.41479</v>
      </c>
      <c r="T311">
        <f t="shared" si="50"/>
        <v>17.609753086419751</v>
      </c>
      <c r="U311">
        <f t="shared" si="51"/>
        <v>24.930303541975306</v>
      </c>
      <c r="X311" s="9"/>
      <c r="Y311" s="22">
        <v>0.16433700000000001</v>
      </c>
      <c r="Z311" s="22">
        <v>17.008700000000001</v>
      </c>
      <c r="AA311" s="22">
        <v>-1.6857899999999999E-2</v>
      </c>
      <c r="AB311" s="22">
        <v>301</v>
      </c>
      <c r="AC311" s="22">
        <v>0.16372700000000001</v>
      </c>
      <c r="AD311">
        <f t="shared" si="52"/>
        <v>20.812222222222218</v>
      </c>
      <c r="AE311">
        <f t="shared" si="53"/>
        <v>3.4202181633333328</v>
      </c>
      <c r="AF311" s="9"/>
      <c r="AG311" s="22">
        <v>1.41571</v>
      </c>
      <c r="AH311" s="22">
        <v>20.586200000000002</v>
      </c>
      <c r="AI311" s="22">
        <v>-1.4279200000000001E-2</v>
      </c>
      <c r="AJ311" s="22">
        <v>301</v>
      </c>
      <c r="AK311" s="22">
        <v>1.4154100000000001</v>
      </c>
      <c r="AL311">
        <f t="shared" si="54"/>
        <v>17.628641975308639</v>
      </c>
      <c r="AM311">
        <f t="shared" si="55"/>
        <v>24.957044730864194</v>
      </c>
      <c r="AP311" s="9"/>
      <c r="AQ311" s="22">
        <v>0.16433700000000001</v>
      </c>
      <c r="AR311" s="22">
        <v>25.884899999999998</v>
      </c>
      <c r="AS311" s="22">
        <v>-1.68243E-2</v>
      </c>
      <c r="AT311" s="22">
        <v>301</v>
      </c>
      <c r="AU311" s="22">
        <v>0.16381799999999999</v>
      </c>
      <c r="AV311">
        <f t="shared" si="56"/>
        <v>20.770740740740738</v>
      </c>
      <c r="AW311">
        <f t="shared" si="57"/>
        <v>3.4134012211111111</v>
      </c>
      <c r="AX311" s="9"/>
      <c r="AY311" s="22">
        <v>1.41571</v>
      </c>
      <c r="AZ311" s="22">
        <v>29.462399999999999</v>
      </c>
      <c r="BA311" s="22">
        <v>-1.42883E-2</v>
      </c>
      <c r="BB311" s="22">
        <v>301</v>
      </c>
      <c r="BC311" s="22">
        <v>1.41418</v>
      </c>
      <c r="BD311">
        <f t="shared" si="58"/>
        <v>17.639876543209876</v>
      </c>
      <c r="BE311">
        <f t="shared" si="59"/>
        <v>24.972949620987656</v>
      </c>
    </row>
    <row r="312" spans="6:57">
      <c r="F312" s="9"/>
      <c r="G312" s="22">
        <v>0.159302</v>
      </c>
      <c r="H312" s="22">
        <v>8.1357700000000008</v>
      </c>
      <c r="I312" s="22">
        <v>-1.6909799999999999E-2</v>
      </c>
      <c r="J312" s="22">
        <v>302</v>
      </c>
      <c r="K312" s="22">
        <v>0.15884400000000001</v>
      </c>
      <c r="L312">
        <f t="shared" si="48"/>
        <v>20.876296296296296</v>
      </c>
      <c r="M312">
        <f t="shared" si="49"/>
        <v>3.3256357525925924</v>
      </c>
      <c r="N312" s="9"/>
      <c r="O312" s="22">
        <v>1.42075</v>
      </c>
      <c r="P312" s="22">
        <v>11.7133</v>
      </c>
      <c r="Q312" s="22">
        <v>-1.4224199999999999E-2</v>
      </c>
      <c r="R312" s="22">
        <v>302</v>
      </c>
      <c r="S312" s="22">
        <v>1.4202900000000001</v>
      </c>
      <c r="T312">
        <f t="shared" si="50"/>
        <v>17.560740740740737</v>
      </c>
      <c r="U312">
        <f t="shared" si="51"/>
        <v>24.9494224074074</v>
      </c>
      <c r="X312" s="9"/>
      <c r="Y312" s="22">
        <v>0.159302</v>
      </c>
      <c r="Z312" s="22">
        <v>17.018799999999999</v>
      </c>
      <c r="AA312" s="22">
        <v>-1.6870099999999999E-2</v>
      </c>
      <c r="AB312" s="22">
        <v>302</v>
      </c>
      <c r="AC312" s="22">
        <v>0.158691</v>
      </c>
      <c r="AD312">
        <f t="shared" si="52"/>
        <v>20.827283950617282</v>
      </c>
      <c r="AE312">
        <f t="shared" si="53"/>
        <v>3.3178279879012345</v>
      </c>
      <c r="AF312" s="9"/>
      <c r="AG312" s="22">
        <v>1.42075</v>
      </c>
      <c r="AH312" s="22">
        <v>20.596299999999999</v>
      </c>
      <c r="AI312" s="22">
        <v>-1.4236499999999999E-2</v>
      </c>
      <c r="AJ312" s="22">
        <v>302</v>
      </c>
      <c r="AK312" s="22">
        <v>1.41998</v>
      </c>
      <c r="AL312">
        <f t="shared" si="54"/>
        <v>17.575925925925926</v>
      </c>
      <c r="AM312">
        <f t="shared" si="55"/>
        <v>24.970996759259258</v>
      </c>
      <c r="AP312" s="9"/>
      <c r="AQ312" s="22">
        <v>0.159302</v>
      </c>
      <c r="AR312" s="22">
        <v>25.895</v>
      </c>
      <c r="AS312" s="22">
        <v>-1.6833500000000001E-2</v>
      </c>
      <c r="AT312" s="22">
        <v>302</v>
      </c>
      <c r="AU312" s="22">
        <v>0.15893599999999999</v>
      </c>
      <c r="AV312">
        <f t="shared" si="56"/>
        <v>20.782098765432099</v>
      </c>
      <c r="AW312">
        <f t="shared" si="57"/>
        <v>3.3106298975308643</v>
      </c>
      <c r="AX312" s="9"/>
      <c r="AY312" s="22">
        <v>1.42075</v>
      </c>
      <c r="AZ312" s="22">
        <v>29.4725</v>
      </c>
      <c r="BA312" s="22">
        <v>-1.42487E-2</v>
      </c>
      <c r="BB312" s="22">
        <v>302</v>
      </c>
      <c r="BC312" s="22">
        <v>1.41998</v>
      </c>
      <c r="BD312">
        <f t="shared" si="58"/>
        <v>17.590987654320987</v>
      </c>
      <c r="BE312">
        <f t="shared" si="59"/>
        <v>24.99239570987654</v>
      </c>
    </row>
    <row r="313" spans="6:57">
      <c r="F313" s="9"/>
      <c r="G313" s="22">
        <v>0.15426599999999999</v>
      </c>
      <c r="H313" s="22">
        <v>8.1458399999999997</v>
      </c>
      <c r="I313" s="22">
        <v>-1.6922E-2</v>
      </c>
      <c r="J313" s="22">
        <v>303</v>
      </c>
      <c r="K313" s="22">
        <v>0.15371699999999999</v>
      </c>
      <c r="L313">
        <f t="shared" si="48"/>
        <v>20.891358024691357</v>
      </c>
      <c r="M313">
        <f t="shared" si="49"/>
        <v>3.2228262370370366</v>
      </c>
      <c r="N313" s="9"/>
      <c r="O313" s="22">
        <v>1.42578</v>
      </c>
      <c r="P313" s="22">
        <v>11.7233</v>
      </c>
      <c r="Q313" s="22">
        <v>-1.41785E-2</v>
      </c>
      <c r="R313" s="22">
        <v>303</v>
      </c>
      <c r="S313" s="22">
        <v>1.42456</v>
      </c>
      <c r="T313">
        <f t="shared" si="50"/>
        <v>17.504320987654321</v>
      </c>
      <c r="U313">
        <f t="shared" si="51"/>
        <v>24.957310777777778</v>
      </c>
      <c r="X313" s="9"/>
      <c r="Y313" s="22">
        <v>0.15426599999999999</v>
      </c>
      <c r="Z313" s="22">
        <v>17.0289</v>
      </c>
      <c r="AA313" s="22">
        <v>-1.6882299999999999E-2</v>
      </c>
      <c r="AB313" s="22">
        <v>303</v>
      </c>
      <c r="AC313" s="22">
        <v>0.153839</v>
      </c>
      <c r="AD313">
        <f t="shared" si="52"/>
        <v>20.842345679012343</v>
      </c>
      <c r="AE313">
        <f t="shared" si="53"/>
        <v>3.2152652985185179</v>
      </c>
      <c r="AF313" s="9"/>
      <c r="AG313" s="22">
        <v>1.42578</v>
      </c>
      <c r="AH313" s="22">
        <v>20.606400000000001</v>
      </c>
      <c r="AI313" s="22">
        <v>-1.41846E-2</v>
      </c>
      <c r="AJ313" s="22">
        <v>303</v>
      </c>
      <c r="AK313" s="22">
        <v>1.42456</v>
      </c>
      <c r="AL313">
        <f t="shared" si="54"/>
        <v>17.511851851851851</v>
      </c>
      <c r="AM313">
        <f t="shared" si="55"/>
        <v>24.968048133333333</v>
      </c>
      <c r="AP313" s="9"/>
      <c r="AQ313" s="22">
        <v>0.15426599999999999</v>
      </c>
      <c r="AR313" s="22">
        <v>25.905100000000001</v>
      </c>
      <c r="AS313" s="22">
        <v>-1.6842699999999999E-2</v>
      </c>
      <c r="AT313" s="22">
        <v>303</v>
      </c>
      <c r="AU313" s="22">
        <v>0.15371699999999999</v>
      </c>
      <c r="AV313">
        <f t="shared" si="56"/>
        <v>20.793456790123454</v>
      </c>
      <c r="AW313">
        <f t="shared" si="57"/>
        <v>3.2077234051851846</v>
      </c>
      <c r="AX313" s="9"/>
      <c r="AY313" s="22">
        <v>1.42578</v>
      </c>
      <c r="AZ313" s="22">
        <v>29.482500000000002</v>
      </c>
      <c r="BA313" s="22">
        <v>-1.4208999999999999E-2</v>
      </c>
      <c r="BB313" s="22">
        <v>303</v>
      </c>
      <c r="BC313" s="22">
        <v>1.42517</v>
      </c>
      <c r="BD313">
        <f t="shared" si="58"/>
        <v>17.541975308641973</v>
      </c>
      <c r="BE313">
        <f t="shared" si="59"/>
        <v>25.010997555555555</v>
      </c>
    </row>
    <row r="314" spans="6:57">
      <c r="F314" s="9"/>
      <c r="G314" s="22">
        <v>0.149231</v>
      </c>
      <c r="H314" s="22">
        <v>8.1559100000000004</v>
      </c>
      <c r="I314" s="22">
        <v>-1.69312E-2</v>
      </c>
      <c r="J314" s="22">
        <v>304</v>
      </c>
      <c r="K314" s="22">
        <v>0.14859</v>
      </c>
      <c r="L314">
        <f t="shared" si="48"/>
        <v>20.902716049382715</v>
      </c>
      <c r="M314">
        <f t="shared" si="49"/>
        <v>3.1193332187654321</v>
      </c>
      <c r="N314" s="9"/>
      <c r="O314" s="22">
        <v>1.43082</v>
      </c>
      <c r="P314" s="22">
        <v>11.7334</v>
      </c>
      <c r="Q314" s="22">
        <v>-1.41327E-2</v>
      </c>
      <c r="R314" s="22">
        <v>304</v>
      </c>
      <c r="S314" s="22">
        <v>1.4297500000000001</v>
      </c>
      <c r="T314">
        <f t="shared" si="50"/>
        <v>17.447777777777777</v>
      </c>
      <c r="U314">
        <f t="shared" si="51"/>
        <v>24.9646294</v>
      </c>
      <c r="X314" s="9"/>
      <c r="Y314" s="22">
        <v>0.149231</v>
      </c>
      <c r="Z314" s="22">
        <v>17.039000000000001</v>
      </c>
      <c r="AA314" s="22">
        <v>-1.68945E-2</v>
      </c>
      <c r="AB314" s="22">
        <v>304</v>
      </c>
      <c r="AC314" s="22">
        <v>0.14877299999999999</v>
      </c>
      <c r="AD314">
        <f t="shared" si="52"/>
        <v>20.857407407407404</v>
      </c>
      <c r="AE314">
        <f t="shared" si="53"/>
        <v>3.1125717648148146</v>
      </c>
      <c r="AF314" s="9"/>
      <c r="AG314" s="22">
        <v>1.43082</v>
      </c>
      <c r="AH314" s="22">
        <v>20.616399999999999</v>
      </c>
      <c r="AI314" s="22">
        <v>-1.4135699999999999E-2</v>
      </c>
      <c r="AJ314" s="22">
        <v>304</v>
      </c>
      <c r="AK314" s="22">
        <v>1.4297500000000001</v>
      </c>
      <c r="AL314">
        <f t="shared" si="54"/>
        <v>17.45148148148148</v>
      </c>
      <c r="AM314">
        <f t="shared" si="55"/>
        <v>24.96992873333333</v>
      </c>
      <c r="AP314" s="9"/>
      <c r="AQ314" s="22">
        <v>0.149231</v>
      </c>
      <c r="AR314" s="22">
        <v>25.915099999999999</v>
      </c>
      <c r="AS314" s="22">
        <v>-1.6854899999999999E-2</v>
      </c>
      <c r="AT314" s="22">
        <v>304</v>
      </c>
      <c r="AU314" s="22">
        <v>0.14868200000000001</v>
      </c>
      <c r="AV314">
        <f t="shared" si="56"/>
        <v>20.808518518518515</v>
      </c>
      <c r="AW314">
        <f t="shared" si="57"/>
        <v>3.1052760270370365</v>
      </c>
      <c r="AX314" s="9"/>
      <c r="AY314" s="22">
        <v>1.43082</v>
      </c>
      <c r="AZ314" s="22">
        <v>29.492599999999999</v>
      </c>
      <c r="BA314" s="22">
        <v>-1.4163200000000001E-2</v>
      </c>
      <c r="BB314" s="22">
        <v>304</v>
      </c>
      <c r="BC314" s="22">
        <v>1.4303600000000001</v>
      </c>
      <c r="BD314">
        <f t="shared" si="58"/>
        <v>17.485432098765433</v>
      </c>
      <c r="BE314">
        <f t="shared" si="59"/>
        <v>25.018505955555558</v>
      </c>
    </row>
    <row r="315" spans="6:57">
      <c r="F315" s="9"/>
      <c r="G315" s="22">
        <v>0.14419599999999999</v>
      </c>
      <c r="H315" s="22">
        <v>8.1659799999999994</v>
      </c>
      <c r="I315" s="22">
        <v>-1.6940299999999998E-2</v>
      </c>
      <c r="J315" s="22">
        <v>305</v>
      </c>
      <c r="K315" s="22">
        <v>0.14361599999999999</v>
      </c>
      <c r="L315">
        <f t="shared" si="48"/>
        <v>20.913950617283948</v>
      </c>
      <c r="M315">
        <f t="shared" si="49"/>
        <v>3.0157080232098759</v>
      </c>
      <c r="N315" s="9"/>
      <c r="O315" s="22">
        <v>1.4358500000000001</v>
      </c>
      <c r="P315" s="22">
        <v>11.743499999999999</v>
      </c>
      <c r="Q315" s="22">
        <v>-1.40778E-2</v>
      </c>
      <c r="R315" s="22">
        <v>305</v>
      </c>
      <c r="S315" s="22">
        <v>1.4349400000000001</v>
      </c>
      <c r="T315">
        <f t="shared" si="50"/>
        <v>17.38</v>
      </c>
      <c r="U315">
        <f t="shared" si="51"/>
        <v>24.955072999999999</v>
      </c>
      <c r="X315" s="9"/>
      <c r="Y315" s="22">
        <v>0.14419599999999999</v>
      </c>
      <c r="Z315" s="22">
        <v>17.048999999999999</v>
      </c>
      <c r="AA315" s="22">
        <v>-1.69067E-2</v>
      </c>
      <c r="AB315" s="22">
        <v>305</v>
      </c>
      <c r="AC315" s="22">
        <v>0.14352400000000001</v>
      </c>
      <c r="AD315">
        <f t="shared" si="52"/>
        <v>20.872469135802469</v>
      </c>
      <c r="AE315">
        <f t="shared" si="53"/>
        <v>3.0097265595061726</v>
      </c>
      <c r="AF315" s="9"/>
      <c r="AG315" s="22">
        <v>1.4358500000000001</v>
      </c>
      <c r="AH315" s="22">
        <v>20.6265</v>
      </c>
      <c r="AI315" s="22">
        <v>-1.4080799999999999E-2</v>
      </c>
      <c r="AJ315" s="22">
        <v>305</v>
      </c>
      <c r="AK315" s="22">
        <v>1.4352400000000001</v>
      </c>
      <c r="AL315">
        <f t="shared" si="54"/>
        <v>17.383703703703702</v>
      </c>
      <c r="AM315">
        <f t="shared" si="55"/>
        <v>24.960390962962961</v>
      </c>
      <c r="AP315" s="9"/>
      <c r="AQ315" s="22">
        <v>0.14419599999999999</v>
      </c>
      <c r="AR315" s="22">
        <v>25.9252</v>
      </c>
      <c r="AS315" s="22">
        <v>-1.6864000000000001E-2</v>
      </c>
      <c r="AT315" s="22">
        <v>305</v>
      </c>
      <c r="AU315" s="22">
        <v>0.14346300000000001</v>
      </c>
      <c r="AV315">
        <f t="shared" si="56"/>
        <v>20.819753086419752</v>
      </c>
      <c r="AW315">
        <f t="shared" si="57"/>
        <v>3.0021251160493825</v>
      </c>
      <c r="AX315" s="9"/>
      <c r="AY315" s="22">
        <v>1.4358500000000001</v>
      </c>
      <c r="AZ315" s="22">
        <v>29.502700000000001</v>
      </c>
      <c r="BA315" s="22">
        <v>-1.41113E-2</v>
      </c>
      <c r="BB315" s="22">
        <v>305</v>
      </c>
      <c r="BC315" s="22">
        <v>1.4352400000000001</v>
      </c>
      <c r="BD315">
        <f t="shared" si="58"/>
        <v>17.421358024691358</v>
      </c>
      <c r="BE315">
        <f t="shared" si="59"/>
        <v>25.014456919753087</v>
      </c>
    </row>
    <row r="316" spans="6:57">
      <c r="F316" s="9"/>
      <c r="G316" s="22">
        <v>0.13916000000000001</v>
      </c>
      <c r="H316" s="22">
        <v>8.17605</v>
      </c>
      <c r="I316" s="22">
        <v>-1.6952499999999999E-2</v>
      </c>
      <c r="J316" s="22">
        <v>306</v>
      </c>
      <c r="K316" s="22">
        <v>0.13864099999999999</v>
      </c>
      <c r="L316">
        <f t="shared" si="48"/>
        <v>20.929012345679009</v>
      </c>
      <c r="M316">
        <f t="shared" si="49"/>
        <v>2.9124813580246909</v>
      </c>
      <c r="N316" s="9"/>
      <c r="O316" s="22">
        <v>1.44089</v>
      </c>
      <c r="P316" s="22">
        <v>11.753500000000001</v>
      </c>
      <c r="Q316" s="22">
        <v>-1.40228E-2</v>
      </c>
      <c r="R316" s="22">
        <v>306</v>
      </c>
      <c r="S316" s="22">
        <v>1.4401200000000001</v>
      </c>
      <c r="T316">
        <f t="shared" si="50"/>
        <v>17.312098765432097</v>
      </c>
      <c r="U316">
        <f t="shared" si="51"/>
        <v>24.944829990123456</v>
      </c>
      <c r="X316" s="9"/>
      <c r="Y316" s="22">
        <v>0.13916000000000001</v>
      </c>
      <c r="Z316" s="22">
        <v>17.059100000000001</v>
      </c>
      <c r="AA316" s="22">
        <v>-1.6915900000000001E-2</v>
      </c>
      <c r="AB316" s="22">
        <v>306</v>
      </c>
      <c r="AC316" s="22">
        <v>0.13864099999999999</v>
      </c>
      <c r="AD316">
        <f t="shared" si="52"/>
        <v>20.883827160493826</v>
      </c>
      <c r="AE316">
        <f t="shared" si="53"/>
        <v>2.9061933876543211</v>
      </c>
      <c r="AF316" s="9"/>
      <c r="AG316" s="22">
        <v>1.44089</v>
      </c>
      <c r="AH316" s="22">
        <v>20.636600000000001</v>
      </c>
      <c r="AI316" s="22">
        <v>-1.40228E-2</v>
      </c>
      <c r="AJ316" s="22">
        <v>306</v>
      </c>
      <c r="AK316" s="22">
        <v>1.4398200000000001</v>
      </c>
      <c r="AL316">
        <f t="shared" si="54"/>
        <v>17.312098765432097</v>
      </c>
      <c r="AM316">
        <f t="shared" si="55"/>
        <v>24.944829990123456</v>
      </c>
      <c r="AP316" s="9"/>
      <c r="AQ316" s="22">
        <v>0.13916000000000001</v>
      </c>
      <c r="AR316" s="22">
        <v>25.935300000000002</v>
      </c>
      <c r="AS316" s="22">
        <v>-1.6873200000000001E-2</v>
      </c>
      <c r="AT316" s="22">
        <v>306</v>
      </c>
      <c r="AU316" s="22">
        <v>0.13867199999999999</v>
      </c>
      <c r="AV316">
        <f t="shared" si="56"/>
        <v>20.831111111111113</v>
      </c>
      <c r="AW316">
        <f t="shared" si="57"/>
        <v>2.8988574222222225</v>
      </c>
      <c r="AX316" s="9"/>
      <c r="AY316" s="22">
        <v>1.44089</v>
      </c>
      <c r="AZ316" s="22">
        <v>29.512799999999999</v>
      </c>
      <c r="BA316" s="22">
        <v>-1.40564E-2</v>
      </c>
      <c r="BB316" s="22">
        <v>306</v>
      </c>
      <c r="BC316" s="22">
        <v>1.4401200000000001</v>
      </c>
      <c r="BD316">
        <f t="shared" si="58"/>
        <v>17.35358024691358</v>
      </c>
      <c r="BE316">
        <f t="shared" si="59"/>
        <v>25.004600241975307</v>
      </c>
    </row>
    <row r="317" spans="6:57">
      <c r="F317" s="9"/>
      <c r="G317" s="22">
        <v>0.13412499999999999</v>
      </c>
      <c r="H317" s="22">
        <v>8.1861200000000007</v>
      </c>
      <c r="I317" s="22">
        <v>-1.69617E-2</v>
      </c>
      <c r="J317" s="22">
        <v>307</v>
      </c>
      <c r="K317" s="22">
        <v>0.13345299999999999</v>
      </c>
      <c r="L317">
        <f t="shared" si="48"/>
        <v>20.940370370370371</v>
      </c>
      <c r="M317">
        <f t="shared" si="49"/>
        <v>2.8086271759259258</v>
      </c>
      <c r="N317" s="9"/>
      <c r="O317" s="22">
        <v>1.4459200000000001</v>
      </c>
      <c r="P317" s="22">
        <v>11.7636</v>
      </c>
      <c r="Q317" s="22">
        <v>-1.39618E-2</v>
      </c>
      <c r="R317" s="22">
        <v>307</v>
      </c>
      <c r="S317" s="22">
        <v>1.4456199999999999</v>
      </c>
      <c r="T317">
        <f t="shared" si="50"/>
        <v>17.236790123456789</v>
      </c>
      <c r="U317">
        <f t="shared" si="51"/>
        <v>24.923019575308643</v>
      </c>
      <c r="X317" s="9"/>
      <c r="Y317" s="22">
        <v>0.13412499999999999</v>
      </c>
      <c r="Z317" s="22">
        <v>17.069199999999999</v>
      </c>
      <c r="AA317" s="22">
        <v>-1.6928100000000001E-2</v>
      </c>
      <c r="AB317" s="22">
        <v>307</v>
      </c>
      <c r="AC317" s="22">
        <v>0.133606</v>
      </c>
      <c r="AD317">
        <f t="shared" si="52"/>
        <v>20.898888888888891</v>
      </c>
      <c r="AE317">
        <f t="shared" si="53"/>
        <v>2.8030634722222225</v>
      </c>
      <c r="AF317" s="9"/>
      <c r="AG317" s="22">
        <v>1.4459200000000001</v>
      </c>
      <c r="AH317" s="22">
        <v>20.646699999999999</v>
      </c>
      <c r="AI317" s="22">
        <v>-1.3964799999999999E-2</v>
      </c>
      <c r="AJ317" s="22">
        <v>307</v>
      </c>
      <c r="AK317" s="22">
        <v>1.4453100000000001</v>
      </c>
      <c r="AL317">
        <f t="shared" si="54"/>
        <v>17.240493827160492</v>
      </c>
      <c r="AM317">
        <f t="shared" si="55"/>
        <v>24.928374834567901</v>
      </c>
      <c r="AP317" s="9"/>
      <c r="AQ317" s="22">
        <v>0.13412499999999999</v>
      </c>
      <c r="AR317" s="22">
        <v>25.9453</v>
      </c>
      <c r="AS317" s="22">
        <v>-1.6882299999999999E-2</v>
      </c>
      <c r="AT317" s="22">
        <v>307</v>
      </c>
      <c r="AU317" s="22">
        <v>0.133545</v>
      </c>
      <c r="AV317">
        <f t="shared" si="56"/>
        <v>20.842345679012343</v>
      </c>
      <c r="AW317">
        <f t="shared" si="57"/>
        <v>2.7954796141975304</v>
      </c>
      <c r="AX317" s="9"/>
      <c r="AY317" s="22">
        <v>1.4459200000000001</v>
      </c>
      <c r="AZ317" s="22">
        <v>29.5228</v>
      </c>
      <c r="BA317" s="22">
        <v>-1.40015E-2</v>
      </c>
      <c r="BB317" s="22">
        <v>307</v>
      </c>
      <c r="BC317" s="22">
        <v>1.4450099999999999</v>
      </c>
      <c r="BD317">
        <f t="shared" si="58"/>
        <v>17.285802469135803</v>
      </c>
      <c r="BE317">
        <f t="shared" si="59"/>
        <v>24.99388750617284</v>
      </c>
    </row>
    <row r="318" spans="6:57">
      <c r="F318" s="9"/>
      <c r="G318" s="22">
        <v>0.12908900000000001</v>
      </c>
      <c r="H318" s="22">
        <v>8.1961899999999996</v>
      </c>
      <c r="I318" s="22">
        <v>-1.6970800000000001E-2</v>
      </c>
      <c r="J318" s="22">
        <v>308</v>
      </c>
      <c r="K318" s="22">
        <v>0.12857099999999999</v>
      </c>
      <c r="L318">
        <f t="shared" si="48"/>
        <v>20.951604938271604</v>
      </c>
      <c r="M318">
        <f t="shared" si="49"/>
        <v>2.7046217298765431</v>
      </c>
      <c r="N318" s="9"/>
      <c r="O318" s="22">
        <v>1.45096</v>
      </c>
      <c r="P318" s="22">
        <v>11.7737</v>
      </c>
      <c r="Q318" s="22">
        <v>-1.39008E-2</v>
      </c>
      <c r="R318" s="22">
        <v>308</v>
      </c>
      <c r="S318" s="22">
        <v>1.4498899999999999</v>
      </c>
      <c r="T318">
        <f t="shared" si="50"/>
        <v>17.161481481481481</v>
      </c>
      <c r="U318">
        <f t="shared" si="51"/>
        <v>24.90062317037037</v>
      </c>
      <c r="X318" s="9"/>
      <c r="Y318" s="22">
        <v>0.12908900000000001</v>
      </c>
      <c r="Z318" s="22">
        <v>17.0792</v>
      </c>
      <c r="AA318" s="22">
        <v>-1.6937299999999999E-2</v>
      </c>
      <c r="AB318" s="22">
        <v>308</v>
      </c>
      <c r="AC318" s="22">
        <v>0.128326</v>
      </c>
      <c r="AD318">
        <f t="shared" si="52"/>
        <v>20.910246913580242</v>
      </c>
      <c r="AE318">
        <f t="shared" si="53"/>
        <v>2.6992828638271602</v>
      </c>
      <c r="AF318" s="9"/>
      <c r="AG318" s="22">
        <v>1.45096</v>
      </c>
      <c r="AH318" s="22">
        <v>20.656700000000001</v>
      </c>
      <c r="AI318" s="22">
        <v>-1.39008E-2</v>
      </c>
      <c r="AJ318" s="22">
        <v>308</v>
      </c>
      <c r="AK318" s="22">
        <v>1.4501999999999999</v>
      </c>
      <c r="AL318">
        <f t="shared" si="54"/>
        <v>17.161481481481481</v>
      </c>
      <c r="AM318">
        <f t="shared" si="55"/>
        <v>24.90062317037037</v>
      </c>
      <c r="AP318" s="9"/>
      <c r="AQ318" s="22">
        <v>0.12908900000000001</v>
      </c>
      <c r="AR318" s="22">
        <v>25.955400000000001</v>
      </c>
      <c r="AS318" s="22">
        <v>-1.68945E-2</v>
      </c>
      <c r="AT318" s="22">
        <v>308</v>
      </c>
      <c r="AU318" s="22">
        <v>0.128632</v>
      </c>
      <c r="AV318">
        <f t="shared" si="56"/>
        <v>20.857407407407404</v>
      </c>
      <c r="AW318">
        <f t="shared" si="57"/>
        <v>2.6924618648148146</v>
      </c>
      <c r="AX318" s="9"/>
      <c r="AY318" s="22">
        <v>1.45096</v>
      </c>
      <c r="AZ318" s="22">
        <v>29.532900000000001</v>
      </c>
      <c r="BA318" s="22">
        <v>-1.39343E-2</v>
      </c>
      <c r="BB318" s="22">
        <v>308</v>
      </c>
      <c r="BC318" s="22">
        <v>1.4495800000000001</v>
      </c>
      <c r="BD318">
        <f t="shared" si="58"/>
        <v>17.202839506172836</v>
      </c>
      <c r="BE318">
        <f t="shared" si="59"/>
        <v>24.960632009876537</v>
      </c>
    </row>
    <row r="319" spans="6:57">
      <c r="F319" s="9"/>
      <c r="G319" s="22">
        <v>0.124054</v>
      </c>
      <c r="H319" s="22">
        <v>8.2062600000000003</v>
      </c>
      <c r="I319" s="22">
        <v>-1.6986100000000001E-2</v>
      </c>
      <c r="J319" s="22">
        <v>309</v>
      </c>
      <c r="K319" s="22">
        <v>0.123566</v>
      </c>
      <c r="L319">
        <f t="shared" si="48"/>
        <v>20.970493827160492</v>
      </c>
      <c r="M319">
        <f t="shared" si="49"/>
        <v>2.6014736412345676</v>
      </c>
      <c r="N319" s="9"/>
      <c r="O319" s="22">
        <v>1.4559899999999999</v>
      </c>
      <c r="P319" s="22">
        <v>11.7837</v>
      </c>
      <c r="Q319" s="22">
        <v>-1.38367E-2</v>
      </c>
      <c r="R319" s="22">
        <v>309</v>
      </c>
      <c r="S319" s="22">
        <v>1.4550799999999999</v>
      </c>
      <c r="T319">
        <f t="shared" si="50"/>
        <v>17.082345679012345</v>
      </c>
      <c r="U319">
        <f t="shared" si="51"/>
        <v>24.871724485185183</v>
      </c>
      <c r="X319" s="9"/>
      <c r="Y319" s="22">
        <v>0.124054</v>
      </c>
      <c r="Z319" s="22">
        <v>17.089300000000001</v>
      </c>
      <c r="AA319" s="22">
        <v>-1.69464E-2</v>
      </c>
      <c r="AB319" s="22">
        <v>309</v>
      </c>
      <c r="AC319" s="22">
        <v>0.123627</v>
      </c>
      <c r="AD319">
        <f t="shared" si="52"/>
        <v>20.921481481481482</v>
      </c>
      <c r="AE319">
        <f t="shared" si="53"/>
        <v>2.5953934637037039</v>
      </c>
      <c r="AF319" s="9"/>
      <c r="AG319" s="22">
        <v>1.4559899999999999</v>
      </c>
      <c r="AH319" s="22">
        <v>20.666799999999999</v>
      </c>
      <c r="AI319" s="22">
        <v>-1.38336E-2</v>
      </c>
      <c r="AJ319" s="22">
        <v>309</v>
      </c>
      <c r="AK319" s="22">
        <v>1.4550799999999999</v>
      </c>
      <c r="AL319">
        <f t="shared" si="54"/>
        <v>17.078518518518518</v>
      </c>
      <c r="AM319">
        <f t="shared" si="55"/>
        <v>24.866152177777774</v>
      </c>
      <c r="AP319" s="9"/>
      <c r="AQ319" s="22">
        <v>0.124054</v>
      </c>
      <c r="AR319" s="22">
        <v>25.965499999999999</v>
      </c>
      <c r="AS319" s="22">
        <v>-1.6900600000000002E-2</v>
      </c>
      <c r="AT319" s="22">
        <v>309</v>
      </c>
      <c r="AU319" s="22">
        <v>0.123474</v>
      </c>
      <c r="AV319">
        <f t="shared" si="56"/>
        <v>20.864938271604938</v>
      </c>
      <c r="AW319">
        <f t="shared" si="57"/>
        <v>2.5883790523456791</v>
      </c>
      <c r="AX319" s="9"/>
      <c r="AY319" s="22">
        <v>1.4559899999999999</v>
      </c>
      <c r="AZ319" s="22">
        <v>29.542999999999999</v>
      </c>
      <c r="BA319" s="22">
        <v>-1.3861099999999999E-2</v>
      </c>
      <c r="BB319" s="22">
        <v>309</v>
      </c>
      <c r="BC319" s="22">
        <v>1.4550799999999999</v>
      </c>
      <c r="BD319">
        <f t="shared" si="58"/>
        <v>17.112469135802467</v>
      </c>
      <c r="BE319">
        <f t="shared" si="59"/>
        <v>24.915583937037031</v>
      </c>
    </row>
    <row r="320" spans="6:57">
      <c r="F320" s="9"/>
      <c r="G320" s="22">
        <v>0.119019</v>
      </c>
      <c r="H320" s="22">
        <v>8.2163299999999992</v>
      </c>
      <c r="I320" s="22">
        <v>-1.6998300000000001E-2</v>
      </c>
      <c r="J320" s="22">
        <v>310</v>
      </c>
      <c r="K320" s="22">
        <v>0.11853</v>
      </c>
      <c r="L320">
        <f t="shared" si="48"/>
        <v>20.985555555555557</v>
      </c>
      <c r="M320">
        <f t="shared" si="49"/>
        <v>2.4976798366666668</v>
      </c>
      <c r="N320" s="9"/>
      <c r="O320" s="22">
        <v>1.4610300000000001</v>
      </c>
      <c r="P320" s="22">
        <v>11.793799999999999</v>
      </c>
      <c r="Q320" s="22">
        <v>-1.3766499999999999E-2</v>
      </c>
      <c r="R320" s="22">
        <v>310</v>
      </c>
      <c r="S320" s="22">
        <v>1.4605699999999999</v>
      </c>
      <c r="T320">
        <f t="shared" si="50"/>
        <v>16.995679012345676</v>
      </c>
      <c r="U320">
        <f t="shared" si="51"/>
        <v>24.831196907407403</v>
      </c>
      <c r="X320" s="9"/>
      <c r="Y320" s="22">
        <v>0.119019</v>
      </c>
      <c r="Z320" s="22">
        <v>17.099399999999999</v>
      </c>
      <c r="AA320" s="22">
        <v>-1.6958600000000001E-2</v>
      </c>
      <c r="AB320" s="22">
        <v>310</v>
      </c>
      <c r="AC320" s="22">
        <v>0.118378</v>
      </c>
      <c r="AD320">
        <f t="shared" si="52"/>
        <v>20.936543209876543</v>
      </c>
      <c r="AE320">
        <f t="shared" si="53"/>
        <v>2.4918464362962962</v>
      </c>
      <c r="AF320" s="9"/>
      <c r="AG320" s="22">
        <v>1.4610300000000001</v>
      </c>
      <c r="AH320" s="22">
        <v>20.6769</v>
      </c>
      <c r="AI320" s="22">
        <v>-1.37634E-2</v>
      </c>
      <c r="AJ320" s="22">
        <v>310</v>
      </c>
      <c r="AK320" s="22">
        <v>1.4599599999999999</v>
      </c>
      <c r="AL320">
        <f t="shared" si="54"/>
        <v>16.991851851851852</v>
      </c>
      <c r="AM320">
        <f t="shared" si="55"/>
        <v>24.825605311111111</v>
      </c>
      <c r="AP320" s="9"/>
      <c r="AQ320" s="22">
        <v>0.119019</v>
      </c>
      <c r="AR320" s="22">
        <v>25.9756</v>
      </c>
      <c r="AS320" s="22">
        <v>-1.6915900000000001E-2</v>
      </c>
      <c r="AT320" s="22">
        <v>310</v>
      </c>
      <c r="AU320" s="22">
        <v>0.11849999999999999</v>
      </c>
      <c r="AV320">
        <f t="shared" si="56"/>
        <v>20.883827160493826</v>
      </c>
      <c r="AW320">
        <f t="shared" si="57"/>
        <v>2.4855722248148147</v>
      </c>
      <c r="AX320" s="9"/>
      <c r="AY320" s="22">
        <v>1.4610300000000001</v>
      </c>
      <c r="AZ320" s="22">
        <v>29.553000000000001</v>
      </c>
      <c r="BA320" s="22">
        <v>-1.3787799999999999E-2</v>
      </c>
      <c r="BB320" s="22">
        <v>310</v>
      </c>
      <c r="BC320" s="22">
        <v>1.46088</v>
      </c>
      <c r="BD320">
        <f t="shared" si="58"/>
        <v>17.021975308641974</v>
      </c>
      <c r="BE320">
        <f t="shared" si="59"/>
        <v>24.869616585185184</v>
      </c>
    </row>
    <row r="321" spans="6:57">
      <c r="F321" s="9"/>
      <c r="G321" s="22">
        <v>0.113983</v>
      </c>
      <c r="H321" s="22">
        <v>8.2264099999999996</v>
      </c>
      <c r="I321" s="22">
        <v>-1.7010500000000001E-2</v>
      </c>
      <c r="J321" s="22">
        <v>311</v>
      </c>
      <c r="K321" s="22">
        <v>0.11328100000000001</v>
      </c>
      <c r="L321">
        <f t="shared" si="48"/>
        <v>21.000617283950618</v>
      </c>
      <c r="M321">
        <f t="shared" si="49"/>
        <v>2.3937133598765432</v>
      </c>
      <c r="N321" s="9"/>
      <c r="O321" s="22">
        <v>1.4660599999999999</v>
      </c>
      <c r="P321" s="22">
        <v>11.803900000000001</v>
      </c>
      <c r="Q321" s="22">
        <v>-1.36902E-2</v>
      </c>
      <c r="R321" s="22">
        <v>311</v>
      </c>
      <c r="S321" s="22">
        <v>1.4648399999999999</v>
      </c>
      <c r="T321">
        <f t="shared" si="50"/>
        <v>16.901481481481479</v>
      </c>
      <c r="U321">
        <f t="shared" si="51"/>
        <v>24.778585940740737</v>
      </c>
      <c r="X321" s="9"/>
      <c r="Y321" s="22">
        <v>0.113983</v>
      </c>
      <c r="Z321" s="22">
        <v>17.109500000000001</v>
      </c>
      <c r="AA321" s="22">
        <v>-1.6970800000000001E-2</v>
      </c>
      <c r="AB321" s="22">
        <v>311</v>
      </c>
      <c r="AC321" s="22">
        <v>0.113464</v>
      </c>
      <c r="AD321">
        <f t="shared" si="52"/>
        <v>20.951604938271604</v>
      </c>
      <c r="AE321">
        <f t="shared" si="53"/>
        <v>2.3881267856790123</v>
      </c>
      <c r="AF321" s="9"/>
      <c r="AG321" s="22">
        <v>1.4660599999999999</v>
      </c>
      <c r="AH321" s="22">
        <v>20.686900000000001</v>
      </c>
      <c r="AI321" s="22">
        <v>-1.36902E-2</v>
      </c>
      <c r="AJ321" s="22">
        <v>311</v>
      </c>
      <c r="AK321" s="22">
        <v>1.4648399999999999</v>
      </c>
      <c r="AL321">
        <f t="shared" si="54"/>
        <v>16.901481481481479</v>
      </c>
      <c r="AM321">
        <f t="shared" si="55"/>
        <v>24.778585940740737</v>
      </c>
      <c r="AP321" s="9"/>
      <c r="AQ321" s="22">
        <v>0.113983</v>
      </c>
      <c r="AR321" s="22">
        <v>25.985600000000002</v>
      </c>
      <c r="AS321" s="22">
        <v>-1.6924999999999999E-2</v>
      </c>
      <c r="AT321" s="22">
        <v>311</v>
      </c>
      <c r="AU321" s="22">
        <v>0.113495</v>
      </c>
      <c r="AV321">
        <f t="shared" si="56"/>
        <v>20.89506172839506</v>
      </c>
      <c r="AW321">
        <f t="shared" si="57"/>
        <v>2.3816818209876542</v>
      </c>
      <c r="AX321" s="9"/>
      <c r="AY321" s="22">
        <v>1.4660599999999999</v>
      </c>
      <c r="AZ321" s="22">
        <v>29.563099999999999</v>
      </c>
      <c r="BA321" s="22">
        <v>-1.3717699999999999E-2</v>
      </c>
      <c r="BB321" s="22">
        <v>311</v>
      </c>
      <c r="BC321" s="22">
        <v>1.46515</v>
      </c>
      <c r="BD321">
        <f t="shared" si="58"/>
        <v>16.935432098765432</v>
      </c>
      <c r="BE321">
        <f t="shared" si="59"/>
        <v>24.828359582716047</v>
      </c>
    </row>
    <row r="322" spans="6:57">
      <c r="F322" s="9"/>
      <c r="G322" s="22">
        <v>0.108948</v>
      </c>
      <c r="H322" s="22">
        <v>8.2364800000000002</v>
      </c>
      <c r="I322" s="22">
        <v>-1.7022700000000002E-2</v>
      </c>
      <c r="J322" s="22">
        <v>312</v>
      </c>
      <c r="K322" s="22">
        <v>0.108429</v>
      </c>
      <c r="L322">
        <f t="shared" si="48"/>
        <v>21.015679012345679</v>
      </c>
      <c r="M322">
        <f t="shared" si="49"/>
        <v>2.289616197037037</v>
      </c>
      <c r="N322" s="9"/>
      <c r="O322" s="22">
        <v>1.4711000000000001</v>
      </c>
      <c r="P322" s="22">
        <v>11.814</v>
      </c>
      <c r="Q322" s="22">
        <v>-1.3610799999999999E-2</v>
      </c>
      <c r="R322" s="22">
        <v>312</v>
      </c>
      <c r="S322" s="22">
        <v>1.4700299999999999</v>
      </c>
      <c r="T322">
        <f t="shared" si="50"/>
        <v>16.803456790123455</v>
      </c>
      <c r="U322">
        <f t="shared" si="51"/>
        <v>24.719565283950615</v>
      </c>
      <c r="X322" s="9"/>
      <c r="Y322" s="22">
        <v>0.108948</v>
      </c>
      <c r="Z322" s="22">
        <v>17.119499999999999</v>
      </c>
      <c r="AA322" s="22">
        <v>-1.6986100000000001E-2</v>
      </c>
      <c r="AB322" s="22">
        <v>312</v>
      </c>
      <c r="AC322" s="22">
        <v>0.108459</v>
      </c>
      <c r="AD322">
        <f t="shared" si="52"/>
        <v>20.970493827160492</v>
      </c>
      <c r="AE322">
        <f t="shared" si="53"/>
        <v>2.2846933614814815</v>
      </c>
      <c r="AF322" s="9"/>
      <c r="AG322" s="22">
        <v>1.4711000000000001</v>
      </c>
      <c r="AH322" s="22">
        <v>20.696999999999999</v>
      </c>
      <c r="AI322" s="22">
        <v>-1.3610799999999999E-2</v>
      </c>
      <c r="AJ322" s="22">
        <v>312</v>
      </c>
      <c r="AK322" s="22">
        <v>1.4700299999999999</v>
      </c>
      <c r="AL322">
        <f t="shared" si="54"/>
        <v>16.803456790123455</v>
      </c>
      <c r="AM322">
        <f t="shared" si="55"/>
        <v>24.719565283950615</v>
      </c>
      <c r="AP322" s="9"/>
      <c r="AQ322" s="22">
        <v>0.108948</v>
      </c>
      <c r="AR322" s="22">
        <v>25.995699999999999</v>
      </c>
      <c r="AS322" s="22">
        <v>-1.6937299999999999E-2</v>
      </c>
      <c r="AT322" s="22">
        <v>312</v>
      </c>
      <c r="AU322" s="22">
        <v>0.10867300000000001</v>
      </c>
      <c r="AV322">
        <f t="shared" si="56"/>
        <v>20.910246913580242</v>
      </c>
      <c r="AW322">
        <f t="shared" si="57"/>
        <v>2.2781295807407402</v>
      </c>
      <c r="AX322" s="9"/>
      <c r="AY322" s="22">
        <v>1.4711000000000001</v>
      </c>
      <c r="AZ322" s="22">
        <v>29.5732</v>
      </c>
      <c r="BA322" s="22">
        <v>-1.3638300000000001E-2</v>
      </c>
      <c r="BB322" s="22">
        <v>312</v>
      </c>
      <c r="BC322" s="22">
        <v>1.47034</v>
      </c>
      <c r="BD322">
        <f t="shared" si="58"/>
        <v>16.837407407407408</v>
      </c>
      <c r="BE322">
        <f t="shared" si="59"/>
        <v>24.76951003703704</v>
      </c>
    </row>
    <row r="323" spans="6:57">
      <c r="F323" s="9"/>
      <c r="G323" s="22">
        <v>0.103912</v>
      </c>
      <c r="H323" s="22">
        <v>8.2465499999999992</v>
      </c>
      <c r="I323" s="22">
        <v>-1.7034899999999999E-2</v>
      </c>
      <c r="J323" s="22">
        <v>313</v>
      </c>
      <c r="K323" s="22">
        <v>0.10345500000000001</v>
      </c>
      <c r="L323">
        <f t="shared" si="48"/>
        <v>21.03074074074074</v>
      </c>
      <c r="M323">
        <f t="shared" si="49"/>
        <v>2.1853463318518518</v>
      </c>
      <c r="N323" s="9"/>
      <c r="O323" s="22">
        <v>1.47614</v>
      </c>
      <c r="P323" s="22">
        <v>11.824</v>
      </c>
      <c r="Q323" s="22">
        <v>-1.35193E-2</v>
      </c>
      <c r="R323" s="22">
        <v>313</v>
      </c>
      <c r="S323" s="22">
        <v>1.4755199999999999</v>
      </c>
      <c r="T323">
        <f t="shared" si="50"/>
        <v>16.690493827160495</v>
      </c>
      <c r="U323">
        <f t="shared" si="51"/>
        <v>24.637505558024692</v>
      </c>
      <c r="X323" s="9"/>
      <c r="Y323" s="22">
        <v>0.103912</v>
      </c>
      <c r="Z323" s="22">
        <v>17.1296</v>
      </c>
      <c r="AA323" s="22">
        <v>-1.6995199999999999E-2</v>
      </c>
      <c r="AB323" s="22">
        <v>313</v>
      </c>
      <c r="AC323" s="22">
        <v>0.103241</v>
      </c>
      <c r="AD323">
        <f t="shared" si="52"/>
        <v>20.981728395061726</v>
      </c>
      <c r="AE323">
        <f t="shared" si="53"/>
        <v>2.180253360987654</v>
      </c>
      <c r="AF323" s="9"/>
      <c r="AG323" s="22">
        <v>1.47614</v>
      </c>
      <c r="AH323" s="22">
        <v>20.707100000000001</v>
      </c>
      <c r="AI323" s="22">
        <v>-1.35193E-2</v>
      </c>
      <c r="AJ323" s="22">
        <v>313</v>
      </c>
      <c r="AK323" s="22">
        <v>1.47522</v>
      </c>
      <c r="AL323">
        <f t="shared" si="54"/>
        <v>16.690493827160495</v>
      </c>
      <c r="AM323">
        <f t="shared" si="55"/>
        <v>24.637505558024692</v>
      </c>
      <c r="AP323" s="9"/>
      <c r="AQ323" s="22">
        <v>0.103912</v>
      </c>
      <c r="AR323" s="22">
        <v>26.005800000000001</v>
      </c>
      <c r="AS323" s="22">
        <v>-1.6952499999999999E-2</v>
      </c>
      <c r="AT323" s="22">
        <v>313</v>
      </c>
      <c r="AU323" s="22">
        <v>0.103363</v>
      </c>
      <c r="AV323">
        <f t="shared" si="56"/>
        <v>20.929012345679009</v>
      </c>
      <c r="AW323">
        <f t="shared" si="57"/>
        <v>2.1747755308641974</v>
      </c>
      <c r="AX323" s="9"/>
      <c r="AY323" s="22">
        <v>1.47614</v>
      </c>
      <c r="AZ323" s="22">
        <v>29.583300000000001</v>
      </c>
      <c r="BA323" s="22">
        <v>-1.3549800000000001E-2</v>
      </c>
      <c r="BB323" s="22">
        <v>313</v>
      </c>
      <c r="BC323" s="22">
        <v>1.4755199999999999</v>
      </c>
      <c r="BD323">
        <f t="shared" si="58"/>
        <v>16.728148148148147</v>
      </c>
      <c r="BE323">
        <f t="shared" si="59"/>
        <v>24.693088607407407</v>
      </c>
    </row>
    <row r="324" spans="6:57">
      <c r="F324" s="9"/>
      <c r="G324" s="22">
        <v>9.8877000000000007E-2</v>
      </c>
      <c r="H324" s="22">
        <v>8.2566199999999998</v>
      </c>
      <c r="I324" s="22">
        <v>-1.70441E-2</v>
      </c>
      <c r="J324" s="22">
        <v>314</v>
      </c>
      <c r="K324" s="22">
        <v>9.8297099999999998E-2</v>
      </c>
      <c r="L324">
        <f t="shared" si="48"/>
        <v>21.042098765432097</v>
      </c>
      <c r="M324">
        <f t="shared" si="49"/>
        <v>2.0805795996296297</v>
      </c>
      <c r="N324" s="9"/>
      <c r="O324" s="22">
        <v>1.4811700000000001</v>
      </c>
      <c r="P324" s="22">
        <v>11.834099999999999</v>
      </c>
      <c r="Q324" s="22">
        <v>-1.3424699999999999E-2</v>
      </c>
      <c r="R324" s="22">
        <v>314</v>
      </c>
      <c r="S324" s="22">
        <v>1.48041</v>
      </c>
      <c r="T324">
        <f t="shared" si="50"/>
        <v>16.5737037037037</v>
      </c>
      <c r="U324">
        <f t="shared" si="51"/>
        <v>24.54847271481481</v>
      </c>
      <c r="X324" s="9"/>
      <c r="Y324" s="22">
        <v>9.8877000000000007E-2</v>
      </c>
      <c r="Z324" s="22">
        <v>17.139700000000001</v>
      </c>
      <c r="AA324" s="22">
        <v>-1.7010500000000001E-2</v>
      </c>
      <c r="AB324" s="22">
        <v>314</v>
      </c>
      <c r="AC324" s="22">
        <v>9.8358200000000007E-2</v>
      </c>
      <c r="AD324">
        <f t="shared" si="52"/>
        <v>21.000617283950618</v>
      </c>
      <c r="AE324">
        <f t="shared" si="53"/>
        <v>2.0764780351851853</v>
      </c>
      <c r="AF324" s="9"/>
      <c r="AG324" s="22">
        <v>1.4811700000000001</v>
      </c>
      <c r="AH324" s="22">
        <v>20.717099999999999</v>
      </c>
      <c r="AI324" s="22">
        <v>-1.3418599999999999E-2</v>
      </c>
      <c r="AJ324" s="22">
        <v>314</v>
      </c>
      <c r="AK324" s="22">
        <v>1.48041</v>
      </c>
      <c r="AL324">
        <f t="shared" si="54"/>
        <v>16.566172839506169</v>
      </c>
      <c r="AM324">
        <f t="shared" si="55"/>
        <v>24.537318224691354</v>
      </c>
      <c r="AP324" s="9"/>
      <c r="AQ324" s="22">
        <v>9.8877000000000007E-2</v>
      </c>
      <c r="AR324" s="22">
        <v>26.015799999999999</v>
      </c>
      <c r="AS324" s="22">
        <v>-1.6964699999999999E-2</v>
      </c>
      <c r="AT324" s="22">
        <v>314</v>
      </c>
      <c r="AU324" s="22">
        <v>9.8174999999999998E-2</v>
      </c>
      <c r="AV324">
        <f t="shared" si="56"/>
        <v>20.944074074074074</v>
      </c>
      <c r="AW324">
        <f t="shared" si="57"/>
        <v>2.0708872122222224</v>
      </c>
      <c r="AX324" s="9"/>
      <c r="AY324" s="22">
        <v>1.4811700000000001</v>
      </c>
      <c r="AZ324" s="22">
        <v>29.593299999999999</v>
      </c>
      <c r="BA324" s="22">
        <v>-1.34552E-2</v>
      </c>
      <c r="BB324" s="22">
        <v>314</v>
      </c>
      <c r="BC324" s="22">
        <v>1.48041</v>
      </c>
      <c r="BD324">
        <f t="shared" si="58"/>
        <v>16.611358024691356</v>
      </c>
      <c r="BE324">
        <f t="shared" si="59"/>
        <v>24.604245165432097</v>
      </c>
    </row>
    <row r="325" spans="6:57">
      <c r="F325" s="9"/>
      <c r="G325" s="22">
        <v>9.3841599999999997E-2</v>
      </c>
      <c r="H325" s="22">
        <v>8.2666900000000005</v>
      </c>
      <c r="I325" s="22">
        <v>-1.70563E-2</v>
      </c>
      <c r="J325" s="22">
        <v>315</v>
      </c>
      <c r="K325" s="22">
        <v>9.3292200000000006E-2</v>
      </c>
      <c r="L325">
        <f t="shared" si="48"/>
        <v>21.057160493827158</v>
      </c>
      <c r="M325">
        <f t="shared" si="49"/>
        <v>1.9760376321975306</v>
      </c>
      <c r="N325" s="9"/>
      <c r="O325" s="22">
        <v>1.48621</v>
      </c>
      <c r="P325" s="22">
        <v>11.844200000000001</v>
      </c>
      <c r="Q325" s="22">
        <v>-1.3324000000000001E-2</v>
      </c>
      <c r="R325" s="22">
        <v>315</v>
      </c>
      <c r="S325" s="22">
        <v>1.48529</v>
      </c>
      <c r="T325">
        <f t="shared" si="50"/>
        <v>16.449382716049382</v>
      </c>
      <c r="U325">
        <f t="shared" si="51"/>
        <v>24.447237086419751</v>
      </c>
      <c r="X325" s="9"/>
      <c r="Y325" s="22">
        <v>9.3841599999999997E-2</v>
      </c>
      <c r="Z325" s="22">
        <v>17.149699999999999</v>
      </c>
      <c r="AA325" s="22">
        <v>-1.7022700000000002E-2</v>
      </c>
      <c r="AB325" s="22">
        <v>315</v>
      </c>
      <c r="AC325" s="22">
        <v>9.33533E-2</v>
      </c>
      <c r="AD325">
        <f t="shared" si="52"/>
        <v>21.015679012345679</v>
      </c>
      <c r="AE325">
        <f t="shared" si="53"/>
        <v>1.9721449436049381</v>
      </c>
      <c r="AF325" s="9"/>
      <c r="AG325" s="22">
        <v>1.48621</v>
      </c>
      <c r="AH325" s="22">
        <v>20.7272</v>
      </c>
      <c r="AI325" s="22">
        <v>-1.33148E-2</v>
      </c>
      <c r="AJ325" s="22">
        <v>315</v>
      </c>
      <c r="AK325" s="22">
        <v>1.4856</v>
      </c>
      <c r="AL325">
        <f t="shared" si="54"/>
        <v>16.438024691358024</v>
      </c>
      <c r="AM325">
        <f t="shared" si="55"/>
        <v>24.430356676543209</v>
      </c>
      <c r="AP325" s="9"/>
      <c r="AQ325" s="22">
        <v>9.3841599999999997E-2</v>
      </c>
      <c r="AR325" s="22">
        <v>26.0259</v>
      </c>
      <c r="AS325" s="22">
        <v>-1.69769E-2</v>
      </c>
      <c r="AT325" s="22">
        <v>315</v>
      </c>
      <c r="AU325" s="22">
        <v>9.3414300000000006E-2</v>
      </c>
      <c r="AV325">
        <f t="shared" si="56"/>
        <v>20.959135802469135</v>
      </c>
      <c r="AW325">
        <f t="shared" si="57"/>
        <v>1.9668388383209874</v>
      </c>
      <c r="AX325" s="9"/>
      <c r="AY325" s="22">
        <v>1.48621</v>
      </c>
      <c r="AZ325" s="22">
        <v>29.603400000000001</v>
      </c>
      <c r="BA325" s="22">
        <v>-1.3351399999999999E-2</v>
      </c>
      <c r="BB325" s="22">
        <v>315</v>
      </c>
      <c r="BC325" s="22">
        <v>1.4856</v>
      </c>
      <c r="BD325">
        <f t="shared" si="58"/>
        <v>16.483209876543206</v>
      </c>
      <c r="BE325">
        <f t="shared" si="59"/>
        <v>24.49751135061728</v>
      </c>
    </row>
    <row r="326" spans="6:57">
      <c r="F326" s="9"/>
      <c r="G326" s="22">
        <v>8.8806200000000002E-2</v>
      </c>
      <c r="H326" s="22">
        <v>8.2767599999999995</v>
      </c>
      <c r="I326" s="22">
        <v>-1.70685E-2</v>
      </c>
      <c r="J326" s="22">
        <v>316</v>
      </c>
      <c r="K326" s="22">
        <v>8.8348399999999994E-2</v>
      </c>
      <c r="L326">
        <f t="shared" si="48"/>
        <v>21.072222222222223</v>
      </c>
      <c r="M326">
        <f t="shared" si="49"/>
        <v>1.8713439811111112</v>
      </c>
      <c r="N326" s="9"/>
      <c r="O326" s="22">
        <v>1.4912399999999999</v>
      </c>
      <c r="P326" s="22">
        <v>11.854200000000001</v>
      </c>
      <c r="Q326" s="22">
        <v>-1.32202E-2</v>
      </c>
      <c r="R326" s="22">
        <v>316</v>
      </c>
      <c r="S326" s="22">
        <v>1.49017</v>
      </c>
      <c r="T326">
        <f t="shared" si="50"/>
        <v>16.321234567901232</v>
      </c>
      <c r="U326">
        <f t="shared" si="51"/>
        <v>24.338877837037032</v>
      </c>
      <c r="X326" s="9"/>
      <c r="Y326" s="22">
        <v>8.8806200000000002E-2</v>
      </c>
      <c r="Z326" s="22">
        <v>17.159800000000001</v>
      </c>
      <c r="AA326" s="22">
        <v>-1.7034899999999999E-2</v>
      </c>
      <c r="AB326" s="22">
        <v>316</v>
      </c>
      <c r="AC326" s="22">
        <v>8.8226299999999994E-2</v>
      </c>
      <c r="AD326">
        <f t="shared" si="52"/>
        <v>21.03074074074074</v>
      </c>
      <c r="AE326">
        <f t="shared" si="53"/>
        <v>1.8676601683703704</v>
      </c>
      <c r="AF326" s="9"/>
      <c r="AG326" s="22">
        <v>1.4912399999999999</v>
      </c>
      <c r="AH326" s="22">
        <v>20.737300000000001</v>
      </c>
      <c r="AI326" s="22">
        <v>-1.3205E-2</v>
      </c>
      <c r="AJ326" s="22">
        <v>316</v>
      </c>
      <c r="AK326" s="22">
        <v>1.49048</v>
      </c>
      <c r="AL326">
        <f t="shared" si="54"/>
        <v>16.302469135802468</v>
      </c>
      <c r="AM326">
        <f t="shared" si="55"/>
        <v>24.310894074074071</v>
      </c>
      <c r="AP326" s="9"/>
      <c r="AQ326" s="22">
        <v>8.8806200000000002E-2</v>
      </c>
      <c r="AR326" s="22">
        <v>26.036000000000001</v>
      </c>
      <c r="AS326" s="22">
        <v>-1.69891E-2</v>
      </c>
      <c r="AT326" s="22">
        <v>316</v>
      </c>
      <c r="AU326" s="22">
        <v>8.8195800000000005E-2</v>
      </c>
      <c r="AV326">
        <f t="shared" si="56"/>
        <v>20.974197530864195</v>
      </c>
      <c r="AW326">
        <f t="shared" si="57"/>
        <v>1.8626387807654319</v>
      </c>
      <c r="AX326" s="9"/>
      <c r="AY326" s="22">
        <v>1.4912399999999999</v>
      </c>
      <c r="AZ326" s="22">
        <v>29.613499999999998</v>
      </c>
      <c r="BA326" s="22">
        <v>-1.3250700000000001E-2</v>
      </c>
      <c r="BB326" s="22">
        <v>316</v>
      </c>
      <c r="BC326" s="22">
        <v>1.49048</v>
      </c>
      <c r="BD326">
        <f t="shared" si="58"/>
        <v>16.358888888888888</v>
      </c>
      <c r="BE326">
        <f t="shared" si="59"/>
        <v>24.395029466666664</v>
      </c>
    </row>
    <row r="327" spans="6:57">
      <c r="F327" s="9"/>
      <c r="G327" s="22">
        <v>8.3770800000000006E-2</v>
      </c>
      <c r="H327" s="22">
        <v>8.2868300000000001</v>
      </c>
      <c r="I327" s="22">
        <v>-1.70837E-2</v>
      </c>
      <c r="J327" s="22">
        <v>317</v>
      </c>
      <c r="K327" s="22">
        <v>8.3252000000000007E-2</v>
      </c>
      <c r="L327">
        <f t="shared" si="48"/>
        <v>21.090987654320987</v>
      </c>
      <c r="M327">
        <f t="shared" si="49"/>
        <v>1.7668089085925927</v>
      </c>
      <c r="N327" s="9"/>
      <c r="O327" s="22">
        <v>1.4962800000000001</v>
      </c>
      <c r="P327" s="22">
        <v>11.8643</v>
      </c>
      <c r="Q327" s="22">
        <v>-1.31042E-2</v>
      </c>
      <c r="R327" s="22">
        <v>317</v>
      </c>
      <c r="S327" s="22">
        <v>1.49536</v>
      </c>
      <c r="T327">
        <f t="shared" si="50"/>
        <v>16.178024691358022</v>
      </c>
      <c r="U327">
        <f t="shared" si="51"/>
        <v>24.206854785185183</v>
      </c>
      <c r="X327" s="9"/>
      <c r="Y327" s="22">
        <v>8.3770800000000006E-2</v>
      </c>
      <c r="Z327" s="22">
        <v>17.169899999999998</v>
      </c>
      <c r="AA327" s="22">
        <v>-1.7047099999999999E-2</v>
      </c>
      <c r="AB327" s="22">
        <v>317</v>
      </c>
      <c r="AC327" s="22">
        <v>8.3007800000000007E-2</v>
      </c>
      <c r="AD327">
        <f t="shared" si="52"/>
        <v>21.045802469135797</v>
      </c>
      <c r="AE327">
        <f t="shared" si="53"/>
        <v>1.7630237094814811</v>
      </c>
      <c r="AF327" s="9"/>
      <c r="AG327" s="22">
        <v>1.4962800000000001</v>
      </c>
      <c r="AH327" s="22">
        <v>20.747399999999999</v>
      </c>
      <c r="AI327" s="22">
        <v>-1.3089E-2</v>
      </c>
      <c r="AJ327" s="22">
        <v>317</v>
      </c>
      <c r="AK327" s="22">
        <v>1.49536</v>
      </c>
      <c r="AL327">
        <f t="shared" si="54"/>
        <v>16.159259259259258</v>
      </c>
      <c r="AM327">
        <f t="shared" si="55"/>
        <v>24.178776444444445</v>
      </c>
      <c r="AP327" s="9"/>
      <c r="AQ327" s="22">
        <v>8.3770800000000006E-2</v>
      </c>
      <c r="AR327" s="22">
        <v>26.046099999999999</v>
      </c>
      <c r="AS327" s="22">
        <v>-1.6995199999999999E-2</v>
      </c>
      <c r="AT327" s="22">
        <v>317</v>
      </c>
      <c r="AU327" s="22">
        <v>8.3221400000000001E-2</v>
      </c>
      <c r="AV327">
        <f t="shared" si="56"/>
        <v>20.981728395061726</v>
      </c>
      <c r="AW327">
        <f t="shared" si="57"/>
        <v>1.757656173037037</v>
      </c>
      <c r="AX327" s="9"/>
      <c r="AY327" s="22">
        <v>1.4962800000000001</v>
      </c>
      <c r="AZ327" s="22">
        <v>29.6235</v>
      </c>
      <c r="BA327" s="22">
        <v>-1.31317E-2</v>
      </c>
      <c r="BB327" s="22">
        <v>317</v>
      </c>
      <c r="BC327" s="22">
        <v>1.49536</v>
      </c>
      <c r="BD327">
        <f t="shared" si="58"/>
        <v>16.211975308641971</v>
      </c>
      <c r="BE327">
        <f t="shared" si="59"/>
        <v>24.257654414814809</v>
      </c>
    </row>
    <row r="328" spans="6:57">
      <c r="F328" s="9"/>
      <c r="G328" s="22">
        <v>7.8735399999999997E-2</v>
      </c>
      <c r="H328" s="22">
        <v>8.2969000000000008</v>
      </c>
      <c r="I328" s="22">
        <v>-1.7092900000000001E-2</v>
      </c>
      <c r="J328" s="22">
        <v>318</v>
      </c>
      <c r="K328" s="22">
        <v>7.8277600000000003E-2</v>
      </c>
      <c r="L328">
        <f t="shared" si="48"/>
        <v>21.102345679012345</v>
      </c>
      <c r="M328">
        <f t="shared" si="49"/>
        <v>1.6615016279753085</v>
      </c>
      <c r="N328" s="9"/>
      <c r="O328" s="22">
        <v>1.5013099999999999</v>
      </c>
      <c r="P328" s="22">
        <v>11.8744</v>
      </c>
      <c r="Q328" s="22">
        <v>-1.2982199999999999E-2</v>
      </c>
      <c r="R328" s="22">
        <v>318</v>
      </c>
      <c r="S328" s="22">
        <v>1.5005500000000001</v>
      </c>
      <c r="T328">
        <f t="shared" si="50"/>
        <v>16.027407407407406</v>
      </c>
      <c r="U328">
        <f t="shared" si="51"/>
        <v>24.06210701481481</v>
      </c>
      <c r="X328" s="9"/>
      <c r="Y328" s="22">
        <v>7.8735399999999997E-2</v>
      </c>
      <c r="Z328" s="22">
        <v>17.1799</v>
      </c>
      <c r="AA328" s="22">
        <v>-1.70563E-2</v>
      </c>
      <c r="AB328" s="22">
        <v>318</v>
      </c>
      <c r="AC328" s="22">
        <v>7.82471E-2</v>
      </c>
      <c r="AD328">
        <f t="shared" si="52"/>
        <v>21.057160493827158</v>
      </c>
      <c r="AE328">
        <f t="shared" si="53"/>
        <v>1.6579439543456789</v>
      </c>
      <c r="AF328" s="9"/>
      <c r="AG328" s="22">
        <v>1.5013099999999999</v>
      </c>
      <c r="AH328" s="22">
        <v>20.757400000000001</v>
      </c>
      <c r="AI328" s="22">
        <v>-1.29578E-2</v>
      </c>
      <c r="AJ328" s="22">
        <v>318</v>
      </c>
      <c r="AK328" s="22">
        <v>1.50116</v>
      </c>
      <c r="AL328">
        <f t="shared" si="54"/>
        <v>15.997283950617284</v>
      </c>
      <c r="AM328">
        <f t="shared" si="55"/>
        <v>24.016882367901232</v>
      </c>
      <c r="AP328" s="9"/>
      <c r="AQ328" s="22">
        <v>7.8735399999999997E-2</v>
      </c>
      <c r="AR328" s="22">
        <v>26.056100000000001</v>
      </c>
      <c r="AS328" s="22">
        <v>-1.7007399999999999E-2</v>
      </c>
      <c r="AT328" s="22">
        <v>318</v>
      </c>
      <c r="AU328" s="22">
        <v>7.8216599999999997E-2</v>
      </c>
      <c r="AV328">
        <f t="shared" si="56"/>
        <v>20.996790123456787</v>
      </c>
      <c r="AW328">
        <f t="shared" si="57"/>
        <v>1.6531906690864195</v>
      </c>
      <c r="AX328" s="9"/>
      <c r="AY328" s="22">
        <v>1.5013099999999999</v>
      </c>
      <c r="AZ328" s="22">
        <v>29.633600000000001</v>
      </c>
      <c r="BA328" s="22">
        <v>-1.30066E-2</v>
      </c>
      <c r="BB328" s="22">
        <v>318</v>
      </c>
      <c r="BC328" s="22">
        <v>1.5005500000000001</v>
      </c>
      <c r="BD328">
        <f t="shared" si="58"/>
        <v>16.057530864197531</v>
      </c>
      <c r="BE328">
        <f t="shared" si="59"/>
        <v>24.107331661728395</v>
      </c>
    </row>
    <row r="329" spans="6:57">
      <c r="F329" s="9"/>
      <c r="G329" s="22">
        <v>7.3700000000000002E-2</v>
      </c>
      <c r="H329" s="22">
        <v>8.3069699999999997</v>
      </c>
      <c r="I329" s="22">
        <v>-1.7105100000000002E-2</v>
      </c>
      <c r="J329" s="22">
        <v>319</v>
      </c>
      <c r="K329" s="22">
        <v>7.3028599999999999E-2</v>
      </c>
      <c r="L329">
        <f t="shared" si="48"/>
        <v>21.117407407407409</v>
      </c>
      <c r="M329">
        <f t="shared" si="49"/>
        <v>1.5563529259259261</v>
      </c>
      <c r="N329" s="9"/>
      <c r="O329" s="22">
        <v>1.5063500000000001</v>
      </c>
      <c r="P329" s="22">
        <v>11.884499999999999</v>
      </c>
      <c r="Q329" s="22">
        <v>-1.2847900000000001E-2</v>
      </c>
      <c r="R329" s="22">
        <v>319</v>
      </c>
      <c r="S329" s="22">
        <v>1.5051300000000001</v>
      </c>
      <c r="T329">
        <f t="shared" si="50"/>
        <v>15.861604938271604</v>
      </c>
      <c r="U329">
        <f t="shared" si="51"/>
        <v>23.893128598765433</v>
      </c>
      <c r="X329" s="9"/>
      <c r="Y329" s="22">
        <v>7.3700000000000002E-2</v>
      </c>
      <c r="Z329" s="22">
        <v>17.190000000000001</v>
      </c>
      <c r="AA329" s="22">
        <v>-1.70685E-2</v>
      </c>
      <c r="AB329" s="22">
        <v>319</v>
      </c>
      <c r="AC329" s="22">
        <v>7.3211700000000005E-2</v>
      </c>
      <c r="AD329">
        <f t="shared" si="52"/>
        <v>21.072222222222223</v>
      </c>
      <c r="AE329">
        <f t="shared" si="53"/>
        <v>1.5530227777777779</v>
      </c>
      <c r="AF329" s="9"/>
      <c r="AG329" s="22">
        <v>1.5063500000000001</v>
      </c>
      <c r="AH329" s="22">
        <v>20.767499999999998</v>
      </c>
      <c r="AI329" s="22">
        <v>-1.28296E-2</v>
      </c>
      <c r="AJ329" s="22">
        <v>319</v>
      </c>
      <c r="AK329" s="22">
        <v>1.5057400000000001</v>
      </c>
      <c r="AL329">
        <f t="shared" si="54"/>
        <v>15.839012345679013</v>
      </c>
      <c r="AM329">
        <f t="shared" si="55"/>
        <v>23.859096246913584</v>
      </c>
      <c r="AP329" s="9"/>
      <c r="AQ329" s="22">
        <v>7.3700000000000002E-2</v>
      </c>
      <c r="AR329" s="22">
        <v>26.066199999999998</v>
      </c>
      <c r="AS329" s="22">
        <v>-1.70166E-2</v>
      </c>
      <c r="AT329" s="22">
        <v>319</v>
      </c>
      <c r="AU329" s="22">
        <v>7.3394799999999996E-2</v>
      </c>
      <c r="AV329">
        <f t="shared" si="56"/>
        <v>21.008148148148148</v>
      </c>
      <c r="AW329">
        <f t="shared" si="57"/>
        <v>1.5483005185185186</v>
      </c>
      <c r="AX329" s="9"/>
      <c r="AY329" s="22">
        <v>1.5063500000000001</v>
      </c>
      <c r="AZ329" s="22">
        <v>29.643699999999999</v>
      </c>
      <c r="BA329" s="22">
        <v>-1.28754E-2</v>
      </c>
      <c r="BB329" s="22">
        <v>319</v>
      </c>
      <c r="BC329" s="22">
        <v>1.50543</v>
      </c>
      <c r="BD329">
        <f t="shared" si="58"/>
        <v>15.895555555555555</v>
      </c>
      <c r="BE329">
        <f t="shared" si="59"/>
        <v>23.944270111111113</v>
      </c>
    </row>
    <row r="330" spans="6:57">
      <c r="F330" s="9"/>
      <c r="G330" s="22">
        <v>6.8664600000000006E-2</v>
      </c>
      <c r="H330" s="22">
        <v>8.3170400000000004</v>
      </c>
      <c r="I330" s="22">
        <v>-1.7114299999999999E-2</v>
      </c>
      <c r="J330" s="22">
        <v>320</v>
      </c>
      <c r="K330" s="22">
        <v>6.8115200000000001E-2</v>
      </c>
      <c r="L330">
        <f t="shared" si="48"/>
        <v>21.128765432098763</v>
      </c>
      <c r="M330">
        <f t="shared" si="49"/>
        <v>1.4507982268888888</v>
      </c>
      <c r="N330" s="9"/>
      <c r="O330" s="22">
        <v>1.5113799999999999</v>
      </c>
      <c r="P330" s="22">
        <v>11.894500000000001</v>
      </c>
      <c r="Q330" s="22">
        <v>-1.2710600000000001E-2</v>
      </c>
      <c r="R330" s="22">
        <v>320</v>
      </c>
      <c r="S330" s="22">
        <v>1.51031</v>
      </c>
      <c r="T330">
        <f t="shared" si="50"/>
        <v>15.692098765432098</v>
      </c>
      <c r="U330">
        <f t="shared" si="51"/>
        <v>23.716724232098763</v>
      </c>
      <c r="X330" s="9"/>
      <c r="Y330" s="22">
        <v>6.8664600000000006E-2</v>
      </c>
      <c r="Z330" s="22">
        <v>17.200099999999999</v>
      </c>
      <c r="AA330" s="22">
        <v>-1.7077599999999998E-2</v>
      </c>
      <c r="AB330" s="22">
        <v>320</v>
      </c>
      <c r="AC330" s="22">
        <v>6.7901600000000006E-2</v>
      </c>
      <c r="AD330">
        <f t="shared" si="52"/>
        <v>21.083456790123453</v>
      </c>
      <c r="AE330">
        <f t="shared" si="53"/>
        <v>1.4476871271111109</v>
      </c>
      <c r="AF330" s="9"/>
      <c r="AG330" s="22">
        <v>1.5113799999999999</v>
      </c>
      <c r="AH330" s="22">
        <v>20.7776</v>
      </c>
      <c r="AI330" s="22">
        <v>-1.2683099999999999E-2</v>
      </c>
      <c r="AJ330" s="22">
        <v>320</v>
      </c>
      <c r="AK330" s="22">
        <v>1.51031</v>
      </c>
      <c r="AL330">
        <f t="shared" si="54"/>
        <v>15.658148148148147</v>
      </c>
      <c r="AM330">
        <f t="shared" si="55"/>
        <v>23.665411948148144</v>
      </c>
      <c r="AP330" s="9"/>
      <c r="AQ330" s="22">
        <v>6.8664600000000006E-2</v>
      </c>
      <c r="AR330" s="22">
        <v>26.0763</v>
      </c>
      <c r="AS330" s="22">
        <v>-1.7025800000000001E-2</v>
      </c>
      <c r="AT330" s="22">
        <v>320</v>
      </c>
      <c r="AU330" s="22">
        <v>6.8084699999999998E-2</v>
      </c>
      <c r="AV330">
        <f t="shared" si="56"/>
        <v>21.019506172839506</v>
      </c>
      <c r="AW330">
        <f t="shared" si="57"/>
        <v>1.4432959835555557</v>
      </c>
      <c r="AX330" s="9"/>
      <c r="AY330" s="22">
        <v>1.5113799999999999</v>
      </c>
      <c r="AZ330" s="22">
        <v>29.6538</v>
      </c>
      <c r="BA330" s="22">
        <v>-1.27411E-2</v>
      </c>
      <c r="BB330" s="22">
        <v>320</v>
      </c>
      <c r="BC330" s="22">
        <v>1.5100100000000001</v>
      </c>
      <c r="BD330">
        <f t="shared" si="58"/>
        <v>15.729753086419752</v>
      </c>
      <c r="BE330">
        <f t="shared" si="59"/>
        <v>23.773634219753085</v>
      </c>
    </row>
    <row r="331" spans="6:57">
      <c r="F331" s="9"/>
      <c r="G331" s="22">
        <v>6.3629199999999997E-2</v>
      </c>
      <c r="H331" s="22">
        <v>8.3271200000000007</v>
      </c>
      <c r="I331" s="22">
        <v>-1.7126499999999999E-2</v>
      </c>
      <c r="J331" s="22">
        <v>321</v>
      </c>
      <c r="K331" s="22">
        <v>6.3446000000000002E-2</v>
      </c>
      <c r="L331">
        <f t="shared" si="48"/>
        <v>21.143827160493824</v>
      </c>
      <c r="M331">
        <f t="shared" si="49"/>
        <v>1.3453648071604936</v>
      </c>
      <c r="N331" s="9"/>
      <c r="O331" s="22">
        <v>1.5164200000000001</v>
      </c>
      <c r="P331" s="22">
        <v>11.9046</v>
      </c>
      <c r="Q331" s="22">
        <v>-1.2554900000000001E-2</v>
      </c>
      <c r="R331" s="22">
        <v>321</v>
      </c>
      <c r="S331" s="22">
        <v>1.5155000000000001</v>
      </c>
      <c r="T331">
        <f t="shared" si="50"/>
        <v>15.499876543209876</v>
      </c>
      <c r="U331">
        <f t="shared" si="51"/>
        <v>23.504322787654321</v>
      </c>
      <c r="X331" s="9"/>
      <c r="Y331" s="22">
        <v>6.3629199999999997E-2</v>
      </c>
      <c r="Z331" s="22">
        <v>17.2102</v>
      </c>
      <c r="AA331" s="22">
        <v>-1.7086799999999999E-2</v>
      </c>
      <c r="AB331" s="22">
        <v>321</v>
      </c>
      <c r="AC331" s="22">
        <v>6.3079800000000005E-2</v>
      </c>
      <c r="AD331">
        <f t="shared" si="52"/>
        <v>21.094814814814814</v>
      </c>
      <c r="AE331">
        <f t="shared" si="53"/>
        <v>1.3422461908148147</v>
      </c>
      <c r="AF331" s="9"/>
      <c r="AG331" s="22">
        <v>1.5164200000000001</v>
      </c>
      <c r="AH331" s="22">
        <v>20.787600000000001</v>
      </c>
      <c r="AI331" s="22">
        <v>-1.2533600000000001E-2</v>
      </c>
      <c r="AJ331" s="22">
        <v>321</v>
      </c>
      <c r="AK331" s="22">
        <v>1.5155000000000001</v>
      </c>
      <c r="AL331">
        <f t="shared" si="54"/>
        <v>15.473580246913581</v>
      </c>
      <c r="AM331">
        <f t="shared" si="55"/>
        <v>23.464446558024694</v>
      </c>
      <c r="AP331" s="9"/>
      <c r="AQ331" s="22">
        <v>6.3629199999999997E-2</v>
      </c>
      <c r="AR331" s="22">
        <v>26.086300000000001</v>
      </c>
      <c r="AS331" s="22">
        <v>-1.7038000000000001E-2</v>
      </c>
      <c r="AT331" s="22">
        <v>321</v>
      </c>
      <c r="AU331" s="22">
        <v>6.30188E-2</v>
      </c>
      <c r="AV331">
        <f t="shared" si="56"/>
        <v>21.034567901234567</v>
      </c>
      <c r="AW331">
        <f t="shared" si="57"/>
        <v>1.3384127279012343</v>
      </c>
      <c r="AX331" s="9"/>
      <c r="AY331" s="22">
        <v>1.5164200000000001</v>
      </c>
      <c r="AZ331" s="22">
        <v>29.663799999999998</v>
      </c>
      <c r="BA331" s="22">
        <v>-1.2600699999999999E-2</v>
      </c>
      <c r="BB331" s="22">
        <v>321</v>
      </c>
      <c r="BC331" s="22">
        <v>1.5155000000000001</v>
      </c>
      <c r="BD331">
        <f t="shared" si="58"/>
        <v>15.556419753086418</v>
      </c>
      <c r="BE331">
        <f t="shared" si="59"/>
        <v>23.590066041975309</v>
      </c>
    </row>
    <row r="332" spans="6:57">
      <c r="F332" s="9"/>
      <c r="G332" s="22">
        <v>5.8593800000000001E-2</v>
      </c>
      <c r="H332" s="22">
        <v>8.3371899999999997</v>
      </c>
      <c r="I332" s="22">
        <v>-1.7135600000000001E-2</v>
      </c>
      <c r="J332" s="22">
        <v>322</v>
      </c>
      <c r="K332" s="22">
        <v>5.8075000000000002E-2</v>
      </c>
      <c r="L332">
        <f t="shared" ref="L332:L364" si="60">-I332/$F$2*1000</f>
        <v>21.155061728395061</v>
      </c>
      <c r="M332">
        <f t="shared" ref="M332:M364" si="61">L332*G332</f>
        <v>1.2395554559012345</v>
      </c>
      <c r="N332" s="9"/>
      <c r="O332" s="22">
        <v>1.52145</v>
      </c>
      <c r="P332" s="22">
        <v>11.9147</v>
      </c>
      <c r="Q332" s="22">
        <v>-1.2390099999999999E-2</v>
      </c>
      <c r="R332" s="22">
        <v>322</v>
      </c>
      <c r="S332" s="22">
        <v>1.5209999999999999</v>
      </c>
      <c r="T332">
        <f t="shared" ref="T332:T364" si="62">-Q332/$F$2*1000</f>
        <v>15.296419753086418</v>
      </c>
      <c r="U332">
        <f t="shared" ref="U332:U364" si="63">T332*O332</f>
        <v>23.272737833333331</v>
      </c>
      <c r="X332" s="9"/>
      <c r="Y332" s="22">
        <v>5.8593800000000001E-2</v>
      </c>
      <c r="Z332" s="22">
        <v>17.220199999999998</v>
      </c>
      <c r="AA332" s="22">
        <v>-1.7099E-2</v>
      </c>
      <c r="AB332" s="22">
        <v>322</v>
      </c>
      <c r="AC332" s="22">
        <v>5.8044400000000003E-2</v>
      </c>
      <c r="AD332">
        <f t="shared" ref="AD332:AD364" si="64">-AA332/$F$2*1000</f>
        <v>21.109876543209875</v>
      </c>
      <c r="AE332">
        <f t="shared" ref="AE332:AE364" si="65">AD332*Y332</f>
        <v>1.2369078841975307</v>
      </c>
      <c r="AF332" s="9"/>
      <c r="AG332" s="22">
        <v>1.52145</v>
      </c>
      <c r="AH332" s="22">
        <v>20.797699999999999</v>
      </c>
      <c r="AI332" s="22">
        <v>-1.23596E-2</v>
      </c>
      <c r="AJ332" s="22">
        <v>322</v>
      </c>
      <c r="AK332" s="22">
        <v>1.5206900000000001</v>
      </c>
      <c r="AL332">
        <f t="shared" ref="AL332:AL364" si="66">-AI332/$F$2*1000</f>
        <v>15.258765432098766</v>
      </c>
      <c r="AM332">
        <f t="shared" ref="AM332:AM364" si="67">AL332*AG332</f>
        <v>23.215448666666667</v>
      </c>
      <c r="AP332" s="9"/>
      <c r="AQ332" s="22">
        <v>5.8593800000000001E-2</v>
      </c>
      <c r="AR332" s="22">
        <v>26.096399999999999</v>
      </c>
      <c r="AS332" s="22">
        <v>-1.7050200000000001E-2</v>
      </c>
      <c r="AT332" s="22">
        <v>322</v>
      </c>
      <c r="AU332" s="22">
        <v>5.8044400000000003E-2</v>
      </c>
      <c r="AV332">
        <f t="shared" ref="AV332:AV364" si="68">-AS332/$F$2*1000</f>
        <v>21.049629629629631</v>
      </c>
      <c r="AW332">
        <f t="shared" ref="AW332:AW364" si="69">AV332*AQ332</f>
        <v>1.2333777885925927</v>
      </c>
      <c r="AX332" s="9"/>
      <c r="AY332" s="22">
        <v>1.52145</v>
      </c>
      <c r="AZ332" s="22">
        <v>29.6739</v>
      </c>
      <c r="BA332" s="22">
        <v>-1.24359E-2</v>
      </c>
      <c r="BB332" s="22">
        <v>322</v>
      </c>
      <c r="BC332" s="22">
        <v>1.5206900000000001</v>
      </c>
      <c r="BD332">
        <f t="shared" ref="BD332:BD364" si="70">-BA332/$F$2*1000</f>
        <v>15.352962962962962</v>
      </c>
      <c r="BE332">
        <f t="shared" ref="BE332:BE364" si="71">BD332*AY332</f>
        <v>23.358765500000001</v>
      </c>
    </row>
    <row r="333" spans="6:57">
      <c r="F333" s="9"/>
      <c r="G333" s="22">
        <v>5.3558300000000003E-2</v>
      </c>
      <c r="H333" s="22">
        <v>8.3472600000000003</v>
      </c>
      <c r="I333" s="22">
        <v>-1.7147800000000001E-2</v>
      </c>
      <c r="J333" s="22">
        <v>323</v>
      </c>
      <c r="K333" s="22">
        <v>5.3070100000000002E-2</v>
      </c>
      <c r="L333">
        <f t="shared" si="60"/>
        <v>21.170123456790122</v>
      </c>
      <c r="M333">
        <f t="shared" si="61"/>
        <v>1.1338358231358026</v>
      </c>
      <c r="N333" s="9"/>
      <c r="O333" s="22">
        <v>1.5264899999999999</v>
      </c>
      <c r="P333" s="22">
        <v>11.9247</v>
      </c>
      <c r="Q333" s="22">
        <v>-1.2207000000000001E-2</v>
      </c>
      <c r="R333" s="22">
        <v>323</v>
      </c>
      <c r="S333" s="22">
        <v>1.5252699999999999</v>
      </c>
      <c r="T333">
        <f t="shared" si="62"/>
        <v>15.070370370370371</v>
      </c>
      <c r="U333">
        <f t="shared" si="63"/>
        <v>23.004769666666668</v>
      </c>
      <c r="X333" s="9"/>
      <c r="Y333" s="22">
        <v>5.3558300000000003E-2</v>
      </c>
      <c r="Z333" s="22">
        <v>17.2303</v>
      </c>
      <c r="AA333" s="22">
        <v>-1.71082E-2</v>
      </c>
      <c r="AB333" s="22">
        <v>323</v>
      </c>
      <c r="AC333" s="22">
        <v>5.3100599999999998E-2</v>
      </c>
      <c r="AD333">
        <f t="shared" si="64"/>
        <v>21.121234567901233</v>
      </c>
      <c r="AE333">
        <f t="shared" si="65"/>
        <v>1.1312174173580247</v>
      </c>
      <c r="AF333" s="9"/>
      <c r="AG333" s="22">
        <v>1.5264899999999999</v>
      </c>
      <c r="AH333" s="22">
        <v>20.8078</v>
      </c>
      <c r="AI333" s="22">
        <v>-1.21826E-2</v>
      </c>
      <c r="AJ333" s="22">
        <v>323</v>
      </c>
      <c r="AK333" s="22">
        <v>1.5255700000000001</v>
      </c>
      <c r="AL333">
        <f t="shared" si="66"/>
        <v>15.040246913580246</v>
      </c>
      <c r="AM333">
        <f t="shared" si="67"/>
        <v>22.958786511111107</v>
      </c>
      <c r="AP333" s="9"/>
      <c r="AQ333" s="22">
        <v>5.3558300000000003E-2</v>
      </c>
      <c r="AR333" s="22">
        <v>26.1065</v>
      </c>
      <c r="AS333" s="22">
        <v>-1.7062399999999998E-2</v>
      </c>
      <c r="AT333" s="22">
        <v>323</v>
      </c>
      <c r="AU333" s="22">
        <v>5.3070100000000002E-2</v>
      </c>
      <c r="AV333">
        <f t="shared" si="68"/>
        <v>21.064691358024689</v>
      </c>
      <c r="AW333">
        <f t="shared" si="69"/>
        <v>1.1281890591604937</v>
      </c>
      <c r="AX333" s="9"/>
      <c r="AY333" s="22">
        <v>1.5264899999999999</v>
      </c>
      <c r="AZ333" s="22">
        <v>29.684000000000001</v>
      </c>
      <c r="BA333" s="22">
        <v>-1.2234500000000001E-2</v>
      </c>
      <c r="BB333" s="22">
        <v>323</v>
      </c>
      <c r="BC333" s="22">
        <v>1.5261800000000001</v>
      </c>
      <c r="BD333">
        <f t="shared" si="70"/>
        <v>15.104320987654321</v>
      </c>
      <c r="BE333">
        <f t="shared" si="71"/>
        <v>23.056594944444441</v>
      </c>
    </row>
    <row r="334" spans="6:57">
      <c r="F334" s="9"/>
      <c r="G334" s="22">
        <v>4.8522900000000001E-2</v>
      </c>
      <c r="H334" s="22">
        <v>8.3573299999999993</v>
      </c>
      <c r="I334" s="22">
        <v>-1.7160000000000002E-2</v>
      </c>
      <c r="J334" s="22">
        <v>324</v>
      </c>
      <c r="K334" s="22">
        <v>4.8617599999999997E-2</v>
      </c>
      <c r="L334">
        <f t="shared" si="60"/>
        <v>21.185185185185187</v>
      </c>
      <c r="M334">
        <f t="shared" si="61"/>
        <v>1.0279666222222223</v>
      </c>
      <c r="N334" s="9"/>
      <c r="O334" s="22">
        <v>1.53152</v>
      </c>
      <c r="P334" s="22">
        <v>11.934799999999999</v>
      </c>
      <c r="Q334" s="22">
        <v>-1.20117E-2</v>
      </c>
      <c r="R334" s="22">
        <v>324</v>
      </c>
      <c r="S334" s="22">
        <v>1.5304599999999999</v>
      </c>
      <c r="T334">
        <f t="shared" si="62"/>
        <v>14.82925925925926</v>
      </c>
      <c r="U334">
        <f t="shared" si="63"/>
        <v>22.711307140740743</v>
      </c>
      <c r="X334" s="9"/>
      <c r="Y334" s="22">
        <v>4.8522900000000001E-2</v>
      </c>
      <c r="Z334" s="22">
        <v>17.240400000000001</v>
      </c>
      <c r="AA334" s="22">
        <v>-1.7117299999999998E-2</v>
      </c>
      <c r="AB334" s="22">
        <v>324</v>
      </c>
      <c r="AC334" s="22">
        <v>4.8507700000000001E-2</v>
      </c>
      <c r="AD334">
        <f t="shared" si="64"/>
        <v>21.132469135802467</v>
      </c>
      <c r="AE334">
        <f t="shared" si="65"/>
        <v>1.0254086866296295</v>
      </c>
      <c r="AF334" s="9"/>
      <c r="AG334" s="22">
        <v>1.53152</v>
      </c>
      <c r="AH334" s="22">
        <v>20.817900000000002</v>
      </c>
      <c r="AI334" s="22">
        <v>-1.1981199999999999E-2</v>
      </c>
      <c r="AJ334" s="22">
        <v>324</v>
      </c>
      <c r="AK334" s="22">
        <v>1.5301499999999999</v>
      </c>
      <c r="AL334">
        <f t="shared" si="66"/>
        <v>14.791604938271602</v>
      </c>
      <c r="AM334">
        <f t="shared" si="67"/>
        <v>22.653638795061724</v>
      </c>
      <c r="AP334" s="9"/>
      <c r="AQ334" s="22">
        <v>4.8522900000000001E-2</v>
      </c>
      <c r="AR334" s="22">
        <v>26.116599999999998</v>
      </c>
      <c r="AS334" s="22">
        <v>-1.7074599999999999E-2</v>
      </c>
      <c r="AT334" s="22">
        <v>324</v>
      </c>
      <c r="AU334" s="22">
        <v>4.8586999999999998E-2</v>
      </c>
      <c r="AV334">
        <f t="shared" si="68"/>
        <v>21.07975308641975</v>
      </c>
      <c r="AW334">
        <f t="shared" si="69"/>
        <v>1.0228507510370368</v>
      </c>
      <c r="AX334" s="9"/>
      <c r="AY334" s="22">
        <v>1.53152</v>
      </c>
      <c r="AZ334" s="22">
        <v>29.693999999999999</v>
      </c>
      <c r="BA334" s="22">
        <v>-1.20331E-2</v>
      </c>
      <c r="BB334" s="22">
        <v>324</v>
      </c>
      <c r="BC334" s="22">
        <v>1.5307599999999999</v>
      </c>
      <c r="BD334">
        <f t="shared" si="70"/>
        <v>14.855679012345679</v>
      </c>
      <c r="BE334">
        <f t="shared" si="71"/>
        <v>22.751769520987654</v>
      </c>
    </row>
    <row r="335" spans="6:57">
      <c r="F335" s="9"/>
      <c r="G335" s="22">
        <v>4.3487499999999998E-2</v>
      </c>
      <c r="H335" s="22">
        <v>8.3673999999999999</v>
      </c>
      <c r="I335" s="22">
        <v>-1.7172199999999999E-2</v>
      </c>
      <c r="J335" s="22">
        <v>325</v>
      </c>
      <c r="K335" s="22">
        <v>4.3496699999999999E-2</v>
      </c>
      <c r="L335">
        <f t="shared" si="60"/>
        <v>21.200246913580244</v>
      </c>
      <c r="M335">
        <f t="shared" si="61"/>
        <v>0.92194573765432086</v>
      </c>
      <c r="N335" s="9"/>
      <c r="O335" s="22">
        <v>1.5365599999999999</v>
      </c>
      <c r="P335" s="22">
        <v>11.944900000000001</v>
      </c>
      <c r="Q335" s="22">
        <v>-1.18011E-2</v>
      </c>
      <c r="R335" s="22">
        <v>325</v>
      </c>
      <c r="S335" s="22">
        <v>1.5359499999999999</v>
      </c>
      <c r="T335">
        <f t="shared" si="62"/>
        <v>14.56925925925926</v>
      </c>
      <c r="U335">
        <f t="shared" si="63"/>
        <v>22.386541007407409</v>
      </c>
      <c r="X335" s="9"/>
      <c r="Y335" s="22">
        <v>4.3487499999999998E-2</v>
      </c>
      <c r="Z335" s="22">
        <v>17.250399999999999</v>
      </c>
      <c r="AA335" s="22">
        <v>-1.7126499999999999E-2</v>
      </c>
      <c r="AB335" s="22">
        <v>325</v>
      </c>
      <c r="AC335" s="22">
        <v>4.3399E-2</v>
      </c>
      <c r="AD335">
        <f t="shared" si="64"/>
        <v>21.143827160493824</v>
      </c>
      <c r="AE335">
        <f t="shared" si="65"/>
        <v>0.91949218364197516</v>
      </c>
      <c r="AF335" s="9"/>
      <c r="AG335" s="22">
        <v>1.5365599999999999</v>
      </c>
      <c r="AH335" s="22">
        <v>20.8279</v>
      </c>
      <c r="AI335" s="22">
        <v>-1.1770600000000001E-2</v>
      </c>
      <c r="AJ335" s="22">
        <v>325</v>
      </c>
      <c r="AK335" s="22">
        <v>1.5356399999999999</v>
      </c>
      <c r="AL335">
        <f t="shared" si="66"/>
        <v>14.531604938271604</v>
      </c>
      <c r="AM335">
        <f t="shared" si="67"/>
        <v>22.328682883950616</v>
      </c>
      <c r="AP335" s="9"/>
      <c r="AQ335" s="22">
        <v>4.3487499999999998E-2</v>
      </c>
      <c r="AR335" s="22">
        <v>26.1266</v>
      </c>
      <c r="AS335" s="22">
        <v>-1.70837E-2</v>
      </c>
      <c r="AT335" s="22">
        <v>325</v>
      </c>
      <c r="AU335" s="22">
        <v>4.3710300000000001E-2</v>
      </c>
      <c r="AV335">
        <f t="shared" si="68"/>
        <v>21.090987654320987</v>
      </c>
      <c r="AW335">
        <f t="shared" si="69"/>
        <v>0.91719432561728387</v>
      </c>
      <c r="AX335" s="9"/>
      <c r="AY335" s="22">
        <v>1.5365599999999999</v>
      </c>
      <c r="AZ335" s="22">
        <v>29.7041</v>
      </c>
      <c r="BA335" s="22">
        <v>-1.18011E-2</v>
      </c>
      <c r="BB335" s="22">
        <v>325</v>
      </c>
      <c r="BC335" s="22">
        <v>1.5362499999999999</v>
      </c>
      <c r="BD335">
        <f t="shared" si="70"/>
        <v>14.56925925925926</v>
      </c>
      <c r="BE335">
        <f t="shared" si="71"/>
        <v>22.386541007407409</v>
      </c>
    </row>
    <row r="336" spans="6:57">
      <c r="F336" s="9"/>
      <c r="G336" s="22">
        <v>3.8452100000000003E-2</v>
      </c>
      <c r="H336" s="22">
        <v>8.3774700000000006</v>
      </c>
      <c r="I336" s="22">
        <v>-1.7184399999999999E-2</v>
      </c>
      <c r="J336" s="22">
        <v>326</v>
      </c>
      <c r="K336" s="22">
        <v>3.8327E-2</v>
      </c>
      <c r="L336">
        <f t="shared" si="60"/>
        <v>21.215308641975305</v>
      </c>
      <c r="M336">
        <f t="shared" si="61"/>
        <v>0.81577316943209865</v>
      </c>
      <c r="N336" s="9"/>
      <c r="O336" s="22">
        <v>1.5416000000000001</v>
      </c>
      <c r="P336" s="22">
        <v>11.955</v>
      </c>
      <c r="Q336" s="22">
        <v>-1.1578400000000001E-2</v>
      </c>
      <c r="R336" s="22">
        <v>326</v>
      </c>
      <c r="S336" s="22">
        <v>1.5402199999999999</v>
      </c>
      <c r="T336">
        <f t="shared" si="62"/>
        <v>14.29432098765432</v>
      </c>
      <c r="U336">
        <f t="shared" si="63"/>
        <v>22.036125234567901</v>
      </c>
      <c r="X336" s="9"/>
      <c r="Y336" s="22">
        <v>3.8452100000000003E-2</v>
      </c>
      <c r="Z336" s="22">
        <v>17.2605</v>
      </c>
      <c r="AA336" s="22">
        <v>-1.7141699999999999E-2</v>
      </c>
      <c r="AB336" s="22">
        <v>326</v>
      </c>
      <c r="AC336" s="22">
        <v>3.8320899999999998E-2</v>
      </c>
      <c r="AD336">
        <f t="shared" si="64"/>
        <v>21.162592592592592</v>
      </c>
      <c r="AE336">
        <f t="shared" si="65"/>
        <v>0.81374612662962964</v>
      </c>
      <c r="AF336" s="9"/>
      <c r="AG336" s="22">
        <v>1.5416000000000001</v>
      </c>
      <c r="AH336" s="22">
        <v>20.838000000000001</v>
      </c>
      <c r="AI336" s="22">
        <v>-1.15295E-2</v>
      </c>
      <c r="AJ336" s="22">
        <v>326</v>
      </c>
      <c r="AK336" s="22">
        <v>1.5408299999999999</v>
      </c>
      <c r="AL336">
        <f t="shared" si="66"/>
        <v>14.23395061728395</v>
      </c>
      <c r="AM336">
        <f t="shared" si="67"/>
        <v>21.94305827160494</v>
      </c>
      <c r="AP336" s="9"/>
      <c r="AQ336" s="22">
        <v>3.8452100000000003E-2</v>
      </c>
      <c r="AR336" s="22">
        <v>26.136700000000001</v>
      </c>
      <c r="AS336" s="22">
        <v>-1.7095900000000001E-2</v>
      </c>
      <c r="AT336" s="22">
        <v>326</v>
      </c>
      <c r="AU336" s="22">
        <v>3.8479600000000003E-2</v>
      </c>
      <c r="AV336">
        <f t="shared" si="68"/>
        <v>21.106049382716048</v>
      </c>
      <c r="AW336">
        <f t="shared" si="69"/>
        <v>0.81157192146913582</v>
      </c>
      <c r="AX336" s="9"/>
      <c r="AY336" s="22">
        <v>1.5416000000000001</v>
      </c>
      <c r="AZ336" s="22">
        <v>29.714200000000002</v>
      </c>
      <c r="BA336" s="22">
        <v>-1.1572300000000001E-2</v>
      </c>
      <c r="BB336" s="22">
        <v>326</v>
      </c>
      <c r="BC336" s="22">
        <v>1.54053</v>
      </c>
      <c r="BD336">
        <f t="shared" si="70"/>
        <v>14.286790123456791</v>
      </c>
      <c r="BE336">
        <f t="shared" si="71"/>
        <v>22.024515654320989</v>
      </c>
    </row>
    <row r="337" spans="6:57">
      <c r="F337" s="9"/>
      <c r="G337" s="22">
        <v>3.3416700000000001E-2</v>
      </c>
      <c r="H337" s="22">
        <v>8.3875399999999996</v>
      </c>
      <c r="I337" s="22">
        <v>-1.71936E-2</v>
      </c>
      <c r="J337" s="22">
        <v>327</v>
      </c>
      <c r="K337" s="22">
        <v>3.3352699999999999E-2</v>
      </c>
      <c r="L337">
        <f t="shared" si="60"/>
        <v>21.226666666666663</v>
      </c>
      <c r="M337">
        <f t="shared" si="61"/>
        <v>0.7093251519999999</v>
      </c>
      <c r="N337" s="9"/>
      <c r="O337" s="22">
        <v>1.5466299999999999</v>
      </c>
      <c r="P337" s="22">
        <v>11.965</v>
      </c>
      <c r="Q337" s="22">
        <v>-1.1325099999999999E-2</v>
      </c>
      <c r="R337" s="22">
        <v>327</v>
      </c>
      <c r="S337" s="22">
        <v>1.54572</v>
      </c>
      <c r="T337">
        <f t="shared" si="62"/>
        <v>13.981604938271603</v>
      </c>
      <c r="U337">
        <f t="shared" si="63"/>
        <v>21.62436964567901</v>
      </c>
      <c r="X337" s="9"/>
      <c r="Y337" s="22">
        <v>3.3416700000000001E-2</v>
      </c>
      <c r="Z337" s="22">
        <v>17.270600000000002</v>
      </c>
      <c r="AA337" s="22">
        <v>-1.71539E-2</v>
      </c>
      <c r="AB337" s="22">
        <v>327</v>
      </c>
      <c r="AC337" s="22">
        <v>3.3401500000000001E-2</v>
      </c>
      <c r="AD337">
        <f t="shared" si="64"/>
        <v>21.177654320987653</v>
      </c>
      <c r="AE337">
        <f t="shared" si="65"/>
        <v>0.70768732114814814</v>
      </c>
      <c r="AF337" s="9"/>
      <c r="AG337" s="22">
        <v>1.5466299999999999</v>
      </c>
      <c r="AH337" s="22">
        <v>20.848099999999999</v>
      </c>
      <c r="AI337" s="22">
        <v>-1.12823E-2</v>
      </c>
      <c r="AJ337" s="22">
        <v>327</v>
      </c>
      <c r="AK337" s="22">
        <v>1.54572</v>
      </c>
      <c r="AL337">
        <f t="shared" si="66"/>
        <v>13.928765432098766</v>
      </c>
      <c r="AM337">
        <f t="shared" si="67"/>
        <v>21.542646480246912</v>
      </c>
      <c r="AP337" s="9"/>
      <c r="AQ337" s="22">
        <v>3.3416700000000001E-2</v>
      </c>
      <c r="AR337" s="22">
        <v>26.146799999999999</v>
      </c>
      <c r="AS337" s="22">
        <v>-1.7105100000000002E-2</v>
      </c>
      <c r="AT337" s="22">
        <v>327</v>
      </c>
      <c r="AU337" s="22">
        <v>3.3239699999999997E-2</v>
      </c>
      <c r="AV337">
        <f t="shared" si="68"/>
        <v>21.117407407407409</v>
      </c>
      <c r="AW337">
        <f t="shared" si="69"/>
        <v>0.70567406811111122</v>
      </c>
      <c r="AX337" s="9"/>
      <c r="AY337" s="22">
        <v>1.5466299999999999</v>
      </c>
      <c r="AZ337" s="22">
        <v>29.724299999999999</v>
      </c>
      <c r="BA337" s="22">
        <v>-1.13098E-2</v>
      </c>
      <c r="BB337" s="22">
        <v>327</v>
      </c>
      <c r="BC337" s="22">
        <v>1.5460199999999999</v>
      </c>
      <c r="BD337">
        <f t="shared" si="70"/>
        <v>13.962716049382715</v>
      </c>
      <c r="BE337">
        <f t="shared" si="71"/>
        <v>21.595155523456789</v>
      </c>
    </row>
    <row r="338" spans="6:57">
      <c r="F338" s="9"/>
      <c r="G338" s="22">
        <v>2.8381300000000002E-2</v>
      </c>
      <c r="H338" s="22">
        <v>8.3976100000000002</v>
      </c>
      <c r="I338" s="22">
        <v>-1.7199699999999998E-2</v>
      </c>
      <c r="J338" s="22">
        <v>328</v>
      </c>
      <c r="K338" s="22">
        <v>2.8393600000000001E-2</v>
      </c>
      <c r="L338">
        <f t="shared" si="60"/>
        <v>21.234197530864193</v>
      </c>
      <c r="M338">
        <f t="shared" si="61"/>
        <v>0.60265413038271598</v>
      </c>
      <c r="N338" s="9"/>
      <c r="O338" s="22">
        <v>1.5516700000000001</v>
      </c>
      <c r="P338" s="22">
        <v>11.975099999999999</v>
      </c>
      <c r="Q338" s="22">
        <v>-1.10565E-2</v>
      </c>
      <c r="R338" s="22">
        <v>328</v>
      </c>
      <c r="S338" s="22">
        <v>1.5502899999999999</v>
      </c>
      <c r="T338">
        <f t="shared" si="62"/>
        <v>13.649999999999999</v>
      </c>
      <c r="U338">
        <f t="shared" si="63"/>
        <v>21.1802955</v>
      </c>
      <c r="X338" s="9"/>
      <c r="Y338" s="22">
        <v>2.8381300000000002E-2</v>
      </c>
      <c r="Z338" s="22">
        <v>17.2807</v>
      </c>
      <c r="AA338" s="22">
        <v>-1.71661E-2</v>
      </c>
      <c r="AB338" s="22">
        <v>328</v>
      </c>
      <c r="AC338" s="22">
        <v>2.8274500000000001E-2</v>
      </c>
      <c r="AD338">
        <f t="shared" si="64"/>
        <v>21.192716049382714</v>
      </c>
      <c r="AE338">
        <f t="shared" si="65"/>
        <v>0.6014768320123457</v>
      </c>
      <c r="AF338" s="9"/>
      <c r="AG338" s="22">
        <v>1.5516700000000001</v>
      </c>
      <c r="AH338" s="22">
        <v>20.8581</v>
      </c>
      <c r="AI338" s="22">
        <v>-1.09955E-2</v>
      </c>
      <c r="AJ338" s="22">
        <v>328</v>
      </c>
      <c r="AK338" s="22">
        <v>1.5508999999999999</v>
      </c>
      <c r="AL338">
        <f t="shared" si="66"/>
        <v>13.574691358024692</v>
      </c>
      <c r="AM338">
        <f t="shared" si="67"/>
        <v>21.063441339506177</v>
      </c>
      <c r="AP338" s="9"/>
      <c r="AQ338" s="22">
        <v>2.8381300000000002E-2</v>
      </c>
      <c r="AR338" s="22">
        <v>26.1568</v>
      </c>
      <c r="AS338" s="22">
        <v>-1.7117299999999998E-2</v>
      </c>
      <c r="AT338" s="22">
        <v>328</v>
      </c>
      <c r="AU338" s="22">
        <v>2.8417999999999999E-2</v>
      </c>
      <c r="AV338">
        <f t="shared" si="68"/>
        <v>21.132469135802467</v>
      </c>
      <c r="AW338">
        <f t="shared" si="69"/>
        <v>0.59976694628395055</v>
      </c>
      <c r="AX338" s="9"/>
      <c r="AY338" s="22">
        <v>1.5516700000000001</v>
      </c>
      <c r="AZ338" s="22">
        <v>29.734300000000001</v>
      </c>
      <c r="BA338" s="22">
        <v>-1.10321E-2</v>
      </c>
      <c r="BB338" s="22">
        <v>328</v>
      </c>
      <c r="BC338" s="22">
        <v>1.5502899999999999</v>
      </c>
      <c r="BD338">
        <f t="shared" si="70"/>
        <v>13.619876543209877</v>
      </c>
      <c r="BE338">
        <f t="shared" si="71"/>
        <v>21.13355383580247</v>
      </c>
    </row>
    <row r="339" spans="6:57">
      <c r="F339" s="9"/>
      <c r="G339" s="22">
        <v>2.3345899999999999E-2</v>
      </c>
      <c r="H339" s="22">
        <v>8.4076799999999992</v>
      </c>
      <c r="I339" s="22">
        <v>-1.7215000000000001E-2</v>
      </c>
      <c r="J339" s="22">
        <v>329</v>
      </c>
      <c r="K339" s="22">
        <v>2.32483E-2</v>
      </c>
      <c r="L339">
        <f t="shared" si="60"/>
        <v>21.253086419753089</v>
      </c>
      <c r="M339">
        <f t="shared" si="61"/>
        <v>0.4961724302469136</v>
      </c>
      <c r="N339" s="9"/>
      <c r="O339" s="22">
        <v>1.5567</v>
      </c>
      <c r="P339" s="22">
        <v>11.985200000000001</v>
      </c>
      <c r="Q339" s="22">
        <v>-1.0748300000000001E-2</v>
      </c>
      <c r="R339" s="22">
        <v>329</v>
      </c>
      <c r="S339" s="22">
        <v>1.55609</v>
      </c>
      <c r="T339">
        <f t="shared" si="62"/>
        <v>13.269506172839506</v>
      </c>
      <c r="U339">
        <f t="shared" si="63"/>
        <v>20.656640259259259</v>
      </c>
      <c r="X339" s="9"/>
      <c r="Y339" s="22">
        <v>2.3345899999999999E-2</v>
      </c>
      <c r="Z339" s="22">
        <v>17.290700000000001</v>
      </c>
      <c r="AA339" s="22">
        <v>-1.7178300000000001E-2</v>
      </c>
      <c r="AB339" s="22">
        <v>329</v>
      </c>
      <c r="AC339" s="22">
        <v>2.3321499999999998E-2</v>
      </c>
      <c r="AD339">
        <f t="shared" si="64"/>
        <v>21.207777777777778</v>
      </c>
      <c r="AE339">
        <f t="shared" si="65"/>
        <v>0.4951146592222222</v>
      </c>
      <c r="AF339" s="9"/>
      <c r="AG339" s="22">
        <v>1.5567</v>
      </c>
      <c r="AH339" s="22">
        <v>20.868200000000002</v>
      </c>
      <c r="AI339" s="22">
        <v>-1.0705599999999999E-2</v>
      </c>
      <c r="AJ339" s="22">
        <v>329</v>
      </c>
      <c r="AK339" s="22">
        <v>1.55579</v>
      </c>
      <c r="AL339">
        <f t="shared" si="66"/>
        <v>13.216790123456789</v>
      </c>
      <c r="AM339">
        <f t="shared" si="67"/>
        <v>20.574577185185184</v>
      </c>
      <c r="AP339" s="9"/>
      <c r="AQ339" s="22">
        <v>2.3345899999999999E-2</v>
      </c>
      <c r="AR339" s="22">
        <v>26.166899999999998</v>
      </c>
      <c r="AS339" s="22">
        <v>-1.71234E-2</v>
      </c>
      <c r="AT339" s="22">
        <v>329</v>
      </c>
      <c r="AU339" s="22">
        <v>2.3266599999999998E-2</v>
      </c>
      <c r="AV339">
        <f t="shared" si="68"/>
        <v>21.14</v>
      </c>
      <c r="AW339">
        <f t="shared" si="69"/>
        <v>0.49353232600000002</v>
      </c>
      <c r="AX339" s="9"/>
      <c r="AY339" s="22">
        <v>1.5567</v>
      </c>
      <c r="AZ339" s="22">
        <v>29.744399999999999</v>
      </c>
      <c r="BA339" s="22">
        <v>-1.0714700000000001E-2</v>
      </c>
      <c r="BB339" s="22">
        <v>329</v>
      </c>
      <c r="BC339" s="22">
        <v>1.55609</v>
      </c>
      <c r="BD339">
        <f t="shared" si="70"/>
        <v>13.228024691358025</v>
      </c>
      <c r="BE339">
        <f t="shared" si="71"/>
        <v>20.592066037037036</v>
      </c>
    </row>
    <row r="340" spans="6:57">
      <c r="F340" s="9"/>
      <c r="G340" s="22">
        <v>1.83105E-2</v>
      </c>
      <c r="H340" s="22">
        <v>8.4177499999999998</v>
      </c>
      <c r="I340" s="22">
        <v>-1.7227200000000002E-2</v>
      </c>
      <c r="J340" s="22">
        <v>330</v>
      </c>
      <c r="K340" s="22">
        <v>1.8228100000000001E-2</v>
      </c>
      <c r="L340">
        <f t="shared" si="60"/>
        <v>21.268148148148146</v>
      </c>
      <c r="M340">
        <f t="shared" si="61"/>
        <v>0.38943042666666666</v>
      </c>
      <c r="N340" s="9"/>
      <c r="O340" s="22">
        <v>1.5617399999999999</v>
      </c>
      <c r="P340" s="22">
        <v>11.995200000000001</v>
      </c>
      <c r="Q340" s="22">
        <v>-1.0415600000000001E-2</v>
      </c>
      <c r="R340" s="22">
        <v>330</v>
      </c>
      <c r="S340" s="22">
        <v>1.56036</v>
      </c>
      <c r="T340">
        <f t="shared" si="62"/>
        <v>12.858765432098766</v>
      </c>
      <c r="U340">
        <f t="shared" si="63"/>
        <v>20.082048325925925</v>
      </c>
      <c r="X340" s="9"/>
      <c r="Y340" s="22">
        <v>1.83105E-2</v>
      </c>
      <c r="Z340" s="22">
        <v>17.300799999999999</v>
      </c>
      <c r="AA340" s="22">
        <v>-1.71906E-2</v>
      </c>
      <c r="AB340" s="22">
        <v>330</v>
      </c>
      <c r="AC340" s="22">
        <v>1.82037E-2</v>
      </c>
      <c r="AD340">
        <f t="shared" si="64"/>
        <v>21.22296296296296</v>
      </c>
      <c r="AE340">
        <f t="shared" si="65"/>
        <v>0.38860306333333328</v>
      </c>
      <c r="AF340" s="9"/>
      <c r="AG340" s="22">
        <v>1.5617399999999999</v>
      </c>
      <c r="AH340" s="22">
        <v>20.878299999999999</v>
      </c>
      <c r="AI340" s="22">
        <v>-1.0345500000000001E-2</v>
      </c>
      <c r="AJ340" s="22">
        <v>330</v>
      </c>
      <c r="AK340" s="22">
        <v>1.56097</v>
      </c>
      <c r="AL340">
        <f t="shared" si="66"/>
        <v>12.772222222222222</v>
      </c>
      <c r="AM340">
        <f t="shared" si="67"/>
        <v>19.946890333333332</v>
      </c>
      <c r="AP340" s="9"/>
      <c r="AQ340" s="22">
        <v>1.83105E-2</v>
      </c>
      <c r="AR340" s="22">
        <v>26.177</v>
      </c>
      <c r="AS340" s="22">
        <v>-1.71387E-2</v>
      </c>
      <c r="AT340" s="22">
        <v>330</v>
      </c>
      <c r="AU340" s="22">
        <v>1.8212900000000001E-2</v>
      </c>
      <c r="AV340">
        <f t="shared" si="68"/>
        <v>21.158888888888885</v>
      </c>
      <c r="AW340">
        <f t="shared" si="69"/>
        <v>0.38742983499999994</v>
      </c>
      <c r="AX340" s="9"/>
      <c r="AY340" s="22">
        <v>1.5617399999999999</v>
      </c>
      <c r="AZ340" s="22">
        <v>29.7545</v>
      </c>
      <c r="BA340" s="22">
        <v>-1.03821E-2</v>
      </c>
      <c r="BB340" s="22">
        <v>330</v>
      </c>
      <c r="BC340" s="22">
        <v>1.56097</v>
      </c>
      <c r="BD340">
        <f t="shared" si="70"/>
        <v>12.817407407407407</v>
      </c>
      <c r="BE340">
        <f t="shared" si="71"/>
        <v>20.017457844444444</v>
      </c>
    </row>
    <row r="341" spans="6:57">
      <c r="F341" s="9"/>
      <c r="G341" s="22">
        <v>1.32751E-2</v>
      </c>
      <c r="H341" s="22">
        <v>8.4278300000000002</v>
      </c>
      <c r="I341" s="22">
        <v>-1.7239399999999998E-2</v>
      </c>
      <c r="J341" s="22">
        <v>331</v>
      </c>
      <c r="K341" s="22">
        <v>1.3085899999999999E-2</v>
      </c>
      <c r="L341">
        <f t="shared" si="60"/>
        <v>21.283209876543207</v>
      </c>
      <c r="M341">
        <f t="shared" si="61"/>
        <v>0.28253673943209873</v>
      </c>
      <c r="N341" s="9"/>
      <c r="O341" s="22">
        <v>1.56677</v>
      </c>
      <c r="P341" s="22">
        <v>12.0053</v>
      </c>
      <c r="Q341" s="22">
        <v>-1.00494E-2</v>
      </c>
      <c r="R341" s="22">
        <v>331</v>
      </c>
      <c r="S341" s="22">
        <v>1.56586</v>
      </c>
      <c r="T341">
        <f t="shared" si="62"/>
        <v>12.406666666666666</v>
      </c>
      <c r="U341">
        <f t="shared" si="63"/>
        <v>19.438393133333332</v>
      </c>
      <c r="X341" s="9"/>
      <c r="Y341" s="22">
        <v>1.32751E-2</v>
      </c>
      <c r="Z341" s="22">
        <v>17.3109</v>
      </c>
      <c r="AA341" s="22">
        <v>-1.7199699999999998E-2</v>
      </c>
      <c r="AB341" s="22">
        <v>331</v>
      </c>
      <c r="AC341" s="22">
        <v>1.3070699999999999E-2</v>
      </c>
      <c r="AD341">
        <f t="shared" si="64"/>
        <v>21.234197530864193</v>
      </c>
      <c r="AE341">
        <f t="shared" si="65"/>
        <v>0.28188609564197525</v>
      </c>
      <c r="AF341" s="9"/>
      <c r="AG341" s="22">
        <v>1.56677</v>
      </c>
      <c r="AH341" s="22">
        <v>20.888400000000001</v>
      </c>
      <c r="AI341" s="22">
        <v>-9.9883999999999997E-3</v>
      </c>
      <c r="AJ341" s="22">
        <v>331</v>
      </c>
      <c r="AK341" s="22">
        <v>1.56555</v>
      </c>
      <c r="AL341">
        <f t="shared" si="66"/>
        <v>12.331358024691356</v>
      </c>
      <c r="AM341">
        <f t="shared" si="67"/>
        <v>19.320401812345676</v>
      </c>
      <c r="AP341" s="9"/>
      <c r="AQ341" s="22">
        <v>1.32751E-2</v>
      </c>
      <c r="AR341" s="22">
        <v>26.187100000000001</v>
      </c>
      <c r="AS341" s="22">
        <v>-1.71509E-2</v>
      </c>
      <c r="AT341" s="22">
        <v>331</v>
      </c>
      <c r="AU341" s="22">
        <v>1.31042E-2</v>
      </c>
      <c r="AV341">
        <f t="shared" si="68"/>
        <v>21.17395061728395</v>
      </c>
      <c r="AW341">
        <f t="shared" si="69"/>
        <v>0.28108631183950616</v>
      </c>
      <c r="AX341" s="9"/>
      <c r="AY341" s="22">
        <v>1.56677</v>
      </c>
      <c r="AZ341" s="22">
        <v>29.764500000000002</v>
      </c>
      <c r="BA341" s="22">
        <v>-1.0003700000000001E-2</v>
      </c>
      <c r="BB341" s="22">
        <v>331</v>
      </c>
      <c r="BC341" s="22">
        <v>1.56616</v>
      </c>
      <c r="BD341">
        <f t="shared" si="70"/>
        <v>12.350246913580246</v>
      </c>
      <c r="BE341">
        <f t="shared" si="71"/>
        <v>19.349996356790122</v>
      </c>
    </row>
    <row r="342" spans="6:57">
      <c r="F342" s="9"/>
      <c r="G342" s="22">
        <v>8.2397500000000005E-3</v>
      </c>
      <c r="H342" s="22">
        <v>8.4379000000000008</v>
      </c>
      <c r="I342" s="22">
        <v>-1.7251599999999999E-2</v>
      </c>
      <c r="J342" s="22">
        <v>332</v>
      </c>
      <c r="K342" s="22">
        <v>8.1176800000000004E-3</v>
      </c>
      <c r="L342">
        <f t="shared" si="60"/>
        <v>21.298271604938272</v>
      </c>
      <c r="M342">
        <f t="shared" si="61"/>
        <v>0.17549243345679014</v>
      </c>
      <c r="N342" s="9"/>
      <c r="O342" s="22">
        <v>1.5718099999999999</v>
      </c>
      <c r="P342" s="22">
        <v>12.0154</v>
      </c>
      <c r="Q342" s="22">
        <v>-9.6496599999999991E-3</v>
      </c>
      <c r="R342" s="22">
        <v>332</v>
      </c>
      <c r="S342" s="22">
        <v>1.57074</v>
      </c>
      <c r="T342">
        <f t="shared" si="62"/>
        <v>11.913160493827158</v>
      </c>
      <c r="U342">
        <f t="shared" si="63"/>
        <v>18.725224795802465</v>
      </c>
      <c r="X342" s="9"/>
      <c r="Y342" s="22">
        <v>8.2397500000000005E-3</v>
      </c>
      <c r="Z342" s="22">
        <v>17.320900000000002</v>
      </c>
      <c r="AA342" s="22">
        <v>-1.7211899999999999E-2</v>
      </c>
      <c r="AB342" s="22">
        <v>332</v>
      </c>
      <c r="AC342" s="22">
        <v>8.0902100000000005E-3</v>
      </c>
      <c r="AD342">
        <f t="shared" si="64"/>
        <v>21.249259259259254</v>
      </c>
      <c r="AE342">
        <f t="shared" si="65"/>
        <v>0.17508858398148144</v>
      </c>
      <c r="AF342" s="9"/>
      <c r="AG342" s="22">
        <v>1.5718099999999999</v>
      </c>
      <c r="AH342" s="22">
        <v>20.898399999999999</v>
      </c>
      <c r="AI342" s="22">
        <v>-9.5489500000000005E-3</v>
      </c>
      <c r="AJ342" s="22">
        <v>332</v>
      </c>
      <c r="AK342" s="22">
        <v>1.57135</v>
      </c>
      <c r="AL342">
        <f t="shared" si="66"/>
        <v>11.788827160493826</v>
      </c>
      <c r="AM342">
        <f t="shared" si="67"/>
        <v>18.529796419135799</v>
      </c>
      <c r="AP342" s="9"/>
      <c r="AQ342" s="22">
        <v>8.2397500000000005E-3</v>
      </c>
      <c r="AR342" s="22">
        <v>26.197099999999999</v>
      </c>
      <c r="AS342" s="22">
        <v>-1.7163100000000001E-2</v>
      </c>
      <c r="AT342" s="22">
        <v>332</v>
      </c>
      <c r="AU342" s="22">
        <v>8.1756599999999995E-3</v>
      </c>
      <c r="AV342">
        <f t="shared" si="68"/>
        <v>21.189012345679014</v>
      </c>
      <c r="AW342">
        <f t="shared" si="69"/>
        <v>0.17459216447530868</v>
      </c>
      <c r="AX342" s="9"/>
      <c r="AY342" s="22">
        <v>1.5718099999999999</v>
      </c>
      <c r="AZ342" s="22">
        <v>29.7746</v>
      </c>
      <c r="BA342" s="22">
        <v>-9.5581099999999999E-3</v>
      </c>
      <c r="BB342" s="22">
        <v>332</v>
      </c>
      <c r="BC342" s="22">
        <v>1.57074</v>
      </c>
      <c r="BD342">
        <f t="shared" si="70"/>
        <v>11.800135802469134</v>
      </c>
      <c r="BE342">
        <f t="shared" si="71"/>
        <v>18.547571455679009</v>
      </c>
    </row>
    <row r="343" spans="6:57">
      <c r="F343" s="9"/>
      <c r="G343" s="22">
        <v>3.2043499999999999E-3</v>
      </c>
      <c r="H343" s="22">
        <v>8.4479699999999998</v>
      </c>
      <c r="I343" s="22">
        <v>-1.72607E-2</v>
      </c>
      <c r="J343" s="22">
        <v>333</v>
      </c>
      <c r="K343" s="22">
        <v>3.0853299999999998E-3</v>
      </c>
      <c r="L343">
        <f t="shared" si="60"/>
        <v>21.309506172839505</v>
      </c>
      <c r="M343">
        <f t="shared" si="61"/>
        <v>6.8283116104938271E-2</v>
      </c>
      <c r="N343" s="9"/>
      <c r="O343" s="22">
        <v>1.57684</v>
      </c>
      <c r="P343" s="22">
        <v>12.025499999999999</v>
      </c>
      <c r="Q343" s="22">
        <v>-9.1888400000000002E-3</v>
      </c>
      <c r="R343" s="22">
        <v>333</v>
      </c>
      <c r="S343" s="22">
        <v>1.57623</v>
      </c>
      <c r="T343">
        <f t="shared" si="62"/>
        <v>11.344246913580246</v>
      </c>
      <c r="U343">
        <f t="shared" si="63"/>
        <v>17.888062303209875</v>
      </c>
      <c r="X343" s="9"/>
      <c r="Y343" s="22">
        <v>3.2043499999999999E-3</v>
      </c>
      <c r="Z343" s="22">
        <v>17.331</v>
      </c>
      <c r="AA343" s="22">
        <v>-1.7224099999999999E-2</v>
      </c>
      <c r="AB343" s="22">
        <v>333</v>
      </c>
      <c r="AC343" s="22">
        <v>3.0700699999999998E-3</v>
      </c>
      <c r="AD343">
        <f t="shared" si="64"/>
        <v>21.264320987654319</v>
      </c>
      <c r="AE343">
        <f t="shared" si="65"/>
        <v>6.8138326956790118E-2</v>
      </c>
      <c r="AF343" s="9"/>
      <c r="AG343" s="22">
        <v>1.57684</v>
      </c>
      <c r="AH343" s="22">
        <v>20.9085</v>
      </c>
      <c r="AI343" s="22">
        <v>-9.09424E-3</v>
      </c>
      <c r="AJ343" s="22">
        <v>333</v>
      </c>
      <c r="AK343" s="22">
        <v>1.57623</v>
      </c>
      <c r="AL343">
        <f t="shared" si="66"/>
        <v>11.227456790123457</v>
      </c>
      <c r="AM343">
        <f t="shared" si="67"/>
        <v>17.703902964938273</v>
      </c>
      <c r="AP343" s="9"/>
      <c r="AQ343" s="22">
        <v>3.2043499999999999E-3</v>
      </c>
      <c r="AR343" s="22">
        <v>26.2072</v>
      </c>
      <c r="AS343" s="22">
        <v>-1.7172199999999999E-2</v>
      </c>
      <c r="AT343" s="22">
        <v>333</v>
      </c>
      <c r="AU343" s="22">
        <v>3.0792200000000001E-3</v>
      </c>
      <c r="AV343">
        <f t="shared" si="68"/>
        <v>21.200246913580244</v>
      </c>
      <c r="AW343">
        <f t="shared" si="69"/>
        <v>6.7933011197530854E-2</v>
      </c>
      <c r="AX343" s="9"/>
      <c r="AY343" s="22">
        <v>1.57684</v>
      </c>
      <c r="AZ343" s="22">
        <v>29.784700000000001</v>
      </c>
      <c r="BA343" s="22">
        <v>-9.0606699999999998E-3</v>
      </c>
      <c r="BB343" s="22">
        <v>333</v>
      </c>
      <c r="BC343" s="22">
        <v>1.57623</v>
      </c>
      <c r="BD343">
        <f t="shared" si="70"/>
        <v>11.186012345679012</v>
      </c>
      <c r="BE343">
        <f t="shared" si="71"/>
        <v>17.638551707160495</v>
      </c>
    </row>
    <row r="344" spans="6:57">
      <c r="F344" s="9"/>
      <c r="G344" s="22">
        <v>-1.8310500000000001E-3</v>
      </c>
      <c r="H344" s="22">
        <v>8.4580400000000004</v>
      </c>
      <c r="I344" s="22">
        <v>-1.7276E-2</v>
      </c>
      <c r="J344" s="22">
        <v>334</v>
      </c>
      <c r="K344" s="22">
        <v>-1.9500699999999999E-3</v>
      </c>
      <c r="L344">
        <f t="shared" si="60"/>
        <v>21.328395061728394</v>
      </c>
      <c r="M344">
        <f t="shared" si="61"/>
        <v>-3.9053357777777777E-2</v>
      </c>
      <c r="N344" s="9"/>
      <c r="O344" s="22">
        <v>1.58188</v>
      </c>
      <c r="P344" s="22">
        <v>12.035500000000001</v>
      </c>
      <c r="Q344" s="22">
        <v>-8.6669899999999994E-3</v>
      </c>
      <c r="R344" s="22">
        <v>334</v>
      </c>
      <c r="S344" s="22">
        <v>1.58081</v>
      </c>
      <c r="T344">
        <f t="shared" si="62"/>
        <v>10.699987654320985</v>
      </c>
      <c r="U344">
        <f t="shared" si="63"/>
        <v>16.926096470617278</v>
      </c>
      <c r="X344" s="9"/>
      <c r="Y344" s="22">
        <v>-1.8310500000000001E-3</v>
      </c>
      <c r="Z344" s="22">
        <v>17.341100000000001</v>
      </c>
      <c r="AA344" s="22">
        <v>-1.72363E-2</v>
      </c>
      <c r="AB344" s="22">
        <v>334</v>
      </c>
      <c r="AC344" s="22">
        <v>-2.0080599999999999E-3</v>
      </c>
      <c r="AD344">
        <f t="shared" si="64"/>
        <v>21.279382716049383</v>
      </c>
      <c r="AE344">
        <f t="shared" si="65"/>
        <v>-3.8963613722222228E-2</v>
      </c>
      <c r="AF344" s="9"/>
      <c r="AG344" s="22">
        <v>1.58188</v>
      </c>
      <c r="AH344" s="22">
        <v>20.918600000000001</v>
      </c>
      <c r="AI344" s="22">
        <v>-8.5266100000000004E-3</v>
      </c>
      <c r="AJ344" s="22">
        <v>334</v>
      </c>
      <c r="AK344" s="22">
        <v>1.58081</v>
      </c>
      <c r="AL344">
        <f t="shared" si="66"/>
        <v>10.52667901234568</v>
      </c>
      <c r="AM344">
        <f t="shared" si="67"/>
        <v>16.651942996049382</v>
      </c>
      <c r="AP344" s="9"/>
      <c r="AQ344" s="22">
        <v>-1.8310500000000001E-3</v>
      </c>
      <c r="AR344" s="22">
        <v>26.217300000000002</v>
      </c>
      <c r="AS344" s="22">
        <v>-1.7184399999999999E-2</v>
      </c>
      <c r="AT344" s="22">
        <v>334</v>
      </c>
      <c r="AU344" s="22">
        <v>-2.21558E-3</v>
      </c>
      <c r="AV344">
        <f t="shared" si="68"/>
        <v>21.215308641975305</v>
      </c>
      <c r="AW344">
        <f t="shared" si="69"/>
        <v>-3.8846290888888885E-2</v>
      </c>
      <c r="AX344" s="9"/>
      <c r="AY344" s="22">
        <v>1.58188</v>
      </c>
      <c r="AZ344" s="22">
        <v>29.794799999999999</v>
      </c>
      <c r="BA344" s="22">
        <v>-8.5479700000000002E-3</v>
      </c>
      <c r="BB344" s="22">
        <v>334</v>
      </c>
      <c r="BC344" s="22">
        <v>1.5811200000000001</v>
      </c>
      <c r="BD344">
        <f t="shared" si="70"/>
        <v>10.553049382716049</v>
      </c>
      <c r="BE344">
        <f t="shared" si="71"/>
        <v>16.693657757530861</v>
      </c>
    </row>
    <row r="345" spans="6:57">
      <c r="F345" s="9"/>
      <c r="G345" s="22">
        <v>-6.8664599999999996E-3</v>
      </c>
      <c r="H345" s="22">
        <v>8.4681099999999994</v>
      </c>
      <c r="I345" s="22">
        <v>-1.7285200000000001E-2</v>
      </c>
      <c r="J345" s="22">
        <v>335</v>
      </c>
      <c r="K345" s="22">
        <v>-7.1960399999999999E-3</v>
      </c>
      <c r="L345">
        <f t="shared" si="60"/>
        <v>21.339753086419751</v>
      </c>
      <c r="M345">
        <f t="shared" si="61"/>
        <v>-0.14652856097777775</v>
      </c>
      <c r="N345" s="9"/>
      <c r="O345" s="22">
        <v>1.58691</v>
      </c>
      <c r="P345" s="22">
        <v>12.0456</v>
      </c>
      <c r="Q345" s="22">
        <v>-8.0383299999999998E-3</v>
      </c>
      <c r="R345" s="22">
        <v>335</v>
      </c>
      <c r="S345" s="22">
        <v>1.58569</v>
      </c>
      <c r="T345">
        <f t="shared" si="62"/>
        <v>9.9238641975308628</v>
      </c>
      <c r="U345">
        <f t="shared" si="63"/>
        <v>15.748279333703701</v>
      </c>
      <c r="X345" s="9"/>
      <c r="Y345" s="22">
        <v>-6.8664599999999996E-3</v>
      </c>
      <c r="Z345" s="22">
        <v>17.351199999999999</v>
      </c>
      <c r="AA345" s="22">
        <v>-1.72455E-2</v>
      </c>
      <c r="AB345" s="22">
        <v>335</v>
      </c>
      <c r="AC345" s="22">
        <v>-7.11365E-3</v>
      </c>
      <c r="AD345">
        <f t="shared" si="64"/>
        <v>21.290740740740738</v>
      </c>
      <c r="AE345">
        <f t="shared" si="65"/>
        <v>-0.14619201966666664</v>
      </c>
      <c r="AF345" s="9"/>
      <c r="AG345" s="22">
        <v>1.58691</v>
      </c>
      <c r="AH345" s="22">
        <v>20.928599999999999</v>
      </c>
      <c r="AI345" s="22">
        <v>-7.9559299999999999E-3</v>
      </c>
      <c r="AJ345" s="22">
        <v>335</v>
      </c>
      <c r="AK345" s="22">
        <v>1.5860000000000001</v>
      </c>
      <c r="AL345">
        <f t="shared" si="66"/>
        <v>9.8221358024691359</v>
      </c>
      <c r="AM345">
        <f t="shared" si="67"/>
        <v>15.586845526296297</v>
      </c>
      <c r="AP345" s="9"/>
      <c r="AQ345" s="22">
        <v>-6.8664599999999996E-3</v>
      </c>
      <c r="AR345" s="22">
        <v>26.2273</v>
      </c>
      <c r="AS345" s="22">
        <v>-1.71936E-2</v>
      </c>
      <c r="AT345" s="22">
        <v>335</v>
      </c>
      <c r="AU345" s="22">
        <v>-7.0434599999999997E-3</v>
      </c>
      <c r="AV345">
        <f t="shared" si="68"/>
        <v>21.226666666666663</v>
      </c>
      <c r="AW345">
        <f t="shared" si="69"/>
        <v>-0.14575205759999996</v>
      </c>
      <c r="AX345" s="9"/>
      <c r="AY345" s="22">
        <v>1.58691</v>
      </c>
      <c r="AZ345" s="22">
        <v>29.8048</v>
      </c>
      <c r="BA345" s="22">
        <v>-7.8308100000000005E-3</v>
      </c>
      <c r="BB345" s="22">
        <v>335</v>
      </c>
      <c r="BC345" s="22">
        <v>1.58569</v>
      </c>
      <c r="BD345">
        <f t="shared" si="70"/>
        <v>9.6676666666666673</v>
      </c>
      <c r="BE345">
        <f t="shared" si="71"/>
        <v>15.341716910000001</v>
      </c>
    </row>
    <row r="346" spans="6:57">
      <c r="F346" s="9"/>
      <c r="G346" s="22">
        <v>-1.19019E-2</v>
      </c>
      <c r="H346" s="22">
        <v>8.47818</v>
      </c>
      <c r="I346" s="22">
        <v>-1.7294299999999999E-2</v>
      </c>
      <c r="J346" s="22">
        <v>336</v>
      </c>
      <c r="K346" s="22">
        <v>-1.22437E-2</v>
      </c>
      <c r="L346">
        <f t="shared" si="60"/>
        <v>21.350987654320985</v>
      </c>
      <c r="M346">
        <f t="shared" si="61"/>
        <v>-0.25411731996296294</v>
      </c>
      <c r="N346" s="9"/>
      <c r="O346" s="22">
        <v>1.59195</v>
      </c>
      <c r="P346" s="22">
        <v>12.0557</v>
      </c>
      <c r="Q346" s="22">
        <v>-7.3272700000000003E-3</v>
      </c>
      <c r="R346" s="22">
        <v>336</v>
      </c>
      <c r="S346" s="22">
        <v>1.5908800000000001</v>
      </c>
      <c r="T346">
        <f t="shared" si="62"/>
        <v>9.0460123456790118</v>
      </c>
      <c r="U346">
        <f t="shared" si="63"/>
        <v>14.400799353703702</v>
      </c>
      <c r="X346" s="9"/>
      <c r="Y346" s="22">
        <v>-1.19019E-2</v>
      </c>
      <c r="Z346" s="22">
        <v>17.3612</v>
      </c>
      <c r="AA346" s="22">
        <v>-1.7254599999999998E-2</v>
      </c>
      <c r="AB346" s="22">
        <v>336</v>
      </c>
      <c r="AC346" s="22">
        <v>-1.20911E-2</v>
      </c>
      <c r="AD346">
        <f t="shared" si="64"/>
        <v>21.301975308641971</v>
      </c>
      <c r="AE346">
        <f t="shared" si="65"/>
        <v>-0.25353397992592586</v>
      </c>
      <c r="AF346" s="9"/>
      <c r="AG346" s="22">
        <v>1.59195</v>
      </c>
      <c r="AH346" s="22">
        <v>20.938700000000001</v>
      </c>
      <c r="AI346" s="22">
        <v>-7.1777300000000002E-3</v>
      </c>
      <c r="AJ346" s="22">
        <v>336</v>
      </c>
      <c r="AK346" s="22">
        <v>1.5905800000000001</v>
      </c>
      <c r="AL346">
        <f t="shared" si="66"/>
        <v>8.8613950617283948</v>
      </c>
      <c r="AM346">
        <f t="shared" si="67"/>
        <v>14.106897868518518</v>
      </c>
      <c r="AP346" s="9"/>
      <c r="AQ346" s="22">
        <v>-1.19019E-2</v>
      </c>
      <c r="AR346" s="22">
        <v>26.237400000000001</v>
      </c>
      <c r="AS346" s="22">
        <v>-1.72058E-2</v>
      </c>
      <c r="AT346" s="22">
        <v>336</v>
      </c>
      <c r="AU346" s="22">
        <v>-1.21674E-2</v>
      </c>
      <c r="AV346">
        <f t="shared" si="68"/>
        <v>21.241728395061727</v>
      </c>
      <c r="AW346">
        <f t="shared" si="69"/>
        <v>-0.25281692718518517</v>
      </c>
      <c r="AX346" s="9"/>
      <c r="AY346" s="22">
        <v>1.59195</v>
      </c>
      <c r="AZ346" s="22">
        <v>29.814900000000002</v>
      </c>
      <c r="BA346" s="22">
        <v>-7.0800799999999999E-3</v>
      </c>
      <c r="BB346" s="22">
        <v>336</v>
      </c>
      <c r="BC346" s="22">
        <v>1.5908800000000001</v>
      </c>
      <c r="BD346">
        <f t="shared" si="70"/>
        <v>8.7408395061728381</v>
      </c>
      <c r="BE346">
        <f t="shared" si="71"/>
        <v>13.914979451851849</v>
      </c>
    </row>
    <row r="347" spans="6:57">
      <c r="F347" s="9"/>
      <c r="G347" s="22">
        <v>-1.6937299999999999E-2</v>
      </c>
      <c r="H347" s="22">
        <v>8.4882500000000007</v>
      </c>
      <c r="I347" s="22">
        <v>-1.7312600000000001E-2</v>
      </c>
      <c r="J347" s="22">
        <v>337</v>
      </c>
      <c r="K347" s="22">
        <v>-1.7144800000000002E-2</v>
      </c>
      <c r="L347">
        <f t="shared" si="60"/>
        <v>21.37358024691358</v>
      </c>
      <c r="M347">
        <f t="shared" si="61"/>
        <v>-0.36201074071604933</v>
      </c>
      <c r="N347" s="9"/>
      <c r="O347" s="22">
        <v>1.5969800000000001</v>
      </c>
      <c r="P347" s="22">
        <v>12.0657</v>
      </c>
      <c r="Q347" s="22">
        <v>-6.4514200000000002E-3</v>
      </c>
      <c r="R347" s="22">
        <v>337</v>
      </c>
      <c r="S347" s="22">
        <v>1.5957600000000001</v>
      </c>
      <c r="T347">
        <f t="shared" si="62"/>
        <v>7.9647160493827149</v>
      </c>
      <c r="U347">
        <f t="shared" si="63"/>
        <v>12.719492236543209</v>
      </c>
      <c r="X347" s="9"/>
      <c r="Y347" s="22">
        <v>-1.6937299999999999E-2</v>
      </c>
      <c r="Z347" s="22">
        <v>17.371300000000002</v>
      </c>
      <c r="AA347" s="22">
        <v>-1.7263799999999999E-2</v>
      </c>
      <c r="AB347" s="22">
        <v>337</v>
      </c>
      <c r="AC347" s="22">
        <v>-1.7169199999999999E-2</v>
      </c>
      <c r="AD347">
        <f t="shared" si="64"/>
        <v>21.313333333333329</v>
      </c>
      <c r="AE347">
        <f t="shared" si="65"/>
        <v>-0.36099032066666659</v>
      </c>
      <c r="AF347" s="9"/>
      <c r="AG347" s="22">
        <v>1.5969800000000001</v>
      </c>
      <c r="AH347" s="22">
        <v>20.948799999999999</v>
      </c>
      <c r="AI347" s="22">
        <v>-6.2927199999999999E-3</v>
      </c>
      <c r="AJ347" s="22">
        <v>337</v>
      </c>
      <c r="AK347" s="22">
        <v>1.5960700000000001</v>
      </c>
      <c r="AL347">
        <f t="shared" si="66"/>
        <v>7.7687901234567889</v>
      </c>
      <c r="AM347">
        <f t="shared" si="67"/>
        <v>12.406602451358022</v>
      </c>
      <c r="AP347" s="9"/>
      <c r="AQ347" s="22">
        <v>-1.6937299999999999E-2</v>
      </c>
      <c r="AR347" s="22">
        <v>26.247499999999999</v>
      </c>
      <c r="AS347" s="22">
        <v>-1.72211E-2</v>
      </c>
      <c r="AT347" s="22">
        <v>337</v>
      </c>
      <c r="AU347" s="22">
        <v>-1.7135600000000001E-2</v>
      </c>
      <c r="AV347">
        <f t="shared" si="68"/>
        <v>21.260617283950616</v>
      </c>
      <c r="AW347">
        <f t="shared" si="69"/>
        <v>-0.36009745312345676</v>
      </c>
      <c r="AX347" s="9"/>
      <c r="AY347" s="22">
        <v>1.5969800000000001</v>
      </c>
      <c r="AZ347" s="22">
        <v>29.824999999999999</v>
      </c>
      <c r="BA347" s="22">
        <v>-6.1645500000000004E-3</v>
      </c>
      <c r="BB347" s="22">
        <v>337</v>
      </c>
      <c r="BC347" s="22">
        <v>1.5960700000000001</v>
      </c>
      <c r="BD347">
        <f t="shared" si="70"/>
        <v>7.6105555555555551</v>
      </c>
      <c r="BE347">
        <f t="shared" si="71"/>
        <v>12.15390501111111</v>
      </c>
    </row>
    <row r="348" spans="6:57">
      <c r="F348" s="9"/>
      <c r="G348" s="22">
        <v>-2.1972700000000001E-2</v>
      </c>
      <c r="H348" s="22">
        <v>8.4983199999999997</v>
      </c>
      <c r="I348" s="22">
        <v>-1.7321799999999998E-2</v>
      </c>
      <c r="J348" s="22">
        <v>338</v>
      </c>
      <c r="K348" s="22">
        <v>-2.21832E-2</v>
      </c>
      <c r="L348">
        <f t="shared" si="60"/>
        <v>21.384938271604934</v>
      </c>
      <c r="M348">
        <f t="shared" si="61"/>
        <v>-0.46988483316049379</v>
      </c>
      <c r="N348" s="9"/>
      <c r="O348" s="22">
        <v>1.60202</v>
      </c>
      <c r="P348" s="22">
        <v>12.075799999999999</v>
      </c>
      <c r="Q348" s="22">
        <v>-5.4382299999999996E-3</v>
      </c>
      <c r="R348" s="22">
        <v>338</v>
      </c>
      <c r="S348" s="22">
        <v>1.6015600000000001</v>
      </c>
      <c r="T348">
        <f t="shared" si="62"/>
        <v>6.7138641975308628</v>
      </c>
      <c r="U348">
        <f t="shared" si="63"/>
        <v>10.755744721728393</v>
      </c>
      <c r="X348" s="9"/>
      <c r="Y348" s="22">
        <v>-2.1972700000000001E-2</v>
      </c>
      <c r="Z348" s="22">
        <v>17.381399999999999</v>
      </c>
      <c r="AA348" s="22">
        <v>-1.7276E-2</v>
      </c>
      <c r="AB348" s="22">
        <v>338</v>
      </c>
      <c r="AC348" s="22">
        <v>-2.2268699999999999E-2</v>
      </c>
      <c r="AD348">
        <f t="shared" si="64"/>
        <v>21.328395061728394</v>
      </c>
      <c r="AE348">
        <f t="shared" si="65"/>
        <v>-0.46864242617283952</v>
      </c>
      <c r="AF348" s="9"/>
      <c r="AG348" s="22">
        <v>1.60202</v>
      </c>
      <c r="AH348" s="22">
        <v>20.9589</v>
      </c>
      <c r="AI348" s="22">
        <v>-5.0384499999999999E-3</v>
      </c>
      <c r="AJ348" s="22">
        <v>338</v>
      </c>
      <c r="AK348" s="22">
        <v>1.6012599999999999</v>
      </c>
      <c r="AL348">
        <f t="shared" si="66"/>
        <v>6.2203086419753078</v>
      </c>
      <c r="AM348">
        <f t="shared" si="67"/>
        <v>9.9650588506172824</v>
      </c>
      <c r="AP348" s="9"/>
      <c r="AQ348" s="22">
        <v>-2.1972700000000001E-2</v>
      </c>
      <c r="AR348" s="22">
        <v>26.2575</v>
      </c>
      <c r="AS348" s="22">
        <v>-1.72333E-2</v>
      </c>
      <c r="AT348" s="22">
        <v>338</v>
      </c>
      <c r="AU348" s="22">
        <v>-2.1975700000000001E-2</v>
      </c>
      <c r="AV348">
        <f t="shared" si="68"/>
        <v>21.27567901234568</v>
      </c>
      <c r="AW348">
        <f t="shared" si="69"/>
        <v>-0.46748411223456793</v>
      </c>
      <c r="AX348" s="9"/>
      <c r="AY348" s="22">
        <v>1.60202</v>
      </c>
      <c r="AZ348" s="22">
        <v>29.835000000000001</v>
      </c>
      <c r="BA348" s="22">
        <v>-4.9401899999999997E-3</v>
      </c>
      <c r="BB348" s="22">
        <v>338</v>
      </c>
      <c r="BC348" s="22">
        <v>1.6012599999999999</v>
      </c>
      <c r="BD348">
        <f t="shared" si="70"/>
        <v>6.0989999999999993</v>
      </c>
      <c r="BE348">
        <f t="shared" si="71"/>
        <v>9.7707199799999991</v>
      </c>
    </row>
    <row r="349" spans="6:57">
      <c r="F349" s="9"/>
      <c r="G349" s="22">
        <v>-2.70081E-2</v>
      </c>
      <c r="H349" s="22">
        <v>8.5083900000000003</v>
      </c>
      <c r="I349" s="22">
        <v>-1.73309E-2</v>
      </c>
      <c r="J349" s="22">
        <v>339</v>
      </c>
      <c r="K349" s="22">
        <v>-2.7334600000000001E-2</v>
      </c>
      <c r="L349">
        <f t="shared" si="60"/>
        <v>21.396172839506171</v>
      </c>
      <c r="M349">
        <f t="shared" si="61"/>
        <v>-0.57786997566666665</v>
      </c>
      <c r="N349" s="9"/>
      <c r="O349" s="22">
        <v>1.6070599999999999</v>
      </c>
      <c r="P349" s="22">
        <v>12.085900000000001</v>
      </c>
      <c r="Q349" s="22">
        <v>-4.0423600000000001E-3</v>
      </c>
      <c r="R349" s="22">
        <v>339</v>
      </c>
      <c r="S349" s="22">
        <v>1.6064499999999999</v>
      </c>
      <c r="T349">
        <f t="shared" si="62"/>
        <v>4.9905679012345674</v>
      </c>
      <c r="U349">
        <f t="shared" si="63"/>
        <v>8.0201420513580235</v>
      </c>
      <c r="X349" s="9"/>
      <c r="Y349" s="22">
        <v>-2.70081E-2</v>
      </c>
      <c r="Z349" s="22">
        <v>17.391400000000001</v>
      </c>
      <c r="AA349" s="22">
        <v>-1.7285200000000001E-2</v>
      </c>
      <c r="AB349" s="22">
        <v>339</v>
      </c>
      <c r="AC349" s="22">
        <v>-2.7136199999999999E-2</v>
      </c>
      <c r="AD349">
        <f t="shared" si="64"/>
        <v>21.339753086419751</v>
      </c>
      <c r="AE349">
        <f t="shared" si="65"/>
        <v>-0.57634618533333326</v>
      </c>
      <c r="AF349" s="9"/>
      <c r="AG349" s="22">
        <v>1.6070599999999999</v>
      </c>
      <c r="AH349" s="22">
        <v>20.968900000000001</v>
      </c>
      <c r="AI349" s="22">
        <v>-3.6239599999999999E-3</v>
      </c>
      <c r="AJ349" s="22">
        <v>339</v>
      </c>
      <c r="AK349" s="22">
        <v>1.6061399999999999</v>
      </c>
      <c r="AL349">
        <f t="shared" si="66"/>
        <v>4.4740246913580242</v>
      </c>
      <c r="AM349">
        <f t="shared" si="67"/>
        <v>7.1900261204938261</v>
      </c>
      <c r="AP349" s="9"/>
      <c r="AQ349" s="22">
        <v>-2.70081E-2</v>
      </c>
      <c r="AR349" s="22">
        <v>26.267600000000002</v>
      </c>
      <c r="AS349" s="22">
        <v>-1.72455E-2</v>
      </c>
      <c r="AT349" s="22">
        <v>339</v>
      </c>
      <c r="AU349" s="22">
        <v>-2.72827E-2</v>
      </c>
      <c r="AV349">
        <f t="shared" si="68"/>
        <v>21.290740740740738</v>
      </c>
      <c r="AW349">
        <f t="shared" si="69"/>
        <v>-0.57502245499999993</v>
      </c>
      <c r="AX349" s="9"/>
      <c r="AY349" s="22">
        <v>1.6070599999999999</v>
      </c>
      <c r="AZ349" s="22">
        <v>29.845099999999999</v>
      </c>
      <c r="BA349" s="22">
        <v>-3.4796100000000002E-3</v>
      </c>
      <c r="BB349" s="22">
        <v>339</v>
      </c>
      <c r="BC349" s="22">
        <v>1.6064499999999999</v>
      </c>
      <c r="BD349">
        <f t="shared" si="70"/>
        <v>4.2958148148148148</v>
      </c>
      <c r="BE349">
        <f t="shared" si="71"/>
        <v>6.9036321562962959</v>
      </c>
    </row>
    <row r="350" spans="6:57">
      <c r="F350" s="9"/>
      <c r="G350" s="22">
        <v>-3.2043500000000003E-2</v>
      </c>
      <c r="H350" s="22">
        <v>8.5184599999999993</v>
      </c>
      <c r="I350" s="22">
        <v>-1.73431E-2</v>
      </c>
      <c r="J350" s="22">
        <v>340</v>
      </c>
      <c r="K350" s="22">
        <v>-3.24493E-2</v>
      </c>
      <c r="L350">
        <f t="shared" si="60"/>
        <v>21.411234567901236</v>
      </c>
      <c r="M350">
        <f t="shared" si="61"/>
        <v>-0.68609089487654329</v>
      </c>
      <c r="N350" s="9"/>
      <c r="O350" s="22">
        <v>1.61209</v>
      </c>
      <c r="P350" s="22">
        <v>12.0959</v>
      </c>
      <c r="Q350" s="22">
        <v>-2.33124E-3</v>
      </c>
      <c r="R350" s="22">
        <v>340</v>
      </c>
      <c r="S350" s="22">
        <v>1.6110199999999999</v>
      </c>
      <c r="T350">
        <f t="shared" si="62"/>
        <v>2.8780740740740742</v>
      </c>
      <c r="U350">
        <f t="shared" si="63"/>
        <v>4.6397144340740741</v>
      </c>
      <c r="X350" s="9"/>
      <c r="Y350" s="22">
        <v>-3.2043500000000003E-2</v>
      </c>
      <c r="Z350" s="22">
        <v>17.401499999999999</v>
      </c>
      <c r="AA350" s="22">
        <v>-1.7297400000000001E-2</v>
      </c>
      <c r="AB350" s="22">
        <v>340</v>
      </c>
      <c r="AC350" s="22">
        <v>-3.2235699999999999E-2</v>
      </c>
      <c r="AD350">
        <f t="shared" si="64"/>
        <v>21.354814814814816</v>
      </c>
      <c r="AE350">
        <f t="shared" si="65"/>
        <v>-0.68428300851851864</v>
      </c>
      <c r="AF350" s="9"/>
      <c r="AG350" s="22">
        <v>1.61209</v>
      </c>
      <c r="AH350" s="22">
        <v>20.978999999999999</v>
      </c>
      <c r="AI350" s="22">
        <v>-1.6986099999999999E-3</v>
      </c>
      <c r="AJ350" s="22">
        <v>340</v>
      </c>
      <c r="AK350" s="22">
        <v>1.6116299999999999</v>
      </c>
      <c r="AL350">
        <f t="shared" si="66"/>
        <v>2.0970493827160492</v>
      </c>
      <c r="AM350">
        <f t="shared" si="67"/>
        <v>3.380632339382716</v>
      </c>
      <c r="AP350" s="9"/>
      <c r="AQ350" s="22">
        <v>-3.2043500000000003E-2</v>
      </c>
      <c r="AR350" s="22">
        <v>26.277699999999999</v>
      </c>
      <c r="AS350" s="22">
        <v>-1.7257700000000001E-2</v>
      </c>
      <c r="AT350" s="22">
        <v>340</v>
      </c>
      <c r="AU350" s="22">
        <v>-3.2757599999999998E-2</v>
      </c>
      <c r="AV350">
        <f t="shared" si="68"/>
        <v>21.305802469135802</v>
      </c>
      <c r="AW350">
        <f t="shared" si="69"/>
        <v>-0.68271248141975316</v>
      </c>
      <c r="AX350" s="9"/>
      <c r="AY350" s="22">
        <v>1.61209</v>
      </c>
      <c r="AZ350" s="22">
        <v>29.8552</v>
      </c>
      <c r="BA350" s="22">
        <v>-1.5420500000000001E-3</v>
      </c>
      <c r="BB350" s="22">
        <v>340</v>
      </c>
      <c r="BC350" s="22">
        <v>1.6116299999999999</v>
      </c>
      <c r="BD350">
        <f t="shared" si="70"/>
        <v>1.9037654320987654</v>
      </c>
      <c r="BE350">
        <f t="shared" si="71"/>
        <v>3.0690412154320987</v>
      </c>
    </row>
    <row r="351" spans="6:57">
      <c r="F351" s="9"/>
      <c r="G351" s="22">
        <v>-3.7078899999999998E-2</v>
      </c>
      <c r="H351" s="22">
        <v>8.5285399999999996</v>
      </c>
      <c r="I351" s="22">
        <v>-1.7355300000000001E-2</v>
      </c>
      <c r="J351" s="22">
        <v>341</v>
      </c>
      <c r="K351" s="22">
        <v>-3.7432899999999998E-2</v>
      </c>
      <c r="L351">
        <f t="shared" si="60"/>
        <v>21.426296296296293</v>
      </c>
      <c r="M351">
        <f t="shared" si="61"/>
        <v>-0.79446349774074054</v>
      </c>
      <c r="N351" s="9"/>
      <c r="O351" s="22">
        <v>1.61713</v>
      </c>
      <c r="P351" s="22">
        <v>12.106</v>
      </c>
      <c r="Q351" s="25">
        <v>4.2663600000000003E-5</v>
      </c>
      <c r="R351" s="22">
        <v>341</v>
      </c>
      <c r="S351" s="22">
        <v>1.61591</v>
      </c>
      <c r="T351">
        <f t="shared" si="62"/>
        <v>-5.2671111111111113E-2</v>
      </c>
      <c r="U351">
        <f t="shared" si="63"/>
        <v>-8.5176033911111115E-2</v>
      </c>
      <c r="X351" s="9"/>
      <c r="Y351" s="22">
        <v>-3.7078899999999998E-2</v>
      </c>
      <c r="Z351" s="22">
        <v>17.4116</v>
      </c>
      <c r="AA351" s="22">
        <v>-1.7309600000000001E-2</v>
      </c>
      <c r="AB351" s="22">
        <v>341</v>
      </c>
      <c r="AC351" s="22">
        <v>-3.7442000000000003E-2</v>
      </c>
      <c r="AD351">
        <f t="shared" si="64"/>
        <v>21.369876543209877</v>
      </c>
      <c r="AE351">
        <f t="shared" si="65"/>
        <v>-0.79237151535802464</v>
      </c>
      <c r="AF351" s="9"/>
      <c r="AG351" s="22">
        <v>1.61713</v>
      </c>
      <c r="AH351" s="22">
        <v>20.989100000000001</v>
      </c>
      <c r="AI351" s="22">
        <v>7.0404099999999998E-4</v>
      </c>
      <c r="AJ351" s="22">
        <v>341</v>
      </c>
      <c r="AK351" s="22">
        <v>1.6162099999999999</v>
      </c>
      <c r="AL351">
        <f t="shared" si="66"/>
        <v>-0.8691864197530863</v>
      </c>
      <c r="AM351">
        <f t="shared" si="67"/>
        <v>-1.4055874349753084</v>
      </c>
      <c r="AP351" s="9"/>
      <c r="AQ351" s="22">
        <v>-3.7078899999999998E-2</v>
      </c>
      <c r="AR351" s="22">
        <v>26.287800000000001</v>
      </c>
      <c r="AS351" s="22">
        <v>-1.7269900000000001E-2</v>
      </c>
      <c r="AT351" s="22">
        <v>341</v>
      </c>
      <c r="AU351" s="22">
        <v>-3.7393200000000001E-2</v>
      </c>
      <c r="AV351">
        <f t="shared" si="68"/>
        <v>21.320864197530867</v>
      </c>
      <c r="AW351">
        <f t="shared" si="69"/>
        <v>-0.79055419149382722</v>
      </c>
      <c r="AX351" s="9"/>
      <c r="AY351" s="22">
        <v>1.61713</v>
      </c>
      <c r="AZ351" s="22">
        <v>29.865200000000002</v>
      </c>
      <c r="BA351" s="22">
        <v>1.0766599999999999E-3</v>
      </c>
      <c r="BB351" s="22">
        <v>341</v>
      </c>
      <c r="BC351" s="22">
        <v>1.61652</v>
      </c>
      <c r="BD351">
        <f t="shared" si="70"/>
        <v>-1.3292098765432097</v>
      </c>
      <c r="BE351">
        <f t="shared" si="71"/>
        <v>-2.1495051676543206</v>
      </c>
    </row>
    <row r="352" spans="6:57">
      <c r="F352" s="9"/>
      <c r="G352" s="22">
        <v>-4.21143E-2</v>
      </c>
      <c r="H352" s="22">
        <v>8.5386100000000003</v>
      </c>
      <c r="I352" s="22">
        <v>-1.7364500000000001E-2</v>
      </c>
      <c r="J352" s="22">
        <v>342</v>
      </c>
      <c r="K352" s="22">
        <v>-4.2349199999999997E-2</v>
      </c>
      <c r="L352">
        <f t="shared" si="60"/>
        <v>21.437654320987654</v>
      </c>
      <c r="M352">
        <f t="shared" si="61"/>
        <v>-0.90283180537037033</v>
      </c>
      <c r="N352" s="9"/>
      <c r="O352" s="22">
        <v>1.62216</v>
      </c>
      <c r="P352" s="22">
        <v>12.116099999999999</v>
      </c>
      <c r="Q352" s="22">
        <v>3.1075999999999999E-3</v>
      </c>
      <c r="R352" s="22">
        <v>342</v>
      </c>
      <c r="S352" s="22">
        <v>1.6214</v>
      </c>
      <c r="T352">
        <f t="shared" si="62"/>
        <v>-3.8365432098765426</v>
      </c>
      <c r="U352">
        <f t="shared" si="63"/>
        <v>-6.2234869333333327</v>
      </c>
      <c r="X352" s="9"/>
      <c r="Y352" s="22">
        <v>-4.21143E-2</v>
      </c>
      <c r="Z352" s="22">
        <v>17.421700000000001</v>
      </c>
      <c r="AA352" s="22">
        <v>-1.73157E-2</v>
      </c>
      <c r="AB352" s="22">
        <v>342</v>
      </c>
      <c r="AC352" s="22">
        <v>-4.2587300000000002E-2</v>
      </c>
      <c r="AD352">
        <f t="shared" si="64"/>
        <v>21.377407407407407</v>
      </c>
      <c r="AE352">
        <f t="shared" si="65"/>
        <v>-0.90029454877777781</v>
      </c>
      <c r="AF352" s="9"/>
      <c r="AG352" s="22">
        <v>1.62216</v>
      </c>
      <c r="AH352" s="22">
        <v>20.999099999999999</v>
      </c>
      <c r="AI352" s="22">
        <v>3.9871200000000002E-3</v>
      </c>
      <c r="AJ352" s="22">
        <v>342</v>
      </c>
      <c r="AK352" s="22">
        <v>1.62201</v>
      </c>
      <c r="AL352">
        <f t="shared" si="66"/>
        <v>-4.9223703703703707</v>
      </c>
      <c r="AM352">
        <f t="shared" si="67"/>
        <v>-7.9848723200000009</v>
      </c>
      <c r="AP352" s="9"/>
      <c r="AQ352" s="22">
        <v>-4.21143E-2</v>
      </c>
      <c r="AR352" s="22">
        <v>26.297799999999999</v>
      </c>
      <c r="AS352" s="22">
        <v>-1.7279099999999999E-2</v>
      </c>
      <c r="AT352" s="22">
        <v>342</v>
      </c>
      <c r="AU352" s="22">
        <v>-4.2315699999999998E-2</v>
      </c>
      <c r="AV352">
        <f t="shared" si="68"/>
        <v>21.332222222222217</v>
      </c>
      <c r="AW352">
        <f t="shared" si="69"/>
        <v>-0.89839160633333315</v>
      </c>
      <c r="AX352" s="9"/>
      <c r="AY352" s="22">
        <v>1.62216</v>
      </c>
      <c r="AZ352" s="22">
        <v>29.875299999999999</v>
      </c>
      <c r="BA352" s="22">
        <v>4.5654299999999997E-3</v>
      </c>
      <c r="BB352" s="22">
        <v>342</v>
      </c>
      <c r="BC352" s="22">
        <v>1.6214</v>
      </c>
      <c r="BD352">
        <f t="shared" si="70"/>
        <v>-5.636333333333333</v>
      </c>
      <c r="BE352">
        <f t="shared" si="71"/>
        <v>-9.143034479999999</v>
      </c>
    </row>
    <row r="353" spans="6:57">
      <c r="F353" s="9"/>
      <c r="G353" s="22">
        <v>-4.7149700000000003E-2</v>
      </c>
      <c r="H353" s="22">
        <v>8.5486799999999992</v>
      </c>
      <c r="I353" s="22">
        <v>-1.7376699999999998E-2</v>
      </c>
      <c r="J353" s="22">
        <v>343</v>
      </c>
      <c r="K353" s="22">
        <v>-4.7326699999999999E-2</v>
      </c>
      <c r="L353">
        <f t="shared" si="60"/>
        <v>21.452716049382712</v>
      </c>
      <c r="M353">
        <f t="shared" si="61"/>
        <v>-1.0114891259135801</v>
      </c>
      <c r="N353" s="9"/>
      <c r="O353" s="22">
        <v>1.6272</v>
      </c>
      <c r="P353" s="22">
        <v>12.126200000000001</v>
      </c>
      <c r="Q353" s="22">
        <v>6.8359400000000004E-3</v>
      </c>
      <c r="R353" s="22">
        <v>343</v>
      </c>
      <c r="S353" s="22">
        <v>1.6262799999999999</v>
      </c>
      <c r="T353">
        <f t="shared" si="62"/>
        <v>-8.4394320987654314</v>
      </c>
      <c r="U353">
        <f t="shared" si="63"/>
        <v>-13.73264391111111</v>
      </c>
      <c r="X353" s="9"/>
      <c r="Y353" s="22">
        <v>-4.7149700000000003E-2</v>
      </c>
      <c r="Z353" s="22">
        <v>17.431699999999999</v>
      </c>
      <c r="AA353" s="22">
        <v>-1.73279E-2</v>
      </c>
      <c r="AB353" s="22">
        <v>343</v>
      </c>
      <c r="AC353" s="22">
        <v>-4.73938E-2</v>
      </c>
      <c r="AD353">
        <f t="shared" si="64"/>
        <v>21.392469135802468</v>
      </c>
      <c r="AE353">
        <f t="shared" si="65"/>
        <v>-1.0086485020123457</v>
      </c>
      <c r="AF353" s="9"/>
      <c r="AG353" s="22">
        <v>1.6272</v>
      </c>
      <c r="AH353" s="22">
        <v>21.0092</v>
      </c>
      <c r="AI353" s="22">
        <v>7.5347900000000004E-3</v>
      </c>
      <c r="AJ353" s="22">
        <v>343</v>
      </c>
      <c r="AK353" s="22">
        <v>1.6268899999999999</v>
      </c>
      <c r="AL353">
        <f t="shared" si="66"/>
        <v>-9.3022098765432109</v>
      </c>
      <c r="AM353">
        <f t="shared" si="67"/>
        <v>-15.136555911111113</v>
      </c>
      <c r="AP353" s="9"/>
      <c r="AQ353" s="22">
        <v>-4.7149700000000003E-2</v>
      </c>
      <c r="AR353" s="22">
        <v>26.3079</v>
      </c>
      <c r="AS353" s="22">
        <v>-1.72882E-2</v>
      </c>
      <c r="AT353" s="22">
        <v>343</v>
      </c>
      <c r="AU353" s="22">
        <v>-4.7506699999999999E-2</v>
      </c>
      <c r="AV353">
        <f t="shared" si="68"/>
        <v>21.343456790123458</v>
      </c>
      <c r="AW353">
        <f t="shared" si="69"/>
        <v>-1.0063375846172842</v>
      </c>
      <c r="AX353" s="9"/>
      <c r="AY353" s="22">
        <v>1.6272</v>
      </c>
      <c r="AZ353" s="22">
        <v>29.885400000000001</v>
      </c>
      <c r="BA353" s="22">
        <v>8.5937500000000007E-3</v>
      </c>
      <c r="BB353" s="22">
        <v>343</v>
      </c>
      <c r="BC353" s="22">
        <v>1.62598</v>
      </c>
      <c r="BD353">
        <f t="shared" si="70"/>
        <v>-10.609567901234568</v>
      </c>
      <c r="BE353">
        <f t="shared" si="71"/>
        <v>-17.263888888888889</v>
      </c>
    </row>
    <row r="354" spans="6:57">
      <c r="F354" s="9"/>
      <c r="G354" s="22">
        <v>-5.2185099999999998E-2</v>
      </c>
      <c r="H354" s="22">
        <v>8.5587499999999999</v>
      </c>
      <c r="I354" s="22">
        <v>-1.7385899999999999E-2</v>
      </c>
      <c r="J354" s="22">
        <v>344</v>
      </c>
      <c r="K354" s="22">
        <v>-5.2673299999999999E-2</v>
      </c>
      <c r="L354">
        <f t="shared" si="60"/>
        <v>21.464074074074073</v>
      </c>
      <c r="M354">
        <f t="shared" si="61"/>
        <v>-1.1201048519629628</v>
      </c>
      <c r="N354" s="9"/>
      <c r="O354" s="22">
        <v>1.6322300000000001</v>
      </c>
      <c r="P354" s="22">
        <v>12.136200000000001</v>
      </c>
      <c r="Q354" s="22">
        <v>1.06628E-2</v>
      </c>
      <c r="R354" s="22">
        <v>344</v>
      </c>
      <c r="S354" s="22">
        <v>1.6311599999999999</v>
      </c>
      <c r="T354">
        <f t="shared" si="62"/>
        <v>-13.16395061728395</v>
      </c>
      <c r="U354">
        <f t="shared" si="63"/>
        <v>-21.486595116049383</v>
      </c>
      <c r="X354" s="9"/>
      <c r="Y354" s="22">
        <v>-5.2185099999999998E-2</v>
      </c>
      <c r="Z354" s="22">
        <v>17.441800000000001</v>
      </c>
      <c r="AA354" s="22">
        <v>-1.7340100000000001E-2</v>
      </c>
      <c r="AB354" s="22">
        <v>344</v>
      </c>
      <c r="AC354" s="22">
        <v>-5.2734400000000001E-2</v>
      </c>
      <c r="AD354">
        <f t="shared" si="64"/>
        <v>21.407530864197529</v>
      </c>
      <c r="AE354">
        <f t="shared" si="65"/>
        <v>-1.1171541389012345</v>
      </c>
      <c r="AF354" s="9"/>
      <c r="AG354" s="22">
        <v>1.6322300000000001</v>
      </c>
      <c r="AH354" s="22">
        <v>21.019300000000001</v>
      </c>
      <c r="AI354" s="22">
        <v>1.14716E-2</v>
      </c>
      <c r="AJ354" s="22">
        <v>344</v>
      </c>
      <c r="AK354" s="22">
        <v>1.6317699999999999</v>
      </c>
      <c r="AL354">
        <f t="shared" si="66"/>
        <v>-14.162469135802469</v>
      </c>
      <c r="AM354">
        <f t="shared" si="67"/>
        <v>-23.116406997530866</v>
      </c>
      <c r="AP354" s="9"/>
      <c r="AQ354" s="22">
        <v>-5.2185099999999998E-2</v>
      </c>
      <c r="AR354" s="22">
        <v>26.318000000000001</v>
      </c>
      <c r="AS354" s="22">
        <v>-1.73004E-2</v>
      </c>
      <c r="AT354" s="22">
        <v>344</v>
      </c>
      <c r="AU354" s="22">
        <v>-5.2795399999999999E-2</v>
      </c>
      <c r="AV354">
        <f t="shared" si="68"/>
        <v>21.358518518518515</v>
      </c>
      <c r="AW354">
        <f t="shared" si="69"/>
        <v>-1.1145964247407405</v>
      </c>
      <c r="AX354" s="9"/>
      <c r="AY354" s="22">
        <v>1.6322300000000001</v>
      </c>
      <c r="AZ354" s="22">
        <v>29.895499999999998</v>
      </c>
      <c r="BA354" s="22">
        <v>1.2649499999999999E-2</v>
      </c>
      <c r="BB354" s="22">
        <v>344</v>
      </c>
      <c r="BC354" s="22">
        <v>1.63147</v>
      </c>
      <c r="BD354">
        <f t="shared" si="70"/>
        <v>-15.616666666666664</v>
      </c>
      <c r="BE354">
        <f t="shared" si="71"/>
        <v>-25.489991833333331</v>
      </c>
    </row>
    <row r="355" spans="6:57">
      <c r="F355" s="9"/>
      <c r="G355" s="22">
        <v>-5.7220500000000001E-2</v>
      </c>
      <c r="H355" s="22">
        <v>8.5688200000000005</v>
      </c>
      <c r="I355" s="22">
        <v>-1.7401099999999999E-2</v>
      </c>
      <c r="J355" s="22">
        <v>345</v>
      </c>
      <c r="K355" s="22">
        <v>-5.7769800000000003E-2</v>
      </c>
      <c r="L355">
        <f t="shared" si="60"/>
        <v>21.482839506172837</v>
      </c>
      <c r="M355">
        <f t="shared" si="61"/>
        <v>-1.2292588179629629</v>
      </c>
      <c r="N355" s="9"/>
      <c r="O355" s="22">
        <v>1.63727</v>
      </c>
      <c r="P355" s="22">
        <v>12.1463</v>
      </c>
      <c r="Q355" s="22">
        <v>1.4898700000000001E-2</v>
      </c>
      <c r="R355" s="22">
        <v>345</v>
      </c>
      <c r="S355" s="22">
        <v>1.63727</v>
      </c>
      <c r="T355">
        <f t="shared" si="62"/>
        <v>-18.393456790123455</v>
      </c>
      <c r="U355">
        <f t="shared" si="63"/>
        <v>-30.11505499876543</v>
      </c>
      <c r="X355" s="9"/>
      <c r="Y355" s="22">
        <v>-5.7220500000000001E-2</v>
      </c>
      <c r="Z355" s="22">
        <v>17.451899999999998</v>
      </c>
      <c r="AA355" s="22">
        <v>-1.7355300000000001E-2</v>
      </c>
      <c r="AB355" s="22">
        <v>345</v>
      </c>
      <c r="AC355" s="22">
        <v>-5.7586699999999998E-2</v>
      </c>
      <c r="AD355">
        <f t="shared" si="64"/>
        <v>21.426296296296293</v>
      </c>
      <c r="AE355">
        <f t="shared" si="65"/>
        <v>-1.2260233872222221</v>
      </c>
      <c r="AF355" s="9"/>
      <c r="AG355" s="22">
        <v>1.63727</v>
      </c>
      <c r="AH355" s="22">
        <v>21.029299999999999</v>
      </c>
      <c r="AI355" s="22">
        <v>1.5533399999999999E-2</v>
      </c>
      <c r="AJ355" s="22">
        <v>345</v>
      </c>
      <c r="AK355" s="22">
        <v>1.63696</v>
      </c>
      <c r="AL355">
        <f t="shared" si="66"/>
        <v>-19.177037037037035</v>
      </c>
      <c r="AM355">
        <f t="shared" si="67"/>
        <v>-31.397987429629627</v>
      </c>
      <c r="AP355" s="9"/>
      <c r="AQ355" s="22">
        <v>-5.7220500000000001E-2</v>
      </c>
      <c r="AR355" s="22">
        <v>26.327999999999999</v>
      </c>
      <c r="AS355" s="22">
        <v>-1.7312600000000001E-2</v>
      </c>
      <c r="AT355" s="22">
        <v>345</v>
      </c>
      <c r="AU355" s="22">
        <v>-5.7708700000000002E-2</v>
      </c>
      <c r="AV355">
        <f t="shared" si="68"/>
        <v>21.37358024691358</v>
      </c>
      <c r="AW355">
        <f t="shared" si="69"/>
        <v>-1.2230069485185184</v>
      </c>
      <c r="AX355" s="9"/>
      <c r="AY355" s="22">
        <v>1.63727</v>
      </c>
      <c r="AZ355" s="22">
        <v>29.9055</v>
      </c>
      <c r="BA355" s="22">
        <v>1.72363E-2</v>
      </c>
      <c r="BB355" s="22">
        <v>345</v>
      </c>
      <c r="BC355" s="22">
        <v>1.63696</v>
      </c>
      <c r="BD355">
        <f t="shared" si="70"/>
        <v>-21.279382716049383</v>
      </c>
      <c r="BE355">
        <f t="shared" si="71"/>
        <v>-34.840094939506173</v>
      </c>
    </row>
    <row r="356" spans="6:57">
      <c r="F356" s="9"/>
      <c r="G356" s="22">
        <v>-6.2255900000000003E-2</v>
      </c>
      <c r="H356" s="22">
        <v>8.5788899999999995</v>
      </c>
      <c r="I356" s="22">
        <v>-1.7419400000000002E-2</v>
      </c>
      <c r="J356" s="22">
        <v>346</v>
      </c>
      <c r="K356" s="22">
        <v>-6.2683100000000005E-2</v>
      </c>
      <c r="L356">
        <f t="shared" si="60"/>
        <v>21.505432098765432</v>
      </c>
      <c r="M356">
        <f t="shared" si="61"/>
        <v>-1.338840030197531</v>
      </c>
      <c r="N356" s="9"/>
      <c r="O356" s="22">
        <v>1.6423000000000001</v>
      </c>
      <c r="P356" s="22">
        <v>12.1564</v>
      </c>
      <c r="Q356" s="22">
        <v>1.9134499999999999E-2</v>
      </c>
      <c r="R356" s="22">
        <v>346</v>
      </c>
      <c r="S356" s="22">
        <v>1.64154</v>
      </c>
      <c r="T356">
        <f t="shared" si="62"/>
        <v>-23.622839506172834</v>
      </c>
      <c r="U356">
        <f t="shared" si="63"/>
        <v>-38.795789320987645</v>
      </c>
      <c r="X356" s="9"/>
      <c r="Y356" s="22">
        <v>-6.2255900000000003E-2</v>
      </c>
      <c r="Z356" s="22">
        <v>17.4619</v>
      </c>
      <c r="AA356" s="22">
        <v>-1.7364500000000001E-2</v>
      </c>
      <c r="AB356" s="22">
        <v>346</v>
      </c>
      <c r="AC356" s="22">
        <v>-6.2744099999999997E-2</v>
      </c>
      <c r="AD356">
        <f t="shared" si="64"/>
        <v>21.437654320987654</v>
      </c>
      <c r="AE356">
        <f t="shared" si="65"/>
        <v>-1.3346204636419754</v>
      </c>
      <c r="AF356" s="9"/>
      <c r="AG356" s="22">
        <v>1.6423000000000001</v>
      </c>
      <c r="AH356" s="22">
        <v>21.039400000000001</v>
      </c>
      <c r="AI356" s="22">
        <v>1.9671600000000001E-2</v>
      </c>
      <c r="AJ356" s="22">
        <v>346</v>
      </c>
      <c r="AK356" s="22">
        <v>1.64124</v>
      </c>
      <c r="AL356">
        <f t="shared" si="66"/>
        <v>-24.285925925925927</v>
      </c>
      <c r="AM356">
        <f t="shared" si="67"/>
        <v>-39.884776148148148</v>
      </c>
      <c r="AP356" s="9"/>
      <c r="AQ356" s="22">
        <v>-6.2255900000000003E-2</v>
      </c>
      <c r="AR356" s="22">
        <v>26.338100000000001</v>
      </c>
      <c r="AS356" s="22">
        <v>-1.7321799999999998E-2</v>
      </c>
      <c r="AT356" s="22">
        <v>346</v>
      </c>
      <c r="AU356" s="22">
        <v>-6.2713599999999994E-2</v>
      </c>
      <c r="AV356">
        <f t="shared" si="68"/>
        <v>21.384938271604934</v>
      </c>
      <c r="AW356">
        <f t="shared" si="69"/>
        <v>-1.3313385785432097</v>
      </c>
      <c r="AX356" s="9"/>
      <c r="AY356" s="22">
        <v>1.6423000000000001</v>
      </c>
      <c r="AZ356" s="22">
        <v>29.915600000000001</v>
      </c>
      <c r="BA356" s="22">
        <v>2.20337E-2</v>
      </c>
      <c r="BB356" s="22">
        <v>346</v>
      </c>
      <c r="BC356" s="22">
        <v>1.64185</v>
      </c>
      <c r="BD356">
        <f t="shared" si="70"/>
        <v>-27.202098765432098</v>
      </c>
      <c r="BE356">
        <f t="shared" si="71"/>
        <v>-44.674006802469137</v>
      </c>
    </row>
    <row r="357" spans="6:57">
      <c r="F357" s="9"/>
      <c r="G357" s="22">
        <v>-6.7291299999999998E-2</v>
      </c>
      <c r="H357" s="22">
        <v>8.5889600000000002</v>
      </c>
      <c r="I357" s="22">
        <v>-1.7431599999999998E-2</v>
      </c>
      <c r="J357" s="22">
        <v>347</v>
      </c>
      <c r="K357" s="22">
        <v>-6.7993200000000004E-2</v>
      </c>
      <c r="L357">
        <f t="shared" si="60"/>
        <v>21.52049382716049</v>
      </c>
      <c r="M357">
        <f t="shared" si="61"/>
        <v>-1.4481420062716046</v>
      </c>
      <c r="N357" s="9"/>
      <c r="O357" s="22">
        <v>1.64734</v>
      </c>
      <c r="P357" s="22">
        <v>12.166399999999999</v>
      </c>
      <c r="Q357" s="22">
        <v>2.3809799999999999E-2</v>
      </c>
      <c r="R357" s="22">
        <v>347</v>
      </c>
      <c r="S357" s="22">
        <v>1.64642</v>
      </c>
      <c r="T357">
        <f t="shared" si="62"/>
        <v>-29.394814814814811</v>
      </c>
      <c r="U357">
        <f t="shared" si="63"/>
        <v>-48.423254237037035</v>
      </c>
      <c r="X357" s="9"/>
      <c r="Y357" s="22">
        <v>-6.7291299999999998E-2</v>
      </c>
      <c r="Z357" s="22">
        <v>17.472000000000001</v>
      </c>
      <c r="AA357" s="22">
        <v>-1.7379800000000001E-2</v>
      </c>
      <c r="AB357" s="22">
        <v>347</v>
      </c>
      <c r="AC357" s="22">
        <v>-6.7749000000000004E-2</v>
      </c>
      <c r="AD357">
        <f t="shared" si="64"/>
        <v>21.456543209876543</v>
      </c>
      <c r="AE357">
        <f t="shared" si="65"/>
        <v>-1.4438386860987653</v>
      </c>
      <c r="AF357" s="9"/>
      <c r="AG357" s="22">
        <v>1.64734</v>
      </c>
      <c r="AH357" s="22">
        <v>21.049499999999998</v>
      </c>
      <c r="AI357" s="22">
        <v>2.3925800000000001E-2</v>
      </c>
      <c r="AJ357" s="22">
        <v>347</v>
      </c>
      <c r="AK357" s="22">
        <v>1.64642</v>
      </c>
      <c r="AL357">
        <f t="shared" si="66"/>
        <v>-29.538024691358022</v>
      </c>
      <c r="AM357">
        <f t="shared" si="67"/>
        <v>-48.659169595061726</v>
      </c>
      <c r="AP357" s="9"/>
      <c r="AQ357" s="22">
        <v>-6.7291299999999998E-2</v>
      </c>
      <c r="AR357" s="22">
        <v>26.348199999999999</v>
      </c>
      <c r="AS357" s="22">
        <v>-1.7333999999999999E-2</v>
      </c>
      <c r="AT357" s="22">
        <v>347</v>
      </c>
      <c r="AU357" s="22">
        <v>-6.7718500000000001E-2</v>
      </c>
      <c r="AV357">
        <f t="shared" si="68"/>
        <v>21.399999999999995</v>
      </c>
      <c r="AW357">
        <f t="shared" si="69"/>
        <v>-1.4400338199999996</v>
      </c>
      <c r="AX357" s="9"/>
      <c r="AY357" s="22">
        <v>1.64734</v>
      </c>
      <c r="AZ357" s="22">
        <v>29.925699999999999</v>
      </c>
      <c r="BA357" s="22">
        <v>2.7032500000000001E-2</v>
      </c>
      <c r="BB357" s="22">
        <v>347</v>
      </c>
      <c r="BC357" s="22">
        <v>1.64612</v>
      </c>
      <c r="BD357">
        <f t="shared" si="70"/>
        <v>-33.373456790123456</v>
      </c>
      <c r="BE357">
        <f t="shared" si="71"/>
        <v>-54.977430308641971</v>
      </c>
    </row>
    <row r="358" spans="6:57">
      <c r="F358" s="9"/>
      <c r="G358" s="22">
        <v>-7.2326699999999994E-2</v>
      </c>
      <c r="H358" s="22">
        <v>8.5990300000000008</v>
      </c>
      <c r="I358" s="22">
        <v>-1.7440799999999999E-2</v>
      </c>
      <c r="J358" s="22">
        <v>348</v>
      </c>
      <c r="K358" s="22">
        <v>-7.2845499999999994E-2</v>
      </c>
      <c r="L358">
        <f t="shared" si="60"/>
        <v>21.531851851851851</v>
      </c>
      <c r="M358">
        <f t="shared" si="61"/>
        <v>-1.557327789333333</v>
      </c>
      <c r="N358" s="9"/>
      <c r="O358" s="22">
        <v>1.6523699999999999</v>
      </c>
      <c r="P358" s="22">
        <v>12.176500000000001</v>
      </c>
      <c r="Q358" s="22">
        <v>2.8302000000000001E-2</v>
      </c>
      <c r="R358" s="22">
        <v>348</v>
      </c>
      <c r="S358" s="22">
        <v>1.65161</v>
      </c>
      <c r="T358">
        <f t="shared" si="62"/>
        <v>-34.940740740740736</v>
      </c>
      <c r="U358">
        <f t="shared" si="63"/>
        <v>-57.735031777777763</v>
      </c>
      <c r="X358" s="9"/>
      <c r="Y358" s="22">
        <v>-7.2326699999999994E-2</v>
      </c>
      <c r="Z358" s="22">
        <v>17.482099999999999</v>
      </c>
      <c r="AA358" s="22">
        <v>-1.7392000000000001E-2</v>
      </c>
      <c r="AB358" s="22">
        <v>348</v>
      </c>
      <c r="AC358" s="22">
        <v>-7.2692900000000005E-2</v>
      </c>
      <c r="AD358">
        <f t="shared" si="64"/>
        <v>21.471604938271604</v>
      </c>
      <c r="AE358">
        <f t="shared" si="65"/>
        <v>-1.5529703288888888</v>
      </c>
      <c r="AF358" s="9"/>
      <c r="AG358" s="22">
        <v>1.6523699999999999</v>
      </c>
      <c r="AH358" s="22">
        <v>21.0596</v>
      </c>
      <c r="AI358" s="22">
        <v>2.8561400000000001E-2</v>
      </c>
      <c r="AJ358" s="22">
        <v>348</v>
      </c>
      <c r="AK358" s="22">
        <v>1.6513100000000001</v>
      </c>
      <c r="AL358">
        <f t="shared" si="66"/>
        <v>-35.260987654320985</v>
      </c>
      <c r="AM358">
        <f t="shared" si="67"/>
        <v>-58.264198170370364</v>
      </c>
      <c r="AP358" s="9"/>
      <c r="AQ358" s="22">
        <v>-7.2326699999999994E-2</v>
      </c>
      <c r="AR358" s="22">
        <v>26.3583</v>
      </c>
      <c r="AS358" s="22">
        <v>-1.7346199999999999E-2</v>
      </c>
      <c r="AT358" s="22">
        <v>348</v>
      </c>
      <c r="AU358" s="22">
        <v>-7.2845499999999994E-2</v>
      </c>
      <c r="AV358">
        <f t="shared" si="68"/>
        <v>21.41506172839506</v>
      </c>
      <c r="AW358">
        <f t="shared" si="69"/>
        <v>-1.5488807451111108</v>
      </c>
      <c r="AX358" s="9"/>
      <c r="AY358" s="22">
        <v>1.6523699999999999</v>
      </c>
      <c r="AZ358" s="22">
        <v>29.935700000000001</v>
      </c>
      <c r="BA358" s="22">
        <v>3.1784100000000003E-2</v>
      </c>
      <c r="BB358" s="22">
        <v>348</v>
      </c>
      <c r="BC358" s="22">
        <v>1.6519200000000001</v>
      </c>
      <c r="BD358">
        <f t="shared" si="70"/>
        <v>-39.239629629629633</v>
      </c>
      <c r="BE358">
        <f t="shared" si="71"/>
        <v>-64.838386811111107</v>
      </c>
    </row>
    <row r="359" spans="6:57">
      <c r="F359" s="9"/>
      <c r="G359" s="22">
        <v>-7.7362100000000003E-2</v>
      </c>
      <c r="H359" s="22">
        <v>8.6090999999999998</v>
      </c>
      <c r="I359" s="22">
        <v>-1.7456099999999999E-2</v>
      </c>
      <c r="J359" s="22">
        <v>349</v>
      </c>
      <c r="K359" s="22">
        <v>-7.7819799999999995E-2</v>
      </c>
      <c r="L359">
        <f t="shared" si="60"/>
        <v>21.550740740740739</v>
      </c>
      <c r="M359">
        <f t="shared" si="61"/>
        <v>-1.6672105602592593</v>
      </c>
      <c r="N359" s="9"/>
      <c r="O359" s="22">
        <v>1.65741</v>
      </c>
      <c r="P359" s="22">
        <v>12.1866</v>
      </c>
      <c r="Q359" s="22">
        <v>3.3303800000000001E-2</v>
      </c>
      <c r="R359" s="22">
        <v>349</v>
      </c>
      <c r="S359" s="22">
        <v>1.65649</v>
      </c>
      <c r="T359">
        <f t="shared" si="62"/>
        <v>-41.115802469135801</v>
      </c>
      <c r="U359">
        <f t="shared" si="63"/>
        <v>-68.145742170370369</v>
      </c>
      <c r="X359" s="9"/>
      <c r="Y359" s="22">
        <v>-7.7362100000000003E-2</v>
      </c>
      <c r="Z359" s="22">
        <v>17.492100000000001</v>
      </c>
      <c r="AA359" s="22">
        <v>-1.7407200000000001E-2</v>
      </c>
      <c r="AB359" s="22">
        <v>349</v>
      </c>
      <c r="AC359" s="22">
        <v>-7.7819799999999995E-2</v>
      </c>
      <c r="AD359">
        <f t="shared" si="64"/>
        <v>21.490370370370371</v>
      </c>
      <c r="AE359">
        <f t="shared" si="65"/>
        <v>-1.6625401816296297</v>
      </c>
      <c r="AF359" s="9"/>
      <c r="AG359" s="22">
        <v>1.65741</v>
      </c>
      <c r="AH359" s="22">
        <v>21.069600000000001</v>
      </c>
      <c r="AI359" s="22">
        <v>3.2885699999999997E-2</v>
      </c>
      <c r="AJ359" s="22">
        <v>349</v>
      </c>
      <c r="AK359" s="22">
        <v>1.6561900000000001</v>
      </c>
      <c r="AL359">
        <f t="shared" si="66"/>
        <v>-40.599629629629625</v>
      </c>
      <c r="AM359">
        <f t="shared" si="67"/>
        <v>-67.290232144444445</v>
      </c>
      <c r="AP359" s="9"/>
      <c r="AQ359" s="22">
        <v>-7.7362100000000003E-2</v>
      </c>
      <c r="AR359" s="22">
        <v>26.368300000000001</v>
      </c>
      <c r="AS359" s="22">
        <v>-1.73584E-2</v>
      </c>
      <c r="AT359" s="22">
        <v>349</v>
      </c>
      <c r="AU359" s="22">
        <v>-7.7697799999999997E-2</v>
      </c>
      <c r="AV359">
        <f t="shared" si="68"/>
        <v>21.43012345679012</v>
      </c>
      <c r="AW359">
        <f t="shared" si="69"/>
        <v>-1.6578793538765431</v>
      </c>
      <c r="AX359" s="9"/>
      <c r="AY359" s="22">
        <v>1.65741</v>
      </c>
      <c r="AZ359" s="22">
        <v>29.945799999999998</v>
      </c>
      <c r="BA359" s="22">
        <v>3.6517300000000003E-2</v>
      </c>
      <c r="BB359" s="22">
        <v>349</v>
      </c>
      <c r="BC359" s="22">
        <v>1.6568000000000001</v>
      </c>
      <c r="BD359">
        <f t="shared" si="70"/>
        <v>-45.083086419753087</v>
      </c>
      <c r="BE359">
        <f t="shared" si="71"/>
        <v>-74.721158262962973</v>
      </c>
    </row>
    <row r="360" spans="6:57">
      <c r="F360" s="9"/>
      <c r="G360" s="22">
        <v>-8.2397499999999999E-2</v>
      </c>
      <c r="H360" s="22">
        <v>8.6191700000000004</v>
      </c>
      <c r="I360" s="22">
        <v>-1.7462200000000001E-2</v>
      </c>
      <c r="J360" s="22">
        <v>350</v>
      </c>
      <c r="K360" s="22">
        <v>-8.2916299999999998E-2</v>
      </c>
      <c r="L360">
        <f t="shared" si="60"/>
        <v>21.55827160493827</v>
      </c>
      <c r="M360">
        <f t="shared" si="61"/>
        <v>-1.7763476845679012</v>
      </c>
      <c r="N360" s="9"/>
      <c r="O360" s="22">
        <v>1.66245</v>
      </c>
      <c r="P360" s="22">
        <v>12.1967</v>
      </c>
      <c r="Q360" s="22">
        <v>3.7945600000000003E-2</v>
      </c>
      <c r="R360" s="22">
        <v>350</v>
      </c>
      <c r="S360" s="22">
        <v>1.66168</v>
      </c>
      <c r="T360">
        <f t="shared" si="62"/>
        <v>-46.846419753086423</v>
      </c>
      <c r="U360">
        <f t="shared" si="63"/>
        <v>-77.879830518518517</v>
      </c>
      <c r="X360" s="9"/>
      <c r="Y360" s="22">
        <v>-8.2397499999999999E-2</v>
      </c>
      <c r="Z360" s="22">
        <v>17.502199999999998</v>
      </c>
      <c r="AA360" s="22">
        <v>-1.7416399999999999E-2</v>
      </c>
      <c r="AB360" s="22">
        <v>350</v>
      </c>
      <c r="AC360" s="22">
        <v>-8.2733200000000007E-2</v>
      </c>
      <c r="AD360">
        <f t="shared" si="64"/>
        <v>21.501728395061726</v>
      </c>
      <c r="AE360">
        <f t="shared" si="65"/>
        <v>-1.7716886654320985</v>
      </c>
      <c r="AF360" s="9"/>
      <c r="AG360" s="22">
        <v>1.66245</v>
      </c>
      <c r="AH360" s="22">
        <v>21.079699999999999</v>
      </c>
      <c r="AI360" s="22">
        <v>3.7667800000000001E-2</v>
      </c>
      <c r="AJ360" s="22">
        <v>350</v>
      </c>
      <c r="AK360" s="22">
        <v>1.6619900000000001</v>
      </c>
      <c r="AL360">
        <f t="shared" si="66"/>
        <v>-46.503456790123458</v>
      </c>
      <c r="AM360">
        <f t="shared" si="67"/>
        <v>-77.30967174074074</v>
      </c>
      <c r="AP360" s="9"/>
      <c r="AQ360" s="22">
        <v>-8.2397499999999999E-2</v>
      </c>
      <c r="AR360" s="22">
        <v>26.378399999999999</v>
      </c>
      <c r="AS360" s="22">
        <v>-1.73676E-2</v>
      </c>
      <c r="AT360" s="22">
        <v>350</v>
      </c>
      <c r="AU360" s="22">
        <v>-8.2946800000000001E-2</v>
      </c>
      <c r="AV360">
        <f t="shared" si="68"/>
        <v>21.441481481481482</v>
      </c>
      <c r="AW360">
        <f t="shared" si="69"/>
        <v>-1.7667244703703704</v>
      </c>
      <c r="AX360" s="9"/>
      <c r="AY360" s="22">
        <v>1.66245</v>
      </c>
      <c r="AZ360" s="22">
        <v>29.9559</v>
      </c>
      <c r="BA360" s="22">
        <v>4.1107200000000003E-2</v>
      </c>
      <c r="BB360" s="22">
        <v>350</v>
      </c>
      <c r="BC360" s="22">
        <v>1.6619900000000001</v>
      </c>
      <c r="BD360">
        <f t="shared" si="70"/>
        <v>-50.749629629629631</v>
      </c>
      <c r="BE360">
        <f t="shared" si="71"/>
        <v>-84.368721777777779</v>
      </c>
    </row>
    <row r="361" spans="6:57">
      <c r="F361" s="9"/>
      <c r="G361" s="22">
        <v>-8.7432899999999994E-2</v>
      </c>
      <c r="H361" s="22">
        <v>8.6292500000000008</v>
      </c>
      <c r="I361" s="22">
        <v>-1.7471299999999999E-2</v>
      </c>
      <c r="J361" s="22">
        <v>351</v>
      </c>
      <c r="K361" s="22">
        <v>-8.8043200000000002E-2</v>
      </c>
      <c r="L361">
        <f t="shared" si="60"/>
        <v>21.569506172839503</v>
      </c>
      <c r="M361">
        <f t="shared" si="61"/>
        <v>-1.8858844762592588</v>
      </c>
      <c r="N361" s="9"/>
      <c r="O361" s="22">
        <v>1.6674800000000001</v>
      </c>
      <c r="P361" s="22">
        <v>12.2067</v>
      </c>
      <c r="Q361" s="22">
        <v>4.2923000000000003E-2</v>
      </c>
      <c r="R361" s="22">
        <v>351</v>
      </c>
      <c r="S361" s="22">
        <v>1.6671800000000001</v>
      </c>
      <c r="T361">
        <f t="shared" si="62"/>
        <v>-52.991358024691358</v>
      </c>
      <c r="U361">
        <f t="shared" si="63"/>
        <v>-88.362029679012352</v>
      </c>
      <c r="X361" s="9"/>
      <c r="Y361" s="22">
        <v>-8.7432899999999994E-2</v>
      </c>
      <c r="Z361" s="22">
        <v>17.5123</v>
      </c>
      <c r="AA361" s="22">
        <v>-1.7431599999999998E-2</v>
      </c>
      <c r="AB361" s="22">
        <v>351</v>
      </c>
      <c r="AC361" s="22">
        <v>-8.7982199999999997E-2</v>
      </c>
      <c r="AD361">
        <f t="shared" si="64"/>
        <v>21.52049382716049</v>
      </c>
      <c r="AE361">
        <f t="shared" si="65"/>
        <v>-1.8815991847407403</v>
      </c>
      <c r="AF361" s="9"/>
      <c r="AG361" s="22">
        <v>1.6674800000000001</v>
      </c>
      <c r="AH361" s="22">
        <v>21.0898</v>
      </c>
      <c r="AI361" s="22">
        <v>4.2379800000000002E-2</v>
      </c>
      <c r="AJ361" s="22">
        <v>351</v>
      </c>
      <c r="AK361" s="22">
        <v>1.66656</v>
      </c>
      <c r="AL361">
        <f t="shared" si="66"/>
        <v>-52.320740740740739</v>
      </c>
      <c r="AM361">
        <f t="shared" si="67"/>
        <v>-87.243788770370372</v>
      </c>
      <c r="AP361" s="9"/>
      <c r="AQ361" s="22">
        <v>-8.7432899999999994E-2</v>
      </c>
      <c r="AR361" s="22">
        <v>26.388500000000001</v>
      </c>
      <c r="AS361" s="22">
        <v>-1.7379800000000001E-2</v>
      </c>
      <c r="AT361" s="22">
        <v>351</v>
      </c>
      <c r="AU361" s="22">
        <v>-8.7890599999999999E-2</v>
      </c>
      <c r="AV361">
        <f t="shared" si="68"/>
        <v>21.456543209876543</v>
      </c>
      <c r="AW361">
        <f t="shared" si="69"/>
        <v>-1.8760077968148146</v>
      </c>
      <c r="AX361" s="9"/>
      <c r="AY361" s="22">
        <v>1.6674800000000001</v>
      </c>
      <c r="AZ361" s="22">
        <v>29.966000000000001</v>
      </c>
      <c r="BA361" s="22">
        <v>4.6276900000000003E-2</v>
      </c>
      <c r="BB361" s="22">
        <v>351</v>
      </c>
      <c r="BC361" s="22">
        <v>1.6668700000000001</v>
      </c>
      <c r="BD361">
        <f t="shared" si="70"/>
        <v>-57.131975308641977</v>
      </c>
      <c r="BE361">
        <f t="shared" si="71"/>
        <v>-95.266426187654332</v>
      </c>
    </row>
    <row r="362" spans="6:57">
      <c r="F362" s="9"/>
      <c r="G362" s="22">
        <v>-9.2468300000000003E-2</v>
      </c>
      <c r="H362" s="22">
        <v>8.6393199999999997</v>
      </c>
      <c r="I362" s="22">
        <v>-1.7486600000000001E-2</v>
      </c>
      <c r="J362" s="22">
        <v>352</v>
      </c>
      <c r="K362" s="22">
        <v>-9.2987100000000003E-2</v>
      </c>
      <c r="L362">
        <f t="shared" si="60"/>
        <v>21.588395061728395</v>
      </c>
      <c r="M362">
        <f t="shared" si="61"/>
        <v>-1.9962421910864199</v>
      </c>
      <c r="N362" s="9"/>
      <c r="O362" s="22">
        <v>1.67252</v>
      </c>
      <c r="P362" s="22">
        <v>12.216799999999999</v>
      </c>
      <c r="Q362" s="22">
        <v>4.84558E-2</v>
      </c>
      <c r="R362" s="22">
        <v>352</v>
      </c>
      <c r="S362" s="22">
        <v>1.6720600000000001</v>
      </c>
      <c r="T362">
        <f t="shared" si="62"/>
        <v>-59.821975308641974</v>
      </c>
      <c r="U362">
        <f t="shared" si="63"/>
        <v>-100.05345014320987</v>
      </c>
      <c r="X362" s="9"/>
      <c r="Y362" s="22">
        <v>-9.2468300000000003E-2</v>
      </c>
      <c r="Z362" s="22">
        <v>17.522400000000001</v>
      </c>
      <c r="AA362" s="22">
        <v>-1.7443799999999999E-2</v>
      </c>
      <c r="AB362" s="22">
        <v>352</v>
      </c>
      <c r="AC362" s="22">
        <v>-9.2987100000000003E-2</v>
      </c>
      <c r="AD362">
        <f t="shared" si="64"/>
        <v>21.535555555555554</v>
      </c>
      <c r="AE362">
        <f t="shared" si="65"/>
        <v>-1.9913562117777777</v>
      </c>
      <c r="AF362" s="9"/>
      <c r="AG362" s="22">
        <v>1.67252</v>
      </c>
      <c r="AH362" s="22">
        <v>21.099799999999998</v>
      </c>
      <c r="AI362" s="22">
        <v>4.6966599999999997E-2</v>
      </c>
      <c r="AJ362" s="22">
        <v>352</v>
      </c>
      <c r="AK362" s="22">
        <v>1.6717500000000001</v>
      </c>
      <c r="AL362">
        <f t="shared" si="66"/>
        <v>-57.983456790123448</v>
      </c>
      <c r="AM362">
        <f t="shared" si="67"/>
        <v>-96.978491150617273</v>
      </c>
      <c r="AP362" s="9"/>
      <c r="AQ362" s="22">
        <v>-9.2468300000000003E-2</v>
      </c>
      <c r="AR362" s="22">
        <v>26.398499999999999</v>
      </c>
      <c r="AS362" s="22">
        <v>-1.7392000000000001E-2</v>
      </c>
      <c r="AT362" s="22">
        <v>352</v>
      </c>
      <c r="AU362" s="22">
        <v>-9.31091E-2</v>
      </c>
      <c r="AV362">
        <f t="shared" si="68"/>
        <v>21.471604938271604</v>
      </c>
      <c r="AW362">
        <f t="shared" si="69"/>
        <v>-1.9854428069135801</v>
      </c>
      <c r="AX362" s="9"/>
      <c r="AY362" s="22">
        <v>1.67252</v>
      </c>
      <c r="AZ362" s="22">
        <v>29.975999999999999</v>
      </c>
      <c r="BA362" s="22">
        <v>5.1803599999999998E-2</v>
      </c>
      <c r="BB362" s="22">
        <v>352</v>
      </c>
      <c r="BC362" s="22">
        <v>1.6717500000000001</v>
      </c>
      <c r="BD362">
        <f t="shared" si="70"/>
        <v>-63.955061728395059</v>
      </c>
      <c r="BE362">
        <f t="shared" si="71"/>
        <v>-106.9661198419753</v>
      </c>
    </row>
    <row r="363" spans="6:57">
      <c r="F363" s="9"/>
      <c r="G363" s="22">
        <v>-9.7503699999999999E-2</v>
      </c>
      <c r="H363" s="22">
        <v>8.6493900000000004</v>
      </c>
      <c r="I363" s="22">
        <v>-1.7495699999999999E-2</v>
      </c>
      <c r="J363" s="22">
        <v>353</v>
      </c>
      <c r="K363" s="22">
        <v>-9.7930900000000001E-2</v>
      </c>
      <c r="L363">
        <f t="shared" si="60"/>
        <v>21.599629629629629</v>
      </c>
      <c r="M363">
        <f t="shared" si="61"/>
        <v>-2.1060438075185184</v>
      </c>
      <c r="N363" s="9"/>
      <c r="O363" s="22">
        <v>1.6775500000000001</v>
      </c>
      <c r="P363" s="22">
        <v>12.226900000000001</v>
      </c>
      <c r="Q363" s="22">
        <v>5.3051800000000003E-2</v>
      </c>
      <c r="R363" s="22">
        <v>353</v>
      </c>
      <c r="S363" s="22">
        <v>1.6769400000000001</v>
      </c>
      <c r="T363">
        <f t="shared" si="62"/>
        <v>-65.496049382716052</v>
      </c>
      <c r="U363">
        <f t="shared" si="63"/>
        <v>-109.87289764197531</v>
      </c>
      <c r="X363" s="9"/>
      <c r="Y363" s="22">
        <v>-9.7503699999999999E-2</v>
      </c>
      <c r="Z363" s="22">
        <v>17.532399999999999</v>
      </c>
      <c r="AA363" s="22">
        <v>-1.7456099999999999E-2</v>
      </c>
      <c r="AB363" s="22">
        <v>353</v>
      </c>
      <c r="AC363" s="22">
        <v>-9.7900399999999999E-2</v>
      </c>
      <c r="AD363">
        <f t="shared" si="64"/>
        <v>21.550740740740739</v>
      </c>
      <c r="AE363">
        <f t="shared" si="65"/>
        <v>-2.1012769599629628</v>
      </c>
      <c r="AF363" s="9"/>
      <c r="AG363" s="22">
        <v>1.6775500000000001</v>
      </c>
      <c r="AH363" s="22">
        <v>21.1099</v>
      </c>
      <c r="AI363" s="22">
        <v>5.1654100000000001E-2</v>
      </c>
      <c r="AJ363" s="22">
        <v>353</v>
      </c>
      <c r="AK363" s="22">
        <v>1.6766399999999999</v>
      </c>
      <c r="AL363">
        <f t="shared" si="66"/>
        <v>-63.770493827160493</v>
      </c>
      <c r="AM363">
        <f t="shared" si="67"/>
        <v>-106.97819191975309</v>
      </c>
      <c r="AP363" s="9"/>
      <c r="AQ363" s="22">
        <v>-9.7503699999999999E-2</v>
      </c>
      <c r="AR363" s="22">
        <v>26.4086</v>
      </c>
      <c r="AS363" s="22">
        <v>-1.7401099999999999E-2</v>
      </c>
      <c r="AT363" s="22">
        <v>353</v>
      </c>
      <c r="AU363" s="22">
        <v>-9.7839400000000007E-2</v>
      </c>
      <c r="AV363">
        <f t="shared" si="68"/>
        <v>21.482839506172837</v>
      </c>
      <c r="AW363">
        <f t="shared" si="69"/>
        <v>-2.0946563383580243</v>
      </c>
      <c r="AX363" s="9"/>
      <c r="AY363" s="22">
        <v>1.6775500000000001</v>
      </c>
      <c r="AZ363" s="22">
        <v>29.9861</v>
      </c>
      <c r="BA363" s="22">
        <v>5.6893899999999997E-2</v>
      </c>
      <c r="BB363" s="22">
        <v>353</v>
      </c>
      <c r="BC363" s="22">
        <v>1.6769400000000001</v>
      </c>
      <c r="BD363">
        <f t="shared" si="70"/>
        <v>-70.239382716049377</v>
      </c>
      <c r="BE363">
        <f t="shared" si="71"/>
        <v>-117.83007647530864</v>
      </c>
    </row>
    <row r="364" spans="6:57">
      <c r="F364" s="9"/>
      <c r="G364" s="22">
        <v>-0.10253900000000001</v>
      </c>
      <c r="H364" s="22">
        <v>8.6594599999999993</v>
      </c>
      <c r="I364" s="22">
        <v>-1.75049E-2</v>
      </c>
      <c r="J364" s="22">
        <v>354</v>
      </c>
      <c r="K364" s="22">
        <v>-0.10299700000000001</v>
      </c>
      <c r="L364">
        <f t="shared" si="60"/>
        <v>21.610987654320986</v>
      </c>
      <c r="M364">
        <f t="shared" si="61"/>
        <v>-2.2159690630864199</v>
      </c>
      <c r="N364" s="9"/>
      <c r="O364" s="22">
        <v>1.68259</v>
      </c>
      <c r="P364" s="22">
        <v>12.2369</v>
      </c>
      <c r="Q364" s="22">
        <v>5.7870499999999998E-2</v>
      </c>
      <c r="R364" s="22">
        <v>354</v>
      </c>
      <c r="S364" s="22">
        <v>1.6818200000000001</v>
      </c>
      <c r="T364">
        <f t="shared" si="62"/>
        <v>-71.445061728395061</v>
      </c>
      <c r="U364">
        <f t="shared" si="63"/>
        <v>-120.21274641358025</v>
      </c>
      <c r="X364" s="9"/>
      <c r="Y364" s="22">
        <v>-0.10253900000000001</v>
      </c>
      <c r="Z364" s="22">
        <v>17.5425</v>
      </c>
      <c r="AA364" s="22">
        <v>-1.74652E-2</v>
      </c>
      <c r="AB364" s="22">
        <v>354</v>
      </c>
      <c r="AC364" s="22">
        <v>-0.103241</v>
      </c>
      <c r="AD364">
        <f t="shared" si="64"/>
        <v>21.561975308641973</v>
      </c>
      <c r="AE364">
        <f t="shared" si="65"/>
        <v>-2.2109433861728394</v>
      </c>
      <c r="AF364" s="9"/>
      <c r="AG364" s="22">
        <v>1.68259</v>
      </c>
      <c r="AH364" s="22">
        <v>21.12</v>
      </c>
      <c r="AI364" s="22">
        <v>5.65002E-2</v>
      </c>
      <c r="AJ364" s="22">
        <v>354</v>
      </c>
      <c r="AK364" s="22">
        <v>1.6827399999999999</v>
      </c>
      <c r="AL364">
        <f t="shared" si="66"/>
        <v>-69.75333333333333</v>
      </c>
      <c r="AM364">
        <f t="shared" si="67"/>
        <v>-117.36626113333332</v>
      </c>
      <c r="AP364" s="9"/>
      <c r="AQ364" s="22">
        <v>-0.10253900000000001</v>
      </c>
      <c r="AR364" s="22">
        <v>26.418700000000001</v>
      </c>
      <c r="AS364" s="22">
        <v>-1.74133E-2</v>
      </c>
      <c r="AT364" s="22">
        <v>354</v>
      </c>
      <c r="AU364" s="22">
        <v>-0.102966</v>
      </c>
      <c r="AV364">
        <f t="shared" si="68"/>
        <v>21.497901234567898</v>
      </c>
      <c r="AW364">
        <f t="shared" si="69"/>
        <v>-2.2043732946913579</v>
      </c>
      <c r="AX364" s="9"/>
      <c r="AY364" s="22">
        <v>1.68259</v>
      </c>
      <c r="AZ364" s="22">
        <v>29.996200000000002</v>
      </c>
      <c r="BA364" s="22">
        <v>5.9906000000000001E-2</v>
      </c>
      <c r="BB364" s="22">
        <v>354</v>
      </c>
      <c r="BC364" s="22">
        <v>1.6815199999999999</v>
      </c>
      <c r="BD364">
        <f t="shared" si="70"/>
        <v>-73.95802469135802</v>
      </c>
      <c r="BE364">
        <f t="shared" si="71"/>
        <v>-124.4410327654321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N1" workbookViewId="0">
      <selection activeCell="BD11" sqref="BD11:BE169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425.38833197806014</v>
      </c>
      <c r="H2" s="2"/>
      <c r="I2" s="6" t="s">
        <v>12</v>
      </c>
      <c r="J2" s="2"/>
      <c r="K2" s="7" t="s">
        <v>13</v>
      </c>
      <c r="L2" s="3">
        <f>L4*I6*L9/100*100</f>
        <v>9.6588104819753049</v>
      </c>
      <c r="M2" s="8" t="s">
        <v>14</v>
      </c>
      <c r="N2" s="9"/>
      <c r="O2" s="2">
        <f>ABS(S7-S6)/ABS(T7-T6)*1000</f>
        <v>223.77441126313232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458.11214021739931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>
        <f>ABS(AK7-AK6)/ABS(AL7-AL6)*1000</f>
        <v>473.96419239131262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459.4551290217471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>
        <f>ABS(BC7-BC6)/ABS(BD7-BD6)*1000</f>
        <v>336.95130245903437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0.68466199999999999</v>
      </c>
      <c r="J3" s="2"/>
      <c r="K3" s="10">
        <f>INDEX(L11:L1056,MATCH(I3,K11:K1056,0))</f>
        <v>-3.6847160493827156</v>
      </c>
      <c r="L3" s="35" t="s">
        <v>16</v>
      </c>
      <c r="M3" s="11">
        <f>M9</f>
        <v>9.6588104819753067</v>
      </c>
      <c r="N3" s="9"/>
      <c r="O3" s="2" t="s">
        <v>44</v>
      </c>
      <c r="P3" s="2"/>
      <c r="Q3" s="2">
        <f>INDEX(S11:S1056,MATCH(0,T11:T1056,-1))</f>
        <v>0.70034799999999997</v>
      </c>
      <c r="R3" s="2"/>
      <c r="S3" s="10">
        <f>INDEX(T11:T1056,MATCH(Q3,S11:S1056,0))</f>
        <v>9.6412962962962947</v>
      </c>
      <c r="T3" s="35" t="s">
        <v>16</v>
      </c>
      <c r="U3" s="11">
        <f>U9</f>
        <v>10.535134243703702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35" t="s">
        <v>16</v>
      </c>
      <c r="AE3" s="11">
        <f>AE9</f>
        <v>11.274111982222221</v>
      </c>
      <c r="AF3" s="9"/>
      <c r="AG3" s="2" t="s">
        <v>44</v>
      </c>
      <c r="AH3" s="2"/>
      <c r="AI3" s="2">
        <f>INDEX(AK11:AK1056,MATCH(0,AL11:AL1056,-1))</f>
        <v>0.70016500000000004</v>
      </c>
      <c r="AJ3" s="2"/>
      <c r="AK3" s="10">
        <f>INDEX(AL11:AL1056,MATCH(AI3,AK11:AK1056,0))</f>
        <v>17.534444444444443</v>
      </c>
      <c r="AL3" s="35" t="s">
        <v>16</v>
      </c>
      <c r="AM3" s="11">
        <f>AM9</f>
        <v>12.28610467111111</v>
      </c>
      <c r="AP3" s="9"/>
      <c r="AQ3" s="2" t="s">
        <v>44</v>
      </c>
      <c r="AR3" s="2"/>
      <c r="AS3" s="2" t="e">
        <f>INDEX(AU11:AU856,MATCH(0,AV11:AV856,1))</f>
        <v>#N/A</v>
      </c>
      <c r="AT3" s="2"/>
      <c r="AU3" s="10" t="e">
        <f>INDEX(AV11:AV1056,MATCH(AS3,AU11:AU1056,0))</f>
        <v>#N/A</v>
      </c>
      <c r="AV3" s="35" t="s">
        <v>16</v>
      </c>
      <c r="AW3" s="11">
        <f>AW9</f>
        <v>10.539354984320985</v>
      </c>
      <c r="AX3" s="9"/>
      <c r="AY3" s="2" t="s">
        <v>44</v>
      </c>
      <c r="AZ3" s="2"/>
      <c r="BA3" s="2">
        <f>INDEX(BC11:BC1056,MATCH(0,BD11:BD1056,-1))</f>
        <v>0.69967699999999999</v>
      </c>
      <c r="BB3" s="2"/>
      <c r="BC3" s="10">
        <f>INDEX(BD11:BD1056,MATCH(BA3,BC11:BC1056,0))</f>
        <v>16.882592592592591</v>
      </c>
      <c r="BD3" s="35" t="s">
        <v>16</v>
      </c>
      <c r="BE3" s="11">
        <f>BE9</f>
        <v>11.829362508148147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1.1415094954657703</v>
      </c>
      <c r="H4" s="2"/>
      <c r="I4" s="2">
        <f>INDEX(K11:K1000,1+MATCH(0,L11:L856,1))</f>
        <v>0.67947400000000002</v>
      </c>
      <c r="J4" s="2"/>
      <c r="K4" s="10">
        <f>INDEX(L11:L1056,MATCH(I4,K11:K1056,0))</f>
        <v>0.86014320987654314</v>
      </c>
      <c r="L4" s="34">
        <f>M3/(I6*L9)</f>
        <v>0.74872201452574005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4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34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4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 t="e">
        <f>INDEX(AU11:AU1000,1+MATCH(0,AV11:AV856,1))</f>
        <v>#N/A</v>
      </c>
      <c r="AT4" s="2"/>
      <c r="AU4" s="10" t="e">
        <f>INDEX(AV11:AV1056,MATCH(AS4,AU11:AU1056,0))</f>
        <v>#N/A</v>
      </c>
      <c r="AV4" s="34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4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16.67543209876543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16.584938271604937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16.581234567901234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17.534444444444443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16.607530864197528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16.882592592592591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0.68045586164153449</v>
      </c>
      <c r="J6" s="34"/>
      <c r="K6" s="13">
        <f>INDEX(K11:K1056,MATCH(L6,L11:L1056,0))</f>
        <v>4.7546400000000001E-3</v>
      </c>
      <c r="L6" s="10">
        <f>INDEX(L11:L1056,MATCH(0,K11:K1056,-1))</f>
        <v>18.947283950617283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-4.1931199999999998E-3</v>
      </c>
      <c r="T6" s="10">
        <f>INDEX(T11:T1056,MATCH(0,S11:S1056,1))</f>
        <v>19.116790123456788</v>
      </c>
      <c r="U6" s="8" t="s">
        <v>22</v>
      </c>
      <c r="X6" s="9"/>
      <c r="Y6" s="2"/>
      <c r="Z6" s="2"/>
      <c r="AA6" s="34" t="e">
        <f>(AA3-AA4)/(AC3-AC4)*(-AC4)+AA4</f>
        <v>#N/A</v>
      </c>
      <c r="AB6" s="34"/>
      <c r="AC6" s="13">
        <f>INDEX(AC11:AC1056,MATCH(AD6,AD11:AD1056,0))</f>
        <v>1.1901899999999999E-4</v>
      </c>
      <c r="AD6" s="10">
        <f>INDEX(AD11:AD1056,MATCH(0,AC11:AC1056,-1))</f>
        <v>19.139382716049383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-4.7119099999999997E-3</v>
      </c>
      <c r="AL6" s="10">
        <f>INDEX(AL11:AL1056,MATCH(0,AK11:AK1056,1))</f>
        <v>19.410740740740739</v>
      </c>
      <c r="AM6" s="8" t="s">
        <v>22</v>
      </c>
      <c r="AP6" s="9"/>
      <c r="AQ6" s="2"/>
      <c r="AR6" s="2"/>
      <c r="AS6" s="34" t="e">
        <f>(AS3-AS4)/(AU3-AU4)*(-AU4)+AS4</f>
        <v>#N/A</v>
      </c>
      <c r="AT6" s="34"/>
      <c r="AU6" s="13">
        <f>INDEX(AU11:AU1056,MATCH(AV6,AV11:AV1056,0))</f>
        <v>9.1552700000000002E-5</v>
      </c>
      <c r="AV6" s="10">
        <f>INDEX(AV11:AV1056,MATCH(0,AU11:AU1056,-1))</f>
        <v>19.109259259259257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-4.8156700000000002E-3</v>
      </c>
      <c r="BD6" s="10">
        <f>INDEX(BD11:BD1056,MATCH(0,BC11:BC1056,1))</f>
        <v>19.207283950617281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-2.4414100000000001E-5</v>
      </c>
      <c r="L7" s="10">
        <f>INDEX(L11:L856,1+MATCH(0,K11:K856,-1))</f>
        <v>18.958518518518517</v>
      </c>
      <c r="M7" s="12">
        <f>INDEX(K11:K1056,MATCH(M9,M11:M1056,0))</f>
        <v>0.57852199999999998</v>
      </c>
      <c r="N7" s="9"/>
      <c r="O7" s="2"/>
      <c r="P7" s="2"/>
      <c r="Q7" s="2"/>
      <c r="R7" s="2"/>
      <c r="S7" s="13">
        <f>INDEX(S11:S1056,MATCH(T7,T11:T1056,0))</f>
        <v>6.1035199999999998E-6</v>
      </c>
      <c r="T7" s="10">
        <f>INDEX(T11:T1056,1+MATCH(0,S11:S1056,1))</f>
        <v>19.09802469135802</v>
      </c>
      <c r="U7" s="12">
        <f>INDEX(S11:S1056,MATCH(U9,U11:U1056,0))</f>
        <v>0.63473500000000005</v>
      </c>
      <c r="X7" s="9"/>
      <c r="Y7" s="2"/>
      <c r="Z7" s="2"/>
      <c r="AA7" s="2"/>
      <c r="AB7" s="2"/>
      <c r="AC7" s="13">
        <f>INDEX(AC11:AC856,MATCH(AD7,AD11:AD856,1))</f>
        <v>-5.0842300000000003E-3</v>
      </c>
      <c r="AD7" s="10">
        <f>INDEX(AD11:AD856,1+MATCH(0,AC11:AC856,-1))</f>
        <v>19.150740740740741</v>
      </c>
      <c r="AE7" s="12">
        <f>INDEX(AC11:AC1056,MATCH(AE9,AE11:AE1056,0))</f>
        <v>0.67968799999999996</v>
      </c>
      <c r="AF7" s="9"/>
      <c r="AG7" s="2"/>
      <c r="AH7" s="2"/>
      <c r="AI7" s="2"/>
      <c r="AJ7" s="2"/>
      <c r="AK7" s="13">
        <f>INDEX(AK11:AK1056,MATCH(AL7,AL11:AL1056,0))</f>
        <v>6.7138699999999996E-4</v>
      </c>
      <c r="AL7" s="10">
        <f>INDEX(AL11:AL1056,1+MATCH(0,AK11:AK1056,1))</f>
        <v>19.399382716049381</v>
      </c>
      <c r="AM7" s="12">
        <f>INDEX(AK11:AK1056,MATCH(AM9,AM11:AM1056,0))</f>
        <v>0.70016500000000004</v>
      </c>
      <c r="AP7" s="9"/>
      <c r="AQ7" s="2"/>
      <c r="AR7" s="2"/>
      <c r="AS7" s="2"/>
      <c r="AT7" s="2"/>
      <c r="AU7" s="13">
        <f>INDEX(AU11:AU856,MATCH(AV7,AV11:AV856,1))</f>
        <v>-5.1269499999999999E-3</v>
      </c>
      <c r="AV7" s="10">
        <f>INDEX(AV11:AV856,1+MATCH(0,AU11:AU856,-1))</f>
        <v>19.120617283950615</v>
      </c>
      <c r="AW7" s="12">
        <f>INDEX(AU11:AU1056,MATCH(AW9,AW11:AW1056,0))</f>
        <v>0.63281299999999996</v>
      </c>
      <c r="AX7" s="9"/>
      <c r="AY7" s="2"/>
      <c r="AZ7" s="2"/>
      <c r="BA7" s="2"/>
      <c r="BB7" s="2"/>
      <c r="BC7" s="13">
        <f>INDEX(BC11:BC1056,MATCH(BD7,BD11:BD1056,0))</f>
        <v>2.59399E-4</v>
      </c>
      <c r="BD7" s="10">
        <f>INDEX(BD11:BD1056,1+MATCH(0,BC11:BC1056,1))</f>
        <v>19.19222222222222</v>
      </c>
      <c r="BE7" s="12">
        <f>INDEX(BC11:BC1056,MATCH(BE9,BE11:BE1056,0))</f>
        <v>0.69967699999999999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18.958461126018147</v>
      </c>
      <c r="M9" s="16">
        <f>MAX(M11:M1056)</f>
        <v>9.6588104819753067</v>
      </c>
      <c r="N9" s="9"/>
      <c r="O9" s="2"/>
      <c r="P9" s="2"/>
      <c r="Q9" s="2"/>
      <c r="R9" s="2"/>
      <c r="S9" s="2"/>
      <c r="T9" s="3">
        <f>(T6-T7)/(S6-S7)*(-S7)+T7</f>
        <v>19.09805196668394</v>
      </c>
      <c r="U9" s="16">
        <f>MAX(U11:U1056)</f>
        <v>10.535134243703702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19.13964251924941</v>
      </c>
      <c r="AE9" s="16">
        <f>MAX(AE11:AE1056)</f>
        <v>11.274111982222221</v>
      </c>
      <c r="AF9" s="9"/>
      <c r="AG9" s="2"/>
      <c r="AH9" s="2"/>
      <c r="AI9" s="2"/>
      <c r="AJ9" s="2"/>
      <c r="AK9" s="2"/>
      <c r="AL9" s="3">
        <f>(AL6-AL7)/(AK6-AK7)*(-AK7)+AL7</f>
        <v>19.400799251329424</v>
      </c>
      <c r="AM9" s="16">
        <f>MAX(AM11:AM1056)</f>
        <v>12.28610467111111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19.109458522896155</v>
      </c>
      <c r="AW9" s="16">
        <f>MAX(AW11:AW1056)</f>
        <v>10.539354984320985</v>
      </c>
      <c r="AX9" s="9"/>
      <c r="AY9" s="2"/>
      <c r="AZ9" s="2"/>
      <c r="BA9" s="2"/>
      <c r="BB9" s="2"/>
      <c r="BC9" s="2"/>
      <c r="BD9" s="3">
        <f>(BD6-BD7)/(BC6-BC7)*(-BC7)+BD7</f>
        <v>19.192992063436979</v>
      </c>
      <c r="BE9" s="16">
        <f>MAX(BE11:BE1056)</f>
        <v>11.829362508148147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0.68045586164153449</v>
      </c>
      <c r="B11" s="19">
        <f>IFERROR(L9,0)</f>
        <v>18.958461126018147</v>
      </c>
      <c r="C11" s="20">
        <f>IFERROR(L4,0)</f>
        <v>0.74872201452574005</v>
      </c>
      <c r="D11" s="21">
        <f>IFERROR(L2,0)</f>
        <v>9.6588104819753049</v>
      </c>
      <c r="E11" s="21">
        <f>IFERROR(I9,0)</f>
        <v>0</v>
      </c>
      <c r="F11" s="9"/>
      <c r="G11" s="22">
        <v>0.69503800000000004</v>
      </c>
      <c r="H11" s="22">
        <v>4.9713900000000004</v>
      </c>
      <c r="I11" s="22">
        <v>1.19781E-2</v>
      </c>
      <c r="J11" s="22">
        <v>1</v>
      </c>
      <c r="K11" s="22">
        <v>0.694824</v>
      </c>
      <c r="L11">
        <f>-I11/$F$2*1000</f>
        <v>-14.787777777777777</v>
      </c>
      <c r="M11">
        <f>L11*G11</f>
        <v>-10.278067491111111</v>
      </c>
      <c r="N11" s="9"/>
      <c r="O11" s="22">
        <v>-9.49097E-2</v>
      </c>
      <c r="P11" s="22">
        <v>6.5850400000000002</v>
      </c>
      <c r="Q11" s="22">
        <v>-1.56799E-2</v>
      </c>
      <c r="R11" s="22">
        <v>1</v>
      </c>
      <c r="S11" s="22">
        <v>-9.5886200000000005E-2</v>
      </c>
      <c r="T11">
        <f>-Q11/$F$2*1000</f>
        <v>19.357901234567901</v>
      </c>
      <c r="U11">
        <f>T11*O11</f>
        <v>-1.8372525988024691</v>
      </c>
      <c r="V11" s="23"/>
      <c r="W11" s="24"/>
      <c r="X11" s="9"/>
      <c r="Y11" s="22">
        <v>0.69503800000000004</v>
      </c>
      <c r="Z11" s="22">
        <v>9.8755500000000005</v>
      </c>
      <c r="AA11" s="22">
        <v>-1.30615E-2</v>
      </c>
      <c r="AB11" s="22">
        <v>1</v>
      </c>
      <c r="AC11" s="22">
        <v>0.69406100000000004</v>
      </c>
      <c r="AD11">
        <f>-AA11/$F$2*1000</f>
        <v>16.125308641975309</v>
      </c>
      <c r="AE11">
        <f>AD11*Y11</f>
        <v>11.207702267901235</v>
      </c>
      <c r="AF11" s="9"/>
      <c r="AG11" s="22">
        <v>-9.49097E-2</v>
      </c>
      <c r="AH11" s="22">
        <v>11.4892</v>
      </c>
      <c r="AI11" s="22">
        <v>-1.5914899999999999E-2</v>
      </c>
      <c r="AJ11" s="22">
        <v>1</v>
      </c>
      <c r="AK11" s="22">
        <v>-9.5275899999999997E-2</v>
      </c>
      <c r="AL11">
        <f>-AI11/$F$2*1000</f>
        <v>19.648024691358025</v>
      </c>
      <c r="AM11">
        <f>AL11*AG11</f>
        <v>-1.8647881290493826</v>
      </c>
      <c r="AP11" s="9"/>
      <c r="AQ11" s="22">
        <v>0.69503800000000004</v>
      </c>
      <c r="AR11" s="22">
        <v>14.7637</v>
      </c>
      <c r="AS11" s="22">
        <v>-1.09131E-2</v>
      </c>
      <c r="AT11" s="22">
        <v>1</v>
      </c>
      <c r="AU11" s="22">
        <v>0.695129</v>
      </c>
      <c r="AV11">
        <f>-AS11/$F$2*1000</f>
        <v>13.472962962962963</v>
      </c>
      <c r="AW11">
        <f>AV11*AQ11</f>
        <v>9.3642212318518521</v>
      </c>
      <c r="AX11" s="9"/>
      <c r="AY11" s="22">
        <v>-9.49097E-2</v>
      </c>
      <c r="AZ11" s="22">
        <v>16.377400000000002</v>
      </c>
      <c r="BA11" s="22">
        <v>-1.57074E-2</v>
      </c>
      <c r="BB11" s="22">
        <v>1</v>
      </c>
      <c r="BC11" s="22">
        <v>-9.5031699999999997E-2</v>
      </c>
      <c r="BD11">
        <f>-BA11/$F$2*1000</f>
        <v>19.39185185185185</v>
      </c>
      <c r="BE11">
        <f>BD11*AY11</f>
        <v>-1.8404748417037036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19.09805196668394</v>
      </c>
      <c r="C12" s="20">
        <f>IFERROR(T4,0)</f>
        <v>0</v>
      </c>
      <c r="D12" s="21">
        <f>IFERROR(T2,0)</f>
        <v>0</v>
      </c>
      <c r="E12" s="21"/>
      <c r="F12" s="9"/>
      <c r="G12" s="22">
        <v>0.690002</v>
      </c>
      <c r="H12" s="22">
        <v>4.9814600000000002</v>
      </c>
      <c r="I12" s="22">
        <v>7.22961E-3</v>
      </c>
      <c r="J12" s="22">
        <v>2</v>
      </c>
      <c r="K12" s="22">
        <v>0.68994100000000003</v>
      </c>
      <c r="L12">
        <f t="shared" ref="L12:L75" si="0">-I12/$F$2*1000</f>
        <v>-8.9254444444444445</v>
      </c>
      <c r="M12">
        <f t="shared" ref="M12:M75" si="1">L12*G12</f>
        <v>-6.1585745175555555</v>
      </c>
      <c r="N12" s="9"/>
      <c r="O12" s="22">
        <v>-8.9874300000000004E-2</v>
      </c>
      <c r="P12" s="22">
        <v>6.59511</v>
      </c>
      <c r="Q12" s="22">
        <v>-1.5655499999999999E-2</v>
      </c>
      <c r="R12" s="22">
        <v>2</v>
      </c>
      <c r="S12" s="22">
        <v>-8.9599600000000001E-2</v>
      </c>
      <c r="T12">
        <f t="shared" ref="T12:T75" si="2">-Q12/$F$2*1000</f>
        <v>19.327777777777776</v>
      </c>
      <c r="U12">
        <f t="shared" ref="U12:U75" si="3">T12*O12</f>
        <v>-1.7370704983333332</v>
      </c>
      <c r="V12" s="23"/>
      <c r="W12" s="24"/>
      <c r="X12" s="9"/>
      <c r="Y12" s="22">
        <v>0.690002</v>
      </c>
      <c r="Z12" s="22">
        <v>9.8856199999999994</v>
      </c>
      <c r="AA12" s="22">
        <v>-1.31714E-2</v>
      </c>
      <c r="AB12" s="22">
        <v>2</v>
      </c>
      <c r="AC12" s="22">
        <v>0.68988000000000005</v>
      </c>
      <c r="AD12">
        <f t="shared" ref="AD12:AD75" si="4">-AA12/$F$2*1000</f>
        <v>16.260987654320989</v>
      </c>
      <c r="AE12">
        <f t="shared" ref="AE12:AE75" si="5">AD12*Y12</f>
        <v>11.220114003456791</v>
      </c>
      <c r="AF12" s="9"/>
      <c r="AG12" s="22">
        <v>-8.9874300000000004E-2</v>
      </c>
      <c r="AH12" s="22">
        <v>11.4993</v>
      </c>
      <c r="AI12" s="22">
        <v>-1.5902699999999999E-2</v>
      </c>
      <c r="AJ12" s="22">
        <v>2</v>
      </c>
      <c r="AK12" s="22">
        <v>-9.0545700000000007E-2</v>
      </c>
      <c r="AL12">
        <f t="shared" ref="AL12:AL75" si="6">-AI12/$F$2*1000</f>
        <v>19.63296296296296</v>
      </c>
      <c r="AM12">
        <f t="shared" ref="AM12:AM75" si="7">AL12*AG12</f>
        <v>-1.764498803222222</v>
      </c>
      <c r="AP12" s="9"/>
      <c r="AQ12" s="22">
        <v>0.690002</v>
      </c>
      <c r="AR12" s="22">
        <v>14.7738</v>
      </c>
      <c r="AS12" s="22">
        <v>-1.13892E-2</v>
      </c>
      <c r="AT12" s="22">
        <v>2</v>
      </c>
      <c r="AU12" s="22">
        <v>0.69039899999999998</v>
      </c>
      <c r="AV12">
        <f t="shared" ref="AV12:AV75" si="8">-AS12/$F$2*1000</f>
        <v>14.060740740740741</v>
      </c>
      <c r="AW12">
        <f t="shared" ref="AW12:AW75" si="9">AV12*AQ12</f>
        <v>9.7019392325925935</v>
      </c>
      <c r="AX12" s="9"/>
      <c r="AY12" s="22">
        <v>-8.9874300000000004E-2</v>
      </c>
      <c r="AZ12" s="22">
        <v>16.3874</v>
      </c>
      <c r="BA12" s="22">
        <v>-1.5695199999999999E-2</v>
      </c>
      <c r="BB12" s="22">
        <v>2</v>
      </c>
      <c r="BC12" s="22">
        <v>-8.9325000000000002E-2</v>
      </c>
      <c r="BD12">
        <f t="shared" ref="BD12:BD75" si="10">-BA12/$F$2*1000</f>
        <v>19.376790123456789</v>
      </c>
      <c r="BE12">
        <f t="shared" ref="BE12:BE75" si="11">BD12*AY12</f>
        <v>-1.7414754485925925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19.13964251924941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0.68496699999999999</v>
      </c>
      <c r="H13" s="22">
        <v>4.99153</v>
      </c>
      <c r="I13" s="22">
        <v>2.9846199999999999E-3</v>
      </c>
      <c r="J13" s="22">
        <v>3</v>
      </c>
      <c r="K13" s="22">
        <v>0.68466199999999999</v>
      </c>
      <c r="L13">
        <f t="shared" si="0"/>
        <v>-3.6847160493827156</v>
      </c>
      <c r="M13">
        <f t="shared" si="1"/>
        <v>-2.5239088981975306</v>
      </c>
      <c r="N13" s="9"/>
      <c r="O13" s="22">
        <v>-8.4838899999999995E-2</v>
      </c>
      <c r="P13" s="22">
        <v>6.6051799999999998</v>
      </c>
      <c r="Q13" s="22">
        <v>-1.5643299999999999E-2</v>
      </c>
      <c r="R13" s="22">
        <v>3</v>
      </c>
      <c r="S13" s="22">
        <v>-8.4838899999999995E-2</v>
      </c>
      <c r="T13">
        <f t="shared" si="2"/>
        <v>19.312716049382715</v>
      </c>
      <c r="U13">
        <f t="shared" si="3"/>
        <v>-1.6384695856419751</v>
      </c>
      <c r="V13" s="23"/>
      <c r="W13" s="24"/>
      <c r="X13" s="9"/>
      <c r="Y13" s="22">
        <v>0.68496699999999999</v>
      </c>
      <c r="Z13" s="22">
        <v>9.8956900000000001</v>
      </c>
      <c r="AA13" s="22">
        <v>-1.3235500000000001E-2</v>
      </c>
      <c r="AB13" s="22">
        <v>3</v>
      </c>
      <c r="AC13" s="22">
        <v>0.68472299999999997</v>
      </c>
      <c r="AD13">
        <f t="shared" si="4"/>
        <v>16.340123456790124</v>
      </c>
      <c r="AE13">
        <f t="shared" si="5"/>
        <v>11.192445343827162</v>
      </c>
      <c r="AF13" s="9"/>
      <c r="AG13" s="22">
        <v>-8.4838899999999995E-2</v>
      </c>
      <c r="AH13" s="22">
        <v>11.5093</v>
      </c>
      <c r="AI13" s="22">
        <v>-1.5890499999999998E-2</v>
      </c>
      <c r="AJ13" s="22">
        <v>3</v>
      </c>
      <c r="AK13" s="22">
        <v>-8.5449200000000003E-2</v>
      </c>
      <c r="AL13">
        <f t="shared" si="6"/>
        <v>19.617901234567896</v>
      </c>
      <c r="AM13">
        <f t="shared" si="7"/>
        <v>-1.664361161049382</v>
      </c>
      <c r="AP13" s="9"/>
      <c r="AQ13" s="22">
        <v>0.68496699999999999</v>
      </c>
      <c r="AR13" s="22">
        <v>14.783899999999999</v>
      </c>
      <c r="AS13" s="22">
        <v>-1.1755399999999999E-2</v>
      </c>
      <c r="AT13" s="22">
        <v>3</v>
      </c>
      <c r="AU13" s="22">
        <v>0.68569899999999995</v>
      </c>
      <c r="AV13">
        <f t="shared" si="8"/>
        <v>14.512839506172838</v>
      </c>
      <c r="AW13">
        <f t="shared" si="9"/>
        <v>9.9408161380246902</v>
      </c>
      <c r="AX13" s="9"/>
      <c r="AY13" s="22">
        <v>-8.4838899999999995E-2</v>
      </c>
      <c r="AZ13" s="22">
        <v>16.397500000000001</v>
      </c>
      <c r="BA13" s="22">
        <v>-1.5685999999999999E-2</v>
      </c>
      <c r="BB13" s="22">
        <v>3</v>
      </c>
      <c r="BC13" s="22">
        <v>-8.5235599999999995E-2</v>
      </c>
      <c r="BD13">
        <f t="shared" si="10"/>
        <v>19.365432098765428</v>
      </c>
      <c r="BE13">
        <f t="shared" si="11"/>
        <v>-1.6429419572839501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19.400799251329424</v>
      </c>
      <c r="C14" s="20">
        <f>IFERROR(AL4,0)</f>
        <v>0</v>
      </c>
      <c r="D14" s="21">
        <f>IFERROR(AL2,0)</f>
        <v>0</v>
      </c>
      <c r="E14" s="21"/>
      <c r="F14" s="9"/>
      <c r="G14" s="22">
        <v>0.67993199999999998</v>
      </c>
      <c r="H14" s="22">
        <v>5.0015999999999998</v>
      </c>
      <c r="I14" s="22">
        <v>-6.96716E-4</v>
      </c>
      <c r="J14" s="22">
        <v>4</v>
      </c>
      <c r="K14" s="22">
        <v>0.67947400000000002</v>
      </c>
      <c r="L14">
        <f t="shared" si="0"/>
        <v>0.86014320987654314</v>
      </c>
      <c r="M14">
        <f t="shared" si="1"/>
        <v>0.58483889297777769</v>
      </c>
      <c r="N14" s="9"/>
      <c r="O14" s="22">
        <v>-7.9803499999999999E-2</v>
      </c>
      <c r="P14" s="22">
        <v>6.6152499999999996</v>
      </c>
      <c r="Q14" s="22">
        <v>-1.5634200000000001E-2</v>
      </c>
      <c r="R14" s="22">
        <v>4</v>
      </c>
      <c r="S14" s="22">
        <v>-7.9559299999999999E-2</v>
      </c>
      <c r="T14">
        <f t="shared" si="2"/>
        <v>19.301481481481481</v>
      </c>
      <c r="U14">
        <f t="shared" si="3"/>
        <v>-1.5403257774074073</v>
      </c>
      <c r="V14" s="23"/>
      <c r="W14" s="24"/>
      <c r="X14" s="9"/>
      <c r="Y14" s="22">
        <v>0.67993199999999998</v>
      </c>
      <c r="Z14" s="22">
        <v>9.9057600000000008</v>
      </c>
      <c r="AA14" s="22">
        <v>-1.34308E-2</v>
      </c>
      <c r="AB14" s="22">
        <v>4</v>
      </c>
      <c r="AC14" s="22">
        <v>0.67968799999999996</v>
      </c>
      <c r="AD14">
        <f t="shared" si="4"/>
        <v>16.581234567901234</v>
      </c>
      <c r="AE14">
        <f t="shared" si="5"/>
        <v>11.274111982222221</v>
      </c>
      <c r="AF14" s="9"/>
      <c r="AG14" s="22">
        <v>-7.9803499999999999E-2</v>
      </c>
      <c r="AH14" s="22">
        <v>11.519399999999999</v>
      </c>
      <c r="AI14" s="22">
        <v>-1.5878300000000001E-2</v>
      </c>
      <c r="AJ14" s="22">
        <v>4</v>
      </c>
      <c r="AK14" s="22">
        <v>-8.0444299999999996E-2</v>
      </c>
      <c r="AL14">
        <f t="shared" si="6"/>
        <v>19.602839506172842</v>
      </c>
      <c r="AM14">
        <f t="shared" si="7"/>
        <v>-1.5643752025308644</v>
      </c>
      <c r="AP14" s="9"/>
      <c r="AQ14" s="22">
        <v>0.67993199999999998</v>
      </c>
      <c r="AR14" s="22">
        <v>14.793900000000001</v>
      </c>
      <c r="AS14" s="22">
        <v>-1.2057500000000001E-2</v>
      </c>
      <c r="AT14" s="22">
        <v>4</v>
      </c>
      <c r="AU14" s="22">
        <v>0.67916900000000002</v>
      </c>
      <c r="AV14">
        <f t="shared" si="8"/>
        <v>14.885802469135802</v>
      </c>
      <c r="AW14">
        <f t="shared" si="9"/>
        <v>10.121333444444444</v>
      </c>
      <c r="AX14" s="9"/>
      <c r="AY14" s="22">
        <v>-7.9803499999999999E-2</v>
      </c>
      <c r="AZ14" s="22">
        <v>16.407599999999999</v>
      </c>
      <c r="BA14" s="22">
        <v>-1.5673800000000002E-2</v>
      </c>
      <c r="BB14" s="22">
        <v>4</v>
      </c>
      <c r="BC14" s="22">
        <v>-7.9589800000000002E-2</v>
      </c>
      <c r="BD14">
        <f t="shared" si="10"/>
        <v>19.350370370370371</v>
      </c>
      <c r="BE14">
        <f t="shared" si="11"/>
        <v>-1.5442272818518519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19.109458522896155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0.67489600000000005</v>
      </c>
      <c r="H15" s="22">
        <v>5.0116699999999996</v>
      </c>
      <c r="I15" s="22">
        <v>-3.6108400000000001E-3</v>
      </c>
      <c r="J15" s="22">
        <v>5</v>
      </c>
      <c r="K15" s="22">
        <v>0.67434700000000003</v>
      </c>
      <c r="L15">
        <f t="shared" si="0"/>
        <v>4.4578271604938271</v>
      </c>
      <c r="M15">
        <f t="shared" si="1"/>
        <v>3.008569719308642</v>
      </c>
      <c r="N15" s="9"/>
      <c r="O15" s="22">
        <v>-7.4768100000000004E-2</v>
      </c>
      <c r="P15" s="22">
        <v>6.6253200000000003</v>
      </c>
      <c r="Q15" s="22">
        <v>-1.5621899999999999E-2</v>
      </c>
      <c r="R15" s="22">
        <v>5</v>
      </c>
      <c r="S15" s="22">
        <v>-7.4859599999999998E-2</v>
      </c>
      <c r="T15">
        <f t="shared" si="2"/>
        <v>19.286296296296296</v>
      </c>
      <c r="U15">
        <f t="shared" si="3"/>
        <v>-1.4419997301111112</v>
      </c>
      <c r="V15" s="23"/>
      <c r="W15" s="24"/>
      <c r="X15" s="9"/>
      <c r="Y15" s="22">
        <v>0.67489600000000005</v>
      </c>
      <c r="Z15" s="22">
        <v>9.9158299999999997</v>
      </c>
      <c r="AA15" s="22">
        <v>-1.24939E-2</v>
      </c>
      <c r="AB15" s="22">
        <v>5</v>
      </c>
      <c r="AC15" s="22">
        <v>0.67504900000000001</v>
      </c>
      <c r="AD15">
        <f t="shared" si="4"/>
        <v>15.424567901234568</v>
      </c>
      <c r="AE15">
        <f t="shared" si="5"/>
        <v>10.409979178271605</v>
      </c>
      <c r="AF15" s="9"/>
      <c r="AG15" s="22">
        <v>-7.4768100000000004E-2</v>
      </c>
      <c r="AH15" s="22">
        <v>11.529500000000001</v>
      </c>
      <c r="AI15" s="22">
        <v>-1.5866100000000001E-2</v>
      </c>
      <c r="AJ15" s="22">
        <v>5</v>
      </c>
      <c r="AK15" s="22">
        <v>-7.5134300000000001E-2</v>
      </c>
      <c r="AL15">
        <f t="shared" si="6"/>
        <v>19.587777777777777</v>
      </c>
      <c r="AM15">
        <f t="shared" si="7"/>
        <v>-1.4645409276666668</v>
      </c>
      <c r="AP15" s="9"/>
      <c r="AQ15" s="22">
        <v>0.67489600000000005</v>
      </c>
      <c r="AR15" s="22">
        <v>14.804</v>
      </c>
      <c r="AS15" s="22">
        <v>-1.21674E-2</v>
      </c>
      <c r="AT15" s="22">
        <v>5</v>
      </c>
      <c r="AU15" s="22">
        <v>0.67446899999999999</v>
      </c>
      <c r="AV15">
        <f t="shared" si="8"/>
        <v>15.021481481481482</v>
      </c>
      <c r="AW15">
        <f t="shared" si="9"/>
        <v>10.137937765925926</v>
      </c>
      <c r="AX15" s="9"/>
      <c r="AY15" s="22">
        <v>-7.4768100000000004E-2</v>
      </c>
      <c r="AZ15" s="22">
        <v>16.4176</v>
      </c>
      <c r="BA15" s="22">
        <v>-1.5661600000000001E-2</v>
      </c>
      <c r="BB15" s="22">
        <v>5</v>
      </c>
      <c r="BC15" s="22">
        <v>-7.5073200000000007E-2</v>
      </c>
      <c r="BD15">
        <f t="shared" si="10"/>
        <v>19.33530864197531</v>
      </c>
      <c r="BE15">
        <f t="shared" si="11"/>
        <v>-1.4456642900740742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19.192992063436979</v>
      </c>
      <c r="C16" s="20">
        <f>IFERROR(BD4,0)</f>
        <v>0</v>
      </c>
      <c r="D16" s="21">
        <f>IFERROR(BD2,0)</f>
        <v>0</v>
      </c>
      <c r="E16" s="21"/>
      <c r="F16" s="9"/>
      <c r="G16" s="22">
        <v>0.66986100000000004</v>
      </c>
      <c r="H16" s="22">
        <v>5.0217499999999999</v>
      </c>
      <c r="I16" s="22">
        <v>-5.5877699999999997E-3</v>
      </c>
      <c r="J16" s="22">
        <v>6</v>
      </c>
      <c r="K16" s="22">
        <v>0.66925000000000001</v>
      </c>
      <c r="L16">
        <f t="shared" si="0"/>
        <v>6.8984814814814799</v>
      </c>
      <c r="M16">
        <f t="shared" si="1"/>
        <v>4.6210237036666655</v>
      </c>
      <c r="N16" s="9"/>
      <c r="O16" s="22">
        <v>-6.9732699999999995E-2</v>
      </c>
      <c r="P16" s="22">
        <v>6.6353900000000001</v>
      </c>
      <c r="Q16" s="22">
        <v>-1.56128E-2</v>
      </c>
      <c r="R16" s="22">
        <v>6</v>
      </c>
      <c r="S16" s="22">
        <v>-7.03125E-2</v>
      </c>
      <c r="T16">
        <f t="shared" si="2"/>
        <v>19.275061728395059</v>
      </c>
      <c r="U16">
        <f t="shared" si="3"/>
        <v>-1.344102096987654</v>
      </c>
      <c r="V16" s="23"/>
      <c r="W16" s="24"/>
      <c r="X16" s="9"/>
      <c r="Y16" s="22">
        <v>0.66986100000000004</v>
      </c>
      <c r="Z16" s="22">
        <v>9.9259000000000004</v>
      </c>
      <c r="AA16" s="22">
        <v>-1.2908899999999999E-2</v>
      </c>
      <c r="AB16" s="22">
        <v>6</v>
      </c>
      <c r="AC16" s="22">
        <v>0.66861000000000004</v>
      </c>
      <c r="AD16">
        <f t="shared" si="4"/>
        <v>15.936913580246911</v>
      </c>
      <c r="AE16">
        <f t="shared" si="5"/>
        <v>10.675516867777777</v>
      </c>
      <c r="AF16" s="9"/>
      <c r="AG16" s="22">
        <v>-6.9732699999999995E-2</v>
      </c>
      <c r="AH16" s="22">
        <v>11.5395</v>
      </c>
      <c r="AI16" s="22">
        <v>-1.5853900000000001E-2</v>
      </c>
      <c r="AJ16" s="22">
        <v>6</v>
      </c>
      <c r="AK16" s="22">
        <v>-7.0281999999999997E-2</v>
      </c>
      <c r="AL16">
        <f t="shared" si="6"/>
        <v>19.572716049382716</v>
      </c>
      <c r="AM16">
        <f t="shared" si="7"/>
        <v>-1.3648583364567901</v>
      </c>
      <c r="AP16" s="9"/>
      <c r="AQ16" s="22">
        <v>0.66986100000000004</v>
      </c>
      <c r="AR16" s="22">
        <v>14.8141</v>
      </c>
      <c r="AS16" s="22">
        <v>-1.2390099999999999E-2</v>
      </c>
      <c r="AT16" s="22">
        <v>6</v>
      </c>
      <c r="AU16" s="22">
        <v>0.66784699999999997</v>
      </c>
      <c r="AV16">
        <f t="shared" si="8"/>
        <v>15.296419753086418</v>
      </c>
      <c r="AW16">
        <f t="shared" si="9"/>
        <v>10.246475032222222</v>
      </c>
      <c r="AX16" s="9"/>
      <c r="AY16" s="22">
        <v>-6.9732699999999995E-2</v>
      </c>
      <c r="AZ16" s="22">
        <v>16.427700000000002</v>
      </c>
      <c r="BA16" s="22">
        <v>-1.5655499999999999E-2</v>
      </c>
      <c r="BB16" s="22">
        <v>6</v>
      </c>
      <c r="BC16" s="22">
        <v>-7.0739700000000003E-2</v>
      </c>
      <c r="BD16">
        <f t="shared" si="10"/>
        <v>19.327777777777776</v>
      </c>
      <c r="BE16">
        <f t="shared" si="11"/>
        <v>-1.3477781294444442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0.664825</v>
      </c>
      <c r="H17" s="22">
        <v>5.0318199999999997</v>
      </c>
      <c r="I17" s="22">
        <v>-7.0922900000000002E-3</v>
      </c>
      <c r="J17" s="22">
        <v>7</v>
      </c>
      <c r="K17" s="22">
        <v>0.66433699999999996</v>
      </c>
      <c r="L17">
        <f t="shared" si="0"/>
        <v>8.7559135802469132</v>
      </c>
      <c r="M17">
        <f t="shared" si="1"/>
        <v>5.8211502459876545</v>
      </c>
      <c r="N17" s="9"/>
      <c r="O17" s="22">
        <v>-6.4697299999999999E-2</v>
      </c>
      <c r="P17" s="22">
        <v>6.6454599999999999</v>
      </c>
      <c r="Q17" s="22">
        <v>-1.56036E-2</v>
      </c>
      <c r="R17" s="22">
        <v>7</v>
      </c>
      <c r="S17" s="22">
        <v>-6.5429699999999993E-2</v>
      </c>
      <c r="T17">
        <f t="shared" si="2"/>
        <v>19.263703703703705</v>
      </c>
      <c r="U17">
        <f t="shared" si="3"/>
        <v>-1.2463096176296298</v>
      </c>
      <c r="V17" s="23"/>
      <c r="W17" s="24"/>
      <c r="X17" s="9"/>
      <c r="Y17" s="22">
        <v>0.664825</v>
      </c>
      <c r="Z17" s="22">
        <v>9.9359699999999993</v>
      </c>
      <c r="AA17" s="22">
        <v>-1.31378E-2</v>
      </c>
      <c r="AB17" s="22">
        <v>7</v>
      </c>
      <c r="AC17" s="22">
        <v>0.66369599999999995</v>
      </c>
      <c r="AD17">
        <f t="shared" si="4"/>
        <v>16.219506172839505</v>
      </c>
      <c r="AE17">
        <f t="shared" si="5"/>
        <v>10.783133191358024</v>
      </c>
      <c r="AF17" s="9"/>
      <c r="AG17" s="22">
        <v>-6.4697299999999999E-2</v>
      </c>
      <c r="AH17" s="22">
        <v>11.5496</v>
      </c>
      <c r="AI17" s="22">
        <v>-1.58447E-2</v>
      </c>
      <c r="AJ17" s="22">
        <v>7</v>
      </c>
      <c r="AK17" s="22">
        <v>-6.4880400000000005E-2</v>
      </c>
      <c r="AL17">
        <f t="shared" si="6"/>
        <v>19.561358024691359</v>
      </c>
      <c r="AM17">
        <f t="shared" si="7"/>
        <v>-1.2655670485308643</v>
      </c>
      <c r="AP17" s="9"/>
      <c r="AQ17" s="22">
        <v>0.664825</v>
      </c>
      <c r="AR17" s="22">
        <v>14.8241</v>
      </c>
      <c r="AS17" s="22">
        <v>-1.2616E-2</v>
      </c>
      <c r="AT17" s="22">
        <v>7</v>
      </c>
      <c r="AU17" s="22">
        <v>0.66384900000000002</v>
      </c>
      <c r="AV17">
        <f t="shared" si="8"/>
        <v>15.575308641975308</v>
      </c>
      <c r="AW17">
        <f t="shared" si="9"/>
        <v>10.354854567901235</v>
      </c>
      <c r="AX17" s="9"/>
      <c r="AY17" s="22">
        <v>-6.4697299999999999E-2</v>
      </c>
      <c r="AZ17" s="22">
        <v>16.437799999999999</v>
      </c>
      <c r="BA17" s="22">
        <v>-1.5649400000000001E-2</v>
      </c>
      <c r="BB17" s="22">
        <v>7</v>
      </c>
      <c r="BC17" s="22">
        <v>-6.3812300000000002E-2</v>
      </c>
      <c r="BD17">
        <f t="shared" si="10"/>
        <v>19.320246913580245</v>
      </c>
      <c r="BE17">
        <f t="shared" si="11"/>
        <v>-1.2499678106419752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0.65978999999999999</v>
      </c>
      <c r="H18" s="22">
        <v>5.0418900000000004</v>
      </c>
      <c r="I18" s="22">
        <v>-8.2092299999999997E-3</v>
      </c>
      <c r="J18" s="22">
        <v>8</v>
      </c>
      <c r="K18" s="22">
        <v>0.65917999999999999</v>
      </c>
      <c r="L18">
        <f t="shared" si="0"/>
        <v>10.134851851851851</v>
      </c>
      <c r="M18">
        <f t="shared" si="1"/>
        <v>6.6868739033333329</v>
      </c>
      <c r="N18" s="9"/>
      <c r="O18" s="22">
        <v>-5.9661899999999997E-2</v>
      </c>
      <c r="P18" s="22">
        <v>6.6555299999999997</v>
      </c>
      <c r="Q18" s="22">
        <v>-1.5594500000000001E-2</v>
      </c>
      <c r="R18" s="22">
        <v>8</v>
      </c>
      <c r="S18" s="22">
        <v>-5.9875499999999998E-2</v>
      </c>
      <c r="T18">
        <f t="shared" si="2"/>
        <v>19.252469135802468</v>
      </c>
      <c r="U18">
        <f t="shared" si="3"/>
        <v>-1.1486388883333332</v>
      </c>
      <c r="V18" s="23"/>
      <c r="W18" s="24"/>
      <c r="X18" s="9"/>
      <c r="Y18" s="22">
        <v>0.65978999999999999</v>
      </c>
      <c r="Z18" s="22">
        <v>9.9460499999999996</v>
      </c>
      <c r="AA18" s="22">
        <v>-1.3241599999999999E-2</v>
      </c>
      <c r="AB18" s="22">
        <v>8</v>
      </c>
      <c r="AC18" s="22">
        <v>0.65881299999999998</v>
      </c>
      <c r="AD18">
        <f t="shared" si="4"/>
        <v>16.347654320987651</v>
      </c>
      <c r="AE18">
        <f t="shared" si="5"/>
        <v>10.786018844444442</v>
      </c>
      <c r="AF18" s="9"/>
      <c r="AG18" s="22">
        <v>-5.9661899999999997E-2</v>
      </c>
      <c r="AH18" s="22">
        <v>11.559699999999999</v>
      </c>
      <c r="AI18" s="22">
        <v>-1.5832499999999999E-2</v>
      </c>
      <c r="AJ18" s="22">
        <v>8</v>
      </c>
      <c r="AK18" s="22">
        <v>-6.0089099999999999E-2</v>
      </c>
      <c r="AL18">
        <f t="shared" si="6"/>
        <v>19.546296296296294</v>
      </c>
      <c r="AM18">
        <f t="shared" si="7"/>
        <v>-1.1661691749999998</v>
      </c>
      <c r="AP18" s="9"/>
      <c r="AQ18" s="22">
        <v>0.65978999999999999</v>
      </c>
      <c r="AR18" s="22">
        <v>14.834199999999999</v>
      </c>
      <c r="AS18" s="22">
        <v>-1.27502E-2</v>
      </c>
      <c r="AT18" s="22">
        <v>8</v>
      </c>
      <c r="AU18" s="22">
        <v>0.65957600000000005</v>
      </c>
      <c r="AV18">
        <f t="shared" si="8"/>
        <v>15.740987654320987</v>
      </c>
      <c r="AW18">
        <f t="shared" si="9"/>
        <v>10.385746244444444</v>
      </c>
      <c r="AX18" s="9"/>
      <c r="AY18" s="22">
        <v>-5.9661899999999997E-2</v>
      </c>
      <c r="AZ18" s="22">
        <v>16.447900000000001</v>
      </c>
      <c r="BA18" s="22">
        <v>-1.5649400000000001E-2</v>
      </c>
      <c r="BB18" s="22">
        <v>8</v>
      </c>
      <c r="BC18" s="22">
        <v>-5.9082000000000003E-2</v>
      </c>
      <c r="BD18">
        <f t="shared" si="10"/>
        <v>19.320246913580245</v>
      </c>
      <c r="BE18">
        <f t="shared" si="11"/>
        <v>-1.1526826393333331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0.65475499999999998</v>
      </c>
      <c r="H19" s="22">
        <v>5.0519600000000002</v>
      </c>
      <c r="I19" s="22">
        <v>-9.0484599999999995E-3</v>
      </c>
      <c r="J19" s="22">
        <v>9</v>
      </c>
      <c r="K19" s="22">
        <v>0.65414399999999995</v>
      </c>
      <c r="L19">
        <f t="shared" si="0"/>
        <v>11.170938271604937</v>
      </c>
      <c r="M19">
        <f t="shared" si="1"/>
        <v>7.3142276880246904</v>
      </c>
      <c r="N19" s="9"/>
      <c r="O19" s="22">
        <v>-5.4626500000000001E-2</v>
      </c>
      <c r="P19" s="22">
        <v>6.6656000000000004</v>
      </c>
      <c r="Q19" s="22">
        <v>-1.55853E-2</v>
      </c>
      <c r="R19" s="22">
        <v>9</v>
      </c>
      <c r="S19" s="22">
        <v>-5.4718000000000003E-2</v>
      </c>
      <c r="T19">
        <f t="shared" si="2"/>
        <v>19.24111111111111</v>
      </c>
      <c r="U19">
        <f t="shared" si="3"/>
        <v>-1.051074556111111</v>
      </c>
      <c r="V19" s="23"/>
      <c r="W19" s="24"/>
      <c r="X19" s="9"/>
      <c r="Y19" s="22">
        <v>0.65475499999999998</v>
      </c>
      <c r="Z19" s="22">
        <v>9.9561200000000003</v>
      </c>
      <c r="AA19" s="22">
        <v>-1.33911E-2</v>
      </c>
      <c r="AB19" s="22">
        <v>9</v>
      </c>
      <c r="AC19" s="22">
        <v>0.65347299999999997</v>
      </c>
      <c r="AD19">
        <f t="shared" si="4"/>
        <v>16.53222222222222</v>
      </c>
      <c r="AE19">
        <f t="shared" si="5"/>
        <v>10.824555161111109</v>
      </c>
      <c r="AF19" s="9"/>
      <c r="AG19" s="22">
        <v>-5.4626500000000001E-2</v>
      </c>
      <c r="AH19" s="22">
        <v>11.569800000000001</v>
      </c>
      <c r="AI19" s="22">
        <v>-1.5820299999999999E-2</v>
      </c>
      <c r="AJ19" s="22">
        <v>9</v>
      </c>
      <c r="AK19" s="22">
        <v>-5.50842E-2</v>
      </c>
      <c r="AL19">
        <f t="shared" si="6"/>
        <v>19.53123456790123</v>
      </c>
      <c r="AM19">
        <f t="shared" si="7"/>
        <v>-1.0669229851234565</v>
      </c>
      <c r="AP19" s="9"/>
      <c r="AQ19" s="22">
        <v>0.65475499999999998</v>
      </c>
      <c r="AR19" s="22">
        <v>14.8443</v>
      </c>
      <c r="AS19" s="22">
        <v>-1.2902800000000001E-2</v>
      </c>
      <c r="AT19" s="22">
        <v>9</v>
      </c>
      <c r="AU19" s="22">
        <v>0.65399200000000002</v>
      </c>
      <c r="AV19">
        <f t="shared" si="8"/>
        <v>15.929382716049382</v>
      </c>
      <c r="AW19">
        <f t="shared" si="9"/>
        <v>10.429842980246912</v>
      </c>
      <c r="AX19" s="9"/>
      <c r="AY19" s="22">
        <v>-5.4626500000000001E-2</v>
      </c>
      <c r="AZ19" s="22">
        <v>16.457899999999999</v>
      </c>
      <c r="BA19" s="22">
        <v>-1.5640299999999999E-2</v>
      </c>
      <c r="BB19" s="22">
        <v>9</v>
      </c>
      <c r="BC19" s="22">
        <v>-5.7403599999999999E-2</v>
      </c>
      <c r="BD19">
        <f t="shared" si="10"/>
        <v>19.309012345679012</v>
      </c>
      <c r="BE19">
        <f t="shared" si="11"/>
        <v>-1.0547837629012347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0.64971900000000005</v>
      </c>
      <c r="H20" s="22">
        <v>5.06203</v>
      </c>
      <c r="I20" s="22">
        <v>-9.7778299999999995E-3</v>
      </c>
      <c r="J20" s="22">
        <v>10</v>
      </c>
      <c r="K20" s="22">
        <v>0.64917000000000002</v>
      </c>
      <c r="L20">
        <f t="shared" si="0"/>
        <v>12.071395061728394</v>
      </c>
      <c r="M20">
        <f t="shared" si="1"/>
        <v>7.8430147281111111</v>
      </c>
      <c r="N20" s="9"/>
      <c r="O20" s="22">
        <v>-4.9591099999999999E-2</v>
      </c>
      <c r="P20" s="22">
        <v>6.6756799999999998</v>
      </c>
      <c r="Q20" s="22">
        <v>-1.5573099999999999E-2</v>
      </c>
      <c r="R20" s="22">
        <v>10</v>
      </c>
      <c r="S20" s="22">
        <v>-5.0292999999999997E-2</v>
      </c>
      <c r="T20">
        <f t="shared" si="2"/>
        <v>19.226049382716049</v>
      </c>
      <c r="U20">
        <f t="shared" si="3"/>
        <v>-0.9534409375432098</v>
      </c>
      <c r="V20" s="23"/>
      <c r="W20" s="24"/>
      <c r="X20" s="9"/>
      <c r="Y20" s="22">
        <v>0.64971900000000005</v>
      </c>
      <c r="Z20" s="22">
        <v>9.9661899999999992</v>
      </c>
      <c r="AA20" s="22">
        <v>-1.3501000000000001E-2</v>
      </c>
      <c r="AB20" s="22">
        <v>10</v>
      </c>
      <c r="AC20" s="22">
        <v>0.64904799999999996</v>
      </c>
      <c r="AD20">
        <f t="shared" si="4"/>
        <v>16.667901234567903</v>
      </c>
      <c r="AE20">
        <f t="shared" si="5"/>
        <v>10.829452122222225</v>
      </c>
      <c r="AF20" s="9"/>
      <c r="AG20" s="22">
        <v>-4.9591099999999999E-2</v>
      </c>
      <c r="AH20" s="22">
        <v>11.579800000000001</v>
      </c>
      <c r="AI20" s="22">
        <v>-1.5811200000000001E-2</v>
      </c>
      <c r="AJ20" s="22">
        <v>10</v>
      </c>
      <c r="AK20" s="22">
        <v>-5.0109899999999999E-2</v>
      </c>
      <c r="AL20">
        <f t="shared" si="6"/>
        <v>19.52</v>
      </c>
      <c r="AM20">
        <f t="shared" si="7"/>
        <v>-0.96801827200000001</v>
      </c>
      <c r="AP20" s="9"/>
      <c r="AQ20" s="22">
        <v>0.64971900000000005</v>
      </c>
      <c r="AR20" s="22">
        <v>14.8544</v>
      </c>
      <c r="AS20" s="22">
        <v>-1.3113400000000001E-2</v>
      </c>
      <c r="AT20" s="22">
        <v>10</v>
      </c>
      <c r="AU20" s="22">
        <v>0.65039100000000005</v>
      </c>
      <c r="AV20">
        <f t="shared" si="8"/>
        <v>16.18938271604938</v>
      </c>
      <c r="AW20">
        <f t="shared" si="9"/>
        <v>10.518549548888888</v>
      </c>
      <c r="AX20" s="9"/>
      <c r="AY20" s="22">
        <v>-4.9591099999999999E-2</v>
      </c>
      <c r="AZ20" s="22">
        <v>16.468</v>
      </c>
      <c r="BA20" s="22">
        <v>-1.5631099999999998E-2</v>
      </c>
      <c r="BB20" s="22">
        <v>10</v>
      </c>
      <c r="BC20" s="22">
        <v>-4.9865699999999999E-2</v>
      </c>
      <c r="BD20">
        <f t="shared" si="10"/>
        <v>19.29765432098765</v>
      </c>
      <c r="BE20">
        <f t="shared" si="11"/>
        <v>-0.95699190519753063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0.64468400000000003</v>
      </c>
      <c r="H21" s="22">
        <v>5.0720999999999998</v>
      </c>
      <c r="I21" s="22">
        <v>-1.0357699999999999E-2</v>
      </c>
      <c r="J21" s="22">
        <v>11</v>
      </c>
      <c r="K21" s="22">
        <v>0.64416499999999999</v>
      </c>
      <c r="L21">
        <f t="shared" si="0"/>
        <v>12.787283950617283</v>
      </c>
      <c r="M21">
        <f t="shared" si="1"/>
        <v>8.2437573664197537</v>
      </c>
      <c r="N21" s="9"/>
      <c r="O21" s="22">
        <v>-4.4555699999999997E-2</v>
      </c>
      <c r="P21" s="22">
        <v>6.6857499999999996</v>
      </c>
      <c r="Q21" s="22">
        <v>-1.5560900000000001E-2</v>
      </c>
      <c r="R21" s="22">
        <v>11</v>
      </c>
      <c r="S21" s="22">
        <v>-4.5242299999999999E-2</v>
      </c>
      <c r="T21">
        <f t="shared" si="2"/>
        <v>19.210987654320988</v>
      </c>
      <c r="U21">
        <f t="shared" si="3"/>
        <v>-0.85595900262962954</v>
      </c>
      <c r="V21" s="23"/>
      <c r="W21" s="24"/>
      <c r="X21" s="9"/>
      <c r="Y21" s="22">
        <v>0.64468400000000003</v>
      </c>
      <c r="Z21" s="22">
        <v>9.9762599999999999</v>
      </c>
      <c r="AA21" s="22">
        <v>-1.36139E-2</v>
      </c>
      <c r="AB21" s="22">
        <v>11</v>
      </c>
      <c r="AC21" s="22">
        <v>0.64382899999999998</v>
      </c>
      <c r="AD21">
        <f t="shared" si="4"/>
        <v>16.807283950617283</v>
      </c>
      <c r="AE21">
        <f t="shared" si="5"/>
        <v>10.835387046419752</v>
      </c>
      <c r="AF21" s="9"/>
      <c r="AG21" s="22">
        <v>-4.4555699999999997E-2</v>
      </c>
      <c r="AH21" s="22">
        <v>11.5899</v>
      </c>
      <c r="AI21" s="22">
        <v>-1.5799000000000001E-2</v>
      </c>
      <c r="AJ21" s="22">
        <v>11</v>
      </c>
      <c r="AK21" s="22">
        <v>-4.48975E-2</v>
      </c>
      <c r="AL21">
        <f t="shared" si="6"/>
        <v>19.504938271604939</v>
      </c>
      <c r="AM21">
        <f t="shared" si="7"/>
        <v>-0.86905617814814806</v>
      </c>
      <c r="AP21" s="9"/>
      <c r="AQ21" s="22">
        <v>0.64468400000000003</v>
      </c>
      <c r="AR21" s="22">
        <v>14.8644</v>
      </c>
      <c r="AS21" s="22">
        <v>-1.32263E-2</v>
      </c>
      <c r="AT21" s="22">
        <v>11</v>
      </c>
      <c r="AU21" s="22">
        <v>0.64431799999999995</v>
      </c>
      <c r="AV21">
        <f t="shared" si="8"/>
        <v>16.328765432098766</v>
      </c>
      <c r="AW21">
        <f t="shared" si="9"/>
        <v>10.526893813827161</v>
      </c>
      <c r="AX21" s="9"/>
      <c r="AY21" s="22">
        <v>-4.4555699999999997E-2</v>
      </c>
      <c r="AZ21" s="22">
        <v>16.478100000000001</v>
      </c>
      <c r="BA21" s="22">
        <v>-1.5628099999999999E-2</v>
      </c>
      <c r="BB21" s="22">
        <v>11</v>
      </c>
      <c r="BC21" s="22">
        <v>-4.4183300000000002E-2</v>
      </c>
      <c r="BD21">
        <f t="shared" si="10"/>
        <v>19.293950617283947</v>
      </c>
      <c r="BE21">
        <f t="shared" si="11"/>
        <v>-0.85965547551851829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0.63964799999999999</v>
      </c>
      <c r="H22" s="22">
        <v>5.0821699999999996</v>
      </c>
      <c r="I22" s="22">
        <v>-1.08582E-2</v>
      </c>
      <c r="J22" s="22">
        <v>12</v>
      </c>
      <c r="K22" s="22">
        <v>0.63903799999999999</v>
      </c>
      <c r="L22">
        <f t="shared" si="0"/>
        <v>13.405185185185186</v>
      </c>
      <c r="M22">
        <f t="shared" si="1"/>
        <v>8.5745998933333336</v>
      </c>
      <c r="N22" s="9"/>
      <c r="O22" s="22">
        <v>-3.9520300000000001E-2</v>
      </c>
      <c r="P22" s="22">
        <v>6.6958200000000003</v>
      </c>
      <c r="Q22" s="22">
        <v>-1.5551799999999999E-2</v>
      </c>
      <c r="R22" s="22">
        <v>12</v>
      </c>
      <c r="S22" s="22">
        <v>-3.9932299999999997E-2</v>
      </c>
      <c r="T22">
        <f t="shared" si="2"/>
        <v>19.199753086419751</v>
      </c>
      <c r="U22">
        <f t="shared" si="3"/>
        <v>-0.75878000190123451</v>
      </c>
      <c r="V22" s="23"/>
      <c r="W22" s="24"/>
      <c r="X22" s="9"/>
      <c r="Y22" s="22">
        <v>0.63964799999999999</v>
      </c>
      <c r="Z22" s="22">
        <v>9.9863300000000006</v>
      </c>
      <c r="AA22" s="22">
        <v>-1.36597E-2</v>
      </c>
      <c r="AB22" s="22">
        <v>12</v>
      </c>
      <c r="AC22" s="22">
        <v>0.63830600000000004</v>
      </c>
      <c r="AD22">
        <f t="shared" si="4"/>
        <v>16.863827160493827</v>
      </c>
      <c r="AE22">
        <f t="shared" si="5"/>
        <v>10.786913315555555</v>
      </c>
      <c r="AF22" s="9"/>
      <c r="AG22" s="22">
        <v>-3.9520300000000001E-2</v>
      </c>
      <c r="AH22" s="22">
        <v>11.6</v>
      </c>
      <c r="AI22" s="22">
        <v>-1.5792799999999999E-2</v>
      </c>
      <c r="AJ22" s="22">
        <v>12</v>
      </c>
      <c r="AK22" s="22">
        <v>-3.9755199999999997E-2</v>
      </c>
      <c r="AL22">
        <f t="shared" si="6"/>
        <v>19.49728395061728</v>
      </c>
      <c r="AM22">
        <f t="shared" si="7"/>
        <v>-0.77053851091358017</v>
      </c>
      <c r="AP22" s="9"/>
      <c r="AQ22" s="22">
        <v>0.63964799999999999</v>
      </c>
      <c r="AR22" s="22">
        <v>14.874499999999999</v>
      </c>
      <c r="AS22" s="22">
        <v>-1.33209E-2</v>
      </c>
      <c r="AT22" s="22">
        <v>12</v>
      </c>
      <c r="AU22" s="22">
        <v>0.639069</v>
      </c>
      <c r="AV22">
        <f t="shared" si="8"/>
        <v>16.445555555555554</v>
      </c>
      <c r="AW22">
        <f t="shared" si="9"/>
        <v>10.519366719999999</v>
      </c>
      <c r="AX22" s="9"/>
      <c r="AY22" s="22">
        <v>-3.9520300000000001E-2</v>
      </c>
      <c r="AZ22" s="22">
        <v>16.488099999999999</v>
      </c>
      <c r="BA22" s="22">
        <v>-1.56189E-2</v>
      </c>
      <c r="BB22" s="22">
        <v>12</v>
      </c>
      <c r="BC22" s="22">
        <v>-4.1229200000000001E-2</v>
      </c>
      <c r="BD22">
        <f t="shared" si="10"/>
        <v>19.282592592592589</v>
      </c>
      <c r="BE22">
        <f t="shared" si="11"/>
        <v>-0.76205384403703691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0.63461299999999998</v>
      </c>
      <c r="H23" s="22">
        <v>5.0922400000000003</v>
      </c>
      <c r="I23" s="22">
        <v>-1.12183E-2</v>
      </c>
      <c r="J23" s="22">
        <v>13</v>
      </c>
      <c r="K23" s="22">
        <v>0.63400299999999998</v>
      </c>
      <c r="L23">
        <f t="shared" si="0"/>
        <v>13.849753086419753</v>
      </c>
      <c r="M23">
        <f t="shared" si="1"/>
        <v>8.7892333554320992</v>
      </c>
      <c r="N23" s="9"/>
      <c r="O23" s="22">
        <v>-3.4484899999999999E-2</v>
      </c>
      <c r="P23" s="22">
        <v>6.7058900000000001</v>
      </c>
      <c r="Q23" s="22">
        <v>-1.5539600000000001E-2</v>
      </c>
      <c r="R23" s="22">
        <v>13</v>
      </c>
      <c r="S23" s="22">
        <v>-3.45093E-2</v>
      </c>
      <c r="T23">
        <f t="shared" si="2"/>
        <v>19.18469135802469</v>
      </c>
      <c r="U23">
        <f t="shared" si="3"/>
        <v>-0.66158216301234563</v>
      </c>
      <c r="V23" s="23"/>
      <c r="W23" s="24"/>
      <c r="X23" s="9"/>
      <c r="Y23" s="22">
        <v>0.63461299999999998</v>
      </c>
      <c r="Z23" s="22">
        <v>9.9963999999999995</v>
      </c>
      <c r="AA23" s="22">
        <v>-1.37238E-2</v>
      </c>
      <c r="AB23" s="22">
        <v>13</v>
      </c>
      <c r="AC23" s="22">
        <v>0.63317900000000005</v>
      </c>
      <c r="AD23">
        <f t="shared" si="4"/>
        <v>16.942962962962962</v>
      </c>
      <c r="AE23">
        <f t="shared" si="5"/>
        <v>10.752224554814815</v>
      </c>
      <c r="AF23" s="9"/>
      <c r="AG23" s="22">
        <v>-3.4484899999999999E-2</v>
      </c>
      <c r="AH23" s="22">
        <v>11.61</v>
      </c>
      <c r="AI23" s="22">
        <v>-1.5783700000000001E-2</v>
      </c>
      <c r="AJ23" s="22">
        <v>13</v>
      </c>
      <c r="AK23" s="22">
        <v>-3.4686300000000003E-2</v>
      </c>
      <c r="AL23">
        <f t="shared" si="6"/>
        <v>19.486049382716047</v>
      </c>
      <c r="AM23">
        <f t="shared" si="7"/>
        <v>-0.67197446435802455</v>
      </c>
      <c r="AP23" s="9"/>
      <c r="AQ23" s="22">
        <v>0.63461299999999998</v>
      </c>
      <c r="AR23" s="22">
        <v>14.884600000000001</v>
      </c>
      <c r="AS23" s="22">
        <v>-1.34521E-2</v>
      </c>
      <c r="AT23" s="22">
        <v>13</v>
      </c>
      <c r="AU23" s="22">
        <v>0.63281299999999996</v>
      </c>
      <c r="AV23">
        <f t="shared" si="8"/>
        <v>16.607530864197528</v>
      </c>
      <c r="AW23">
        <f t="shared" si="9"/>
        <v>10.539354984320985</v>
      </c>
      <c r="AX23" s="9"/>
      <c r="AY23" s="22">
        <v>-3.4484899999999999E-2</v>
      </c>
      <c r="AZ23" s="22">
        <v>16.498200000000001</v>
      </c>
      <c r="BA23" s="22">
        <v>-1.5609700000000001E-2</v>
      </c>
      <c r="BB23" s="22">
        <v>13</v>
      </c>
      <c r="BC23" s="22">
        <v>-3.4570299999999998E-2</v>
      </c>
      <c r="BD23">
        <f t="shared" si="10"/>
        <v>19.271234567901235</v>
      </c>
      <c r="BE23">
        <f t="shared" si="11"/>
        <v>-0.66456659695061726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0.62957799999999997</v>
      </c>
      <c r="H24" s="22">
        <v>5.1023100000000001</v>
      </c>
      <c r="I24" s="22">
        <v>-1.15753E-2</v>
      </c>
      <c r="J24" s="22">
        <v>14</v>
      </c>
      <c r="K24" s="22">
        <v>0.62896700000000005</v>
      </c>
      <c r="L24">
        <f t="shared" si="0"/>
        <v>14.290493827160493</v>
      </c>
      <c r="M24">
        <f t="shared" si="1"/>
        <v>8.9969805227160489</v>
      </c>
      <c r="N24" s="9"/>
      <c r="O24" s="22">
        <v>-2.94495E-2</v>
      </c>
      <c r="P24" s="22">
        <v>6.7159599999999999</v>
      </c>
      <c r="Q24" s="22">
        <v>-1.5527300000000001E-2</v>
      </c>
      <c r="R24" s="22">
        <v>14</v>
      </c>
      <c r="S24" s="22">
        <v>-2.9278599999999998E-2</v>
      </c>
      <c r="T24">
        <f t="shared" si="2"/>
        <v>19.169506172839505</v>
      </c>
      <c r="U24">
        <f t="shared" si="3"/>
        <v>-0.56453237203703699</v>
      </c>
      <c r="V24" s="23"/>
      <c r="W24" s="24"/>
      <c r="X24" s="9"/>
      <c r="Y24" s="22">
        <v>0.62957799999999997</v>
      </c>
      <c r="Z24" s="22">
        <v>10.006500000000001</v>
      </c>
      <c r="AA24" s="22">
        <v>-1.38E-2</v>
      </c>
      <c r="AB24" s="22">
        <v>14</v>
      </c>
      <c r="AC24" s="22">
        <v>0.62927200000000005</v>
      </c>
      <c r="AD24">
        <f t="shared" si="4"/>
        <v>17.037037037037035</v>
      </c>
      <c r="AE24">
        <f t="shared" si="5"/>
        <v>10.726143703703702</v>
      </c>
      <c r="AF24" s="9"/>
      <c r="AG24" s="22">
        <v>-2.94495E-2</v>
      </c>
      <c r="AH24" s="22">
        <v>11.620100000000001</v>
      </c>
      <c r="AI24" s="22">
        <v>-1.57745E-2</v>
      </c>
      <c r="AJ24" s="22">
        <v>14</v>
      </c>
      <c r="AK24" s="22">
        <v>-3.0017100000000001E-2</v>
      </c>
      <c r="AL24">
        <f t="shared" si="6"/>
        <v>19.474691358024693</v>
      </c>
      <c r="AM24">
        <f t="shared" si="7"/>
        <v>-0.57351992314814815</v>
      </c>
      <c r="AP24" s="9"/>
      <c r="AQ24" s="22">
        <v>0.62957799999999997</v>
      </c>
      <c r="AR24" s="22">
        <v>14.894600000000001</v>
      </c>
      <c r="AS24" s="22">
        <v>-1.34766E-2</v>
      </c>
      <c r="AT24" s="22">
        <v>14</v>
      </c>
      <c r="AU24" s="22">
        <v>0.62908900000000001</v>
      </c>
      <c r="AV24">
        <f t="shared" si="8"/>
        <v>16.637777777777774</v>
      </c>
      <c r="AW24">
        <f t="shared" si="9"/>
        <v>10.474778857777775</v>
      </c>
      <c r="AX24" s="9"/>
      <c r="AY24" s="22">
        <v>-2.94495E-2</v>
      </c>
      <c r="AZ24" s="22">
        <v>16.508299999999998</v>
      </c>
      <c r="BA24" s="22">
        <v>-1.5600599999999999E-2</v>
      </c>
      <c r="BB24" s="22">
        <v>14</v>
      </c>
      <c r="BC24" s="22">
        <v>-2.9342699999999999E-2</v>
      </c>
      <c r="BD24">
        <f t="shared" si="10"/>
        <v>19.259999999999998</v>
      </c>
      <c r="BE24">
        <f t="shared" si="11"/>
        <v>-0.56719736999999992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0.62454200000000004</v>
      </c>
      <c r="H25" s="22">
        <v>5.1123799999999999</v>
      </c>
      <c r="I25" s="22">
        <v>-1.19049E-2</v>
      </c>
      <c r="J25" s="22">
        <v>15</v>
      </c>
      <c r="K25" s="22">
        <v>0.62399300000000002</v>
      </c>
      <c r="L25">
        <f t="shared" si="0"/>
        <v>14.697407407407406</v>
      </c>
      <c r="M25">
        <f t="shared" si="1"/>
        <v>9.1791482170370369</v>
      </c>
      <c r="N25" s="9"/>
      <c r="O25" s="22">
        <v>-2.4414100000000001E-2</v>
      </c>
      <c r="P25" s="22">
        <v>6.7260299999999997</v>
      </c>
      <c r="Q25" s="22">
        <v>-1.55151E-2</v>
      </c>
      <c r="R25" s="22">
        <v>15</v>
      </c>
      <c r="S25" s="22">
        <v>-2.5704999999999999E-2</v>
      </c>
      <c r="T25">
        <f t="shared" si="2"/>
        <v>19.154444444444444</v>
      </c>
      <c r="U25">
        <f t="shared" si="3"/>
        <v>-0.46763852211111112</v>
      </c>
      <c r="V25" s="23"/>
      <c r="W25" s="24"/>
      <c r="X25" s="9"/>
      <c r="Y25" s="22">
        <v>0.62454200000000004</v>
      </c>
      <c r="Z25" s="22">
        <v>10.016500000000001</v>
      </c>
      <c r="AA25" s="22">
        <v>-1.38458E-2</v>
      </c>
      <c r="AB25" s="22">
        <v>15</v>
      </c>
      <c r="AC25" s="22">
        <v>0.62329100000000004</v>
      </c>
      <c r="AD25">
        <f t="shared" si="4"/>
        <v>17.093580246913579</v>
      </c>
      <c r="AE25">
        <f t="shared" si="5"/>
        <v>10.675658794567902</v>
      </c>
      <c r="AF25" s="9"/>
      <c r="AG25" s="22">
        <v>-2.4414100000000001E-2</v>
      </c>
      <c r="AH25" s="22">
        <v>11.6302</v>
      </c>
      <c r="AI25" s="22">
        <v>-1.5765399999999999E-2</v>
      </c>
      <c r="AJ25" s="22">
        <v>15</v>
      </c>
      <c r="AK25" s="22">
        <v>-2.4292000000000001E-2</v>
      </c>
      <c r="AL25">
        <f t="shared" si="6"/>
        <v>19.463456790123452</v>
      </c>
      <c r="AM25">
        <f t="shared" si="7"/>
        <v>-0.47518278041975298</v>
      </c>
      <c r="AP25" s="9"/>
      <c r="AQ25" s="22">
        <v>0.62454200000000004</v>
      </c>
      <c r="AR25" s="22">
        <v>14.9047</v>
      </c>
      <c r="AS25" s="22">
        <v>-1.35803E-2</v>
      </c>
      <c r="AT25" s="22">
        <v>15</v>
      </c>
      <c r="AU25" s="22">
        <v>0.623444</v>
      </c>
      <c r="AV25">
        <f t="shared" si="8"/>
        <v>16.765802469135803</v>
      </c>
      <c r="AW25">
        <f t="shared" si="9"/>
        <v>10.470947805679014</v>
      </c>
      <c r="AX25" s="9"/>
      <c r="AY25" s="22">
        <v>-2.4414100000000001E-2</v>
      </c>
      <c r="AZ25" s="22">
        <v>16.5184</v>
      </c>
      <c r="BA25" s="22">
        <v>-1.5588400000000001E-2</v>
      </c>
      <c r="BB25" s="22">
        <v>15</v>
      </c>
      <c r="BC25" s="22">
        <v>-2.5042700000000001E-2</v>
      </c>
      <c r="BD25">
        <f t="shared" si="10"/>
        <v>19.244938271604937</v>
      </c>
      <c r="BE25">
        <f t="shared" si="11"/>
        <v>-0.46984784745679009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0.61950700000000003</v>
      </c>
      <c r="H26" s="22">
        <v>5.1224600000000002</v>
      </c>
      <c r="I26" s="22">
        <v>-1.21704E-2</v>
      </c>
      <c r="J26" s="22">
        <v>16</v>
      </c>
      <c r="K26" s="22">
        <v>0.61886600000000003</v>
      </c>
      <c r="L26">
        <f t="shared" si="0"/>
        <v>15.025185185185183</v>
      </c>
      <c r="M26">
        <f t="shared" si="1"/>
        <v>9.3082073985185172</v>
      </c>
      <c r="N26" s="9"/>
      <c r="O26" s="22">
        <v>-1.9378699999999999E-2</v>
      </c>
      <c r="P26" s="22">
        <v>6.7361000000000004</v>
      </c>
      <c r="Q26" s="22">
        <v>-1.5506000000000001E-2</v>
      </c>
      <c r="R26" s="22">
        <v>16</v>
      </c>
      <c r="S26" s="22">
        <v>-1.8969699999999999E-2</v>
      </c>
      <c r="T26">
        <f t="shared" si="2"/>
        <v>19.14320987654321</v>
      </c>
      <c r="U26">
        <f t="shared" si="3"/>
        <v>-0.37097052123456786</v>
      </c>
      <c r="V26" s="23"/>
      <c r="W26" s="24"/>
      <c r="X26" s="9"/>
      <c r="Y26" s="22">
        <v>0.61950700000000003</v>
      </c>
      <c r="Z26" s="22">
        <v>10.0266</v>
      </c>
      <c r="AA26" s="22">
        <v>-1.39221E-2</v>
      </c>
      <c r="AB26" s="22">
        <v>16</v>
      </c>
      <c r="AC26" s="22">
        <v>0.61856100000000003</v>
      </c>
      <c r="AD26">
        <f t="shared" si="4"/>
        <v>17.187777777777779</v>
      </c>
      <c r="AE26">
        <f t="shared" si="5"/>
        <v>10.647948647777779</v>
      </c>
      <c r="AF26" s="9"/>
      <c r="AG26" s="22">
        <v>-1.9378699999999999E-2</v>
      </c>
      <c r="AH26" s="22">
        <v>11.6403</v>
      </c>
      <c r="AI26" s="22">
        <v>-1.5753199999999998E-2</v>
      </c>
      <c r="AJ26" s="22">
        <v>16</v>
      </c>
      <c r="AK26" s="22">
        <v>-1.93756E-2</v>
      </c>
      <c r="AL26">
        <f t="shared" si="6"/>
        <v>19.448395061728394</v>
      </c>
      <c r="AM26">
        <f t="shared" si="7"/>
        <v>-0.376884613382716</v>
      </c>
      <c r="AP26" s="9"/>
      <c r="AQ26" s="22">
        <v>0.61950700000000003</v>
      </c>
      <c r="AR26" s="22">
        <v>14.9148</v>
      </c>
      <c r="AS26" s="22">
        <v>-1.37024E-2</v>
      </c>
      <c r="AT26" s="22">
        <v>16</v>
      </c>
      <c r="AU26" s="22">
        <v>0.61871299999999996</v>
      </c>
      <c r="AV26">
        <f t="shared" si="8"/>
        <v>16.916543209876544</v>
      </c>
      <c r="AW26">
        <f t="shared" si="9"/>
        <v>10.479916934320988</v>
      </c>
      <c r="AX26" s="9"/>
      <c r="AY26" s="22">
        <v>-1.9378699999999999E-2</v>
      </c>
      <c r="AZ26" s="22">
        <v>16.528400000000001</v>
      </c>
      <c r="BA26" s="22">
        <v>-1.55792E-2</v>
      </c>
      <c r="BB26" s="22">
        <v>16</v>
      </c>
      <c r="BC26" s="22">
        <v>-2.0752E-2</v>
      </c>
      <c r="BD26">
        <f t="shared" si="10"/>
        <v>19.233580246913579</v>
      </c>
      <c r="BE26">
        <f t="shared" si="11"/>
        <v>-0.37272178153086416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0.61447099999999999</v>
      </c>
      <c r="H27" s="22">
        <v>5.13253</v>
      </c>
      <c r="I27" s="22">
        <v>-1.24023E-2</v>
      </c>
      <c r="J27" s="22">
        <v>17</v>
      </c>
      <c r="K27" s="22">
        <v>0.61392199999999997</v>
      </c>
      <c r="L27">
        <f t="shared" si="0"/>
        <v>15.311481481481479</v>
      </c>
      <c r="M27">
        <f t="shared" si="1"/>
        <v>9.408461337407406</v>
      </c>
      <c r="N27" s="9"/>
      <c r="O27" s="22">
        <v>-1.43433E-2</v>
      </c>
      <c r="P27" s="22">
        <v>6.7461700000000002</v>
      </c>
      <c r="Q27" s="22">
        <v>-1.54938E-2</v>
      </c>
      <c r="R27" s="22">
        <v>17</v>
      </c>
      <c r="S27" s="22">
        <v>-1.46088E-2</v>
      </c>
      <c r="T27">
        <f t="shared" si="2"/>
        <v>19.128148148148149</v>
      </c>
      <c r="U27">
        <f t="shared" si="3"/>
        <v>-0.27436076733333337</v>
      </c>
      <c r="X27" s="9"/>
      <c r="Y27" s="22">
        <v>0.61447099999999999</v>
      </c>
      <c r="Z27" s="22">
        <v>10.0367</v>
      </c>
      <c r="AA27" s="22">
        <v>-1.3986200000000001E-2</v>
      </c>
      <c r="AB27" s="22">
        <v>17</v>
      </c>
      <c r="AC27" s="22">
        <v>0.61328099999999997</v>
      </c>
      <c r="AD27">
        <f t="shared" si="4"/>
        <v>17.266913580246914</v>
      </c>
      <c r="AE27">
        <f t="shared" si="5"/>
        <v>10.610017654567901</v>
      </c>
      <c r="AF27" s="9"/>
      <c r="AG27" s="22">
        <v>-1.43433E-2</v>
      </c>
      <c r="AH27" s="22">
        <v>11.6503</v>
      </c>
      <c r="AI27" s="22">
        <v>-1.5744000000000001E-2</v>
      </c>
      <c r="AJ27" s="22">
        <v>17</v>
      </c>
      <c r="AK27" s="22">
        <v>-1.4489699999999999E-2</v>
      </c>
      <c r="AL27">
        <f t="shared" si="6"/>
        <v>19.437037037037037</v>
      </c>
      <c r="AM27">
        <f t="shared" si="7"/>
        <v>-0.27879125333333332</v>
      </c>
      <c r="AP27" s="9"/>
      <c r="AQ27" s="22">
        <v>0.61447099999999999</v>
      </c>
      <c r="AR27" s="22">
        <v>14.924899999999999</v>
      </c>
      <c r="AS27" s="22">
        <v>-1.37939E-2</v>
      </c>
      <c r="AT27" s="22">
        <v>17</v>
      </c>
      <c r="AU27" s="22">
        <v>0.61364700000000005</v>
      </c>
      <c r="AV27">
        <f t="shared" si="8"/>
        <v>17.029506172839504</v>
      </c>
      <c r="AW27">
        <f t="shared" si="9"/>
        <v>10.464137687530863</v>
      </c>
      <c r="AX27" s="9"/>
      <c r="AY27" s="22">
        <v>-1.43433E-2</v>
      </c>
      <c r="AZ27" s="22">
        <v>16.538499999999999</v>
      </c>
      <c r="BA27" s="22">
        <v>-1.55701E-2</v>
      </c>
      <c r="BB27" s="22">
        <v>17</v>
      </c>
      <c r="BC27" s="22">
        <v>-1.41602E-2</v>
      </c>
      <c r="BD27">
        <f t="shared" si="10"/>
        <v>19.222345679012346</v>
      </c>
      <c r="BE27">
        <f t="shared" si="11"/>
        <v>-0.27571187077777776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0.60943599999999998</v>
      </c>
      <c r="H28" s="22">
        <v>5.1425999999999998</v>
      </c>
      <c r="I28" s="22">
        <v>-1.2628199999999999E-2</v>
      </c>
      <c r="J28" s="22">
        <v>18</v>
      </c>
      <c r="K28" s="22">
        <v>0.608765</v>
      </c>
      <c r="L28">
        <f t="shared" si="0"/>
        <v>15.590370370370369</v>
      </c>
      <c r="M28">
        <f t="shared" si="1"/>
        <v>9.501332957037036</v>
      </c>
      <c r="N28" s="9"/>
      <c r="O28" s="22">
        <v>-9.3078599999999994E-3</v>
      </c>
      <c r="P28" s="22">
        <v>6.75624</v>
      </c>
      <c r="Q28" s="22">
        <v>-1.54877E-2</v>
      </c>
      <c r="R28" s="22">
        <v>18</v>
      </c>
      <c r="S28" s="22">
        <v>-9.6374500000000005E-3</v>
      </c>
      <c r="T28">
        <f t="shared" si="2"/>
        <v>19.120617283950615</v>
      </c>
      <c r="U28">
        <f t="shared" si="3"/>
        <v>-0.17797202879259255</v>
      </c>
      <c r="X28" s="9"/>
      <c r="Y28" s="22">
        <v>0.60943599999999998</v>
      </c>
      <c r="Z28" s="22">
        <v>10.046799999999999</v>
      </c>
      <c r="AA28" s="22">
        <v>-1.4047199999999999E-2</v>
      </c>
      <c r="AB28" s="22">
        <v>18</v>
      </c>
      <c r="AC28" s="22">
        <v>0.60858199999999996</v>
      </c>
      <c r="AD28">
        <f t="shared" si="4"/>
        <v>17.342222222222222</v>
      </c>
      <c r="AE28">
        <f t="shared" si="5"/>
        <v>10.568974542222222</v>
      </c>
      <c r="AF28" s="9"/>
      <c r="AG28" s="22">
        <v>-9.3078599999999994E-3</v>
      </c>
      <c r="AH28" s="22">
        <v>11.660399999999999</v>
      </c>
      <c r="AI28" s="22">
        <v>-1.57349E-2</v>
      </c>
      <c r="AJ28" s="22">
        <v>18</v>
      </c>
      <c r="AK28" s="22">
        <v>-9.4909699999999996E-3</v>
      </c>
      <c r="AL28">
        <f t="shared" si="6"/>
        <v>19.425802469135803</v>
      </c>
      <c r="AM28">
        <f t="shared" si="7"/>
        <v>-0.18081264977037037</v>
      </c>
      <c r="AP28" s="9"/>
      <c r="AQ28" s="22">
        <v>0.60943599999999998</v>
      </c>
      <c r="AR28" s="22">
        <v>14.934900000000001</v>
      </c>
      <c r="AS28" s="22">
        <v>-1.38397E-2</v>
      </c>
      <c r="AT28" s="22">
        <v>18</v>
      </c>
      <c r="AU28" s="22">
        <v>0.60879499999999998</v>
      </c>
      <c r="AV28">
        <f t="shared" si="8"/>
        <v>17.086049382716048</v>
      </c>
      <c r="AW28">
        <f t="shared" si="9"/>
        <v>10.412853591604938</v>
      </c>
      <c r="AX28" s="9"/>
      <c r="AY28" s="22">
        <v>-9.3078599999999994E-3</v>
      </c>
      <c r="AZ28" s="22">
        <v>16.5486</v>
      </c>
      <c r="BA28" s="22">
        <v>-1.5564E-2</v>
      </c>
      <c r="BB28" s="22">
        <v>18</v>
      </c>
      <c r="BC28" s="22">
        <v>-8.8653599999999992E-3</v>
      </c>
      <c r="BD28">
        <f t="shared" si="10"/>
        <v>19.214814814814812</v>
      </c>
      <c r="BE28">
        <f t="shared" si="11"/>
        <v>-0.17884880622222218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0.60440099999999997</v>
      </c>
      <c r="H29" s="22">
        <v>5.1526699999999996</v>
      </c>
      <c r="I29" s="22">
        <v>-1.28082E-2</v>
      </c>
      <c r="J29" s="22">
        <v>19</v>
      </c>
      <c r="K29" s="22">
        <v>0.60385100000000003</v>
      </c>
      <c r="L29">
        <f t="shared" si="0"/>
        <v>15.812592592592594</v>
      </c>
      <c r="M29">
        <f t="shared" si="1"/>
        <v>9.5571467755555553</v>
      </c>
      <c r="N29" s="9"/>
      <c r="O29" s="22">
        <v>-4.2724599999999996E-3</v>
      </c>
      <c r="P29" s="22">
        <v>6.7663099999999998</v>
      </c>
      <c r="Q29" s="22">
        <v>-1.5484599999999999E-2</v>
      </c>
      <c r="R29" s="22">
        <v>19</v>
      </c>
      <c r="S29" s="22">
        <v>-4.1931199999999998E-3</v>
      </c>
      <c r="T29">
        <f t="shared" si="2"/>
        <v>19.116790123456788</v>
      </c>
      <c r="U29">
        <f t="shared" si="3"/>
        <v>-8.1675721130864187E-2</v>
      </c>
      <c r="X29" s="9"/>
      <c r="Y29" s="22">
        <v>0.60440099999999997</v>
      </c>
      <c r="Z29" s="22">
        <v>10.056800000000001</v>
      </c>
      <c r="AA29" s="22">
        <v>-1.4080799999999999E-2</v>
      </c>
      <c r="AB29" s="22">
        <v>19</v>
      </c>
      <c r="AC29" s="22">
        <v>0.60446200000000005</v>
      </c>
      <c r="AD29">
        <f t="shared" si="4"/>
        <v>17.383703703703702</v>
      </c>
      <c r="AE29">
        <f t="shared" si="5"/>
        <v>10.50672790222222</v>
      </c>
      <c r="AF29" s="9"/>
      <c r="AG29" s="22">
        <v>-4.2724599999999996E-3</v>
      </c>
      <c r="AH29" s="22">
        <v>11.670500000000001</v>
      </c>
      <c r="AI29" s="22">
        <v>-1.5722699999999999E-2</v>
      </c>
      <c r="AJ29" s="22">
        <v>19</v>
      </c>
      <c r="AK29" s="22">
        <v>-4.7119099999999997E-3</v>
      </c>
      <c r="AL29">
        <f t="shared" si="6"/>
        <v>19.410740740740739</v>
      </c>
      <c r="AM29">
        <f t="shared" si="7"/>
        <v>-8.2931613385185163E-2</v>
      </c>
      <c r="AP29" s="9"/>
      <c r="AQ29" s="22">
        <v>0.60440099999999997</v>
      </c>
      <c r="AR29" s="22">
        <v>14.945</v>
      </c>
      <c r="AS29" s="22">
        <v>-1.3909899999999999E-2</v>
      </c>
      <c r="AT29" s="22">
        <v>19</v>
      </c>
      <c r="AU29" s="22">
        <v>0.60324100000000003</v>
      </c>
      <c r="AV29">
        <f t="shared" si="8"/>
        <v>17.172716049382714</v>
      </c>
      <c r="AW29">
        <f t="shared" si="9"/>
        <v>10.379206752962961</v>
      </c>
      <c r="AX29" s="9"/>
      <c r="AY29" s="22">
        <v>-4.2724599999999996E-3</v>
      </c>
      <c r="AZ29" s="22">
        <v>16.558599999999998</v>
      </c>
      <c r="BA29" s="22">
        <v>-1.55579E-2</v>
      </c>
      <c r="BB29" s="22">
        <v>19</v>
      </c>
      <c r="BC29" s="22">
        <v>-4.8156700000000002E-3</v>
      </c>
      <c r="BD29">
        <f t="shared" si="10"/>
        <v>19.207283950617281</v>
      </c>
      <c r="BE29">
        <f t="shared" si="11"/>
        <v>-8.2062352387654303E-2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0.59936500000000004</v>
      </c>
      <c r="H30" s="22">
        <v>5.1627400000000003</v>
      </c>
      <c r="I30" s="22">
        <v>-1.29669E-2</v>
      </c>
      <c r="J30" s="22">
        <v>20</v>
      </c>
      <c r="K30" s="22">
        <v>0.59869399999999995</v>
      </c>
      <c r="L30">
        <f t="shared" si="0"/>
        <v>16.008518518518514</v>
      </c>
      <c r="M30">
        <f t="shared" si="1"/>
        <v>9.5949457018518505</v>
      </c>
      <c r="N30" s="9"/>
      <c r="O30" s="22">
        <v>7.6293900000000002E-4</v>
      </c>
      <c r="P30" s="22">
        <v>6.7763900000000001</v>
      </c>
      <c r="Q30" s="22">
        <v>-1.5469399999999999E-2</v>
      </c>
      <c r="R30" s="22">
        <v>20</v>
      </c>
      <c r="S30" s="25">
        <v>6.1035199999999998E-6</v>
      </c>
      <c r="T30">
        <f t="shared" si="2"/>
        <v>19.09802469135802</v>
      </c>
      <c r="U30">
        <f t="shared" si="3"/>
        <v>1.4570627859999997E-2</v>
      </c>
      <c r="X30" s="9"/>
      <c r="Y30" s="22">
        <v>0.59936500000000004</v>
      </c>
      <c r="Z30" s="22">
        <v>10.0669</v>
      </c>
      <c r="AA30" s="22">
        <v>-1.41266E-2</v>
      </c>
      <c r="AB30" s="22">
        <v>20</v>
      </c>
      <c r="AC30" s="22">
        <v>0.59866299999999995</v>
      </c>
      <c r="AD30">
        <f t="shared" si="4"/>
        <v>17.440246913580246</v>
      </c>
      <c r="AE30">
        <f t="shared" si="5"/>
        <v>10.453073591358025</v>
      </c>
      <c r="AF30" s="9"/>
      <c r="AG30" s="22">
        <v>7.6293900000000002E-4</v>
      </c>
      <c r="AH30" s="22">
        <v>11.6805</v>
      </c>
      <c r="AI30" s="22">
        <v>-1.5713499999999998E-2</v>
      </c>
      <c r="AJ30" s="22">
        <v>20</v>
      </c>
      <c r="AK30" s="22">
        <v>6.7138699999999996E-4</v>
      </c>
      <c r="AL30">
        <f t="shared" si="6"/>
        <v>19.399382716049381</v>
      </c>
      <c r="AM30">
        <f t="shared" si="7"/>
        <v>1.4800545649999998E-2</v>
      </c>
      <c r="AP30" s="9"/>
      <c r="AQ30" s="22">
        <v>0.59936500000000004</v>
      </c>
      <c r="AR30" s="22">
        <v>14.9551</v>
      </c>
      <c r="AS30" s="22">
        <v>-1.3952600000000001E-2</v>
      </c>
      <c r="AT30" s="22">
        <v>20</v>
      </c>
      <c r="AU30" s="22">
        <v>0.59860199999999997</v>
      </c>
      <c r="AV30">
        <f t="shared" si="8"/>
        <v>17.225432098765431</v>
      </c>
      <c r="AW30">
        <f t="shared" si="9"/>
        <v>10.324321109876543</v>
      </c>
      <c r="AX30" s="9"/>
      <c r="AY30" s="22">
        <v>7.6293900000000002E-4</v>
      </c>
      <c r="AZ30" s="22">
        <v>16.5687</v>
      </c>
      <c r="BA30" s="22">
        <v>-1.5545700000000001E-2</v>
      </c>
      <c r="BB30" s="22">
        <v>20</v>
      </c>
      <c r="BC30" s="22">
        <v>2.59399E-4</v>
      </c>
      <c r="BD30">
        <f t="shared" si="10"/>
        <v>19.19222222222222</v>
      </c>
      <c r="BE30">
        <f t="shared" si="11"/>
        <v>1.4642494829999998E-2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0.59433000000000002</v>
      </c>
      <c r="H31" s="22">
        <v>5.1728100000000001</v>
      </c>
      <c r="I31" s="22">
        <v>-1.31226E-2</v>
      </c>
      <c r="J31" s="22">
        <v>21</v>
      </c>
      <c r="K31" s="22">
        <v>0.59362800000000004</v>
      </c>
      <c r="L31">
        <f t="shared" si="0"/>
        <v>16.200740740740741</v>
      </c>
      <c r="M31">
        <f t="shared" si="1"/>
        <v>9.6285862444444454</v>
      </c>
      <c r="N31" s="9"/>
      <c r="O31" s="22">
        <v>5.7983399999999999E-3</v>
      </c>
      <c r="P31" s="22">
        <v>6.7864599999999999</v>
      </c>
      <c r="Q31" s="22">
        <v>-1.54602E-2</v>
      </c>
      <c r="R31" s="22">
        <v>21</v>
      </c>
      <c r="S31" s="22">
        <v>6.1157199999999998E-3</v>
      </c>
      <c r="T31">
        <f t="shared" si="2"/>
        <v>19.086666666666666</v>
      </c>
      <c r="U31">
        <f t="shared" si="3"/>
        <v>0.1106709828</v>
      </c>
      <c r="X31" s="9"/>
      <c r="Y31" s="22">
        <v>0.59433000000000002</v>
      </c>
      <c r="Z31" s="22">
        <v>10.077</v>
      </c>
      <c r="AA31" s="22">
        <v>-1.4169299999999999E-2</v>
      </c>
      <c r="AB31" s="22">
        <v>21</v>
      </c>
      <c r="AC31" s="22">
        <v>0.59384199999999998</v>
      </c>
      <c r="AD31">
        <f t="shared" si="4"/>
        <v>17.492962962962959</v>
      </c>
      <c r="AE31">
        <f t="shared" si="5"/>
        <v>10.396592677777775</v>
      </c>
      <c r="AF31" s="9"/>
      <c r="AG31" s="22">
        <v>5.7983399999999999E-3</v>
      </c>
      <c r="AH31" s="22">
        <v>11.6906</v>
      </c>
      <c r="AI31" s="22">
        <v>-1.5701300000000001E-2</v>
      </c>
      <c r="AJ31" s="22">
        <v>21</v>
      </c>
      <c r="AK31" s="22">
        <v>5.6030300000000002E-3</v>
      </c>
      <c r="AL31">
        <f t="shared" si="6"/>
        <v>19.384320987654323</v>
      </c>
      <c r="AM31">
        <f t="shared" si="7"/>
        <v>0.11239688375555557</v>
      </c>
      <c r="AP31" s="9"/>
      <c r="AQ31" s="22">
        <v>0.59433000000000002</v>
      </c>
      <c r="AR31" s="22">
        <v>14.9651</v>
      </c>
      <c r="AS31" s="22">
        <v>-1.39954E-2</v>
      </c>
      <c r="AT31" s="22">
        <v>21</v>
      </c>
      <c r="AU31" s="22">
        <v>0.59393300000000004</v>
      </c>
      <c r="AV31">
        <f t="shared" si="8"/>
        <v>17.278271604938272</v>
      </c>
      <c r="AW31">
        <f t="shared" si="9"/>
        <v>10.268995162962964</v>
      </c>
      <c r="AX31" s="9"/>
      <c r="AY31" s="22">
        <v>5.7983399999999999E-3</v>
      </c>
      <c r="AZ31" s="22">
        <v>16.578800000000001</v>
      </c>
      <c r="BA31" s="22">
        <v>-1.55426E-2</v>
      </c>
      <c r="BB31" s="22">
        <v>21</v>
      </c>
      <c r="BC31" s="22">
        <v>5.6762699999999998E-3</v>
      </c>
      <c r="BD31">
        <f t="shared" si="10"/>
        <v>19.188395061728393</v>
      </c>
      <c r="BE31">
        <f t="shared" si="11"/>
        <v>0.11126083862222221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0.58929399999999998</v>
      </c>
      <c r="H32" s="22">
        <v>5.1828799999999999</v>
      </c>
      <c r="I32" s="22">
        <v>-1.32599E-2</v>
      </c>
      <c r="J32" s="22">
        <v>22</v>
      </c>
      <c r="K32" s="22">
        <v>0.58847000000000005</v>
      </c>
      <c r="L32">
        <f t="shared" si="0"/>
        <v>16.370246913580246</v>
      </c>
      <c r="M32">
        <f t="shared" si="1"/>
        <v>9.6468882846913573</v>
      </c>
      <c r="N32" s="9"/>
      <c r="O32" s="22">
        <v>1.08337E-2</v>
      </c>
      <c r="P32" s="22">
        <v>6.7965299999999997</v>
      </c>
      <c r="Q32" s="22">
        <v>-1.5450999999999999E-2</v>
      </c>
      <c r="R32" s="22">
        <v>22</v>
      </c>
      <c r="S32" s="22">
        <v>1.14685E-2</v>
      </c>
      <c r="T32">
        <f t="shared" si="2"/>
        <v>19.075308641975305</v>
      </c>
      <c r="U32">
        <f t="shared" si="3"/>
        <v>0.20665617123456786</v>
      </c>
      <c r="X32" s="9"/>
      <c r="Y32" s="22">
        <v>0.58929399999999998</v>
      </c>
      <c r="Z32" s="22">
        <v>10.087</v>
      </c>
      <c r="AA32" s="22">
        <v>-1.41876E-2</v>
      </c>
      <c r="AB32" s="22">
        <v>22</v>
      </c>
      <c r="AC32" s="22">
        <v>0.58819600000000005</v>
      </c>
      <c r="AD32">
        <f t="shared" si="4"/>
        <v>17.515555555555554</v>
      </c>
      <c r="AE32">
        <f t="shared" si="5"/>
        <v>10.321811795555554</v>
      </c>
      <c r="AF32" s="9"/>
      <c r="AG32" s="22">
        <v>1.08337E-2</v>
      </c>
      <c r="AH32" s="22">
        <v>11.700699999999999</v>
      </c>
      <c r="AI32" s="22">
        <v>-1.56921E-2</v>
      </c>
      <c r="AJ32" s="22">
        <v>22</v>
      </c>
      <c r="AK32" s="22">
        <v>1.07788E-2</v>
      </c>
      <c r="AL32">
        <f t="shared" si="6"/>
        <v>19.372962962962962</v>
      </c>
      <c r="AM32">
        <f t="shared" si="7"/>
        <v>0.20988086885185184</v>
      </c>
      <c r="AP32" s="9"/>
      <c r="AQ32" s="22">
        <v>0.58929399999999998</v>
      </c>
      <c r="AR32" s="22">
        <v>14.975199999999999</v>
      </c>
      <c r="AS32" s="22">
        <v>-1.4053299999999999E-2</v>
      </c>
      <c r="AT32" s="22">
        <v>22</v>
      </c>
      <c r="AU32" s="22">
        <v>0.58895900000000001</v>
      </c>
      <c r="AV32">
        <f t="shared" si="8"/>
        <v>17.349753086419753</v>
      </c>
      <c r="AW32">
        <f t="shared" si="9"/>
        <v>10.224105395308641</v>
      </c>
      <c r="AX32" s="9"/>
      <c r="AY32" s="22">
        <v>1.08337E-2</v>
      </c>
      <c r="AZ32" s="22">
        <v>16.588899999999999</v>
      </c>
      <c r="BA32" s="22">
        <v>-1.5527300000000001E-2</v>
      </c>
      <c r="BB32" s="22">
        <v>22</v>
      </c>
      <c r="BC32" s="22">
        <v>1.02966E-2</v>
      </c>
      <c r="BD32">
        <f t="shared" si="10"/>
        <v>19.169506172839505</v>
      </c>
      <c r="BE32">
        <f t="shared" si="11"/>
        <v>0.20767667902469134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0.58425899999999997</v>
      </c>
      <c r="H33" s="22">
        <v>5.1929499999999997</v>
      </c>
      <c r="I33" s="22">
        <v>-1.3384999999999999E-2</v>
      </c>
      <c r="J33" s="22">
        <v>23</v>
      </c>
      <c r="K33" s="22">
        <v>0.58355699999999999</v>
      </c>
      <c r="L33">
        <f t="shared" si="0"/>
        <v>16.52469135802469</v>
      </c>
      <c r="M33">
        <f t="shared" si="1"/>
        <v>9.6546996481481475</v>
      </c>
      <c r="N33" s="9"/>
      <c r="O33" s="22">
        <v>1.5869100000000001E-2</v>
      </c>
      <c r="P33" s="22">
        <v>6.8066000000000004</v>
      </c>
      <c r="Q33" s="22">
        <v>-1.5438800000000001E-2</v>
      </c>
      <c r="R33" s="22">
        <v>23</v>
      </c>
      <c r="S33" s="22">
        <v>1.58569E-2</v>
      </c>
      <c r="T33">
        <f t="shared" si="2"/>
        <v>19.060246913580247</v>
      </c>
      <c r="U33">
        <f t="shared" si="3"/>
        <v>0.30246896429629633</v>
      </c>
      <c r="X33" s="9"/>
      <c r="Y33" s="22">
        <v>0.58425899999999997</v>
      </c>
      <c r="Z33" s="22">
        <v>10.097099999999999</v>
      </c>
      <c r="AA33" s="22">
        <v>-1.42212E-2</v>
      </c>
      <c r="AB33" s="22">
        <v>23</v>
      </c>
      <c r="AC33" s="22">
        <v>0.58285500000000001</v>
      </c>
      <c r="AD33">
        <f t="shared" si="4"/>
        <v>17.557037037037034</v>
      </c>
      <c r="AE33">
        <f t="shared" si="5"/>
        <v>10.257856902222221</v>
      </c>
      <c r="AF33" s="9"/>
      <c r="AG33" s="22">
        <v>1.5869100000000001E-2</v>
      </c>
      <c r="AH33" s="22">
        <v>11.710800000000001</v>
      </c>
      <c r="AI33" s="22">
        <v>-1.5682999999999999E-2</v>
      </c>
      <c r="AJ33" s="22">
        <v>23</v>
      </c>
      <c r="AK33" s="22">
        <v>1.5466300000000001E-2</v>
      </c>
      <c r="AL33">
        <f t="shared" si="6"/>
        <v>19.361728395061725</v>
      </c>
      <c r="AM33">
        <f t="shared" si="7"/>
        <v>0.30725320407407403</v>
      </c>
      <c r="AP33" s="9"/>
      <c r="AQ33" s="22">
        <v>0.58425899999999997</v>
      </c>
      <c r="AR33" s="22">
        <v>14.985300000000001</v>
      </c>
      <c r="AS33" s="22">
        <v>-1.40961E-2</v>
      </c>
      <c r="AT33" s="22">
        <v>23</v>
      </c>
      <c r="AU33" s="22">
        <v>0.58297699999999997</v>
      </c>
      <c r="AV33">
        <f t="shared" si="8"/>
        <v>17.40259259259259</v>
      </c>
      <c r="AW33">
        <f t="shared" si="9"/>
        <v>10.167621345555554</v>
      </c>
      <c r="AX33" s="9"/>
      <c r="AY33" s="22">
        <v>1.5869100000000001E-2</v>
      </c>
      <c r="AZ33" s="22">
        <v>16.5989</v>
      </c>
      <c r="BA33" s="22">
        <v>-1.5521200000000001E-2</v>
      </c>
      <c r="BB33" s="22">
        <v>23</v>
      </c>
      <c r="BC33" s="22">
        <v>1.5438800000000001E-2</v>
      </c>
      <c r="BD33">
        <f t="shared" si="10"/>
        <v>19.161975308641974</v>
      </c>
      <c r="BE33">
        <f t="shared" si="11"/>
        <v>0.30408330237037035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0.57922399999999996</v>
      </c>
      <c r="H34" s="22">
        <v>5.2030200000000004</v>
      </c>
      <c r="I34" s="22">
        <v>-1.3507099999999999E-2</v>
      </c>
      <c r="J34" s="22">
        <v>24</v>
      </c>
      <c r="K34" s="22">
        <v>0.57852199999999998</v>
      </c>
      <c r="L34">
        <f t="shared" si="0"/>
        <v>16.67543209876543</v>
      </c>
      <c r="M34">
        <f t="shared" si="1"/>
        <v>9.6588104819753067</v>
      </c>
      <c r="N34" s="9"/>
      <c r="O34" s="22">
        <v>2.0904499999999999E-2</v>
      </c>
      <c r="P34" s="22">
        <v>6.8166700000000002</v>
      </c>
      <c r="Q34" s="22">
        <v>-1.54266E-2</v>
      </c>
      <c r="R34" s="22">
        <v>24</v>
      </c>
      <c r="S34" s="22">
        <v>2.0419300000000001E-2</v>
      </c>
      <c r="T34">
        <f t="shared" si="2"/>
        <v>19.045185185185186</v>
      </c>
      <c r="U34">
        <f t="shared" si="3"/>
        <v>0.39813007370370374</v>
      </c>
      <c r="X34" s="9"/>
      <c r="Y34" s="22">
        <v>0.57922399999999996</v>
      </c>
      <c r="Z34" s="22">
        <v>10.107200000000001</v>
      </c>
      <c r="AA34" s="22">
        <v>-1.42487E-2</v>
      </c>
      <c r="AB34" s="22">
        <v>24</v>
      </c>
      <c r="AC34" s="22">
        <v>0.57870500000000002</v>
      </c>
      <c r="AD34">
        <f t="shared" si="4"/>
        <v>17.590987654320987</v>
      </c>
      <c r="AE34">
        <f t="shared" si="5"/>
        <v>10.189122233086419</v>
      </c>
      <c r="AF34" s="9"/>
      <c r="AG34" s="22">
        <v>2.0904499999999999E-2</v>
      </c>
      <c r="AH34" s="22">
        <v>11.720800000000001</v>
      </c>
      <c r="AI34" s="22">
        <v>-1.5673800000000002E-2</v>
      </c>
      <c r="AJ34" s="22">
        <v>24</v>
      </c>
      <c r="AK34" s="22">
        <v>2.0727499999999999E-2</v>
      </c>
      <c r="AL34">
        <f t="shared" si="6"/>
        <v>19.350370370370371</v>
      </c>
      <c r="AM34">
        <f t="shared" si="7"/>
        <v>0.40450981740740738</v>
      </c>
      <c r="AP34" s="9"/>
      <c r="AQ34" s="22">
        <v>0.57922399999999996</v>
      </c>
      <c r="AR34" s="22">
        <v>14.9954</v>
      </c>
      <c r="AS34" s="22">
        <v>-1.4135699999999999E-2</v>
      </c>
      <c r="AT34" s="22">
        <v>24</v>
      </c>
      <c r="AU34" s="22">
        <v>0.57855199999999996</v>
      </c>
      <c r="AV34">
        <f t="shared" si="8"/>
        <v>17.45148148148148</v>
      </c>
      <c r="AW34">
        <f t="shared" si="9"/>
        <v>10.108316909629629</v>
      </c>
      <c r="AX34" s="9"/>
      <c r="AY34" s="22">
        <v>2.0904499999999999E-2</v>
      </c>
      <c r="AZ34" s="22">
        <v>16.609000000000002</v>
      </c>
      <c r="BA34" s="22">
        <v>-1.5512099999999999E-2</v>
      </c>
      <c r="BB34" s="22">
        <v>24</v>
      </c>
      <c r="BC34" s="22">
        <v>1.9940200000000002E-2</v>
      </c>
      <c r="BD34">
        <f t="shared" si="10"/>
        <v>19.150740740740741</v>
      </c>
      <c r="BE34">
        <f t="shared" si="11"/>
        <v>0.40033665981481481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0.57418800000000003</v>
      </c>
      <c r="H35" s="22">
        <v>5.2130900000000002</v>
      </c>
      <c r="I35" s="22">
        <v>-1.3595599999999999E-2</v>
      </c>
      <c r="J35" s="22">
        <v>25</v>
      </c>
      <c r="K35" s="22">
        <v>0.57354700000000003</v>
      </c>
      <c r="L35">
        <f t="shared" si="0"/>
        <v>16.784691358024691</v>
      </c>
      <c r="M35">
        <f t="shared" si="1"/>
        <v>9.6375683614814811</v>
      </c>
      <c r="N35" s="9"/>
      <c r="O35" s="22">
        <v>2.5939899999999998E-2</v>
      </c>
      <c r="P35" s="22">
        <v>6.82674</v>
      </c>
      <c r="Q35" s="22">
        <v>-1.5417500000000001E-2</v>
      </c>
      <c r="R35" s="22">
        <v>25</v>
      </c>
      <c r="S35" s="22">
        <v>2.53204E-2</v>
      </c>
      <c r="T35">
        <f t="shared" si="2"/>
        <v>19.033950617283949</v>
      </c>
      <c r="U35">
        <f t="shared" si="3"/>
        <v>0.49373877561728391</v>
      </c>
      <c r="X35" s="9"/>
      <c r="Y35" s="22">
        <v>0.57418800000000003</v>
      </c>
      <c r="Z35" s="22">
        <v>10.1173</v>
      </c>
      <c r="AA35" s="22">
        <v>-1.4279200000000001E-2</v>
      </c>
      <c r="AB35" s="22">
        <v>25</v>
      </c>
      <c r="AC35" s="22">
        <v>0.57305899999999999</v>
      </c>
      <c r="AD35">
        <f t="shared" si="4"/>
        <v>17.628641975308639</v>
      </c>
      <c r="AE35">
        <f t="shared" si="5"/>
        <v>10.122154678518518</v>
      </c>
      <c r="AF35" s="9"/>
      <c r="AG35" s="22">
        <v>2.5939899999999998E-2</v>
      </c>
      <c r="AH35" s="22">
        <v>11.7309</v>
      </c>
      <c r="AI35" s="22">
        <v>-1.56677E-2</v>
      </c>
      <c r="AJ35" s="22">
        <v>25</v>
      </c>
      <c r="AK35" s="22">
        <v>2.5750700000000001E-2</v>
      </c>
      <c r="AL35">
        <f t="shared" si="6"/>
        <v>19.342839506172837</v>
      </c>
      <c r="AM35">
        <f t="shared" si="7"/>
        <v>0.50175132250617271</v>
      </c>
      <c r="AP35" s="9"/>
      <c r="AQ35" s="22">
        <v>0.57418800000000003</v>
      </c>
      <c r="AR35" s="22">
        <v>15.0054</v>
      </c>
      <c r="AS35" s="22">
        <v>-1.41724E-2</v>
      </c>
      <c r="AT35" s="22">
        <v>25</v>
      </c>
      <c r="AU35" s="22">
        <v>0.57299800000000001</v>
      </c>
      <c r="AV35">
        <f t="shared" si="8"/>
        <v>17.496790123456787</v>
      </c>
      <c r="AW35">
        <f t="shared" si="9"/>
        <v>10.046446927407406</v>
      </c>
      <c r="AX35" s="9"/>
      <c r="AY35" s="22">
        <v>2.5939899999999998E-2</v>
      </c>
      <c r="AZ35" s="22">
        <v>16.6191</v>
      </c>
      <c r="BA35" s="22">
        <v>-1.55029E-2</v>
      </c>
      <c r="BB35" s="22">
        <v>25</v>
      </c>
      <c r="BC35" s="22">
        <v>2.5381500000000001E-2</v>
      </c>
      <c r="BD35">
        <f t="shared" si="10"/>
        <v>19.139382716049383</v>
      </c>
      <c r="BE35">
        <f t="shared" si="11"/>
        <v>0.49647367371604934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0.56915300000000002</v>
      </c>
      <c r="H36" s="22">
        <v>5.2231699999999996</v>
      </c>
      <c r="I36" s="22">
        <v>-1.3684099999999999E-2</v>
      </c>
      <c r="J36" s="22">
        <v>26</v>
      </c>
      <c r="K36" s="22">
        <v>0.56854199999999999</v>
      </c>
      <c r="L36">
        <f t="shared" si="0"/>
        <v>16.893950617283949</v>
      </c>
      <c r="M36">
        <f t="shared" si="1"/>
        <v>9.6152426756790117</v>
      </c>
      <c r="N36" s="9"/>
      <c r="O36" s="22">
        <v>3.0975300000000001E-2</v>
      </c>
      <c r="P36" s="22">
        <v>6.8368099999999998</v>
      </c>
      <c r="Q36" s="22">
        <v>-1.54053E-2</v>
      </c>
      <c r="R36" s="22">
        <v>26</v>
      </c>
      <c r="S36" s="22">
        <v>3.06488E-2</v>
      </c>
      <c r="T36">
        <f t="shared" si="2"/>
        <v>19.018888888888888</v>
      </c>
      <c r="U36">
        <f t="shared" si="3"/>
        <v>0.58911578899999995</v>
      </c>
      <c r="X36" s="9"/>
      <c r="Y36" s="22">
        <v>0.56915300000000002</v>
      </c>
      <c r="Z36" s="22">
        <v>10.1273</v>
      </c>
      <c r="AA36" s="22">
        <v>-1.4297499999999999E-2</v>
      </c>
      <c r="AB36" s="22">
        <v>26</v>
      </c>
      <c r="AC36" s="22">
        <v>0.56820700000000002</v>
      </c>
      <c r="AD36">
        <f t="shared" si="4"/>
        <v>17.651234567901231</v>
      </c>
      <c r="AE36">
        <f t="shared" si="5"/>
        <v>10.04625310802469</v>
      </c>
      <c r="AF36" s="9"/>
      <c r="AG36" s="22">
        <v>3.0975300000000001E-2</v>
      </c>
      <c r="AH36" s="22">
        <v>11.741</v>
      </c>
      <c r="AI36" s="22">
        <v>-1.5658600000000002E-2</v>
      </c>
      <c r="AJ36" s="22">
        <v>26</v>
      </c>
      <c r="AK36" s="22">
        <v>3.1005899999999999E-2</v>
      </c>
      <c r="AL36">
        <f t="shared" si="6"/>
        <v>19.331604938271607</v>
      </c>
      <c r="AM36">
        <f t="shared" si="7"/>
        <v>0.59880226244444457</v>
      </c>
      <c r="AP36" s="9"/>
      <c r="AQ36" s="22">
        <v>0.56915300000000002</v>
      </c>
      <c r="AR36" s="22">
        <v>15.015499999999999</v>
      </c>
      <c r="AS36" s="22">
        <v>-1.41998E-2</v>
      </c>
      <c r="AT36" s="22">
        <v>26</v>
      </c>
      <c r="AU36" s="22">
        <v>0.56854199999999999</v>
      </c>
      <c r="AV36">
        <f t="shared" si="8"/>
        <v>17.530617283950615</v>
      </c>
      <c r="AW36">
        <f t="shared" si="9"/>
        <v>9.977603419012345</v>
      </c>
      <c r="AX36" s="9"/>
      <c r="AY36" s="22">
        <v>3.0975300000000001E-2</v>
      </c>
      <c r="AZ36" s="22">
        <v>16.629100000000001</v>
      </c>
      <c r="BA36" s="22">
        <v>-1.54999E-2</v>
      </c>
      <c r="BB36" s="22">
        <v>26</v>
      </c>
      <c r="BC36" s="22">
        <v>3.0807500000000002E-2</v>
      </c>
      <c r="BD36">
        <f t="shared" si="10"/>
        <v>19.13567901234568</v>
      </c>
      <c r="BE36">
        <f t="shared" si="11"/>
        <v>0.59273339811111114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0.56411699999999998</v>
      </c>
      <c r="H37" s="22">
        <v>5.2332400000000003</v>
      </c>
      <c r="I37" s="22">
        <v>-1.3772599999999999E-2</v>
      </c>
      <c r="J37" s="22">
        <v>27</v>
      </c>
      <c r="K37" s="22">
        <v>0.56347700000000001</v>
      </c>
      <c r="L37">
        <f t="shared" si="0"/>
        <v>17.00320987654321</v>
      </c>
      <c r="M37">
        <f t="shared" si="1"/>
        <v>9.5917997459259254</v>
      </c>
      <c r="N37" s="9"/>
      <c r="O37" s="22">
        <v>3.60107E-2</v>
      </c>
      <c r="P37" s="22">
        <v>6.8468799999999996</v>
      </c>
      <c r="Q37" s="22">
        <v>-1.53992E-2</v>
      </c>
      <c r="R37" s="22">
        <v>27</v>
      </c>
      <c r="S37" s="22">
        <v>3.58459E-2</v>
      </c>
      <c r="T37">
        <f t="shared" si="2"/>
        <v>19.011358024691354</v>
      </c>
      <c r="U37">
        <f t="shared" si="3"/>
        <v>0.6846123104197529</v>
      </c>
      <c r="X37" s="9"/>
      <c r="Y37" s="22">
        <v>0.56411699999999998</v>
      </c>
      <c r="Z37" s="22">
        <v>10.1374</v>
      </c>
      <c r="AA37" s="22">
        <v>-1.4324999999999999E-2</v>
      </c>
      <c r="AB37" s="22">
        <v>27</v>
      </c>
      <c r="AC37" s="22">
        <v>0.56335400000000002</v>
      </c>
      <c r="AD37">
        <f t="shared" si="4"/>
        <v>17.685185185185183</v>
      </c>
      <c r="AE37">
        <f t="shared" si="5"/>
        <v>9.976513611111109</v>
      </c>
      <c r="AF37" s="9"/>
      <c r="AG37" s="22">
        <v>3.60107E-2</v>
      </c>
      <c r="AH37" s="22">
        <v>11.750999999999999</v>
      </c>
      <c r="AI37" s="22">
        <v>-1.5649400000000001E-2</v>
      </c>
      <c r="AJ37" s="22">
        <v>27</v>
      </c>
      <c r="AK37" s="22">
        <v>3.5821499999999999E-2</v>
      </c>
      <c r="AL37">
        <f t="shared" si="6"/>
        <v>19.320246913580245</v>
      </c>
      <c r="AM37">
        <f t="shared" si="7"/>
        <v>0.69573561553086416</v>
      </c>
      <c r="AP37" s="9"/>
      <c r="AQ37" s="22">
        <v>0.56411699999999998</v>
      </c>
      <c r="AR37" s="22">
        <v>15.025600000000001</v>
      </c>
      <c r="AS37" s="22">
        <v>-1.42334E-2</v>
      </c>
      <c r="AT37" s="22">
        <v>27</v>
      </c>
      <c r="AU37" s="22">
        <v>0.56323199999999995</v>
      </c>
      <c r="AV37">
        <f t="shared" si="8"/>
        <v>17.572098765432099</v>
      </c>
      <c r="AW37">
        <f t="shared" si="9"/>
        <v>9.912719639259258</v>
      </c>
      <c r="AX37" s="9"/>
      <c r="AY37" s="22">
        <v>3.60107E-2</v>
      </c>
      <c r="AZ37" s="22">
        <v>16.639199999999999</v>
      </c>
      <c r="BA37" s="22">
        <v>-1.54907E-2</v>
      </c>
      <c r="BB37" s="22">
        <v>27</v>
      </c>
      <c r="BC37" s="22">
        <v>3.5848999999999999E-2</v>
      </c>
      <c r="BD37">
        <f t="shared" si="10"/>
        <v>19.124320987654318</v>
      </c>
      <c r="BE37">
        <f t="shared" si="11"/>
        <v>0.68868018579012336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0.55908199999999997</v>
      </c>
      <c r="H38" s="22">
        <v>5.2433100000000001</v>
      </c>
      <c r="I38" s="22">
        <v>-1.38367E-2</v>
      </c>
      <c r="J38" s="22">
        <v>28</v>
      </c>
      <c r="K38" s="22">
        <v>0.55844099999999997</v>
      </c>
      <c r="L38">
        <f t="shared" si="0"/>
        <v>17.082345679012345</v>
      </c>
      <c r="M38">
        <f t="shared" si="1"/>
        <v>9.5504319869135799</v>
      </c>
      <c r="N38" s="9"/>
      <c r="O38" s="22">
        <v>4.1046100000000002E-2</v>
      </c>
      <c r="P38" s="22">
        <v>6.8569500000000003</v>
      </c>
      <c r="Q38" s="22">
        <v>-1.5389999999999999E-2</v>
      </c>
      <c r="R38" s="22">
        <v>28</v>
      </c>
      <c r="S38" s="22">
        <v>4.0908800000000002E-2</v>
      </c>
      <c r="T38">
        <f t="shared" si="2"/>
        <v>18.999999999999996</v>
      </c>
      <c r="U38">
        <f t="shared" si="3"/>
        <v>0.77987589999999984</v>
      </c>
      <c r="X38" s="9"/>
      <c r="Y38" s="22">
        <v>0.55908199999999997</v>
      </c>
      <c r="Z38" s="22">
        <v>10.147500000000001</v>
      </c>
      <c r="AA38" s="22">
        <v>-1.43433E-2</v>
      </c>
      <c r="AB38" s="22">
        <v>28</v>
      </c>
      <c r="AC38" s="22">
        <v>0.55865500000000001</v>
      </c>
      <c r="AD38">
        <f t="shared" si="4"/>
        <v>17.707777777777778</v>
      </c>
      <c r="AE38">
        <f t="shared" si="5"/>
        <v>9.9000998155555546</v>
      </c>
      <c r="AF38" s="9"/>
      <c r="AG38" s="22">
        <v>4.1046100000000002E-2</v>
      </c>
      <c r="AH38" s="22">
        <v>11.761100000000001</v>
      </c>
      <c r="AI38" s="22">
        <v>-1.5640299999999999E-2</v>
      </c>
      <c r="AJ38" s="22">
        <v>28</v>
      </c>
      <c r="AK38" s="22">
        <v>4.07806E-2</v>
      </c>
      <c r="AL38">
        <f t="shared" si="6"/>
        <v>19.309012345679012</v>
      </c>
      <c r="AM38">
        <f t="shared" si="7"/>
        <v>0.79255965164197528</v>
      </c>
      <c r="AP38" s="9"/>
      <c r="AQ38" s="22">
        <v>0.55908199999999997</v>
      </c>
      <c r="AR38" s="22">
        <v>15.035600000000001</v>
      </c>
      <c r="AS38" s="22">
        <v>-1.42609E-2</v>
      </c>
      <c r="AT38" s="22">
        <v>28</v>
      </c>
      <c r="AU38" s="22">
        <v>0.55822799999999995</v>
      </c>
      <c r="AV38">
        <f t="shared" si="8"/>
        <v>17.606049382716048</v>
      </c>
      <c r="AW38">
        <f t="shared" si="9"/>
        <v>9.8432253009876529</v>
      </c>
      <c r="AX38" s="9"/>
      <c r="AY38" s="22">
        <v>4.1046100000000002E-2</v>
      </c>
      <c r="AZ38" s="22">
        <v>16.6493</v>
      </c>
      <c r="BA38" s="22">
        <v>-1.5478499999999999E-2</v>
      </c>
      <c r="BB38" s="22">
        <v>28</v>
      </c>
      <c r="BC38" s="22">
        <v>4.1143800000000001E-2</v>
      </c>
      <c r="BD38">
        <f t="shared" si="10"/>
        <v>19.109259259259257</v>
      </c>
      <c r="BE38">
        <f t="shared" si="11"/>
        <v>0.78436056648148145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0.55404699999999996</v>
      </c>
      <c r="H39" s="22">
        <v>5.2533799999999999</v>
      </c>
      <c r="I39" s="22">
        <v>-1.38916E-2</v>
      </c>
      <c r="J39" s="22">
        <v>29</v>
      </c>
      <c r="K39" s="22">
        <v>0.55337499999999995</v>
      </c>
      <c r="L39">
        <f t="shared" si="0"/>
        <v>17.150123456790123</v>
      </c>
      <c r="M39">
        <f t="shared" si="1"/>
        <v>9.5019744508641963</v>
      </c>
      <c r="N39" s="9"/>
      <c r="O39" s="22">
        <v>4.6081499999999997E-2</v>
      </c>
      <c r="P39" s="22">
        <v>6.8670200000000001</v>
      </c>
      <c r="Q39" s="22">
        <v>-1.5380899999999999E-2</v>
      </c>
      <c r="R39" s="22">
        <v>29</v>
      </c>
      <c r="S39" s="22">
        <v>4.6719400000000001E-2</v>
      </c>
      <c r="T39">
        <f t="shared" si="2"/>
        <v>18.988765432098763</v>
      </c>
      <c r="U39">
        <f t="shared" si="3"/>
        <v>0.87503079425925911</v>
      </c>
      <c r="X39" s="9"/>
      <c r="Y39" s="22">
        <v>0.55404699999999996</v>
      </c>
      <c r="Z39" s="22">
        <v>10.157500000000001</v>
      </c>
      <c r="AA39" s="22">
        <v>-1.43707E-2</v>
      </c>
      <c r="AB39" s="22">
        <v>29</v>
      </c>
      <c r="AC39" s="22">
        <v>0.55252100000000004</v>
      </c>
      <c r="AD39">
        <f t="shared" si="4"/>
        <v>17.741604938271603</v>
      </c>
      <c r="AE39">
        <f t="shared" si="5"/>
        <v>9.8296829912345665</v>
      </c>
      <c r="AF39" s="9"/>
      <c r="AG39" s="22">
        <v>4.6081499999999997E-2</v>
      </c>
      <c r="AH39" s="22">
        <v>11.7712</v>
      </c>
      <c r="AI39" s="22">
        <v>-1.5628099999999999E-2</v>
      </c>
      <c r="AJ39" s="22">
        <v>29</v>
      </c>
      <c r="AK39" s="22">
        <v>4.5858799999999998E-2</v>
      </c>
      <c r="AL39">
        <f t="shared" si="6"/>
        <v>19.293950617283947</v>
      </c>
      <c r="AM39">
        <f t="shared" si="7"/>
        <v>0.88909418537037022</v>
      </c>
      <c r="AP39" s="9"/>
      <c r="AQ39" s="22">
        <v>0.55404699999999996</v>
      </c>
      <c r="AR39" s="22">
        <v>15.0457</v>
      </c>
      <c r="AS39" s="22">
        <v>-1.42883E-2</v>
      </c>
      <c r="AT39" s="22">
        <v>29</v>
      </c>
      <c r="AU39" s="22">
        <v>0.55313100000000004</v>
      </c>
      <c r="AV39">
        <f t="shared" si="8"/>
        <v>17.639876543209876</v>
      </c>
      <c r="AW39">
        <f t="shared" si="9"/>
        <v>9.7733206791358018</v>
      </c>
      <c r="AX39" s="9"/>
      <c r="AY39" s="22">
        <v>4.6081499999999997E-2</v>
      </c>
      <c r="AZ39" s="22">
        <v>16.659400000000002</v>
      </c>
      <c r="BA39" s="22">
        <v>-1.5469399999999999E-2</v>
      </c>
      <c r="BB39" s="22">
        <v>29</v>
      </c>
      <c r="BC39" s="22">
        <v>4.5712299999999997E-2</v>
      </c>
      <c r="BD39">
        <f t="shared" si="10"/>
        <v>19.09802469135802</v>
      </c>
      <c r="BE39">
        <f t="shared" si="11"/>
        <v>0.88006562481481454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0.54901100000000003</v>
      </c>
      <c r="H40" s="22">
        <v>5.2634499999999997</v>
      </c>
      <c r="I40" s="22">
        <v>-1.39496E-2</v>
      </c>
      <c r="J40" s="22">
        <v>30</v>
      </c>
      <c r="K40" s="22">
        <v>0.54837000000000002</v>
      </c>
      <c r="L40">
        <f t="shared" si="0"/>
        <v>17.221728395061724</v>
      </c>
      <c r="M40">
        <f t="shared" si="1"/>
        <v>9.4549183279012325</v>
      </c>
      <c r="N40" s="9"/>
      <c r="O40" s="22">
        <v>5.11169E-2</v>
      </c>
      <c r="P40" s="22">
        <v>6.8771000000000004</v>
      </c>
      <c r="Q40" s="22">
        <v>-1.5368700000000001E-2</v>
      </c>
      <c r="R40" s="22">
        <v>30</v>
      </c>
      <c r="S40" s="22">
        <v>5.0903299999999999E-2</v>
      </c>
      <c r="T40">
        <f t="shared" si="2"/>
        <v>18.973703703703706</v>
      </c>
      <c r="U40">
        <f t="shared" si="3"/>
        <v>0.9698769148518519</v>
      </c>
      <c r="X40" s="9"/>
      <c r="Y40" s="22">
        <v>0.54901100000000003</v>
      </c>
      <c r="Z40" s="22">
        <v>10.1676</v>
      </c>
      <c r="AA40" s="22">
        <v>-1.4395099999999999E-2</v>
      </c>
      <c r="AB40" s="22">
        <v>30</v>
      </c>
      <c r="AC40" s="22">
        <v>0.54785200000000001</v>
      </c>
      <c r="AD40">
        <f t="shared" si="4"/>
        <v>17.771728395061729</v>
      </c>
      <c r="AE40">
        <f t="shared" si="5"/>
        <v>9.7568743779012355</v>
      </c>
      <c r="AF40" s="9"/>
      <c r="AG40" s="22">
        <v>5.11169E-2</v>
      </c>
      <c r="AH40" s="22">
        <v>11.7812</v>
      </c>
      <c r="AI40" s="22">
        <v>-1.5621899999999999E-2</v>
      </c>
      <c r="AJ40" s="22">
        <v>30</v>
      </c>
      <c r="AK40" s="22">
        <v>5.0820900000000002E-2</v>
      </c>
      <c r="AL40">
        <f t="shared" si="6"/>
        <v>19.286296296296296</v>
      </c>
      <c r="AM40">
        <f t="shared" si="7"/>
        <v>0.98585567914814809</v>
      </c>
      <c r="AP40" s="9"/>
      <c r="AQ40" s="22">
        <v>0.54901100000000003</v>
      </c>
      <c r="AR40" s="22">
        <v>15.0558</v>
      </c>
      <c r="AS40" s="22">
        <v>-1.4312699999999999E-2</v>
      </c>
      <c r="AT40" s="22">
        <v>30</v>
      </c>
      <c r="AU40" s="22">
        <v>0.54821799999999998</v>
      </c>
      <c r="AV40">
        <f t="shared" si="8"/>
        <v>17.669999999999998</v>
      </c>
      <c r="AW40">
        <f t="shared" si="9"/>
        <v>9.701024369999999</v>
      </c>
      <c r="AX40" s="9"/>
      <c r="AY40" s="22">
        <v>5.11169E-2</v>
      </c>
      <c r="AZ40" s="22">
        <v>16.6694</v>
      </c>
      <c r="BA40" s="22">
        <v>-1.5457200000000001E-2</v>
      </c>
      <c r="BB40" s="22">
        <v>30</v>
      </c>
      <c r="BC40" s="22">
        <v>5.1699799999999997E-2</v>
      </c>
      <c r="BD40">
        <f t="shared" si="10"/>
        <v>19.082962962962963</v>
      </c>
      <c r="BE40">
        <f t="shared" si="11"/>
        <v>0.97546190948148148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0.54397600000000002</v>
      </c>
      <c r="H41" s="22">
        <v>5.2735200000000004</v>
      </c>
      <c r="I41" s="22">
        <v>-1.3998399999999999E-2</v>
      </c>
      <c r="J41" s="22">
        <v>31</v>
      </c>
      <c r="K41" s="22">
        <v>0.54327400000000003</v>
      </c>
      <c r="L41">
        <f t="shared" si="0"/>
        <v>17.281975308641975</v>
      </c>
      <c r="M41">
        <f t="shared" si="1"/>
        <v>9.4009798004938272</v>
      </c>
      <c r="N41" s="9"/>
      <c r="O41" s="22">
        <v>5.6152300000000002E-2</v>
      </c>
      <c r="P41" s="22">
        <v>6.8871700000000002</v>
      </c>
      <c r="Q41" s="22">
        <v>-1.53595E-2</v>
      </c>
      <c r="R41" s="22">
        <v>31</v>
      </c>
      <c r="S41" s="22">
        <v>5.5633500000000002E-2</v>
      </c>
      <c r="T41">
        <f t="shared" si="2"/>
        <v>18.962345679012344</v>
      </c>
      <c r="U41">
        <f t="shared" si="3"/>
        <v>1.064779323271605</v>
      </c>
      <c r="X41" s="9"/>
      <c r="Y41" s="22">
        <v>0.54397600000000002</v>
      </c>
      <c r="Z41" s="22">
        <v>10.1777</v>
      </c>
      <c r="AA41" s="22">
        <v>-1.44073E-2</v>
      </c>
      <c r="AB41" s="22">
        <v>31</v>
      </c>
      <c r="AC41" s="22">
        <v>0.54367100000000002</v>
      </c>
      <c r="AD41">
        <f t="shared" si="4"/>
        <v>17.78679012345679</v>
      </c>
      <c r="AE41">
        <f t="shared" si="5"/>
        <v>9.67558694419753</v>
      </c>
      <c r="AF41" s="9"/>
      <c r="AG41" s="22">
        <v>5.6152300000000002E-2</v>
      </c>
      <c r="AH41" s="22">
        <v>11.7913</v>
      </c>
      <c r="AI41" s="22">
        <v>-1.56128E-2</v>
      </c>
      <c r="AJ41" s="22">
        <v>31</v>
      </c>
      <c r="AK41" s="22">
        <v>5.5542000000000001E-2</v>
      </c>
      <c r="AL41">
        <f t="shared" si="6"/>
        <v>19.275061728395059</v>
      </c>
      <c r="AM41">
        <f t="shared" si="7"/>
        <v>1.082339048691358</v>
      </c>
      <c r="AP41" s="9"/>
      <c r="AQ41" s="22">
        <v>0.54397600000000002</v>
      </c>
      <c r="AR41" s="22">
        <v>15.065899999999999</v>
      </c>
      <c r="AS41" s="22">
        <v>-1.4340200000000001E-2</v>
      </c>
      <c r="AT41" s="22">
        <v>31</v>
      </c>
      <c r="AU41" s="22">
        <v>0.54418900000000003</v>
      </c>
      <c r="AV41">
        <f t="shared" si="8"/>
        <v>17.703950617283951</v>
      </c>
      <c r="AW41">
        <f t="shared" si="9"/>
        <v>9.6305242409876541</v>
      </c>
      <c r="AX41" s="9"/>
      <c r="AY41" s="22">
        <v>5.6152300000000002E-2</v>
      </c>
      <c r="AZ41" s="22">
        <v>16.679500000000001</v>
      </c>
      <c r="BA41" s="22">
        <v>-1.5448E-2</v>
      </c>
      <c r="BB41" s="22">
        <v>31</v>
      </c>
      <c r="BC41" s="22">
        <v>5.58472E-2</v>
      </c>
      <c r="BD41">
        <f t="shared" si="10"/>
        <v>19.071604938271605</v>
      </c>
      <c r="BE41">
        <f t="shared" si="11"/>
        <v>1.0709144819753087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0.53893999999999997</v>
      </c>
      <c r="H42" s="22">
        <v>5.2835900000000002</v>
      </c>
      <c r="I42" s="22">
        <v>-1.4047199999999999E-2</v>
      </c>
      <c r="J42" s="22">
        <v>32</v>
      </c>
      <c r="K42" s="22">
        <v>0.53842199999999996</v>
      </c>
      <c r="L42">
        <f t="shared" si="0"/>
        <v>17.342222222222222</v>
      </c>
      <c r="M42">
        <f t="shared" si="1"/>
        <v>9.346417244444444</v>
      </c>
      <c r="N42" s="9"/>
      <c r="O42" s="22">
        <v>6.1187699999999998E-2</v>
      </c>
      <c r="P42" s="22">
        <v>6.89724</v>
      </c>
      <c r="Q42" s="22">
        <v>-1.5356399999999999E-2</v>
      </c>
      <c r="R42" s="22">
        <v>32</v>
      </c>
      <c r="S42" s="22">
        <v>6.0852099999999999E-2</v>
      </c>
      <c r="T42">
        <f t="shared" si="2"/>
        <v>18.958518518518517</v>
      </c>
      <c r="U42">
        <f t="shared" si="3"/>
        <v>1.1600281435555555</v>
      </c>
      <c r="X42" s="9"/>
      <c r="Y42" s="22">
        <v>0.53893999999999997</v>
      </c>
      <c r="Z42" s="22">
        <v>10.1877</v>
      </c>
      <c r="AA42" s="22">
        <v>-1.4422600000000001E-2</v>
      </c>
      <c r="AB42" s="22">
        <v>32</v>
      </c>
      <c r="AC42" s="22">
        <v>0.53872699999999996</v>
      </c>
      <c r="AD42">
        <f t="shared" si="4"/>
        <v>17.805679012345678</v>
      </c>
      <c r="AE42">
        <f t="shared" si="5"/>
        <v>9.596192646913579</v>
      </c>
      <c r="AF42" s="9"/>
      <c r="AG42" s="22">
        <v>6.1187699999999998E-2</v>
      </c>
      <c r="AH42" s="22">
        <v>11.801399999999999</v>
      </c>
      <c r="AI42" s="22">
        <v>-1.56036E-2</v>
      </c>
      <c r="AJ42" s="22">
        <v>32</v>
      </c>
      <c r="AK42" s="22">
        <v>6.1004599999999999E-2</v>
      </c>
      <c r="AL42">
        <f t="shared" si="6"/>
        <v>19.263703703703705</v>
      </c>
      <c r="AM42">
        <f t="shared" si="7"/>
        <v>1.1787017231111112</v>
      </c>
      <c r="AP42" s="9"/>
      <c r="AQ42" s="22">
        <v>0.53893999999999997</v>
      </c>
      <c r="AR42" s="22">
        <v>15.075900000000001</v>
      </c>
      <c r="AS42" s="22">
        <v>-1.43555E-2</v>
      </c>
      <c r="AT42" s="22">
        <v>32</v>
      </c>
      <c r="AU42" s="22">
        <v>0.53817700000000002</v>
      </c>
      <c r="AV42">
        <f t="shared" si="8"/>
        <v>17.722839506172836</v>
      </c>
      <c r="AW42">
        <f t="shared" si="9"/>
        <v>9.5515471234567872</v>
      </c>
      <c r="AX42" s="9"/>
      <c r="AY42" s="22">
        <v>6.1187699999999998E-2</v>
      </c>
      <c r="AZ42" s="22">
        <v>16.689599999999999</v>
      </c>
      <c r="BA42" s="22">
        <v>-1.5438800000000001E-2</v>
      </c>
      <c r="BB42" s="22">
        <v>32</v>
      </c>
      <c r="BC42" s="22">
        <v>6.0668899999999998E-2</v>
      </c>
      <c r="BD42">
        <f t="shared" si="10"/>
        <v>19.060246913580247</v>
      </c>
      <c r="BE42">
        <f t="shared" si="11"/>
        <v>1.1662526700740741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0.53390499999999996</v>
      </c>
      <c r="H43" s="22">
        <v>5.29366</v>
      </c>
      <c r="I43" s="22">
        <v>-1.4093E-2</v>
      </c>
      <c r="J43" s="22">
        <v>33</v>
      </c>
      <c r="K43" s="22">
        <v>0.53311200000000003</v>
      </c>
      <c r="L43">
        <f t="shared" si="0"/>
        <v>17.398765432098763</v>
      </c>
      <c r="M43">
        <f t="shared" si="1"/>
        <v>9.2892878580246894</v>
      </c>
      <c r="N43" s="9"/>
      <c r="O43" s="22">
        <v>6.6223099999999993E-2</v>
      </c>
      <c r="P43" s="22">
        <v>6.9073099999999998</v>
      </c>
      <c r="Q43" s="22">
        <v>-1.5350300000000001E-2</v>
      </c>
      <c r="R43" s="22">
        <v>33</v>
      </c>
      <c r="S43" s="22">
        <v>6.5429699999999993E-2</v>
      </c>
      <c r="T43">
        <f t="shared" si="2"/>
        <v>18.95098765432099</v>
      </c>
      <c r="U43">
        <f t="shared" si="3"/>
        <v>1.2549931505308642</v>
      </c>
      <c r="X43" s="9"/>
      <c r="Y43" s="22">
        <v>0.53390499999999996</v>
      </c>
      <c r="Z43" s="22">
        <v>10.197800000000001</v>
      </c>
      <c r="AA43" s="22">
        <v>-1.4428699999999999E-2</v>
      </c>
      <c r="AB43" s="22">
        <v>33</v>
      </c>
      <c r="AC43" s="22">
        <v>0.53268400000000005</v>
      </c>
      <c r="AD43">
        <f t="shared" si="4"/>
        <v>17.813209876543205</v>
      </c>
      <c r="AE43">
        <f t="shared" si="5"/>
        <v>9.5105618191357983</v>
      </c>
      <c r="AF43" s="9"/>
      <c r="AG43" s="22">
        <v>6.6223099999999993E-2</v>
      </c>
      <c r="AH43" s="22">
        <v>11.811500000000001</v>
      </c>
      <c r="AI43" s="22">
        <v>-1.5594500000000001E-2</v>
      </c>
      <c r="AJ43" s="22">
        <v>33</v>
      </c>
      <c r="AK43" s="22">
        <v>6.5765400000000002E-2</v>
      </c>
      <c r="AL43">
        <f t="shared" si="6"/>
        <v>19.252469135802468</v>
      </c>
      <c r="AM43">
        <f t="shared" si="7"/>
        <v>1.2749581888271602</v>
      </c>
      <c r="AP43" s="9"/>
      <c r="AQ43" s="22">
        <v>0.53390499999999996</v>
      </c>
      <c r="AR43" s="22">
        <v>15.086</v>
      </c>
      <c r="AS43" s="22">
        <v>-1.4379899999999999E-2</v>
      </c>
      <c r="AT43" s="22">
        <v>33</v>
      </c>
      <c r="AU43" s="22">
        <v>0.53323399999999999</v>
      </c>
      <c r="AV43">
        <f t="shared" si="8"/>
        <v>17.752962962962961</v>
      </c>
      <c r="AW43">
        <f t="shared" si="9"/>
        <v>9.4783956907407383</v>
      </c>
      <c r="AX43" s="9"/>
      <c r="AY43" s="22">
        <v>6.6223099999999993E-2</v>
      </c>
      <c r="AZ43" s="22">
        <v>16.6996</v>
      </c>
      <c r="BA43" s="22">
        <v>-1.54266E-2</v>
      </c>
      <c r="BB43" s="22">
        <v>33</v>
      </c>
      <c r="BC43" s="22">
        <v>6.4483600000000002E-2</v>
      </c>
      <c r="BD43">
        <f t="shared" si="10"/>
        <v>19.045185185185186</v>
      </c>
      <c r="BE43">
        <f t="shared" si="11"/>
        <v>1.261231203037037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0.52886999999999995</v>
      </c>
      <c r="H44" s="22">
        <v>5.3037299999999998</v>
      </c>
      <c r="I44" s="22">
        <v>-1.41327E-2</v>
      </c>
      <c r="J44" s="22">
        <v>34</v>
      </c>
      <c r="K44" s="22">
        <v>0.52807599999999999</v>
      </c>
      <c r="L44">
        <f t="shared" si="0"/>
        <v>17.447777777777777</v>
      </c>
      <c r="M44">
        <f t="shared" si="1"/>
        <v>9.2276062333333311</v>
      </c>
      <c r="N44" s="9"/>
      <c r="O44" s="22">
        <v>7.1258500000000002E-2</v>
      </c>
      <c r="P44" s="22">
        <v>6.9173799999999996</v>
      </c>
      <c r="Q44" s="22">
        <v>-1.5344200000000001E-2</v>
      </c>
      <c r="R44" s="22">
        <v>34</v>
      </c>
      <c r="S44" s="22">
        <v>7.0648199999999994E-2</v>
      </c>
      <c r="T44">
        <f t="shared" si="2"/>
        <v>18.943456790123456</v>
      </c>
      <c r="U44">
        <f t="shared" si="3"/>
        <v>1.3498823156790123</v>
      </c>
      <c r="X44" s="9"/>
      <c r="Y44" s="22">
        <v>0.52886999999999995</v>
      </c>
      <c r="Z44" s="22">
        <v>10.2079</v>
      </c>
      <c r="AA44" s="22">
        <v>-1.4444E-2</v>
      </c>
      <c r="AB44" s="22">
        <v>34</v>
      </c>
      <c r="AC44" s="22">
        <v>0.52844199999999997</v>
      </c>
      <c r="AD44">
        <f t="shared" si="4"/>
        <v>17.832098765432097</v>
      </c>
      <c r="AE44">
        <f t="shared" si="5"/>
        <v>9.4308620740740725</v>
      </c>
      <c r="AF44" s="9"/>
      <c r="AG44" s="22">
        <v>7.1258500000000002E-2</v>
      </c>
      <c r="AH44" s="22">
        <v>11.8215</v>
      </c>
      <c r="AI44" s="22">
        <v>-1.5588400000000001E-2</v>
      </c>
      <c r="AJ44" s="22">
        <v>34</v>
      </c>
      <c r="AK44" s="22">
        <v>7.0800799999999997E-2</v>
      </c>
      <c r="AL44">
        <f t="shared" si="6"/>
        <v>19.244938271604937</v>
      </c>
      <c r="AM44">
        <f t="shared" si="7"/>
        <v>1.3713654338271604</v>
      </c>
      <c r="AP44" s="9"/>
      <c r="AQ44" s="22">
        <v>0.52886999999999995</v>
      </c>
      <c r="AR44" s="22">
        <v>15.0961</v>
      </c>
      <c r="AS44" s="22">
        <v>-1.4401199999999999E-2</v>
      </c>
      <c r="AT44" s="22">
        <v>34</v>
      </c>
      <c r="AU44" s="22">
        <v>0.52832000000000001</v>
      </c>
      <c r="AV44">
        <f t="shared" si="8"/>
        <v>17.779259259259259</v>
      </c>
      <c r="AW44">
        <f t="shared" si="9"/>
        <v>9.4029168444444426</v>
      </c>
      <c r="AX44" s="9"/>
      <c r="AY44" s="22">
        <v>7.1258500000000002E-2</v>
      </c>
      <c r="AZ44" s="22">
        <v>16.709700000000002</v>
      </c>
      <c r="BA44" s="22">
        <v>-1.5417500000000001E-2</v>
      </c>
      <c r="BB44" s="22">
        <v>34</v>
      </c>
      <c r="BC44" s="22">
        <v>7.1044899999999994E-2</v>
      </c>
      <c r="BD44">
        <f t="shared" si="10"/>
        <v>19.033950617283949</v>
      </c>
      <c r="BE44">
        <f t="shared" si="11"/>
        <v>1.3563307700617284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0.52383400000000002</v>
      </c>
      <c r="H45" s="22">
        <v>5.3137999999999996</v>
      </c>
      <c r="I45" s="22">
        <v>-1.4169299999999999E-2</v>
      </c>
      <c r="J45" s="22">
        <v>35</v>
      </c>
      <c r="K45" s="22">
        <v>0.52313200000000004</v>
      </c>
      <c r="L45">
        <f t="shared" si="0"/>
        <v>17.492962962962959</v>
      </c>
      <c r="M45">
        <f t="shared" si="1"/>
        <v>9.1634087607407402</v>
      </c>
      <c r="N45" s="9"/>
      <c r="O45" s="22">
        <v>7.6293899999999998E-2</v>
      </c>
      <c r="P45" s="22">
        <v>6.9274500000000003</v>
      </c>
      <c r="Q45" s="22">
        <v>-1.5329000000000001E-2</v>
      </c>
      <c r="R45" s="22">
        <v>35</v>
      </c>
      <c r="S45" s="22">
        <v>7.6599100000000003E-2</v>
      </c>
      <c r="T45">
        <f t="shared" si="2"/>
        <v>18.924691358024692</v>
      </c>
      <c r="U45">
        <f t="shared" si="3"/>
        <v>1.44383851</v>
      </c>
      <c r="X45" s="9"/>
      <c r="Y45" s="22">
        <v>0.52383400000000002</v>
      </c>
      <c r="Z45" s="22">
        <v>10.218</v>
      </c>
      <c r="AA45" s="22">
        <v>-1.4456200000000001E-2</v>
      </c>
      <c r="AB45" s="22">
        <v>35</v>
      </c>
      <c r="AC45" s="22">
        <v>0.523285</v>
      </c>
      <c r="AD45">
        <f t="shared" si="4"/>
        <v>17.847160493827161</v>
      </c>
      <c r="AE45">
        <f t="shared" si="5"/>
        <v>9.3489494701234577</v>
      </c>
      <c r="AF45" s="9"/>
      <c r="AG45" s="22">
        <v>7.6293899999999998E-2</v>
      </c>
      <c r="AH45" s="22">
        <v>11.8316</v>
      </c>
      <c r="AI45" s="22">
        <v>-1.55762E-2</v>
      </c>
      <c r="AJ45" s="22">
        <v>35</v>
      </c>
      <c r="AK45" s="22">
        <v>7.5561500000000004E-2</v>
      </c>
      <c r="AL45">
        <f t="shared" si="6"/>
        <v>19.229876543209876</v>
      </c>
      <c r="AM45">
        <f t="shared" si="7"/>
        <v>1.4671222779999999</v>
      </c>
      <c r="AP45" s="9"/>
      <c r="AQ45" s="22">
        <v>0.52383400000000002</v>
      </c>
      <c r="AR45" s="22">
        <v>15.1061</v>
      </c>
      <c r="AS45" s="22">
        <v>-1.44104E-2</v>
      </c>
      <c r="AT45" s="22">
        <v>35</v>
      </c>
      <c r="AU45" s="22">
        <v>0.52316300000000004</v>
      </c>
      <c r="AV45">
        <f t="shared" si="8"/>
        <v>17.790617283950617</v>
      </c>
      <c r="AW45">
        <f t="shared" si="9"/>
        <v>9.3193302143209884</v>
      </c>
      <c r="AX45" s="9"/>
      <c r="AY45" s="22">
        <v>7.6293899999999998E-2</v>
      </c>
      <c r="AZ45" s="22">
        <v>16.719799999999999</v>
      </c>
      <c r="BA45" s="22">
        <v>-1.54083E-2</v>
      </c>
      <c r="BB45" s="22">
        <v>35</v>
      </c>
      <c r="BC45" s="22">
        <v>7.5836200000000006E-2</v>
      </c>
      <c r="BD45">
        <f t="shared" si="10"/>
        <v>19.022592592592591</v>
      </c>
      <c r="BE45">
        <f t="shared" si="11"/>
        <v>1.4513077769999998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0.51879900000000001</v>
      </c>
      <c r="H46" s="22">
        <v>5.3238799999999999</v>
      </c>
      <c r="I46" s="22">
        <v>-1.4196800000000001E-2</v>
      </c>
      <c r="J46" s="22">
        <v>36</v>
      </c>
      <c r="K46" s="22">
        <v>0.51824999999999999</v>
      </c>
      <c r="L46">
        <f t="shared" si="0"/>
        <v>17.526913580246916</v>
      </c>
      <c r="M46">
        <f t="shared" si="1"/>
        <v>9.092945238518519</v>
      </c>
      <c r="N46" s="9"/>
      <c r="O46" s="22">
        <v>8.1329299999999993E-2</v>
      </c>
      <c r="P46" s="22">
        <v>6.9375200000000001</v>
      </c>
      <c r="Q46" s="22">
        <v>-1.53137E-2</v>
      </c>
      <c r="R46" s="22">
        <v>36</v>
      </c>
      <c r="S46" s="22">
        <v>8.0322299999999999E-2</v>
      </c>
      <c r="T46">
        <f t="shared" si="2"/>
        <v>18.9058024691358</v>
      </c>
      <c r="U46">
        <f t="shared" si="3"/>
        <v>1.5375956807530862</v>
      </c>
      <c r="X46" s="9"/>
      <c r="Y46" s="22">
        <v>0.51879900000000001</v>
      </c>
      <c r="Z46" s="22">
        <v>10.228</v>
      </c>
      <c r="AA46" s="22">
        <v>-1.4471400000000001E-2</v>
      </c>
      <c r="AB46" s="22">
        <v>36</v>
      </c>
      <c r="AC46" s="22">
        <v>0.51806600000000003</v>
      </c>
      <c r="AD46">
        <f t="shared" si="4"/>
        <v>17.865925925925925</v>
      </c>
      <c r="AE46">
        <f t="shared" si="5"/>
        <v>9.2688245044444439</v>
      </c>
      <c r="AF46" s="9"/>
      <c r="AG46" s="22">
        <v>8.1329299999999993E-2</v>
      </c>
      <c r="AH46" s="22">
        <v>11.841699999999999</v>
      </c>
      <c r="AI46" s="22">
        <v>-1.5564E-2</v>
      </c>
      <c r="AJ46" s="22">
        <v>36</v>
      </c>
      <c r="AK46" s="22">
        <v>8.0657999999999994E-2</v>
      </c>
      <c r="AL46">
        <f t="shared" si="6"/>
        <v>19.214814814814812</v>
      </c>
      <c r="AM46">
        <f t="shared" si="7"/>
        <v>1.5627274385185181</v>
      </c>
      <c r="AP46" s="9"/>
      <c r="AQ46" s="22">
        <v>0.51879900000000001</v>
      </c>
      <c r="AR46" s="22">
        <v>15.116199999999999</v>
      </c>
      <c r="AS46" s="22">
        <v>-1.4428699999999999E-2</v>
      </c>
      <c r="AT46" s="22">
        <v>36</v>
      </c>
      <c r="AU46" s="22">
        <v>0.51818799999999998</v>
      </c>
      <c r="AV46">
        <f t="shared" si="8"/>
        <v>17.813209876543205</v>
      </c>
      <c r="AW46">
        <f t="shared" si="9"/>
        <v>9.2414754707407383</v>
      </c>
      <c r="AX46" s="9"/>
      <c r="AY46" s="22">
        <v>8.1329299999999993E-2</v>
      </c>
      <c r="AZ46" s="22">
        <v>16.729800000000001</v>
      </c>
      <c r="BA46" s="22">
        <v>-1.5396099999999999E-2</v>
      </c>
      <c r="BB46" s="22">
        <v>36</v>
      </c>
      <c r="BC46" s="22">
        <v>8.0596899999999999E-2</v>
      </c>
      <c r="BD46">
        <f t="shared" si="10"/>
        <v>19.007530864197527</v>
      </c>
      <c r="BE46">
        <f t="shared" si="11"/>
        <v>1.5458691799135797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0.51376299999999997</v>
      </c>
      <c r="H47" s="22">
        <v>5.3339499999999997</v>
      </c>
      <c r="I47" s="22">
        <v>-1.4224199999999999E-2</v>
      </c>
      <c r="J47" s="22">
        <v>37</v>
      </c>
      <c r="K47" s="22">
        <v>0.513123</v>
      </c>
      <c r="L47">
        <f t="shared" si="0"/>
        <v>17.560740740740737</v>
      </c>
      <c r="M47">
        <f t="shared" si="1"/>
        <v>9.0220588451851835</v>
      </c>
      <c r="N47" s="9"/>
      <c r="O47" s="22">
        <v>8.6364700000000003E-2</v>
      </c>
      <c r="P47" s="22">
        <v>6.9475899999999999</v>
      </c>
      <c r="Q47" s="22">
        <v>-1.5307599999999999E-2</v>
      </c>
      <c r="R47" s="22">
        <v>37</v>
      </c>
      <c r="S47" s="22">
        <v>8.6242700000000005E-2</v>
      </c>
      <c r="T47">
        <f t="shared" si="2"/>
        <v>18.89827160493827</v>
      </c>
      <c r="U47">
        <f t="shared" si="3"/>
        <v>1.6321435576790122</v>
      </c>
      <c r="X47" s="9"/>
      <c r="Y47" s="22">
        <v>0.51376299999999997</v>
      </c>
      <c r="Z47" s="22">
        <v>10.238099999999999</v>
      </c>
      <c r="AA47" s="22">
        <v>-1.44867E-2</v>
      </c>
      <c r="AB47" s="22">
        <v>37</v>
      </c>
      <c r="AC47" s="22">
        <v>0.51236000000000004</v>
      </c>
      <c r="AD47">
        <f t="shared" si="4"/>
        <v>17.884814814814817</v>
      </c>
      <c r="AE47">
        <f t="shared" si="5"/>
        <v>9.1885561137037044</v>
      </c>
      <c r="AF47" s="9"/>
      <c r="AG47" s="22">
        <v>8.6364700000000003E-2</v>
      </c>
      <c r="AH47" s="22">
        <v>11.851699999999999</v>
      </c>
      <c r="AI47" s="22">
        <v>-1.55579E-2</v>
      </c>
      <c r="AJ47" s="22">
        <v>37</v>
      </c>
      <c r="AK47" s="22">
        <v>8.5968000000000003E-2</v>
      </c>
      <c r="AL47">
        <f t="shared" si="6"/>
        <v>19.207283950617281</v>
      </c>
      <c r="AM47">
        <f t="shared" si="7"/>
        <v>1.6588313162098764</v>
      </c>
      <c r="AP47" s="9"/>
      <c r="AQ47" s="22">
        <v>0.51376299999999997</v>
      </c>
      <c r="AR47" s="22">
        <v>15.126300000000001</v>
      </c>
      <c r="AS47" s="22">
        <v>-1.44409E-2</v>
      </c>
      <c r="AT47" s="22">
        <v>37</v>
      </c>
      <c r="AU47" s="22">
        <v>0.51376299999999997</v>
      </c>
      <c r="AV47">
        <f t="shared" si="8"/>
        <v>17.828271604938269</v>
      </c>
      <c r="AW47">
        <f t="shared" si="9"/>
        <v>9.1595063045679002</v>
      </c>
      <c r="AX47" s="9"/>
      <c r="AY47" s="22">
        <v>8.6364700000000003E-2</v>
      </c>
      <c r="AZ47" s="22">
        <v>16.739899999999999</v>
      </c>
      <c r="BA47" s="22">
        <v>-1.5387E-2</v>
      </c>
      <c r="BB47" s="22">
        <v>37</v>
      </c>
      <c r="BC47" s="22">
        <v>8.6395299999999994E-2</v>
      </c>
      <c r="BD47">
        <f t="shared" si="10"/>
        <v>18.996296296296297</v>
      </c>
      <c r="BE47">
        <f t="shared" si="11"/>
        <v>1.6406094307407408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0.50872799999999996</v>
      </c>
      <c r="H48" s="22">
        <v>5.3440200000000004</v>
      </c>
      <c r="I48" s="22">
        <v>-1.4251700000000001E-2</v>
      </c>
      <c r="J48" s="22">
        <v>38</v>
      </c>
      <c r="K48" s="22">
        <v>0.50790400000000002</v>
      </c>
      <c r="L48">
        <f t="shared" si="0"/>
        <v>17.594691358024694</v>
      </c>
      <c r="M48">
        <f t="shared" si="1"/>
        <v>8.9509121451851854</v>
      </c>
      <c r="N48" s="9"/>
      <c r="O48" s="22">
        <v>9.1400099999999998E-2</v>
      </c>
      <c r="P48" s="22">
        <v>6.9576599999999997</v>
      </c>
      <c r="Q48" s="22">
        <v>-1.53046E-2</v>
      </c>
      <c r="R48" s="22">
        <v>38</v>
      </c>
      <c r="S48" s="22">
        <v>9.2437699999999998E-2</v>
      </c>
      <c r="T48">
        <f t="shared" si="2"/>
        <v>18.894567901234566</v>
      </c>
      <c r="U48">
        <f t="shared" si="3"/>
        <v>1.7269653956296294</v>
      </c>
      <c r="X48" s="9"/>
      <c r="Y48" s="22">
        <v>0.50872799999999996</v>
      </c>
      <c r="Z48" s="22">
        <v>10.248200000000001</v>
      </c>
      <c r="AA48" s="22">
        <v>-1.44958E-2</v>
      </c>
      <c r="AB48" s="22">
        <v>38</v>
      </c>
      <c r="AC48" s="22">
        <v>0.50808699999999996</v>
      </c>
      <c r="AD48">
        <f t="shared" si="4"/>
        <v>17.896049382716047</v>
      </c>
      <c r="AE48">
        <f t="shared" si="5"/>
        <v>9.1042214103703678</v>
      </c>
      <c r="AF48" s="9"/>
      <c r="AG48" s="22">
        <v>9.1400099999999998E-2</v>
      </c>
      <c r="AH48" s="22">
        <v>11.861800000000001</v>
      </c>
      <c r="AI48" s="22">
        <v>-1.55487E-2</v>
      </c>
      <c r="AJ48" s="22">
        <v>38</v>
      </c>
      <c r="AK48" s="22">
        <v>9.0820300000000007E-2</v>
      </c>
      <c r="AL48">
        <f t="shared" si="6"/>
        <v>19.195925925925927</v>
      </c>
      <c r="AM48">
        <f t="shared" si="7"/>
        <v>1.7545095492222222</v>
      </c>
      <c r="AP48" s="9"/>
      <c r="AQ48" s="22">
        <v>0.50872799999999996</v>
      </c>
      <c r="AR48" s="22">
        <v>15.1363</v>
      </c>
      <c r="AS48" s="22">
        <v>-1.44592E-2</v>
      </c>
      <c r="AT48" s="22">
        <v>38</v>
      </c>
      <c r="AU48" s="22">
        <v>0.50802599999999998</v>
      </c>
      <c r="AV48">
        <f t="shared" si="8"/>
        <v>17.850864197530864</v>
      </c>
      <c r="AW48">
        <f t="shared" si="9"/>
        <v>9.081234441481481</v>
      </c>
      <c r="AX48" s="9"/>
      <c r="AY48" s="22">
        <v>9.1400099999999998E-2</v>
      </c>
      <c r="AZ48" s="22">
        <v>16.75</v>
      </c>
      <c r="BA48" s="22">
        <v>-1.5380899999999999E-2</v>
      </c>
      <c r="BB48" s="22">
        <v>38</v>
      </c>
      <c r="BC48" s="22">
        <v>9.1735800000000006E-2</v>
      </c>
      <c r="BD48">
        <f t="shared" si="10"/>
        <v>18.988765432098763</v>
      </c>
      <c r="BE48">
        <f t="shared" si="11"/>
        <v>1.73557505937037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0.50369299999999995</v>
      </c>
      <c r="H49" s="22">
        <v>5.3540900000000002</v>
      </c>
      <c r="I49" s="22">
        <v>-1.42761E-2</v>
      </c>
      <c r="J49" s="22">
        <v>39</v>
      </c>
      <c r="K49" s="22">
        <v>0.50308200000000003</v>
      </c>
      <c r="L49">
        <f t="shared" si="0"/>
        <v>17.624814814814812</v>
      </c>
      <c r="M49">
        <f t="shared" si="1"/>
        <v>8.8774958485185156</v>
      </c>
      <c r="N49" s="9"/>
      <c r="O49" s="22">
        <v>9.6435499999999993E-2</v>
      </c>
      <c r="P49" s="22">
        <v>6.9677300000000004</v>
      </c>
      <c r="Q49" s="22">
        <v>-1.52985E-2</v>
      </c>
      <c r="R49" s="22">
        <v>39</v>
      </c>
      <c r="S49" s="22">
        <v>9.6099900000000002E-2</v>
      </c>
      <c r="T49">
        <f t="shared" si="2"/>
        <v>18.887037037037036</v>
      </c>
      <c r="U49">
        <f t="shared" si="3"/>
        <v>1.8213808601851849</v>
      </c>
      <c r="X49" s="9"/>
      <c r="Y49" s="22">
        <v>0.50369299999999995</v>
      </c>
      <c r="Z49" s="22">
        <v>10.2582</v>
      </c>
      <c r="AA49" s="22">
        <v>-1.45142E-2</v>
      </c>
      <c r="AB49" s="22">
        <v>39</v>
      </c>
      <c r="AC49" s="22">
        <v>0.50360099999999997</v>
      </c>
      <c r="AD49">
        <f t="shared" si="4"/>
        <v>17.918765432098763</v>
      </c>
      <c r="AE49">
        <f t="shared" si="5"/>
        <v>9.0255567167901205</v>
      </c>
      <c r="AF49" s="9"/>
      <c r="AG49" s="22">
        <v>9.6435499999999993E-2</v>
      </c>
      <c r="AH49" s="22">
        <v>11.8719</v>
      </c>
      <c r="AI49" s="22">
        <v>-1.55426E-2</v>
      </c>
      <c r="AJ49" s="22">
        <v>39</v>
      </c>
      <c r="AK49" s="22">
        <v>9.6038799999999994E-2</v>
      </c>
      <c r="AL49">
        <f t="shared" si="6"/>
        <v>19.188395061728393</v>
      </c>
      <c r="AM49">
        <f t="shared" si="7"/>
        <v>1.8504424719753083</v>
      </c>
      <c r="AP49" s="9"/>
      <c r="AQ49" s="22">
        <v>0.50369299999999995</v>
      </c>
      <c r="AR49" s="22">
        <v>15.1464</v>
      </c>
      <c r="AS49" s="22">
        <v>-1.4471400000000001E-2</v>
      </c>
      <c r="AT49" s="22">
        <v>39</v>
      </c>
      <c r="AU49" s="22">
        <v>0.50283800000000001</v>
      </c>
      <c r="AV49">
        <f t="shared" si="8"/>
        <v>17.865925925925925</v>
      </c>
      <c r="AW49">
        <f t="shared" si="9"/>
        <v>8.9989418274074069</v>
      </c>
      <c r="AX49" s="9"/>
      <c r="AY49" s="22">
        <v>9.6435499999999993E-2</v>
      </c>
      <c r="AZ49" s="22">
        <v>16.760100000000001</v>
      </c>
      <c r="BA49" s="22">
        <v>-1.5368700000000001E-2</v>
      </c>
      <c r="BB49" s="22">
        <v>39</v>
      </c>
      <c r="BC49" s="22">
        <v>9.5916699999999994E-2</v>
      </c>
      <c r="BD49">
        <f t="shared" si="10"/>
        <v>18.973703703703706</v>
      </c>
      <c r="BE49">
        <f t="shared" si="11"/>
        <v>1.8297386035185186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0.49865700000000002</v>
      </c>
      <c r="H50" s="22">
        <v>5.36416</v>
      </c>
      <c r="I50" s="22">
        <v>-1.43036E-2</v>
      </c>
      <c r="J50" s="22">
        <v>40</v>
      </c>
      <c r="K50" s="22">
        <v>0.49783300000000003</v>
      </c>
      <c r="L50">
        <f t="shared" si="0"/>
        <v>17.658765432098765</v>
      </c>
      <c r="M50">
        <f t="shared" si="1"/>
        <v>8.8056669940740733</v>
      </c>
      <c r="N50" s="9"/>
      <c r="O50" s="22">
        <v>0.10147100000000001</v>
      </c>
      <c r="P50" s="22">
        <v>6.9778099999999998</v>
      </c>
      <c r="Q50" s="22">
        <v>-1.5292399999999999E-2</v>
      </c>
      <c r="R50" s="22">
        <v>40</v>
      </c>
      <c r="S50" s="22">
        <v>0.101227</v>
      </c>
      <c r="T50">
        <f t="shared" si="2"/>
        <v>18.879506172839505</v>
      </c>
      <c r="U50">
        <f t="shared" si="3"/>
        <v>1.9157223708641975</v>
      </c>
      <c r="X50" s="9"/>
      <c r="Y50" s="22">
        <v>0.49865700000000002</v>
      </c>
      <c r="Z50" s="22">
        <v>10.2683</v>
      </c>
      <c r="AA50" s="22">
        <v>-1.4523299999999999E-2</v>
      </c>
      <c r="AB50" s="22">
        <v>40</v>
      </c>
      <c r="AC50" s="22">
        <v>0.49899300000000002</v>
      </c>
      <c r="AD50">
        <f t="shared" si="4"/>
        <v>17.93</v>
      </c>
      <c r="AE50">
        <f t="shared" si="5"/>
        <v>8.940920010000001</v>
      </c>
      <c r="AF50" s="9"/>
      <c r="AG50" s="22">
        <v>0.10147100000000001</v>
      </c>
      <c r="AH50" s="22">
        <v>11.882</v>
      </c>
      <c r="AI50" s="22">
        <v>-1.5533399999999999E-2</v>
      </c>
      <c r="AJ50" s="22">
        <v>40</v>
      </c>
      <c r="AK50" s="22">
        <v>0.101105</v>
      </c>
      <c r="AL50">
        <f t="shared" si="6"/>
        <v>19.177037037037035</v>
      </c>
      <c r="AM50">
        <f t="shared" si="7"/>
        <v>1.9459131251851851</v>
      </c>
      <c r="AP50" s="9"/>
      <c r="AQ50" s="22">
        <v>0.49865700000000002</v>
      </c>
      <c r="AR50" s="22">
        <v>15.156499999999999</v>
      </c>
      <c r="AS50" s="22">
        <v>-1.44806E-2</v>
      </c>
      <c r="AT50" s="22">
        <v>40</v>
      </c>
      <c r="AU50" s="22">
        <v>0.49856600000000001</v>
      </c>
      <c r="AV50">
        <f t="shared" si="8"/>
        <v>17.877283950617283</v>
      </c>
      <c r="AW50">
        <f t="shared" si="9"/>
        <v>8.914632782962963</v>
      </c>
      <c r="AX50" s="9"/>
      <c r="AY50" s="22">
        <v>0.10147100000000001</v>
      </c>
      <c r="AZ50" s="22">
        <v>16.770099999999999</v>
      </c>
      <c r="BA50" s="22">
        <v>-1.5362499999999999E-2</v>
      </c>
      <c r="BB50" s="22">
        <v>40</v>
      </c>
      <c r="BC50" s="22">
        <v>0.101227</v>
      </c>
      <c r="BD50">
        <f t="shared" si="10"/>
        <v>18.966049382716047</v>
      </c>
      <c r="BE50">
        <f t="shared" si="11"/>
        <v>1.9245039969135802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0.49362200000000001</v>
      </c>
      <c r="H51" s="22">
        <v>5.3742299999999998</v>
      </c>
      <c r="I51" s="22">
        <v>-1.43219E-2</v>
      </c>
      <c r="J51" s="22">
        <v>41</v>
      </c>
      <c r="K51" s="22">
        <v>0.49313400000000002</v>
      </c>
      <c r="L51">
        <f t="shared" si="0"/>
        <v>17.68135802469136</v>
      </c>
      <c r="M51">
        <f t="shared" si="1"/>
        <v>8.7279073108641985</v>
      </c>
      <c r="N51" s="9"/>
      <c r="O51" s="22">
        <v>0.106506</v>
      </c>
      <c r="P51" s="22">
        <v>6.9878799999999996</v>
      </c>
      <c r="Q51" s="22">
        <v>-1.52832E-2</v>
      </c>
      <c r="R51" s="22">
        <v>41</v>
      </c>
      <c r="S51" s="22">
        <v>0.105835</v>
      </c>
      <c r="T51">
        <f t="shared" si="2"/>
        <v>18.868148148148148</v>
      </c>
      <c r="U51">
        <f t="shared" si="3"/>
        <v>2.0095709866666667</v>
      </c>
      <c r="X51" s="9"/>
      <c r="Y51" s="22">
        <v>0.49362200000000001</v>
      </c>
      <c r="Z51" s="22">
        <v>10.2784</v>
      </c>
      <c r="AA51" s="22">
        <v>-1.45325E-2</v>
      </c>
      <c r="AB51" s="22">
        <v>41</v>
      </c>
      <c r="AC51" s="22">
        <v>0.49322500000000002</v>
      </c>
      <c r="AD51">
        <f t="shared" si="4"/>
        <v>17.941358024691358</v>
      </c>
      <c r="AE51">
        <f t="shared" si="5"/>
        <v>8.8562490308641966</v>
      </c>
      <c r="AF51" s="9"/>
      <c r="AG51" s="22">
        <v>0.106506</v>
      </c>
      <c r="AH51" s="22">
        <v>11.891999999999999</v>
      </c>
      <c r="AI51" s="22">
        <v>-1.5527300000000001E-2</v>
      </c>
      <c r="AJ51" s="22">
        <v>41</v>
      </c>
      <c r="AK51" s="22">
        <v>0.10577400000000001</v>
      </c>
      <c r="AL51">
        <f t="shared" si="6"/>
        <v>19.169506172839505</v>
      </c>
      <c r="AM51">
        <f t="shared" si="7"/>
        <v>2.0416674244444444</v>
      </c>
      <c r="AP51" s="9"/>
      <c r="AQ51" s="22">
        <v>0.49362200000000001</v>
      </c>
      <c r="AR51" s="22">
        <v>15.166600000000001</v>
      </c>
      <c r="AS51" s="22">
        <v>-1.44958E-2</v>
      </c>
      <c r="AT51" s="22">
        <v>41</v>
      </c>
      <c r="AU51" s="22">
        <v>0.492645</v>
      </c>
      <c r="AV51">
        <f t="shared" si="8"/>
        <v>17.896049382716047</v>
      </c>
      <c r="AW51">
        <f t="shared" si="9"/>
        <v>8.8338836883950602</v>
      </c>
      <c r="AX51" s="9"/>
      <c r="AY51" s="22">
        <v>0.106506</v>
      </c>
      <c r="AZ51" s="22">
        <v>16.780200000000001</v>
      </c>
      <c r="BA51" s="22">
        <v>-1.53534E-2</v>
      </c>
      <c r="BB51" s="22">
        <v>41</v>
      </c>
      <c r="BC51" s="22">
        <v>0.106262</v>
      </c>
      <c r="BD51">
        <f t="shared" si="10"/>
        <v>18.954814814814814</v>
      </c>
      <c r="BE51">
        <f t="shared" si="11"/>
        <v>2.0188015066666667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0.48858600000000002</v>
      </c>
      <c r="H52" s="22">
        <v>5.3842999999999996</v>
      </c>
      <c r="I52" s="22">
        <v>-1.43372E-2</v>
      </c>
      <c r="J52" s="22">
        <v>42</v>
      </c>
      <c r="K52" s="22">
        <v>0.48791499999999999</v>
      </c>
      <c r="L52">
        <f t="shared" si="0"/>
        <v>17.700246913580244</v>
      </c>
      <c r="M52">
        <f t="shared" si="1"/>
        <v>8.648092838518517</v>
      </c>
      <c r="N52" s="9"/>
      <c r="O52" s="22">
        <v>0.111542</v>
      </c>
      <c r="P52" s="22">
        <v>6.9979500000000003</v>
      </c>
      <c r="Q52" s="22">
        <v>-1.52771E-2</v>
      </c>
      <c r="R52" s="22">
        <v>42</v>
      </c>
      <c r="S52" s="22">
        <v>0.111023</v>
      </c>
      <c r="T52">
        <f t="shared" si="2"/>
        <v>18.860617283950617</v>
      </c>
      <c r="U52">
        <f t="shared" si="3"/>
        <v>2.1037509730864197</v>
      </c>
      <c r="X52" s="9"/>
      <c r="Y52" s="22">
        <v>0.48858600000000002</v>
      </c>
      <c r="Z52" s="22">
        <v>10.288500000000001</v>
      </c>
      <c r="AA52" s="22">
        <v>-1.4550799999999999E-2</v>
      </c>
      <c r="AB52" s="22">
        <v>42</v>
      </c>
      <c r="AC52" s="22">
        <v>0.48791499999999999</v>
      </c>
      <c r="AD52">
        <f t="shared" si="4"/>
        <v>17.963950617283949</v>
      </c>
      <c r="AE52">
        <f t="shared" si="5"/>
        <v>8.7769347762962955</v>
      </c>
      <c r="AF52" s="9"/>
      <c r="AG52" s="22">
        <v>0.111542</v>
      </c>
      <c r="AH52" s="22">
        <v>11.902100000000001</v>
      </c>
      <c r="AI52" s="22">
        <v>-1.5518199999999999E-2</v>
      </c>
      <c r="AJ52" s="22">
        <v>42</v>
      </c>
      <c r="AK52" s="22">
        <v>0.111176</v>
      </c>
      <c r="AL52">
        <f t="shared" si="6"/>
        <v>19.158271604938271</v>
      </c>
      <c r="AM52">
        <f t="shared" si="7"/>
        <v>2.1369519313580247</v>
      </c>
      <c r="AP52" s="9"/>
      <c r="AQ52" s="22">
        <v>0.48858600000000002</v>
      </c>
      <c r="AR52" s="22">
        <v>15.176600000000001</v>
      </c>
      <c r="AS52" s="22">
        <v>-1.4508099999999999E-2</v>
      </c>
      <c r="AT52" s="22">
        <v>42</v>
      </c>
      <c r="AU52" s="22">
        <v>0.48788500000000001</v>
      </c>
      <c r="AV52">
        <f t="shared" si="8"/>
        <v>17.911234567901232</v>
      </c>
      <c r="AW52">
        <f t="shared" si="9"/>
        <v>8.7511784525925922</v>
      </c>
      <c r="AX52" s="9"/>
      <c r="AY52" s="22">
        <v>0.111542</v>
      </c>
      <c r="AZ52" s="22">
        <v>16.790299999999998</v>
      </c>
      <c r="BA52" s="22">
        <v>-1.5344200000000001E-2</v>
      </c>
      <c r="BB52" s="22">
        <v>42</v>
      </c>
      <c r="BC52" s="22">
        <v>0.110443</v>
      </c>
      <c r="BD52">
        <f t="shared" si="10"/>
        <v>18.943456790123456</v>
      </c>
      <c r="BE52">
        <f t="shared" si="11"/>
        <v>2.1129910572839505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0.48355100000000001</v>
      </c>
      <c r="H53" s="22">
        <v>5.3943700000000003</v>
      </c>
      <c r="I53" s="22">
        <v>-1.43555E-2</v>
      </c>
      <c r="J53" s="22">
        <v>43</v>
      </c>
      <c r="K53" s="22">
        <v>0.48294100000000001</v>
      </c>
      <c r="L53">
        <f t="shared" si="0"/>
        <v>17.722839506172836</v>
      </c>
      <c r="M53">
        <f t="shared" si="1"/>
        <v>8.5698967660493803</v>
      </c>
      <c r="N53" s="9"/>
      <c r="O53" s="22">
        <v>0.116577</v>
      </c>
      <c r="P53" s="22">
        <v>7.0080200000000001</v>
      </c>
      <c r="Q53" s="22">
        <v>-1.52649E-2</v>
      </c>
      <c r="R53" s="22">
        <v>43</v>
      </c>
      <c r="S53" s="22">
        <v>0.115936</v>
      </c>
      <c r="T53">
        <f t="shared" si="2"/>
        <v>18.845555555555553</v>
      </c>
      <c r="U53">
        <f t="shared" si="3"/>
        <v>2.1969583299999997</v>
      </c>
      <c r="X53" s="9"/>
      <c r="Y53" s="22">
        <v>0.48355100000000001</v>
      </c>
      <c r="Z53" s="22">
        <v>10.298500000000001</v>
      </c>
      <c r="AA53" s="22">
        <v>-1.4559900000000001E-2</v>
      </c>
      <c r="AB53" s="22">
        <v>43</v>
      </c>
      <c r="AC53" s="22">
        <v>0.48336800000000002</v>
      </c>
      <c r="AD53">
        <f t="shared" si="4"/>
        <v>17.975185185185186</v>
      </c>
      <c r="AE53">
        <f t="shared" si="5"/>
        <v>8.6919187714814825</v>
      </c>
      <c r="AF53" s="9"/>
      <c r="AG53" s="22">
        <v>0.116577</v>
      </c>
      <c r="AH53" s="22">
        <v>11.9122</v>
      </c>
      <c r="AI53" s="22">
        <v>-1.5509E-2</v>
      </c>
      <c r="AJ53" s="22">
        <v>43</v>
      </c>
      <c r="AK53" s="22">
        <v>0.11621099999999999</v>
      </c>
      <c r="AL53">
        <f t="shared" si="6"/>
        <v>19.14691358024691</v>
      </c>
      <c r="AM53">
        <f t="shared" si="7"/>
        <v>2.2320897444444441</v>
      </c>
      <c r="AP53" s="9"/>
      <c r="AQ53" s="22">
        <v>0.48355100000000001</v>
      </c>
      <c r="AR53" s="22">
        <v>15.1867</v>
      </c>
      <c r="AS53" s="22">
        <v>-1.4517199999999999E-2</v>
      </c>
      <c r="AT53" s="22">
        <v>43</v>
      </c>
      <c r="AU53" s="22">
        <v>0.48275800000000002</v>
      </c>
      <c r="AV53">
        <f t="shared" si="8"/>
        <v>17.922469135802466</v>
      </c>
      <c r="AW53">
        <f t="shared" si="9"/>
        <v>8.6664278730864179</v>
      </c>
      <c r="AX53" s="9"/>
      <c r="AY53" s="22">
        <v>0.116577</v>
      </c>
      <c r="AZ53" s="22">
        <v>16.8003</v>
      </c>
      <c r="BA53" s="22">
        <v>-1.5335100000000001E-2</v>
      </c>
      <c r="BB53" s="22">
        <v>43</v>
      </c>
      <c r="BC53" s="22">
        <v>0.11663800000000001</v>
      </c>
      <c r="BD53">
        <f t="shared" si="10"/>
        <v>18.932222222222222</v>
      </c>
      <c r="BE53">
        <f t="shared" si="11"/>
        <v>2.2070616699999999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0.478516</v>
      </c>
      <c r="H54" s="22">
        <v>5.4044400000000001</v>
      </c>
      <c r="I54" s="22">
        <v>-1.4373800000000001E-2</v>
      </c>
      <c r="J54" s="22">
        <v>44</v>
      </c>
      <c r="K54" s="22">
        <v>0.47790500000000002</v>
      </c>
      <c r="L54">
        <f t="shared" si="0"/>
        <v>17.745432098765431</v>
      </c>
      <c r="M54">
        <f t="shared" si="1"/>
        <v>8.4914731861728381</v>
      </c>
      <c r="N54" s="9"/>
      <c r="O54" s="22">
        <v>0.121613</v>
      </c>
      <c r="P54" s="22">
        <v>7.0180899999999999</v>
      </c>
      <c r="Q54" s="22">
        <v>-1.5255700000000001E-2</v>
      </c>
      <c r="R54" s="22">
        <v>44</v>
      </c>
      <c r="S54" s="22">
        <v>0.120667</v>
      </c>
      <c r="T54">
        <f t="shared" si="2"/>
        <v>18.834197530864198</v>
      </c>
      <c r="U54">
        <f t="shared" si="3"/>
        <v>2.2904832643209878</v>
      </c>
      <c r="X54" s="9"/>
      <c r="Y54" s="22">
        <v>0.478516</v>
      </c>
      <c r="Z54" s="22">
        <v>10.3086</v>
      </c>
      <c r="AA54" s="22">
        <v>-1.4572099999999999E-2</v>
      </c>
      <c r="AB54" s="22">
        <v>44</v>
      </c>
      <c r="AC54" s="22">
        <v>0.47845500000000002</v>
      </c>
      <c r="AD54">
        <f t="shared" si="4"/>
        <v>17.990246913580243</v>
      </c>
      <c r="AE54">
        <f t="shared" si="5"/>
        <v>8.6086209920987642</v>
      </c>
      <c r="AF54" s="9"/>
      <c r="AG54" s="22">
        <v>0.121613</v>
      </c>
      <c r="AH54" s="22">
        <v>11.9222</v>
      </c>
      <c r="AI54" s="22">
        <v>-1.54999E-2</v>
      </c>
      <c r="AJ54" s="22">
        <v>44</v>
      </c>
      <c r="AK54" s="22">
        <v>0.121002</v>
      </c>
      <c r="AL54">
        <f t="shared" si="6"/>
        <v>19.13567901234568</v>
      </c>
      <c r="AM54">
        <f t="shared" si="7"/>
        <v>2.3271473317283951</v>
      </c>
      <c r="AP54" s="9"/>
      <c r="AQ54" s="22">
        <v>0.478516</v>
      </c>
      <c r="AR54" s="22">
        <v>15.1968</v>
      </c>
      <c r="AS54" s="22">
        <v>-1.45264E-2</v>
      </c>
      <c r="AT54" s="22">
        <v>44</v>
      </c>
      <c r="AU54" s="22">
        <v>0.47817999999999999</v>
      </c>
      <c r="AV54">
        <f t="shared" si="8"/>
        <v>17.933827160493827</v>
      </c>
      <c r="AW54">
        <f t="shared" si="9"/>
        <v>8.5816232375308648</v>
      </c>
      <c r="AX54" s="9"/>
      <c r="AY54" s="22">
        <v>0.121613</v>
      </c>
      <c r="AZ54" s="22">
        <v>16.810400000000001</v>
      </c>
      <c r="BA54" s="22">
        <v>-1.53198E-2</v>
      </c>
      <c r="BB54" s="22">
        <v>44</v>
      </c>
      <c r="BC54" s="22">
        <v>0.120239</v>
      </c>
      <c r="BD54">
        <f t="shared" si="10"/>
        <v>18.91333333333333</v>
      </c>
      <c r="BE54">
        <f t="shared" si="11"/>
        <v>2.3001072066666661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0.47348000000000001</v>
      </c>
      <c r="H55" s="22">
        <v>5.4145099999999999</v>
      </c>
      <c r="I55" s="22">
        <v>-1.4389000000000001E-2</v>
      </c>
      <c r="J55" s="22">
        <v>45</v>
      </c>
      <c r="K55" s="22">
        <v>0.47280899999999998</v>
      </c>
      <c r="L55">
        <f t="shared" si="0"/>
        <v>17.764197530864198</v>
      </c>
      <c r="M55">
        <f t="shared" si="1"/>
        <v>8.4109922469135814</v>
      </c>
      <c r="N55" s="9"/>
      <c r="O55" s="22">
        <v>0.12664800000000001</v>
      </c>
      <c r="P55" s="22">
        <v>7.0281599999999997</v>
      </c>
      <c r="Q55" s="22">
        <v>-1.5240500000000001E-2</v>
      </c>
      <c r="R55" s="22">
        <v>45</v>
      </c>
      <c r="S55" s="22">
        <v>0.126556</v>
      </c>
      <c r="T55">
        <f t="shared" si="2"/>
        <v>18.815432098765431</v>
      </c>
      <c r="U55">
        <f t="shared" si="3"/>
        <v>2.3829368444444445</v>
      </c>
      <c r="X55" s="9"/>
      <c r="Y55" s="22">
        <v>0.47348000000000001</v>
      </c>
      <c r="Z55" s="22">
        <v>10.3187</v>
      </c>
      <c r="AA55" s="22">
        <v>-1.4584400000000001E-2</v>
      </c>
      <c r="AB55" s="22">
        <v>45</v>
      </c>
      <c r="AC55" s="22">
        <v>0.472443</v>
      </c>
      <c r="AD55">
        <f t="shared" si="4"/>
        <v>18.005432098765432</v>
      </c>
      <c r="AE55">
        <f t="shared" si="5"/>
        <v>8.5252119901234575</v>
      </c>
      <c r="AF55" s="9"/>
      <c r="AG55" s="22">
        <v>0.12664800000000001</v>
      </c>
      <c r="AH55" s="22">
        <v>11.9323</v>
      </c>
      <c r="AI55" s="22">
        <v>-1.54877E-2</v>
      </c>
      <c r="AJ55" s="22">
        <v>45</v>
      </c>
      <c r="AK55" s="22">
        <v>0.12600700000000001</v>
      </c>
      <c r="AL55">
        <f t="shared" si="6"/>
        <v>19.120617283950615</v>
      </c>
      <c r="AM55">
        <f t="shared" si="7"/>
        <v>2.4215879377777778</v>
      </c>
      <c r="AP55" s="9"/>
      <c r="AQ55" s="22">
        <v>0.47348000000000001</v>
      </c>
      <c r="AR55" s="22">
        <v>15.206799999999999</v>
      </c>
      <c r="AS55" s="22">
        <v>-1.45386E-2</v>
      </c>
      <c r="AT55" s="22">
        <v>45</v>
      </c>
      <c r="AU55" s="22">
        <v>0.472717</v>
      </c>
      <c r="AV55">
        <f t="shared" si="8"/>
        <v>17.948888888888888</v>
      </c>
      <c r="AW55">
        <f t="shared" si="9"/>
        <v>8.4984399111111113</v>
      </c>
      <c r="AX55" s="9"/>
      <c r="AY55" s="22">
        <v>0.12664800000000001</v>
      </c>
      <c r="AZ55" s="22">
        <v>16.820499999999999</v>
      </c>
      <c r="BA55" s="22">
        <v>-1.53107E-2</v>
      </c>
      <c r="BB55" s="22">
        <v>45</v>
      </c>
      <c r="BC55" s="22">
        <v>0.12615999999999999</v>
      </c>
      <c r="BD55">
        <f t="shared" si="10"/>
        <v>18.9020987654321</v>
      </c>
      <c r="BE55">
        <f t="shared" si="11"/>
        <v>2.3939130044444448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0.468445</v>
      </c>
      <c r="H56" s="22">
        <v>5.4245900000000002</v>
      </c>
      <c r="I56" s="22">
        <v>-1.44043E-2</v>
      </c>
      <c r="J56" s="22">
        <v>46</v>
      </c>
      <c r="K56" s="22">
        <v>0.46783400000000003</v>
      </c>
      <c r="L56">
        <f t="shared" si="0"/>
        <v>17.783086419753086</v>
      </c>
      <c r="M56">
        <f t="shared" si="1"/>
        <v>8.3303979179012337</v>
      </c>
      <c r="N56" s="9"/>
      <c r="O56" s="22">
        <v>0.13168299999999999</v>
      </c>
      <c r="P56" s="22">
        <v>7.0382300000000004</v>
      </c>
      <c r="Q56" s="22">
        <v>-1.52313E-2</v>
      </c>
      <c r="R56" s="22">
        <v>46</v>
      </c>
      <c r="S56" s="22">
        <v>0.13061500000000001</v>
      </c>
      <c r="T56">
        <f t="shared" si="2"/>
        <v>18.804074074074073</v>
      </c>
      <c r="U56">
        <f t="shared" si="3"/>
        <v>2.4761768862962961</v>
      </c>
      <c r="X56" s="9"/>
      <c r="Y56" s="22">
        <v>0.468445</v>
      </c>
      <c r="Z56" s="22">
        <v>10.3287</v>
      </c>
      <c r="AA56" s="22">
        <v>-1.45966E-2</v>
      </c>
      <c r="AB56" s="22">
        <v>46</v>
      </c>
      <c r="AC56" s="22">
        <v>0.467499</v>
      </c>
      <c r="AD56">
        <f t="shared" si="4"/>
        <v>18.020493827160493</v>
      </c>
      <c r="AE56">
        <f t="shared" si="5"/>
        <v>8.4416102308641978</v>
      </c>
      <c r="AF56" s="9"/>
      <c r="AG56" s="22">
        <v>0.13168299999999999</v>
      </c>
      <c r="AH56" s="22">
        <v>11.942399999999999</v>
      </c>
      <c r="AI56" s="22">
        <v>-1.5478499999999999E-2</v>
      </c>
      <c r="AJ56" s="22">
        <v>46</v>
      </c>
      <c r="AK56" s="22">
        <v>0.13104199999999999</v>
      </c>
      <c r="AL56">
        <f t="shared" si="6"/>
        <v>19.109259259259257</v>
      </c>
      <c r="AM56">
        <f t="shared" si="7"/>
        <v>2.5163645870370366</v>
      </c>
      <c r="AP56" s="9"/>
      <c r="AQ56" s="22">
        <v>0.468445</v>
      </c>
      <c r="AR56" s="22">
        <v>15.216900000000001</v>
      </c>
      <c r="AS56" s="22">
        <v>-1.45538E-2</v>
      </c>
      <c r="AT56" s="22">
        <v>46</v>
      </c>
      <c r="AU56" s="22">
        <v>0.46789599999999998</v>
      </c>
      <c r="AV56">
        <f t="shared" si="8"/>
        <v>17.967654320987652</v>
      </c>
      <c r="AW56">
        <f t="shared" si="9"/>
        <v>8.4168578283950612</v>
      </c>
      <c r="AX56" s="9"/>
      <c r="AY56" s="22">
        <v>0.13168299999999999</v>
      </c>
      <c r="AZ56" s="22">
        <v>16.8306</v>
      </c>
      <c r="BA56" s="22">
        <v>-1.5307599999999999E-2</v>
      </c>
      <c r="BB56" s="22">
        <v>46</v>
      </c>
      <c r="BC56" s="22">
        <v>0.13186600000000001</v>
      </c>
      <c r="BD56">
        <f t="shared" si="10"/>
        <v>18.89827160493827</v>
      </c>
      <c r="BE56">
        <f t="shared" si="11"/>
        <v>2.4885810997530862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0.46340900000000002</v>
      </c>
      <c r="H57" s="22">
        <v>5.43466</v>
      </c>
      <c r="I57" s="22">
        <v>-1.44165E-2</v>
      </c>
      <c r="J57" s="22">
        <v>47</v>
      </c>
      <c r="K57" s="22">
        <v>0.46261600000000003</v>
      </c>
      <c r="L57">
        <f t="shared" si="0"/>
        <v>17.798148148148147</v>
      </c>
      <c r="M57">
        <f t="shared" si="1"/>
        <v>8.2478220351851856</v>
      </c>
      <c r="N57" s="9"/>
      <c r="O57" s="22">
        <v>0.13671900000000001</v>
      </c>
      <c r="P57" s="22">
        <v>7.0483000000000002</v>
      </c>
      <c r="Q57" s="22">
        <v>-1.52283E-2</v>
      </c>
      <c r="R57" s="22">
        <v>47</v>
      </c>
      <c r="S57" s="22">
        <v>0.13650499999999999</v>
      </c>
      <c r="T57">
        <f t="shared" si="2"/>
        <v>18.80037037037037</v>
      </c>
      <c r="U57">
        <f t="shared" si="3"/>
        <v>2.5703678366666667</v>
      </c>
      <c r="X57" s="9"/>
      <c r="Y57" s="22">
        <v>0.46340900000000002</v>
      </c>
      <c r="Z57" s="22">
        <v>10.338800000000001</v>
      </c>
      <c r="AA57" s="22">
        <v>-1.46027E-2</v>
      </c>
      <c r="AB57" s="22">
        <v>47</v>
      </c>
      <c r="AC57" s="22">
        <v>0.462982</v>
      </c>
      <c r="AD57">
        <f t="shared" si="4"/>
        <v>18.028024691358024</v>
      </c>
      <c r="AE57">
        <f t="shared" si="5"/>
        <v>8.3543488941975301</v>
      </c>
      <c r="AF57" s="9"/>
      <c r="AG57" s="22">
        <v>0.13671900000000001</v>
      </c>
      <c r="AH57" s="22">
        <v>11.952500000000001</v>
      </c>
      <c r="AI57" s="22">
        <v>-1.5469399999999999E-2</v>
      </c>
      <c r="AJ57" s="22">
        <v>47</v>
      </c>
      <c r="AK57" s="22">
        <v>0.136292</v>
      </c>
      <c r="AL57">
        <f t="shared" si="6"/>
        <v>19.09802469135802</v>
      </c>
      <c r="AM57">
        <f t="shared" si="7"/>
        <v>2.6110628377777774</v>
      </c>
      <c r="AP57" s="9"/>
      <c r="AQ57" s="22">
        <v>0.46340900000000002</v>
      </c>
      <c r="AR57" s="22">
        <v>15.227</v>
      </c>
      <c r="AS57" s="22">
        <v>-1.4559900000000001E-2</v>
      </c>
      <c r="AT57" s="22">
        <v>47</v>
      </c>
      <c r="AU57" s="22">
        <v>0.46243299999999998</v>
      </c>
      <c r="AV57">
        <f t="shared" si="8"/>
        <v>17.975185185185186</v>
      </c>
      <c r="AW57">
        <f t="shared" si="9"/>
        <v>8.3298625914814828</v>
      </c>
      <c r="AX57" s="9"/>
      <c r="AY57" s="22">
        <v>0.13671900000000001</v>
      </c>
      <c r="AZ57" s="22">
        <v>16.840599999999998</v>
      </c>
      <c r="BA57" s="22">
        <v>-1.5301500000000001E-2</v>
      </c>
      <c r="BB57" s="22">
        <v>47</v>
      </c>
      <c r="BC57" s="22">
        <v>0.13702400000000001</v>
      </c>
      <c r="BD57">
        <f t="shared" si="10"/>
        <v>18.890740740740739</v>
      </c>
      <c r="BE57">
        <f t="shared" si="11"/>
        <v>2.5827231833333331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0.458374</v>
      </c>
      <c r="H58" s="22">
        <v>5.4447299999999998</v>
      </c>
      <c r="I58" s="22">
        <v>-1.4428699999999999E-2</v>
      </c>
      <c r="J58" s="22">
        <v>48</v>
      </c>
      <c r="K58" s="22">
        <v>0.45788600000000002</v>
      </c>
      <c r="L58">
        <f t="shared" si="0"/>
        <v>17.813209876543205</v>
      </c>
      <c r="M58">
        <f t="shared" si="1"/>
        <v>8.1651122639506148</v>
      </c>
      <c r="N58" s="9"/>
      <c r="O58" s="22">
        <v>0.14175399999999999</v>
      </c>
      <c r="P58" s="22">
        <v>7.05837</v>
      </c>
      <c r="Q58" s="22">
        <v>-1.52161E-2</v>
      </c>
      <c r="R58" s="22">
        <v>48</v>
      </c>
      <c r="S58" s="22">
        <v>0.14080799999999999</v>
      </c>
      <c r="T58">
        <f t="shared" si="2"/>
        <v>18.785308641975305</v>
      </c>
      <c r="U58">
        <f t="shared" si="3"/>
        <v>2.6628926412345675</v>
      </c>
      <c r="X58" s="9"/>
      <c r="Y58" s="22">
        <v>0.458374</v>
      </c>
      <c r="Z58" s="22">
        <v>10.3489</v>
      </c>
      <c r="AA58" s="22">
        <v>-1.46149E-2</v>
      </c>
      <c r="AB58" s="22">
        <v>48</v>
      </c>
      <c r="AC58" s="22">
        <v>0.45751999999999998</v>
      </c>
      <c r="AD58">
        <f t="shared" si="4"/>
        <v>18.043086419753088</v>
      </c>
      <c r="AE58">
        <f t="shared" si="5"/>
        <v>8.2704816945679021</v>
      </c>
      <c r="AF58" s="9"/>
      <c r="AG58" s="22">
        <v>0.14175399999999999</v>
      </c>
      <c r="AH58" s="22">
        <v>11.9625</v>
      </c>
      <c r="AI58" s="22">
        <v>-1.54602E-2</v>
      </c>
      <c r="AJ58" s="22">
        <v>48</v>
      </c>
      <c r="AK58" s="22">
        <v>0.141235</v>
      </c>
      <c r="AL58">
        <f t="shared" si="6"/>
        <v>19.086666666666666</v>
      </c>
      <c r="AM58">
        <f t="shared" si="7"/>
        <v>2.7056113466666663</v>
      </c>
      <c r="AP58" s="9"/>
      <c r="AQ58" s="22">
        <v>0.458374</v>
      </c>
      <c r="AR58" s="22">
        <v>15.2371</v>
      </c>
      <c r="AS58" s="22">
        <v>-1.4572099999999999E-2</v>
      </c>
      <c r="AT58" s="22">
        <v>48</v>
      </c>
      <c r="AU58" s="22">
        <v>0.45809899999999998</v>
      </c>
      <c r="AV58">
        <f t="shared" si="8"/>
        <v>17.990246913580243</v>
      </c>
      <c r="AW58">
        <f t="shared" si="9"/>
        <v>8.2462614387654298</v>
      </c>
      <c r="AX58" s="9"/>
      <c r="AY58" s="22">
        <v>0.14175399999999999</v>
      </c>
      <c r="AZ58" s="22">
        <v>16.8507</v>
      </c>
      <c r="BA58" s="22">
        <v>-1.5292399999999999E-2</v>
      </c>
      <c r="BB58" s="22">
        <v>48</v>
      </c>
      <c r="BC58" s="22">
        <v>0.141266</v>
      </c>
      <c r="BD58">
        <f t="shared" si="10"/>
        <v>18.879506172839505</v>
      </c>
      <c r="BE58">
        <f t="shared" si="11"/>
        <v>2.6762455180246909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0.45333899999999999</v>
      </c>
      <c r="H59" s="22">
        <v>5.4547999999999996</v>
      </c>
      <c r="I59" s="22">
        <v>-1.44409E-2</v>
      </c>
      <c r="J59" s="22">
        <v>49</v>
      </c>
      <c r="K59" s="22">
        <v>0.45275900000000002</v>
      </c>
      <c r="L59">
        <f t="shared" si="0"/>
        <v>17.828271604938269</v>
      </c>
      <c r="M59">
        <f t="shared" si="1"/>
        <v>8.0822508211111099</v>
      </c>
      <c r="N59" s="9"/>
      <c r="O59" s="22">
        <v>0.14679</v>
      </c>
      <c r="P59" s="22">
        <v>7.0684399999999998</v>
      </c>
      <c r="Q59" s="22">
        <v>-1.5213000000000001E-2</v>
      </c>
      <c r="R59" s="22">
        <v>49</v>
      </c>
      <c r="S59" s="22">
        <v>0.14624000000000001</v>
      </c>
      <c r="T59">
        <f t="shared" si="2"/>
        <v>18.781481481481482</v>
      </c>
      <c r="U59">
        <f t="shared" si="3"/>
        <v>2.7569336666666668</v>
      </c>
      <c r="X59" s="9"/>
      <c r="Y59" s="22">
        <v>0.45333899999999999</v>
      </c>
      <c r="Z59" s="22">
        <v>10.359</v>
      </c>
      <c r="AA59" s="22">
        <v>-1.4624E-2</v>
      </c>
      <c r="AB59" s="22">
        <v>49</v>
      </c>
      <c r="AC59" s="22">
        <v>0.452179</v>
      </c>
      <c r="AD59">
        <f t="shared" si="4"/>
        <v>18.054320987654318</v>
      </c>
      <c r="AE59">
        <f t="shared" si="5"/>
        <v>8.1847278222222215</v>
      </c>
      <c r="AF59" s="9"/>
      <c r="AG59" s="22">
        <v>0.14679</v>
      </c>
      <c r="AH59" s="22">
        <v>11.9726</v>
      </c>
      <c r="AI59" s="22">
        <v>-1.5450999999999999E-2</v>
      </c>
      <c r="AJ59" s="22">
        <v>49</v>
      </c>
      <c r="AK59" s="22">
        <v>0.14654500000000001</v>
      </c>
      <c r="AL59">
        <f t="shared" si="6"/>
        <v>19.075308641975305</v>
      </c>
      <c r="AM59">
        <f t="shared" si="7"/>
        <v>2.8000645555555552</v>
      </c>
      <c r="AP59" s="9"/>
      <c r="AQ59" s="22">
        <v>0.45333899999999999</v>
      </c>
      <c r="AR59" s="22">
        <v>15.2471</v>
      </c>
      <c r="AS59" s="22">
        <v>-1.45874E-2</v>
      </c>
      <c r="AT59" s="22">
        <v>49</v>
      </c>
      <c r="AU59" s="22">
        <v>0.45297199999999999</v>
      </c>
      <c r="AV59">
        <f t="shared" si="8"/>
        <v>18.009135802469135</v>
      </c>
      <c r="AW59">
        <f t="shared" si="9"/>
        <v>8.1642436155555558</v>
      </c>
      <c r="AX59" s="9"/>
      <c r="AY59" s="22">
        <v>0.14679</v>
      </c>
      <c r="AZ59" s="22">
        <v>16.860800000000001</v>
      </c>
      <c r="BA59" s="22">
        <v>-1.52832E-2</v>
      </c>
      <c r="BB59" s="22">
        <v>49</v>
      </c>
      <c r="BC59" s="22">
        <v>0.14502000000000001</v>
      </c>
      <c r="BD59">
        <f t="shared" si="10"/>
        <v>18.868148148148148</v>
      </c>
      <c r="BE59">
        <f t="shared" si="11"/>
        <v>2.7696554666666668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0.44830300000000001</v>
      </c>
      <c r="H60" s="22">
        <v>5.4648700000000003</v>
      </c>
      <c r="I60" s="22">
        <v>-1.4456200000000001E-2</v>
      </c>
      <c r="J60" s="22">
        <v>50</v>
      </c>
      <c r="K60" s="22">
        <v>0.44763199999999997</v>
      </c>
      <c r="L60">
        <f t="shared" si="0"/>
        <v>17.847160493827161</v>
      </c>
      <c r="M60">
        <f t="shared" si="1"/>
        <v>8.0009355908641986</v>
      </c>
      <c r="N60" s="9"/>
      <c r="O60" s="22">
        <v>0.15182499999999999</v>
      </c>
      <c r="P60" s="22">
        <v>7.0785200000000001</v>
      </c>
      <c r="Q60" s="22">
        <v>-1.5203899999999999E-2</v>
      </c>
      <c r="R60" s="22">
        <v>50</v>
      </c>
      <c r="S60" s="22">
        <v>0.15118400000000001</v>
      </c>
      <c r="T60">
        <f t="shared" si="2"/>
        <v>18.770246913580245</v>
      </c>
      <c r="U60">
        <f t="shared" si="3"/>
        <v>2.8497927376543206</v>
      </c>
      <c r="X60" s="9"/>
      <c r="Y60" s="22">
        <v>0.44830300000000001</v>
      </c>
      <c r="Z60" s="22">
        <v>10.369</v>
      </c>
      <c r="AA60" s="22">
        <v>-1.4633200000000001E-2</v>
      </c>
      <c r="AB60" s="22">
        <v>50</v>
      </c>
      <c r="AC60" s="22">
        <v>0.44769300000000001</v>
      </c>
      <c r="AD60">
        <f t="shared" si="4"/>
        <v>18.065679012345679</v>
      </c>
      <c r="AE60">
        <f t="shared" si="5"/>
        <v>8.0988980982716061</v>
      </c>
      <c r="AF60" s="9"/>
      <c r="AG60" s="22">
        <v>0.15182499999999999</v>
      </c>
      <c r="AH60" s="22">
        <v>11.982699999999999</v>
      </c>
      <c r="AI60" s="22">
        <v>-1.54419E-2</v>
      </c>
      <c r="AJ60" s="22">
        <v>50</v>
      </c>
      <c r="AK60" s="22">
        <v>0.15127599999999999</v>
      </c>
      <c r="AL60">
        <f t="shared" si="6"/>
        <v>19.064074074074075</v>
      </c>
      <c r="AM60">
        <f t="shared" si="7"/>
        <v>2.8944030462962962</v>
      </c>
      <c r="AP60" s="9"/>
      <c r="AQ60" s="22">
        <v>0.44830300000000001</v>
      </c>
      <c r="AR60" s="22">
        <v>15.257199999999999</v>
      </c>
      <c r="AS60" s="22">
        <v>-1.45966E-2</v>
      </c>
      <c r="AT60" s="22">
        <v>50</v>
      </c>
      <c r="AU60" s="22">
        <v>0.44747900000000002</v>
      </c>
      <c r="AV60">
        <f t="shared" si="8"/>
        <v>18.020493827160493</v>
      </c>
      <c r="AW60">
        <f t="shared" si="9"/>
        <v>8.0786414441975314</v>
      </c>
      <c r="AX60" s="9"/>
      <c r="AY60" s="22">
        <v>0.15182499999999999</v>
      </c>
      <c r="AZ60" s="22">
        <v>16.870799999999999</v>
      </c>
      <c r="BA60" s="22">
        <v>-1.5273999999999999E-2</v>
      </c>
      <c r="BB60" s="22">
        <v>50</v>
      </c>
      <c r="BC60" s="22">
        <v>0.150757</v>
      </c>
      <c r="BD60">
        <f t="shared" si="10"/>
        <v>18.85679012345679</v>
      </c>
      <c r="BE60">
        <f t="shared" si="11"/>
        <v>2.8629321604938269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0.443268</v>
      </c>
      <c r="H61" s="22">
        <v>5.4749400000000001</v>
      </c>
      <c r="I61" s="22">
        <v>-1.44653E-2</v>
      </c>
      <c r="J61" s="22">
        <v>51</v>
      </c>
      <c r="K61" s="22">
        <v>0.44265700000000002</v>
      </c>
      <c r="L61">
        <f t="shared" si="0"/>
        <v>17.858395061728395</v>
      </c>
      <c r="M61">
        <f t="shared" si="1"/>
        <v>7.9160550622222221</v>
      </c>
      <c r="N61" s="9"/>
      <c r="O61" s="22">
        <v>0.15686</v>
      </c>
      <c r="P61" s="22">
        <v>7.0885899999999999</v>
      </c>
      <c r="Q61" s="22">
        <v>-1.51947E-2</v>
      </c>
      <c r="R61" s="22">
        <v>51</v>
      </c>
      <c r="S61" s="22">
        <v>0.15554799999999999</v>
      </c>
      <c r="T61">
        <f t="shared" si="2"/>
        <v>18.758888888888887</v>
      </c>
      <c r="U61">
        <f t="shared" si="3"/>
        <v>2.942519311111111</v>
      </c>
      <c r="X61" s="9"/>
      <c r="Y61" s="22">
        <v>0.443268</v>
      </c>
      <c r="Z61" s="22">
        <v>10.379099999999999</v>
      </c>
      <c r="AA61" s="22">
        <v>-1.46423E-2</v>
      </c>
      <c r="AB61" s="22">
        <v>51</v>
      </c>
      <c r="AC61" s="22">
        <v>0.443268</v>
      </c>
      <c r="AD61">
        <f t="shared" si="4"/>
        <v>18.076913580246913</v>
      </c>
      <c r="AE61">
        <f t="shared" si="5"/>
        <v>8.0129173288888893</v>
      </c>
      <c r="AF61" s="9"/>
      <c r="AG61" s="22">
        <v>0.15686</v>
      </c>
      <c r="AH61" s="22">
        <v>11.992699999999999</v>
      </c>
      <c r="AI61" s="22">
        <v>-1.5429699999999999E-2</v>
      </c>
      <c r="AJ61" s="22">
        <v>51</v>
      </c>
      <c r="AK61" s="22">
        <v>0.15625</v>
      </c>
      <c r="AL61">
        <f t="shared" si="6"/>
        <v>19.04901234567901</v>
      </c>
      <c r="AM61">
        <f t="shared" si="7"/>
        <v>2.9880280765432095</v>
      </c>
      <c r="AP61" s="9"/>
      <c r="AQ61" s="22">
        <v>0.443268</v>
      </c>
      <c r="AR61" s="22">
        <v>15.267300000000001</v>
      </c>
      <c r="AS61" s="22">
        <v>-1.46088E-2</v>
      </c>
      <c r="AT61" s="22">
        <v>51</v>
      </c>
      <c r="AU61" s="22">
        <v>0.44314599999999998</v>
      </c>
      <c r="AV61">
        <f t="shared" si="8"/>
        <v>18.035555555555554</v>
      </c>
      <c r="AW61">
        <f t="shared" si="9"/>
        <v>7.9945846399999994</v>
      </c>
      <c r="AX61" s="9"/>
      <c r="AY61" s="22">
        <v>0.15686</v>
      </c>
      <c r="AZ61" s="22">
        <v>16.8809</v>
      </c>
      <c r="BA61" s="22">
        <v>-1.52649E-2</v>
      </c>
      <c r="BB61" s="22">
        <v>51</v>
      </c>
      <c r="BC61" s="22">
        <v>0.156219</v>
      </c>
      <c r="BD61">
        <f t="shared" si="10"/>
        <v>18.845555555555553</v>
      </c>
      <c r="BE61">
        <f t="shared" si="11"/>
        <v>2.9561138444444439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0.43823200000000001</v>
      </c>
      <c r="H62" s="22">
        <v>5.4850099999999999</v>
      </c>
      <c r="I62" s="22">
        <v>-1.44806E-2</v>
      </c>
      <c r="J62" s="22">
        <v>52</v>
      </c>
      <c r="K62" s="22">
        <v>0.43771399999999999</v>
      </c>
      <c r="L62">
        <f t="shared" si="0"/>
        <v>17.877283950617283</v>
      </c>
      <c r="M62">
        <f t="shared" si="1"/>
        <v>7.8343979002469135</v>
      </c>
      <c r="N62" s="9"/>
      <c r="O62" s="22">
        <v>0.16189600000000001</v>
      </c>
      <c r="P62" s="22">
        <v>7.0986599999999997</v>
      </c>
      <c r="Q62" s="22">
        <v>-1.51825E-2</v>
      </c>
      <c r="R62" s="22">
        <v>52</v>
      </c>
      <c r="S62" s="22">
        <v>0.16125500000000001</v>
      </c>
      <c r="T62">
        <f t="shared" si="2"/>
        <v>18.743827160493826</v>
      </c>
      <c r="U62">
        <f t="shared" si="3"/>
        <v>3.0345506419753088</v>
      </c>
      <c r="X62" s="9"/>
      <c r="Y62" s="22">
        <v>0.43823200000000001</v>
      </c>
      <c r="Z62" s="22">
        <v>10.389200000000001</v>
      </c>
      <c r="AA62" s="22">
        <v>-1.46576E-2</v>
      </c>
      <c r="AB62" s="22">
        <v>52</v>
      </c>
      <c r="AC62" s="22">
        <v>0.43786599999999998</v>
      </c>
      <c r="AD62">
        <f t="shared" si="4"/>
        <v>18.095802469135801</v>
      </c>
      <c r="AE62">
        <f t="shared" si="5"/>
        <v>7.9301597076543207</v>
      </c>
      <c r="AF62" s="9"/>
      <c r="AG62" s="22">
        <v>0.16189600000000001</v>
      </c>
      <c r="AH62" s="22">
        <v>12.002800000000001</v>
      </c>
      <c r="AI62" s="22">
        <v>-1.54205E-2</v>
      </c>
      <c r="AJ62" s="22">
        <v>52</v>
      </c>
      <c r="AK62" s="22">
        <v>0.16134599999999999</v>
      </c>
      <c r="AL62">
        <f t="shared" si="6"/>
        <v>19.037654320987656</v>
      </c>
      <c r="AM62">
        <f t="shared" si="7"/>
        <v>3.0821200839506178</v>
      </c>
      <c r="AP62" s="9"/>
      <c r="AQ62" s="22">
        <v>0.43823200000000001</v>
      </c>
      <c r="AR62" s="22">
        <v>15.2773</v>
      </c>
      <c r="AS62" s="22">
        <v>-1.4621E-2</v>
      </c>
      <c r="AT62" s="22">
        <v>52</v>
      </c>
      <c r="AU62" s="22">
        <v>0.437805</v>
      </c>
      <c r="AV62">
        <f t="shared" si="8"/>
        <v>18.050617283950618</v>
      </c>
      <c r="AW62">
        <f t="shared" si="9"/>
        <v>7.9103581135802479</v>
      </c>
      <c r="AX62" s="9"/>
      <c r="AY62" s="22">
        <v>0.16189600000000001</v>
      </c>
      <c r="AZ62" s="22">
        <v>16.890999999999998</v>
      </c>
      <c r="BA62" s="22">
        <v>-1.5258799999999999E-2</v>
      </c>
      <c r="BB62" s="22">
        <v>52</v>
      </c>
      <c r="BC62" s="22">
        <v>0.160583</v>
      </c>
      <c r="BD62">
        <f t="shared" si="10"/>
        <v>18.838024691358022</v>
      </c>
      <c r="BE62">
        <f t="shared" si="11"/>
        <v>3.0498008454320984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0.433197</v>
      </c>
      <c r="H63" s="22">
        <v>5.4950799999999997</v>
      </c>
      <c r="I63" s="22">
        <v>-1.44928E-2</v>
      </c>
      <c r="J63" s="22">
        <v>53</v>
      </c>
      <c r="K63" s="22">
        <v>0.43264799999999998</v>
      </c>
      <c r="L63">
        <f t="shared" si="0"/>
        <v>17.892345679012344</v>
      </c>
      <c r="M63">
        <f t="shared" si="1"/>
        <v>7.7509104711111103</v>
      </c>
      <c r="N63" s="9"/>
      <c r="O63" s="22">
        <v>0.166931</v>
      </c>
      <c r="P63" s="22">
        <v>7.1087300000000004</v>
      </c>
      <c r="Q63" s="22">
        <v>-1.5173300000000001E-2</v>
      </c>
      <c r="R63" s="22">
        <v>53</v>
      </c>
      <c r="S63" s="22">
        <v>0.16628999999999999</v>
      </c>
      <c r="T63">
        <f t="shared" si="2"/>
        <v>18.732469135802468</v>
      </c>
      <c r="U63">
        <f t="shared" si="3"/>
        <v>3.1270298053086418</v>
      </c>
      <c r="X63" s="9"/>
      <c r="Y63" s="22">
        <v>0.433197</v>
      </c>
      <c r="Z63" s="22">
        <v>10.3992</v>
      </c>
      <c r="AA63" s="22">
        <v>-1.46637E-2</v>
      </c>
      <c r="AB63" s="22">
        <v>53</v>
      </c>
      <c r="AC63" s="22">
        <v>0.43273899999999998</v>
      </c>
      <c r="AD63">
        <f t="shared" si="4"/>
        <v>18.103333333333332</v>
      </c>
      <c r="AE63">
        <f t="shared" si="5"/>
        <v>7.8423096899999996</v>
      </c>
      <c r="AF63" s="9"/>
      <c r="AG63" s="22">
        <v>0.166931</v>
      </c>
      <c r="AH63" s="22">
        <v>12.0129</v>
      </c>
      <c r="AI63" s="22">
        <v>-1.54114E-2</v>
      </c>
      <c r="AJ63" s="22">
        <v>53</v>
      </c>
      <c r="AK63" s="22">
        <v>0.16653399999999999</v>
      </c>
      <c r="AL63">
        <f t="shared" si="6"/>
        <v>19.026419753086419</v>
      </c>
      <c r="AM63">
        <f t="shared" si="7"/>
        <v>3.1760992758024691</v>
      </c>
      <c r="AP63" s="9"/>
      <c r="AQ63" s="22">
        <v>0.433197</v>
      </c>
      <c r="AR63" s="22">
        <v>15.2874</v>
      </c>
      <c r="AS63" s="22">
        <v>-1.4633200000000001E-2</v>
      </c>
      <c r="AT63" s="22">
        <v>53</v>
      </c>
      <c r="AU63" s="22">
        <v>0.43301400000000001</v>
      </c>
      <c r="AV63">
        <f t="shared" si="8"/>
        <v>18.065679012345679</v>
      </c>
      <c r="AW63">
        <f t="shared" si="9"/>
        <v>7.8259979511111109</v>
      </c>
      <c r="AX63" s="9"/>
      <c r="AY63" s="22">
        <v>0.166931</v>
      </c>
      <c r="AZ63" s="22">
        <v>16.9011</v>
      </c>
      <c r="BA63" s="22">
        <v>-1.52435E-2</v>
      </c>
      <c r="BB63" s="22">
        <v>53</v>
      </c>
      <c r="BC63" s="22">
        <v>0.166412</v>
      </c>
      <c r="BD63">
        <f t="shared" si="10"/>
        <v>18.819135802469134</v>
      </c>
      <c r="BE63">
        <f t="shared" si="11"/>
        <v>3.1414971586419749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0.42816199999999999</v>
      </c>
      <c r="H64" s="22">
        <v>5.5051500000000004</v>
      </c>
      <c r="I64" s="22">
        <v>-1.4505000000000001E-2</v>
      </c>
      <c r="J64" s="22">
        <v>54</v>
      </c>
      <c r="K64" s="22">
        <v>0.42739899999999997</v>
      </c>
      <c r="L64">
        <f t="shared" si="0"/>
        <v>17.907407407407408</v>
      </c>
      <c r="M64">
        <f t="shared" si="1"/>
        <v>7.6672713703703703</v>
      </c>
      <c r="N64" s="9"/>
      <c r="O64" s="22">
        <v>0.17196700000000001</v>
      </c>
      <c r="P64" s="22">
        <v>7.1188000000000002</v>
      </c>
      <c r="Q64" s="22">
        <v>-1.51672E-2</v>
      </c>
      <c r="R64" s="22">
        <v>54</v>
      </c>
      <c r="S64" s="22">
        <v>0.17172200000000001</v>
      </c>
      <c r="T64">
        <f t="shared" si="2"/>
        <v>18.724938271604938</v>
      </c>
      <c r="U64">
        <f t="shared" si="3"/>
        <v>3.2200714597530866</v>
      </c>
      <c r="X64" s="9"/>
      <c r="Y64" s="22">
        <v>0.42816199999999999</v>
      </c>
      <c r="Z64" s="22">
        <v>10.4093</v>
      </c>
      <c r="AA64" s="22">
        <v>-1.4672899999999999E-2</v>
      </c>
      <c r="AB64" s="22">
        <v>54</v>
      </c>
      <c r="AC64" s="22">
        <v>0.42748999999999998</v>
      </c>
      <c r="AD64">
        <f t="shared" si="4"/>
        <v>18.11469135802469</v>
      </c>
      <c r="AE64">
        <f t="shared" si="5"/>
        <v>7.7560224812345666</v>
      </c>
      <c r="AF64" s="9"/>
      <c r="AG64" s="22">
        <v>0.17196700000000001</v>
      </c>
      <c r="AH64" s="22">
        <v>12.023</v>
      </c>
      <c r="AI64" s="22">
        <v>-1.54053E-2</v>
      </c>
      <c r="AJ64" s="22">
        <v>54</v>
      </c>
      <c r="AK64" s="22">
        <v>0.17141700000000001</v>
      </c>
      <c r="AL64">
        <f t="shared" si="6"/>
        <v>19.018888888888888</v>
      </c>
      <c r="AM64">
        <f t="shared" si="7"/>
        <v>3.2706212655555555</v>
      </c>
      <c r="AP64" s="9"/>
      <c r="AQ64" s="22">
        <v>0.42816199999999999</v>
      </c>
      <c r="AR64" s="22">
        <v>15.297499999999999</v>
      </c>
      <c r="AS64" s="22">
        <v>-1.4645399999999999E-2</v>
      </c>
      <c r="AT64" s="22">
        <v>54</v>
      </c>
      <c r="AU64" s="22">
        <v>0.42724600000000001</v>
      </c>
      <c r="AV64">
        <f t="shared" si="8"/>
        <v>18.080740740740737</v>
      </c>
      <c r="AW64">
        <f t="shared" si="9"/>
        <v>7.7414861170370353</v>
      </c>
      <c r="AX64" s="9"/>
      <c r="AY64" s="22">
        <v>0.17196700000000001</v>
      </c>
      <c r="AZ64" s="22">
        <v>16.911100000000001</v>
      </c>
      <c r="BA64" s="22">
        <v>-1.52374E-2</v>
      </c>
      <c r="BB64" s="22">
        <v>54</v>
      </c>
      <c r="BC64" s="22">
        <v>0.17053199999999999</v>
      </c>
      <c r="BD64">
        <f t="shared" si="10"/>
        <v>18.811604938271604</v>
      </c>
      <c r="BE64">
        <f t="shared" si="11"/>
        <v>3.2349752664197529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0.423126</v>
      </c>
      <c r="H65" s="22">
        <v>5.5152200000000002</v>
      </c>
      <c r="I65" s="22">
        <v>-1.4517199999999999E-2</v>
      </c>
      <c r="J65" s="22">
        <v>55</v>
      </c>
      <c r="K65" s="22">
        <v>0.42257699999999998</v>
      </c>
      <c r="L65">
        <f t="shared" si="0"/>
        <v>17.922469135802466</v>
      </c>
      <c r="M65">
        <f t="shared" si="1"/>
        <v>7.5834626755555545</v>
      </c>
      <c r="N65" s="9"/>
      <c r="O65" s="22">
        <v>0.17700199999999999</v>
      </c>
      <c r="P65" s="22">
        <v>7.12887</v>
      </c>
      <c r="Q65" s="22">
        <v>-1.5155E-2</v>
      </c>
      <c r="R65" s="22">
        <v>55</v>
      </c>
      <c r="S65" s="22">
        <v>0.176788</v>
      </c>
      <c r="T65">
        <f t="shared" si="2"/>
        <v>18.709876543209877</v>
      </c>
      <c r="U65">
        <f t="shared" si="3"/>
        <v>3.3116855679012343</v>
      </c>
      <c r="X65" s="9"/>
      <c r="Y65" s="22">
        <v>0.423126</v>
      </c>
      <c r="Z65" s="22">
        <v>10.4194</v>
      </c>
      <c r="AA65" s="22">
        <v>-1.46851E-2</v>
      </c>
      <c r="AB65" s="22">
        <v>55</v>
      </c>
      <c r="AC65" s="22">
        <v>0.42257699999999998</v>
      </c>
      <c r="AD65">
        <f t="shared" si="4"/>
        <v>18.12975308641975</v>
      </c>
      <c r="AE65">
        <f t="shared" si="5"/>
        <v>7.6711699044444437</v>
      </c>
      <c r="AF65" s="9"/>
      <c r="AG65" s="22">
        <v>0.17700199999999999</v>
      </c>
      <c r="AH65" s="22">
        <v>12.032999999999999</v>
      </c>
      <c r="AI65" s="22">
        <v>-1.53931E-2</v>
      </c>
      <c r="AJ65" s="22">
        <v>55</v>
      </c>
      <c r="AK65" s="22">
        <v>0.176483</v>
      </c>
      <c r="AL65">
        <f t="shared" si="6"/>
        <v>19.003827160493824</v>
      </c>
      <c r="AM65">
        <f t="shared" si="7"/>
        <v>3.3637154150617277</v>
      </c>
      <c r="AP65" s="9"/>
      <c r="AQ65" s="22">
        <v>0.423126</v>
      </c>
      <c r="AR65" s="22">
        <v>15.307600000000001</v>
      </c>
      <c r="AS65" s="22">
        <v>-1.4660599999999999E-2</v>
      </c>
      <c r="AT65" s="22">
        <v>55</v>
      </c>
      <c r="AU65" s="22">
        <v>0.421875</v>
      </c>
      <c r="AV65">
        <f t="shared" si="8"/>
        <v>18.099506172839504</v>
      </c>
      <c r="AW65">
        <f t="shared" si="9"/>
        <v>7.6583716488888882</v>
      </c>
      <c r="AX65" s="9"/>
      <c r="AY65" s="22">
        <v>0.17700199999999999</v>
      </c>
      <c r="AZ65" s="22">
        <v>16.921199999999999</v>
      </c>
      <c r="BA65" s="22">
        <v>-1.52313E-2</v>
      </c>
      <c r="BB65" s="22">
        <v>55</v>
      </c>
      <c r="BC65" s="22">
        <v>0.176453</v>
      </c>
      <c r="BD65">
        <f t="shared" si="10"/>
        <v>18.804074074074073</v>
      </c>
      <c r="BE65">
        <f t="shared" si="11"/>
        <v>3.328358719259259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0.41809099999999999</v>
      </c>
      <c r="H66" s="22">
        <v>5.5252999999999997</v>
      </c>
      <c r="I66" s="22">
        <v>-1.45294E-2</v>
      </c>
      <c r="J66" s="22">
        <v>56</v>
      </c>
      <c r="K66" s="22">
        <v>0.417572</v>
      </c>
      <c r="L66">
        <f t="shared" si="0"/>
        <v>17.93753086419753</v>
      </c>
      <c r="M66">
        <f t="shared" si="1"/>
        <v>7.4995202165432095</v>
      </c>
      <c r="N66" s="9"/>
      <c r="O66" s="22">
        <v>0.182037</v>
      </c>
      <c r="P66" s="22">
        <v>7.1389399999999998</v>
      </c>
      <c r="Q66" s="22">
        <v>-1.51428E-2</v>
      </c>
      <c r="R66" s="22">
        <v>56</v>
      </c>
      <c r="S66" s="22">
        <v>0.18191499999999999</v>
      </c>
      <c r="T66">
        <f t="shared" si="2"/>
        <v>18.694814814814812</v>
      </c>
      <c r="U66">
        <f t="shared" si="3"/>
        <v>3.4031480044444442</v>
      </c>
      <c r="X66" s="9"/>
      <c r="Y66" s="22">
        <v>0.41809099999999999</v>
      </c>
      <c r="Z66" s="22">
        <v>10.429500000000001</v>
      </c>
      <c r="AA66" s="22">
        <v>-1.46973E-2</v>
      </c>
      <c r="AB66" s="22">
        <v>56</v>
      </c>
      <c r="AC66" s="22">
        <v>0.417267</v>
      </c>
      <c r="AD66">
        <f t="shared" si="4"/>
        <v>18.144814814814815</v>
      </c>
      <c r="AE66">
        <f t="shared" si="5"/>
        <v>7.5861837707407407</v>
      </c>
      <c r="AF66" s="9"/>
      <c r="AG66" s="22">
        <v>0.182037</v>
      </c>
      <c r="AH66" s="22">
        <v>12.043100000000001</v>
      </c>
      <c r="AI66" s="22">
        <v>-1.5387E-2</v>
      </c>
      <c r="AJ66" s="22">
        <v>56</v>
      </c>
      <c r="AK66" s="22">
        <v>0.181366</v>
      </c>
      <c r="AL66">
        <f t="shared" si="6"/>
        <v>18.996296296296297</v>
      </c>
      <c r="AM66">
        <f t="shared" si="7"/>
        <v>3.458028788888889</v>
      </c>
      <c r="AP66" s="9"/>
      <c r="AQ66" s="22">
        <v>0.41809099999999999</v>
      </c>
      <c r="AR66" s="22">
        <v>15.317600000000001</v>
      </c>
      <c r="AS66" s="22">
        <v>-1.4672899999999999E-2</v>
      </c>
      <c r="AT66" s="22">
        <v>56</v>
      </c>
      <c r="AU66" s="22">
        <v>0.41720600000000002</v>
      </c>
      <c r="AV66">
        <f t="shared" si="8"/>
        <v>18.11469135802469</v>
      </c>
      <c r="AW66">
        <f t="shared" si="9"/>
        <v>7.5735894245679001</v>
      </c>
      <c r="AX66" s="9"/>
      <c r="AY66" s="22">
        <v>0.182037</v>
      </c>
      <c r="AZ66" s="22">
        <v>16.9313</v>
      </c>
      <c r="BA66" s="22">
        <v>-1.52161E-2</v>
      </c>
      <c r="BB66" s="22">
        <v>56</v>
      </c>
      <c r="BC66" s="22">
        <v>0.18148800000000001</v>
      </c>
      <c r="BD66">
        <f t="shared" si="10"/>
        <v>18.785308641975305</v>
      </c>
      <c r="BE66">
        <f t="shared" si="11"/>
        <v>3.4196212292592589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0.41305500000000001</v>
      </c>
      <c r="H67" s="22">
        <v>5.5353700000000003</v>
      </c>
      <c r="I67" s="22">
        <v>-1.45386E-2</v>
      </c>
      <c r="J67" s="22">
        <v>57</v>
      </c>
      <c r="K67" s="22">
        <v>0.41244500000000001</v>
      </c>
      <c r="L67">
        <f t="shared" si="0"/>
        <v>17.948888888888888</v>
      </c>
      <c r="M67">
        <f t="shared" si="1"/>
        <v>7.4138782999999995</v>
      </c>
      <c r="N67" s="9"/>
      <c r="O67" s="22">
        <v>0.18707299999999999</v>
      </c>
      <c r="P67" s="22">
        <v>7.1490099999999996</v>
      </c>
      <c r="Q67" s="22">
        <v>-1.5130599999999999E-2</v>
      </c>
      <c r="R67" s="22">
        <v>57</v>
      </c>
      <c r="S67" s="22">
        <v>0.185944</v>
      </c>
      <c r="T67">
        <f t="shared" si="2"/>
        <v>18.679753086419751</v>
      </c>
      <c r="U67">
        <f t="shared" si="3"/>
        <v>3.4944774491358017</v>
      </c>
      <c r="X67" s="9"/>
      <c r="Y67" s="22">
        <v>0.41305500000000001</v>
      </c>
      <c r="Z67" s="22">
        <v>10.439500000000001</v>
      </c>
      <c r="AA67" s="22">
        <v>-1.47095E-2</v>
      </c>
      <c r="AB67" s="22">
        <v>57</v>
      </c>
      <c r="AC67" s="22">
        <v>0.412659</v>
      </c>
      <c r="AD67">
        <f t="shared" si="4"/>
        <v>18.159876543209876</v>
      </c>
      <c r="AE67">
        <f t="shared" si="5"/>
        <v>7.5010278055555553</v>
      </c>
      <c r="AF67" s="9"/>
      <c r="AG67" s="22">
        <v>0.18707299999999999</v>
      </c>
      <c r="AH67" s="22">
        <v>12.0532</v>
      </c>
      <c r="AI67" s="22">
        <v>-1.53778E-2</v>
      </c>
      <c r="AJ67" s="22">
        <v>57</v>
      </c>
      <c r="AK67" s="22">
        <v>0.18634000000000001</v>
      </c>
      <c r="AL67">
        <f t="shared" si="6"/>
        <v>18.984938271604936</v>
      </c>
      <c r="AM67">
        <f t="shared" si="7"/>
        <v>3.5515693572839497</v>
      </c>
      <c r="AP67" s="9"/>
      <c r="AQ67" s="22">
        <v>0.41305500000000001</v>
      </c>
      <c r="AR67" s="22">
        <v>15.3277</v>
      </c>
      <c r="AS67" s="22">
        <v>-1.4682000000000001E-2</v>
      </c>
      <c r="AT67" s="22">
        <v>57</v>
      </c>
      <c r="AU67" s="22">
        <v>0.41241499999999998</v>
      </c>
      <c r="AV67">
        <f t="shared" si="8"/>
        <v>18.125925925925923</v>
      </c>
      <c r="AW67">
        <f t="shared" si="9"/>
        <v>7.4870043333333323</v>
      </c>
      <c r="AX67" s="9"/>
      <c r="AY67" s="22">
        <v>0.18707299999999999</v>
      </c>
      <c r="AZ67" s="22">
        <v>16.941299999999998</v>
      </c>
      <c r="BA67" s="22">
        <v>-1.521E-2</v>
      </c>
      <c r="BB67" s="22">
        <v>57</v>
      </c>
      <c r="BC67" s="22">
        <v>0.18542500000000001</v>
      </c>
      <c r="BD67">
        <f t="shared" si="10"/>
        <v>18.777777777777775</v>
      </c>
      <c r="BE67">
        <f t="shared" si="11"/>
        <v>3.5128152222222213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0.40801999999999999</v>
      </c>
      <c r="H68" s="22">
        <v>5.5454400000000001</v>
      </c>
      <c r="I68" s="22">
        <v>-1.4550799999999999E-2</v>
      </c>
      <c r="J68" s="22">
        <v>58</v>
      </c>
      <c r="K68" s="22">
        <v>0.40737899999999999</v>
      </c>
      <c r="L68">
        <f t="shared" si="0"/>
        <v>17.963950617283949</v>
      </c>
      <c r="M68">
        <f t="shared" si="1"/>
        <v>7.329651130864197</v>
      </c>
      <c r="N68" s="9"/>
      <c r="O68" s="22">
        <v>0.192108</v>
      </c>
      <c r="P68" s="22">
        <v>7.1590800000000003</v>
      </c>
      <c r="Q68" s="22">
        <v>-1.51215E-2</v>
      </c>
      <c r="R68" s="22">
        <v>58</v>
      </c>
      <c r="S68" s="22">
        <v>0.19168099999999999</v>
      </c>
      <c r="T68">
        <f t="shared" si="2"/>
        <v>18.668518518518518</v>
      </c>
      <c r="U68">
        <f t="shared" si="3"/>
        <v>3.5863717555555552</v>
      </c>
      <c r="X68" s="9"/>
      <c r="Y68" s="22">
        <v>0.40801999999999999</v>
      </c>
      <c r="Z68" s="22">
        <v>10.4496</v>
      </c>
      <c r="AA68" s="22">
        <v>-1.47186E-2</v>
      </c>
      <c r="AB68" s="22">
        <v>58</v>
      </c>
      <c r="AC68" s="22">
        <v>0.40762300000000001</v>
      </c>
      <c r="AD68">
        <f t="shared" si="4"/>
        <v>18.171111111111109</v>
      </c>
      <c r="AE68">
        <f t="shared" si="5"/>
        <v>7.4141767555555544</v>
      </c>
      <c r="AF68" s="9"/>
      <c r="AG68" s="22">
        <v>0.192108</v>
      </c>
      <c r="AH68" s="22">
        <v>12.0632</v>
      </c>
      <c r="AI68" s="22">
        <v>-1.5368700000000001E-2</v>
      </c>
      <c r="AJ68" s="22">
        <v>58</v>
      </c>
      <c r="AK68" s="22">
        <v>0.191742</v>
      </c>
      <c r="AL68">
        <f t="shared" si="6"/>
        <v>18.973703703703706</v>
      </c>
      <c r="AM68">
        <f t="shared" si="7"/>
        <v>3.6450002711111114</v>
      </c>
      <c r="AP68" s="9"/>
      <c r="AQ68" s="22">
        <v>0.40801999999999999</v>
      </c>
      <c r="AR68" s="22">
        <v>15.3378</v>
      </c>
      <c r="AS68" s="22">
        <v>-1.4694199999999999E-2</v>
      </c>
      <c r="AT68" s="22">
        <v>58</v>
      </c>
      <c r="AU68" s="22">
        <v>0.40713500000000002</v>
      </c>
      <c r="AV68">
        <f t="shared" si="8"/>
        <v>18.140987654320988</v>
      </c>
      <c r="AW68">
        <f t="shared" si="9"/>
        <v>7.4018857827160494</v>
      </c>
      <c r="AX68" s="9"/>
      <c r="AY68" s="22">
        <v>0.192108</v>
      </c>
      <c r="AZ68" s="22">
        <v>16.9514</v>
      </c>
      <c r="BA68" s="22">
        <v>-1.5203899999999999E-2</v>
      </c>
      <c r="BB68" s="22">
        <v>58</v>
      </c>
      <c r="BC68" s="22">
        <v>0.190826</v>
      </c>
      <c r="BD68">
        <f t="shared" si="10"/>
        <v>18.770246913580245</v>
      </c>
      <c r="BE68">
        <f t="shared" si="11"/>
        <v>3.6059145940740738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0.40298499999999998</v>
      </c>
      <c r="H69" s="22">
        <v>5.5555099999999999</v>
      </c>
      <c r="I69" s="22">
        <v>-1.4559900000000001E-2</v>
      </c>
      <c r="J69" s="22">
        <v>59</v>
      </c>
      <c r="K69" s="22">
        <v>0.40231299999999998</v>
      </c>
      <c r="L69">
        <f t="shared" si="0"/>
        <v>17.975185185185186</v>
      </c>
      <c r="M69">
        <f t="shared" si="1"/>
        <v>7.2437300018518522</v>
      </c>
      <c r="N69" s="9"/>
      <c r="O69" s="22">
        <v>0.19714400000000001</v>
      </c>
      <c r="P69" s="22">
        <v>7.1691500000000001</v>
      </c>
      <c r="Q69" s="22">
        <v>-1.50787E-2</v>
      </c>
      <c r="R69" s="22">
        <v>59</v>
      </c>
      <c r="S69" s="22">
        <v>0.19708300000000001</v>
      </c>
      <c r="T69">
        <f t="shared" si="2"/>
        <v>18.61567901234568</v>
      </c>
      <c r="U69">
        <f t="shared" si="3"/>
        <v>3.669969423209877</v>
      </c>
      <c r="X69" s="9"/>
      <c r="Y69" s="22">
        <v>0.40298499999999998</v>
      </c>
      <c r="Z69" s="22">
        <v>10.4597</v>
      </c>
      <c r="AA69" s="22">
        <v>-1.47308E-2</v>
      </c>
      <c r="AB69" s="22">
        <v>59</v>
      </c>
      <c r="AC69" s="22">
        <v>0.40240500000000001</v>
      </c>
      <c r="AD69">
        <f t="shared" si="4"/>
        <v>18.186172839506174</v>
      </c>
      <c r="AE69">
        <f t="shared" si="5"/>
        <v>7.3287548617283953</v>
      </c>
      <c r="AF69" s="9"/>
      <c r="AG69" s="22">
        <v>0.19714400000000001</v>
      </c>
      <c r="AH69" s="22">
        <v>12.0733</v>
      </c>
      <c r="AI69" s="22">
        <v>-1.53595E-2</v>
      </c>
      <c r="AJ69" s="22">
        <v>59</v>
      </c>
      <c r="AK69" s="22">
        <v>0.19653300000000001</v>
      </c>
      <c r="AL69">
        <f t="shared" si="6"/>
        <v>18.962345679012344</v>
      </c>
      <c r="AM69">
        <f t="shared" si="7"/>
        <v>3.73831267654321</v>
      </c>
      <c r="AP69" s="9"/>
      <c r="AQ69" s="22">
        <v>0.40298499999999998</v>
      </c>
      <c r="AR69" s="22">
        <v>15.347799999999999</v>
      </c>
      <c r="AS69" s="22">
        <v>-1.47034E-2</v>
      </c>
      <c r="AT69" s="22">
        <v>59</v>
      </c>
      <c r="AU69" s="22">
        <v>0.40216099999999999</v>
      </c>
      <c r="AV69">
        <f t="shared" si="8"/>
        <v>18.152345679012342</v>
      </c>
      <c r="AW69">
        <f t="shared" si="9"/>
        <v>7.3151230234567883</v>
      </c>
      <c r="AX69" s="9"/>
      <c r="AY69" s="22">
        <v>0.19714400000000001</v>
      </c>
      <c r="AZ69" s="22">
        <v>16.961500000000001</v>
      </c>
      <c r="BA69" s="22">
        <v>-1.51947E-2</v>
      </c>
      <c r="BB69" s="22">
        <v>59</v>
      </c>
      <c r="BC69" s="22">
        <v>0.19601399999999999</v>
      </c>
      <c r="BD69">
        <f t="shared" si="10"/>
        <v>18.758888888888887</v>
      </c>
      <c r="BE69">
        <f t="shared" si="11"/>
        <v>3.6982023911111108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0.397949</v>
      </c>
      <c r="H70" s="22">
        <v>5.5655799999999997</v>
      </c>
      <c r="I70" s="22">
        <v>-1.4572099999999999E-2</v>
      </c>
      <c r="J70" s="22">
        <v>60</v>
      </c>
      <c r="K70" s="22">
        <v>0.39730799999999999</v>
      </c>
      <c r="L70">
        <f t="shared" si="0"/>
        <v>17.990246913580243</v>
      </c>
      <c r="M70">
        <f t="shared" si="1"/>
        <v>7.1592007690123438</v>
      </c>
      <c r="N70" s="9"/>
      <c r="O70" s="22">
        <v>0.202179</v>
      </c>
      <c r="P70" s="22">
        <v>7.1792299999999996</v>
      </c>
      <c r="Q70" s="22">
        <v>-1.5075699999999999E-2</v>
      </c>
      <c r="R70" s="22">
        <v>60</v>
      </c>
      <c r="S70" s="22">
        <v>0.20233200000000001</v>
      </c>
      <c r="T70">
        <f t="shared" si="2"/>
        <v>18.611975308641973</v>
      </c>
      <c r="U70">
        <f t="shared" si="3"/>
        <v>3.7629505559259253</v>
      </c>
      <c r="X70" s="9"/>
      <c r="Y70" s="22">
        <v>0.397949</v>
      </c>
      <c r="Z70" s="22">
        <v>10.4697</v>
      </c>
      <c r="AA70" s="22">
        <v>-1.4736900000000001E-2</v>
      </c>
      <c r="AB70" s="22">
        <v>60</v>
      </c>
      <c r="AC70" s="22">
        <v>0.39688099999999998</v>
      </c>
      <c r="AD70">
        <f t="shared" si="4"/>
        <v>18.193703703703704</v>
      </c>
      <c r="AE70">
        <f t="shared" si="5"/>
        <v>7.2401661951851857</v>
      </c>
      <c r="AF70" s="9"/>
      <c r="AG70" s="22">
        <v>0.202179</v>
      </c>
      <c r="AH70" s="22">
        <v>12.083399999999999</v>
      </c>
      <c r="AI70" s="22">
        <v>-1.53534E-2</v>
      </c>
      <c r="AJ70" s="22">
        <v>60</v>
      </c>
      <c r="AK70" s="22">
        <v>0.20150799999999999</v>
      </c>
      <c r="AL70">
        <f t="shared" si="6"/>
        <v>18.954814814814814</v>
      </c>
      <c r="AM70">
        <f t="shared" si="7"/>
        <v>3.832265504444444</v>
      </c>
      <c r="AP70" s="9"/>
      <c r="AQ70" s="22">
        <v>0.397949</v>
      </c>
      <c r="AR70" s="22">
        <v>15.357900000000001</v>
      </c>
      <c r="AS70" s="22">
        <v>-1.47095E-2</v>
      </c>
      <c r="AT70" s="22">
        <v>60</v>
      </c>
      <c r="AU70" s="22">
        <v>0.39761400000000002</v>
      </c>
      <c r="AV70">
        <f t="shared" si="8"/>
        <v>18.159876543209876</v>
      </c>
      <c r="AW70">
        <f t="shared" si="9"/>
        <v>7.2267047104938271</v>
      </c>
      <c r="AX70" s="9"/>
      <c r="AY70" s="22">
        <v>0.202179</v>
      </c>
      <c r="AZ70" s="22">
        <v>16.971599999999999</v>
      </c>
      <c r="BA70" s="22">
        <v>-1.5206900000000001E-2</v>
      </c>
      <c r="BB70" s="22">
        <v>60</v>
      </c>
      <c r="BC70" s="22">
        <v>0.20230100000000001</v>
      </c>
      <c r="BD70">
        <f t="shared" si="10"/>
        <v>18.773950617283951</v>
      </c>
      <c r="BE70">
        <f t="shared" si="11"/>
        <v>3.7956985618518519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0.39291399999999999</v>
      </c>
      <c r="H71" s="22">
        <v>5.5756500000000004</v>
      </c>
      <c r="I71" s="22">
        <v>-1.4584400000000001E-2</v>
      </c>
      <c r="J71" s="22">
        <v>61</v>
      </c>
      <c r="K71" s="22">
        <v>0.392426</v>
      </c>
      <c r="L71">
        <f t="shared" si="0"/>
        <v>18.005432098765432</v>
      </c>
      <c r="M71">
        <f t="shared" si="1"/>
        <v>7.0745863476543205</v>
      </c>
      <c r="N71" s="9"/>
      <c r="O71" s="22">
        <v>0.20721400000000001</v>
      </c>
      <c r="P71" s="22">
        <v>7.1893000000000002</v>
      </c>
      <c r="Q71" s="22">
        <v>-1.50665E-2</v>
      </c>
      <c r="R71" s="22">
        <v>61</v>
      </c>
      <c r="S71" s="22">
        <v>0.20703099999999999</v>
      </c>
      <c r="T71">
        <f t="shared" si="2"/>
        <v>18.600617283950616</v>
      </c>
      <c r="U71">
        <f t="shared" si="3"/>
        <v>3.8543083098765432</v>
      </c>
      <c r="X71" s="9"/>
      <c r="Y71" s="22">
        <v>0.39291399999999999</v>
      </c>
      <c r="Z71" s="22">
        <v>10.479799999999999</v>
      </c>
      <c r="AA71" s="22">
        <v>-1.4749099999999999E-2</v>
      </c>
      <c r="AB71" s="22">
        <v>61</v>
      </c>
      <c r="AC71" s="22">
        <v>0.39227299999999998</v>
      </c>
      <c r="AD71">
        <f t="shared" si="4"/>
        <v>18.208765432098765</v>
      </c>
      <c r="AE71">
        <f t="shared" si="5"/>
        <v>7.1544788609876537</v>
      </c>
      <c r="AF71" s="9"/>
      <c r="AG71" s="22">
        <v>0.20721400000000001</v>
      </c>
      <c r="AH71" s="22">
        <v>12.093500000000001</v>
      </c>
      <c r="AI71" s="22">
        <v>-1.5344200000000001E-2</v>
      </c>
      <c r="AJ71" s="22">
        <v>61</v>
      </c>
      <c r="AK71" s="22">
        <v>0.20666499999999999</v>
      </c>
      <c r="AL71">
        <f t="shared" si="6"/>
        <v>18.943456790123456</v>
      </c>
      <c r="AM71">
        <f t="shared" si="7"/>
        <v>3.9253494553086421</v>
      </c>
      <c r="AP71" s="9"/>
      <c r="AQ71" s="22">
        <v>0.39291399999999999</v>
      </c>
      <c r="AR71" s="22">
        <v>15.368</v>
      </c>
      <c r="AS71" s="22">
        <v>-1.47186E-2</v>
      </c>
      <c r="AT71" s="22">
        <v>61</v>
      </c>
      <c r="AU71" s="22">
        <v>0.39291399999999999</v>
      </c>
      <c r="AV71">
        <f t="shared" si="8"/>
        <v>18.171111111111109</v>
      </c>
      <c r="AW71">
        <f t="shared" si="9"/>
        <v>7.1396839511111105</v>
      </c>
      <c r="AX71" s="9"/>
      <c r="AY71" s="22">
        <v>0.20721400000000001</v>
      </c>
      <c r="AZ71" s="22">
        <v>16.9816</v>
      </c>
      <c r="BA71" s="22">
        <v>-1.5203899999999999E-2</v>
      </c>
      <c r="BB71" s="22">
        <v>61</v>
      </c>
      <c r="BC71" s="22">
        <v>0.208008</v>
      </c>
      <c r="BD71">
        <f t="shared" si="10"/>
        <v>18.770246913580245</v>
      </c>
      <c r="BE71">
        <f t="shared" si="11"/>
        <v>3.8894579439506169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0.387878</v>
      </c>
      <c r="H72" s="22">
        <v>5.5857200000000002</v>
      </c>
      <c r="I72" s="22">
        <v>-1.45966E-2</v>
      </c>
      <c r="J72" s="22">
        <v>62</v>
      </c>
      <c r="K72" s="22">
        <v>0.387299</v>
      </c>
      <c r="L72">
        <f t="shared" si="0"/>
        <v>18.020493827160493</v>
      </c>
      <c r="M72">
        <f t="shared" si="1"/>
        <v>6.9897531046913581</v>
      </c>
      <c r="N72" s="9"/>
      <c r="O72" s="22">
        <v>0.21224999999999999</v>
      </c>
      <c r="P72" s="22">
        <v>7.19937</v>
      </c>
      <c r="Q72" s="22">
        <v>-1.50513E-2</v>
      </c>
      <c r="R72" s="22">
        <v>62</v>
      </c>
      <c r="S72" s="22">
        <v>0.21191399999999999</v>
      </c>
      <c r="T72">
        <f t="shared" si="2"/>
        <v>18.581851851851848</v>
      </c>
      <c r="U72">
        <f t="shared" si="3"/>
        <v>3.9439980555555545</v>
      </c>
      <c r="X72" s="9"/>
      <c r="Y72" s="22">
        <v>0.387878</v>
      </c>
      <c r="Z72" s="22">
        <v>10.4899</v>
      </c>
      <c r="AA72" s="22">
        <v>-1.47583E-2</v>
      </c>
      <c r="AB72" s="22">
        <v>62</v>
      </c>
      <c r="AC72" s="22">
        <v>0.38717699999999999</v>
      </c>
      <c r="AD72">
        <f t="shared" si="4"/>
        <v>18.22012345679012</v>
      </c>
      <c r="AE72">
        <f t="shared" si="5"/>
        <v>7.0671850461728383</v>
      </c>
      <c r="AF72" s="9"/>
      <c r="AG72" s="22">
        <v>0.21224999999999999</v>
      </c>
      <c r="AH72" s="22">
        <v>12.1035</v>
      </c>
      <c r="AI72" s="22">
        <v>-1.5335100000000001E-2</v>
      </c>
      <c r="AJ72" s="22">
        <v>62</v>
      </c>
      <c r="AK72" s="22">
        <v>0.2117</v>
      </c>
      <c r="AL72">
        <f t="shared" si="6"/>
        <v>18.932222222222222</v>
      </c>
      <c r="AM72">
        <f t="shared" si="7"/>
        <v>4.0183641666666663</v>
      </c>
      <c r="AP72" s="9"/>
      <c r="AQ72" s="22">
        <v>0.387878</v>
      </c>
      <c r="AR72" s="22">
        <v>15.3781</v>
      </c>
      <c r="AS72" s="22">
        <v>-1.47308E-2</v>
      </c>
      <c r="AT72" s="22">
        <v>62</v>
      </c>
      <c r="AU72" s="22">
        <v>0.38735999999999998</v>
      </c>
      <c r="AV72">
        <f t="shared" si="8"/>
        <v>18.186172839506174</v>
      </c>
      <c r="AW72">
        <f t="shared" si="9"/>
        <v>7.0540163486419756</v>
      </c>
      <c r="AX72" s="9"/>
      <c r="AY72" s="22">
        <v>0.21224999999999999</v>
      </c>
      <c r="AZ72" s="22">
        <v>16.991700000000002</v>
      </c>
      <c r="BA72" s="22">
        <v>-1.5197799999999999E-2</v>
      </c>
      <c r="BB72" s="22">
        <v>62</v>
      </c>
      <c r="BC72" s="22">
        <v>0.21133399999999999</v>
      </c>
      <c r="BD72">
        <f t="shared" si="10"/>
        <v>18.762716049382714</v>
      </c>
      <c r="BE72">
        <f t="shared" si="11"/>
        <v>3.9823864814814809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0.38284299999999999</v>
      </c>
      <c r="H73" s="22">
        <v>5.59579</v>
      </c>
      <c r="I73" s="22">
        <v>-1.46088E-2</v>
      </c>
      <c r="J73" s="22">
        <v>63</v>
      </c>
      <c r="K73" s="22">
        <v>0.38244600000000001</v>
      </c>
      <c r="L73">
        <f t="shared" si="0"/>
        <v>18.035555555555554</v>
      </c>
      <c r="M73">
        <f t="shared" si="1"/>
        <v>6.9047861955555545</v>
      </c>
      <c r="N73" s="9"/>
      <c r="O73" s="22">
        <v>0.21728500000000001</v>
      </c>
      <c r="P73" s="22">
        <v>7.2094399999999998</v>
      </c>
      <c r="Q73" s="22">
        <v>-1.50452E-2</v>
      </c>
      <c r="R73" s="22">
        <v>63</v>
      </c>
      <c r="S73" s="22">
        <v>0.21637000000000001</v>
      </c>
      <c r="T73">
        <f t="shared" si="2"/>
        <v>18.574320987654321</v>
      </c>
      <c r="U73">
        <f t="shared" si="3"/>
        <v>4.0359213358024695</v>
      </c>
      <c r="X73" s="9"/>
      <c r="Y73" s="22">
        <v>0.38284299999999999</v>
      </c>
      <c r="Z73" s="22">
        <v>10.5</v>
      </c>
      <c r="AA73" s="22">
        <v>-1.4767499999999999E-2</v>
      </c>
      <c r="AB73" s="22">
        <v>63</v>
      </c>
      <c r="AC73" s="22">
        <v>0.38259900000000002</v>
      </c>
      <c r="AD73">
        <f t="shared" si="4"/>
        <v>18.231481481481481</v>
      </c>
      <c r="AE73">
        <f t="shared" si="5"/>
        <v>6.9797950648148142</v>
      </c>
      <c r="AF73" s="9"/>
      <c r="AG73" s="22">
        <v>0.21728500000000001</v>
      </c>
      <c r="AH73" s="22">
        <v>12.1136</v>
      </c>
      <c r="AI73" s="22">
        <v>-1.5329000000000001E-2</v>
      </c>
      <c r="AJ73" s="22">
        <v>63</v>
      </c>
      <c r="AK73" s="22">
        <v>0.216644</v>
      </c>
      <c r="AL73">
        <f t="shared" si="6"/>
        <v>18.924691358024692</v>
      </c>
      <c r="AM73">
        <f t="shared" si="7"/>
        <v>4.1120515617283955</v>
      </c>
      <c r="AP73" s="9"/>
      <c r="AQ73" s="22">
        <v>0.38284299999999999</v>
      </c>
      <c r="AR73" s="22">
        <v>15.3881</v>
      </c>
      <c r="AS73" s="22">
        <v>-1.474E-2</v>
      </c>
      <c r="AT73" s="22">
        <v>63</v>
      </c>
      <c r="AU73" s="22">
        <v>0.38119500000000001</v>
      </c>
      <c r="AV73">
        <f t="shared" si="8"/>
        <v>18.197530864197528</v>
      </c>
      <c r="AW73">
        <f t="shared" si="9"/>
        <v>6.9667973086419739</v>
      </c>
      <c r="AX73" s="9"/>
      <c r="AY73" s="22">
        <v>0.21728500000000001</v>
      </c>
      <c r="AZ73" s="22">
        <v>17.001799999999999</v>
      </c>
      <c r="BA73" s="22">
        <v>-1.51886E-2</v>
      </c>
      <c r="BB73" s="22">
        <v>63</v>
      </c>
      <c r="BC73" s="22">
        <v>0.216278</v>
      </c>
      <c r="BD73">
        <f t="shared" si="10"/>
        <v>18.751358024691356</v>
      </c>
      <c r="BE73">
        <f t="shared" si="11"/>
        <v>4.0743888283950618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0.37780799999999998</v>
      </c>
      <c r="H74" s="22">
        <v>5.6058599999999998</v>
      </c>
      <c r="I74" s="22">
        <v>-1.46179E-2</v>
      </c>
      <c r="J74" s="22">
        <v>64</v>
      </c>
      <c r="K74" s="22">
        <v>0.37713600000000003</v>
      </c>
      <c r="L74">
        <f t="shared" si="0"/>
        <v>18.046790123456791</v>
      </c>
      <c r="M74">
        <f t="shared" si="1"/>
        <v>6.8182216829629629</v>
      </c>
      <c r="N74" s="9"/>
      <c r="O74" s="22">
        <v>0.22232099999999999</v>
      </c>
      <c r="P74" s="22">
        <v>7.2195099999999996</v>
      </c>
      <c r="Q74" s="22">
        <v>-1.5032999999999999E-2</v>
      </c>
      <c r="R74" s="22">
        <v>64</v>
      </c>
      <c r="S74" s="22">
        <v>0.22195400000000001</v>
      </c>
      <c r="T74">
        <f t="shared" si="2"/>
        <v>18.559259259259257</v>
      </c>
      <c r="U74">
        <f t="shared" si="3"/>
        <v>4.1261130777777772</v>
      </c>
      <c r="X74" s="9"/>
      <c r="Y74" s="22">
        <v>0.37780799999999998</v>
      </c>
      <c r="Z74" s="22">
        <v>10.51</v>
      </c>
      <c r="AA74" s="22">
        <v>-1.47797E-2</v>
      </c>
      <c r="AB74" s="22">
        <v>64</v>
      </c>
      <c r="AC74" s="22">
        <v>0.37786900000000001</v>
      </c>
      <c r="AD74">
        <f t="shared" si="4"/>
        <v>18.246543209876542</v>
      </c>
      <c r="AE74">
        <f t="shared" si="5"/>
        <v>6.8936899970370362</v>
      </c>
      <c r="AF74" s="9"/>
      <c r="AG74" s="22">
        <v>0.22232099999999999</v>
      </c>
      <c r="AH74" s="22">
        <v>12.123699999999999</v>
      </c>
      <c r="AI74" s="22">
        <v>-1.53168E-2</v>
      </c>
      <c r="AJ74" s="22">
        <v>64</v>
      </c>
      <c r="AK74" s="22">
        <v>0.22170999999999999</v>
      </c>
      <c r="AL74">
        <f t="shared" si="6"/>
        <v>18.909629629629627</v>
      </c>
      <c r="AM74">
        <f t="shared" si="7"/>
        <v>4.2040077688888884</v>
      </c>
      <c r="AP74" s="9"/>
      <c r="AQ74" s="22">
        <v>0.37780799999999998</v>
      </c>
      <c r="AR74" s="22">
        <v>15.398199999999999</v>
      </c>
      <c r="AS74" s="22">
        <v>-1.47583E-2</v>
      </c>
      <c r="AT74" s="22">
        <v>64</v>
      </c>
      <c r="AU74" s="22">
        <v>0.37783800000000001</v>
      </c>
      <c r="AV74">
        <f t="shared" si="8"/>
        <v>18.22012345679012</v>
      </c>
      <c r="AW74">
        <f t="shared" si="9"/>
        <v>6.8837084029629612</v>
      </c>
      <c r="AX74" s="9"/>
      <c r="AY74" s="22">
        <v>0.22232099999999999</v>
      </c>
      <c r="AZ74" s="22">
        <v>17.011800000000001</v>
      </c>
      <c r="BA74" s="22">
        <v>-1.5179399999999999E-2</v>
      </c>
      <c r="BB74" s="22">
        <v>64</v>
      </c>
      <c r="BC74" s="22">
        <v>0.22378500000000001</v>
      </c>
      <c r="BD74">
        <f t="shared" si="10"/>
        <v>18.739999999999995</v>
      </c>
      <c r="BE74">
        <f t="shared" si="11"/>
        <v>4.1662955399999984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0.37277199999999999</v>
      </c>
      <c r="H75" s="22">
        <v>5.6159299999999996</v>
      </c>
      <c r="I75" s="22">
        <v>-1.46301E-2</v>
      </c>
      <c r="J75" s="22">
        <v>65</v>
      </c>
      <c r="K75" s="22">
        <v>0.37210100000000002</v>
      </c>
      <c r="L75">
        <f t="shared" si="0"/>
        <v>18.061851851851848</v>
      </c>
      <c r="M75">
        <f t="shared" si="1"/>
        <v>6.7329526385185172</v>
      </c>
      <c r="N75" s="9"/>
      <c r="O75" s="22">
        <v>0.227356</v>
      </c>
      <c r="P75" s="22">
        <v>7.2295800000000003</v>
      </c>
      <c r="Q75" s="22">
        <v>-1.50238E-2</v>
      </c>
      <c r="R75" s="22">
        <v>65</v>
      </c>
      <c r="S75" s="22">
        <v>0.22659299999999999</v>
      </c>
      <c r="T75">
        <f t="shared" si="2"/>
        <v>18.547901234567902</v>
      </c>
      <c r="U75">
        <f t="shared" si="3"/>
        <v>4.2169766330864205</v>
      </c>
      <c r="X75" s="9"/>
      <c r="Y75" s="22">
        <v>0.37277199999999999</v>
      </c>
      <c r="Z75" s="22">
        <v>10.520099999999999</v>
      </c>
      <c r="AA75" s="22">
        <v>-1.47919E-2</v>
      </c>
      <c r="AB75" s="22">
        <v>65</v>
      </c>
      <c r="AC75" s="22">
        <v>0.37234499999999998</v>
      </c>
      <c r="AD75">
        <f t="shared" si="4"/>
        <v>18.261604938271603</v>
      </c>
      <c r="AE75">
        <f t="shared" si="5"/>
        <v>6.8074149960493822</v>
      </c>
      <c r="AF75" s="9"/>
      <c r="AG75" s="22">
        <v>0.227356</v>
      </c>
      <c r="AH75" s="22">
        <v>12.133699999999999</v>
      </c>
      <c r="AI75" s="22">
        <v>-1.53107E-2</v>
      </c>
      <c r="AJ75" s="22">
        <v>65</v>
      </c>
      <c r="AK75" s="22">
        <v>0.226746</v>
      </c>
      <c r="AL75">
        <f t="shared" si="6"/>
        <v>18.9020987654321</v>
      </c>
      <c r="AM75">
        <f t="shared" si="7"/>
        <v>4.2975055669135811</v>
      </c>
      <c r="AP75" s="9"/>
      <c r="AQ75" s="22">
        <v>0.37277199999999999</v>
      </c>
      <c r="AR75" s="22">
        <v>15.408300000000001</v>
      </c>
      <c r="AS75" s="22">
        <v>-1.4761399999999999E-2</v>
      </c>
      <c r="AT75" s="22">
        <v>65</v>
      </c>
      <c r="AU75" s="22">
        <v>0.37173499999999998</v>
      </c>
      <c r="AV75">
        <f t="shared" si="8"/>
        <v>18.22395061728395</v>
      </c>
      <c r="AW75">
        <f t="shared" si="9"/>
        <v>6.7933785195061729</v>
      </c>
      <c r="AX75" s="9"/>
      <c r="AY75" s="22">
        <v>0.227356</v>
      </c>
      <c r="AZ75" s="22">
        <v>17.021899999999999</v>
      </c>
      <c r="BA75" s="22">
        <v>-1.51611E-2</v>
      </c>
      <c r="BB75" s="22">
        <v>65</v>
      </c>
      <c r="BC75" s="22">
        <v>0.22769200000000001</v>
      </c>
      <c r="BD75">
        <f t="shared" si="10"/>
        <v>18.717407407407403</v>
      </c>
      <c r="BE75">
        <f t="shared" si="11"/>
        <v>4.2555148785185173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0.36773699999999998</v>
      </c>
      <c r="H76" s="22">
        <v>5.62601</v>
      </c>
      <c r="I76" s="22">
        <v>-1.4639299999999999E-2</v>
      </c>
      <c r="J76" s="22">
        <v>66</v>
      </c>
      <c r="K76" s="22">
        <v>0.36727900000000002</v>
      </c>
      <c r="L76">
        <f t="shared" ref="L76:L139" si="12">-I76/$F$2*1000</f>
        <v>18.07320987654321</v>
      </c>
      <c r="M76">
        <f t="shared" ref="M76:M139" si="13">L76*G76</f>
        <v>6.6461879803703701</v>
      </c>
      <c r="N76" s="9"/>
      <c r="O76" s="22">
        <v>0.23239099999999999</v>
      </c>
      <c r="P76" s="22">
        <v>7.2396500000000001</v>
      </c>
      <c r="Q76" s="22">
        <v>-1.50116E-2</v>
      </c>
      <c r="R76" s="22">
        <v>66</v>
      </c>
      <c r="S76" s="22">
        <v>0.23168900000000001</v>
      </c>
      <c r="T76">
        <f t="shared" ref="T76:T139" si="14">-Q76/$F$2*1000</f>
        <v>18.532839506172838</v>
      </c>
      <c r="U76">
        <f t="shared" ref="U76:U139" si="15">T76*O76</f>
        <v>4.3068651056790115</v>
      </c>
      <c r="X76" s="9"/>
      <c r="Y76" s="22">
        <v>0.36773699999999998</v>
      </c>
      <c r="Z76" s="22">
        <v>10.530200000000001</v>
      </c>
      <c r="AA76" s="22">
        <v>-1.4804100000000001E-2</v>
      </c>
      <c r="AB76" s="22">
        <v>66</v>
      </c>
      <c r="AC76" s="22">
        <v>0.36740099999999998</v>
      </c>
      <c r="AD76">
        <f t="shared" ref="AD76:AD139" si="16">-AA76/$F$2*1000</f>
        <v>18.276666666666667</v>
      </c>
      <c r="AE76">
        <f t="shared" ref="AE76:AE139" si="17">AD76*Y76</f>
        <v>6.7210065700000001</v>
      </c>
      <c r="AF76" s="9"/>
      <c r="AG76" s="22">
        <v>0.23239099999999999</v>
      </c>
      <c r="AH76" s="22">
        <v>12.143800000000001</v>
      </c>
      <c r="AI76" s="22">
        <v>-1.5301500000000001E-2</v>
      </c>
      <c r="AJ76" s="22">
        <v>66</v>
      </c>
      <c r="AK76" s="22">
        <v>0.23175000000000001</v>
      </c>
      <c r="AL76">
        <f t="shared" ref="AL76:AL139" si="18">-AI76/$F$2*1000</f>
        <v>18.890740740740739</v>
      </c>
      <c r="AM76">
        <f t="shared" ref="AM76:AM139" si="19">AL76*AG76</f>
        <v>4.3900381314814805</v>
      </c>
      <c r="AP76" s="9"/>
      <c r="AQ76" s="22">
        <v>0.36773699999999998</v>
      </c>
      <c r="AR76" s="22">
        <v>15.4183</v>
      </c>
      <c r="AS76" s="22">
        <v>-1.47736E-2</v>
      </c>
      <c r="AT76" s="22">
        <v>66</v>
      </c>
      <c r="AU76" s="22">
        <v>0.367035</v>
      </c>
      <c r="AV76">
        <f t="shared" ref="AV76:AV139" si="20">-AS76/$F$2*1000</f>
        <v>18.239012345679011</v>
      </c>
      <c r="AW76">
        <f t="shared" ref="AW76:AW139" si="21">AV76*AQ76</f>
        <v>6.7071596829629625</v>
      </c>
      <c r="AX76" s="9"/>
      <c r="AY76" s="22">
        <v>0.23239099999999999</v>
      </c>
      <c r="AZ76" s="22">
        <v>17.032</v>
      </c>
      <c r="BA76" s="22">
        <v>-1.5152000000000001E-2</v>
      </c>
      <c r="BB76" s="22">
        <v>66</v>
      </c>
      <c r="BC76" s="22">
        <v>0.23339799999999999</v>
      </c>
      <c r="BD76">
        <f t="shared" ref="BD76:BD139" si="22">-BA76/$F$2*1000</f>
        <v>18.706172839506173</v>
      </c>
      <c r="BE76">
        <f t="shared" ref="BE76:BE139" si="23">BD76*AY76</f>
        <v>4.3471462123456792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0.362701</v>
      </c>
      <c r="H77" s="22">
        <v>5.6360799999999998</v>
      </c>
      <c r="I77" s="22">
        <v>-1.4648400000000001E-2</v>
      </c>
      <c r="J77" s="22">
        <v>67</v>
      </c>
      <c r="K77" s="22">
        <v>0.36218299999999998</v>
      </c>
      <c r="L77">
        <f t="shared" si="12"/>
        <v>18.084444444444443</v>
      </c>
      <c r="M77">
        <f t="shared" si="13"/>
        <v>6.5592460844444442</v>
      </c>
      <c r="N77" s="9"/>
      <c r="O77" s="22">
        <v>0.237427</v>
      </c>
      <c r="P77" s="22">
        <v>7.2497199999999999</v>
      </c>
      <c r="Q77" s="22">
        <v>-1.5002400000000001E-2</v>
      </c>
      <c r="R77" s="22">
        <v>67</v>
      </c>
      <c r="S77" s="22">
        <v>0.23763999999999999</v>
      </c>
      <c r="T77">
        <f t="shared" si="14"/>
        <v>18.521481481481484</v>
      </c>
      <c r="U77">
        <f t="shared" si="15"/>
        <v>4.3974997837037044</v>
      </c>
      <c r="X77" s="9"/>
      <c r="Y77" s="22">
        <v>0.362701</v>
      </c>
      <c r="Z77" s="22">
        <v>10.5402</v>
      </c>
      <c r="AA77" s="22">
        <v>-1.48132E-2</v>
      </c>
      <c r="AB77" s="22">
        <v>67</v>
      </c>
      <c r="AC77" s="22">
        <v>0.361481</v>
      </c>
      <c r="AD77">
        <f t="shared" si="16"/>
        <v>18.287901234567901</v>
      </c>
      <c r="AE77">
        <f t="shared" si="17"/>
        <v>6.6330400656790118</v>
      </c>
      <c r="AF77" s="9"/>
      <c r="AG77" s="22">
        <v>0.237427</v>
      </c>
      <c r="AH77" s="22">
        <v>12.1539</v>
      </c>
      <c r="AI77" s="22">
        <v>-1.52893E-2</v>
      </c>
      <c r="AJ77" s="22">
        <v>67</v>
      </c>
      <c r="AK77" s="22">
        <v>0.236816</v>
      </c>
      <c r="AL77">
        <f t="shared" si="18"/>
        <v>18.875679012345678</v>
      </c>
      <c r="AM77">
        <f t="shared" si="19"/>
        <v>4.4815958408641974</v>
      </c>
      <c r="AP77" s="9"/>
      <c r="AQ77" s="22">
        <v>0.362701</v>
      </c>
      <c r="AR77" s="22">
        <v>15.4284</v>
      </c>
      <c r="AS77" s="22">
        <v>-1.47797E-2</v>
      </c>
      <c r="AT77" s="22">
        <v>67</v>
      </c>
      <c r="AU77" s="22">
        <v>0.36184699999999997</v>
      </c>
      <c r="AV77">
        <f t="shared" si="20"/>
        <v>18.246543209876542</v>
      </c>
      <c r="AW77">
        <f t="shared" si="21"/>
        <v>6.6180394687654314</v>
      </c>
      <c r="AX77" s="9"/>
      <c r="AY77" s="22">
        <v>0.237427</v>
      </c>
      <c r="AZ77" s="22">
        <v>17.042000000000002</v>
      </c>
      <c r="BA77" s="22">
        <v>-1.51428E-2</v>
      </c>
      <c r="BB77" s="22">
        <v>67</v>
      </c>
      <c r="BC77" s="22">
        <v>0.23602300000000001</v>
      </c>
      <c r="BD77">
        <f t="shared" si="22"/>
        <v>18.694814814814812</v>
      </c>
      <c r="BE77">
        <f t="shared" si="23"/>
        <v>4.4386537970370368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0.35766599999999998</v>
      </c>
      <c r="H78" s="22">
        <v>5.6461499999999996</v>
      </c>
      <c r="I78" s="22">
        <v>-1.4660599999999999E-2</v>
      </c>
      <c r="J78" s="22">
        <v>68</v>
      </c>
      <c r="K78" s="22">
        <v>0.35708600000000001</v>
      </c>
      <c r="L78">
        <f t="shared" si="12"/>
        <v>18.099506172839504</v>
      </c>
      <c r="M78">
        <f t="shared" si="13"/>
        <v>6.4735779748148135</v>
      </c>
      <c r="N78" s="9"/>
      <c r="O78" s="22">
        <v>0.24246200000000001</v>
      </c>
      <c r="P78" s="22">
        <v>7.2597899999999997</v>
      </c>
      <c r="Q78" s="22">
        <v>-1.4993299999999999E-2</v>
      </c>
      <c r="R78" s="22">
        <v>68</v>
      </c>
      <c r="S78" s="22">
        <v>0.24157699999999999</v>
      </c>
      <c r="T78">
        <f t="shared" si="14"/>
        <v>18.510246913580243</v>
      </c>
      <c r="U78">
        <f t="shared" si="15"/>
        <v>4.4880314871604927</v>
      </c>
      <c r="X78" s="9"/>
      <c r="Y78" s="22">
        <v>0.35766599999999998</v>
      </c>
      <c r="Z78" s="22">
        <v>10.5503</v>
      </c>
      <c r="AA78" s="22">
        <v>-1.4822399999999999E-2</v>
      </c>
      <c r="AB78" s="22">
        <v>68</v>
      </c>
      <c r="AC78" s="22">
        <v>0.35684199999999999</v>
      </c>
      <c r="AD78">
        <f t="shared" si="16"/>
        <v>18.299259259259259</v>
      </c>
      <c r="AE78">
        <f t="shared" si="17"/>
        <v>6.545022862222222</v>
      </c>
      <c r="AF78" s="9"/>
      <c r="AG78" s="22">
        <v>0.24246200000000001</v>
      </c>
      <c r="AH78" s="22">
        <v>12.1639</v>
      </c>
      <c r="AI78" s="22">
        <v>-1.5280200000000001E-2</v>
      </c>
      <c r="AJ78" s="22">
        <v>68</v>
      </c>
      <c r="AK78" s="22">
        <v>0.24209600000000001</v>
      </c>
      <c r="AL78">
        <f t="shared" si="18"/>
        <v>18.864444444444445</v>
      </c>
      <c r="AM78">
        <f t="shared" si="19"/>
        <v>4.5739109288888891</v>
      </c>
      <c r="AP78" s="9"/>
      <c r="AQ78" s="22">
        <v>0.35766599999999998</v>
      </c>
      <c r="AR78" s="22">
        <v>15.438499999999999</v>
      </c>
      <c r="AS78" s="22">
        <v>-1.47888E-2</v>
      </c>
      <c r="AT78" s="22">
        <v>68</v>
      </c>
      <c r="AU78" s="22">
        <v>0.35800199999999999</v>
      </c>
      <c r="AV78">
        <f t="shared" si="20"/>
        <v>18.257777777777775</v>
      </c>
      <c r="AW78">
        <f t="shared" si="21"/>
        <v>6.5301863466666656</v>
      </c>
      <c r="AX78" s="9"/>
      <c r="AY78" s="22">
        <v>0.24246200000000001</v>
      </c>
      <c r="AZ78" s="22">
        <v>17.052099999999999</v>
      </c>
      <c r="BA78" s="22">
        <v>-1.5130599999999999E-2</v>
      </c>
      <c r="BB78" s="22">
        <v>68</v>
      </c>
      <c r="BC78" s="22">
        <v>0.24148600000000001</v>
      </c>
      <c r="BD78">
        <f t="shared" si="22"/>
        <v>18.679753086419751</v>
      </c>
      <c r="BE78">
        <f t="shared" si="23"/>
        <v>4.5291302928395059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0.35263100000000003</v>
      </c>
      <c r="H79" s="22">
        <v>5.6562200000000002</v>
      </c>
      <c r="I79" s="22">
        <v>-1.4672899999999999E-2</v>
      </c>
      <c r="J79" s="22">
        <v>69</v>
      </c>
      <c r="K79" s="22">
        <v>0.35186800000000001</v>
      </c>
      <c r="L79">
        <f t="shared" si="12"/>
        <v>18.11469135802469</v>
      </c>
      <c r="M79">
        <f t="shared" si="13"/>
        <v>6.3878017282716044</v>
      </c>
      <c r="N79" s="9"/>
      <c r="O79" s="22">
        <v>0.247498</v>
      </c>
      <c r="P79" s="22">
        <v>7.2698600000000004</v>
      </c>
      <c r="Q79" s="22">
        <v>-1.49841E-2</v>
      </c>
      <c r="R79" s="22">
        <v>69</v>
      </c>
      <c r="S79" s="22">
        <v>0.24707000000000001</v>
      </c>
      <c r="T79">
        <f t="shared" si="14"/>
        <v>18.498888888888889</v>
      </c>
      <c r="U79">
        <f t="shared" si="15"/>
        <v>4.5784380022222217</v>
      </c>
      <c r="X79" s="9"/>
      <c r="Y79" s="22">
        <v>0.35263100000000003</v>
      </c>
      <c r="Z79" s="22">
        <v>10.5604</v>
      </c>
      <c r="AA79" s="22">
        <v>-1.4831499999999999E-2</v>
      </c>
      <c r="AB79" s="22">
        <v>69</v>
      </c>
      <c r="AC79" s="22">
        <v>0.35226400000000002</v>
      </c>
      <c r="AD79">
        <f t="shared" si="16"/>
        <v>18.310493827160489</v>
      </c>
      <c r="AE79">
        <f t="shared" si="17"/>
        <v>6.4568477487654308</v>
      </c>
      <c r="AF79" s="9"/>
      <c r="AG79" s="22">
        <v>0.247498</v>
      </c>
      <c r="AH79" s="22">
        <v>12.173999999999999</v>
      </c>
      <c r="AI79" s="22">
        <v>-1.5271E-2</v>
      </c>
      <c r="AJ79" s="22">
        <v>69</v>
      </c>
      <c r="AK79" s="22">
        <v>0.24682599999999999</v>
      </c>
      <c r="AL79">
        <f t="shared" si="18"/>
        <v>18.853086419753083</v>
      </c>
      <c r="AM79">
        <f t="shared" si="19"/>
        <v>4.6661011827160488</v>
      </c>
      <c r="AP79" s="9"/>
      <c r="AQ79" s="22">
        <v>0.35263100000000003</v>
      </c>
      <c r="AR79" s="22">
        <v>15.448499999999999</v>
      </c>
      <c r="AS79" s="22">
        <v>-1.4804100000000001E-2</v>
      </c>
      <c r="AT79" s="22">
        <v>69</v>
      </c>
      <c r="AU79" s="22">
        <v>0.35217300000000001</v>
      </c>
      <c r="AV79">
        <f t="shared" si="20"/>
        <v>18.276666666666667</v>
      </c>
      <c r="AW79">
        <f t="shared" si="21"/>
        <v>6.4449192433333344</v>
      </c>
      <c r="AX79" s="9"/>
      <c r="AY79" s="22">
        <v>0.247498</v>
      </c>
      <c r="AZ79" s="22">
        <v>17.062200000000001</v>
      </c>
      <c r="BA79" s="22">
        <v>-1.5118400000000001E-2</v>
      </c>
      <c r="BB79" s="22">
        <v>69</v>
      </c>
      <c r="BC79" s="22">
        <v>0.248169</v>
      </c>
      <c r="BD79">
        <f t="shared" si="22"/>
        <v>18.66469135802469</v>
      </c>
      <c r="BE79">
        <f t="shared" si="23"/>
        <v>4.6194737817283951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0.34759499999999999</v>
      </c>
      <c r="H80" s="22">
        <v>5.66629</v>
      </c>
      <c r="I80" s="22">
        <v>-1.4682000000000001E-2</v>
      </c>
      <c r="J80" s="22">
        <v>70</v>
      </c>
      <c r="K80" s="22">
        <v>0.34689300000000001</v>
      </c>
      <c r="L80">
        <f t="shared" si="12"/>
        <v>18.125925925925923</v>
      </c>
      <c r="M80">
        <f t="shared" si="13"/>
        <v>6.3004812222222206</v>
      </c>
      <c r="N80" s="9"/>
      <c r="O80" s="22">
        <v>0.25253300000000001</v>
      </c>
      <c r="P80" s="22">
        <v>7.2799399999999999</v>
      </c>
      <c r="Q80" s="22">
        <v>-1.49719E-2</v>
      </c>
      <c r="R80" s="22">
        <v>70</v>
      </c>
      <c r="S80" s="22">
        <v>0.25195299999999998</v>
      </c>
      <c r="T80">
        <f t="shared" si="14"/>
        <v>18.483827160493824</v>
      </c>
      <c r="U80">
        <f t="shared" si="15"/>
        <v>4.6677763243209869</v>
      </c>
      <c r="X80" s="9"/>
      <c r="Y80" s="22">
        <v>0.34759499999999999</v>
      </c>
      <c r="Z80" s="22">
        <v>10.570399999999999</v>
      </c>
      <c r="AA80" s="22">
        <v>-1.48468E-2</v>
      </c>
      <c r="AB80" s="22">
        <v>70</v>
      </c>
      <c r="AC80" s="22">
        <v>0.34695399999999998</v>
      </c>
      <c r="AD80">
        <f t="shared" si="16"/>
        <v>18.329382716049381</v>
      </c>
      <c r="AE80">
        <f t="shared" si="17"/>
        <v>6.3712017851851845</v>
      </c>
      <c r="AF80" s="9"/>
      <c r="AG80" s="22">
        <v>0.25253300000000001</v>
      </c>
      <c r="AH80" s="22">
        <v>12.184100000000001</v>
      </c>
      <c r="AI80" s="22">
        <v>-1.5261800000000001E-2</v>
      </c>
      <c r="AJ80" s="22">
        <v>70</v>
      </c>
      <c r="AK80" s="22">
        <v>0.25186199999999997</v>
      </c>
      <c r="AL80">
        <f t="shared" si="18"/>
        <v>18.841728395061729</v>
      </c>
      <c r="AM80">
        <f t="shared" si="19"/>
        <v>4.7581581967901236</v>
      </c>
      <c r="AP80" s="9"/>
      <c r="AQ80" s="22">
        <v>0.34759499999999999</v>
      </c>
      <c r="AR80" s="22">
        <v>15.458600000000001</v>
      </c>
      <c r="AS80" s="22">
        <v>-1.4810200000000001E-2</v>
      </c>
      <c r="AT80" s="22">
        <v>70</v>
      </c>
      <c r="AU80" s="22">
        <v>0.34713699999999997</v>
      </c>
      <c r="AV80">
        <f t="shared" si="20"/>
        <v>18.284197530864198</v>
      </c>
      <c r="AW80">
        <f t="shared" si="21"/>
        <v>6.3554956407407408</v>
      </c>
      <c r="AX80" s="9"/>
      <c r="AY80" s="22">
        <v>0.25253300000000001</v>
      </c>
      <c r="AZ80" s="22">
        <v>17.072299999999998</v>
      </c>
      <c r="BA80" s="22">
        <v>-1.51123E-2</v>
      </c>
      <c r="BB80" s="22">
        <v>70</v>
      </c>
      <c r="BC80" s="22">
        <v>0.25167800000000001</v>
      </c>
      <c r="BD80">
        <f t="shared" si="22"/>
        <v>18.65716049382716</v>
      </c>
      <c r="BE80">
        <f t="shared" si="23"/>
        <v>4.7115487109876542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0.34255999999999998</v>
      </c>
      <c r="H81" s="22">
        <v>5.6763599999999999</v>
      </c>
      <c r="I81" s="22">
        <v>-1.4694199999999999E-2</v>
      </c>
      <c r="J81" s="22">
        <v>71</v>
      </c>
      <c r="K81" s="22">
        <v>0.341858</v>
      </c>
      <c r="L81">
        <f t="shared" si="12"/>
        <v>18.140987654320988</v>
      </c>
      <c r="M81">
        <f t="shared" si="13"/>
        <v>6.2143767308641973</v>
      </c>
      <c r="N81" s="9"/>
      <c r="O81" s="22">
        <v>0.25756800000000002</v>
      </c>
      <c r="P81" s="22">
        <v>7.2900099999999997</v>
      </c>
      <c r="Q81" s="22">
        <v>-1.49628E-2</v>
      </c>
      <c r="R81" s="22">
        <v>71</v>
      </c>
      <c r="S81" s="22">
        <v>0.25680500000000001</v>
      </c>
      <c r="T81">
        <f t="shared" si="14"/>
        <v>18.472592592592594</v>
      </c>
      <c r="U81">
        <f t="shared" si="15"/>
        <v>4.7579487288888895</v>
      </c>
      <c r="X81" s="9"/>
      <c r="Y81" s="22">
        <v>0.34255999999999998</v>
      </c>
      <c r="Z81" s="22">
        <v>10.580500000000001</v>
      </c>
      <c r="AA81" s="22">
        <v>-1.4855999999999999E-2</v>
      </c>
      <c r="AB81" s="22">
        <v>71</v>
      </c>
      <c r="AC81" s="22">
        <v>0.34137000000000001</v>
      </c>
      <c r="AD81">
        <f t="shared" si="16"/>
        <v>18.340740740740738</v>
      </c>
      <c r="AE81">
        <f t="shared" si="17"/>
        <v>6.2828041481481467</v>
      </c>
      <c r="AF81" s="9"/>
      <c r="AG81" s="22">
        <v>0.25756800000000002</v>
      </c>
      <c r="AH81" s="22">
        <v>12.1942</v>
      </c>
      <c r="AI81" s="22">
        <v>-1.5252699999999999E-2</v>
      </c>
      <c r="AJ81" s="22">
        <v>71</v>
      </c>
      <c r="AK81" s="22">
        <v>0.25686599999999998</v>
      </c>
      <c r="AL81">
        <f t="shared" si="18"/>
        <v>18.830493827160492</v>
      </c>
      <c r="AM81">
        <f t="shared" si="19"/>
        <v>4.8501326340740736</v>
      </c>
      <c r="AP81" s="9"/>
      <c r="AQ81" s="22">
        <v>0.34255999999999998</v>
      </c>
      <c r="AR81" s="22">
        <v>15.4687</v>
      </c>
      <c r="AS81" s="22">
        <v>-1.4822399999999999E-2</v>
      </c>
      <c r="AT81" s="22">
        <v>71</v>
      </c>
      <c r="AU81" s="22">
        <v>0.34170499999999998</v>
      </c>
      <c r="AV81">
        <f t="shared" si="20"/>
        <v>18.299259259259259</v>
      </c>
      <c r="AW81">
        <f t="shared" si="21"/>
        <v>6.2685942518518516</v>
      </c>
      <c r="AX81" s="9"/>
      <c r="AY81" s="22">
        <v>0.25756800000000002</v>
      </c>
      <c r="AZ81" s="22">
        <v>17.0823</v>
      </c>
      <c r="BA81" s="22">
        <v>-1.51062E-2</v>
      </c>
      <c r="BB81" s="22">
        <v>71</v>
      </c>
      <c r="BC81" s="22">
        <v>0.25772099999999998</v>
      </c>
      <c r="BD81">
        <f t="shared" si="22"/>
        <v>18.649629629629626</v>
      </c>
      <c r="BE81">
        <f t="shared" si="23"/>
        <v>4.8035478044444435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0.33752399999999999</v>
      </c>
      <c r="H82" s="22">
        <v>5.6864299999999997</v>
      </c>
      <c r="I82" s="22">
        <v>-1.47064E-2</v>
      </c>
      <c r="J82" s="22">
        <v>72</v>
      </c>
      <c r="K82" s="22">
        <v>0.33712799999999998</v>
      </c>
      <c r="L82">
        <f t="shared" si="12"/>
        <v>18.156049382716049</v>
      </c>
      <c r="M82">
        <f t="shared" si="13"/>
        <v>6.1281024118518514</v>
      </c>
      <c r="N82" s="9"/>
      <c r="O82" s="22">
        <v>0.262604</v>
      </c>
      <c r="P82" s="22">
        <v>7.3000800000000003</v>
      </c>
      <c r="Q82" s="22">
        <v>-1.49567E-2</v>
      </c>
      <c r="R82" s="22">
        <v>72</v>
      </c>
      <c r="S82" s="22">
        <v>0.26248199999999999</v>
      </c>
      <c r="T82">
        <f t="shared" si="14"/>
        <v>18.46506172839506</v>
      </c>
      <c r="U82">
        <f t="shared" si="15"/>
        <v>4.8489990701234564</v>
      </c>
      <c r="X82" s="9"/>
      <c r="Y82" s="22">
        <v>0.33752399999999999</v>
      </c>
      <c r="Z82" s="22">
        <v>10.5906</v>
      </c>
      <c r="AA82" s="22">
        <v>-1.4865099999999999E-2</v>
      </c>
      <c r="AB82" s="22">
        <v>72</v>
      </c>
      <c r="AC82" s="22">
        <v>0.337341</v>
      </c>
      <c r="AD82">
        <f t="shared" si="16"/>
        <v>18.351975308641972</v>
      </c>
      <c r="AE82">
        <f t="shared" si="17"/>
        <v>6.1942321140740724</v>
      </c>
      <c r="AF82" s="9"/>
      <c r="AG82" s="22">
        <v>0.262604</v>
      </c>
      <c r="AH82" s="22">
        <v>12.2042</v>
      </c>
      <c r="AI82" s="22">
        <v>-1.5240500000000001E-2</v>
      </c>
      <c r="AJ82" s="22">
        <v>72</v>
      </c>
      <c r="AK82" s="22">
        <v>0.261963</v>
      </c>
      <c r="AL82">
        <f t="shared" si="18"/>
        <v>18.815432098765431</v>
      </c>
      <c r="AM82">
        <f t="shared" si="19"/>
        <v>4.9410077308641975</v>
      </c>
      <c r="AP82" s="9"/>
      <c r="AQ82" s="22">
        <v>0.33752399999999999</v>
      </c>
      <c r="AR82" s="22">
        <v>15.4788</v>
      </c>
      <c r="AS82" s="22">
        <v>-1.4831499999999999E-2</v>
      </c>
      <c r="AT82" s="22">
        <v>72</v>
      </c>
      <c r="AU82" s="22">
        <v>0.33682299999999998</v>
      </c>
      <c r="AV82">
        <f t="shared" si="20"/>
        <v>18.310493827160489</v>
      </c>
      <c r="AW82">
        <f t="shared" si="21"/>
        <v>6.1802311185185168</v>
      </c>
      <c r="AX82" s="9"/>
      <c r="AY82" s="22">
        <v>0.262604</v>
      </c>
      <c r="AZ82" s="22">
        <v>17.092400000000001</v>
      </c>
      <c r="BA82" s="22">
        <v>-1.51001E-2</v>
      </c>
      <c r="BB82" s="22">
        <v>72</v>
      </c>
      <c r="BC82" s="22">
        <v>0.26217699999999999</v>
      </c>
      <c r="BD82">
        <f t="shared" si="22"/>
        <v>18.642098765432099</v>
      </c>
      <c r="BE82">
        <f t="shared" si="23"/>
        <v>4.8954897041975309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0.33248899999999998</v>
      </c>
      <c r="H83" s="22">
        <v>5.6965000000000003</v>
      </c>
      <c r="I83" s="22">
        <v>-1.4715600000000001E-2</v>
      </c>
      <c r="J83" s="22">
        <v>73</v>
      </c>
      <c r="K83" s="22">
        <v>0.33187899999999998</v>
      </c>
      <c r="L83">
        <f t="shared" si="12"/>
        <v>18.167407407407406</v>
      </c>
      <c r="M83">
        <f t="shared" si="13"/>
        <v>6.0404631214814808</v>
      </c>
      <c r="N83" s="9"/>
      <c r="O83" s="22">
        <v>0.26763900000000002</v>
      </c>
      <c r="P83" s="22">
        <v>7.3101500000000001</v>
      </c>
      <c r="Q83" s="22">
        <v>-1.4947500000000001E-2</v>
      </c>
      <c r="R83" s="22">
        <v>73</v>
      </c>
      <c r="S83" s="22">
        <v>0.26712000000000002</v>
      </c>
      <c r="T83">
        <f t="shared" si="14"/>
        <v>18.453703703703706</v>
      </c>
      <c r="U83">
        <f t="shared" si="15"/>
        <v>4.9389308055555565</v>
      </c>
      <c r="X83" s="9"/>
      <c r="Y83" s="22">
        <v>0.33248899999999998</v>
      </c>
      <c r="Z83" s="22">
        <v>10.6007</v>
      </c>
      <c r="AA83" s="22">
        <v>-1.48773E-2</v>
      </c>
      <c r="AB83" s="22">
        <v>73</v>
      </c>
      <c r="AC83" s="22">
        <v>0.33196999999999999</v>
      </c>
      <c r="AD83">
        <f t="shared" si="16"/>
        <v>18.367037037037036</v>
      </c>
      <c r="AE83">
        <f t="shared" si="17"/>
        <v>6.1068377774074065</v>
      </c>
      <c r="AF83" s="9"/>
      <c r="AG83" s="22">
        <v>0.26763900000000002</v>
      </c>
      <c r="AH83" s="22">
        <v>12.2143</v>
      </c>
      <c r="AI83" s="22">
        <v>-1.52313E-2</v>
      </c>
      <c r="AJ83" s="22">
        <v>73</v>
      </c>
      <c r="AK83" s="22">
        <v>0.26702900000000002</v>
      </c>
      <c r="AL83">
        <f t="shared" si="18"/>
        <v>18.804074074074073</v>
      </c>
      <c r="AM83">
        <f t="shared" si="19"/>
        <v>5.0327035811111109</v>
      </c>
      <c r="AP83" s="9"/>
      <c r="AQ83" s="22">
        <v>0.33248899999999998</v>
      </c>
      <c r="AR83" s="22">
        <v>15.488799999999999</v>
      </c>
      <c r="AS83" s="22">
        <v>-1.48407E-2</v>
      </c>
      <c r="AT83" s="22">
        <v>73</v>
      </c>
      <c r="AU83" s="22">
        <v>0.33200099999999999</v>
      </c>
      <c r="AV83">
        <f t="shared" si="20"/>
        <v>18.32185185185185</v>
      </c>
      <c r="AW83">
        <f t="shared" si="21"/>
        <v>6.0918142003703695</v>
      </c>
      <c r="AX83" s="9"/>
      <c r="AY83" s="22">
        <v>0.26763900000000002</v>
      </c>
      <c r="AZ83" s="22">
        <v>17.102499999999999</v>
      </c>
      <c r="BA83" s="22">
        <v>-1.5094E-2</v>
      </c>
      <c r="BB83" s="22">
        <v>73</v>
      </c>
      <c r="BC83" s="22">
        <v>0.26767000000000002</v>
      </c>
      <c r="BD83">
        <f t="shared" si="22"/>
        <v>18.634567901234568</v>
      </c>
      <c r="BE83">
        <f t="shared" si="23"/>
        <v>4.9873371185185187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0.32745400000000002</v>
      </c>
      <c r="H84" s="22">
        <v>5.7065700000000001</v>
      </c>
      <c r="I84" s="22">
        <v>-1.4727799999999999E-2</v>
      </c>
      <c r="J84" s="22">
        <v>74</v>
      </c>
      <c r="K84" s="22">
        <v>0.32678200000000002</v>
      </c>
      <c r="L84">
        <f t="shared" si="12"/>
        <v>18.182469135802467</v>
      </c>
      <c r="M84">
        <f t="shared" si="13"/>
        <v>5.9539222483950613</v>
      </c>
      <c r="N84" s="9"/>
      <c r="O84" s="22">
        <v>0.272675</v>
      </c>
      <c r="P84" s="22">
        <v>7.3202199999999999</v>
      </c>
      <c r="Q84" s="22">
        <v>-1.4941400000000001E-2</v>
      </c>
      <c r="R84" s="22">
        <v>74</v>
      </c>
      <c r="S84" s="22">
        <v>0.27194200000000002</v>
      </c>
      <c r="T84">
        <f t="shared" si="14"/>
        <v>18.446172839506172</v>
      </c>
      <c r="U84">
        <f t="shared" si="15"/>
        <v>5.0298101790123457</v>
      </c>
      <c r="X84" s="9"/>
      <c r="Y84" s="22">
        <v>0.32745400000000002</v>
      </c>
      <c r="Z84" s="22">
        <v>10.6107</v>
      </c>
      <c r="AA84" s="22">
        <v>-1.48865E-2</v>
      </c>
      <c r="AB84" s="22">
        <v>74</v>
      </c>
      <c r="AC84" s="22">
        <v>0.32879599999999998</v>
      </c>
      <c r="AD84">
        <f t="shared" si="16"/>
        <v>18.378395061728394</v>
      </c>
      <c r="AE84">
        <f t="shared" si="17"/>
        <v>6.0180789765432099</v>
      </c>
      <c r="AF84" s="9"/>
      <c r="AG84" s="22">
        <v>0.272675</v>
      </c>
      <c r="AH84" s="22">
        <v>12.224399999999999</v>
      </c>
      <c r="AI84" s="22">
        <v>-1.5219099999999999E-2</v>
      </c>
      <c r="AJ84" s="22">
        <v>74</v>
      </c>
      <c r="AK84" s="22">
        <v>0.27224700000000002</v>
      </c>
      <c r="AL84">
        <f t="shared" si="18"/>
        <v>18.789012345679012</v>
      </c>
      <c r="AM84">
        <f t="shared" si="19"/>
        <v>5.1232939413580247</v>
      </c>
      <c r="AP84" s="9"/>
      <c r="AQ84" s="22">
        <v>0.32745400000000002</v>
      </c>
      <c r="AR84" s="22">
        <v>15.498900000000001</v>
      </c>
      <c r="AS84" s="22">
        <v>-1.48529E-2</v>
      </c>
      <c r="AT84" s="22">
        <v>74</v>
      </c>
      <c r="AU84" s="22">
        <v>0.32705699999999999</v>
      </c>
      <c r="AV84">
        <f t="shared" si="20"/>
        <v>18.336913580246915</v>
      </c>
      <c r="AW84">
        <f t="shared" si="21"/>
        <v>6.0044956995061733</v>
      </c>
      <c r="AX84" s="9"/>
      <c r="AY84" s="22">
        <v>0.272675</v>
      </c>
      <c r="AZ84" s="22">
        <v>17.112500000000001</v>
      </c>
      <c r="BA84" s="22">
        <v>-1.51031E-2</v>
      </c>
      <c r="BB84" s="22">
        <v>74</v>
      </c>
      <c r="BC84" s="22">
        <v>0.27273599999999998</v>
      </c>
      <c r="BD84">
        <f t="shared" si="22"/>
        <v>18.645802469135798</v>
      </c>
      <c r="BE84">
        <f t="shared" si="23"/>
        <v>5.0842441882716036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0.32241799999999998</v>
      </c>
      <c r="H85" s="22">
        <v>5.7166399999999999</v>
      </c>
      <c r="I85" s="22">
        <v>-1.4736900000000001E-2</v>
      </c>
      <c r="J85" s="22">
        <v>75</v>
      </c>
      <c r="K85" s="22">
        <v>0.32165500000000002</v>
      </c>
      <c r="L85">
        <f t="shared" si="12"/>
        <v>18.193703703703704</v>
      </c>
      <c r="M85">
        <f t="shared" si="13"/>
        <v>5.8659775607407409</v>
      </c>
      <c r="N85" s="9"/>
      <c r="O85" s="22">
        <v>0.27771000000000001</v>
      </c>
      <c r="P85" s="22">
        <v>7.3302899999999998</v>
      </c>
      <c r="Q85" s="22">
        <v>-1.49292E-2</v>
      </c>
      <c r="R85" s="22">
        <v>75</v>
      </c>
      <c r="S85" s="22">
        <v>0.27706900000000001</v>
      </c>
      <c r="T85">
        <f t="shared" si="14"/>
        <v>18.431111111111111</v>
      </c>
      <c r="U85">
        <f t="shared" si="15"/>
        <v>5.1185038666666669</v>
      </c>
      <c r="X85" s="9"/>
      <c r="Y85" s="22">
        <v>0.32241799999999998</v>
      </c>
      <c r="Z85" s="22">
        <v>10.620799999999999</v>
      </c>
      <c r="AA85" s="22">
        <v>-1.4898700000000001E-2</v>
      </c>
      <c r="AB85" s="22">
        <v>75</v>
      </c>
      <c r="AC85" s="22">
        <v>0.32192999999999999</v>
      </c>
      <c r="AD85">
        <f t="shared" si="16"/>
        <v>18.393456790123455</v>
      </c>
      <c r="AE85">
        <f t="shared" si="17"/>
        <v>5.9303815513580238</v>
      </c>
      <c r="AF85" s="9"/>
      <c r="AG85" s="22">
        <v>0.27771000000000001</v>
      </c>
      <c r="AH85" s="22">
        <v>12.234400000000001</v>
      </c>
      <c r="AI85" s="22">
        <v>-1.521E-2</v>
      </c>
      <c r="AJ85" s="22">
        <v>75</v>
      </c>
      <c r="AK85" s="22">
        <v>0.27706900000000001</v>
      </c>
      <c r="AL85">
        <f t="shared" si="18"/>
        <v>18.777777777777775</v>
      </c>
      <c r="AM85">
        <f t="shared" si="19"/>
        <v>5.2147766666666664</v>
      </c>
      <c r="AP85" s="9"/>
      <c r="AQ85" s="22">
        <v>0.32241799999999998</v>
      </c>
      <c r="AR85" s="22">
        <v>15.509</v>
      </c>
      <c r="AS85" s="22">
        <v>-1.48621E-2</v>
      </c>
      <c r="AT85" s="22">
        <v>75</v>
      </c>
      <c r="AU85" s="22">
        <v>0.32186900000000002</v>
      </c>
      <c r="AV85">
        <f t="shared" si="20"/>
        <v>18.348271604938269</v>
      </c>
      <c r="AW85">
        <f t="shared" si="21"/>
        <v>5.915813034320986</v>
      </c>
      <c r="AX85" s="9"/>
      <c r="AY85" s="22">
        <v>0.27771000000000001</v>
      </c>
      <c r="AZ85" s="22">
        <v>17.122599999999998</v>
      </c>
      <c r="BA85" s="22">
        <v>-1.5090900000000001E-2</v>
      </c>
      <c r="BB85" s="22">
        <v>75</v>
      </c>
      <c r="BC85" s="22">
        <v>0.27716099999999999</v>
      </c>
      <c r="BD85">
        <f t="shared" si="22"/>
        <v>18.630740740740741</v>
      </c>
      <c r="BE85">
        <f t="shared" si="23"/>
        <v>5.1739430111111115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0.31738300000000003</v>
      </c>
      <c r="H86" s="22">
        <v>5.7267200000000003</v>
      </c>
      <c r="I86" s="22">
        <v>-1.47461E-2</v>
      </c>
      <c r="J86" s="22">
        <v>76</v>
      </c>
      <c r="K86" s="22">
        <v>0.31683299999999998</v>
      </c>
      <c r="L86">
        <f t="shared" si="12"/>
        <v>18.205061728395062</v>
      </c>
      <c r="M86">
        <f t="shared" si="13"/>
        <v>5.7779771065432106</v>
      </c>
      <c r="N86" s="9"/>
      <c r="O86" s="22">
        <v>0.28274500000000002</v>
      </c>
      <c r="P86" s="22">
        <v>7.3403600000000004</v>
      </c>
      <c r="Q86" s="22">
        <v>-1.4919999999999999E-2</v>
      </c>
      <c r="R86" s="22">
        <v>76</v>
      </c>
      <c r="S86" s="22">
        <v>0.28201300000000001</v>
      </c>
      <c r="T86">
        <f t="shared" si="14"/>
        <v>18.41975308641975</v>
      </c>
      <c r="U86">
        <f t="shared" si="15"/>
        <v>5.208093086419753</v>
      </c>
      <c r="X86" s="9"/>
      <c r="Y86" s="22">
        <v>0.31738300000000003</v>
      </c>
      <c r="Z86" s="22">
        <v>10.6309</v>
      </c>
      <c r="AA86" s="22">
        <v>-1.4904799999999999E-2</v>
      </c>
      <c r="AB86" s="22">
        <v>76</v>
      </c>
      <c r="AC86" s="22">
        <v>0.31655899999999998</v>
      </c>
      <c r="AD86">
        <f t="shared" si="16"/>
        <v>18.400987654320986</v>
      </c>
      <c r="AE86">
        <f t="shared" si="17"/>
        <v>5.840160664691358</v>
      </c>
      <c r="AF86" s="9"/>
      <c r="AG86" s="22">
        <v>0.28274500000000002</v>
      </c>
      <c r="AH86" s="22">
        <v>12.2445</v>
      </c>
      <c r="AI86" s="22">
        <v>-1.5203899999999999E-2</v>
      </c>
      <c r="AJ86" s="22">
        <v>76</v>
      </c>
      <c r="AK86" s="22">
        <v>0.28231800000000001</v>
      </c>
      <c r="AL86">
        <f t="shared" si="18"/>
        <v>18.770246913580245</v>
      </c>
      <c r="AM86">
        <f t="shared" si="19"/>
        <v>5.3071934635802469</v>
      </c>
      <c r="AP86" s="9"/>
      <c r="AQ86" s="22">
        <v>0.31738300000000003</v>
      </c>
      <c r="AR86" s="22">
        <v>15.519</v>
      </c>
      <c r="AS86" s="22">
        <v>-1.48773E-2</v>
      </c>
      <c r="AT86" s="22">
        <v>76</v>
      </c>
      <c r="AU86" s="22">
        <v>0.31652799999999998</v>
      </c>
      <c r="AV86">
        <f t="shared" si="20"/>
        <v>18.367037037037036</v>
      </c>
      <c r="AW86">
        <f t="shared" si="21"/>
        <v>5.8293853159259266</v>
      </c>
      <c r="AX86" s="9"/>
      <c r="AY86" s="22">
        <v>0.28274500000000002</v>
      </c>
      <c r="AZ86" s="22">
        <v>17.1327</v>
      </c>
      <c r="BA86" s="22">
        <v>-1.50726E-2</v>
      </c>
      <c r="BB86" s="22">
        <v>76</v>
      </c>
      <c r="BC86" s="22">
        <v>0.282196</v>
      </c>
      <c r="BD86">
        <f t="shared" si="22"/>
        <v>18.60814814814815</v>
      </c>
      <c r="BE86">
        <f t="shared" si="23"/>
        <v>5.2613608481481489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0.31234699999999999</v>
      </c>
      <c r="H87" s="22">
        <v>5.7367900000000001</v>
      </c>
      <c r="I87" s="22">
        <v>-1.47583E-2</v>
      </c>
      <c r="J87" s="22">
        <v>77</v>
      </c>
      <c r="K87" s="22">
        <v>0.31158400000000003</v>
      </c>
      <c r="L87">
        <f t="shared" si="12"/>
        <v>18.22012345679012</v>
      </c>
      <c r="M87">
        <f t="shared" si="13"/>
        <v>5.6910009013580236</v>
      </c>
      <c r="N87" s="9"/>
      <c r="O87" s="22">
        <v>0.28778100000000001</v>
      </c>
      <c r="P87" s="22">
        <v>7.3504300000000002</v>
      </c>
      <c r="Q87" s="22">
        <v>-1.49109E-2</v>
      </c>
      <c r="R87" s="22">
        <v>77</v>
      </c>
      <c r="S87" s="22">
        <v>0.28756700000000002</v>
      </c>
      <c r="T87">
        <f t="shared" si="14"/>
        <v>18.408518518518516</v>
      </c>
      <c r="U87">
        <f t="shared" si="15"/>
        <v>5.2976218677777771</v>
      </c>
      <c r="X87" s="9"/>
      <c r="Y87" s="22">
        <v>0.31234699999999999</v>
      </c>
      <c r="Z87" s="22">
        <v>10.6409</v>
      </c>
      <c r="AA87" s="22">
        <v>-1.4917E-2</v>
      </c>
      <c r="AB87" s="22">
        <v>77</v>
      </c>
      <c r="AC87" s="22">
        <v>0.311249</v>
      </c>
      <c r="AD87">
        <f t="shared" si="16"/>
        <v>18.416049382716047</v>
      </c>
      <c r="AE87">
        <f t="shared" si="17"/>
        <v>5.7521977765432091</v>
      </c>
      <c r="AF87" s="9"/>
      <c r="AG87" s="22">
        <v>0.28778100000000001</v>
      </c>
      <c r="AH87" s="22">
        <v>12.2546</v>
      </c>
      <c r="AI87" s="22">
        <v>-1.51947E-2</v>
      </c>
      <c r="AJ87" s="22">
        <v>77</v>
      </c>
      <c r="AK87" s="22">
        <v>0.28738399999999997</v>
      </c>
      <c r="AL87">
        <f t="shared" si="18"/>
        <v>18.758888888888887</v>
      </c>
      <c r="AM87">
        <f t="shared" si="19"/>
        <v>5.3984518033333329</v>
      </c>
      <c r="AP87" s="9"/>
      <c r="AQ87" s="22">
        <v>0.31234699999999999</v>
      </c>
      <c r="AR87" s="22">
        <v>15.5291</v>
      </c>
      <c r="AS87" s="22">
        <v>-1.48834E-2</v>
      </c>
      <c r="AT87" s="22">
        <v>77</v>
      </c>
      <c r="AU87" s="22">
        <v>0.31207299999999999</v>
      </c>
      <c r="AV87">
        <f t="shared" si="20"/>
        <v>18.374567901234567</v>
      </c>
      <c r="AW87">
        <f t="shared" si="21"/>
        <v>5.7392411602469133</v>
      </c>
      <c r="AX87" s="9"/>
      <c r="AY87" s="22">
        <v>0.28778100000000001</v>
      </c>
      <c r="AZ87" s="22">
        <v>17.142800000000001</v>
      </c>
      <c r="BA87" s="22">
        <v>-1.5069600000000001E-2</v>
      </c>
      <c r="BB87" s="22">
        <v>77</v>
      </c>
      <c r="BC87" s="22">
        <v>0.28567500000000001</v>
      </c>
      <c r="BD87">
        <f t="shared" si="22"/>
        <v>18.604444444444443</v>
      </c>
      <c r="BE87">
        <f t="shared" si="23"/>
        <v>5.354005626666666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0.30731199999999997</v>
      </c>
      <c r="H88" s="22">
        <v>5.7468599999999999</v>
      </c>
      <c r="I88" s="22">
        <v>-1.47644E-2</v>
      </c>
      <c r="J88" s="22">
        <v>78</v>
      </c>
      <c r="K88" s="22">
        <v>0.30700699999999997</v>
      </c>
      <c r="L88">
        <f t="shared" si="12"/>
        <v>18.227654320987654</v>
      </c>
      <c r="M88">
        <f t="shared" si="13"/>
        <v>5.6015769046913571</v>
      </c>
      <c r="N88" s="9"/>
      <c r="O88" s="22">
        <v>0.29281600000000002</v>
      </c>
      <c r="P88" s="22">
        <v>7.3605</v>
      </c>
      <c r="Q88" s="22">
        <v>-1.4898700000000001E-2</v>
      </c>
      <c r="R88" s="22">
        <v>78</v>
      </c>
      <c r="S88" s="22">
        <v>0.29278599999999999</v>
      </c>
      <c r="T88">
        <f t="shared" si="14"/>
        <v>18.393456790123455</v>
      </c>
      <c r="U88">
        <f t="shared" si="15"/>
        <v>5.3858984434567896</v>
      </c>
      <c r="X88" s="9"/>
      <c r="Y88" s="22">
        <v>0.30731199999999997</v>
      </c>
      <c r="Z88" s="22">
        <v>10.651</v>
      </c>
      <c r="AA88" s="22">
        <v>-1.49292E-2</v>
      </c>
      <c r="AB88" s="22">
        <v>78</v>
      </c>
      <c r="AC88" s="22">
        <v>0.30621300000000001</v>
      </c>
      <c r="AD88">
        <f t="shared" si="16"/>
        <v>18.431111111111111</v>
      </c>
      <c r="AE88">
        <f t="shared" si="17"/>
        <v>5.664101617777777</v>
      </c>
      <c r="AF88" s="9"/>
      <c r="AG88" s="22">
        <v>0.29281600000000002</v>
      </c>
      <c r="AH88" s="22">
        <v>12.264699999999999</v>
      </c>
      <c r="AI88" s="22">
        <v>-1.51825E-2</v>
      </c>
      <c r="AJ88" s="22">
        <v>78</v>
      </c>
      <c r="AK88" s="22">
        <v>0.292267</v>
      </c>
      <c r="AL88">
        <f t="shared" si="18"/>
        <v>18.743827160493826</v>
      </c>
      <c r="AM88">
        <f t="shared" si="19"/>
        <v>5.4884924938271604</v>
      </c>
      <c r="AP88" s="9"/>
      <c r="AQ88" s="22">
        <v>0.30731199999999997</v>
      </c>
      <c r="AR88" s="22">
        <v>15.539199999999999</v>
      </c>
      <c r="AS88" s="22">
        <v>-1.4892600000000001E-2</v>
      </c>
      <c r="AT88" s="22">
        <v>78</v>
      </c>
      <c r="AU88" s="22">
        <v>0.30670199999999997</v>
      </c>
      <c r="AV88">
        <f t="shared" si="20"/>
        <v>18.385925925925928</v>
      </c>
      <c r="AW88">
        <f t="shared" si="21"/>
        <v>5.6502156681481486</v>
      </c>
      <c r="AX88" s="9"/>
      <c r="AY88" s="22">
        <v>0.29281600000000002</v>
      </c>
      <c r="AZ88" s="22">
        <v>17.152799999999999</v>
      </c>
      <c r="BA88" s="22">
        <v>-1.50543E-2</v>
      </c>
      <c r="BB88" s="22">
        <v>78</v>
      </c>
      <c r="BC88" s="22">
        <v>0.292908</v>
      </c>
      <c r="BD88">
        <f t="shared" si="22"/>
        <v>18.585555555555555</v>
      </c>
      <c r="BE88">
        <f t="shared" si="23"/>
        <v>5.4421480355555554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0.30227700000000002</v>
      </c>
      <c r="H89" s="22">
        <v>5.7569299999999997</v>
      </c>
      <c r="I89" s="22">
        <v>-1.4776600000000001E-2</v>
      </c>
      <c r="J89" s="22">
        <v>79</v>
      </c>
      <c r="K89" s="22">
        <v>0.30169699999999999</v>
      </c>
      <c r="L89">
        <f t="shared" si="12"/>
        <v>18.242716049382715</v>
      </c>
      <c r="M89">
        <f t="shared" si="13"/>
        <v>5.5143534792592588</v>
      </c>
      <c r="N89" s="9"/>
      <c r="O89" s="22">
        <v>0.29785200000000001</v>
      </c>
      <c r="P89" s="22">
        <v>7.3705699999999998</v>
      </c>
      <c r="Q89" s="22">
        <v>-1.48895E-2</v>
      </c>
      <c r="R89" s="22">
        <v>79</v>
      </c>
      <c r="S89" s="22">
        <v>0.29650900000000002</v>
      </c>
      <c r="T89">
        <f t="shared" si="14"/>
        <v>18.382098765432101</v>
      </c>
      <c r="U89">
        <f t="shared" si="15"/>
        <v>5.4751448814814818</v>
      </c>
      <c r="X89" s="9"/>
      <c r="Y89" s="22">
        <v>0.30227700000000002</v>
      </c>
      <c r="Z89" s="22">
        <v>10.661099999999999</v>
      </c>
      <c r="AA89" s="22">
        <v>-1.4938399999999999E-2</v>
      </c>
      <c r="AB89" s="22">
        <v>79</v>
      </c>
      <c r="AC89" s="22">
        <v>0.30154399999999998</v>
      </c>
      <c r="AD89">
        <f t="shared" si="16"/>
        <v>18.442469135802465</v>
      </c>
      <c r="AE89">
        <f t="shared" si="17"/>
        <v>5.574734242962962</v>
      </c>
      <c r="AF89" s="9"/>
      <c r="AG89" s="22">
        <v>0.29785200000000001</v>
      </c>
      <c r="AH89" s="22">
        <v>12.274699999999999</v>
      </c>
      <c r="AI89" s="22">
        <v>-1.51764E-2</v>
      </c>
      <c r="AJ89" s="22">
        <v>79</v>
      </c>
      <c r="AK89" s="22">
        <v>0.29733300000000001</v>
      </c>
      <c r="AL89">
        <f t="shared" si="18"/>
        <v>18.736296296296295</v>
      </c>
      <c r="AM89">
        <f t="shared" si="19"/>
        <v>5.580643324444444</v>
      </c>
      <c r="AP89" s="9"/>
      <c r="AQ89" s="22">
        <v>0.30227700000000002</v>
      </c>
      <c r="AR89" s="22">
        <v>15.549300000000001</v>
      </c>
      <c r="AS89" s="22">
        <v>-1.49017E-2</v>
      </c>
      <c r="AT89" s="22">
        <v>79</v>
      </c>
      <c r="AU89" s="22">
        <v>0.30194100000000001</v>
      </c>
      <c r="AV89">
        <f t="shared" si="20"/>
        <v>18.397160493827158</v>
      </c>
      <c r="AW89">
        <f t="shared" si="21"/>
        <v>5.5610384825925925</v>
      </c>
      <c r="AX89" s="9"/>
      <c r="AY89" s="22">
        <v>0.29785200000000001</v>
      </c>
      <c r="AZ89" s="22">
        <v>17.1629</v>
      </c>
      <c r="BA89" s="22">
        <v>-1.50452E-2</v>
      </c>
      <c r="BB89" s="22">
        <v>79</v>
      </c>
      <c r="BC89" s="22">
        <v>0.29760700000000001</v>
      </c>
      <c r="BD89">
        <f t="shared" si="22"/>
        <v>18.574320987654321</v>
      </c>
      <c r="BE89">
        <f t="shared" si="23"/>
        <v>5.5323986548148154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0.29724099999999998</v>
      </c>
      <c r="H90" s="22">
        <v>5.7670000000000003</v>
      </c>
      <c r="I90" s="22">
        <v>-1.47888E-2</v>
      </c>
      <c r="J90" s="22">
        <v>80</v>
      </c>
      <c r="K90" s="22">
        <v>0.29669200000000001</v>
      </c>
      <c r="L90">
        <f t="shared" si="12"/>
        <v>18.257777777777775</v>
      </c>
      <c r="M90">
        <f t="shared" si="13"/>
        <v>5.4269601244444434</v>
      </c>
      <c r="N90" s="9"/>
      <c r="O90" s="22">
        <v>0.30288700000000002</v>
      </c>
      <c r="P90" s="22">
        <v>7.3806500000000002</v>
      </c>
      <c r="Q90" s="22">
        <v>-1.48743E-2</v>
      </c>
      <c r="R90" s="22">
        <v>80</v>
      </c>
      <c r="S90" s="22">
        <v>0.30255100000000001</v>
      </c>
      <c r="T90">
        <f t="shared" si="14"/>
        <v>18.363333333333333</v>
      </c>
      <c r="U90">
        <f t="shared" si="15"/>
        <v>5.5620149433333337</v>
      </c>
      <c r="X90" s="9"/>
      <c r="Y90" s="22">
        <v>0.29724099999999998</v>
      </c>
      <c r="Z90" s="22">
        <v>10.671200000000001</v>
      </c>
      <c r="AA90" s="22">
        <v>-1.49506E-2</v>
      </c>
      <c r="AB90" s="22">
        <v>80</v>
      </c>
      <c r="AC90" s="22">
        <v>0.29696699999999998</v>
      </c>
      <c r="AD90">
        <f t="shared" si="16"/>
        <v>18.45753086419753</v>
      </c>
      <c r="AE90">
        <f t="shared" si="17"/>
        <v>5.4863349316049375</v>
      </c>
      <c r="AF90" s="9"/>
      <c r="AG90" s="22">
        <v>0.30288700000000002</v>
      </c>
      <c r="AH90" s="22">
        <v>12.284800000000001</v>
      </c>
      <c r="AI90" s="22">
        <v>-1.51672E-2</v>
      </c>
      <c r="AJ90" s="22">
        <v>80</v>
      </c>
      <c r="AK90" s="22">
        <v>0.30239899999999997</v>
      </c>
      <c r="AL90">
        <f t="shared" si="18"/>
        <v>18.724938271604938</v>
      </c>
      <c r="AM90">
        <f t="shared" si="19"/>
        <v>5.6715403782716054</v>
      </c>
      <c r="AP90" s="9"/>
      <c r="AQ90" s="22">
        <v>0.29724099999999998</v>
      </c>
      <c r="AR90" s="22">
        <v>15.5593</v>
      </c>
      <c r="AS90" s="22">
        <v>-1.49109E-2</v>
      </c>
      <c r="AT90" s="22">
        <v>80</v>
      </c>
      <c r="AU90" s="22">
        <v>0.29675299999999999</v>
      </c>
      <c r="AV90">
        <f t="shared" si="20"/>
        <v>18.408518518518516</v>
      </c>
      <c r="AW90">
        <f t="shared" si="21"/>
        <v>5.4717664529629619</v>
      </c>
      <c r="AX90" s="9"/>
      <c r="AY90" s="22">
        <v>0.30288700000000002</v>
      </c>
      <c r="AZ90" s="22">
        <v>17.172999999999998</v>
      </c>
      <c r="BA90" s="22">
        <v>-1.5032999999999999E-2</v>
      </c>
      <c r="BB90" s="22">
        <v>80</v>
      </c>
      <c r="BC90" s="22">
        <v>0.30093399999999998</v>
      </c>
      <c r="BD90">
        <f t="shared" si="22"/>
        <v>18.559259259259257</v>
      </c>
      <c r="BE90">
        <f t="shared" si="23"/>
        <v>5.6213583592592586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0.29220600000000002</v>
      </c>
      <c r="H91" s="22">
        <v>5.7770700000000001</v>
      </c>
      <c r="I91" s="22">
        <v>-1.47949E-2</v>
      </c>
      <c r="J91" s="22">
        <v>81</v>
      </c>
      <c r="K91" s="22">
        <v>0.29156500000000002</v>
      </c>
      <c r="L91">
        <f t="shared" si="12"/>
        <v>18.265308641975306</v>
      </c>
      <c r="M91">
        <f t="shared" si="13"/>
        <v>5.3372327770370367</v>
      </c>
      <c r="N91" s="9"/>
      <c r="O91" s="22">
        <v>0.30792199999999997</v>
      </c>
      <c r="P91" s="22">
        <v>7.39072</v>
      </c>
      <c r="Q91" s="22">
        <v>-1.4865099999999999E-2</v>
      </c>
      <c r="R91" s="22">
        <v>81</v>
      </c>
      <c r="S91" s="22">
        <v>0.307251</v>
      </c>
      <c r="T91">
        <f t="shared" si="14"/>
        <v>18.351975308641972</v>
      </c>
      <c r="U91">
        <f t="shared" si="15"/>
        <v>5.6509769409876531</v>
      </c>
      <c r="X91" s="9"/>
      <c r="Y91" s="22">
        <v>0.29220600000000002</v>
      </c>
      <c r="Z91" s="22">
        <v>10.6812</v>
      </c>
      <c r="AA91" s="22">
        <v>-1.49567E-2</v>
      </c>
      <c r="AB91" s="22">
        <v>81</v>
      </c>
      <c r="AC91" s="22">
        <v>0.29156500000000002</v>
      </c>
      <c r="AD91">
        <f t="shared" si="16"/>
        <v>18.46506172839506</v>
      </c>
      <c r="AE91">
        <f t="shared" si="17"/>
        <v>5.3956018274074076</v>
      </c>
      <c r="AF91" s="9"/>
      <c r="AG91" s="22">
        <v>0.30792199999999997</v>
      </c>
      <c r="AH91" s="22">
        <v>12.2949</v>
      </c>
      <c r="AI91" s="22">
        <v>-1.51611E-2</v>
      </c>
      <c r="AJ91" s="22">
        <v>81</v>
      </c>
      <c r="AK91" s="22">
        <v>0.30731199999999997</v>
      </c>
      <c r="AL91">
        <f t="shared" si="18"/>
        <v>18.717407407407403</v>
      </c>
      <c r="AM91">
        <f t="shared" si="19"/>
        <v>5.7635015237037024</v>
      </c>
      <c r="AP91" s="9"/>
      <c r="AQ91" s="22">
        <v>0.29220600000000002</v>
      </c>
      <c r="AR91" s="22">
        <v>15.5694</v>
      </c>
      <c r="AS91" s="22">
        <v>-1.4919999999999999E-2</v>
      </c>
      <c r="AT91" s="22">
        <v>81</v>
      </c>
      <c r="AU91" s="22">
        <v>0.29177900000000001</v>
      </c>
      <c r="AV91">
        <f t="shared" si="20"/>
        <v>18.41975308641975</v>
      </c>
      <c r="AW91">
        <f t="shared" si="21"/>
        <v>5.3823623703703696</v>
      </c>
      <c r="AX91" s="9"/>
      <c r="AY91" s="22">
        <v>0.30792199999999997</v>
      </c>
      <c r="AZ91" s="22">
        <v>17.183</v>
      </c>
      <c r="BA91" s="22">
        <v>-1.50177E-2</v>
      </c>
      <c r="BB91" s="22">
        <v>81</v>
      </c>
      <c r="BC91" s="22">
        <v>0.30770900000000001</v>
      </c>
      <c r="BD91">
        <f t="shared" si="22"/>
        <v>18.540370370370372</v>
      </c>
      <c r="BE91">
        <f t="shared" si="23"/>
        <v>5.7089879251851849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0.28716999999999998</v>
      </c>
      <c r="H92" s="22">
        <v>5.78714</v>
      </c>
      <c r="I92" s="22">
        <v>-1.48071E-2</v>
      </c>
      <c r="J92" s="22">
        <v>82</v>
      </c>
      <c r="K92" s="22">
        <v>0.28646899999999997</v>
      </c>
      <c r="L92">
        <f t="shared" si="12"/>
        <v>18.28037037037037</v>
      </c>
      <c r="M92">
        <f t="shared" si="13"/>
        <v>5.2495739592592585</v>
      </c>
      <c r="N92" s="9"/>
      <c r="O92" s="22">
        <v>0.31295800000000001</v>
      </c>
      <c r="P92" s="22">
        <v>7.4007899999999998</v>
      </c>
      <c r="Q92" s="22">
        <v>-1.4859000000000001E-2</v>
      </c>
      <c r="R92" s="22">
        <v>82</v>
      </c>
      <c r="S92" s="22">
        <v>0.31225599999999998</v>
      </c>
      <c r="T92">
        <f t="shared" si="14"/>
        <v>18.344444444444445</v>
      </c>
      <c r="U92">
        <f t="shared" si="15"/>
        <v>5.7410406444444453</v>
      </c>
      <c r="X92" s="9"/>
      <c r="Y92" s="22">
        <v>0.28716999999999998</v>
      </c>
      <c r="Z92" s="22">
        <v>10.6913</v>
      </c>
      <c r="AA92" s="22">
        <v>-1.49628E-2</v>
      </c>
      <c r="AB92" s="22">
        <v>82</v>
      </c>
      <c r="AC92" s="22">
        <v>0.28643800000000003</v>
      </c>
      <c r="AD92">
        <f t="shared" si="16"/>
        <v>18.472592592592594</v>
      </c>
      <c r="AE92">
        <f t="shared" si="17"/>
        <v>5.3047744148148146</v>
      </c>
      <c r="AF92" s="9"/>
      <c r="AG92" s="22">
        <v>0.31295800000000001</v>
      </c>
      <c r="AH92" s="22">
        <v>12.3049</v>
      </c>
      <c r="AI92" s="22">
        <v>-1.5152000000000001E-2</v>
      </c>
      <c r="AJ92" s="22">
        <v>82</v>
      </c>
      <c r="AK92" s="22">
        <v>0.31240800000000002</v>
      </c>
      <c r="AL92">
        <f t="shared" si="18"/>
        <v>18.706172839506173</v>
      </c>
      <c r="AM92">
        <f t="shared" si="19"/>
        <v>5.8542464395061735</v>
      </c>
      <c r="AP92" s="9"/>
      <c r="AQ92" s="22">
        <v>0.28716999999999998</v>
      </c>
      <c r="AR92" s="22">
        <v>15.579499999999999</v>
      </c>
      <c r="AS92" s="22">
        <v>-1.49292E-2</v>
      </c>
      <c r="AT92" s="22">
        <v>82</v>
      </c>
      <c r="AU92" s="22">
        <v>0.28655999999999998</v>
      </c>
      <c r="AV92">
        <f t="shared" si="20"/>
        <v>18.431111111111111</v>
      </c>
      <c r="AW92">
        <f t="shared" si="21"/>
        <v>5.2928621777777778</v>
      </c>
      <c r="AX92" s="9"/>
      <c r="AY92" s="22">
        <v>0.31295800000000001</v>
      </c>
      <c r="AZ92" s="22">
        <v>17.193100000000001</v>
      </c>
      <c r="BA92" s="22">
        <v>-1.50055E-2</v>
      </c>
      <c r="BB92" s="22">
        <v>82</v>
      </c>
      <c r="BC92" s="22">
        <v>0.31179800000000002</v>
      </c>
      <c r="BD92">
        <f t="shared" si="22"/>
        <v>18.525308641975307</v>
      </c>
      <c r="BE92">
        <f t="shared" si="23"/>
        <v>5.797643541975309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0.28213500000000002</v>
      </c>
      <c r="H93" s="22">
        <v>5.7972099999999998</v>
      </c>
      <c r="I93" s="22">
        <v>-1.4816299999999999E-2</v>
      </c>
      <c r="J93" s="22">
        <v>83</v>
      </c>
      <c r="K93" s="22">
        <v>0.28143299999999999</v>
      </c>
      <c r="L93">
        <f t="shared" si="12"/>
        <v>18.291728395061728</v>
      </c>
      <c r="M93">
        <f t="shared" si="13"/>
        <v>5.1607367907407413</v>
      </c>
      <c r="N93" s="9"/>
      <c r="O93" s="22">
        <v>0.31799300000000003</v>
      </c>
      <c r="P93" s="22">
        <v>7.4108599999999996</v>
      </c>
      <c r="Q93" s="22">
        <v>-1.4843800000000001E-2</v>
      </c>
      <c r="R93" s="22">
        <v>83</v>
      </c>
      <c r="S93" s="22">
        <v>0.31732199999999999</v>
      </c>
      <c r="T93">
        <f t="shared" si="14"/>
        <v>18.325679012345677</v>
      </c>
      <c r="U93">
        <f t="shared" si="15"/>
        <v>5.8274376461728394</v>
      </c>
      <c r="X93" s="9"/>
      <c r="Y93" s="22">
        <v>0.28213500000000002</v>
      </c>
      <c r="Z93" s="22">
        <v>10.7014</v>
      </c>
      <c r="AA93" s="22">
        <v>-1.4975E-2</v>
      </c>
      <c r="AB93" s="22">
        <v>83</v>
      </c>
      <c r="AC93" s="22">
        <v>0.28134199999999998</v>
      </c>
      <c r="AD93">
        <f t="shared" si="16"/>
        <v>18.487654320987652</v>
      </c>
      <c r="AE93">
        <f t="shared" si="17"/>
        <v>5.2160143518518511</v>
      </c>
      <c r="AF93" s="9"/>
      <c r="AG93" s="22">
        <v>0.31799300000000003</v>
      </c>
      <c r="AH93" s="22">
        <v>12.315</v>
      </c>
      <c r="AI93" s="22">
        <v>-1.51428E-2</v>
      </c>
      <c r="AJ93" s="22">
        <v>83</v>
      </c>
      <c r="AK93" s="22">
        <v>0.31747399999999998</v>
      </c>
      <c r="AL93">
        <f t="shared" si="18"/>
        <v>18.694814814814812</v>
      </c>
      <c r="AM93">
        <f t="shared" si="19"/>
        <v>5.9448202474074074</v>
      </c>
      <c r="AP93" s="9"/>
      <c r="AQ93" s="22">
        <v>0.28213500000000002</v>
      </c>
      <c r="AR93" s="22">
        <v>15.589499999999999</v>
      </c>
      <c r="AS93" s="22">
        <v>-1.4938399999999999E-2</v>
      </c>
      <c r="AT93" s="22">
        <v>83</v>
      </c>
      <c r="AU93" s="22">
        <v>0.28198200000000001</v>
      </c>
      <c r="AV93">
        <f t="shared" si="20"/>
        <v>18.442469135802465</v>
      </c>
      <c r="AW93">
        <f t="shared" si="21"/>
        <v>5.2032660296296287</v>
      </c>
      <c r="AX93" s="9"/>
      <c r="AY93" s="22">
        <v>0.31799300000000003</v>
      </c>
      <c r="AZ93" s="22">
        <v>17.203199999999999</v>
      </c>
      <c r="BA93" s="22">
        <v>-1.49994E-2</v>
      </c>
      <c r="BB93" s="22">
        <v>83</v>
      </c>
      <c r="BC93" s="22">
        <v>0.31637599999999999</v>
      </c>
      <c r="BD93">
        <f t="shared" si="22"/>
        <v>18.517777777777777</v>
      </c>
      <c r="BE93">
        <f t="shared" si="23"/>
        <v>5.8885237088888891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0.27710000000000001</v>
      </c>
      <c r="H94" s="22">
        <v>5.8072800000000004</v>
      </c>
      <c r="I94" s="22">
        <v>-1.4825400000000001E-2</v>
      </c>
      <c r="J94" s="22">
        <v>84</v>
      </c>
      <c r="K94" s="22">
        <v>0.27645900000000001</v>
      </c>
      <c r="L94">
        <f t="shared" si="12"/>
        <v>18.302962962962962</v>
      </c>
      <c r="M94">
        <f t="shared" si="13"/>
        <v>5.0717510370370373</v>
      </c>
      <c r="N94" s="9"/>
      <c r="O94" s="22">
        <v>0.32302900000000001</v>
      </c>
      <c r="P94" s="22">
        <v>7.4209300000000002</v>
      </c>
      <c r="Q94" s="22">
        <v>-1.4831499999999999E-2</v>
      </c>
      <c r="R94" s="22">
        <v>84</v>
      </c>
      <c r="S94" s="22">
        <v>0.32299800000000001</v>
      </c>
      <c r="T94">
        <f t="shared" si="14"/>
        <v>18.310493827160489</v>
      </c>
      <c r="U94">
        <f t="shared" si="15"/>
        <v>5.9148205104938256</v>
      </c>
      <c r="X94" s="9"/>
      <c r="Y94" s="22">
        <v>0.27710000000000001</v>
      </c>
      <c r="Z94" s="22">
        <v>10.711399999999999</v>
      </c>
      <c r="AA94" s="22">
        <v>-1.4987199999999999E-2</v>
      </c>
      <c r="AB94" s="22">
        <v>84</v>
      </c>
      <c r="AC94" s="22">
        <v>0.27587899999999999</v>
      </c>
      <c r="AD94">
        <f t="shared" si="16"/>
        <v>18.502716049382713</v>
      </c>
      <c r="AE94">
        <f t="shared" si="17"/>
        <v>5.12710261728395</v>
      </c>
      <c r="AF94" s="9"/>
      <c r="AG94" s="22">
        <v>0.32302900000000001</v>
      </c>
      <c r="AH94" s="22">
        <v>12.325100000000001</v>
      </c>
      <c r="AI94" s="22">
        <v>-1.51337E-2</v>
      </c>
      <c r="AJ94" s="22">
        <v>84</v>
      </c>
      <c r="AK94" s="22">
        <v>0.32253999999999999</v>
      </c>
      <c r="AL94">
        <f t="shared" si="18"/>
        <v>18.683580246913579</v>
      </c>
      <c r="AM94">
        <f t="shared" si="19"/>
        <v>6.035338243580247</v>
      </c>
      <c r="AP94" s="9"/>
      <c r="AQ94" s="22">
        <v>0.27710000000000001</v>
      </c>
      <c r="AR94" s="22">
        <v>15.599600000000001</v>
      </c>
      <c r="AS94" s="22">
        <v>-1.4947500000000001E-2</v>
      </c>
      <c r="AT94" s="22">
        <v>84</v>
      </c>
      <c r="AU94" s="22">
        <v>0.27670299999999998</v>
      </c>
      <c r="AV94">
        <f t="shared" si="20"/>
        <v>18.453703703703706</v>
      </c>
      <c r="AW94">
        <f t="shared" si="21"/>
        <v>5.1135212962962973</v>
      </c>
      <c r="AX94" s="9"/>
      <c r="AY94" s="22">
        <v>0.32302900000000001</v>
      </c>
      <c r="AZ94" s="22">
        <v>17.2133</v>
      </c>
      <c r="BA94" s="22">
        <v>-1.4987199999999999E-2</v>
      </c>
      <c r="BB94" s="22">
        <v>84</v>
      </c>
      <c r="BC94" s="22">
        <v>0.32147199999999998</v>
      </c>
      <c r="BD94">
        <f t="shared" si="22"/>
        <v>18.502716049382713</v>
      </c>
      <c r="BE94">
        <f t="shared" si="23"/>
        <v>5.9769138627160485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0.27206399999999997</v>
      </c>
      <c r="H95" s="22">
        <v>5.8173500000000002</v>
      </c>
      <c r="I95" s="22">
        <v>-1.48468E-2</v>
      </c>
      <c r="J95" s="22">
        <v>85</v>
      </c>
      <c r="K95" s="22">
        <v>0.27133200000000002</v>
      </c>
      <c r="L95">
        <f t="shared" si="12"/>
        <v>18.329382716049381</v>
      </c>
      <c r="M95">
        <f t="shared" si="13"/>
        <v>4.9867651792592582</v>
      </c>
      <c r="N95" s="9"/>
      <c r="O95" s="22">
        <v>0.32806400000000002</v>
      </c>
      <c r="P95" s="22">
        <v>7.431</v>
      </c>
      <c r="Q95" s="22">
        <v>-1.4819300000000001E-2</v>
      </c>
      <c r="R95" s="22">
        <v>85</v>
      </c>
      <c r="S95" s="22">
        <v>0.32757599999999998</v>
      </c>
      <c r="T95">
        <f t="shared" si="14"/>
        <v>18.295432098765431</v>
      </c>
      <c r="U95">
        <f t="shared" si="15"/>
        <v>6.002072636049383</v>
      </c>
      <c r="X95" s="9"/>
      <c r="Y95" s="22">
        <v>0.27206399999999997</v>
      </c>
      <c r="Z95" s="22">
        <v>10.721500000000001</v>
      </c>
      <c r="AA95" s="22">
        <v>-1.4996300000000001E-2</v>
      </c>
      <c r="AB95" s="22">
        <v>85</v>
      </c>
      <c r="AC95" s="22">
        <v>0.271088</v>
      </c>
      <c r="AD95">
        <f t="shared" si="16"/>
        <v>18.51395061728395</v>
      </c>
      <c r="AE95">
        <f t="shared" si="17"/>
        <v>5.0369794607407403</v>
      </c>
      <c r="AF95" s="9"/>
      <c r="AG95" s="22">
        <v>0.32806400000000002</v>
      </c>
      <c r="AH95" s="22">
        <v>12.3352</v>
      </c>
      <c r="AI95" s="22">
        <v>-1.5124500000000001E-2</v>
      </c>
      <c r="AJ95" s="22">
        <v>85</v>
      </c>
      <c r="AK95" s="22">
        <v>0.32788099999999998</v>
      </c>
      <c r="AL95">
        <f t="shared" si="18"/>
        <v>18.672222222222221</v>
      </c>
      <c r="AM95">
        <f t="shared" si="19"/>
        <v>6.1256839111111114</v>
      </c>
      <c r="AP95" s="9"/>
      <c r="AQ95" s="22">
        <v>0.27206399999999997</v>
      </c>
      <c r="AR95" s="22">
        <v>15.6097</v>
      </c>
      <c r="AS95" s="22">
        <v>-1.4959699999999999E-2</v>
      </c>
      <c r="AT95" s="22">
        <v>85</v>
      </c>
      <c r="AU95" s="22">
        <v>0.271698</v>
      </c>
      <c r="AV95">
        <f t="shared" si="20"/>
        <v>18.468765432098763</v>
      </c>
      <c r="AW95">
        <f t="shared" si="21"/>
        <v>5.0246861985185172</v>
      </c>
      <c r="AX95" s="9"/>
      <c r="AY95" s="22">
        <v>0.32806400000000002</v>
      </c>
      <c r="AZ95" s="22">
        <v>17.223299999999998</v>
      </c>
      <c r="BA95" s="22">
        <v>-1.4978E-2</v>
      </c>
      <c r="BB95" s="22">
        <v>85</v>
      </c>
      <c r="BC95" s="22">
        <v>0.32803300000000002</v>
      </c>
      <c r="BD95">
        <f t="shared" si="22"/>
        <v>18.491358024691355</v>
      </c>
      <c r="BE95">
        <f t="shared" si="23"/>
        <v>6.0663488790123452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0.26702900000000002</v>
      </c>
      <c r="H96" s="22">
        <v>5.8274299999999997</v>
      </c>
      <c r="I96" s="22">
        <v>-1.4855999999999999E-2</v>
      </c>
      <c r="J96" s="22">
        <v>86</v>
      </c>
      <c r="K96" s="22">
        <v>0.26651000000000002</v>
      </c>
      <c r="L96">
        <f t="shared" si="12"/>
        <v>18.340740740740738</v>
      </c>
      <c r="M96">
        <f t="shared" si="13"/>
        <v>4.8975096592592591</v>
      </c>
      <c r="N96" s="9"/>
      <c r="O96" s="22">
        <v>0.33309899999999998</v>
      </c>
      <c r="P96" s="22">
        <v>7.4410699999999999</v>
      </c>
      <c r="Q96" s="22">
        <v>-1.4810200000000001E-2</v>
      </c>
      <c r="R96" s="22">
        <v>86</v>
      </c>
      <c r="S96" s="22">
        <v>0.33230599999999999</v>
      </c>
      <c r="T96">
        <f t="shared" si="14"/>
        <v>18.284197530864198</v>
      </c>
      <c r="U96">
        <f t="shared" si="15"/>
        <v>6.0904479133333327</v>
      </c>
      <c r="X96" s="9"/>
      <c r="Y96" s="22">
        <v>0.26702900000000002</v>
      </c>
      <c r="Z96" s="22">
        <v>10.7316</v>
      </c>
      <c r="AA96" s="22">
        <v>-1.50055E-2</v>
      </c>
      <c r="AB96" s="22">
        <v>86</v>
      </c>
      <c r="AC96" s="22">
        <v>0.26690700000000001</v>
      </c>
      <c r="AD96">
        <f t="shared" si="16"/>
        <v>18.525308641975307</v>
      </c>
      <c r="AE96">
        <f t="shared" si="17"/>
        <v>4.946794641358025</v>
      </c>
      <c r="AF96" s="9"/>
      <c r="AG96" s="22">
        <v>0.33309899999999998</v>
      </c>
      <c r="AH96" s="22">
        <v>12.3452</v>
      </c>
      <c r="AI96" s="22">
        <v>-1.5115399999999999E-2</v>
      </c>
      <c r="AJ96" s="22">
        <v>86</v>
      </c>
      <c r="AK96" s="22">
        <v>0.33245799999999998</v>
      </c>
      <c r="AL96">
        <f t="shared" si="18"/>
        <v>18.660987654320987</v>
      </c>
      <c r="AM96">
        <f t="shared" si="19"/>
        <v>6.2159563266666664</v>
      </c>
      <c r="AP96" s="9"/>
      <c r="AQ96" s="22">
        <v>0.26702900000000002</v>
      </c>
      <c r="AR96" s="22">
        <v>15.6198</v>
      </c>
      <c r="AS96" s="22">
        <v>-1.49689E-2</v>
      </c>
      <c r="AT96" s="22">
        <v>86</v>
      </c>
      <c r="AU96" s="22">
        <v>0.266266</v>
      </c>
      <c r="AV96">
        <f t="shared" si="20"/>
        <v>18.480123456790125</v>
      </c>
      <c r="AW96">
        <f t="shared" si="21"/>
        <v>4.9347288865432102</v>
      </c>
      <c r="AX96" s="9"/>
      <c r="AY96" s="22">
        <v>0.33309899999999998</v>
      </c>
      <c r="AZ96" s="22">
        <v>17.2334</v>
      </c>
      <c r="BA96" s="22">
        <v>-1.49689E-2</v>
      </c>
      <c r="BB96" s="22">
        <v>86</v>
      </c>
      <c r="BC96" s="22">
        <v>0.332764</v>
      </c>
      <c r="BD96">
        <f t="shared" si="22"/>
        <v>18.480123456790125</v>
      </c>
      <c r="BE96">
        <f t="shared" si="23"/>
        <v>6.1557106433333333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0.26199299999999998</v>
      </c>
      <c r="H97" s="22">
        <v>5.8375000000000004</v>
      </c>
      <c r="I97" s="22">
        <v>-1.48682E-2</v>
      </c>
      <c r="J97" s="22">
        <v>87</v>
      </c>
      <c r="K97" s="22">
        <v>0.26153599999999999</v>
      </c>
      <c r="L97">
        <f t="shared" si="12"/>
        <v>18.355802469135799</v>
      </c>
      <c r="M97">
        <f t="shared" si="13"/>
        <v>4.8090917562962954</v>
      </c>
      <c r="N97" s="9"/>
      <c r="O97" s="22">
        <v>0.33813500000000002</v>
      </c>
      <c r="P97" s="22">
        <v>7.4511399999999997</v>
      </c>
      <c r="Q97" s="22">
        <v>-1.4801E-2</v>
      </c>
      <c r="R97" s="22">
        <v>87</v>
      </c>
      <c r="S97" s="22">
        <v>0.33761600000000003</v>
      </c>
      <c r="T97">
        <f t="shared" si="14"/>
        <v>18.27283950617284</v>
      </c>
      <c r="U97">
        <f t="shared" si="15"/>
        <v>6.1786865864197535</v>
      </c>
      <c r="X97" s="9"/>
      <c r="Y97" s="22">
        <v>0.26199299999999998</v>
      </c>
      <c r="Z97" s="22">
        <v>10.7417</v>
      </c>
      <c r="AA97" s="22">
        <v>-1.50177E-2</v>
      </c>
      <c r="AB97" s="22">
        <v>87</v>
      </c>
      <c r="AC97" s="22">
        <v>0.26113900000000001</v>
      </c>
      <c r="AD97">
        <f t="shared" si="16"/>
        <v>18.540370370370372</v>
      </c>
      <c r="AE97">
        <f t="shared" si="17"/>
        <v>4.8574472544444447</v>
      </c>
      <c r="AF97" s="9"/>
      <c r="AG97" s="22">
        <v>0.33813500000000002</v>
      </c>
      <c r="AH97" s="22">
        <v>12.3553</v>
      </c>
      <c r="AI97" s="22">
        <v>-1.51062E-2</v>
      </c>
      <c r="AJ97" s="22">
        <v>87</v>
      </c>
      <c r="AK97" s="22">
        <v>0.33752399999999999</v>
      </c>
      <c r="AL97">
        <f t="shared" si="18"/>
        <v>18.649629629629626</v>
      </c>
      <c r="AM97">
        <f t="shared" si="19"/>
        <v>6.3060925148148135</v>
      </c>
      <c r="AP97" s="9"/>
      <c r="AQ97" s="22">
        <v>0.26199299999999998</v>
      </c>
      <c r="AR97" s="22">
        <v>15.629799999999999</v>
      </c>
      <c r="AS97" s="22">
        <v>-1.4978E-2</v>
      </c>
      <c r="AT97" s="22">
        <v>87</v>
      </c>
      <c r="AU97" s="22">
        <v>0.26144400000000001</v>
      </c>
      <c r="AV97">
        <f t="shared" si="20"/>
        <v>18.491358024691355</v>
      </c>
      <c r="AW97">
        <f t="shared" si="21"/>
        <v>4.8446063629629617</v>
      </c>
      <c r="AX97" s="9"/>
      <c r="AY97" s="22">
        <v>0.33813500000000002</v>
      </c>
      <c r="AZ97" s="22">
        <v>17.243500000000001</v>
      </c>
      <c r="BA97" s="22">
        <v>-1.4947500000000001E-2</v>
      </c>
      <c r="BB97" s="22">
        <v>87</v>
      </c>
      <c r="BC97" s="22">
        <v>0.33724999999999999</v>
      </c>
      <c r="BD97">
        <f t="shared" si="22"/>
        <v>18.453703703703706</v>
      </c>
      <c r="BE97">
        <f t="shared" si="23"/>
        <v>6.2398431018518528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0.25695800000000002</v>
      </c>
      <c r="H98" s="22">
        <v>5.8475700000000002</v>
      </c>
      <c r="I98" s="22">
        <v>-1.48804E-2</v>
      </c>
      <c r="J98" s="22">
        <v>88</v>
      </c>
      <c r="K98" s="22">
        <v>0.25628699999999999</v>
      </c>
      <c r="L98">
        <f t="shared" si="12"/>
        <v>18.370864197530864</v>
      </c>
      <c r="M98">
        <f t="shared" si="13"/>
        <v>4.7205405224691361</v>
      </c>
      <c r="N98" s="9"/>
      <c r="O98" s="22">
        <v>0.34316999999999998</v>
      </c>
      <c r="P98" s="22">
        <v>7.4612100000000003</v>
      </c>
      <c r="Q98" s="22">
        <v>-1.47919E-2</v>
      </c>
      <c r="R98" s="22">
        <v>88</v>
      </c>
      <c r="S98" s="22">
        <v>0.34216299999999999</v>
      </c>
      <c r="T98">
        <f t="shared" si="14"/>
        <v>18.261604938271603</v>
      </c>
      <c r="U98">
        <f t="shared" si="15"/>
        <v>6.2668349666666652</v>
      </c>
      <c r="X98" s="9"/>
      <c r="Y98" s="22">
        <v>0.25695800000000002</v>
      </c>
      <c r="Z98" s="22">
        <v>10.7517</v>
      </c>
      <c r="AA98" s="22">
        <v>-1.5029900000000001E-2</v>
      </c>
      <c r="AB98" s="22">
        <v>88</v>
      </c>
      <c r="AC98" s="22">
        <v>0.25662200000000002</v>
      </c>
      <c r="AD98">
        <f t="shared" si="16"/>
        <v>18.555432098765429</v>
      </c>
      <c r="AE98">
        <f t="shared" si="17"/>
        <v>4.7679667212345676</v>
      </c>
      <c r="AF98" s="9"/>
      <c r="AG98" s="22">
        <v>0.34316999999999998</v>
      </c>
      <c r="AH98" s="22">
        <v>12.365399999999999</v>
      </c>
      <c r="AI98" s="22">
        <v>-1.5096999999999999E-2</v>
      </c>
      <c r="AJ98" s="22">
        <v>88</v>
      </c>
      <c r="AK98" s="22">
        <v>0.34265099999999998</v>
      </c>
      <c r="AL98">
        <f t="shared" si="18"/>
        <v>18.638271604938272</v>
      </c>
      <c r="AM98">
        <f t="shared" si="19"/>
        <v>6.3960956666666657</v>
      </c>
      <c r="AP98" s="9"/>
      <c r="AQ98" s="22">
        <v>0.25695800000000002</v>
      </c>
      <c r="AR98" s="22">
        <v>15.639900000000001</v>
      </c>
      <c r="AS98" s="22">
        <v>-1.49902E-2</v>
      </c>
      <c r="AT98" s="22">
        <v>88</v>
      </c>
      <c r="AU98" s="22">
        <v>0.25598100000000001</v>
      </c>
      <c r="AV98">
        <f t="shared" si="20"/>
        <v>18.506419753086419</v>
      </c>
      <c r="AW98">
        <f t="shared" si="21"/>
        <v>4.7553726069135802</v>
      </c>
      <c r="AX98" s="9"/>
      <c r="AY98" s="22">
        <v>0.34316999999999998</v>
      </c>
      <c r="AZ98" s="22">
        <v>17.253499999999999</v>
      </c>
      <c r="BA98" s="22">
        <v>-1.4947500000000001E-2</v>
      </c>
      <c r="BB98" s="22">
        <v>88</v>
      </c>
      <c r="BC98" s="22">
        <v>0.34188800000000003</v>
      </c>
      <c r="BD98">
        <f t="shared" si="22"/>
        <v>18.453703703703706</v>
      </c>
      <c r="BE98">
        <f t="shared" si="23"/>
        <v>6.3327575000000005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0.25192300000000001</v>
      </c>
      <c r="H99" s="22">
        <v>5.85764</v>
      </c>
      <c r="I99" s="22">
        <v>-1.48895E-2</v>
      </c>
      <c r="J99" s="22">
        <v>89</v>
      </c>
      <c r="K99" s="22">
        <v>0.25134299999999998</v>
      </c>
      <c r="L99">
        <f t="shared" si="12"/>
        <v>18.382098765432101</v>
      </c>
      <c r="M99">
        <f t="shared" si="13"/>
        <v>4.6308734672839513</v>
      </c>
      <c r="N99" s="9"/>
      <c r="O99" s="22">
        <v>0.34820600000000002</v>
      </c>
      <c r="P99" s="22">
        <v>7.4712800000000001</v>
      </c>
      <c r="Q99" s="22">
        <v>-1.4776600000000001E-2</v>
      </c>
      <c r="R99" s="22">
        <v>89</v>
      </c>
      <c r="S99" s="22">
        <v>0.34719800000000001</v>
      </c>
      <c r="T99">
        <f t="shared" si="14"/>
        <v>18.242716049382715</v>
      </c>
      <c r="U99">
        <f t="shared" si="15"/>
        <v>6.3522231846913577</v>
      </c>
      <c r="X99" s="9"/>
      <c r="Y99" s="22">
        <v>0.25192300000000001</v>
      </c>
      <c r="Z99" s="22">
        <v>10.761799999999999</v>
      </c>
      <c r="AA99" s="22">
        <v>-1.50391E-2</v>
      </c>
      <c r="AB99" s="22">
        <v>89</v>
      </c>
      <c r="AC99" s="22">
        <v>0.25119000000000002</v>
      </c>
      <c r="AD99">
        <f t="shared" si="16"/>
        <v>18.566790123456791</v>
      </c>
      <c r="AE99">
        <f t="shared" si="17"/>
        <v>4.6774014682716052</v>
      </c>
      <c r="AF99" s="9"/>
      <c r="AG99" s="22">
        <v>0.34820600000000002</v>
      </c>
      <c r="AH99" s="22">
        <v>12.375400000000001</v>
      </c>
      <c r="AI99" s="22">
        <v>-1.5084800000000001E-2</v>
      </c>
      <c r="AJ99" s="22">
        <v>89</v>
      </c>
      <c r="AK99" s="22">
        <v>0.34753400000000001</v>
      </c>
      <c r="AL99">
        <f t="shared" si="18"/>
        <v>18.623209876543207</v>
      </c>
      <c r="AM99">
        <f t="shared" si="19"/>
        <v>6.4847134182716042</v>
      </c>
      <c r="AP99" s="9"/>
      <c r="AQ99" s="22">
        <v>0.25192300000000001</v>
      </c>
      <c r="AR99" s="22">
        <v>15.65</v>
      </c>
      <c r="AS99" s="22">
        <v>-1.5002400000000001E-2</v>
      </c>
      <c r="AT99" s="22">
        <v>89</v>
      </c>
      <c r="AU99" s="22">
        <v>0.25128200000000001</v>
      </c>
      <c r="AV99">
        <f t="shared" si="20"/>
        <v>18.521481481481484</v>
      </c>
      <c r="AW99">
        <f t="shared" si="21"/>
        <v>4.6659871792592602</v>
      </c>
      <c r="AX99" s="9"/>
      <c r="AY99" s="22">
        <v>0.34820600000000002</v>
      </c>
      <c r="AZ99" s="22">
        <v>17.2636</v>
      </c>
      <c r="BA99" s="22">
        <v>-1.49353E-2</v>
      </c>
      <c r="BB99" s="22">
        <v>89</v>
      </c>
      <c r="BC99" s="22">
        <v>0.346466</v>
      </c>
      <c r="BD99">
        <f t="shared" si="22"/>
        <v>18.438641975308641</v>
      </c>
      <c r="BE99">
        <f t="shared" si="23"/>
        <v>6.4204457676543214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0.246887</v>
      </c>
      <c r="H100" s="22">
        <v>5.8677099999999998</v>
      </c>
      <c r="I100" s="22">
        <v>-1.4898700000000001E-2</v>
      </c>
      <c r="J100" s="22">
        <v>90</v>
      </c>
      <c r="K100" s="22">
        <v>0.246338</v>
      </c>
      <c r="L100">
        <f t="shared" si="12"/>
        <v>18.393456790123455</v>
      </c>
      <c r="M100">
        <f t="shared" si="13"/>
        <v>4.5411053665432091</v>
      </c>
      <c r="N100" s="9"/>
      <c r="O100" s="22">
        <v>0.35324100000000003</v>
      </c>
      <c r="P100" s="22">
        <v>7.4813599999999996</v>
      </c>
      <c r="Q100" s="22">
        <v>-1.47644E-2</v>
      </c>
      <c r="R100" s="22">
        <v>90</v>
      </c>
      <c r="S100" s="22">
        <v>0.35324100000000003</v>
      </c>
      <c r="T100">
        <f t="shared" si="14"/>
        <v>18.227654320987654</v>
      </c>
      <c r="U100">
        <f t="shared" si="15"/>
        <v>6.4387548400000005</v>
      </c>
      <c r="X100" s="9"/>
      <c r="Y100" s="22">
        <v>0.246887</v>
      </c>
      <c r="Z100" s="22">
        <v>10.7719</v>
      </c>
      <c r="AA100" s="22">
        <v>-1.50452E-2</v>
      </c>
      <c r="AB100" s="22">
        <v>90</v>
      </c>
      <c r="AC100" s="22">
        <v>0.245972</v>
      </c>
      <c r="AD100">
        <f t="shared" si="16"/>
        <v>18.574320987654321</v>
      </c>
      <c r="AE100">
        <f t="shared" si="17"/>
        <v>4.5857583856790125</v>
      </c>
      <c r="AF100" s="9"/>
      <c r="AG100" s="22">
        <v>0.35324100000000003</v>
      </c>
      <c r="AH100" s="22">
        <v>12.3855</v>
      </c>
      <c r="AI100" s="22">
        <v>-1.50726E-2</v>
      </c>
      <c r="AJ100" s="22">
        <v>90</v>
      </c>
      <c r="AK100" s="22">
        <v>0.35211199999999998</v>
      </c>
      <c r="AL100">
        <f t="shared" si="18"/>
        <v>18.60814814814815</v>
      </c>
      <c r="AM100">
        <f t="shared" si="19"/>
        <v>6.5731608600000007</v>
      </c>
      <c r="AP100" s="9"/>
      <c r="AQ100" s="22">
        <v>0.246887</v>
      </c>
      <c r="AR100" s="22">
        <v>15.66</v>
      </c>
      <c r="AS100" s="22">
        <v>-1.5008499999999999E-2</v>
      </c>
      <c r="AT100" s="22">
        <v>90</v>
      </c>
      <c r="AU100" s="22">
        <v>0.246033</v>
      </c>
      <c r="AV100">
        <f t="shared" si="20"/>
        <v>18.529012345679011</v>
      </c>
      <c r="AW100">
        <f t="shared" si="21"/>
        <v>4.5745722709876535</v>
      </c>
      <c r="AX100" s="9"/>
      <c r="AY100" s="22">
        <v>0.35324100000000003</v>
      </c>
      <c r="AZ100" s="22">
        <v>17.273700000000002</v>
      </c>
      <c r="BA100" s="22">
        <v>-1.4926099999999999E-2</v>
      </c>
      <c r="BB100" s="22">
        <v>90</v>
      </c>
      <c r="BC100" s="22">
        <v>0.35345500000000002</v>
      </c>
      <c r="BD100">
        <f t="shared" si="22"/>
        <v>18.427283950617284</v>
      </c>
      <c r="BE100">
        <f t="shared" si="23"/>
        <v>6.5092722100000007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0.24185200000000001</v>
      </c>
      <c r="H101" s="22">
        <v>5.8777799999999996</v>
      </c>
      <c r="I101" s="22">
        <v>-1.4907800000000001E-2</v>
      </c>
      <c r="J101" s="22">
        <v>91</v>
      </c>
      <c r="K101" s="22">
        <v>0.241425</v>
      </c>
      <c r="L101">
        <f t="shared" si="12"/>
        <v>18.404691358024692</v>
      </c>
      <c r="M101">
        <f t="shared" si="13"/>
        <v>4.451211414320988</v>
      </c>
      <c r="N101" s="9"/>
      <c r="O101" s="22">
        <v>0.35827599999999998</v>
      </c>
      <c r="P101" s="22">
        <v>7.4914300000000003</v>
      </c>
      <c r="Q101" s="22">
        <v>-1.47583E-2</v>
      </c>
      <c r="R101" s="22">
        <v>91</v>
      </c>
      <c r="S101" s="22">
        <v>0.35711700000000002</v>
      </c>
      <c r="T101">
        <f t="shared" si="14"/>
        <v>18.22012345679012</v>
      </c>
      <c r="U101">
        <f t="shared" si="15"/>
        <v>6.5278329516049363</v>
      </c>
      <c r="X101" s="9"/>
      <c r="Y101" s="22">
        <v>0.24185200000000001</v>
      </c>
      <c r="Z101" s="22">
        <v>10.7819</v>
      </c>
      <c r="AA101" s="22">
        <v>-1.50543E-2</v>
      </c>
      <c r="AB101" s="22">
        <v>91</v>
      </c>
      <c r="AC101" s="22">
        <v>0.24118000000000001</v>
      </c>
      <c r="AD101">
        <f t="shared" si="16"/>
        <v>18.585555555555555</v>
      </c>
      <c r="AE101">
        <f t="shared" si="17"/>
        <v>4.4949537822222219</v>
      </c>
      <c r="AF101" s="9"/>
      <c r="AG101" s="22">
        <v>0.35827599999999998</v>
      </c>
      <c r="AH101" s="22">
        <v>12.3956</v>
      </c>
      <c r="AI101" s="22">
        <v>-1.50665E-2</v>
      </c>
      <c r="AJ101" s="22">
        <v>91</v>
      </c>
      <c r="AK101" s="22">
        <v>0.35772700000000002</v>
      </c>
      <c r="AL101">
        <f t="shared" si="18"/>
        <v>18.600617283950616</v>
      </c>
      <c r="AM101">
        <f t="shared" si="19"/>
        <v>6.66415475802469</v>
      </c>
      <c r="AP101" s="9"/>
      <c r="AQ101" s="22">
        <v>0.24185200000000001</v>
      </c>
      <c r="AR101" s="22">
        <v>15.6701</v>
      </c>
      <c r="AS101" s="22">
        <v>-1.5020800000000001E-2</v>
      </c>
      <c r="AT101" s="22">
        <v>91</v>
      </c>
      <c r="AU101" s="22">
        <v>0.24130199999999999</v>
      </c>
      <c r="AV101">
        <f t="shared" si="20"/>
        <v>18.544197530864199</v>
      </c>
      <c r="AW101">
        <f t="shared" si="21"/>
        <v>4.4849512612345688</v>
      </c>
      <c r="AX101" s="9"/>
      <c r="AY101" s="22">
        <v>0.35827599999999998</v>
      </c>
      <c r="AZ101" s="22">
        <v>17.283799999999999</v>
      </c>
      <c r="BA101" s="22">
        <v>-1.4917E-2</v>
      </c>
      <c r="BB101" s="22">
        <v>91</v>
      </c>
      <c r="BC101" s="22">
        <v>0.357178</v>
      </c>
      <c r="BD101">
        <f t="shared" si="22"/>
        <v>18.416049382716047</v>
      </c>
      <c r="BE101">
        <f t="shared" si="23"/>
        <v>6.5980285086419741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0.236816</v>
      </c>
      <c r="H102" s="22">
        <v>5.8878500000000003</v>
      </c>
      <c r="I102" s="22">
        <v>-1.4917E-2</v>
      </c>
      <c r="J102" s="22">
        <v>92</v>
      </c>
      <c r="K102" s="22">
        <v>0.23638899999999999</v>
      </c>
      <c r="L102">
        <f t="shared" si="12"/>
        <v>18.416049382716047</v>
      </c>
      <c r="M102">
        <f t="shared" si="13"/>
        <v>4.3612151506172836</v>
      </c>
      <c r="N102" s="9"/>
      <c r="O102" s="22">
        <v>0.36331200000000002</v>
      </c>
      <c r="P102" s="22">
        <v>7.5015000000000001</v>
      </c>
      <c r="Q102" s="22">
        <v>-1.4749099999999999E-2</v>
      </c>
      <c r="R102" s="22">
        <v>92</v>
      </c>
      <c r="S102" s="22">
        <v>0.36328100000000002</v>
      </c>
      <c r="T102">
        <f t="shared" si="14"/>
        <v>18.208765432098765</v>
      </c>
      <c r="U102">
        <f t="shared" si="15"/>
        <v>6.6154629866666674</v>
      </c>
      <c r="X102" s="9"/>
      <c r="Y102" s="22">
        <v>0.236816</v>
      </c>
      <c r="Z102" s="22">
        <v>10.792</v>
      </c>
      <c r="AA102" s="22">
        <v>-1.5063500000000001E-2</v>
      </c>
      <c r="AB102" s="22">
        <v>92</v>
      </c>
      <c r="AC102" s="22">
        <v>0.23550399999999999</v>
      </c>
      <c r="AD102">
        <f t="shared" si="16"/>
        <v>18.596913580246913</v>
      </c>
      <c r="AE102">
        <f t="shared" si="17"/>
        <v>4.4040466864197532</v>
      </c>
      <c r="AF102" s="9"/>
      <c r="AG102" s="22">
        <v>0.36331200000000002</v>
      </c>
      <c r="AH102" s="22">
        <v>12.4057</v>
      </c>
      <c r="AI102" s="22">
        <v>-1.50574E-2</v>
      </c>
      <c r="AJ102" s="22">
        <v>92</v>
      </c>
      <c r="AK102" s="22">
        <v>0.36267100000000002</v>
      </c>
      <c r="AL102">
        <f t="shared" si="18"/>
        <v>18.589382716049382</v>
      </c>
      <c r="AM102">
        <f t="shared" si="19"/>
        <v>6.7537458133333335</v>
      </c>
      <c r="AP102" s="9"/>
      <c r="AQ102" s="22">
        <v>0.236816</v>
      </c>
      <c r="AR102" s="22">
        <v>15.680199999999999</v>
      </c>
      <c r="AS102" s="22">
        <v>-1.5032999999999999E-2</v>
      </c>
      <c r="AT102" s="22">
        <v>92</v>
      </c>
      <c r="AU102" s="22">
        <v>0.23690800000000001</v>
      </c>
      <c r="AV102">
        <f t="shared" si="20"/>
        <v>18.559259259259257</v>
      </c>
      <c r="AW102">
        <f t="shared" si="21"/>
        <v>4.39512954074074</v>
      </c>
      <c r="AX102" s="9"/>
      <c r="AY102" s="22">
        <v>0.36331200000000002</v>
      </c>
      <c r="AZ102" s="22">
        <v>17.293800000000001</v>
      </c>
      <c r="BA102" s="22">
        <v>-1.49017E-2</v>
      </c>
      <c r="BB102" s="22">
        <v>92</v>
      </c>
      <c r="BC102" s="22">
        <v>0.36233500000000002</v>
      </c>
      <c r="BD102">
        <f t="shared" si="22"/>
        <v>18.397160493827158</v>
      </c>
      <c r="BE102">
        <f t="shared" si="23"/>
        <v>6.6839091733333333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0.23178099999999999</v>
      </c>
      <c r="H103" s="22">
        <v>5.8979200000000001</v>
      </c>
      <c r="I103" s="22">
        <v>-1.4926099999999999E-2</v>
      </c>
      <c r="J103" s="22">
        <v>93</v>
      </c>
      <c r="K103" s="22">
        <v>0.23114000000000001</v>
      </c>
      <c r="L103">
        <f t="shared" si="12"/>
        <v>18.427283950617284</v>
      </c>
      <c r="M103">
        <f t="shared" si="13"/>
        <v>4.2710943013580245</v>
      </c>
      <c r="N103" s="9"/>
      <c r="O103" s="22">
        <v>0.36834699999999998</v>
      </c>
      <c r="P103" s="22">
        <v>7.5115699999999999</v>
      </c>
      <c r="Q103" s="22">
        <v>-1.4733899999999999E-2</v>
      </c>
      <c r="R103" s="22">
        <v>93</v>
      </c>
      <c r="S103" s="22">
        <v>0.36801099999999998</v>
      </c>
      <c r="T103">
        <f t="shared" si="14"/>
        <v>18.189999999999998</v>
      </c>
      <c r="U103">
        <f t="shared" si="15"/>
        <v>6.7002319299999984</v>
      </c>
      <c r="X103" s="9"/>
      <c r="Y103" s="22">
        <v>0.23178099999999999</v>
      </c>
      <c r="Z103" s="22">
        <v>10.802099999999999</v>
      </c>
      <c r="AA103" s="22">
        <v>-1.5075699999999999E-2</v>
      </c>
      <c r="AB103" s="22">
        <v>93</v>
      </c>
      <c r="AC103" s="22">
        <v>0.230743</v>
      </c>
      <c r="AD103">
        <f t="shared" si="16"/>
        <v>18.611975308641973</v>
      </c>
      <c r="AE103">
        <f t="shared" si="17"/>
        <v>4.3139022490123446</v>
      </c>
      <c r="AF103" s="9"/>
      <c r="AG103" s="22">
        <v>0.36834699999999998</v>
      </c>
      <c r="AH103" s="22">
        <v>12.415699999999999</v>
      </c>
      <c r="AI103" s="22">
        <v>-1.5048199999999999E-2</v>
      </c>
      <c r="AJ103" s="22">
        <v>93</v>
      </c>
      <c r="AK103" s="22">
        <v>0.36779800000000001</v>
      </c>
      <c r="AL103">
        <f t="shared" si="18"/>
        <v>18.578024691358021</v>
      </c>
      <c r="AM103">
        <f t="shared" si="19"/>
        <v>6.8431596609876522</v>
      </c>
      <c r="AP103" s="9"/>
      <c r="AQ103" s="22">
        <v>0.23178099999999999</v>
      </c>
      <c r="AR103" s="22">
        <v>15.690300000000001</v>
      </c>
      <c r="AS103" s="22">
        <v>-1.5042099999999999E-2</v>
      </c>
      <c r="AT103" s="22">
        <v>93</v>
      </c>
      <c r="AU103" s="22">
        <v>0.230957</v>
      </c>
      <c r="AV103">
        <f t="shared" si="20"/>
        <v>18.570493827160494</v>
      </c>
      <c r="AW103">
        <f t="shared" si="21"/>
        <v>4.3042876297530865</v>
      </c>
      <c r="AX103" s="9"/>
      <c r="AY103" s="22">
        <v>0.36834699999999998</v>
      </c>
      <c r="AZ103" s="22">
        <v>17.303899999999999</v>
      </c>
      <c r="BA103" s="22">
        <v>-1.48956E-2</v>
      </c>
      <c r="BB103" s="22">
        <v>93</v>
      </c>
      <c r="BC103" s="22">
        <v>0.36709599999999998</v>
      </c>
      <c r="BD103">
        <f t="shared" si="22"/>
        <v>18.389629629629628</v>
      </c>
      <c r="BE103">
        <f t="shared" si="23"/>
        <v>6.7737649051851845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0.226746</v>
      </c>
      <c r="H104" s="22">
        <v>5.9079899999999999</v>
      </c>
      <c r="I104" s="22">
        <v>-1.4938399999999999E-2</v>
      </c>
      <c r="J104" s="22">
        <v>94</v>
      </c>
      <c r="K104" s="22">
        <v>0.22616600000000001</v>
      </c>
      <c r="L104">
        <f t="shared" si="12"/>
        <v>18.442469135802465</v>
      </c>
      <c r="M104">
        <f t="shared" si="13"/>
        <v>4.1817561066666658</v>
      </c>
      <c r="N104" s="9"/>
      <c r="O104" s="22">
        <v>0.37338300000000002</v>
      </c>
      <c r="P104" s="22">
        <v>7.5216399999999997</v>
      </c>
      <c r="Q104" s="22">
        <v>-1.47247E-2</v>
      </c>
      <c r="R104" s="22">
        <v>94</v>
      </c>
      <c r="S104" s="22">
        <v>0.37292500000000001</v>
      </c>
      <c r="T104">
        <f t="shared" si="14"/>
        <v>18.178641975308643</v>
      </c>
      <c r="U104">
        <f t="shared" si="15"/>
        <v>6.7875958766666677</v>
      </c>
      <c r="X104" s="9"/>
      <c r="Y104" s="22">
        <v>0.226746</v>
      </c>
      <c r="Z104" s="22">
        <v>10.812200000000001</v>
      </c>
      <c r="AA104" s="22">
        <v>-1.5084800000000001E-2</v>
      </c>
      <c r="AB104" s="22">
        <v>94</v>
      </c>
      <c r="AC104" s="22">
        <v>0.22592200000000001</v>
      </c>
      <c r="AD104">
        <f t="shared" si="16"/>
        <v>18.623209876543207</v>
      </c>
      <c r="AE104">
        <f t="shared" si="17"/>
        <v>4.2227383466666657</v>
      </c>
      <c r="AF104" s="9"/>
      <c r="AG104" s="22">
        <v>0.37338300000000002</v>
      </c>
      <c r="AH104" s="22">
        <v>12.425800000000001</v>
      </c>
      <c r="AI104" s="22">
        <v>-1.5036000000000001E-2</v>
      </c>
      <c r="AJ104" s="22">
        <v>94</v>
      </c>
      <c r="AK104" s="22">
        <v>0.37295499999999998</v>
      </c>
      <c r="AL104">
        <f t="shared" si="18"/>
        <v>18.562962962962963</v>
      </c>
      <c r="AM104">
        <f t="shared" si="19"/>
        <v>6.9310948000000003</v>
      </c>
      <c r="AP104" s="9"/>
      <c r="AQ104" s="22">
        <v>0.226746</v>
      </c>
      <c r="AR104" s="22">
        <v>15.7003</v>
      </c>
      <c r="AS104" s="22">
        <v>-1.50513E-2</v>
      </c>
      <c r="AT104" s="22">
        <v>94</v>
      </c>
      <c r="AU104" s="22">
        <v>0.22567699999999999</v>
      </c>
      <c r="AV104">
        <f t="shared" si="20"/>
        <v>18.581851851851848</v>
      </c>
      <c r="AW104">
        <f t="shared" si="21"/>
        <v>4.2133605799999989</v>
      </c>
      <c r="AX104" s="9"/>
      <c r="AY104" s="22">
        <v>0.37338300000000002</v>
      </c>
      <c r="AZ104" s="22">
        <v>17.314</v>
      </c>
      <c r="BA104" s="22">
        <v>-1.48865E-2</v>
      </c>
      <c r="BB104" s="22">
        <v>94</v>
      </c>
      <c r="BC104" s="22">
        <v>0.37066700000000002</v>
      </c>
      <c r="BD104">
        <f t="shared" si="22"/>
        <v>18.378395061728394</v>
      </c>
      <c r="BE104">
        <f t="shared" si="23"/>
        <v>6.8621802833333332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0.22170999999999999</v>
      </c>
      <c r="H105" s="22">
        <v>5.9180599999999997</v>
      </c>
      <c r="I105" s="22">
        <v>-1.4947500000000001E-2</v>
      </c>
      <c r="J105" s="22">
        <v>95</v>
      </c>
      <c r="K105" s="22">
        <v>0.22103900000000001</v>
      </c>
      <c r="L105">
        <f t="shared" si="12"/>
        <v>18.453703703703706</v>
      </c>
      <c r="M105">
        <f t="shared" si="13"/>
        <v>4.0913706481481489</v>
      </c>
      <c r="N105" s="9"/>
      <c r="O105" s="22">
        <v>0.37841799999999998</v>
      </c>
      <c r="P105" s="22">
        <v>7.5317100000000003</v>
      </c>
      <c r="Q105" s="22">
        <v>-1.4715600000000001E-2</v>
      </c>
      <c r="R105" s="22">
        <v>95</v>
      </c>
      <c r="S105" s="22">
        <v>0.37759399999999999</v>
      </c>
      <c r="T105">
        <f t="shared" si="14"/>
        <v>18.167407407407406</v>
      </c>
      <c r="U105">
        <f t="shared" si="15"/>
        <v>6.8748739762962954</v>
      </c>
      <c r="X105" s="9"/>
      <c r="Y105" s="22">
        <v>0.22170999999999999</v>
      </c>
      <c r="Z105" s="22">
        <v>10.8222</v>
      </c>
      <c r="AA105" s="22">
        <v>-1.5096999999999999E-2</v>
      </c>
      <c r="AB105" s="22">
        <v>95</v>
      </c>
      <c r="AC105" s="22">
        <v>0.22082499999999999</v>
      </c>
      <c r="AD105">
        <f t="shared" si="16"/>
        <v>18.638271604938272</v>
      </c>
      <c r="AE105">
        <f t="shared" si="17"/>
        <v>4.132291197530864</v>
      </c>
      <c r="AF105" s="9"/>
      <c r="AG105" s="22">
        <v>0.37841799999999998</v>
      </c>
      <c r="AH105" s="22">
        <v>12.4359</v>
      </c>
      <c r="AI105" s="22">
        <v>-1.5026899999999999E-2</v>
      </c>
      <c r="AJ105" s="22">
        <v>95</v>
      </c>
      <c r="AK105" s="22">
        <v>0.378052</v>
      </c>
      <c r="AL105">
        <f t="shared" si="18"/>
        <v>18.551728395061726</v>
      </c>
      <c r="AM105">
        <f t="shared" si="19"/>
        <v>7.0203079558024681</v>
      </c>
      <c r="AP105" s="9"/>
      <c r="AQ105" s="22">
        <v>0.22170999999999999</v>
      </c>
      <c r="AR105" s="22">
        <v>15.7104</v>
      </c>
      <c r="AS105" s="22">
        <v>-1.50604E-2</v>
      </c>
      <c r="AT105" s="22">
        <v>95</v>
      </c>
      <c r="AU105" s="22">
        <v>0.22106899999999999</v>
      </c>
      <c r="AV105">
        <f t="shared" si="20"/>
        <v>18.593086419753085</v>
      </c>
      <c r="AW105">
        <f t="shared" si="21"/>
        <v>4.1222731901234564</v>
      </c>
      <c r="AX105" s="9"/>
      <c r="AY105" s="22">
        <v>0.37841799999999998</v>
      </c>
      <c r="AZ105" s="22">
        <v>17.324000000000002</v>
      </c>
      <c r="BA105" s="22">
        <v>-1.48773E-2</v>
      </c>
      <c r="BB105" s="22">
        <v>95</v>
      </c>
      <c r="BC105" s="22">
        <v>0.37808199999999997</v>
      </c>
      <c r="BD105">
        <f t="shared" si="22"/>
        <v>18.367037037037036</v>
      </c>
      <c r="BE105">
        <f t="shared" si="23"/>
        <v>6.9504174214814807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0.21667500000000001</v>
      </c>
      <c r="H106" s="22">
        <v>5.92814</v>
      </c>
      <c r="I106" s="22">
        <v>-1.4953599999999999E-2</v>
      </c>
      <c r="J106" s="22">
        <v>96</v>
      </c>
      <c r="K106" s="22">
        <v>0.21612500000000001</v>
      </c>
      <c r="L106">
        <f t="shared" si="12"/>
        <v>18.461234567901233</v>
      </c>
      <c r="M106">
        <f t="shared" si="13"/>
        <v>4.0000879999999999</v>
      </c>
      <c r="N106" s="9"/>
      <c r="O106" s="22">
        <v>0.38345299999999999</v>
      </c>
      <c r="P106" s="22">
        <v>7.5417800000000002</v>
      </c>
      <c r="Q106" s="22">
        <v>-1.47095E-2</v>
      </c>
      <c r="R106" s="22">
        <v>96</v>
      </c>
      <c r="S106" s="22">
        <v>0.38275100000000001</v>
      </c>
      <c r="T106">
        <f t="shared" si="14"/>
        <v>18.159876543209876</v>
      </c>
      <c r="U106">
        <f t="shared" si="15"/>
        <v>6.9634591401234562</v>
      </c>
      <c r="X106" s="9"/>
      <c r="Y106" s="22">
        <v>0.21667500000000001</v>
      </c>
      <c r="Z106" s="22">
        <v>10.8323</v>
      </c>
      <c r="AA106" s="22">
        <v>-1.5109300000000001E-2</v>
      </c>
      <c r="AB106" s="22">
        <v>96</v>
      </c>
      <c r="AC106" s="22">
        <v>0.21618699999999999</v>
      </c>
      <c r="AD106">
        <f t="shared" si="16"/>
        <v>18.653456790123457</v>
      </c>
      <c r="AE106">
        <f t="shared" si="17"/>
        <v>4.0417377500000002</v>
      </c>
      <c r="AF106" s="9"/>
      <c r="AG106" s="22">
        <v>0.38345299999999999</v>
      </c>
      <c r="AH106" s="22">
        <v>12.4459</v>
      </c>
      <c r="AI106" s="22">
        <v>-1.5014599999999999E-2</v>
      </c>
      <c r="AJ106" s="22">
        <v>96</v>
      </c>
      <c r="AK106" s="22">
        <v>0.38290400000000002</v>
      </c>
      <c r="AL106">
        <f t="shared" si="18"/>
        <v>18.536543209876541</v>
      </c>
      <c r="AM106">
        <f t="shared" si="19"/>
        <v>7.1078931034567887</v>
      </c>
      <c r="AP106" s="9"/>
      <c r="AQ106" s="22">
        <v>0.21667500000000001</v>
      </c>
      <c r="AR106" s="22">
        <v>15.720499999999999</v>
      </c>
      <c r="AS106" s="22">
        <v>-1.50726E-2</v>
      </c>
      <c r="AT106" s="22">
        <v>96</v>
      </c>
      <c r="AU106" s="22">
        <v>0.21612500000000001</v>
      </c>
      <c r="AV106">
        <f t="shared" si="20"/>
        <v>18.60814814814815</v>
      </c>
      <c r="AW106">
        <f t="shared" si="21"/>
        <v>4.0319205</v>
      </c>
      <c r="AX106" s="9"/>
      <c r="AY106" s="22">
        <v>0.38345299999999999</v>
      </c>
      <c r="AZ106" s="22">
        <v>17.334099999999999</v>
      </c>
      <c r="BA106" s="22">
        <v>-1.4865099999999999E-2</v>
      </c>
      <c r="BB106" s="22">
        <v>96</v>
      </c>
      <c r="BC106" s="22">
        <v>0.38275100000000001</v>
      </c>
      <c r="BD106">
        <f t="shared" si="22"/>
        <v>18.351975308641972</v>
      </c>
      <c r="BE106">
        <f t="shared" si="23"/>
        <v>7.0371199880246902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0.21163899999999999</v>
      </c>
      <c r="H107" s="22">
        <v>5.9382099999999998</v>
      </c>
      <c r="I107" s="22">
        <v>-1.49658E-2</v>
      </c>
      <c r="J107" s="22">
        <v>97</v>
      </c>
      <c r="K107" s="22">
        <v>0.21109</v>
      </c>
      <c r="L107">
        <f t="shared" si="12"/>
        <v>18.476296296296297</v>
      </c>
      <c r="M107">
        <f t="shared" si="13"/>
        <v>3.910304871851852</v>
      </c>
      <c r="N107" s="9"/>
      <c r="O107" s="22">
        <v>0.38848899999999997</v>
      </c>
      <c r="P107" s="22">
        <v>7.55185</v>
      </c>
      <c r="Q107" s="22">
        <v>-1.46973E-2</v>
      </c>
      <c r="R107" s="22">
        <v>97</v>
      </c>
      <c r="S107" s="22">
        <v>0.38781700000000002</v>
      </c>
      <c r="T107">
        <f t="shared" si="14"/>
        <v>18.144814814814815</v>
      </c>
      <c r="U107">
        <f t="shared" si="15"/>
        <v>7.0490609625925922</v>
      </c>
      <c r="X107" s="9"/>
      <c r="Y107" s="22">
        <v>0.21163899999999999</v>
      </c>
      <c r="Z107" s="22">
        <v>10.8424</v>
      </c>
      <c r="AA107" s="22">
        <v>-1.5115399999999999E-2</v>
      </c>
      <c r="AB107" s="22">
        <v>97</v>
      </c>
      <c r="AC107" s="22">
        <v>0.21194499999999999</v>
      </c>
      <c r="AD107">
        <f t="shared" si="16"/>
        <v>18.660987654320987</v>
      </c>
      <c r="AE107">
        <f t="shared" si="17"/>
        <v>3.9493927661728394</v>
      </c>
      <c r="AF107" s="9"/>
      <c r="AG107" s="22">
        <v>0.38848899999999997</v>
      </c>
      <c r="AH107" s="22">
        <v>12.456</v>
      </c>
      <c r="AI107" s="22">
        <v>-1.5008499999999999E-2</v>
      </c>
      <c r="AJ107" s="22">
        <v>97</v>
      </c>
      <c r="AK107" s="22">
        <v>0.38784800000000003</v>
      </c>
      <c r="AL107">
        <f t="shared" si="18"/>
        <v>18.529012345679011</v>
      </c>
      <c r="AM107">
        <f t="shared" si="19"/>
        <v>7.1983174771604927</v>
      </c>
      <c r="AP107" s="9"/>
      <c r="AQ107" s="22">
        <v>0.21163899999999999</v>
      </c>
      <c r="AR107" s="22">
        <v>15.730499999999999</v>
      </c>
      <c r="AS107" s="22">
        <v>-1.5084800000000001E-2</v>
      </c>
      <c r="AT107" s="22">
        <v>97</v>
      </c>
      <c r="AU107" s="22">
        <v>0.21093799999999999</v>
      </c>
      <c r="AV107">
        <f t="shared" si="20"/>
        <v>18.623209876543207</v>
      </c>
      <c r="AW107">
        <f t="shared" si="21"/>
        <v>3.9413975150617278</v>
      </c>
      <c r="AX107" s="9"/>
      <c r="AY107" s="22">
        <v>0.38848899999999997</v>
      </c>
      <c r="AZ107" s="22">
        <v>17.344200000000001</v>
      </c>
      <c r="BA107" s="22">
        <v>-1.48529E-2</v>
      </c>
      <c r="BB107" s="22">
        <v>97</v>
      </c>
      <c r="BC107" s="22">
        <v>0.387878</v>
      </c>
      <c r="BD107">
        <f t="shared" si="22"/>
        <v>18.336913580246915</v>
      </c>
      <c r="BE107">
        <f t="shared" si="23"/>
        <v>7.1236892198765434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0.20660400000000001</v>
      </c>
      <c r="H108" s="22">
        <v>5.9482799999999996</v>
      </c>
      <c r="I108" s="22">
        <v>-1.4975E-2</v>
      </c>
      <c r="J108" s="22">
        <v>98</v>
      </c>
      <c r="K108" s="22">
        <v>0.20608499999999999</v>
      </c>
      <c r="L108">
        <f t="shared" si="12"/>
        <v>18.487654320987652</v>
      </c>
      <c r="M108">
        <f t="shared" si="13"/>
        <v>3.8196233333333329</v>
      </c>
      <c r="N108" s="9"/>
      <c r="O108" s="22">
        <v>0.39352399999999998</v>
      </c>
      <c r="P108" s="22">
        <v>7.5619199999999998</v>
      </c>
      <c r="Q108" s="22">
        <v>-1.46851E-2</v>
      </c>
      <c r="R108" s="22">
        <v>98</v>
      </c>
      <c r="S108" s="22">
        <v>0.39291399999999999</v>
      </c>
      <c r="T108">
        <f t="shared" si="14"/>
        <v>18.12975308641975</v>
      </c>
      <c r="U108">
        <f t="shared" si="15"/>
        <v>7.1344929535802457</v>
      </c>
      <c r="X108" s="9"/>
      <c r="Y108" s="22">
        <v>0.20660400000000001</v>
      </c>
      <c r="Z108" s="22">
        <v>10.852399999999999</v>
      </c>
      <c r="AA108" s="22">
        <v>-1.5124500000000001E-2</v>
      </c>
      <c r="AB108" s="22">
        <v>98</v>
      </c>
      <c r="AC108" s="22">
        <v>0.206757</v>
      </c>
      <c r="AD108">
        <f t="shared" si="16"/>
        <v>18.672222222222221</v>
      </c>
      <c r="AE108">
        <f t="shared" si="17"/>
        <v>3.8577558000000001</v>
      </c>
      <c r="AF108" s="9"/>
      <c r="AG108" s="22">
        <v>0.39352399999999998</v>
      </c>
      <c r="AH108" s="22">
        <v>12.466100000000001</v>
      </c>
      <c r="AI108" s="22">
        <v>-1.4996300000000001E-2</v>
      </c>
      <c r="AJ108" s="22">
        <v>98</v>
      </c>
      <c r="AK108" s="22">
        <v>0.39269999999999999</v>
      </c>
      <c r="AL108">
        <f t="shared" si="18"/>
        <v>18.51395061728395</v>
      </c>
      <c r="AM108">
        <f t="shared" si="19"/>
        <v>7.2856839027160492</v>
      </c>
      <c r="AP108" s="9"/>
      <c r="AQ108" s="22">
        <v>0.20660400000000001</v>
      </c>
      <c r="AR108" s="22">
        <v>15.740600000000001</v>
      </c>
      <c r="AS108" s="22">
        <v>-1.5094E-2</v>
      </c>
      <c r="AT108" s="22">
        <v>98</v>
      </c>
      <c r="AU108" s="22">
        <v>0.205841</v>
      </c>
      <c r="AV108">
        <f t="shared" si="20"/>
        <v>18.634567901234568</v>
      </c>
      <c r="AW108">
        <f t="shared" si="21"/>
        <v>3.8499762666666668</v>
      </c>
      <c r="AX108" s="9"/>
      <c r="AY108" s="22">
        <v>0.39352399999999998</v>
      </c>
      <c r="AZ108" s="22">
        <v>17.354199999999999</v>
      </c>
      <c r="BA108" s="22">
        <v>-1.4849899999999999E-2</v>
      </c>
      <c r="BB108" s="22">
        <v>98</v>
      </c>
      <c r="BC108" s="22">
        <v>0.39324999999999999</v>
      </c>
      <c r="BD108">
        <f t="shared" si="22"/>
        <v>18.333209876543208</v>
      </c>
      <c r="BE108">
        <f t="shared" si="23"/>
        <v>7.2145580834567893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0.201569</v>
      </c>
      <c r="H109" s="22">
        <v>5.9583500000000003</v>
      </c>
      <c r="I109" s="22">
        <v>-1.49841E-2</v>
      </c>
      <c r="J109" s="22">
        <v>99</v>
      </c>
      <c r="K109" s="22">
        <v>0.20108000000000001</v>
      </c>
      <c r="L109">
        <f t="shared" si="12"/>
        <v>18.498888888888889</v>
      </c>
      <c r="M109">
        <f t="shared" si="13"/>
        <v>3.7288025344444442</v>
      </c>
      <c r="N109" s="9"/>
      <c r="O109" s="22">
        <v>0.39856000000000003</v>
      </c>
      <c r="P109" s="22">
        <v>7.5719900000000004</v>
      </c>
      <c r="Q109" s="22">
        <v>-1.46759E-2</v>
      </c>
      <c r="R109" s="22">
        <v>99</v>
      </c>
      <c r="S109" s="22">
        <v>0.39773599999999998</v>
      </c>
      <c r="T109">
        <f t="shared" si="14"/>
        <v>18.118395061728396</v>
      </c>
      <c r="U109">
        <f t="shared" si="15"/>
        <v>7.2212675358024701</v>
      </c>
      <c r="X109" s="9"/>
      <c r="Y109" s="22">
        <v>0.201569</v>
      </c>
      <c r="Z109" s="22">
        <v>10.862500000000001</v>
      </c>
      <c r="AA109" s="22">
        <v>-1.51337E-2</v>
      </c>
      <c r="AB109" s="22">
        <v>99</v>
      </c>
      <c r="AC109" s="22">
        <v>0.20150799999999999</v>
      </c>
      <c r="AD109">
        <f t="shared" si="16"/>
        <v>18.683580246913579</v>
      </c>
      <c r="AE109">
        <f t="shared" si="17"/>
        <v>3.7660305867901229</v>
      </c>
      <c r="AF109" s="9"/>
      <c r="AG109" s="22">
        <v>0.39856000000000003</v>
      </c>
      <c r="AH109" s="22">
        <v>12.476100000000001</v>
      </c>
      <c r="AI109" s="22">
        <v>-1.4987199999999999E-2</v>
      </c>
      <c r="AJ109" s="22">
        <v>99</v>
      </c>
      <c r="AK109" s="22">
        <v>0.39810200000000001</v>
      </c>
      <c r="AL109">
        <f t="shared" si="18"/>
        <v>18.502716049382713</v>
      </c>
      <c r="AM109">
        <f t="shared" si="19"/>
        <v>7.374442508641974</v>
      </c>
      <c r="AP109" s="9"/>
      <c r="AQ109" s="22">
        <v>0.201569</v>
      </c>
      <c r="AR109" s="22">
        <v>15.7507</v>
      </c>
      <c r="AS109" s="22">
        <v>-1.51031E-2</v>
      </c>
      <c r="AT109" s="22">
        <v>99</v>
      </c>
      <c r="AU109" s="22">
        <v>0.201263</v>
      </c>
      <c r="AV109">
        <f t="shared" si="20"/>
        <v>18.645802469135798</v>
      </c>
      <c r="AW109">
        <f t="shared" si="21"/>
        <v>3.7584157579012336</v>
      </c>
      <c r="AX109" s="9"/>
      <c r="AY109" s="22">
        <v>0.39856000000000003</v>
      </c>
      <c r="AZ109" s="22">
        <v>17.3643</v>
      </c>
      <c r="BA109" s="22">
        <v>-1.48346E-2</v>
      </c>
      <c r="BB109" s="22">
        <v>99</v>
      </c>
      <c r="BC109" s="22">
        <v>0.39859</v>
      </c>
      <c r="BD109">
        <f t="shared" si="22"/>
        <v>18.31432098765432</v>
      </c>
      <c r="BE109">
        <f t="shared" si="23"/>
        <v>7.2993557728395064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0.19653300000000001</v>
      </c>
      <c r="H110" s="22">
        <v>5.9684200000000001</v>
      </c>
      <c r="I110" s="22">
        <v>-1.4996300000000001E-2</v>
      </c>
      <c r="J110" s="22">
        <v>100</v>
      </c>
      <c r="K110" s="22">
        <v>0.19595299999999999</v>
      </c>
      <c r="L110">
        <f t="shared" si="12"/>
        <v>18.51395061728395</v>
      </c>
      <c r="M110">
        <f t="shared" si="13"/>
        <v>3.6386022566666667</v>
      </c>
      <c r="N110" s="9"/>
      <c r="O110" s="22">
        <v>0.40359499999999998</v>
      </c>
      <c r="P110" s="22">
        <v>7.5820699999999999</v>
      </c>
      <c r="Q110" s="22">
        <v>-1.46637E-2</v>
      </c>
      <c r="R110" s="22">
        <v>100</v>
      </c>
      <c r="S110" s="22">
        <v>0.40280199999999999</v>
      </c>
      <c r="T110">
        <f t="shared" si="14"/>
        <v>18.103333333333332</v>
      </c>
      <c r="U110">
        <f t="shared" si="15"/>
        <v>7.306414816666666</v>
      </c>
      <c r="X110" s="9"/>
      <c r="Y110" s="22">
        <v>0.19653300000000001</v>
      </c>
      <c r="Z110" s="22">
        <v>10.8726</v>
      </c>
      <c r="AA110" s="22">
        <v>-1.51398E-2</v>
      </c>
      <c r="AB110" s="22">
        <v>100</v>
      </c>
      <c r="AC110" s="22">
        <v>0.19595299999999999</v>
      </c>
      <c r="AD110">
        <f t="shared" si="16"/>
        <v>18.691111111111109</v>
      </c>
      <c r="AE110">
        <f t="shared" si="17"/>
        <v>3.6734201399999997</v>
      </c>
      <c r="AF110" s="9"/>
      <c r="AG110" s="22">
        <v>0.40359499999999998</v>
      </c>
      <c r="AH110" s="22">
        <v>12.4862</v>
      </c>
      <c r="AI110" s="22">
        <v>-1.4975E-2</v>
      </c>
      <c r="AJ110" s="22">
        <v>100</v>
      </c>
      <c r="AK110" s="22">
        <v>0.40298499999999998</v>
      </c>
      <c r="AL110">
        <f t="shared" si="18"/>
        <v>18.487654320987652</v>
      </c>
      <c r="AM110">
        <f t="shared" si="19"/>
        <v>7.4615248456790111</v>
      </c>
      <c r="AP110" s="9"/>
      <c r="AQ110" s="22">
        <v>0.19653300000000001</v>
      </c>
      <c r="AR110" s="22">
        <v>15.7607</v>
      </c>
      <c r="AS110" s="22">
        <v>-1.51123E-2</v>
      </c>
      <c r="AT110" s="22">
        <v>100</v>
      </c>
      <c r="AU110" s="22">
        <v>0.19653300000000001</v>
      </c>
      <c r="AV110">
        <f t="shared" si="20"/>
        <v>18.65716049382716</v>
      </c>
      <c r="AW110">
        <f t="shared" si="21"/>
        <v>3.6667477233333337</v>
      </c>
      <c r="AX110" s="9"/>
      <c r="AY110" s="22">
        <v>0.40359499999999998</v>
      </c>
      <c r="AZ110" s="22">
        <v>17.374400000000001</v>
      </c>
      <c r="BA110" s="22">
        <v>-1.48285E-2</v>
      </c>
      <c r="BB110" s="22">
        <v>100</v>
      </c>
      <c r="BC110" s="22">
        <v>0.40316800000000003</v>
      </c>
      <c r="BD110">
        <f t="shared" si="22"/>
        <v>18.306790123456789</v>
      </c>
      <c r="BE110">
        <f t="shared" si="23"/>
        <v>7.3885289598765427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0.191498</v>
      </c>
      <c r="H111" s="22">
        <v>5.9784899999999999</v>
      </c>
      <c r="I111" s="22">
        <v>-1.5008499999999999E-2</v>
      </c>
      <c r="J111" s="22">
        <v>101</v>
      </c>
      <c r="K111" s="22">
        <v>0.19097900000000001</v>
      </c>
      <c r="L111">
        <f t="shared" si="12"/>
        <v>18.529012345679011</v>
      </c>
      <c r="M111">
        <f t="shared" si="13"/>
        <v>3.5482688061728394</v>
      </c>
      <c r="N111" s="9"/>
      <c r="O111" s="22">
        <v>0.40862999999999999</v>
      </c>
      <c r="P111" s="22">
        <v>7.5921399999999997</v>
      </c>
      <c r="Q111" s="22">
        <v>-1.4654500000000001E-2</v>
      </c>
      <c r="R111" s="22">
        <v>101</v>
      </c>
      <c r="S111" s="22">
        <v>0.40786699999999998</v>
      </c>
      <c r="T111">
        <f t="shared" si="14"/>
        <v>18.091975308641977</v>
      </c>
      <c r="U111">
        <f t="shared" si="15"/>
        <v>7.392923870370371</v>
      </c>
      <c r="X111" s="9"/>
      <c r="Y111" s="22">
        <v>0.191498</v>
      </c>
      <c r="Z111" s="22">
        <v>10.8826</v>
      </c>
      <c r="AA111" s="22">
        <v>-1.5152000000000001E-2</v>
      </c>
      <c r="AB111" s="22">
        <v>101</v>
      </c>
      <c r="AC111" s="22">
        <v>0.191528</v>
      </c>
      <c r="AD111">
        <f t="shared" si="16"/>
        <v>18.706172839506173</v>
      </c>
      <c r="AE111">
        <f t="shared" si="17"/>
        <v>3.5821946864197534</v>
      </c>
      <c r="AF111" s="9"/>
      <c r="AG111" s="22">
        <v>0.40862999999999999</v>
      </c>
      <c r="AH111" s="22">
        <v>12.4963</v>
      </c>
      <c r="AI111" s="22">
        <v>-1.49658E-2</v>
      </c>
      <c r="AJ111" s="22">
        <v>101</v>
      </c>
      <c r="AK111" s="22">
        <v>0.40795900000000002</v>
      </c>
      <c r="AL111">
        <f t="shared" si="18"/>
        <v>18.476296296296297</v>
      </c>
      <c r="AM111">
        <f t="shared" si="19"/>
        <v>7.5499689555555562</v>
      </c>
      <c r="AP111" s="9"/>
      <c r="AQ111" s="22">
        <v>0.191498</v>
      </c>
      <c r="AR111" s="22">
        <v>15.770799999999999</v>
      </c>
      <c r="AS111" s="22">
        <v>-1.51215E-2</v>
      </c>
      <c r="AT111" s="22">
        <v>101</v>
      </c>
      <c r="AU111" s="22">
        <v>0.19094800000000001</v>
      </c>
      <c r="AV111">
        <f t="shared" si="20"/>
        <v>18.668518518518518</v>
      </c>
      <c r="AW111">
        <f t="shared" si="21"/>
        <v>3.5749839592592592</v>
      </c>
      <c r="AX111" s="9"/>
      <c r="AY111" s="22">
        <v>0.40862999999999999</v>
      </c>
      <c r="AZ111" s="22">
        <v>17.384499999999999</v>
      </c>
      <c r="BA111" s="22">
        <v>-1.4819300000000001E-2</v>
      </c>
      <c r="BB111" s="22">
        <v>101</v>
      </c>
      <c r="BC111" s="22">
        <v>0.40756199999999998</v>
      </c>
      <c r="BD111">
        <f t="shared" si="22"/>
        <v>18.295432098765431</v>
      </c>
      <c r="BE111">
        <f t="shared" si="23"/>
        <v>7.4760624185185183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0.18646199999999999</v>
      </c>
      <c r="H112" s="22">
        <v>5.9885599999999997</v>
      </c>
      <c r="I112" s="22">
        <v>-1.5020800000000001E-2</v>
      </c>
      <c r="J112" s="22">
        <v>102</v>
      </c>
      <c r="K112" s="22">
        <v>0.18576000000000001</v>
      </c>
      <c r="L112">
        <f t="shared" si="12"/>
        <v>18.544197530864199</v>
      </c>
      <c r="M112">
        <f t="shared" si="13"/>
        <v>3.4577881600000002</v>
      </c>
      <c r="N112" s="9"/>
      <c r="O112" s="22">
        <v>0.41366599999999998</v>
      </c>
      <c r="P112" s="22">
        <v>7.6022100000000004</v>
      </c>
      <c r="Q112" s="22">
        <v>-1.4700299999999999E-2</v>
      </c>
      <c r="R112" s="22">
        <v>102</v>
      </c>
      <c r="S112" s="22">
        <v>0.41311599999999998</v>
      </c>
      <c r="T112">
        <f t="shared" si="14"/>
        <v>18.148518518518514</v>
      </c>
      <c r="U112">
        <f t="shared" si="15"/>
        <v>7.507425061481479</v>
      </c>
      <c r="X112" s="9"/>
      <c r="Y112" s="22">
        <v>0.18646199999999999</v>
      </c>
      <c r="Z112" s="22">
        <v>10.8927</v>
      </c>
      <c r="AA112" s="22">
        <v>-1.51611E-2</v>
      </c>
      <c r="AB112" s="22">
        <v>102</v>
      </c>
      <c r="AC112" s="22">
        <v>0.18612699999999999</v>
      </c>
      <c r="AD112">
        <f t="shared" si="16"/>
        <v>18.717407407407403</v>
      </c>
      <c r="AE112">
        <f t="shared" si="17"/>
        <v>3.4900852199999992</v>
      </c>
      <c r="AF112" s="9"/>
      <c r="AG112" s="22">
        <v>0.41366599999999998</v>
      </c>
      <c r="AH112" s="22">
        <v>12.506399999999999</v>
      </c>
      <c r="AI112" s="22">
        <v>-1.49567E-2</v>
      </c>
      <c r="AJ112" s="22">
        <v>102</v>
      </c>
      <c r="AK112" s="22">
        <v>0.41278100000000001</v>
      </c>
      <c r="AL112">
        <f t="shared" si="18"/>
        <v>18.46506172839506</v>
      </c>
      <c r="AM112">
        <f t="shared" si="19"/>
        <v>7.6383682249382705</v>
      </c>
      <c r="AP112" s="9"/>
      <c r="AQ112" s="22">
        <v>0.18646199999999999</v>
      </c>
      <c r="AR112" s="22">
        <v>15.780900000000001</v>
      </c>
      <c r="AS112" s="22">
        <v>-1.51337E-2</v>
      </c>
      <c r="AT112" s="22">
        <v>102</v>
      </c>
      <c r="AU112" s="22">
        <v>0.18557699999999999</v>
      </c>
      <c r="AV112">
        <f t="shared" si="20"/>
        <v>18.683580246913579</v>
      </c>
      <c r="AW112">
        <f t="shared" si="21"/>
        <v>3.4837777399999994</v>
      </c>
      <c r="AX112" s="9"/>
      <c r="AY112" s="22">
        <v>0.41366599999999998</v>
      </c>
      <c r="AZ112" s="22">
        <v>17.394500000000001</v>
      </c>
      <c r="BA112" s="22">
        <v>-1.4810200000000001E-2</v>
      </c>
      <c r="BB112" s="22">
        <v>102</v>
      </c>
      <c r="BC112" s="22">
        <v>0.41287200000000002</v>
      </c>
      <c r="BD112">
        <f t="shared" si="22"/>
        <v>18.284197530864198</v>
      </c>
      <c r="BE112">
        <f t="shared" si="23"/>
        <v>7.5635508558024691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0.181427</v>
      </c>
      <c r="H113" s="22">
        <v>5.9986300000000004</v>
      </c>
      <c r="I113" s="22">
        <v>-1.5029900000000001E-2</v>
      </c>
      <c r="J113" s="22">
        <v>103</v>
      </c>
      <c r="K113" s="22">
        <v>0.18103</v>
      </c>
      <c r="L113">
        <f t="shared" si="12"/>
        <v>18.555432098765429</v>
      </c>
      <c r="M113">
        <f t="shared" si="13"/>
        <v>3.3664563793827158</v>
      </c>
      <c r="N113" s="9"/>
      <c r="O113" s="22">
        <v>0.41870099999999999</v>
      </c>
      <c r="P113" s="22">
        <v>7.6122800000000002</v>
      </c>
      <c r="Q113" s="22">
        <v>-1.4654500000000001E-2</v>
      </c>
      <c r="R113" s="22">
        <v>103</v>
      </c>
      <c r="S113" s="22">
        <v>0.41857899999999998</v>
      </c>
      <c r="T113">
        <f t="shared" si="14"/>
        <v>18.091975308641977</v>
      </c>
      <c r="U113">
        <f t="shared" si="15"/>
        <v>7.5751281537037043</v>
      </c>
      <c r="X113" s="9"/>
      <c r="Y113" s="22">
        <v>0.181427</v>
      </c>
      <c r="Z113" s="22">
        <v>10.902799999999999</v>
      </c>
      <c r="AA113" s="22">
        <v>-1.51672E-2</v>
      </c>
      <c r="AB113" s="22">
        <v>103</v>
      </c>
      <c r="AC113" s="22">
        <v>0.180511</v>
      </c>
      <c r="AD113">
        <f t="shared" si="16"/>
        <v>18.724938271604938</v>
      </c>
      <c r="AE113">
        <f t="shared" si="17"/>
        <v>3.3972093758024693</v>
      </c>
      <c r="AF113" s="9"/>
      <c r="AG113" s="22">
        <v>0.41870099999999999</v>
      </c>
      <c r="AH113" s="22">
        <v>12.516400000000001</v>
      </c>
      <c r="AI113" s="22">
        <v>-1.4947500000000001E-2</v>
      </c>
      <c r="AJ113" s="22">
        <v>103</v>
      </c>
      <c r="AK113" s="22">
        <v>0.41799900000000001</v>
      </c>
      <c r="AL113">
        <f t="shared" si="18"/>
        <v>18.453703703703706</v>
      </c>
      <c r="AM113">
        <f t="shared" si="19"/>
        <v>7.7265841944444453</v>
      </c>
      <c r="AP113" s="9"/>
      <c r="AQ113" s="22">
        <v>0.181427</v>
      </c>
      <c r="AR113" s="22">
        <v>15.791</v>
      </c>
      <c r="AS113" s="22">
        <v>-1.51398E-2</v>
      </c>
      <c r="AT113" s="22">
        <v>103</v>
      </c>
      <c r="AU113" s="22">
        <v>0.18115200000000001</v>
      </c>
      <c r="AV113">
        <f t="shared" si="20"/>
        <v>18.691111111111109</v>
      </c>
      <c r="AW113">
        <f t="shared" si="21"/>
        <v>3.391072215555555</v>
      </c>
      <c r="AX113" s="9"/>
      <c r="AY113" s="22">
        <v>0.41870099999999999</v>
      </c>
      <c r="AZ113" s="22">
        <v>17.404599999999999</v>
      </c>
      <c r="BA113" s="22">
        <v>-1.4804100000000001E-2</v>
      </c>
      <c r="BB113" s="22">
        <v>103</v>
      </c>
      <c r="BC113" s="22">
        <v>0.41674800000000001</v>
      </c>
      <c r="BD113">
        <f t="shared" si="22"/>
        <v>18.276666666666667</v>
      </c>
      <c r="BE113">
        <f t="shared" si="23"/>
        <v>7.65245861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0.17639199999999999</v>
      </c>
      <c r="H114" s="22">
        <v>6.0087000000000002</v>
      </c>
      <c r="I114" s="22">
        <v>-1.5042099999999999E-2</v>
      </c>
      <c r="J114" s="22">
        <v>104</v>
      </c>
      <c r="K114" s="22">
        <v>0.17593400000000001</v>
      </c>
      <c r="L114">
        <f t="shared" si="12"/>
        <v>18.570493827160494</v>
      </c>
      <c r="M114">
        <f t="shared" si="13"/>
        <v>3.2756865471604937</v>
      </c>
      <c r="N114" s="9"/>
      <c r="O114" s="22">
        <v>0.42373699999999997</v>
      </c>
      <c r="P114" s="22">
        <v>7.62235</v>
      </c>
      <c r="Q114" s="22">
        <v>-1.46362E-2</v>
      </c>
      <c r="R114" s="22">
        <v>104</v>
      </c>
      <c r="S114" s="22">
        <v>0.42315700000000001</v>
      </c>
      <c r="T114">
        <f t="shared" si="14"/>
        <v>18.069382716049383</v>
      </c>
      <c r="U114">
        <f t="shared" si="15"/>
        <v>7.656666023950617</v>
      </c>
      <c r="X114" s="9"/>
      <c r="Y114" s="22">
        <v>0.17639199999999999</v>
      </c>
      <c r="Z114" s="22">
        <v>10.9129</v>
      </c>
      <c r="AA114" s="22">
        <v>-1.51764E-2</v>
      </c>
      <c r="AB114" s="22">
        <v>104</v>
      </c>
      <c r="AC114" s="22">
        <v>0.175903</v>
      </c>
      <c r="AD114">
        <f t="shared" si="16"/>
        <v>18.736296296296295</v>
      </c>
      <c r="AE114">
        <f t="shared" si="17"/>
        <v>3.3049327762962961</v>
      </c>
      <c r="AF114" s="9"/>
      <c r="AG114" s="22">
        <v>0.42373699999999997</v>
      </c>
      <c r="AH114" s="22">
        <v>12.5265</v>
      </c>
      <c r="AI114" s="22">
        <v>-1.49353E-2</v>
      </c>
      <c r="AJ114" s="22">
        <v>104</v>
      </c>
      <c r="AK114" s="22">
        <v>0.42309600000000003</v>
      </c>
      <c r="AL114">
        <f t="shared" si="18"/>
        <v>18.438641975308641</v>
      </c>
      <c r="AM114">
        <f t="shared" si="19"/>
        <v>7.8131348346913576</v>
      </c>
      <c r="AP114" s="9"/>
      <c r="AQ114" s="22">
        <v>0.17639199999999999</v>
      </c>
      <c r="AR114" s="22">
        <v>15.801</v>
      </c>
      <c r="AS114" s="22">
        <v>-1.51489E-2</v>
      </c>
      <c r="AT114" s="22">
        <v>104</v>
      </c>
      <c r="AU114" s="22">
        <v>0.175873</v>
      </c>
      <c r="AV114">
        <f t="shared" si="20"/>
        <v>18.702345679012346</v>
      </c>
      <c r="AW114">
        <f t="shared" si="21"/>
        <v>3.2989441590123456</v>
      </c>
      <c r="AX114" s="9"/>
      <c r="AY114" s="22">
        <v>0.42373699999999997</v>
      </c>
      <c r="AZ114" s="22">
        <v>17.4147</v>
      </c>
      <c r="BA114" s="22">
        <v>-1.47949E-2</v>
      </c>
      <c r="BB114" s="22">
        <v>104</v>
      </c>
      <c r="BC114" s="22">
        <v>0.42306500000000002</v>
      </c>
      <c r="BD114">
        <f t="shared" si="22"/>
        <v>18.265308641975306</v>
      </c>
      <c r="BE114">
        <f t="shared" si="23"/>
        <v>7.7396870880246897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0.17135600000000001</v>
      </c>
      <c r="H115" s="22">
        <v>6.01877</v>
      </c>
      <c r="I115" s="22">
        <v>-1.50543E-2</v>
      </c>
      <c r="J115" s="22">
        <v>105</v>
      </c>
      <c r="K115" s="22">
        <v>0.170624</v>
      </c>
      <c r="L115">
        <f t="shared" si="12"/>
        <v>18.585555555555555</v>
      </c>
      <c r="M115">
        <f t="shared" si="13"/>
        <v>3.184746457777778</v>
      </c>
      <c r="N115" s="9"/>
      <c r="O115" s="22">
        <v>0.42877199999999999</v>
      </c>
      <c r="P115" s="22">
        <v>7.6324199999999998</v>
      </c>
      <c r="Q115" s="22">
        <v>-1.46851E-2</v>
      </c>
      <c r="R115" s="22">
        <v>105</v>
      </c>
      <c r="S115" s="22">
        <v>0.42785600000000001</v>
      </c>
      <c r="T115">
        <f t="shared" si="14"/>
        <v>18.12975308641975</v>
      </c>
      <c r="U115">
        <f t="shared" si="15"/>
        <v>7.7735304903703693</v>
      </c>
      <c r="X115" s="9"/>
      <c r="Y115" s="22">
        <v>0.17135600000000001</v>
      </c>
      <c r="Z115" s="22">
        <v>10.9229</v>
      </c>
      <c r="AA115" s="22">
        <v>-1.51886E-2</v>
      </c>
      <c r="AB115" s="22">
        <v>105</v>
      </c>
      <c r="AC115" s="22">
        <v>0.17102100000000001</v>
      </c>
      <c r="AD115">
        <f t="shared" si="16"/>
        <v>18.751358024691356</v>
      </c>
      <c r="AE115">
        <f t="shared" si="17"/>
        <v>3.2131577056790124</v>
      </c>
      <c r="AF115" s="9"/>
      <c r="AG115" s="22">
        <v>0.42877199999999999</v>
      </c>
      <c r="AH115" s="22">
        <v>12.5366</v>
      </c>
      <c r="AI115" s="22">
        <v>-1.4926099999999999E-2</v>
      </c>
      <c r="AJ115" s="22">
        <v>105</v>
      </c>
      <c r="AK115" s="22">
        <v>0.42810100000000001</v>
      </c>
      <c r="AL115">
        <f t="shared" si="18"/>
        <v>18.427283950617284</v>
      </c>
      <c r="AM115">
        <f t="shared" si="19"/>
        <v>7.9011033940740738</v>
      </c>
      <c r="AP115" s="9"/>
      <c r="AQ115" s="22">
        <v>0.17135600000000001</v>
      </c>
      <c r="AR115" s="22">
        <v>15.8111</v>
      </c>
      <c r="AS115" s="22">
        <v>-1.5158100000000001E-2</v>
      </c>
      <c r="AT115" s="22">
        <v>105</v>
      </c>
      <c r="AU115" s="22">
        <v>0.17114299999999999</v>
      </c>
      <c r="AV115">
        <f t="shared" si="20"/>
        <v>18.713703703703704</v>
      </c>
      <c r="AW115">
        <f t="shared" si="21"/>
        <v>3.2067054118518521</v>
      </c>
      <c r="AX115" s="9"/>
      <c r="AY115" s="22">
        <v>0.42877199999999999</v>
      </c>
      <c r="AZ115" s="22">
        <v>17.424700000000001</v>
      </c>
      <c r="BA115" s="22">
        <v>-1.47949E-2</v>
      </c>
      <c r="BB115" s="22">
        <v>105</v>
      </c>
      <c r="BC115" s="22">
        <v>0.42868000000000001</v>
      </c>
      <c r="BD115">
        <f t="shared" si="22"/>
        <v>18.265308641975306</v>
      </c>
      <c r="BE115">
        <f t="shared" si="23"/>
        <v>7.8316529170370357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0.166321</v>
      </c>
      <c r="H116" s="22">
        <v>6.0288500000000003</v>
      </c>
      <c r="I116" s="22">
        <v>-1.5213000000000001E-2</v>
      </c>
      <c r="J116" s="22">
        <v>106</v>
      </c>
      <c r="K116" s="22">
        <v>0.16549700000000001</v>
      </c>
      <c r="L116">
        <f t="shared" si="12"/>
        <v>18.781481481481482</v>
      </c>
      <c r="M116">
        <f t="shared" si="13"/>
        <v>3.1237547814814817</v>
      </c>
      <c r="N116" s="9"/>
      <c r="O116" s="22">
        <v>0.433807</v>
      </c>
      <c r="P116" s="22">
        <v>7.6424899999999996</v>
      </c>
      <c r="Q116" s="22">
        <v>-1.4798E-2</v>
      </c>
      <c r="R116" s="22">
        <v>106</v>
      </c>
      <c r="S116" s="22">
        <v>0.43359399999999998</v>
      </c>
      <c r="T116">
        <f t="shared" si="14"/>
        <v>18.269135802469137</v>
      </c>
      <c r="U116">
        <f t="shared" si="15"/>
        <v>7.9252789950617286</v>
      </c>
      <c r="X116" s="9"/>
      <c r="Y116" s="22">
        <v>0.166321</v>
      </c>
      <c r="Z116" s="22">
        <v>10.933</v>
      </c>
      <c r="AA116" s="22">
        <v>-1.51947E-2</v>
      </c>
      <c r="AB116" s="22">
        <v>106</v>
      </c>
      <c r="AC116" s="22">
        <v>0.166077</v>
      </c>
      <c r="AD116">
        <f t="shared" si="16"/>
        <v>18.758888888888887</v>
      </c>
      <c r="AE116">
        <f t="shared" si="17"/>
        <v>3.1199971588888884</v>
      </c>
      <c r="AF116" s="9"/>
      <c r="AG116" s="22">
        <v>0.433807</v>
      </c>
      <c r="AH116" s="22">
        <v>12.5466</v>
      </c>
      <c r="AI116" s="22">
        <v>-1.4917E-2</v>
      </c>
      <c r="AJ116" s="22">
        <v>106</v>
      </c>
      <c r="AK116" s="22">
        <v>0.43347200000000002</v>
      </c>
      <c r="AL116">
        <f t="shared" si="18"/>
        <v>18.416049382716047</v>
      </c>
      <c r="AM116">
        <f t="shared" si="19"/>
        <v>7.9890111345678996</v>
      </c>
      <c r="AP116" s="9"/>
      <c r="AQ116" s="22">
        <v>0.166321</v>
      </c>
      <c r="AR116" s="22">
        <v>15.821199999999999</v>
      </c>
      <c r="AS116" s="22">
        <v>-1.51672E-2</v>
      </c>
      <c r="AT116" s="22">
        <v>106</v>
      </c>
      <c r="AU116" s="22">
        <v>0.16592399999999999</v>
      </c>
      <c r="AV116">
        <f t="shared" si="20"/>
        <v>18.724938271604938</v>
      </c>
      <c r="AW116">
        <f t="shared" si="21"/>
        <v>3.1143504582716046</v>
      </c>
      <c r="AX116" s="9"/>
      <c r="AY116" s="22">
        <v>0.433807</v>
      </c>
      <c r="AZ116" s="22">
        <v>17.434799999999999</v>
      </c>
      <c r="BA116" s="22">
        <v>-1.47858E-2</v>
      </c>
      <c r="BB116" s="22">
        <v>106</v>
      </c>
      <c r="BC116" s="22">
        <v>0.43365500000000001</v>
      </c>
      <c r="BD116">
        <f t="shared" si="22"/>
        <v>18.254074074074072</v>
      </c>
      <c r="BE116">
        <f t="shared" si="23"/>
        <v>7.9187451118518508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0.16128500000000001</v>
      </c>
      <c r="H117" s="22">
        <v>6.0389200000000001</v>
      </c>
      <c r="I117" s="22">
        <v>-1.51031E-2</v>
      </c>
      <c r="J117" s="22">
        <v>107</v>
      </c>
      <c r="K117" s="22">
        <v>0.160583</v>
      </c>
      <c r="L117">
        <f t="shared" si="12"/>
        <v>18.645802469135798</v>
      </c>
      <c r="M117">
        <f t="shared" si="13"/>
        <v>3.0072882512345673</v>
      </c>
      <c r="N117" s="9"/>
      <c r="O117" s="22">
        <v>0.43884299999999998</v>
      </c>
      <c r="P117" s="22">
        <v>7.6525600000000003</v>
      </c>
      <c r="Q117" s="22">
        <v>-1.4782699999999999E-2</v>
      </c>
      <c r="R117" s="22">
        <v>107</v>
      </c>
      <c r="S117" s="22">
        <v>0.438446</v>
      </c>
      <c r="T117">
        <f t="shared" si="14"/>
        <v>18.250246913580245</v>
      </c>
      <c r="U117">
        <f t="shared" si="15"/>
        <v>8.0089931062962947</v>
      </c>
      <c r="X117" s="9"/>
      <c r="Y117" s="22">
        <v>0.16128500000000001</v>
      </c>
      <c r="Z117" s="22">
        <v>10.943099999999999</v>
      </c>
      <c r="AA117" s="22">
        <v>-1.5203899999999999E-2</v>
      </c>
      <c r="AB117" s="22">
        <v>107</v>
      </c>
      <c r="AC117" s="22">
        <v>0.16125500000000001</v>
      </c>
      <c r="AD117">
        <f t="shared" si="16"/>
        <v>18.770246913580245</v>
      </c>
      <c r="AE117">
        <f t="shared" si="17"/>
        <v>3.0273592734567898</v>
      </c>
      <c r="AF117" s="9"/>
      <c r="AG117" s="22">
        <v>0.43884299999999998</v>
      </c>
      <c r="AH117" s="22">
        <v>12.556699999999999</v>
      </c>
      <c r="AI117" s="22">
        <v>-1.4907800000000001E-2</v>
      </c>
      <c r="AJ117" s="22">
        <v>107</v>
      </c>
      <c r="AK117" s="22">
        <v>0.43826300000000001</v>
      </c>
      <c r="AL117">
        <f t="shared" si="18"/>
        <v>18.404691358024692</v>
      </c>
      <c r="AM117">
        <f t="shared" si="19"/>
        <v>8.0767699696296305</v>
      </c>
      <c r="AP117" s="9"/>
      <c r="AQ117" s="22">
        <v>0.16128500000000001</v>
      </c>
      <c r="AR117" s="22">
        <v>15.831200000000001</v>
      </c>
      <c r="AS117" s="22">
        <v>-1.5179399999999999E-2</v>
      </c>
      <c r="AT117" s="22">
        <v>107</v>
      </c>
      <c r="AU117" s="22">
        <v>0.16101099999999999</v>
      </c>
      <c r="AV117">
        <f t="shared" si="20"/>
        <v>18.739999999999995</v>
      </c>
      <c r="AW117">
        <f t="shared" si="21"/>
        <v>3.0224808999999992</v>
      </c>
      <c r="AX117" s="9"/>
      <c r="AY117" s="22">
        <v>0.43884299999999998</v>
      </c>
      <c r="AZ117" s="22">
        <v>17.444900000000001</v>
      </c>
      <c r="BA117" s="22">
        <v>-1.47797E-2</v>
      </c>
      <c r="BB117" s="22">
        <v>107</v>
      </c>
      <c r="BC117" s="22">
        <v>0.43881199999999998</v>
      </c>
      <c r="BD117">
        <f t="shared" si="22"/>
        <v>18.246543209876542</v>
      </c>
      <c r="BE117">
        <f t="shared" si="23"/>
        <v>8.0073677618518513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0.15625</v>
      </c>
      <c r="H118" s="22">
        <v>6.0489899999999999</v>
      </c>
      <c r="I118" s="22">
        <v>-1.51123E-2</v>
      </c>
      <c r="J118" s="22">
        <v>108</v>
      </c>
      <c r="K118" s="22">
        <v>0.15420500000000001</v>
      </c>
      <c r="L118">
        <f t="shared" si="12"/>
        <v>18.65716049382716</v>
      </c>
      <c r="M118">
        <f t="shared" si="13"/>
        <v>2.9151813271604938</v>
      </c>
      <c r="N118" s="9"/>
      <c r="O118" s="22">
        <v>0.44387799999999999</v>
      </c>
      <c r="P118" s="22">
        <v>7.6626300000000001</v>
      </c>
      <c r="Q118" s="22">
        <v>-1.46423E-2</v>
      </c>
      <c r="R118" s="22">
        <v>108</v>
      </c>
      <c r="S118" s="22">
        <v>0.44341999999999998</v>
      </c>
      <c r="T118">
        <f t="shared" si="14"/>
        <v>18.076913580246913</v>
      </c>
      <c r="U118">
        <f t="shared" si="15"/>
        <v>8.0239442461728387</v>
      </c>
      <c r="X118" s="9"/>
      <c r="Y118" s="22">
        <v>0.15625</v>
      </c>
      <c r="Z118" s="22">
        <v>10.953099999999999</v>
      </c>
      <c r="AA118" s="22">
        <v>-1.5213000000000001E-2</v>
      </c>
      <c r="AB118" s="22">
        <v>108</v>
      </c>
      <c r="AC118" s="22">
        <v>0.15521199999999999</v>
      </c>
      <c r="AD118">
        <f t="shared" si="16"/>
        <v>18.781481481481482</v>
      </c>
      <c r="AE118">
        <f t="shared" si="17"/>
        <v>2.9346064814814814</v>
      </c>
      <c r="AF118" s="9"/>
      <c r="AG118" s="22">
        <v>0.44387799999999999</v>
      </c>
      <c r="AH118" s="22">
        <v>12.566800000000001</v>
      </c>
      <c r="AI118" s="22">
        <v>-1.4898700000000001E-2</v>
      </c>
      <c r="AJ118" s="22">
        <v>108</v>
      </c>
      <c r="AK118" s="22">
        <v>0.44339000000000001</v>
      </c>
      <c r="AL118">
        <f t="shared" si="18"/>
        <v>18.393456790123455</v>
      </c>
      <c r="AM118">
        <f t="shared" si="19"/>
        <v>8.1644508130864182</v>
      </c>
      <c r="AP118" s="9"/>
      <c r="AQ118" s="22">
        <v>0.15625</v>
      </c>
      <c r="AR118" s="22">
        <v>15.8413</v>
      </c>
      <c r="AS118" s="22">
        <v>-1.51886E-2</v>
      </c>
      <c r="AT118" s="22">
        <v>108</v>
      </c>
      <c r="AU118" s="22">
        <v>0.155609</v>
      </c>
      <c r="AV118">
        <f t="shared" si="20"/>
        <v>18.751358024691356</v>
      </c>
      <c r="AW118">
        <f t="shared" si="21"/>
        <v>2.9298996913580244</v>
      </c>
      <c r="AX118" s="9"/>
      <c r="AY118" s="22">
        <v>0.44387799999999999</v>
      </c>
      <c r="AZ118" s="22">
        <v>17.454999999999998</v>
      </c>
      <c r="BA118" s="22">
        <v>-1.4767499999999999E-2</v>
      </c>
      <c r="BB118" s="22">
        <v>108</v>
      </c>
      <c r="BC118" s="22">
        <v>0.44329800000000003</v>
      </c>
      <c r="BD118">
        <f t="shared" si="22"/>
        <v>18.231481481481481</v>
      </c>
      <c r="BE118">
        <f t="shared" si="23"/>
        <v>8.0925535370370358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0.15121499999999999</v>
      </c>
      <c r="H119" s="22">
        <v>6.0590599999999997</v>
      </c>
      <c r="I119" s="22">
        <v>-1.51062E-2</v>
      </c>
      <c r="J119" s="22">
        <v>109</v>
      </c>
      <c r="K119" s="22">
        <v>0.15023800000000001</v>
      </c>
      <c r="L119">
        <f t="shared" si="12"/>
        <v>18.649629629629626</v>
      </c>
      <c r="M119">
        <f t="shared" si="13"/>
        <v>2.8201037444444434</v>
      </c>
      <c r="N119" s="9"/>
      <c r="O119" s="22">
        <v>0.44891399999999998</v>
      </c>
      <c r="P119" s="22">
        <v>7.6726999999999999</v>
      </c>
      <c r="Q119" s="22">
        <v>-1.4611799999999999E-2</v>
      </c>
      <c r="R119" s="22">
        <v>109</v>
      </c>
      <c r="S119" s="22">
        <v>0.44833400000000001</v>
      </c>
      <c r="T119">
        <f t="shared" si="14"/>
        <v>18.039259259259257</v>
      </c>
      <c r="U119">
        <f t="shared" si="15"/>
        <v>8.0980760311111091</v>
      </c>
      <c r="X119" s="9"/>
      <c r="Y119" s="22">
        <v>0.15121499999999999</v>
      </c>
      <c r="Z119" s="22">
        <v>10.963200000000001</v>
      </c>
      <c r="AA119" s="22">
        <v>-1.5219099999999999E-2</v>
      </c>
      <c r="AB119" s="22">
        <v>109</v>
      </c>
      <c r="AC119" s="22">
        <v>0.15109300000000001</v>
      </c>
      <c r="AD119">
        <f t="shared" si="16"/>
        <v>18.789012345679012</v>
      </c>
      <c r="AE119">
        <f t="shared" si="17"/>
        <v>2.8411805018518517</v>
      </c>
      <c r="AF119" s="9"/>
      <c r="AG119" s="22">
        <v>0.44891399999999998</v>
      </c>
      <c r="AH119" s="22">
        <v>12.5769</v>
      </c>
      <c r="AI119" s="22">
        <v>-1.48895E-2</v>
      </c>
      <c r="AJ119" s="22">
        <v>109</v>
      </c>
      <c r="AK119" s="22">
        <v>0.44827299999999998</v>
      </c>
      <c r="AL119">
        <f t="shared" si="18"/>
        <v>18.382098765432101</v>
      </c>
      <c r="AM119">
        <f t="shared" si="19"/>
        <v>8.2519814851851852</v>
      </c>
      <c r="AP119" s="9"/>
      <c r="AQ119" s="22">
        <v>0.15121499999999999</v>
      </c>
      <c r="AR119" s="22">
        <v>15.8514</v>
      </c>
      <c r="AS119" s="22">
        <v>-1.5197799999999999E-2</v>
      </c>
      <c r="AT119" s="22">
        <v>109</v>
      </c>
      <c r="AU119" s="22">
        <v>0.150726</v>
      </c>
      <c r="AV119">
        <f t="shared" si="20"/>
        <v>18.762716049382714</v>
      </c>
      <c r="AW119">
        <f t="shared" si="21"/>
        <v>2.8372041074074068</v>
      </c>
      <c r="AX119" s="9"/>
      <c r="AY119" s="22">
        <v>0.44891399999999998</v>
      </c>
      <c r="AZ119" s="22">
        <v>17.465</v>
      </c>
      <c r="BA119" s="22">
        <v>-1.47583E-2</v>
      </c>
      <c r="BB119" s="22">
        <v>109</v>
      </c>
      <c r="BC119" s="22">
        <v>0.44866899999999998</v>
      </c>
      <c r="BD119">
        <f t="shared" si="22"/>
        <v>18.22012345679012</v>
      </c>
      <c r="BE119">
        <f t="shared" si="23"/>
        <v>8.179268501481479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0.146179</v>
      </c>
      <c r="H120" s="22">
        <v>6.0691300000000004</v>
      </c>
      <c r="I120" s="22">
        <v>-1.5118400000000001E-2</v>
      </c>
      <c r="J120" s="22">
        <v>110</v>
      </c>
      <c r="K120" s="22">
        <v>0.14535500000000001</v>
      </c>
      <c r="L120">
        <f t="shared" si="12"/>
        <v>18.66469135802469</v>
      </c>
      <c r="M120">
        <f t="shared" si="13"/>
        <v>2.7283859180246912</v>
      </c>
      <c r="N120" s="9"/>
      <c r="O120" s="22">
        <v>0.45394899999999999</v>
      </c>
      <c r="P120" s="22">
        <v>7.6827800000000002</v>
      </c>
      <c r="Q120" s="22">
        <v>-1.46027E-2</v>
      </c>
      <c r="R120" s="22">
        <v>110</v>
      </c>
      <c r="S120" s="22">
        <v>0.453094</v>
      </c>
      <c r="T120">
        <f t="shared" si="14"/>
        <v>18.028024691358024</v>
      </c>
      <c r="U120">
        <f t="shared" si="15"/>
        <v>8.1838037806172839</v>
      </c>
      <c r="X120" s="9"/>
      <c r="Y120" s="22">
        <v>0.146179</v>
      </c>
      <c r="Z120" s="22">
        <v>10.9733</v>
      </c>
      <c r="AA120" s="22">
        <v>-1.52313E-2</v>
      </c>
      <c r="AB120" s="22">
        <v>110</v>
      </c>
      <c r="AC120" s="22">
        <v>0.14450099999999999</v>
      </c>
      <c r="AD120">
        <f t="shared" si="16"/>
        <v>18.804074074074073</v>
      </c>
      <c r="AE120">
        <f t="shared" si="17"/>
        <v>2.7487607440740738</v>
      </c>
      <c r="AF120" s="9"/>
      <c r="AG120" s="22">
        <v>0.45394899999999999</v>
      </c>
      <c r="AH120" s="22">
        <v>12.5869</v>
      </c>
      <c r="AI120" s="22">
        <v>-1.48804E-2</v>
      </c>
      <c r="AJ120" s="22">
        <v>110</v>
      </c>
      <c r="AK120" s="22">
        <v>0.45297199999999999</v>
      </c>
      <c r="AL120">
        <f t="shared" si="18"/>
        <v>18.370864197530864</v>
      </c>
      <c r="AM120">
        <f t="shared" si="19"/>
        <v>8.3394354316049384</v>
      </c>
      <c r="AP120" s="9"/>
      <c r="AQ120" s="22">
        <v>0.146179</v>
      </c>
      <c r="AR120" s="22">
        <v>15.861499999999999</v>
      </c>
      <c r="AS120" s="22">
        <v>-1.521E-2</v>
      </c>
      <c r="AT120" s="22">
        <v>110</v>
      </c>
      <c r="AU120" s="22">
        <v>0.14532500000000001</v>
      </c>
      <c r="AV120">
        <f t="shared" si="20"/>
        <v>18.777777777777775</v>
      </c>
      <c r="AW120">
        <f t="shared" si="21"/>
        <v>2.7449167777777777</v>
      </c>
      <c r="AX120" s="9"/>
      <c r="AY120" s="22">
        <v>0.45394899999999999</v>
      </c>
      <c r="AZ120" s="22">
        <v>17.475100000000001</v>
      </c>
      <c r="BA120" s="22">
        <v>-1.47522E-2</v>
      </c>
      <c r="BB120" s="22">
        <v>110</v>
      </c>
      <c r="BC120" s="22">
        <v>0.45327800000000001</v>
      </c>
      <c r="BD120">
        <f t="shared" si="22"/>
        <v>18.212592592592593</v>
      </c>
      <c r="BE120">
        <f t="shared" si="23"/>
        <v>8.2675881948148149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0.14114399999999999</v>
      </c>
      <c r="H121" s="22">
        <v>6.0792000000000002</v>
      </c>
      <c r="I121" s="22">
        <v>-1.51215E-2</v>
      </c>
      <c r="J121" s="22">
        <v>111</v>
      </c>
      <c r="K121" s="22">
        <v>0.14169300000000001</v>
      </c>
      <c r="L121">
        <f t="shared" si="12"/>
        <v>18.668518518518518</v>
      </c>
      <c r="M121">
        <f t="shared" si="13"/>
        <v>2.6349493777777777</v>
      </c>
      <c r="N121" s="9"/>
      <c r="O121" s="22">
        <v>0.458984</v>
      </c>
      <c r="P121" s="22">
        <v>7.69285</v>
      </c>
      <c r="Q121" s="22">
        <v>-1.4584400000000001E-2</v>
      </c>
      <c r="R121" s="22">
        <v>111</v>
      </c>
      <c r="S121" s="22">
        <v>0.45861800000000003</v>
      </c>
      <c r="T121">
        <f t="shared" si="14"/>
        <v>18.005432098765432</v>
      </c>
      <c r="U121">
        <f t="shared" si="15"/>
        <v>8.2642052464197526</v>
      </c>
      <c r="X121" s="9"/>
      <c r="Y121" s="22">
        <v>0.14114399999999999</v>
      </c>
      <c r="Z121" s="22">
        <v>10.9834</v>
      </c>
      <c r="AA121" s="22">
        <v>-1.52435E-2</v>
      </c>
      <c r="AB121" s="22">
        <v>111</v>
      </c>
      <c r="AC121" s="22">
        <v>0.140625</v>
      </c>
      <c r="AD121">
        <f t="shared" si="16"/>
        <v>18.819135802469134</v>
      </c>
      <c r="AE121">
        <f t="shared" si="17"/>
        <v>2.6562081037037033</v>
      </c>
      <c r="AF121" s="9"/>
      <c r="AG121" s="22">
        <v>0.458984</v>
      </c>
      <c r="AH121" s="22">
        <v>12.597</v>
      </c>
      <c r="AI121" s="22">
        <v>-1.4871199999999999E-2</v>
      </c>
      <c r="AJ121" s="22">
        <v>111</v>
      </c>
      <c r="AK121" s="22">
        <v>0.45834399999999997</v>
      </c>
      <c r="AL121">
        <f t="shared" si="18"/>
        <v>18.359506172839506</v>
      </c>
      <c r="AM121">
        <f t="shared" si="19"/>
        <v>8.4267195812345683</v>
      </c>
      <c r="AP121" s="9"/>
      <c r="AQ121" s="22">
        <v>0.14114399999999999</v>
      </c>
      <c r="AR121" s="22">
        <v>15.871499999999999</v>
      </c>
      <c r="AS121" s="22">
        <v>-1.52222E-2</v>
      </c>
      <c r="AT121" s="22">
        <v>111</v>
      </c>
      <c r="AU121" s="22">
        <v>0.140594</v>
      </c>
      <c r="AV121">
        <f t="shared" si="20"/>
        <v>18.792839506172839</v>
      </c>
      <c r="AW121">
        <f t="shared" si="21"/>
        <v>2.6524965392592592</v>
      </c>
      <c r="AX121" s="9"/>
      <c r="AY121" s="22">
        <v>0.458984</v>
      </c>
      <c r="AZ121" s="22">
        <v>17.485199999999999</v>
      </c>
      <c r="BA121" s="22">
        <v>-1.4742999999999999E-2</v>
      </c>
      <c r="BB121" s="22">
        <v>111</v>
      </c>
      <c r="BC121" s="22">
        <v>0.45822099999999999</v>
      </c>
      <c r="BD121">
        <f t="shared" si="22"/>
        <v>18.201234567901235</v>
      </c>
      <c r="BE121">
        <f t="shared" si="23"/>
        <v>8.3540754469135798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0.13610800000000001</v>
      </c>
      <c r="H122" s="22">
        <v>6.08927</v>
      </c>
      <c r="I122" s="22">
        <v>-1.5124500000000001E-2</v>
      </c>
      <c r="J122" s="22">
        <v>112</v>
      </c>
      <c r="K122" s="22">
        <v>0.13592499999999999</v>
      </c>
      <c r="L122">
        <f t="shared" si="12"/>
        <v>18.672222222222221</v>
      </c>
      <c r="M122">
        <f t="shared" si="13"/>
        <v>2.5414388222222222</v>
      </c>
      <c r="N122" s="9"/>
      <c r="O122" s="22">
        <v>0.46401999999999999</v>
      </c>
      <c r="P122" s="22">
        <v>7.7029199999999998</v>
      </c>
      <c r="Q122" s="22">
        <v>-1.4578199999999999E-2</v>
      </c>
      <c r="R122" s="22">
        <v>112</v>
      </c>
      <c r="S122" s="22">
        <v>0.46231100000000003</v>
      </c>
      <c r="T122">
        <f t="shared" si="14"/>
        <v>17.997777777777777</v>
      </c>
      <c r="U122">
        <f t="shared" si="15"/>
        <v>8.3513288444444438</v>
      </c>
      <c r="X122" s="9"/>
      <c r="Y122" s="22">
        <v>0.13610800000000001</v>
      </c>
      <c r="Z122" s="22">
        <v>10.993399999999999</v>
      </c>
      <c r="AA122" s="22">
        <v>-1.5252699999999999E-2</v>
      </c>
      <c r="AB122" s="22">
        <v>112</v>
      </c>
      <c r="AC122" s="22">
        <v>0.135712</v>
      </c>
      <c r="AD122">
        <f t="shared" si="16"/>
        <v>18.830493827160492</v>
      </c>
      <c r="AE122">
        <f t="shared" si="17"/>
        <v>2.5629808538271606</v>
      </c>
      <c r="AF122" s="9"/>
      <c r="AG122" s="22">
        <v>0.46401999999999999</v>
      </c>
      <c r="AH122" s="22">
        <v>12.607100000000001</v>
      </c>
      <c r="AI122" s="22">
        <v>-1.48621E-2</v>
      </c>
      <c r="AJ122" s="22">
        <v>112</v>
      </c>
      <c r="AK122" s="22">
        <v>0.46322600000000003</v>
      </c>
      <c r="AL122">
        <f t="shared" si="18"/>
        <v>18.348271604938269</v>
      </c>
      <c r="AM122">
        <f t="shared" si="19"/>
        <v>8.5139649901234549</v>
      </c>
      <c r="AP122" s="9"/>
      <c r="AQ122" s="22">
        <v>0.13610800000000001</v>
      </c>
      <c r="AR122" s="22">
        <v>15.881600000000001</v>
      </c>
      <c r="AS122" s="22">
        <v>-1.52313E-2</v>
      </c>
      <c r="AT122" s="22">
        <v>112</v>
      </c>
      <c r="AU122" s="22">
        <v>0.13580300000000001</v>
      </c>
      <c r="AV122">
        <f t="shared" si="20"/>
        <v>18.804074074074073</v>
      </c>
      <c r="AW122">
        <f t="shared" si="21"/>
        <v>2.5593849140740739</v>
      </c>
      <c r="AX122" s="9"/>
      <c r="AY122" s="22">
        <v>0.46401999999999999</v>
      </c>
      <c r="AZ122" s="22">
        <v>17.495200000000001</v>
      </c>
      <c r="BA122" s="22">
        <v>-1.4733899999999999E-2</v>
      </c>
      <c r="BB122" s="22">
        <v>112</v>
      </c>
      <c r="BC122" s="22">
        <v>0.46359299999999998</v>
      </c>
      <c r="BD122">
        <f t="shared" si="22"/>
        <v>18.189999999999998</v>
      </c>
      <c r="BE122">
        <f t="shared" si="23"/>
        <v>8.4405237999999994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0.131073</v>
      </c>
      <c r="H123" s="22">
        <v>6.0993399999999998</v>
      </c>
      <c r="I123" s="22">
        <v>-1.5130599999999999E-2</v>
      </c>
      <c r="J123" s="22">
        <v>113</v>
      </c>
      <c r="K123" s="22">
        <v>0.130249</v>
      </c>
      <c r="L123">
        <f t="shared" si="12"/>
        <v>18.679753086419751</v>
      </c>
      <c r="M123">
        <f t="shared" si="13"/>
        <v>2.4484112762962957</v>
      </c>
      <c r="N123" s="9"/>
      <c r="O123" s="22">
        <v>0.469055</v>
      </c>
      <c r="P123" s="22">
        <v>7.7129899999999996</v>
      </c>
      <c r="Q123" s="22">
        <v>-1.4566000000000001E-2</v>
      </c>
      <c r="R123" s="22">
        <v>113</v>
      </c>
      <c r="S123" s="22">
        <v>0.46637000000000001</v>
      </c>
      <c r="T123">
        <f t="shared" si="14"/>
        <v>17.982716049382717</v>
      </c>
      <c r="U123">
        <f t="shared" si="15"/>
        <v>8.4348828765432096</v>
      </c>
      <c r="X123" s="9"/>
      <c r="Y123" s="22">
        <v>0.131073</v>
      </c>
      <c r="Z123" s="22">
        <v>11.003500000000001</v>
      </c>
      <c r="AA123" s="22">
        <v>-1.5261800000000001E-2</v>
      </c>
      <c r="AB123" s="22">
        <v>113</v>
      </c>
      <c r="AC123" s="22">
        <v>0.13064600000000001</v>
      </c>
      <c r="AD123">
        <f t="shared" si="16"/>
        <v>18.841728395061729</v>
      </c>
      <c r="AE123">
        <f t="shared" si="17"/>
        <v>2.4696418659259258</v>
      </c>
      <c r="AF123" s="9"/>
      <c r="AG123" s="22">
        <v>0.469055</v>
      </c>
      <c r="AH123" s="22">
        <v>12.617100000000001</v>
      </c>
      <c r="AI123" s="22">
        <v>-1.48529E-2</v>
      </c>
      <c r="AJ123" s="22">
        <v>113</v>
      </c>
      <c r="AK123" s="22">
        <v>0.46832299999999999</v>
      </c>
      <c r="AL123">
        <f t="shared" si="18"/>
        <v>18.336913580246915</v>
      </c>
      <c r="AM123">
        <f t="shared" si="19"/>
        <v>8.6010209993827171</v>
      </c>
      <c r="AP123" s="9"/>
      <c r="AQ123" s="22">
        <v>0.131073</v>
      </c>
      <c r="AR123" s="22">
        <v>15.8917</v>
      </c>
      <c r="AS123" s="22">
        <v>-1.5240500000000001E-2</v>
      </c>
      <c r="AT123" s="22">
        <v>113</v>
      </c>
      <c r="AU123" s="22">
        <v>0.13028000000000001</v>
      </c>
      <c r="AV123">
        <f t="shared" si="20"/>
        <v>18.815432098765431</v>
      </c>
      <c r="AW123">
        <f t="shared" si="21"/>
        <v>2.4661951314814812</v>
      </c>
      <c r="AX123" s="9"/>
      <c r="AY123" s="22">
        <v>0.469055</v>
      </c>
      <c r="AZ123" s="22">
        <v>17.505299999999998</v>
      </c>
      <c r="BA123" s="22">
        <v>-1.47186E-2</v>
      </c>
      <c r="BB123" s="22">
        <v>113</v>
      </c>
      <c r="BC123" s="22">
        <v>0.46816999999999998</v>
      </c>
      <c r="BD123">
        <f t="shared" si="22"/>
        <v>18.171111111111109</v>
      </c>
      <c r="BE123">
        <f t="shared" si="23"/>
        <v>8.5232505222222219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0.12603800000000001</v>
      </c>
      <c r="H124" s="22">
        <v>6.1094099999999996</v>
      </c>
      <c r="I124" s="22">
        <v>-1.51428E-2</v>
      </c>
      <c r="J124" s="22">
        <v>114</v>
      </c>
      <c r="K124" s="22">
        <v>0.12493899999999999</v>
      </c>
      <c r="L124">
        <f t="shared" si="12"/>
        <v>18.694814814814812</v>
      </c>
      <c r="M124">
        <f t="shared" si="13"/>
        <v>2.3562570696296294</v>
      </c>
      <c r="N124" s="9"/>
      <c r="O124" s="22">
        <v>0.47409099999999998</v>
      </c>
      <c r="P124" s="22">
        <v>7.7230600000000003</v>
      </c>
      <c r="Q124" s="22">
        <v>-1.4550799999999999E-2</v>
      </c>
      <c r="R124" s="22">
        <v>114</v>
      </c>
      <c r="S124" s="22">
        <v>0.47226000000000001</v>
      </c>
      <c r="T124">
        <f t="shared" si="14"/>
        <v>17.963950617283949</v>
      </c>
      <c r="U124">
        <f t="shared" si="15"/>
        <v>8.5165473120987638</v>
      </c>
      <c r="X124" s="9"/>
      <c r="Y124" s="22">
        <v>0.12603800000000001</v>
      </c>
      <c r="Z124" s="22">
        <v>11.0136</v>
      </c>
      <c r="AA124" s="22">
        <v>-1.5271E-2</v>
      </c>
      <c r="AB124" s="22">
        <v>114</v>
      </c>
      <c r="AC124" s="22">
        <v>0.125946</v>
      </c>
      <c r="AD124">
        <f t="shared" si="16"/>
        <v>18.853086419753083</v>
      </c>
      <c r="AE124">
        <f t="shared" si="17"/>
        <v>2.3762053061728392</v>
      </c>
      <c r="AF124" s="9"/>
      <c r="AG124" s="22">
        <v>0.47409099999999998</v>
      </c>
      <c r="AH124" s="22">
        <v>12.6272</v>
      </c>
      <c r="AI124" s="22">
        <v>-1.48407E-2</v>
      </c>
      <c r="AJ124" s="22">
        <v>114</v>
      </c>
      <c r="AK124" s="22">
        <v>0.47351100000000002</v>
      </c>
      <c r="AL124">
        <f t="shared" si="18"/>
        <v>18.32185185185185</v>
      </c>
      <c r="AM124">
        <f t="shared" si="19"/>
        <v>8.686225066296295</v>
      </c>
      <c r="AP124" s="9"/>
      <c r="AQ124" s="22">
        <v>0.12603800000000001</v>
      </c>
      <c r="AR124" s="22">
        <v>15.9017</v>
      </c>
      <c r="AS124" s="22">
        <v>-1.52496E-2</v>
      </c>
      <c r="AT124" s="22">
        <v>114</v>
      </c>
      <c r="AU124" s="22">
        <v>0.12606800000000001</v>
      </c>
      <c r="AV124">
        <f t="shared" si="20"/>
        <v>18.826666666666664</v>
      </c>
      <c r="AW124">
        <f t="shared" si="21"/>
        <v>2.3728754133333334</v>
      </c>
      <c r="AX124" s="9"/>
      <c r="AY124" s="22">
        <v>0.47409099999999998</v>
      </c>
      <c r="AZ124" s="22">
        <v>17.5154</v>
      </c>
      <c r="BA124" s="22">
        <v>-1.4715600000000001E-2</v>
      </c>
      <c r="BB124" s="22">
        <v>114</v>
      </c>
      <c r="BC124" s="22">
        <v>0.47466999999999998</v>
      </c>
      <c r="BD124">
        <f t="shared" si="22"/>
        <v>18.167407407407406</v>
      </c>
      <c r="BE124">
        <f t="shared" si="23"/>
        <v>8.6130043451851837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0.121002</v>
      </c>
      <c r="H125" s="22">
        <v>6.1194800000000003</v>
      </c>
      <c r="I125" s="22">
        <v>-1.5155E-2</v>
      </c>
      <c r="J125" s="22">
        <v>115</v>
      </c>
      <c r="K125" s="22">
        <v>0.119934</v>
      </c>
      <c r="L125">
        <f t="shared" si="12"/>
        <v>18.709876543209877</v>
      </c>
      <c r="M125">
        <f t="shared" si="13"/>
        <v>2.2639324814814814</v>
      </c>
      <c r="N125" s="9"/>
      <c r="O125" s="22">
        <v>0.479126</v>
      </c>
      <c r="P125" s="22">
        <v>7.7331300000000001</v>
      </c>
      <c r="Q125" s="22">
        <v>-1.45416E-2</v>
      </c>
      <c r="R125" s="22">
        <v>115</v>
      </c>
      <c r="S125" s="22">
        <v>0.480103</v>
      </c>
      <c r="T125">
        <f t="shared" si="14"/>
        <v>17.952592592592595</v>
      </c>
      <c r="U125">
        <f t="shared" si="15"/>
        <v>8.6015538785185193</v>
      </c>
      <c r="X125" s="9"/>
      <c r="Y125" s="22">
        <v>0.121002</v>
      </c>
      <c r="Z125" s="22">
        <v>11.0236</v>
      </c>
      <c r="AA125" s="22">
        <v>-1.5280200000000001E-2</v>
      </c>
      <c r="AB125" s="22">
        <v>115</v>
      </c>
      <c r="AC125" s="22">
        <v>0.11987299999999999</v>
      </c>
      <c r="AD125">
        <f t="shared" si="16"/>
        <v>18.864444444444445</v>
      </c>
      <c r="AE125">
        <f t="shared" si="17"/>
        <v>2.2826355066666668</v>
      </c>
      <c r="AF125" s="9"/>
      <c r="AG125" s="22">
        <v>0.479126</v>
      </c>
      <c r="AH125" s="22">
        <v>12.6373</v>
      </c>
      <c r="AI125" s="22">
        <v>-1.4831499999999999E-2</v>
      </c>
      <c r="AJ125" s="22">
        <v>115</v>
      </c>
      <c r="AK125" s="22">
        <v>0.47839399999999999</v>
      </c>
      <c r="AL125">
        <f t="shared" si="18"/>
        <v>18.310493827160489</v>
      </c>
      <c r="AM125">
        <f t="shared" si="19"/>
        <v>8.7730336654320968</v>
      </c>
      <c r="AP125" s="9"/>
      <c r="AQ125" s="22">
        <v>0.121002</v>
      </c>
      <c r="AR125" s="22">
        <v>15.911799999999999</v>
      </c>
      <c r="AS125" s="22">
        <v>-1.5258799999999999E-2</v>
      </c>
      <c r="AT125" s="22">
        <v>115</v>
      </c>
      <c r="AU125" s="22">
        <v>0.120209</v>
      </c>
      <c r="AV125">
        <f t="shared" si="20"/>
        <v>18.838024691358022</v>
      </c>
      <c r="AW125">
        <f t="shared" si="21"/>
        <v>2.2794386637037034</v>
      </c>
      <c r="AX125" s="9"/>
      <c r="AY125" s="22">
        <v>0.479126</v>
      </c>
      <c r="AZ125" s="22">
        <v>17.525500000000001</v>
      </c>
      <c r="BA125" s="22">
        <v>-1.47125E-2</v>
      </c>
      <c r="BB125" s="22">
        <v>115</v>
      </c>
      <c r="BC125" s="22">
        <v>0.47836299999999998</v>
      </c>
      <c r="BD125">
        <f t="shared" si="22"/>
        <v>18.163580246913579</v>
      </c>
      <c r="BE125">
        <f t="shared" si="23"/>
        <v>8.7026435493827154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0.115967</v>
      </c>
      <c r="H126" s="22">
        <v>6.1295599999999997</v>
      </c>
      <c r="I126" s="22">
        <v>-1.5164199999999999E-2</v>
      </c>
      <c r="J126" s="22">
        <v>116</v>
      </c>
      <c r="K126" s="22">
        <v>0.11651599999999999</v>
      </c>
      <c r="L126">
        <f t="shared" si="12"/>
        <v>18.721234567901234</v>
      </c>
      <c r="M126">
        <f t="shared" si="13"/>
        <v>2.1710454091358025</v>
      </c>
      <c r="N126" s="9"/>
      <c r="O126" s="22">
        <v>0.48416100000000001</v>
      </c>
      <c r="P126" s="22">
        <v>7.7431999999999999</v>
      </c>
      <c r="Q126" s="22">
        <v>-1.45264E-2</v>
      </c>
      <c r="R126" s="22">
        <v>116</v>
      </c>
      <c r="S126" s="22">
        <v>0.48382599999999998</v>
      </c>
      <c r="T126">
        <f t="shared" si="14"/>
        <v>17.933827160493827</v>
      </c>
      <c r="U126">
        <f t="shared" si="15"/>
        <v>8.6828596918518528</v>
      </c>
      <c r="X126" s="9"/>
      <c r="Y126" s="22">
        <v>0.115967</v>
      </c>
      <c r="Z126" s="22">
        <v>11.0337</v>
      </c>
      <c r="AA126" s="22">
        <v>-1.52893E-2</v>
      </c>
      <c r="AB126" s="22">
        <v>116</v>
      </c>
      <c r="AC126" s="22">
        <v>0.115051</v>
      </c>
      <c r="AD126">
        <f t="shared" si="16"/>
        <v>18.875679012345678</v>
      </c>
      <c r="AE126">
        <f t="shared" si="17"/>
        <v>2.1889558680246912</v>
      </c>
      <c r="AF126" s="9"/>
      <c r="AG126" s="22">
        <v>0.48416100000000001</v>
      </c>
      <c r="AH126" s="22">
        <v>12.647399999999999</v>
      </c>
      <c r="AI126" s="22">
        <v>-1.4822399999999999E-2</v>
      </c>
      <c r="AJ126" s="22">
        <v>116</v>
      </c>
      <c r="AK126" s="22">
        <v>0.48355100000000001</v>
      </c>
      <c r="AL126">
        <f t="shared" si="18"/>
        <v>18.299259259259259</v>
      </c>
      <c r="AM126">
        <f t="shared" si="19"/>
        <v>8.8597876622222227</v>
      </c>
      <c r="AP126" s="9"/>
      <c r="AQ126" s="22">
        <v>0.115967</v>
      </c>
      <c r="AR126" s="22">
        <v>15.921900000000001</v>
      </c>
      <c r="AS126" s="22">
        <v>-1.52649E-2</v>
      </c>
      <c r="AT126" s="22">
        <v>116</v>
      </c>
      <c r="AU126" s="22">
        <v>0.11605799999999999</v>
      </c>
      <c r="AV126">
        <f t="shared" si="20"/>
        <v>18.845555555555553</v>
      </c>
      <c r="AW126">
        <f t="shared" si="21"/>
        <v>2.1854625411111108</v>
      </c>
      <c r="AX126" s="9"/>
      <c r="AY126" s="22">
        <v>0.48416100000000001</v>
      </c>
      <c r="AZ126" s="22">
        <v>17.535499999999999</v>
      </c>
      <c r="BA126" s="22">
        <v>-1.46973E-2</v>
      </c>
      <c r="BB126" s="22">
        <v>116</v>
      </c>
      <c r="BC126" s="22">
        <v>0.48330699999999999</v>
      </c>
      <c r="BD126">
        <f t="shared" si="22"/>
        <v>18.144814814814815</v>
      </c>
      <c r="BE126">
        <f t="shared" si="23"/>
        <v>8.7850116855555562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0.110931</v>
      </c>
      <c r="H127" s="22">
        <v>6.1396300000000004</v>
      </c>
      <c r="I127" s="22">
        <v>-1.5173300000000001E-2</v>
      </c>
      <c r="J127" s="22">
        <v>117</v>
      </c>
      <c r="K127" s="22">
        <v>0.110168</v>
      </c>
      <c r="L127">
        <f t="shared" si="12"/>
        <v>18.732469135802468</v>
      </c>
      <c r="M127">
        <f t="shared" si="13"/>
        <v>2.0780115337037035</v>
      </c>
      <c r="N127" s="9"/>
      <c r="O127" s="22">
        <v>0.48919699999999999</v>
      </c>
      <c r="P127" s="22">
        <v>7.7532699999999997</v>
      </c>
      <c r="Q127" s="22">
        <v>-1.45142E-2</v>
      </c>
      <c r="R127" s="22">
        <v>117</v>
      </c>
      <c r="S127" s="22">
        <v>0.488678</v>
      </c>
      <c r="T127">
        <f t="shared" si="14"/>
        <v>17.918765432098763</v>
      </c>
      <c r="U127">
        <f t="shared" si="15"/>
        <v>8.7658062930864187</v>
      </c>
      <c r="X127" s="9"/>
      <c r="Y127" s="22">
        <v>0.110931</v>
      </c>
      <c r="Z127" s="22">
        <v>11.043799999999999</v>
      </c>
      <c r="AA127" s="22">
        <v>-1.5301500000000001E-2</v>
      </c>
      <c r="AB127" s="22">
        <v>117</v>
      </c>
      <c r="AC127" s="22">
        <v>0.11053499999999999</v>
      </c>
      <c r="AD127">
        <f t="shared" si="16"/>
        <v>18.890740740740739</v>
      </c>
      <c r="AE127">
        <f t="shared" si="17"/>
        <v>2.0955687611111111</v>
      </c>
      <c r="AF127" s="9"/>
      <c r="AG127" s="22">
        <v>0.48919699999999999</v>
      </c>
      <c r="AH127" s="22">
        <v>12.657400000000001</v>
      </c>
      <c r="AI127" s="22">
        <v>-1.4810200000000001E-2</v>
      </c>
      <c r="AJ127" s="22">
        <v>117</v>
      </c>
      <c r="AK127" s="22">
        <v>0.48855599999999999</v>
      </c>
      <c r="AL127">
        <f t="shared" si="18"/>
        <v>18.284197530864198</v>
      </c>
      <c r="AM127">
        <f t="shared" si="19"/>
        <v>8.9445745795061722</v>
      </c>
      <c r="AP127" s="9"/>
      <c r="AQ127" s="22">
        <v>0.110931</v>
      </c>
      <c r="AR127" s="22">
        <v>15.932</v>
      </c>
      <c r="AS127" s="22">
        <v>-1.5271E-2</v>
      </c>
      <c r="AT127" s="22">
        <v>117</v>
      </c>
      <c r="AU127" s="22">
        <v>0.110291</v>
      </c>
      <c r="AV127">
        <f t="shared" si="20"/>
        <v>18.853086419753083</v>
      </c>
      <c r="AW127">
        <f t="shared" si="21"/>
        <v>2.0913917296296294</v>
      </c>
      <c r="AX127" s="9"/>
      <c r="AY127" s="22">
        <v>0.48919699999999999</v>
      </c>
      <c r="AZ127" s="22">
        <v>17.5456</v>
      </c>
      <c r="BA127" s="22">
        <v>-1.4700299999999999E-2</v>
      </c>
      <c r="BB127" s="22">
        <v>117</v>
      </c>
      <c r="BC127" s="22">
        <v>0.48974600000000001</v>
      </c>
      <c r="BD127">
        <f t="shared" si="22"/>
        <v>18.148518518518514</v>
      </c>
      <c r="BE127">
        <f t="shared" si="23"/>
        <v>8.8782008137037014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0.105896</v>
      </c>
      <c r="H128" s="22">
        <v>6.1497000000000002</v>
      </c>
      <c r="I128" s="22">
        <v>-1.51764E-2</v>
      </c>
      <c r="J128" s="22">
        <v>118</v>
      </c>
      <c r="K128" s="22">
        <v>0.105408</v>
      </c>
      <c r="L128">
        <f t="shared" si="12"/>
        <v>18.736296296296295</v>
      </c>
      <c r="M128">
        <f t="shared" si="13"/>
        <v>1.9840988325925926</v>
      </c>
      <c r="N128" s="9"/>
      <c r="O128" s="22">
        <v>0.494232</v>
      </c>
      <c r="P128" s="22">
        <v>7.7633400000000004</v>
      </c>
      <c r="Q128" s="22">
        <v>-1.4501999999999999E-2</v>
      </c>
      <c r="R128" s="22">
        <v>118</v>
      </c>
      <c r="S128" s="22">
        <v>0.492676</v>
      </c>
      <c r="T128">
        <f t="shared" si="14"/>
        <v>17.903703703703702</v>
      </c>
      <c r="U128">
        <f t="shared" si="15"/>
        <v>8.8485832888888876</v>
      </c>
      <c r="X128" s="9"/>
      <c r="Y128" s="22">
        <v>0.105896</v>
      </c>
      <c r="Z128" s="22">
        <v>11.053900000000001</v>
      </c>
      <c r="AA128" s="22">
        <v>-1.53107E-2</v>
      </c>
      <c r="AB128" s="22">
        <v>118</v>
      </c>
      <c r="AC128" s="22">
        <v>0.10562100000000001</v>
      </c>
      <c r="AD128">
        <f t="shared" si="16"/>
        <v>18.9020987654321</v>
      </c>
      <c r="AE128">
        <f t="shared" si="17"/>
        <v>2.0016566508641978</v>
      </c>
      <c r="AF128" s="9"/>
      <c r="AG128" s="22">
        <v>0.494232</v>
      </c>
      <c r="AH128" s="22">
        <v>12.6675</v>
      </c>
      <c r="AI128" s="22">
        <v>-1.4801E-2</v>
      </c>
      <c r="AJ128" s="22">
        <v>118</v>
      </c>
      <c r="AK128" s="22">
        <v>0.49334699999999998</v>
      </c>
      <c r="AL128">
        <f t="shared" si="18"/>
        <v>18.27283950617284</v>
      </c>
      <c r="AM128">
        <f t="shared" si="19"/>
        <v>9.0310220148148144</v>
      </c>
      <c r="AP128" s="9"/>
      <c r="AQ128" s="22">
        <v>0.105896</v>
      </c>
      <c r="AR128" s="22">
        <v>15.942</v>
      </c>
      <c r="AS128" s="22">
        <v>-1.5280200000000001E-2</v>
      </c>
      <c r="AT128" s="22">
        <v>118</v>
      </c>
      <c r="AU128" s="22">
        <v>0.105255</v>
      </c>
      <c r="AV128">
        <f t="shared" si="20"/>
        <v>18.864444444444445</v>
      </c>
      <c r="AW128">
        <f t="shared" si="21"/>
        <v>1.997669208888889</v>
      </c>
      <c r="AX128" s="9"/>
      <c r="AY128" s="22">
        <v>0.494232</v>
      </c>
      <c r="AZ128" s="22">
        <v>17.555700000000002</v>
      </c>
      <c r="BA128" s="22">
        <v>-1.47125E-2</v>
      </c>
      <c r="BB128" s="22">
        <v>118</v>
      </c>
      <c r="BC128" s="22">
        <v>0.49346899999999999</v>
      </c>
      <c r="BD128">
        <f t="shared" si="22"/>
        <v>18.163580246913579</v>
      </c>
      <c r="BE128">
        <f t="shared" si="23"/>
        <v>8.9770225925925917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0.10086100000000001</v>
      </c>
      <c r="H129" s="22">
        <v>6.15977</v>
      </c>
      <c r="I129" s="22">
        <v>-1.51825E-2</v>
      </c>
      <c r="J129" s="22">
        <v>119</v>
      </c>
      <c r="K129" s="22">
        <v>9.9975599999999998E-2</v>
      </c>
      <c r="L129">
        <f t="shared" si="12"/>
        <v>18.743827160493826</v>
      </c>
      <c r="M129">
        <f t="shared" si="13"/>
        <v>1.8905211512345679</v>
      </c>
      <c r="N129" s="9"/>
      <c r="O129" s="22">
        <v>0.49926799999999999</v>
      </c>
      <c r="P129" s="22">
        <v>7.7734100000000002</v>
      </c>
      <c r="Q129" s="22">
        <v>-1.44928E-2</v>
      </c>
      <c r="R129" s="22">
        <v>119</v>
      </c>
      <c r="S129" s="22">
        <v>0.49646000000000001</v>
      </c>
      <c r="T129">
        <f t="shared" si="14"/>
        <v>17.892345679012344</v>
      </c>
      <c r="U129">
        <f t="shared" si="15"/>
        <v>8.9330756424691344</v>
      </c>
      <c r="X129" s="9"/>
      <c r="Y129" s="22">
        <v>0.10086100000000001</v>
      </c>
      <c r="Z129" s="22">
        <v>11.0639</v>
      </c>
      <c r="AA129" s="22">
        <v>-1.53229E-2</v>
      </c>
      <c r="AB129" s="22">
        <v>119</v>
      </c>
      <c r="AC129" s="22">
        <v>0.10055500000000001</v>
      </c>
      <c r="AD129">
        <f t="shared" si="16"/>
        <v>18.917160493827158</v>
      </c>
      <c r="AE129">
        <f t="shared" si="17"/>
        <v>1.9080037245679011</v>
      </c>
      <c r="AF129" s="9"/>
      <c r="AG129" s="22">
        <v>0.49926799999999999</v>
      </c>
      <c r="AH129" s="22">
        <v>12.6776</v>
      </c>
      <c r="AI129" s="22">
        <v>-1.47919E-2</v>
      </c>
      <c r="AJ129" s="22">
        <v>119</v>
      </c>
      <c r="AK129" s="22">
        <v>0.49856600000000001</v>
      </c>
      <c r="AL129">
        <f t="shared" si="18"/>
        <v>18.261604938271603</v>
      </c>
      <c r="AM129">
        <f t="shared" si="19"/>
        <v>9.1174349743209859</v>
      </c>
      <c r="AP129" s="9"/>
      <c r="AQ129" s="22">
        <v>0.10086100000000001</v>
      </c>
      <c r="AR129" s="22">
        <v>15.9521</v>
      </c>
      <c r="AS129" s="22">
        <v>-1.52893E-2</v>
      </c>
      <c r="AT129" s="22">
        <v>119</v>
      </c>
      <c r="AU129" s="22">
        <v>0.100311</v>
      </c>
      <c r="AV129">
        <f t="shared" si="20"/>
        <v>18.875679012345678</v>
      </c>
      <c r="AW129">
        <f t="shared" si="21"/>
        <v>1.9038198608641976</v>
      </c>
      <c r="AX129" s="9"/>
      <c r="AY129" s="22">
        <v>0.49926799999999999</v>
      </c>
      <c r="AZ129" s="22">
        <v>17.5657</v>
      </c>
      <c r="BA129" s="22">
        <v>-1.4700299999999999E-2</v>
      </c>
      <c r="BB129" s="22">
        <v>119</v>
      </c>
      <c r="BC129" s="22">
        <v>0.49914599999999998</v>
      </c>
      <c r="BD129">
        <f t="shared" si="22"/>
        <v>18.148518518518514</v>
      </c>
      <c r="BE129">
        <f t="shared" si="23"/>
        <v>9.0609745437037024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9.5825199999999999E-2</v>
      </c>
      <c r="H130" s="22">
        <v>6.1698399999999998</v>
      </c>
      <c r="I130" s="22">
        <v>-1.5197799999999999E-2</v>
      </c>
      <c r="J130" s="22">
        <v>120</v>
      </c>
      <c r="K130" s="22">
        <v>9.5092800000000005E-2</v>
      </c>
      <c r="L130">
        <f t="shared" si="12"/>
        <v>18.762716049382714</v>
      </c>
      <c r="M130">
        <f t="shared" si="13"/>
        <v>1.7979410179753084</v>
      </c>
      <c r="N130" s="9"/>
      <c r="O130" s="22">
        <v>0.50430299999999995</v>
      </c>
      <c r="P130" s="22">
        <v>7.7834899999999996</v>
      </c>
      <c r="Q130" s="22">
        <v>-1.4477500000000001E-2</v>
      </c>
      <c r="R130" s="22">
        <v>120</v>
      </c>
      <c r="S130" s="22">
        <v>0.50311300000000003</v>
      </c>
      <c r="T130">
        <f t="shared" si="14"/>
        <v>17.873456790123456</v>
      </c>
      <c r="U130">
        <f t="shared" si="15"/>
        <v>9.0136378796296288</v>
      </c>
      <c r="X130" s="9"/>
      <c r="Y130" s="22">
        <v>9.5825199999999999E-2</v>
      </c>
      <c r="Z130" s="22">
        <v>11.074</v>
      </c>
      <c r="AA130" s="22">
        <v>-1.5329000000000001E-2</v>
      </c>
      <c r="AB130" s="22">
        <v>120</v>
      </c>
      <c r="AC130" s="22">
        <v>9.4726599999999994E-2</v>
      </c>
      <c r="AD130">
        <f t="shared" si="16"/>
        <v>18.924691358024692</v>
      </c>
      <c r="AE130">
        <f t="shared" si="17"/>
        <v>1.8134623343209877</v>
      </c>
      <c r="AF130" s="9"/>
      <c r="AG130" s="22">
        <v>0.50430299999999995</v>
      </c>
      <c r="AH130" s="22">
        <v>12.6876</v>
      </c>
      <c r="AI130" s="22">
        <v>-1.4782699999999999E-2</v>
      </c>
      <c r="AJ130" s="22">
        <v>120</v>
      </c>
      <c r="AK130" s="22">
        <v>0.50351000000000001</v>
      </c>
      <c r="AL130">
        <f t="shared" si="18"/>
        <v>18.250246913580245</v>
      </c>
      <c r="AM130">
        <f t="shared" si="19"/>
        <v>9.2036542692592569</v>
      </c>
      <c r="AP130" s="9"/>
      <c r="AQ130" s="22">
        <v>9.5825199999999999E-2</v>
      </c>
      <c r="AR130" s="22">
        <v>15.962199999999999</v>
      </c>
      <c r="AS130" s="22">
        <v>-1.5301500000000001E-2</v>
      </c>
      <c r="AT130" s="22">
        <v>120</v>
      </c>
      <c r="AU130" s="22">
        <v>9.5184299999999999E-2</v>
      </c>
      <c r="AV130">
        <f t="shared" si="20"/>
        <v>18.890740740740739</v>
      </c>
      <c r="AW130">
        <f t="shared" si="21"/>
        <v>1.8102090096296295</v>
      </c>
      <c r="AX130" s="9"/>
      <c r="AY130" s="22">
        <v>0.50430299999999995</v>
      </c>
      <c r="AZ130" s="22">
        <v>17.575800000000001</v>
      </c>
      <c r="BA130" s="22">
        <v>-1.46973E-2</v>
      </c>
      <c r="BB130" s="22">
        <v>120</v>
      </c>
      <c r="BC130" s="22">
        <v>0.50393699999999997</v>
      </c>
      <c r="BD130">
        <f t="shared" si="22"/>
        <v>18.144814814814815</v>
      </c>
      <c r="BE130">
        <f t="shared" si="23"/>
        <v>9.150484545555555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9.0789800000000004E-2</v>
      </c>
      <c r="H131" s="22">
        <v>6.1799099999999996</v>
      </c>
      <c r="I131" s="22">
        <v>-1.5197799999999999E-2</v>
      </c>
      <c r="J131" s="22">
        <v>121</v>
      </c>
      <c r="K131" s="22">
        <v>8.9569099999999999E-2</v>
      </c>
      <c r="L131">
        <f t="shared" si="12"/>
        <v>18.762716049382714</v>
      </c>
      <c r="M131">
        <f t="shared" si="13"/>
        <v>1.7034632375802468</v>
      </c>
      <c r="N131" s="9"/>
      <c r="O131" s="22">
        <v>0.50933799999999996</v>
      </c>
      <c r="P131" s="22">
        <v>7.7935600000000003</v>
      </c>
      <c r="Q131" s="22">
        <v>-1.44653E-2</v>
      </c>
      <c r="R131" s="22">
        <v>121</v>
      </c>
      <c r="S131" s="22">
        <v>0.50753800000000004</v>
      </c>
      <c r="T131">
        <f t="shared" si="14"/>
        <v>17.858395061728395</v>
      </c>
      <c r="U131">
        <f t="shared" si="15"/>
        <v>9.0959592239506168</v>
      </c>
      <c r="X131" s="9"/>
      <c r="Y131" s="22">
        <v>9.0789800000000004E-2</v>
      </c>
      <c r="Z131" s="22">
        <v>11.084099999999999</v>
      </c>
      <c r="AA131" s="22">
        <v>-1.53381E-2</v>
      </c>
      <c r="AB131" s="22">
        <v>121</v>
      </c>
      <c r="AC131" s="22">
        <v>9.0515100000000001E-2</v>
      </c>
      <c r="AD131">
        <f t="shared" si="16"/>
        <v>18.935925925925925</v>
      </c>
      <c r="AE131">
        <f t="shared" si="17"/>
        <v>1.7191889276296297</v>
      </c>
      <c r="AF131" s="9"/>
      <c r="AG131" s="22">
        <v>0.50933799999999996</v>
      </c>
      <c r="AH131" s="22">
        <v>12.697699999999999</v>
      </c>
      <c r="AI131" s="22">
        <v>-1.47736E-2</v>
      </c>
      <c r="AJ131" s="22">
        <v>121</v>
      </c>
      <c r="AK131" s="22">
        <v>0.508606</v>
      </c>
      <c r="AL131">
        <f t="shared" si="18"/>
        <v>18.239012345679011</v>
      </c>
      <c r="AM131">
        <f t="shared" si="19"/>
        <v>9.2898220701234564</v>
      </c>
      <c r="AP131" s="9"/>
      <c r="AQ131" s="22">
        <v>9.0789800000000004E-2</v>
      </c>
      <c r="AR131" s="22">
        <v>15.972200000000001</v>
      </c>
      <c r="AS131" s="22">
        <v>-1.53107E-2</v>
      </c>
      <c r="AT131" s="22">
        <v>121</v>
      </c>
      <c r="AU131" s="22">
        <v>9.0118400000000001E-2</v>
      </c>
      <c r="AV131">
        <f t="shared" si="20"/>
        <v>18.9020987654321</v>
      </c>
      <c r="AW131">
        <f t="shared" si="21"/>
        <v>1.7161177664938274</v>
      </c>
      <c r="AX131" s="9"/>
      <c r="AY131" s="22">
        <v>0.50933799999999996</v>
      </c>
      <c r="AZ131" s="22">
        <v>17.585899999999999</v>
      </c>
      <c r="BA131" s="22">
        <v>-1.46851E-2</v>
      </c>
      <c r="BB131" s="22">
        <v>121</v>
      </c>
      <c r="BC131" s="22">
        <v>0.50888100000000003</v>
      </c>
      <c r="BD131">
        <f t="shared" si="22"/>
        <v>18.12975308641975</v>
      </c>
      <c r="BE131">
        <f t="shared" si="23"/>
        <v>9.2341721775308621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8.5754399999999995E-2</v>
      </c>
      <c r="H132" s="22">
        <v>6.1899800000000003</v>
      </c>
      <c r="I132" s="22">
        <v>-1.5206900000000001E-2</v>
      </c>
      <c r="J132" s="22">
        <v>122</v>
      </c>
      <c r="K132" s="22">
        <v>8.4075899999999995E-2</v>
      </c>
      <c r="L132">
        <f t="shared" si="12"/>
        <v>18.773950617283951</v>
      </c>
      <c r="M132">
        <f t="shared" si="13"/>
        <v>1.6099488708148149</v>
      </c>
      <c r="N132" s="9"/>
      <c r="O132" s="22">
        <v>0.514374</v>
      </c>
      <c r="P132" s="22">
        <v>7.8036300000000001</v>
      </c>
      <c r="Q132" s="22">
        <v>-1.44501E-2</v>
      </c>
      <c r="R132" s="22">
        <v>122</v>
      </c>
      <c r="S132" s="22">
        <v>0.51266500000000004</v>
      </c>
      <c r="T132">
        <f t="shared" si="14"/>
        <v>17.839629629629631</v>
      </c>
      <c r="U132">
        <f t="shared" si="15"/>
        <v>9.1762416511111109</v>
      </c>
      <c r="X132" s="9"/>
      <c r="Y132" s="22">
        <v>8.5754399999999995E-2</v>
      </c>
      <c r="Z132" s="22">
        <v>11.094099999999999</v>
      </c>
      <c r="AA132" s="22">
        <v>-1.5350300000000001E-2</v>
      </c>
      <c r="AB132" s="22">
        <v>122</v>
      </c>
      <c r="AC132" s="22">
        <v>8.5357699999999995E-2</v>
      </c>
      <c r="AD132">
        <f t="shared" si="16"/>
        <v>18.95098765432099</v>
      </c>
      <c r="AE132">
        <f t="shared" si="17"/>
        <v>1.6251305757037038</v>
      </c>
      <c r="AF132" s="9"/>
      <c r="AG132" s="22">
        <v>0.514374</v>
      </c>
      <c r="AH132" s="22">
        <v>12.707800000000001</v>
      </c>
      <c r="AI132" s="22">
        <v>-1.4761399999999999E-2</v>
      </c>
      <c r="AJ132" s="22">
        <v>122</v>
      </c>
      <c r="AK132" s="22">
        <v>0.513733</v>
      </c>
      <c r="AL132">
        <f t="shared" si="18"/>
        <v>18.22395061728395</v>
      </c>
      <c r="AM132">
        <f t="shared" si="19"/>
        <v>9.3739263748148147</v>
      </c>
      <c r="AP132" s="9"/>
      <c r="AQ132" s="22">
        <v>8.5754399999999995E-2</v>
      </c>
      <c r="AR132" s="22">
        <v>15.9823</v>
      </c>
      <c r="AS132" s="22">
        <v>-1.53198E-2</v>
      </c>
      <c r="AT132" s="22">
        <v>122</v>
      </c>
      <c r="AU132" s="22">
        <v>8.4838899999999995E-2</v>
      </c>
      <c r="AV132">
        <f t="shared" si="20"/>
        <v>18.91333333333333</v>
      </c>
      <c r="AW132">
        <f t="shared" si="21"/>
        <v>1.6219015519999997</v>
      </c>
      <c r="AX132" s="9"/>
      <c r="AY132" s="22">
        <v>0.514374</v>
      </c>
      <c r="AZ132" s="22">
        <v>17.596</v>
      </c>
      <c r="BA132" s="22">
        <v>-1.46759E-2</v>
      </c>
      <c r="BB132" s="22">
        <v>122</v>
      </c>
      <c r="BC132" s="22">
        <v>0.51318399999999997</v>
      </c>
      <c r="BD132">
        <f t="shared" si="22"/>
        <v>18.118395061728396</v>
      </c>
      <c r="BE132">
        <f t="shared" si="23"/>
        <v>9.3196313414814824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8.0718999999999999E-2</v>
      </c>
      <c r="H133" s="22">
        <v>6.2000500000000001</v>
      </c>
      <c r="I133" s="22">
        <v>-1.5219099999999999E-2</v>
      </c>
      <c r="J133" s="22">
        <v>123</v>
      </c>
      <c r="K133" s="22">
        <v>7.9986600000000005E-2</v>
      </c>
      <c r="L133">
        <f t="shared" si="12"/>
        <v>18.789012345679012</v>
      </c>
      <c r="M133">
        <f t="shared" si="13"/>
        <v>1.5166302875308642</v>
      </c>
      <c r="N133" s="9"/>
      <c r="O133" s="22">
        <v>0.51940900000000001</v>
      </c>
      <c r="P133" s="22">
        <v>7.8136999999999999</v>
      </c>
      <c r="Q133" s="22">
        <v>-1.44379E-2</v>
      </c>
      <c r="R133" s="22">
        <v>123</v>
      </c>
      <c r="S133" s="22">
        <v>0.52005000000000001</v>
      </c>
      <c r="T133">
        <f t="shared" si="14"/>
        <v>17.824567901234566</v>
      </c>
      <c r="U133">
        <f t="shared" si="15"/>
        <v>9.2582409890123447</v>
      </c>
      <c r="X133" s="9"/>
      <c r="Y133" s="22">
        <v>8.0718999999999999E-2</v>
      </c>
      <c r="Z133" s="22">
        <v>11.104200000000001</v>
      </c>
      <c r="AA133" s="22">
        <v>-1.5356399999999999E-2</v>
      </c>
      <c r="AB133" s="22">
        <v>123</v>
      </c>
      <c r="AC133" s="22">
        <v>8.0108600000000002E-2</v>
      </c>
      <c r="AD133">
        <f t="shared" si="16"/>
        <v>18.958518518518517</v>
      </c>
      <c r="AE133">
        <f t="shared" si="17"/>
        <v>1.5303126562962961</v>
      </c>
      <c r="AF133" s="9"/>
      <c r="AG133" s="22">
        <v>0.51940900000000001</v>
      </c>
      <c r="AH133" s="22">
        <v>12.7179</v>
      </c>
      <c r="AI133" s="22">
        <v>-1.47522E-2</v>
      </c>
      <c r="AJ133" s="22">
        <v>123</v>
      </c>
      <c r="AK133" s="22">
        <v>0.51873800000000003</v>
      </c>
      <c r="AL133">
        <f t="shared" si="18"/>
        <v>18.212592592592593</v>
      </c>
      <c r="AM133">
        <f t="shared" si="19"/>
        <v>9.459784505925926</v>
      </c>
      <c r="AP133" s="9"/>
      <c r="AQ133" s="22">
        <v>8.0718999999999999E-2</v>
      </c>
      <c r="AR133" s="22">
        <v>15.9924</v>
      </c>
      <c r="AS133" s="22">
        <v>-1.53259E-2</v>
      </c>
      <c r="AT133" s="22">
        <v>123</v>
      </c>
      <c r="AU133" s="22">
        <v>7.9498299999999994E-2</v>
      </c>
      <c r="AV133">
        <f t="shared" si="20"/>
        <v>18.920864197530861</v>
      </c>
      <c r="AW133">
        <f t="shared" si="21"/>
        <v>1.5272732371604936</v>
      </c>
      <c r="AX133" s="9"/>
      <c r="AY133" s="22">
        <v>0.51940900000000001</v>
      </c>
      <c r="AZ133" s="22">
        <v>17.606000000000002</v>
      </c>
      <c r="BA133" s="22">
        <v>-1.46698E-2</v>
      </c>
      <c r="BB133" s="22">
        <v>123</v>
      </c>
      <c r="BC133" s="22">
        <v>0.51849400000000001</v>
      </c>
      <c r="BD133">
        <f t="shared" si="22"/>
        <v>18.110864197530866</v>
      </c>
      <c r="BE133">
        <f t="shared" si="23"/>
        <v>9.4069458619753092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7.5683600000000004E-2</v>
      </c>
      <c r="H134" s="22">
        <v>6.2101199999999999</v>
      </c>
      <c r="I134" s="22">
        <v>-1.52283E-2</v>
      </c>
      <c r="J134" s="22">
        <v>124</v>
      </c>
      <c r="K134" s="22">
        <v>7.3974600000000001E-2</v>
      </c>
      <c r="L134">
        <f t="shared" si="12"/>
        <v>18.80037037037037</v>
      </c>
      <c r="M134">
        <f t="shared" si="13"/>
        <v>1.422879710962963</v>
      </c>
      <c r="N134" s="9"/>
      <c r="O134" s="22">
        <v>0.52444500000000005</v>
      </c>
      <c r="P134" s="22">
        <v>7.8237699999999997</v>
      </c>
      <c r="Q134" s="22">
        <v>-1.4419599999999999E-2</v>
      </c>
      <c r="R134" s="22">
        <v>124</v>
      </c>
      <c r="S134" s="22">
        <v>0.52462799999999998</v>
      </c>
      <c r="T134">
        <f t="shared" si="14"/>
        <v>17.801975308641975</v>
      </c>
      <c r="U134">
        <f t="shared" si="15"/>
        <v>9.3361569407407412</v>
      </c>
      <c r="X134" s="9"/>
      <c r="Y134" s="22">
        <v>7.5683600000000004E-2</v>
      </c>
      <c r="Z134" s="22">
        <v>11.1143</v>
      </c>
      <c r="AA134" s="22">
        <v>-1.5368700000000001E-2</v>
      </c>
      <c r="AB134" s="22">
        <v>124</v>
      </c>
      <c r="AC134" s="22">
        <v>7.5775099999999998E-2</v>
      </c>
      <c r="AD134">
        <f t="shared" si="16"/>
        <v>18.973703703703706</v>
      </c>
      <c r="AE134">
        <f t="shared" si="17"/>
        <v>1.4359982016296298</v>
      </c>
      <c r="AF134" s="9"/>
      <c r="AG134" s="22">
        <v>0.52444500000000005</v>
      </c>
      <c r="AH134" s="22">
        <v>12.7279</v>
      </c>
      <c r="AI134" s="22">
        <v>-1.4742999999999999E-2</v>
      </c>
      <c r="AJ134" s="22">
        <v>124</v>
      </c>
      <c r="AK134" s="22">
        <v>0.52365099999999998</v>
      </c>
      <c r="AL134">
        <f t="shared" si="18"/>
        <v>18.201234567901235</v>
      </c>
      <c r="AM134">
        <f t="shared" si="19"/>
        <v>9.5455464629629638</v>
      </c>
      <c r="AP134" s="9"/>
      <c r="AQ134" s="22">
        <v>7.5683600000000004E-2</v>
      </c>
      <c r="AR134" s="22">
        <v>16.002500000000001</v>
      </c>
      <c r="AS134" s="22">
        <v>-1.53381E-2</v>
      </c>
      <c r="AT134" s="22">
        <v>124</v>
      </c>
      <c r="AU134" s="22">
        <v>7.5195300000000007E-2</v>
      </c>
      <c r="AV134">
        <f t="shared" si="20"/>
        <v>18.935925925925925</v>
      </c>
      <c r="AW134">
        <f t="shared" si="21"/>
        <v>1.4331390434074074</v>
      </c>
      <c r="AX134" s="9"/>
      <c r="AY134" s="22">
        <v>0.52444500000000005</v>
      </c>
      <c r="AZ134" s="22">
        <v>17.616099999999999</v>
      </c>
      <c r="BA134" s="22">
        <v>-1.46576E-2</v>
      </c>
      <c r="BB134" s="22">
        <v>124</v>
      </c>
      <c r="BC134" s="22">
        <v>0.52356000000000003</v>
      </c>
      <c r="BD134">
        <f t="shared" si="22"/>
        <v>18.095802469135801</v>
      </c>
      <c r="BE134">
        <f t="shared" si="23"/>
        <v>9.4902531259259266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7.0648199999999994E-2</v>
      </c>
      <c r="H135" s="22">
        <v>6.2201899999999997</v>
      </c>
      <c r="I135" s="22">
        <v>-1.52374E-2</v>
      </c>
      <c r="J135" s="22">
        <v>125</v>
      </c>
      <c r="K135" s="22">
        <v>6.9854700000000006E-2</v>
      </c>
      <c r="L135">
        <f t="shared" si="12"/>
        <v>18.811604938271604</v>
      </c>
      <c r="M135">
        <f t="shared" si="13"/>
        <v>1.3290060279999998</v>
      </c>
      <c r="N135" s="9"/>
      <c r="O135" s="22">
        <v>0.52947999999999995</v>
      </c>
      <c r="P135" s="22">
        <v>7.8338400000000004</v>
      </c>
      <c r="Q135" s="22">
        <v>-1.44043E-2</v>
      </c>
      <c r="R135" s="22">
        <v>125</v>
      </c>
      <c r="S135" s="22">
        <v>0.52963300000000002</v>
      </c>
      <c r="T135">
        <f t="shared" si="14"/>
        <v>17.783086419753086</v>
      </c>
      <c r="U135">
        <f t="shared" si="15"/>
        <v>9.4157885975308631</v>
      </c>
      <c r="X135" s="9"/>
      <c r="Y135" s="22">
        <v>7.0648199999999994E-2</v>
      </c>
      <c r="Z135" s="22">
        <v>11.1244</v>
      </c>
      <c r="AA135" s="22">
        <v>-1.5374799999999999E-2</v>
      </c>
      <c r="AB135" s="22">
        <v>125</v>
      </c>
      <c r="AC135" s="22">
        <v>7.08313E-2</v>
      </c>
      <c r="AD135">
        <f t="shared" si="16"/>
        <v>18.981234567901232</v>
      </c>
      <c r="AE135">
        <f t="shared" si="17"/>
        <v>1.3409900559999997</v>
      </c>
      <c r="AF135" s="9"/>
      <c r="AG135" s="22">
        <v>0.52947999999999995</v>
      </c>
      <c r="AH135" s="22">
        <v>12.738</v>
      </c>
      <c r="AI135" s="22">
        <v>-1.47308E-2</v>
      </c>
      <c r="AJ135" s="22">
        <v>125</v>
      </c>
      <c r="AK135" s="22">
        <v>0.529053</v>
      </c>
      <c r="AL135">
        <f t="shared" si="18"/>
        <v>18.186172839506174</v>
      </c>
      <c r="AM135">
        <f t="shared" si="19"/>
        <v>9.6292147950617277</v>
      </c>
      <c r="AP135" s="9"/>
      <c r="AQ135" s="22">
        <v>7.0648199999999994E-2</v>
      </c>
      <c r="AR135" s="22">
        <v>16.012499999999999</v>
      </c>
      <c r="AS135" s="22">
        <v>-1.5347299999999999E-2</v>
      </c>
      <c r="AT135" s="22">
        <v>125</v>
      </c>
      <c r="AU135" s="22">
        <v>7.0220900000000003E-2</v>
      </c>
      <c r="AV135">
        <f t="shared" si="20"/>
        <v>18.947283950617283</v>
      </c>
      <c r="AW135">
        <f t="shared" si="21"/>
        <v>1.3385915059999998</v>
      </c>
      <c r="AX135" s="9"/>
      <c r="AY135" s="22">
        <v>0.52947999999999995</v>
      </c>
      <c r="AZ135" s="22">
        <v>17.626200000000001</v>
      </c>
      <c r="BA135" s="22">
        <v>-1.4639299999999999E-2</v>
      </c>
      <c r="BB135" s="22">
        <v>125</v>
      </c>
      <c r="BC135" s="22">
        <v>0.52844199999999997</v>
      </c>
      <c r="BD135">
        <f t="shared" si="22"/>
        <v>18.07320987654321</v>
      </c>
      <c r="BE135">
        <f t="shared" si="23"/>
        <v>9.5694031654320977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6.5612799999999999E-2</v>
      </c>
      <c r="H136" s="22">
        <v>6.23027</v>
      </c>
      <c r="I136" s="22">
        <v>-1.5246600000000001E-2</v>
      </c>
      <c r="J136" s="22">
        <v>126</v>
      </c>
      <c r="K136" s="22">
        <v>6.4788799999999994E-2</v>
      </c>
      <c r="L136">
        <f t="shared" si="12"/>
        <v>18.822962962962961</v>
      </c>
      <c r="M136">
        <f t="shared" si="13"/>
        <v>1.2350273042962963</v>
      </c>
      <c r="N136" s="9"/>
      <c r="O136" s="22">
        <v>0.53451499999999996</v>
      </c>
      <c r="P136" s="22">
        <v>7.8439100000000002</v>
      </c>
      <c r="Q136" s="22">
        <v>-1.43921E-2</v>
      </c>
      <c r="R136" s="22">
        <v>126</v>
      </c>
      <c r="S136" s="22">
        <v>0.53323399999999999</v>
      </c>
      <c r="T136">
        <f t="shared" si="14"/>
        <v>17.768024691358022</v>
      </c>
      <c r="U136">
        <f t="shared" si="15"/>
        <v>9.4972757179012319</v>
      </c>
      <c r="X136" s="9"/>
      <c r="Y136" s="22">
        <v>6.5612799999999999E-2</v>
      </c>
      <c r="Z136" s="22">
        <v>11.134399999999999</v>
      </c>
      <c r="AA136" s="22">
        <v>-1.5383900000000001E-2</v>
      </c>
      <c r="AB136" s="22">
        <v>126</v>
      </c>
      <c r="AC136" s="22">
        <v>6.4636200000000005E-2</v>
      </c>
      <c r="AD136">
        <f t="shared" si="16"/>
        <v>18.99246913580247</v>
      </c>
      <c r="AE136">
        <f t="shared" si="17"/>
        <v>1.2461490789135803</v>
      </c>
      <c r="AF136" s="9"/>
      <c r="AG136" s="22">
        <v>0.53451499999999996</v>
      </c>
      <c r="AH136" s="22">
        <v>12.748100000000001</v>
      </c>
      <c r="AI136" s="22">
        <v>-1.4721700000000001E-2</v>
      </c>
      <c r="AJ136" s="22">
        <v>126</v>
      </c>
      <c r="AK136" s="22">
        <v>0.53378300000000001</v>
      </c>
      <c r="AL136">
        <f t="shared" si="18"/>
        <v>18.174938271604937</v>
      </c>
      <c r="AM136">
        <f t="shared" si="19"/>
        <v>9.7147771302469117</v>
      </c>
      <c r="AP136" s="9"/>
      <c r="AQ136" s="22">
        <v>6.5612799999999999E-2</v>
      </c>
      <c r="AR136" s="22">
        <v>16.022600000000001</v>
      </c>
      <c r="AS136" s="22">
        <v>-1.5356399999999999E-2</v>
      </c>
      <c r="AT136" s="22">
        <v>126</v>
      </c>
      <c r="AU136" s="22">
        <v>6.5032999999999994E-2</v>
      </c>
      <c r="AV136">
        <f t="shared" si="20"/>
        <v>18.958518518518517</v>
      </c>
      <c r="AW136">
        <f t="shared" si="21"/>
        <v>1.2439214838518518</v>
      </c>
      <c r="AX136" s="9"/>
      <c r="AY136" s="22">
        <v>0.53451499999999996</v>
      </c>
      <c r="AZ136" s="22">
        <v>17.636199999999999</v>
      </c>
      <c r="BA136" s="22">
        <v>-1.4624E-2</v>
      </c>
      <c r="BB136" s="22">
        <v>126</v>
      </c>
      <c r="BC136" s="22">
        <v>0.53347800000000001</v>
      </c>
      <c r="BD136">
        <f t="shared" si="22"/>
        <v>18.054320987654318</v>
      </c>
      <c r="BE136">
        <f t="shared" si="23"/>
        <v>9.6503053827160468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6.0577400000000003E-2</v>
      </c>
      <c r="H137" s="22">
        <v>6.2403399999999998</v>
      </c>
      <c r="I137" s="22">
        <v>-1.5255700000000001E-2</v>
      </c>
      <c r="J137" s="22">
        <v>127</v>
      </c>
      <c r="K137" s="22">
        <v>6.0394299999999998E-2</v>
      </c>
      <c r="L137">
        <f t="shared" si="12"/>
        <v>18.834197530864198</v>
      </c>
      <c r="M137">
        <f t="shared" si="13"/>
        <v>1.140926717506173</v>
      </c>
      <c r="N137" s="9"/>
      <c r="O137" s="22">
        <v>0.539551</v>
      </c>
      <c r="P137" s="22">
        <v>7.85398</v>
      </c>
      <c r="Q137" s="22">
        <v>-1.4373800000000001E-2</v>
      </c>
      <c r="R137" s="22">
        <v>127</v>
      </c>
      <c r="S137" s="22">
        <v>0.53933699999999996</v>
      </c>
      <c r="T137">
        <f t="shared" si="14"/>
        <v>17.745432098765431</v>
      </c>
      <c r="U137">
        <f t="shared" si="15"/>
        <v>9.5745656343209866</v>
      </c>
      <c r="X137" s="9"/>
      <c r="Y137" s="22">
        <v>6.0577400000000003E-2</v>
      </c>
      <c r="Z137" s="22">
        <v>11.144500000000001</v>
      </c>
      <c r="AA137" s="22">
        <v>-1.53931E-2</v>
      </c>
      <c r="AB137" s="22">
        <v>127</v>
      </c>
      <c r="AC137" s="22">
        <v>6.0272199999999998E-2</v>
      </c>
      <c r="AD137">
        <f t="shared" si="16"/>
        <v>19.003827160493824</v>
      </c>
      <c r="AE137">
        <f t="shared" si="17"/>
        <v>1.1512024394320985</v>
      </c>
      <c r="AF137" s="9"/>
      <c r="AG137" s="22">
        <v>0.539551</v>
      </c>
      <c r="AH137" s="22">
        <v>12.758100000000001</v>
      </c>
      <c r="AI137" s="22">
        <v>-1.47095E-2</v>
      </c>
      <c r="AJ137" s="22">
        <v>127</v>
      </c>
      <c r="AK137" s="22">
        <v>0.53881800000000002</v>
      </c>
      <c r="AL137">
        <f t="shared" si="18"/>
        <v>18.159876543209876</v>
      </c>
      <c r="AM137">
        <f t="shared" si="19"/>
        <v>9.7981795487654324</v>
      </c>
      <c r="AP137" s="9"/>
      <c r="AQ137" s="22">
        <v>6.0577400000000003E-2</v>
      </c>
      <c r="AR137" s="22">
        <v>16.032699999999998</v>
      </c>
      <c r="AS137" s="22">
        <v>-1.53656E-2</v>
      </c>
      <c r="AT137" s="22">
        <v>127</v>
      </c>
      <c r="AU137" s="22">
        <v>6.0302700000000001E-2</v>
      </c>
      <c r="AV137">
        <f t="shared" si="20"/>
        <v>18.969876543209878</v>
      </c>
      <c r="AW137">
        <f t="shared" si="21"/>
        <v>1.1491457993086422</v>
      </c>
      <c r="AX137" s="9"/>
      <c r="AY137" s="22">
        <v>0.539551</v>
      </c>
      <c r="AZ137" s="22">
        <v>17.6463</v>
      </c>
      <c r="BA137" s="22">
        <v>-1.46149E-2</v>
      </c>
      <c r="BB137" s="22">
        <v>127</v>
      </c>
      <c r="BC137" s="22">
        <v>0.538269</v>
      </c>
      <c r="BD137">
        <f t="shared" si="22"/>
        <v>18.043086419753088</v>
      </c>
      <c r="BE137">
        <f t="shared" si="23"/>
        <v>9.7351653208641977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5.5542000000000001E-2</v>
      </c>
      <c r="H138" s="22">
        <v>6.2504099999999996</v>
      </c>
      <c r="I138" s="22">
        <v>-1.5261800000000001E-2</v>
      </c>
      <c r="J138" s="22">
        <v>128</v>
      </c>
      <c r="K138" s="22">
        <v>5.53284E-2</v>
      </c>
      <c r="L138">
        <f t="shared" si="12"/>
        <v>18.841728395061729</v>
      </c>
      <c r="M138">
        <f t="shared" si="13"/>
        <v>1.0465072785185185</v>
      </c>
      <c r="N138" s="9"/>
      <c r="O138" s="22">
        <v>0.54458600000000001</v>
      </c>
      <c r="P138" s="22">
        <v>7.8640499999999998</v>
      </c>
      <c r="Q138" s="22">
        <v>-1.43555E-2</v>
      </c>
      <c r="R138" s="22">
        <v>128</v>
      </c>
      <c r="S138" s="22">
        <v>0.54336499999999999</v>
      </c>
      <c r="T138">
        <f t="shared" si="14"/>
        <v>17.722839506172836</v>
      </c>
      <c r="U138">
        <f t="shared" si="15"/>
        <v>9.6516102753086397</v>
      </c>
      <c r="X138" s="9"/>
      <c r="Y138" s="22">
        <v>5.5542000000000001E-2</v>
      </c>
      <c r="Z138" s="22">
        <v>11.1546</v>
      </c>
      <c r="AA138" s="22">
        <v>-1.54022E-2</v>
      </c>
      <c r="AB138" s="22">
        <v>128</v>
      </c>
      <c r="AC138" s="22">
        <v>5.5114700000000003E-2</v>
      </c>
      <c r="AD138">
        <f t="shared" si="16"/>
        <v>19.015061728395061</v>
      </c>
      <c r="AE138">
        <f t="shared" si="17"/>
        <v>1.0561345585185185</v>
      </c>
      <c r="AF138" s="9"/>
      <c r="AG138" s="22">
        <v>0.54458600000000001</v>
      </c>
      <c r="AH138" s="22">
        <v>12.7682</v>
      </c>
      <c r="AI138" s="22">
        <v>-1.46973E-2</v>
      </c>
      <c r="AJ138" s="22">
        <v>128</v>
      </c>
      <c r="AK138" s="22">
        <v>0.54400599999999999</v>
      </c>
      <c r="AL138">
        <f t="shared" si="18"/>
        <v>18.144814814814815</v>
      </c>
      <c r="AM138">
        <f t="shared" si="19"/>
        <v>9.881412120740741</v>
      </c>
      <c r="AP138" s="9"/>
      <c r="AQ138" s="22">
        <v>5.5542000000000001E-2</v>
      </c>
      <c r="AR138" s="22">
        <v>16.0427</v>
      </c>
      <c r="AS138" s="22">
        <v>-1.5374799999999999E-2</v>
      </c>
      <c r="AT138" s="22">
        <v>128</v>
      </c>
      <c r="AU138" s="22">
        <v>5.4931599999999997E-2</v>
      </c>
      <c r="AV138">
        <f t="shared" si="20"/>
        <v>18.981234567901232</v>
      </c>
      <c r="AW138">
        <f t="shared" si="21"/>
        <v>1.0542557303703703</v>
      </c>
      <c r="AX138" s="9"/>
      <c r="AY138" s="22">
        <v>0.54458600000000001</v>
      </c>
      <c r="AZ138" s="22">
        <v>17.656400000000001</v>
      </c>
      <c r="BA138" s="22">
        <v>-1.46088E-2</v>
      </c>
      <c r="BB138" s="22">
        <v>128</v>
      </c>
      <c r="BC138" s="22">
        <v>0.54397600000000002</v>
      </c>
      <c r="BD138">
        <f t="shared" si="22"/>
        <v>18.035555555555554</v>
      </c>
      <c r="BE138">
        <f t="shared" si="23"/>
        <v>9.8219110577777773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5.0506599999999999E-2</v>
      </c>
      <c r="H139" s="22">
        <v>6.2604800000000003</v>
      </c>
      <c r="I139" s="22">
        <v>-1.5271E-2</v>
      </c>
      <c r="J139" s="22">
        <v>129</v>
      </c>
      <c r="K139" s="22">
        <v>5.0793499999999998E-2</v>
      </c>
      <c r="L139">
        <f t="shared" si="12"/>
        <v>18.853086419753083</v>
      </c>
      <c r="M139">
        <f t="shared" si="13"/>
        <v>0.95220529456790104</v>
      </c>
      <c r="N139" s="9"/>
      <c r="O139" s="22">
        <v>0.54962200000000005</v>
      </c>
      <c r="P139" s="22">
        <v>7.8741199999999996</v>
      </c>
      <c r="Q139" s="22">
        <v>-1.4346299999999999E-2</v>
      </c>
      <c r="R139" s="22">
        <v>129</v>
      </c>
      <c r="S139" s="22">
        <v>0.55001800000000001</v>
      </c>
      <c r="T139">
        <f t="shared" si="14"/>
        <v>17.711481481481481</v>
      </c>
      <c r="U139">
        <f t="shared" si="15"/>
        <v>9.7346198748148165</v>
      </c>
      <c r="X139" s="9"/>
      <c r="Y139" s="22">
        <v>5.0506599999999999E-2</v>
      </c>
      <c r="Z139" s="22">
        <v>11.1646</v>
      </c>
      <c r="AA139" s="22">
        <v>-1.54144E-2</v>
      </c>
      <c r="AB139" s="22">
        <v>129</v>
      </c>
      <c r="AC139" s="22">
        <v>4.9597200000000001E-2</v>
      </c>
      <c r="AD139">
        <f t="shared" si="16"/>
        <v>19.030123456790122</v>
      </c>
      <c r="AE139">
        <f t="shared" si="17"/>
        <v>0.96114683338271589</v>
      </c>
      <c r="AF139" s="9"/>
      <c r="AG139" s="22">
        <v>0.54962200000000005</v>
      </c>
      <c r="AH139" s="22">
        <v>12.7783</v>
      </c>
      <c r="AI139" s="22">
        <v>-1.4688100000000001E-2</v>
      </c>
      <c r="AJ139" s="22">
        <v>129</v>
      </c>
      <c r="AK139" s="22">
        <v>0.54891999999999996</v>
      </c>
      <c r="AL139">
        <f t="shared" si="18"/>
        <v>18.133456790123457</v>
      </c>
      <c r="AM139">
        <f t="shared" si="19"/>
        <v>9.966546787901235</v>
      </c>
      <c r="AP139" s="9"/>
      <c r="AQ139" s="22">
        <v>5.0506599999999999E-2</v>
      </c>
      <c r="AR139" s="22">
        <v>16.052800000000001</v>
      </c>
      <c r="AS139" s="22">
        <v>-1.5383900000000001E-2</v>
      </c>
      <c r="AT139" s="22">
        <v>129</v>
      </c>
      <c r="AU139" s="22">
        <v>5.0543200000000003E-2</v>
      </c>
      <c r="AV139">
        <f t="shared" si="20"/>
        <v>18.99246913580247</v>
      </c>
      <c r="AW139">
        <f t="shared" si="21"/>
        <v>0.95924504165432101</v>
      </c>
      <c r="AX139" s="9"/>
      <c r="AY139" s="22">
        <v>0.54962200000000005</v>
      </c>
      <c r="AZ139" s="22">
        <v>17.666499999999999</v>
      </c>
      <c r="BA139" s="22">
        <v>-1.4599600000000001E-2</v>
      </c>
      <c r="BB139" s="22">
        <v>129</v>
      </c>
      <c r="BC139" s="22">
        <v>0.54885899999999999</v>
      </c>
      <c r="BD139">
        <f t="shared" si="22"/>
        <v>18.0241975308642</v>
      </c>
      <c r="BE139">
        <f t="shared" si="23"/>
        <v>9.9064954953086435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4.5471200000000003E-2</v>
      </c>
      <c r="H140" s="22">
        <v>6.2705500000000001</v>
      </c>
      <c r="I140" s="22">
        <v>-1.52771E-2</v>
      </c>
      <c r="J140" s="22">
        <v>130</v>
      </c>
      <c r="K140" s="22">
        <v>4.5495599999999997E-2</v>
      </c>
      <c r="L140">
        <f t="shared" ref="L140:L169" si="24">-I140/$F$2*1000</f>
        <v>18.860617283950617</v>
      </c>
      <c r="M140">
        <f t="shared" ref="M140:M169" si="25">L140*G140</f>
        <v>0.85761490064197532</v>
      </c>
      <c r="N140" s="9"/>
      <c r="O140" s="22">
        <v>0.55465699999999996</v>
      </c>
      <c r="P140" s="22">
        <v>7.8841999999999999</v>
      </c>
      <c r="Q140" s="22">
        <v>-1.43158E-2</v>
      </c>
      <c r="R140" s="22">
        <v>130</v>
      </c>
      <c r="S140" s="22">
        <v>0.553925</v>
      </c>
      <c r="T140">
        <f t="shared" ref="T140:T169" si="26">-Q140/$F$2*1000</f>
        <v>17.673827160493826</v>
      </c>
      <c r="U140">
        <f t="shared" ref="U140:U169" si="27">T140*O140</f>
        <v>9.8029119513580234</v>
      </c>
      <c r="X140" s="9"/>
      <c r="Y140" s="22">
        <v>4.5471200000000003E-2</v>
      </c>
      <c r="Z140" s="22">
        <v>11.1747</v>
      </c>
      <c r="AA140" s="22">
        <v>-1.5423600000000001E-2</v>
      </c>
      <c r="AB140" s="22">
        <v>130</v>
      </c>
      <c r="AC140" s="22">
        <v>4.5721400000000002E-2</v>
      </c>
      <c r="AD140">
        <f t="shared" ref="AD140:AD169" si="28">-AA140/$F$2*1000</f>
        <v>19.041481481481483</v>
      </c>
      <c r="AE140">
        <f t="shared" ref="AE140:AE169" si="29">AD140*Y140</f>
        <v>0.86583901274074093</v>
      </c>
      <c r="AF140" s="9"/>
      <c r="AG140" s="22">
        <v>0.55465699999999996</v>
      </c>
      <c r="AH140" s="22">
        <v>12.7883</v>
      </c>
      <c r="AI140" s="22">
        <v>-1.4678999999999999E-2</v>
      </c>
      <c r="AJ140" s="22">
        <v>130</v>
      </c>
      <c r="AK140" s="22">
        <v>0.55352800000000002</v>
      </c>
      <c r="AL140">
        <f t="shared" ref="AL140:AL169" si="30">-AI140/$F$2*1000</f>
        <v>18.12222222222222</v>
      </c>
      <c r="AM140">
        <f t="shared" ref="AM140:AM169" si="31">AL140*AG140</f>
        <v>10.05161741111111</v>
      </c>
      <c r="AP140" s="9"/>
      <c r="AQ140" s="22">
        <v>4.5471200000000003E-2</v>
      </c>
      <c r="AR140" s="22">
        <v>16.062899999999999</v>
      </c>
      <c r="AS140" s="22">
        <v>-1.53931E-2</v>
      </c>
      <c r="AT140" s="22">
        <v>130</v>
      </c>
      <c r="AU140" s="22">
        <v>4.4879200000000001E-2</v>
      </c>
      <c r="AV140">
        <f t="shared" ref="AV140:AV169" si="32">-AS140/$F$2*1000</f>
        <v>19.003827160493824</v>
      </c>
      <c r="AW140">
        <f t="shared" ref="AW140:AW169" si="33">AV140*AQ140</f>
        <v>0.86412682558024678</v>
      </c>
      <c r="AX140" s="9"/>
      <c r="AY140" s="22">
        <v>0.55465699999999996</v>
      </c>
      <c r="AZ140" s="22">
        <v>17.676500000000001</v>
      </c>
      <c r="BA140" s="22">
        <v>-1.45874E-2</v>
      </c>
      <c r="BB140" s="22">
        <v>130</v>
      </c>
      <c r="BC140" s="22">
        <v>0.553925</v>
      </c>
      <c r="BD140">
        <f t="shared" ref="BD140:BD169" si="34">-BA140/$F$2*1000</f>
        <v>18.009135802469135</v>
      </c>
      <c r="BE140">
        <f t="shared" ref="BE140:BE169" si="35">BD140*AY140</f>
        <v>9.9888932367901226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4.0435800000000001E-2</v>
      </c>
      <c r="H141" s="22">
        <v>6.2806199999999999</v>
      </c>
      <c r="I141" s="22">
        <v>-1.5292399999999999E-2</v>
      </c>
      <c r="J141" s="22">
        <v>131</v>
      </c>
      <c r="K141" s="22">
        <v>4.0255699999999998E-2</v>
      </c>
      <c r="L141">
        <f t="shared" si="24"/>
        <v>18.879506172839505</v>
      </c>
      <c r="M141">
        <f t="shared" si="25"/>
        <v>0.76340793570370369</v>
      </c>
      <c r="N141" s="9"/>
      <c r="O141" s="22">
        <v>0.55969199999999997</v>
      </c>
      <c r="P141" s="22">
        <v>7.8942699999999997</v>
      </c>
      <c r="Q141" s="22">
        <v>-1.42883E-2</v>
      </c>
      <c r="R141" s="22">
        <v>131</v>
      </c>
      <c r="S141" s="22">
        <v>0.55923500000000004</v>
      </c>
      <c r="T141">
        <f t="shared" si="26"/>
        <v>17.639876543209876</v>
      </c>
      <c r="U141">
        <f t="shared" si="27"/>
        <v>9.8728977822222213</v>
      </c>
      <c r="X141" s="9"/>
      <c r="Y141" s="22">
        <v>4.0435800000000001E-2</v>
      </c>
      <c r="Z141" s="22">
        <v>11.184799999999999</v>
      </c>
      <c r="AA141" s="22">
        <v>-1.54266E-2</v>
      </c>
      <c r="AB141" s="22">
        <v>131</v>
      </c>
      <c r="AC141" s="22">
        <v>4.0502900000000001E-2</v>
      </c>
      <c r="AD141">
        <f t="shared" si="28"/>
        <v>19.045185185185186</v>
      </c>
      <c r="AE141">
        <f t="shared" si="29"/>
        <v>0.7701072991111112</v>
      </c>
      <c r="AF141" s="9"/>
      <c r="AG141" s="22">
        <v>0.55969199999999997</v>
      </c>
      <c r="AH141" s="22">
        <v>12.798400000000001</v>
      </c>
      <c r="AI141" s="22">
        <v>-1.46698E-2</v>
      </c>
      <c r="AJ141" s="22">
        <v>131</v>
      </c>
      <c r="AK141" s="22">
        <v>0.55905199999999999</v>
      </c>
      <c r="AL141">
        <f t="shared" si="30"/>
        <v>18.110864197530866</v>
      </c>
      <c r="AM141">
        <f t="shared" si="31"/>
        <v>10.136505804444445</v>
      </c>
      <c r="AP141" s="9"/>
      <c r="AQ141" s="22">
        <v>4.0435800000000001E-2</v>
      </c>
      <c r="AR141" s="22">
        <v>16.073</v>
      </c>
      <c r="AS141" s="22">
        <v>-1.54022E-2</v>
      </c>
      <c r="AT141" s="22">
        <v>131</v>
      </c>
      <c r="AU141" s="22">
        <v>4.0252700000000002E-2</v>
      </c>
      <c r="AV141">
        <f t="shared" si="32"/>
        <v>19.015061728395061</v>
      </c>
      <c r="AW141">
        <f t="shared" si="33"/>
        <v>0.76888923303703705</v>
      </c>
      <c r="AX141" s="9"/>
      <c r="AY141" s="22">
        <v>0.55969199999999997</v>
      </c>
      <c r="AZ141" s="22">
        <v>17.686599999999999</v>
      </c>
      <c r="BA141" s="22">
        <v>-1.45813E-2</v>
      </c>
      <c r="BB141" s="22">
        <v>131</v>
      </c>
      <c r="BC141" s="22">
        <v>0.55911299999999997</v>
      </c>
      <c r="BD141">
        <f t="shared" si="34"/>
        <v>18.001604938271605</v>
      </c>
      <c r="BE141">
        <f t="shared" si="35"/>
        <v>10.075354271111111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3.5400399999999999E-2</v>
      </c>
      <c r="H142" s="22">
        <v>6.2906899999999997</v>
      </c>
      <c r="I142" s="22">
        <v>-1.52985E-2</v>
      </c>
      <c r="J142" s="22">
        <v>132</v>
      </c>
      <c r="K142" s="22">
        <v>3.5662800000000001E-2</v>
      </c>
      <c r="L142">
        <f t="shared" si="24"/>
        <v>18.887037037037036</v>
      </c>
      <c r="M142">
        <f t="shared" si="25"/>
        <v>0.66860866592592583</v>
      </c>
      <c r="N142" s="9"/>
      <c r="O142" s="22">
        <v>0.56472800000000001</v>
      </c>
      <c r="P142" s="22">
        <v>7.9043400000000004</v>
      </c>
      <c r="Q142" s="22">
        <v>-1.4257799999999999E-2</v>
      </c>
      <c r="R142" s="22">
        <v>132</v>
      </c>
      <c r="S142" s="22">
        <v>0.56503300000000001</v>
      </c>
      <c r="T142">
        <f t="shared" si="26"/>
        <v>17.60222222222222</v>
      </c>
      <c r="U142">
        <f t="shared" si="27"/>
        <v>9.940467751111111</v>
      </c>
      <c r="X142" s="9"/>
      <c r="Y142" s="22">
        <v>3.5400399999999999E-2</v>
      </c>
      <c r="Z142" s="22">
        <v>11.194800000000001</v>
      </c>
      <c r="AA142" s="22">
        <v>-1.5438800000000001E-2</v>
      </c>
      <c r="AB142" s="22">
        <v>132</v>
      </c>
      <c r="AC142" s="22">
        <v>3.5888700000000003E-2</v>
      </c>
      <c r="AD142">
        <f t="shared" si="28"/>
        <v>19.060246913580247</v>
      </c>
      <c r="AE142">
        <f t="shared" si="29"/>
        <v>0.67474036483950617</v>
      </c>
      <c r="AF142" s="9"/>
      <c r="AG142" s="22">
        <v>0.56472800000000001</v>
      </c>
      <c r="AH142" s="22">
        <v>12.8085</v>
      </c>
      <c r="AI142" s="22">
        <v>-1.46576E-2</v>
      </c>
      <c r="AJ142" s="22">
        <v>132</v>
      </c>
      <c r="AK142" s="22">
        <v>0.56369000000000002</v>
      </c>
      <c r="AL142">
        <f t="shared" si="30"/>
        <v>18.095802469135801</v>
      </c>
      <c r="AM142">
        <f t="shared" si="31"/>
        <v>10.219206336790123</v>
      </c>
      <c r="AP142" s="9"/>
      <c r="AQ142" s="22">
        <v>3.5400399999999999E-2</v>
      </c>
      <c r="AR142" s="22">
        <v>16.082999999999998</v>
      </c>
      <c r="AS142" s="22">
        <v>-1.54144E-2</v>
      </c>
      <c r="AT142" s="22">
        <v>132</v>
      </c>
      <c r="AU142" s="22">
        <v>3.5046399999999998E-2</v>
      </c>
      <c r="AV142">
        <f t="shared" si="32"/>
        <v>19.030123456790122</v>
      </c>
      <c r="AW142">
        <f t="shared" si="33"/>
        <v>0.67367398241975296</v>
      </c>
      <c r="AX142" s="9"/>
      <c r="AY142" s="22">
        <v>0.56472800000000001</v>
      </c>
      <c r="AZ142" s="22">
        <v>17.6967</v>
      </c>
      <c r="BA142" s="22">
        <v>-1.45691E-2</v>
      </c>
      <c r="BB142" s="22">
        <v>132</v>
      </c>
      <c r="BC142" s="22">
        <v>0.56362900000000005</v>
      </c>
      <c r="BD142">
        <f t="shared" si="34"/>
        <v>17.98654320987654</v>
      </c>
      <c r="BE142">
        <f t="shared" si="35"/>
        <v>10.157504573827159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3.0365E-2</v>
      </c>
      <c r="H143" s="22">
        <v>6.3007600000000004</v>
      </c>
      <c r="I143" s="22">
        <v>-1.5307599999999999E-2</v>
      </c>
      <c r="J143" s="22">
        <v>133</v>
      </c>
      <c r="K143" s="22">
        <v>3.0291700000000001E-2</v>
      </c>
      <c r="L143">
        <f t="shared" si="24"/>
        <v>18.89827160493827</v>
      </c>
      <c r="M143">
        <f t="shared" si="25"/>
        <v>0.57384601728395057</v>
      </c>
      <c r="N143" s="9"/>
      <c r="O143" s="22">
        <v>0.56976300000000002</v>
      </c>
      <c r="P143" s="22">
        <v>7.9144100000000002</v>
      </c>
      <c r="Q143" s="22">
        <v>-1.4202899999999999E-2</v>
      </c>
      <c r="R143" s="22">
        <v>133</v>
      </c>
      <c r="S143" s="22">
        <v>0.57034300000000004</v>
      </c>
      <c r="T143">
        <f t="shared" si="26"/>
        <v>17.534444444444443</v>
      </c>
      <c r="U143">
        <f t="shared" si="27"/>
        <v>9.9904776699999989</v>
      </c>
      <c r="X143" s="9"/>
      <c r="Y143" s="22">
        <v>3.0365E-2</v>
      </c>
      <c r="Z143" s="22">
        <v>11.2049</v>
      </c>
      <c r="AA143" s="22">
        <v>-1.5448E-2</v>
      </c>
      <c r="AB143" s="22">
        <v>133</v>
      </c>
      <c r="AC143" s="22">
        <v>3.04047E-2</v>
      </c>
      <c r="AD143">
        <f t="shared" si="28"/>
        <v>19.071604938271605</v>
      </c>
      <c r="AE143">
        <f t="shared" si="29"/>
        <v>0.57910928395061723</v>
      </c>
      <c r="AF143" s="9"/>
      <c r="AG143" s="22">
        <v>0.56976300000000002</v>
      </c>
      <c r="AH143" s="22">
        <v>12.8186</v>
      </c>
      <c r="AI143" s="22">
        <v>-1.4645399999999999E-2</v>
      </c>
      <c r="AJ143" s="22">
        <v>133</v>
      </c>
      <c r="AK143" s="22">
        <v>0.56881700000000002</v>
      </c>
      <c r="AL143">
        <f t="shared" si="30"/>
        <v>18.080740740740737</v>
      </c>
      <c r="AM143">
        <f t="shared" si="31"/>
        <v>10.301737086666664</v>
      </c>
      <c r="AP143" s="9"/>
      <c r="AQ143" s="22">
        <v>3.0365E-2</v>
      </c>
      <c r="AR143" s="22">
        <v>16.0931</v>
      </c>
      <c r="AS143" s="22">
        <v>-1.54205E-2</v>
      </c>
      <c r="AT143" s="22">
        <v>133</v>
      </c>
      <c r="AU143" s="22">
        <v>3.0325299999999999E-2</v>
      </c>
      <c r="AV143">
        <f t="shared" si="32"/>
        <v>19.037654320987656</v>
      </c>
      <c r="AW143">
        <f t="shared" si="33"/>
        <v>0.57807837345679014</v>
      </c>
      <c r="AX143" s="9"/>
      <c r="AY143" s="22">
        <v>0.56976300000000002</v>
      </c>
      <c r="AZ143" s="22">
        <v>17.706700000000001</v>
      </c>
      <c r="BA143" s="22">
        <v>-1.4550799999999999E-2</v>
      </c>
      <c r="BB143" s="22">
        <v>133</v>
      </c>
      <c r="BC143" s="22">
        <v>0.56942700000000002</v>
      </c>
      <c r="BD143">
        <f t="shared" si="34"/>
        <v>17.963950617283949</v>
      </c>
      <c r="BE143">
        <f t="shared" si="35"/>
        <v>10.235194395555554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2.5329600000000001E-2</v>
      </c>
      <c r="H144" s="22">
        <v>6.3108300000000002</v>
      </c>
      <c r="I144" s="22">
        <v>-1.53168E-2</v>
      </c>
      <c r="J144" s="22">
        <v>134</v>
      </c>
      <c r="K144" s="22">
        <v>2.5164800000000001E-2</v>
      </c>
      <c r="L144">
        <f t="shared" si="24"/>
        <v>18.909629629629627</v>
      </c>
      <c r="M144">
        <f t="shared" si="25"/>
        <v>0.47897335466666663</v>
      </c>
      <c r="N144" s="9"/>
      <c r="O144" s="22">
        <v>0.57479899999999995</v>
      </c>
      <c r="P144" s="22">
        <v>7.92448</v>
      </c>
      <c r="Q144" s="22">
        <v>-1.4163200000000001E-2</v>
      </c>
      <c r="R144" s="22">
        <v>134</v>
      </c>
      <c r="S144" s="22">
        <v>0.57443200000000005</v>
      </c>
      <c r="T144">
        <f t="shared" si="26"/>
        <v>17.485432098765433</v>
      </c>
      <c r="U144">
        <f t="shared" si="27"/>
        <v>10.050608884938271</v>
      </c>
      <c r="X144" s="9"/>
      <c r="Y144" s="22">
        <v>2.5329600000000001E-2</v>
      </c>
      <c r="Z144" s="22">
        <v>11.215</v>
      </c>
      <c r="AA144" s="22">
        <v>-1.5457200000000001E-2</v>
      </c>
      <c r="AB144" s="22">
        <v>134</v>
      </c>
      <c r="AC144" s="22">
        <v>2.5097700000000001E-2</v>
      </c>
      <c r="AD144">
        <f t="shared" si="28"/>
        <v>19.082962962962963</v>
      </c>
      <c r="AE144">
        <f t="shared" si="29"/>
        <v>0.48336381866666667</v>
      </c>
      <c r="AF144" s="9"/>
      <c r="AG144" s="22">
        <v>0.57479899999999995</v>
      </c>
      <c r="AH144" s="22">
        <v>12.8286</v>
      </c>
      <c r="AI144" s="22">
        <v>-1.46301E-2</v>
      </c>
      <c r="AJ144" s="22">
        <v>134</v>
      </c>
      <c r="AK144" s="22">
        <v>0.57403599999999999</v>
      </c>
      <c r="AL144">
        <f t="shared" si="30"/>
        <v>18.061851851851848</v>
      </c>
      <c r="AM144">
        <f t="shared" si="31"/>
        <v>10.38193438259259</v>
      </c>
      <c r="AP144" s="9"/>
      <c r="AQ144" s="22">
        <v>2.5329600000000001E-2</v>
      </c>
      <c r="AR144" s="22">
        <v>16.103200000000001</v>
      </c>
      <c r="AS144" s="22">
        <v>-1.5429699999999999E-2</v>
      </c>
      <c r="AT144" s="22">
        <v>134</v>
      </c>
      <c r="AU144" s="22">
        <v>2.5094600000000002E-2</v>
      </c>
      <c r="AV144">
        <f t="shared" si="32"/>
        <v>19.04901234567901</v>
      </c>
      <c r="AW144">
        <f t="shared" si="33"/>
        <v>0.48250386311111104</v>
      </c>
      <c r="AX144" s="9"/>
      <c r="AY144" s="22">
        <v>0.57479899999999995</v>
      </c>
      <c r="AZ144" s="22">
        <v>17.716799999999999</v>
      </c>
      <c r="BA144" s="22">
        <v>-1.45355E-2</v>
      </c>
      <c r="BB144" s="22">
        <v>134</v>
      </c>
      <c r="BC144" s="22">
        <v>0.57428000000000001</v>
      </c>
      <c r="BD144">
        <f t="shared" si="34"/>
        <v>17.945061728395061</v>
      </c>
      <c r="BE144">
        <f t="shared" si="35"/>
        <v>10.314803536419751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2.0294199999999998E-2</v>
      </c>
      <c r="H145" s="22">
        <v>6.3209</v>
      </c>
      <c r="I145" s="22">
        <v>-1.53259E-2</v>
      </c>
      <c r="J145" s="22">
        <v>135</v>
      </c>
      <c r="K145" s="22">
        <v>1.98517E-2</v>
      </c>
      <c r="L145">
        <f t="shared" si="24"/>
        <v>18.920864197530861</v>
      </c>
      <c r="M145">
        <f t="shared" si="25"/>
        <v>0.38398380219753075</v>
      </c>
      <c r="N145" s="9"/>
      <c r="O145" s="22">
        <v>0.57983399999999996</v>
      </c>
      <c r="P145" s="22">
        <v>7.9345499999999998</v>
      </c>
      <c r="Q145" s="22">
        <v>-1.41388E-2</v>
      </c>
      <c r="R145" s="22">
        <v>135</v>
      </c>
      <c r="S145" s="22">
        <v>0.57843</v>
      </c>
      <c r="T145">
        <f t="shared" si="26"/>
        <v>17.455308641975307</v>
      </c>
      <c r="U145">
        <f t="shared" si="27"/>
        <v>10.121181431111109</v>
      </c>
      <c r="X145" s="9"/>
      <c r="Y145" s="22">
        <v>2.0294199999999998E-2</v>
      </c>
      <c r="Z145" s="22">
        <v>11.225099999999999</v>
      </c>
      <c r="AA145" s="22">
        <v>-1.5466300000000001E-2</v>
      </c>
      <c r="AB145" s="22">
        <v>135</v>
      </c>
      <c r="AC145" s="22">
        <v>2.02087E-2</v>
      </c>
      <c r="AD145">
        <f t="shared" si="28"/>
        <v>19.094197530864196</v>
      </c>
      <c r="AE145">
        <f t="shared" si="29"/>
        <v>0.38750146353086412</v>
      </c>
      <c r="AF145" s="9"/>
      <c r="AG145" s="22">
        <v>0.57983399999999996</v>
      </c>
      <c r="AH145" s="22">
        <v>12.838699999999999</v>
      </c>
      <c r="AI145" s="22">
        <v>-1.46179E-2</v>
      </c>
      <c r="AJ145" s="22">
        <v>135</v>
      </c>
      <c r="AK145" s="22">
        <v>0.57897900000000002</v>
      </c>
      <c r="AL145">
        <f t="shared" si="30"/>
        <v>18.046790123456791</v>
      </c>
      <c r="AM145">
        <f t="shared" si="31"/>
        <v>10.464142504444444</v>
      </c>
      <c r="AP145" s="9"/>
      <c r="AQ145" s="22">
        <v>2.0294199999999998E-2</v>
      </c>
      <c r="AR145" s="22">
        <v>16.113199999999999</v>
      </c>
      <c r="AS145" s="22">
        <v>-1.5438800000000001E-2</v>
      </c>
      <c r="AT145" s="22">
        <v>135</v>
      </c>
      <c r="AU145" s="22">
        <v>2.0294199999999998E-2</v>
      </c>
      <c r="AV145">
        <f t="shared" si="32"/>
        <v>19.060246913580247</v>
      </c>
      <c r="AW145">
        <f t="shared" si="33"/>
        <v>0.38681246291358024</v>
      </c>
      <c r="AX145" s="9"/>
      <c r="AY145" s="22">
        <v>0.57983399999999996</v>
      </c>
      <c r="AZ145" s="22">
        <v>17.726900000000001</v>
      </c>
      <c r="BA145" s="22">
        <v>-1.4523299999999999E-2</v>
      </c>
      <c r="BB145" s="22">
        <v>135</v>
      </c>
      <c r="BC145" s="22">
        <v>0.577515</v>
      </c>
      <c r="BD145">
        <f t="shared" si="34"/>
        <v>17.93</v>
      </c>
      <c r="BE145">
        <f t="shared" si="35"/>
        <v>10.396423619999998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1.5258799999999999E-2</v>
      </c>
      <c r="H146" s="22">
        <v>6.3309800000000003</v>
      </c>
      <c r="I146" s="22">
        <v>-1.5332E-2</v>
      </c>
      <c r="J146" s="22">
        <v>136</v>
      </c>
      <c r="K146" s="22">
        <v>1.4871199999999999E-2</v>
      </c>
      <c r="L146">
        <f t="shared" si="24"/>
        <v>18.928395061728395</v>
      </c>
      <c r="M146">
        <f t="shared" si="25"/>
        <v>0.28882459456790122</v>
      </c>
      <c r="N146" s="9"/>
      <c r="O146" s="22">
        <v>0.58486899999999997</v>
      </c>
      <c r="P146" s="22">
        <v>7.9446199999999996</v>
      </c>
      <c r="Q146" s="22">
        <v>-1.41052E-2</v>
      </c>
      <c r="R146" s="22">
        <v>136</v>
      </c>
      <c r="S146" s="22">
        <v>0.58319100000000001</v>
      </c>
      <c r="T146">
        <f t="shared" si="26"/>
        <v>17.413827160493828</v>
      </c>
      <c r="U146">
        <f t="shared" si="27"/>
        <v>10.184807677530864</v>
      </c>
      <c r="X146" s="9"/>
      <c r="Y146" s="22">
        <v>1.5258799999999999E-2</v>
      </c>
      <c r="Z146" s="22">
        <v>11.235099999999999</v>
      </c>
      <c r="AA146" s="22">
        <v>-1.5472400000000001E-2</v>
      </c>
      <c r="AB146" s="22">
        <v>136</v>
      </c>
      <c r="AC146" s="22">
        <v>1.52771E-2</v>
      </c>
      <c r="AD146">
        <f t="shared" si="28"/>
        <v>19.101728395061727</v>
      </c>
      <c r="AE146">
        <f t="shared" si="29"/>
        <v>0.29146945323456785</v>
      </c>
      <c r="AF146" s="9"/>
      <c r="AG146" s="22">
        <v>0.58486899999999997</v>
      </c>
      <c r="AH146" s="22">
        <v>12.848800000000001</v>
      </c>
      <c r="AI146" s="22">
        <v>-1.46088E-2</v>
      </c>
      <c r="AJ146" s="22">
        <v>136</v>
      </c>
      <c r="AK146" s="22">
        <v>0.58410600000000001</v>
      </c>
      <c r="AL146">
        <f t="shared" si="30"/>
        <v>18.035555555555554</v>
      </c>
      <c r="AM146">
        <f t="shared" si="31"/>
        <v>10.54843734222222</v>
      </c>
      <c r="AP146" s="9"/>
      <c r="AQ146" s="22">
        <v>1.5258799999999999E-2</v>
      </c>
      <c r="AR146" s="22">
        <v>16.1233</v>
      </c>
      <c r="AS146" s="22">
        <v>-1.54541E-2</v>
      </c>
      <c r="AT146" s="22">
        <v>136</v>
      </c>
      <c r="AU146" s="22">
        <v>1.5124500000000001E-2</v>
      </c>
      <c r="AV146">
        <f t="shared" si="32"/>
        <v>19.079135802469132</v>
      </c>
      <c r="AW146">
        <f t="shared" si="33"/>
        <v>0.291124717382716</v>
      </c>
      <c r="AX146" s="9"/>
      <c r="AY146" s="22">
        <v>0.58486899999999997</v>
      </c>
      <c r="AZ146" s="22">
        <v>17.736899999999999</v>
      </c>
      <c r="BA146" s="22">
        <v>-1.4508099999999999E-2</v>
      </c>
      <c r="BB146" s="22">
        <v>136</v>
      </c>
      <c r="BC146" s="22">
        <v>0.58492999999999995</v>
      </c>
      <c r="BD146">
        <f t="shared" si="34"/>
        <v>17.911234567901232</v>
      </c>
      <c r="BE146">
        <f t="shared" si="35"/>
        <v>10.475725850493825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1.0223400000000001E-2</v>
      </c>
      <c r="H147" s="22">
        <v>6.3410500000000001</v>
      </c>
      <c r="I147" s="22">
        <v>-1.5341199999999999E-2</v>
      </c>
      <c r="J147" s="22">
        <v>137</v>
      </c>
      <c r="K147" s="22">
        <v>1.03149E-2</v>
      </c>
      <c r="L147">
        <f t="shared" si="24"/>
        <v>18.939753086419749</v>
      </c>
      <c r="M147">
        <f t="shared" si="25"/>
        <v>0.19362867170370368</v>
      </c>
      <c r="N147" s="9"/>
      <c r="O147" s="22">
        <v>0.58990500000000001</v>
      </c>
      <c r="P147" s="22">
        <v>7.9546900000000003</v>
      </c>
      <c r="Q147" s="22">
        <v>-1.40503E-2</v>
      </c>
      <c r="R147" s="22">
        <v>137</v>
      </c>
      <c r="S147" s="22">
        <v>0.59030199999999999</v>
      </c>
      <c r="T147">
        <f t="shared" si="26"/>
        <v>17.34604938271605</v>
      </c>
      <c r="U147">
        <f t="shared" si="27"/>
        <v>10.232521261111112</v>
      </c>
      <c r="X147" s="9"/>
      <c r="Y147" s="22">
        <v>1.0223400000000001E-2</v>
      </c>
      <c r="Z147" s="22">
        <v>11.245200000000001</v>
      </c>
      <c r="AA147" s="22">
        <v>-1.5484599999999999E-2</v>
      </c>
      <c r="AB147" s="22">
        <v>137</v>
      </c>
      <c r="AC147" s="22">
        <v>1.10168E-2</v>
      </c>
      <c r="AD147">
        <f t="shared" si="28"/>
        <v>19.116790123456788</v>
      </c>
      <c r="AE147">
        <f t="shared" si="29"/>
        <v>0.19543859214814813</v>
      </c>
      <c r="AF147" s="9"/>
      <c r="AG147" s="22">
        <v>0.58990500000000001</v>
      </c>
      <c r="AH147" s="22">
        <v>12.8588</v>
      </c>
      <c r="AI147" s="22">
        <v>-1.45966E-2</v>
      </c>
      <c r="AJ147" s="22">
        <v>137</v>
      </c>
      <c r="AK147" s="22">
        <v>0.58911100000000005</v>
      </c>
      <c r="AL147">
        <f t="shared" si="30"/>
        <v>18.020493827160493</v>
      </c>
      <c r="AM147">
        <f t="shared" si="31"/>
        <v>10.630379411111111</v>
      </c>
      <c r="AP147" s="9"/>
      <c r="AQ147" s="22">
        <v>1.0223400000000001E-2</v>
      </c>
      <c r="AR147" s="22">
        <v>16.133400000000002</v>
      </c>
      <c r="AS147" s="22">
        <v>-1.54602E-2</v>
      </c>
      <c r="AT147" s="22">
        <v>137</v>
      </c>
      <c r="AU147" s="22">
        <v>1.0290499999999999E-2</v>
      </c>
      <c r="AV147">
        <f t="shared" si="32"/>
        <v>19.086666666666666</v>
      </c>
      <c r="AW147">
        <f t="shared" si="33"/>
        <v>0.195130628</v>
      </c>
      <c r="AX147" s="9"/>
      <c r="AY147" s="22">
        <v>0.58990500000000001</v>
      </c>
      <c r="AZ147" s="22">
        <v>17.747</v>
      </c>
      <c r="BA147" s="22">
        <v>-1.44958E-2</v>
      </c>
      <c r="BB147" s="22">
        <v>137</v>
      </c>
      <c r="BC147" s="22">
        <v>0.58911100000000005</v>
      </c>
      <c r="BD147">
        <f t="shared" si="34"/>
        <v>17.896049382716047</v>
      </c>
      <c r="BE147">
        <f t="shared" si="35"/>
        <v>10.556969011111111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5.18799E-3</v>
      </c>
      <c r="H148" s="22">
        <v>6.3511199999999999</v>
      </c>
      <c r="I148" s="22">
        <v>-1.5347299999999999E-2</v>
      </c>
      <c r="J148" s="22">
        <v>138</v>
      </c>
      <c r="K148" s="22">
        <v>4.7546400000000001E-3</v>
      </c>
      <c r="L148">
        <f t="shared" si="24"/>
        <v>18.947283950617283</v>
      </c>
      <c r="M148">
        <f t="shared" si="25"/>
        <v>9.8298319662962957E-2</v>
      </c>
      <c r="N148" s="9"/>
      <c r="O148" s="22">
        <v>0.59494000000000002</v>
      </c>
      <c r="P148" s="22">
        <v>7.9647600000000001</v>
      </c>
      <c r="Q148" s="22">
        <v>-1.3986200000000001E-2</v>
      </c>
      <c r="R148" s="22">
        <v>138</v>
      </c>
      <c r="S148" s="22">
        <v>0.59384199999999998</v>
      </c>
      <c r="T148">
        <f t="shared" si="26"/>
        <v>17.266913580246914</v>
      </c>
      <c r="U148">
        <f t="shared" si="27"/>
        <v>10.272777565432099</v>
      </c>
      <c r="X148" s="9"/>
      <c r="Y148" s="22">
        <v>5.18799E-3</v>
      </c>
      <c r="Z148" s="22">
        <v>11.2553</v>
      </c>
      <c r="AA148" s="22">
        <v>-1.54968E-2</v>
      </c>
      <c r="AB148" s="22">
        <v>138</v>
      </c>
      <c r="AC148" s="22">
        <v>4.9682600000000004E-3</v>
      </c>
      <c r="AD148">
        <f t="shared" si="28"/>
        <v>19.131851851851852</v>
      </c>
      <c r="AE148">
        <f t="shared" si="29"/>
        <v>9.9255856088888886E-2</v>
      </c>
      <c r="AF148" s="9"/>
      <c r="AG148" s="22">
        <v>0.59494000000000002</v>
      </c>
      <c r="AH148" s="22">
        <v>12.8689</v>
      </c>
      <c r="AI148" s="22">
        <v>-1.45874E-2</v>
      </c>
      <c r="AJ148" s="22">
        <v>138</v>
      </c>
      <c r="AK148" s="22">
        <v>0.59436</v>
      </c>
      <c r="AL148">
        <f t="shared" si="30"/>
        <v>18.009135802469135</v>
      </c>
      <c r="AM148">
        <f t="shared" si="31"/>
        <v>10.714355254320989</v>
      </c>
      <c r="AP148" s="9"/>
      <c r="AQ148" s="22">
        <v>5.18799E-3</v>
      </c>
      <c r="AR148" s="22">
        <v>16.1434</v>
      </c>
      <c r="AS148" s="22">
        <v>-1.5469399999999999E-2</v>
      </c>
      <c r="AT148" s="22">
        <v>138</v>
      </c>
      <c r="AU148" s="22">
        <v>5.1696800000000003E-3</v>
      </c>
      <c r="AV148">
        <f t="shared" si="32"/>
        <v>19.09802469135802</v>
      </c>
      <c r="AW148">
        <f t="shared" si="33"/>
        <v>9.9080361118518492E-2</v>
      </c>
      <c r="AX148" s="9"/>
      <c r="AY148" s="22">
        <v>0.59494000000000002</v>
      </c>
      <c r="AZ148" s="22">
        <v>17.757100000000001</v>
      </c>
      <c r="BA148" s="22">
        <v>-1.44806E-2</v>
      </c>
      <c r="BB148" s="22">
        <v>138</v>
      </c>
      <c r="BC148" s="22">
        <v>0.594055</v>
      </c>
      <c r="BD148">
        <f t="shared" si="34"/>
        <v>17.877283950617283</v>
      </c>
      <c r="BE148">
        <f t="shared" si="35"/>
        <v>10.635911313580246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1.52588E-4</v>
      </c>
      <c r="H149" s="22">
        <v>6.3611899999999997</v>
      </c>
      <c r="I149" s="22">
        <v>-1.5356399999999999E-2</v>
      </c>
      <c r="J149" s="22">
        <v>139</v>
      </c>
      <c r="K149" s="25">
        <v>-2.4414100000000001E-5</v>
      </c>
      <c r="L149">
        <f t="shared" si="24"/>
        <v>18.958518518518517</v>
      </c>
      <c r="M149">
        <f t="shared" si="25"/>
        <v>2.8928424237037033E-3</v>
      </c>
      <c r="N149" s="9"/>
      <c r="O149" s="22">
        <v>0.59997599999999995</v>
      </c>
      <c r="P149" s="22">
        <v>7.9748299999999999</v>
      </c>
      <c r="Q149" s="22">
        <v>-1.3876299999999999E-2</v>
      </c>
      <c r="R149" s="22">
        <v>139</v>
      </c>
      <c r="S149" s="22">
        <v>0.60031100000000004</v>
      </c>
      <c r="T149">
        <f t="shared" si="26"/>
        <v>17.131234567901231</v>
      </c>
      <c r="U149">
        <f t="shared" si="27"/>
        <v>10.278329591111108</v>
      </c>
      <c r="X149" s="9"/>
      <c r="Y149" s="22">
        <v>1.52588E-4</v>
      </c>
      <c r="Z149" s="22">
        <v>11.2653</v>
      </c>
      <c r="AA149" s="22">
        <v>-1.55029E-2</v>
      </c>
      <c r="AB149" s="22">
        <v>139</v>
      </c>
      <c r="AC149" s="22">
        <v>1.1901899999999999E-4</v>
      </c>
      <c r="AD149">
        <f t="shared" si="28"/>
        <v>19.139382716049383</v>
      </c>
      <c r="AE149">
        <f t="shared" si="29"/>
        <v>2.920440129876543E-3</v>
      </c>
      <c r="AF149" s="9"/>
      <c r="AG149" s="22">
        <v>0.59997599999999995</v>
      </c>
      <c r="AH149" s="22">
        <v>12.879</v>
      </c>
      <c r="AI149" s="22">
        <v>-1.4578199999999999E-2</v>
      </c>
      <c r="AJ149" s="22">
        <v>139</v>
      </c>
      <c r="AK149" s="22">
        <v>0.59933499999999995</v>
      </c>
      <c r="AL149">
        <f t="shared" si="30"/>
        <v>17.997777777777777</v>
      </c>
      <c r="AM149">
        <f t="shared" si="31"/>
        <v>10.798234719999998</v>
      </c>
      <c r="AP149" s="9"/>
      <c r="AQ149" s="22">
        <v>1.52588E-4</v>
      </c>
      <c r="AR149" s="22">
        <v>16.153500000000001</v>
      </c>
      <c r="AS149" s="22">
        <v>-1.5478499999999999E-2</v>
      </c>
      <c r="AT149" s="22">
        <v>139</v>
      </c>
      <c r="AU149" s="25">
        <v>9.1552700000000002E-5</v>
      </c>
      <c r="AV149">
        <f t="shared" si="32"/>
        <v>19.109259259259257</v>
      </c>
      <c r="AW149">
        <f t="shared" si="33"/>
        <v>2.9158436518518516E-3</v>
      </c>
      <c r="AX149" s="9"/>
      <c r="AY149" s="22">
        <v>0.59997599999999995</v>
      </c>
      <c r="AZ149" s="22">
        <v>17.767199999999999</v>
      </c>
      <c r="BA149" s="22">
        <v>-1.4477500000000001E-2</v>
      </c>
      <c r="BB149" s="22">
        <v>139</v>
      </c>
      <c r="BC149" s="22">
        <v>0.59939600000000004</v>
      </c>
      <c r="BD149">
        <f t="shared" si="34"/>
        <v>17.873456790123456</v>
      </c>
      <c r="BE149">
        <f t="shared" si="35"/>
        <v>10.723645111111109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-4.8828099999999996E-3</v>
      </c>
      <c r="H150" s="22">
        <v>6.3712600000000004</v>
      </c>
      <c r="I150" s="22">
        <v>-1.5362499999999999E-2</v>
      </c>
      <c r="J150" s="22">
        <v>140</v>
      </c>
      <c r="K150" s="22">
        <v>-5.48096E-3</v>
      </c>
      <c r="L150">
        <f t="shared" si="24"/>
        <v>18.966049382716047</v>
      </c>
      <c r="M150">
        <f t="shared" si="25"/>
        <v>-9.2607615586419736E-2</v>
      </c>
      <c r="N150" s="9"/>
      <c r="O150" s="22">
        <v>0.60501099999999997</v>
      </c>
      <c r="P150" s="22">
        <v>7.9849100000000002</v>
      </c>
      <c r="Q150" s="22">
        <v>-1.3821399999999999E-2</v>
      </c>
      <c r="R150" s="22">
        <v>140</v>
      </c>
      <c r="S150" s="22">
        <v>0.60455300000000001</v>
      </c>
      <c r="T150">
        <f t="shared" si="26"/>
        <v>17.063456790123453</v>
      </c>
      <c r="U150">
        <f t="shared" si="27"/>
        <v>10.323579056049381</v>
      </c>
      <c r="X150" s="9"/>
      <c r="Y150" s="22">
        <v>-4.8828099999999996E-3</v>
      </c>
      <c r="Z150" s="22">
        <v>11.275399999999999</v>
      </c>
      <c r="AA150" s="22">
        <v>-1.5512099999999999E-2</v>
      </c>
      <c r="AB150" s="22">
        <v>140</v>
      </c>
      <c r="AC150" s="22">
        <v>-5.0842300000000003E-3</v>
      </c>
      <c r="AD150">
        <f t="shared" si="28"/>
        <v>19.150740740740741</v>
      </c>
      <c r="AE150">
        <f t="shared" si="29"/>
        <v>-9.3509428396296293E-2</v>
      </c>
      <c r="AF150" s="9"/>
      <c r="AG150" s="22">
        <v>0.60501099999999997</v>
      </c>
      <c r="AH150" s="22">
        <v>12.889099999999999</v>
      </c>
      <c r="AI150" s="22">
        <v>-1.45691E-2</v>
      </c>
      <c r="AJ150" s="22">
        <v>140</v>
      </c>
      <c r="AK150" s="22">
        <v>0.60424800000000001</v>
      </c>
      <c r="AL150">
        <f t="shared" si="30"/>
        <v>17.98654320987654</v>
      </c>
      <c r="AM150">
        <f t="shared" si="31"/>
        <v>10.882056493950614</v>
      </c>
      <c r="AP150" s="9"/>
      <c r="AQ150" s="22">
        <v>-4.8828099999999996E-3</v>
      </c>
      <c r="AR150" s="22">
        <v>16.163599999999999</v>
      </c>
      <c r="AS150" s="22">
        <v>-1.54877E-2</v>
      </c>
      <c r="AT150" s="22">
        <v>140</v>
      </c>
      <c r="AU150" s="22">
        <v>-5.1269499999999999E-3</v>
      </c>
      <c r="AV150">
        <f t="shared" si="32"/>
        <v>19.120617283950615</v>
      </c>
      <c r="AW150">
        <f t="shared" si="33"/>
        <v>-9.3362341280246897E-2</v>
      </c>
      <c r="AX150" s="9"/>
      <c r="AY150" s="22">
        <v>0.60501099999999997</v>
      </c>
      <c r="AZ150" s="22">
        <v>17.777200000000001</v>
      </c>
      <c r="BA150" s="22">
        <v>-1.44592E-2</v>
      </c>
      <c r="BB150" s="22">
        <v>140</v>
      </c>
      <c r="BC150" s="22">
        <v>0.60440099999999997</v>
      </c>
      <c r="BD150">
        <f t="shared" si="34"/>
        <v>17.850864197530864</v>
      </c>
      <c r="BE150">
        <f t="shared" si="35"/>
        <v>10.799969199012345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-9.9182100000000002E-3</v>
      </c>
      <c r="H151" s="22">
        <v>6.3813300000000002</v>
      </c>
      <c r="I151" s="22">
        <v>-1.5368700000000001E-2</v>
      </c>
      <c r="J151" s="22">
        <v>141</v>
      </c>
      <c r="K151" s="22">
        <v>-1.03546E-2</v>
      </c>
      <c r="L151">
        <f t="shared" si="24"/>
        <v>18.973703703703706</v>
      </c>
      <c r="M151">
        <f t="shared" si="25"/>
        <v>-0.18818517781111113</v>
      </c>
      <c r="N151" s="9"/>
      <c r="O151" s="22">
        <v>0.61004599999999998</v>
      </c>
      <c r="P151" s="22">
        <v>7.99498</v>
      </c>
      <c r="Q151" s="22">
        <v>-1.3754300000000001E-2</v>
      </c>
      <c r="R151" s="22">
        <v>141</v>
      </c>
      <c r="S151" s="22">
        <v>0.60992400000000002</v>
      </c>
      <c r="T151">
        <f t="shared" si="26"/>
        <v>16.980617283950615</v>
      </c>
      <c r="U151">
        <f t="shared" si="27"/>
        <v>10.358957651604936</v>
      </c>
      <c r="X151" s="9"/>
      <c r="Y151" s="22">
        <v>-9.9182100000000002E-3</v>
      </c>
      <c r="Z151" s="22">
        <v>11.285500000000001</v>
      </c>
      <c r="AA151" s="22">
        <v>-1.5521200000000001E-2</v>
      </c>
      <c r="AB151" s="22">
        <v>141</v>
      </c>
      <c r="AC151" s="22">
        <v>-9.8419200000000005E-3</v>
      </c>
      <c r="AD151">
        <f t="shared" si="28"/>
        <v>19.161975308641974</v>
      </c>
      <c r="AE151">
        <f t="shared" si="29"/>
        <v>-0.19005249512592592</v>
      </c>
      <c r="AF151" s="9"/>
      <c r="AG151" s="22">
        <v>0.61004599999999998</v>
      </c>
      <c r="AH151" s="22">
        <v>12.899100000000001</v>
      </c>
      <c r="AI151" s="22">
        <v>-1.4556899999999999E-2</v>
      </c>
      <c r="AJ151" s="22">
        <v>141</v>
      </c>
      <c r="AK151" s="22">
        <v>0.609375</v>
      </c>
      <c r="AL151">
        <f t="shared" si="30"/>
        <v>17.971481481481479</v>
      </c>
      <c r="AM151">
        <f t="shared" si="31"/>
        <v>10.963430391851849</v>
      </c>
      <c r="AP151" s="9"/>
      <c r="AQ151" s="22">
        <v>-9.9182100000000002E-3</v>
      </c>
      <c r="AR151" s="22">
        <v>16.1737</v>
      </c>
      <c r="AS151" s="22">
        <v>-1.54968E-2</v>
      </c>
      <c r="AT151" s="22">
        <v>141</v>
      </c>
      <c r="AU151" s="22">
        <v>-1.04218E-2</v>
      </c>
      <c r="AV151">
        <f t="shared" si="32"/>
        <v>19.131851851851852</v>
      </c>
      <c r="AW151">
        <f t="shared" si="33"/>
        <v>-0.18975372435555557</v>
      </c>
      <c r="AX151" s="9"/>
      <c r="AY151" s="22">
        <v>0.61004599999999998</v>
      </c>
      <c r="AZ151" s="22">
        <v>17.787299999999998</v>
      </c>
      <c r="BA151" s="22">
        <v>-1.44501E-2</v>
      </c>
      <c r="BB151" s="22">
        <v>141</v>
      </c>
      <c r="BC151" s="22">
        <v>0.60983299999999996</v>
      </c>
      <c r="BD151">
        <f t="shared" si="34"/>
        <v>17.839629629629631</v>
      </c>
      <c r="BE151">
        <f t="shared" si="35"/>
        <v>10.882994697037038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-1.4953599999999999E-2</v>
      </c>
      <c r="H152" s="22">
        <v>6.3914</v>
      </c>
      <c r="I152" s="22">
        <v>-1.5374799999999999E-2</v>
      </c>
      <c r="J152" s="22">
        <v>142</v>
      </c>
      <c r="K152" s="22">
        <v>-1.51947E-2</v>
      </c>
      <c r="L152">
        <f t="shared" si="24"/>
        <v>18.981234567901232</v>
      </c>
      <c r="M152">
        <f t="shared" si="25"/>
        <v>-0.28383778923456787</v>
      </c>
      <c r="N152" s="9"/>
      <c r="O152" s="22">
        <v>0.61508200000000002</v>
      </c>
      <c r="P152" s="22">
        <v>8.0050500000000007</v>
      </c>
      <c r="Q152" s="22">
        <v>-1.36566E-2</v>
      </c>
      <c r="R152" s="22">
        <v>142</v>
      </c>
      <c r="S152" s="22">
        <v>0.61398299999999995</v>
      </c>
      <c r="T152">
        <f t="shared" si="26"/>
        <v>16.86</v>
      </c>
      <c r="U152">
        <f t="shared" si="27"/>
        <v>10.37028252</v>
      </c>
      <c r="X152" s="9"/>
      <c r="Y152" s="22">
        <v>-1.4953599999999999E-2</v>
      </c>
      <c r="Z152" s="22">
        <v>11.2956</v>
      </c>
      <c r="AA152" s="22">
        <v>-1.55304E-2</v>
      </c>
      <c r="AB152" s="22">
        <v>142</v>
      </c>
      <c r="AC152" s="22">
        <v>-1.58844E-2</v>
      </c>
      <c r="AD152">
        <f t="shared" si="28"/>
        <v>19.173333333333332</v>
      </c>
      <c r="AE152">
        <f t="shared" si="29"/>
        <v>-0.28671035733333328</v>
      </c>
      <c r="AF152" s="9"/>
      <c r="AG152" s="22">
        <v>0.61508200000000002</v>
      </c>
      <c r="AH152" s="22">
        <v>12.9092</v>
      </c>
      <c r="AI152" s="22">
        <v>-1.4544700000000001E-2</v>
      </c>
      <c r="AJ152" s="22">
        <v>142</v>
      </c>
      <c r="AK152" s="22">
        <v>0.61431899999999995</v>
      </c>
      <c r="AL152">
        <f t="shared" si="30"/>
        <v>17.956419753086422</v>
      </c>
      <c r="AM152">
        <f t="shared" si="31"/>
        <v>11.044670574567903</v>
      </c>
      <c r="AP152" s="9"/>
      <c r="AQ152" s="22">
        <v>-1.4953599999999999E-2</v>
      </c>
      <c r="AR152" s="22">
        <v>16.183700000000002</v>
      </c>
      <c r="AS152" s="22">
        <v>-1.5506000000000001E-2</v>
      </c>
      <c r="AT152" s="22">
        <v>142</v>
      </c>
      <c r="AU152" s="22">
        <v>-1.5432700000000001E-2</v>
      </c>
      <c r="AV152">
        <f t="shared" si="32"/>
        <v>19.14320987654321</v>
      </c>
      <c r="AW152">
        <f t="shared" si="33"/>
        <v>-0.28625990320987654</v>
      </c>
      <c r="AX152" s="9"/>
      <c r="AY152" s="22">
        <v>0.61508200000000002</v>
      </c>
      <c r="AZ152" s="22">
        <v>17.7974</v>
      </c>
      <c r="BA152" s="22">
        <v>-1.44257E-2</v>
      </c>
      <c r="BB152" s="22">
        <v>142</v>
      </c>
      <c r="BC152" s="22">
        <v>0.61395299999999997</v>
      </c>
      <c r="BD152">
        <f t="shared" si="34"/>
        <v>17.809506172839505</v>
      </c>
      <c r="BE152">
        <f t="shared" si="35"/>
        <v>10.954306675802469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-1.9989E-2</v>
      </c>
      <c r="H153" s="22">
        <v>6.4014699999999998</v>
      </c>
      <c r="I153" s="22">
        <v>-1.5383900000000001E-2</v>
      </c>
      <c r="J153" s="22">
        <v>143</v>
      </c>
      <c r="K153" s="22">
        <v>-2.0156899999999998E-2</v>
      </c>
      <c r="L153">
        <f t="shared" si="24"/>
        <v>18.99246913580247</v>
      </c>
      <c r="M153">
        <f t="shared" si="25"/>
        <v>-0.37964046555555558</v>
      </c>
      <c r="N153" s="9"/>
      <c r="O153" s="22">
        <v>0.62011700000000003</v>
      </c>
      <c r="P153" s="22">
        <v>8.0151199999999996</v>
      </c>
      <c r="Q153" s="22">
        <v>-1.36414E-2</v>
      </c>
      <c r="R153" s="22">
        <v>143</v>
      </c>
      <c r="S153" s="22">
        <v>0.61825600000000003</v>
      </c>
      <c r="T153">
        <f t="shared" si="26"/>
        <v>16.841234567901232</v>
      </c>
      <c r="U153">
        <f t="shared" si="27"/>
        <v>10.443535856543209</v>
      </c>
      <c r="X153" s="9"/>
      <c r="Y153" s="22">
        <v>-1.9989E-2</v>
      </c>
      <c r="Z153" s="22">
        <v>11.3056</v>
      </c>
      <c r="AA153" s="22">
        <v>-1.5539600000000001E-2</v>
      </c>
      <c r="AB153" s="22">
        <v>143</v>
      </c>
      <c r="AC153" s="22">
        <v>-2.0419300000000001E-2</v>
      </c>
      <c r="AD153">
        <f t="shared" si="28"/>
        <v>19.18469135802469</v>
      </c>
      <c r="AE153">
        <f t="shared" si="29"/>
        <v>-0.38348279555555553</v>
      </c>
      <c r="AF153" s="9"/>
      <c r="AG153" s="22">
        <v>0.62011700000000003</v>
      </c>
      <c r="AH153" s="22">
        <v>12.9193</v>
      </c>
      <c r="AI153" s="22">
        <v>-1.45325E-2</v>
      </c>
      <c r="AJ153" s="22">
        <v>143</v>
      </c>
      <c r="AK153" s="22">
        <v>0.61972000000000005</v>
      </c>
      <c r="AL153">
        <f t="shared" si="30"/>
        <v>17.941358024691358</v>
      </c>
      <c r="AM153">
        <f t="shared" si="31"/>
        <v>11.125741114197531</v>
      </c>
      <c r="AP153" s="9"/>
      <c r="AQ153" s="22">
        <v>-1.9989E-2</v>
      </c>
      <c r="AR153" s="22">
        <v>16.1938</v>
      </c>
      <c r="AS153" s="22">
        <v>-1.55151E-2</v>
      </c>
      <c r="AT153" s="22">
        <v>143</v>
      </c>
      <c r="AU153" s="22">
        <v>-2.0333899999999999E-2</v>
      </c>
      <c r="AV153">
        <f t="shared" si="32"/>
        <v>19.154444444444444</v>
      </c>
      <c r="AW153">
        <f t="shared" si="33"/>
        <v>-0.38287819000000001</v>
      </c>
      <c r="AX153" s="9"/>
      <c r="AY153" s="22">
        <v>0.62011700000000003</v>
      </c>
      <c r="AZ153" s="22">
        <v>17.807400000000001</v>
      </c>
      <c r="BA153" s="22">
        <v>-1.44043E-2</v>
      </c>
      <c r="BB153" s="22">
        <v>143</v>
      </c>
      <c r="BC153" s="22">
        <v>0.61846900000000005</v>
      </c>
      <c r="BD153">
        <f t="shared" si="34"/>
        <v>17.783086419753086</v>
      </c>
      <c r="BE153">
        <f t="shared" si="35"/>
        <v>11.027594201358026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-2.5024399999999999E-2</v>
      </c>
      <c r="H154" s="22">
        <v>6.4115399999999996</v>
      </c>
      <c r="I154" s="22">
        <v>-1.5389999999999999E-2</v>
      </c>
      <c r="J154" s="22">
        <v>144</v>
      </c>
      <c r="K154" s="22">
        <v>-2.5378399999999999E-2</v>
      </c>
      <c r="L154">
        <f t="shared" si="24"/>
        <v>18.999999999999996</v>
      </c>
      <c r="M154">
        <f t="shared" si="25"/>
        <v>-0.47546359999999988</v>
      </c>
      <c r="N154" s="9"/>
      <c r="O154" s="22">
        <v>0.62515299999999996</v>
      </c>
      <c r="P154" s="22">
        <v>8.0251900000000003</v>
      </c>
      <c r="Q154" s="22">
        <v>-1.3561999999999999E-2</v>
      </c>
      <c r="R154" s="22">
        <v>144</v>
      </c>
      <c r="S154" s="22">
        <v>0.623108</v>
      </c>
      <c r="T154">
        <f t="shared" si="26"/>
        <v>16.743209876543208</v>
      </c>
      <c r="U154">
        <f t="shared" si="27"/>
        <v>10.467067883950616</v>
      </c>
      <c r="X154" s="9"/>
      <c r="Y154" s="22">
        <v>-2.5024399999999999E-2</v>
      </c>
      <c r="Z154" s="22">
        <v>11.3157</v>
      </c>
      <c r="AA154" s="22">
        <v>-1.55487E-2</v>
      </c>
      <c r="AB154" s="22">
        <v>144</v>
      </c>
      <c r="AC154" s="22">
        <v>-2.62054E-2</v>
      </c>
      <c r="AD154">
        <f t="shared" si="28"/>
        <v>19.195925925925927</v>
      </c>
      <c r="AE154">
        <f t="shared" si="29"/>
        <v>-0.48036652874074076</v>
      </c>
      <c r="AF154" s="9"/>
      <c r="AG154" s="22">
        <v>0.62515299999999996</v>
      </c>
      <c r="AH154" s="22">
        <v>12.9293</v>
      </c>
      <c r="AI154" s="22">
        <v>-1.45203E-2</v>
      </c>
      <c r="AJ154" s="22">
        <v>144</v>
      </c>
      <c r="AK154" s="22">
        <v>0.624695</v>
      </c>
      <c r="AL154">
        <f t="shared" si="30"/>
        <v>17.926296296296293</v>
      </c>
      <c r="AM154">
        <f t="shared" si="31"/>
        <v>11.206677908518516</v>
      </c>
      <c r="AP154" s="9"/>
      <c r="AQ154" s="22">
        <v>-2.5024399999999999E-2</v>
      </c>
      <c r="AR154" s="22">
        <v>16.203900000000001</v>
      </c>
      <c r="AS154" s="22">
        <v>-1.5518199999999999E-2</v>
      </c>
      <c r="AT154" s="22">
        <v>144</v>
      </c>
      <c r="AU154" s="22">
        <v>-2.5131199999999999E-2</v>
      </c>
      <c r="AV154">
        <f t="shared" si="32"/>
        <v>19.158271604938271</v>
      </c>
      <c r="AW154">
        <f t="shared" si="33"/>
        <v>-0.47942425195061722</v>
      </c>
      <c r="AX154" s="9"/>
      <c r="AY154" s="22">
        <v>0.62515299999999996</v>
      </c>
      <c r="AZ154" s="22">
        <v>17.817499999999999</v>
      </c>
      <c r="BA154" s="22">
        <v>-1.43921E-2</v>
      </c>
      <c r="BB154" s="22">
        <v>144</v>
      </c>
      <c r="BC154" s="22">
        <v>0.62390100000000004</v>
      </c>
      <c r="BD154">
        <f t="shared" si="34"/>
        <v>17.768024691358022</v>
      </c>
      <c r="BE154">
        <f t="shared" si="35"/>
        <v>11.107733939876541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-3.0059800000000001E-2</v>
      </c>
      <c r="H155" s="22">
        <v>6.4216100000000003</v>
      </c>
      <c r="I155" s="22">
        <v>-1.53992E-2</v>
      </c>
      <c r="J155" s="22">
        <v>145</v>
      </c>
      <c r="K155" s="22">
        <v>-3.0304000000000001E-2</v>
      </c>
      <c r="L155">
        <f t="shared" si="24"/>
        <v>19.011358024691354</v>
      </c>
      <c r="M155">
        <f t="shared" si="25"/>
        <v>-0.57147761995061719</v>
      </c>
      <c r="N155" s="9"/>
      <c r="O155" s="22">
        <v>0.63018799999999997</v>
      </c>
      <c r="P155" s="22">
        <v>8.0352599999999992</v>
      </c>
      <c r="Q155" s="22">
        <v>-1.3504E-2</v>
      </c>
      <c r="R155" s="22">
        <v>145</v>
      </c>
      <c r="S155" s="22">
        <v>0.62890599999999997</v>
      </c>
      <c r="T155">
        <f t="shared" si="26"/>
        <v>16.671604938271606</v>
      </c>
      <c r="U155">
        <f t="shared" si="27"/>
        <v>10.506245372839507</v>
      </c>
      <c r="X155" s="9"/>
      <c r="Y155" s="22">
        <v>-3.0059800000000001E-2</v>
      </c>
      <c r="Z155" s="22">
        <v>11.325799999999999</v>
      </c>
      <c r="AA155" s="22">
        <v>-1.55579E-2</v>
      </c>
      <c r="AB155" s="22">
        <v>145</v>
      </c>
      <c r="AC155" s="22">
        <v>-3.0688500000000001E-2</v>
      </c>
      <c r="AD155">
        <f t="shared" si="28"/>
        <v>19.207283950617281</v>
      </c>
      <c r="AE155">
        <f t="shared" si="29"/>
        <v>-0.5773671140987654</v>
      </c>
      <c r="AF155" s="9"/>
      <c r="AG155" s="22">
        <v>0.63018799999999997</v>
      </c>
      <c r="AH155" s="22">
        <v>12.939399999999999</v>
      </c>
      <c r="AI155" s="22">
        <v>-1.4505000000000001E-2</v>
      </c>
      <c r="AJ155" s="22">
        <v>145</v>
      </c>
      <c r="AK155" s="22">
        <v>0.62948599999999999</v>
      </c>
      <c r="AL155">
        <f t="shared" si="30"/>
        <v>17.907407407407408</v>
      </c>
      <c r="AM155">
        <f t="shared" si="31"/>
        <v>11.28503325925926</v>
      </c>
      <c r="AP155" s="9"/>
      <c r="AQ155" s="22">
        <v>-3.0059800000000001E-2</v>
      </c>
      <c r="AR155" s="22">
        <v>16.213899999999999</v>
      </c>
      <c r="AS155" s="22">
        <v>-1.5527300000000001E-2</v>
      </c>
      <c r="AT155" s="22">
        <v>145</v>
      </c>
      <c r="AU155" s="22">
        <v>-3.00751E-2</v>
      </c>
      <c r="AV155">
        <f t="shared" si="32"/>
        <v>19.169506172839505</v>
      </c>
      <c r="AW155">
        <f t="shared" si="33"/>
        <v>-0.57623152165432101</v>
      </c>
      <c r="AX155" s="9"/>
      <c r="AY155" s="22">
        <v>0.63018799999999997</v>
      </c>
      <c r="AZ155" s="22">
        <v>17.8276</v>
      </c>
      <c r="BA155" s="22">
        <v>-1.43616E-2</v>
      </c>
      <c r="BB155" s="22">
        <v>145</v>
      </c>
      <c r="BC155" s="22">
        <v>0.62948599999999999</v>
      </c>
      <c r="BD155">
        <f t="shared" si="34"/>
        <v>17.73037037037037</v>
      </c>
      <c r="BE155">
        <f t="shared" si="35"/>
        <v>11.173466642962962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-3.50952E-2</v>
      </c>
      <c r="H156" s="22">
        <v>6.4316899999999997</v>
      </c>
      <c r="I156" s="22">
        <v>-1.54053E-2</v>
      </c>
      <c r="J156" s="22">
        <v>146</v>
      </c>
      <c r="K156" s="22">
        <v>-3.5427899999999998E-2</v>
      </c>
      <c r="L156">
        <f t="shared" si="24"/>
        <v>19.018888888888888</v>
      </c>
      <c r="M156">
        <f t="shared" si="25"/>
        <v>-0.66747170933333333</v>
      </c>
      <c r="N156" s="9"/>
      <c r="O156" s="22">
        <v>0.63522299999999998</v>
      </c>
      <c r="P156" s="22">
        <v>8.0453299999999999</v>
      </c>
      <c r="Q156" s="22">
        <v>-1.3433799999999999E-2</v>
      </c>
      <c r="R156" s="22">
        <v>146</v>
      </c>
      <c r="S156" s="22">
        <v>0.63473500000000005</v>
      </c>
      <c r="T156">
        <f t="shared" si="26"/>
        <v>16.584938271604937</v>
      </c>
      <c r="U156">
        <f t="shared" si="27"/>
        <v>10.535134243703702</v>
      </c>
      <c r="X156" s="9"/>
      <c r="Y156" s="22">
        <v>-3.50952E-2</v>
      </c>
      <c r="Z156" s="22">
        <v>11.335800000000001</v>
      </c>
      <c r="AA156" s="22">
        <v>-1.55701E-2</v>
      </c>
      <c r="AB156" s="22">
        <v>146</v>
      </c>
      <c r="AC156" s="22">
        <v>-3.4240699999999999E-2</v>
      </c>
      <c r="AD156">
        <f t="shared" si="28"/>
        <v>19.222345679012346</v>
      </c>
      <c r="AE156">
        <f t="shared" si="29"/>
        <v>-0.67461206607407409</v>
      </c>
      <c r="AF156" s="9"/>
      <c r="AG156" s="22">
        <v>0.63522299999999998</v>
      </c>
      <c r="AH156" s="22">
        <v>12.9495</v>
      </c>
      <c r="AI156" s="22">
        <v>-1.44928E-2</v>
      </c>
      <c r="AJ156" s="22">
        <v>146</v>
      </c>
      <c r="AK156" s="22">
        <v>0.63443000000000005</v>
      </c>
      <c r="AL156">
        <f t="shared" si="30"/>
        <v>17.892345679012344</v>
      </c>
      <c r="AM156">
        <f t="shared" si="31"/>
        <v>11.365629499259258</v>
      </c>
      <c r="AP156" s="9"/>
      <c r="AQ156" s="22">
        <v>-3.50952E-2</v>
      </c>
      <c r="AR156" s="22">
        <v>16.224</v>
      </c>
      <c r="AS156" s="22">
        <v>-1.55365E-2</v>
      </c>
      <c r="AT156" s="22">
        <v>146</v>
      </c>
      <c r="AU156" s="22">
        <v>-3.5070799999999999E-2</v>
      </c>
      <c r="AV156">
        <f t="shared" si="32"/>
        <v>19.180864197530862</v>
      </c>
      <c r="AW156">
        <f t="shared" si="33"/>
        <v>-0.67315626518518512</v>
      </c>
      <c r="AX156" s="9"/>
      <c r="AY156" s="22">
        <v>0.63522299999999998</v>
      </c>
      <c r="AZ156" s="22">
        <v>17.837700000000002</v>
      </c>
      <c r="BA156" s="22">
        <v>-1.43494E-2</v>
      </c>
      <c r="BB156" s="22">
        <v>146</v>
      </c>
      <c r="BC156" s="22">
        <v>0.63464399999999999</v>
      </c>
      <c r="BD156">
        <f t="shared" si="34"/>
        <v>17.715308641975309</v>
      </c>
      <c r="BE156">
        <f t="shared" si="35"/>
        <v>11.25317150148148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-4.0130600000000002E-2</v>
      </c>
      <c r="H157" s="22">
        <v>6.4417600000000004</v>
      </c>
      <c r="I157" s="22">
        <v>-1.54144E-2</v>
      </c>
      <c r="J157" s="22">
        <v>147</v>
      </c>
      <c r="K157" s="22">
        <v>-4.0380899999999997E-2</v>
      </c>
      <c r="L157">
        <f t="shared" si="24"/>
        <v>19.030123456790122</v>
      </c>
      <c r="M157">
        <f t="shared" si="25"/>
        <v>-0.76369027239506171</v>
      </c>
      <c r="N157" s="9"/>
      <c r="O157" s="22">
        <v>0.64025900000000002</v>
      </c>
      <c r="P157" s="22">
        <v>8.0554000000000006</v>
      </c>
      <c r="Q157" s="22">
        <v>-1.3296499999999999E-2</v>
      </c>
      <c r="R157" s="22">
        <v>147</v>
      </c>
      <c r="S157" s="22">
        <v>0.64111300000000004</v>
      </c>
      <c r="T157">
        <f t="shared" si="26"/>
        <v>16.415432098765429</v>
      </c>
      <c r="U157">
        <f t="shared" si="27"/>
        <v>10.510128140123456</v>
      </c>
      <c r="X157" s="9"/>
      <c r="Y157" s="22">
        <v>-4.0130600000000002E-2</v>
      </c>
      <c r="Z157" s="22">
        <v>11.3459</v>
      </c>
      <c r="AA157" s="22">
        <v>-1.55792E-2</v>
      </c>
      <c r="AB157" s="22">
        <v>147</v>
      </c>
      <c r="AC157" s="22">
        <v>-4.0811199999999999E-2</v>
      </c>
      <c r="AD157">
        <f t="shared" si="28"/>
        <v>19.233580246913579</v>
      </c>
      <c r="AE157">
        <f t="shared" si="29"/>
        <v>-0.77185511545679009</v>
      </c>
      <c r="AF157" s="9"/>
      <c r="AG157" s="22">
        <v>0.64025900000000002</v>
      </c>
      <c r="AH157" s="22">
        <v>12.9596</v>
      </c>
      <c r="AI157" s="22">
        <v>-1.44806E-2</v>
      </c>
      <c r="AJ157" s="22">
        <v>147</v>
      </c>
      <c r="AK157" s="22">
        <v>0.63940399999999997</v>
      </c>
      <c r="AL157">
        <f t="shared" si="30"/>
        <v>17.877283950617283</v>
      </c>
      <c r="AM157">
        <f t="shared" si="31"/>
        <v>11.446091944938271</v>
      </c>
      <c r="AP157" s="9"/>
      <c r="AQ157" s="22">
        <v>-4.0130600000000002E-2</v>
      </c>
      <c r="AR157" s="22">
        <v>16.234100000000002</v>
      </c>
      <c r="AS157" s="22">
        <v>-1.5545700000000001E-2</v>
      </c>
      <c r="AT157" s="22">
        <v>147</v>
      </c>
      <c r="AU157" s="22">
        <v>-4.0493800000000003E-2</v>
      </c>
      <c r="AV157">
        <f t="shared" si="32"/>
        <v>19.19222222222222</v>
      </c>
      <c r="AW157">
        <f t="shared" si="33"/>
        <v>-0.77019539311111107</v>
      </c>
      <c r="AX157" s="9"/>
      <c r="AY157" s="22">
        <v>0.64025900000000002</v>
      </c>
      <c r="AZ157" s="22">
        <v>17.8477</v>
      </c>
      <c r="BA157" s="22">
        <v>-1.4324999999999999E-2</v>
      </c>
      <c r="BB157" s="22">
        <v>147</v>
      </c>
      <c r="BC157" s="22">
        <v>0.63992300000000002</v>
      </c>
      <c r="BD157">
        <f t="shared" si="34"/>
        <v>17.685185185185183</v>
      </c>
      <c r="BE157">
        <f t="shared" si="35"/>
        <v>11.323098981481481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-4.5165999999999998E-2</v>
      </c>
      <c r="H158" s="22">
        <v>6.4518300000000002</v>
      </c>
      <c r="I158" s="22">
        <v>-1.5423600000000001E-2</v>
      </c>
      <c r="J158" s="22">
        <v>148</v>
      </c>
      <c r="K158" s="22">
        <v>-4.5339999999999998E-2</v>
      </c>
      <c r="L158">
        <f t="shared" si="24"/>
        <v>19.041481481481483</v>
      </c>
      <c r="M158">
        <f t="shared" si="25"/>
        <v>-0.86002755259259267</v>
      </c>
      <c r="N158" s="9"/>
      <c r="O158" s="22">
        <v>0.64529400000000003</v>
      </c>
      <c r="P158" s="22">
        <v>8.0654699999999995</v>
      </c>
      <c r="Q158" s="22">
        <v>-1.31012E-2</v>
      </c>
      <c r="R158" s="22">
        <v>148</v>
      </c>
      <c r="S158" s="22">
        <v>0.64529400000000003</v>
      </c>
      <c r="T158">
        <f t="shared" si="26"/>
        <v>16.174320987654323</v>
      </c>
      <c r="U158">
        <f t="shared" si="27"/>
        <v>10.437192287407409</v>
      </c>
      <c r="X158" s="9"/>
      <c r="Y158" s="22">
        <v>-4.5165999999999998E-2</v>
      </c>
      <c r="Z158" s="22">
        <v>11.356</v>
      </c>
      <c r="AA158" s="22">
        <v>-1.5588400000000001E-2</v>
      </c>
      <c r="AB158" s="22">
        <v>148</v>
      </c>
      <c r="AC158" s="22">
        <v>-4.4741799999999998E-2</v>
      </c>
      <c r="AD158">
        <f t="shared" si="28"/>
        <v>19.244938271604937</v>
      </c>
      <c r="AE158">
        <f t="shared" si="29"/>
        <v>-0.86921688197530855</v>
      </c>
      <c r="AF158" s="9"/>
      <c r="AG158" s="22">
        <v>0.64529400000000003</v>
      </c>
      <c r="AH158" s="22">
        <v>12.9696</v>
      </c>
      <c r="AI158" s="22">
        <v>-1.4462300000000001E-2</v>
      </c>
      <c r="AJ158" s="22">
        <v>148</v>
      </c>
      <c r="AK158" s="22">
        <v>0.64477499999999999</v>
      </c>
      <c r="AL158">
        <f t="shared" si="30"/>
        <v>17.854691358024692</v>
      </c>
      <c r="AM158">
        <f t="shared" si="31"/>
        <v>11.521525205185187</v>
      </c>
      <c r="AP158" s="9"/>
      <c r="AQ158" s="22">
        <v>-4.5165999999999998E-2</v>
      </c>
      <c r="AR158" s="22">
        <v>16.244199999999999</v>
      </c>
      <c r="AS158" s="22">
        <v>-1.5554800000000001E-2</v>
      </c>
      <c r="AT158" s="22">
        <v>148</v>
      </c>
      <c r="AU158" s="22">
        <v>-4.5397899999999998E-2</v>
      </c>
      <c r="AV158">
        <f t="shared" si="32"/>
        <v>19.203456790123457</v>
      </c>
      <c r="AW158">
        <f t="shared" si="33"/>
        <v>-0.86734332938271608</v>
      </c>
      <c r="AX158" s="9"/>
      <c r="AY158" s="22">
        <v>0.64529400000000003</v>
      </c>
      <c r="AZ158" s="22">
        <v>17.857800000000001</v>
      </c>
      <c r="BA158" s="22">
        <v>-1.42883E-2</v>
      </c>
      <c r="BB158" s="22">
        <v>148</v>
      </c>
      <c r="BC158" s="22">
        <v>0.64425699999999997</v>
      </c>
      <c r="BD158">
        <f t="shared" si="34"/>
        <v>17.639876543209876</v>
      </c>
      <c r="BE158">
        <f t="shared" si="35"/>
        <v>11.382906494074074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-5.02014E-2</v>
      </c>
      <c r="H159" s="22">
        <v>6.4619</v>
      </c>
      <c r="I159" s="22">
        <v>-1.54358E-2</v>
      </c>
      <c r="J159" s="22">
        <v>149</v>
      </c>
      <c r="K159" s="22">
        <v>-5.0628699999999999E-2</v>
      </c>
      <c r="L159">
        <f t="shared" si="24"/>
        <v>19.056543209876541</v>
      </c>
      <c r="M159">
        <f t="shared" si="25"/>
        <v>-0.95666514829629612</v>
      </c>
      <c r="N159" s="9"/>
      <c r="O159" s="22">
        <v>0.65032999999999996</v>
      </c>
      <c r="P159" s="22">
        <v>8.0755400000000002</v>
      </c>
      <c r="Q159" s="22">
        <v>-1.26404E-2</v>
      </c>
      <c r="R159" s="22">
        <v>149</v>
      </c>
      <c r="S159" s="22">
        <v>0.64856000000000003</v>
      </c>
      <c r="T159">
        <f t="shared" si="26"/>
        <v>15.60543209876543</v>
      </c>
      <c r="U159">
        <f t="shared" si="27"/>
        <v>10.148680656790122</v>
      </c>
      <c r="X159" s="9"/>
      <c r="Y159" s="22">
        <v>-5.02014E-2</v>
      </c>
      <c r="Z159" s="22">
        <v>11.366099999999999</v>
      </c>
      <c r="AA159" s="22">
        <v>-1.5594500000000001E-2</v>
      </c>
      <c r="AB159" s="22">
        <v>149</v>
      </c>
      <c r="AC159" s="22">
        <v>-5.1239E-2</v>
      </c>
      <c r="AD159">
        <f t="shared" si="28"/>
        <v>19.252469135802468</v>
      </c>
      <c r="AE159">
        <f t="shared" si="29"/>
        <v>-0.96650090407407396</v>
      </c>
      <c r="AF159" s="9"/>
      <c r="AG159" s="22">
        <v>0.65032999999999996</v>
      </c>
      <c r="AH159" s="22">
        <v>12.979699999999999</v>
      </c>
      <c r="AI159" s="22">
        <v>-1.4447E-2</v>
      </c>
      <c r="AJ159" s="22">
        <v>149</v>
      </c>
      <c r="AK159" s="22">
        <v>0.64962799999999998</v>
      </c>
      <c r="AL159">
        <f t="shared" si="30"/>
        <v>17.8358024691358</v>
      </c>
      <c r="AM159">
        <f t="shared" si="31"/>
        <v>11.599157419753084</v>
      </c>
      <c r="AP159" s="9"/>
      <c r="AQ159" s="22">
        <v>-5.02014E-2</v>
      </c>
      <c r="AR159" s="22">
        <v>16.254200000000001</v>
      </c>
      <c r="AS159" s="22">
        <v>-1.5564E-2</v>
      </c>
      <c r="AT159" s="22">
        <v>149</v>
      </c>
      <c r="AU159" s="22">
        <v>-5.0872800000000003E-2</v>
      </c>
      <c r="AV159">
        <f t="shared" si="32"/>
        <v>19.214814814814812</v>
      </c>
      <c r="AW159">
        <f t="shared" si="33"/>
        <v>-0.96461060444444424</v>
      </c>
      <c r="AX159" s="9"/>
      <c r="AY159" s="22">
        <v>0.65032999999999996</v>
      </c>
      <c r="AZ159" s="22">
        <v>17.867899999999999</v>
      </c>
      <c r="BA159" s="22">
        <v>-1.42609E-2</v>
      </c>
      <c r="BB159" s="22">
        <v>149</v>
      </c>
      <c r="BC159" s="22">
        <v>0.64913900000000002</v>
      </c>
      <c r="BD159">
        <f t="shared" si="34"/>
        <v>17.606049382716048</v>
      </c>
      <c r="BE159">
        <f t="shared" si="35"/>
        <v>11.449742095061726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-5.5236800000000003E-2</v>
      </c>
      <c r="H160" s="22">
        <v>6.4719699999999998</v>
      </c>
      <c r="I160" s="22">
        <v>-1.54419E-2</v>
      </c>
      <c r="J160" s="22">
        <v>150</v>
      </c>
      <c r="K160" s="22">
        <v>-5.5786099999999998E-2</v>
      </c>
      <c r="L160">
        <f t="shared" si="24"/>
        <v>19.064074074074075</v>
      </c>
      <c r="M160">
        <f t="shared" si="25"/>
        <v>-1.0530384468148148</v>
      </c>
      <c r="N160" s="9"/>
      <c r="O160" s="22">
        <v>0.65536499999999998</v>
      </c>
      <c r="P160" s="22">
        <v>8.0856200000000005</v>
      </c>
      <c r="Q160" s="22">
        <v>-1.24481E-2</v>
      </c>
      <c r="R160" s="22">
        <v>150</v>
      </c>
      <c r="S160" s="22">
        <v>0.65380899999999997</v>
      </c>
      <c r="T160">
        <f t="shared" si="26"/>
        <v>15.368024691358023</v>
      </c>
      <c r="U160">
        <f t="shared" si="27"/>
        <v>10.07166550185185</v>
      </c>
      <c r="X160" s="9"/>
      <c r="Y160" s="22">
        <v>-5.5236800000000003E-2</v>
      </c>
      <c r="Z160" s="22">
        <v>11.376099999999999</v>
      </c>
      <c r="AA160" s="22">
        <v>-1.55975E-2</v>
      </c>
      <c r="AB160" s="22">
        <v>150</v>
      </c>
      <c r="AC160" s="22">
        <v>-5.5938700000000001E-2</v>
      </c>
      <c r="AD160">
        <f t="shared" si="28"/>
        <v>19.256172839506171</v>
      </c>
      <c r="AE160">
        <f t="shared" si="29"/>
        <v>-1.0636493679012344</v>
      </c>
      <c r="AF160" s="9"/>
      <c r="AG160" s="22">
        <v>0.65536499999999998</v>
      </c>
      <c r="AH160" s="22">
        <v>12.989800000000001</v>
      </c>
      <c r="AI160" s="22">
        <v>-1.44318E-2</v>
      </c>
      <c r="AJ160" s="22">
        <v>150</v>
      </c>
      <c r="AK160" s="22">
        <v>0.65478499999999995</v>
      </c>
      <c r="AL160">
        <f t="shared" si="30"/>
        <v>17.817037037037036</v>
      </c>
      <c r="AM160">
        <f t="shared" si="31"/>
        <v>11.676662477777777</v>
      </c>
      <c r="AP160" s="9"/>
      <c r="AQ160" s="22">
        <v>-5.5236800000000003E-2</v>
      </c>
      <c r="AR160" s="22">
        <v>16.264299999999999</v>
      </c>
      <c r="AS160" s="22">
        <v>-1.5573099999999999E-2</v>
      </c>
      <c r="AT160" s="22">
        <v>150</v>
      </c>
      <c r="AU160" s="22">
        <v>-5.5877700000000002E-2</v>
      </c>
      <c r="AV160">
        <f t="shared" si="32"/>
        <v>19.226049382716049</v>
      </c>
      <c r="AW160">
        <f t="shared" si="33"/>
        <v>-1.06198544454321</v>
      </c>
      <c r="AX160" s="9"/>
      <c r="AY160" s="22">
        <v>0.65536499999999998</v>
      </c>
      <c r="AZ160" s="22">
        <v>17.8779</v>
      </c>
      <c r="BA160" s="22">
        <v>-1.42303E-2</v>
      </c>
      <c r="BB160" s="22">
        <v>150</v>
      </c>
      <c r="BC160" s="22">
        <v>0.65444899999999995</v>
      </c>
      <c r="BD160">
        <f t="shared" si="34"/>
        <v>17.568271604938271</v>
      </c>
      <c r="BE160">
        <f t="shared" si="35"/>
        <v>11.513630320370369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-6.0272199999999998E-2</v>
      </c>
      <c r="H161" s="22">
        <v>6.4820399999999996</v>
      </c>
      <c r="I161" s="22">
        <v>-1.5457200000000001E-2</v>
      </c>
      <c r="J161" s="22">
        <v>151</v>
      </c>
      <c r="K161" s="22">
        <v>-6.1004599999999999E-2</v>
      </c>
      <c r="L161">
        <f t="shared" si="24"/>
        <v>19.082962962962963</v>
      </c>
      <c r="M161">
        <f t="shared" si="25"/>
        <v>-1.1501721602962962</v>
      </c>
      <c r="N161" s="9"/>
      <c r="O161" s="22">
        <v>0.66039999999999999</v>
      </c>
      <c r="P161" s="22">
        <v>8.0956899999999994</v>
      </c>
      <c r="Q161" s="22">
        <v>-1.23596E-2</v>
      </c>
      <c r="R161" s="22">
        <v>151</v>
      </c>
      <c r="S161" s="22">
        <v>0.65933200000000003</v>
      </c>
      <c r="T161">
        <f t="shared" si="26"/>
        <v>15.258765432098766</v>
      </c>
      <c r="U161">
        <f t="shared" si="27"/>
        <v>10.076888691358025</v>
      </c>
      <c r="X161" s="9"/>
      <c r="Y161" s="22">
        <v>-6.0272199999999998E-2</v>
      </c>
      <c r="Z161" s="22">
        <v>11.386200000000001</v>
      </c>
      <c r="AA161" s="22">
        <v>-1.56128E-2</v>
      </c>
      <c r="AB161" s="22">
        <v>151</v>
      </c>
      <c r="AC161" s="22">
        <v>-6.0485799999999999E-2</v>
      </c>
      <c r="AD161">
        <f t="shared" si="28"/>
        <v>19.275061728395059</v>
      </c>
      <c r="AE161">
        <f t="shared" si="29"/>
        <v>-1.1617503755061727</v>
      </c>
      <c r="AF161" s="9"/>
      <c r="AG161" s="22">
        <v>0.66039999999999999</v>
      </c>
      <c r="AH161" s="22">
        <v>12.9998</v>
      </c>
      <c r="AI161" s="22">
        <v>-1.4413499999999999E-2</v>
      </c>
      <c r="AJ161" s="22">
        <v>151</v>
      </c>
      <c r="AK161" s="22">
        <v>0.65991200000000005</v>
      </c>
      <c r="AL161">
        <f t="shared" si="30"/>
        <v>17.794444444444444</v>
      </c>
      <c r="AM161">
        <f t="shared" si="31"/>
        <v>11.751451111111111</v>
      </c>
      <c r="AP161" s="9"/>
      <c r="AQ161" s="22">
        <v>-6.0272199999999998E-2</v>
      </c>
      <c r="AR161" s="22">
        <v>16.2744</v>
      </c>
      <c r="AS161" s="22">
        <v>-1.55792E-2</v>
      </c>
      <c r="AT161" s="22">
        <v>151</v>
      </c>
      <c r="AU161" s="22">
        <v>-6.0913099999999998E-2</v>
      </c>
      <c r="AV161">
        <f t="shared" si="32"/>
        <v>19.233580246913579</v>
      </c>
      <c r="AW161">
        <f t="shared" si="33"/>
        <v>-1.1592501953580245</v>
      </c>
      <c r="AX161" s="9"/>
      <c r="AY161" s="22">
        <v>0.66039999999999999</v>
      </c>
      <c r="AZ161" s="22">
        <v>17.888000000000002</v>
      </c>
      <c r="BA161" s="22">
        <v>-1.41724E-2</v>
      </c>
      <c r="BB161" s="22">
        <v>151</v>
      </c>
      <c r="BC161" s="22">
        <v>0.66110199999999997</v>
      </c>
      <c r="BD161">
        <f t="shared" si="34"/>
        <v>17.496790123456787</v>
      </c>
      <c r="BE161">
        <f t="shared" si="35"/>
        <v>11.554880197530862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-6.5307599999999993E-2</v>
      </c>
      <c r="H162" s="22">
        <v>6.4921100000000003</v>
      </c>
      <c r="I162" s="22">
        <v>-1.54602E-2</v>
      </c>
      <c r="J162" s="22">
        <v>152</v>
      </c>
      <c r="K162" s="22">
        <v>-6.5704299999999993E-2</v>
      </c>
      <c r="L162">
        <f t="shared" si="24"/>
        <v>19.086666666666666</v>
      </c>
      <c r="M162">
        <f t="shared" si="25"/>
        <v>-1.2465043919999999</v>
      </c>
      <c r="N162" s="9"/>
      <c r="O162" s="22">
        <v>0.66543600000000003</v>
      </c>
      <c r="P162" s="22">
        <v>8.1057600000000001</v>
      </c>
      <c r="Q162" s="22">
        <v>-1.2057500000000001E-2</v>
      </c>
      <c r="R162" s="22">
        <v>152</v>
      </c>
      <c r="S162" s="22">
        <v>0.6633</v>
      </c>
      <c r="T162">
        <f t="shared" si="26"/>
        <v>14.885802469135802</v>
      </c>
      <c r="U162">
        <f t="shared" si="27"/>
        <v>9.9055488518518526</v>
      </c>
      <c r="X162" s="9"/>
      <c r="Y162" s="22">
        <v>-6.5307599999999993E-2</v>
      </c>
      <c r="Z162" s="22">
        <v>11.3963</v>
      </c>
      <c r="AA162" s="22">
        <v>-1.5615800000000001E-2</v>
      </c>
      <c r="AB162" s="22">
        <v>152</v>
      </c>
      <c r="AC162" s="22">
        <v>-6.5918000000000004E-2</v>
      </c>
      <c r="AD162">
        <f t="shared" si="28"/>
        <v>19.278765432098766</v>
      </c>
      <c r="AE162">
        <f t="shared" si="29"/>
        <v>-1.2590499013333332</v>
      </c>
      <c r="AF162" s="9"/>
      <c r="AG162" s="22">
        <v>0.66543600000000003</v>
      </c>
      <c r="AH162" s="22">
        <v>13.0099</v>
      </c>
      <c r="AI162" s="22">
        <v>-1.4395099999999999E-2</v>
      </c>
      <c r="AJ162" s="22">
        <v>152</v>
      </c>
      <c r="AK162" s="22">
        <v>0.66473400000000005</v>
      </c>
      <c r="AL162">
        <f t="shared" si="30"/>
        <v>17.771728395061729</v>
      </c>
      <c r="AM162">
        <f t="shared" si="31"/>
        <v>11.825947856296297</v>
      </c>
      <c r="AP162" s="9"/>
      <c r="AQ162" s="22">
        <v>-6.5307599999999993E-2</v>
      </c>
      <c r="AR162" s="22">
        <v>16.284400000000002</v>
      </c>
      <c r="AS162" s="22">
        <v>-1.55914E-2</v>
      </c>
      <c r="AT162" s="22">
        <v>152</v>
      </c>
      <c r="AU162" s="22">
        <v>-6.5856899999999996E-2</v>
      </c>
      <c r="AV162">
        <f t="shared" si="32"/>
        <v>19.24864197530864</v>
      </c>
      <c r="AW162">
        <f t="shared" si="33"/>
        <v>-1.2570826106666664</v>
      </c>
      <c r="AX162" s="9"/>
      <c r="AY162" s="22">
        <v>0.66543600000000003</v>
      </c>
      <c r="AZ162" s="22">
        <v>17.898099999999999</v>
      </c>
      <c r="BA162" s="22">
        <v>-1.41388E-2</v>
      </c>
      <c r="BB162" s="22">
        <v>152</v>
      </c>
      <c r="BC162" s="22">
        <v>0.66418500000000003</v>
      </c>
      <c r="BD162">
        <f t="shared" si="34"/>
        <v>17.455308641975307</v>
      </c>
      <c r="BE162">
        <f t="shared" si="35"/>
        <v>11.61539076148148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-7.0343000000000003E-2</v>
      </c>
      <c r="H163" s="22">
        <v>6.5021800000000001</v>
      </c>
      <c r="I163" s="22">
        <v>-1.5472400000000001E-2</v>
      </c>
      <c r="J163" s="22">
        <v>153</v>
      </c>
      <c r="K163" s="22">
        <v>-7.0922899999999997E-2</v>
      </c>
      <c r="L163">
        <f t="shared" si="24"/>
        <v>19.101728395061727</v>
      </c>
      <c r="M163">
        <f t="shared" si="25"/>
        <v>-1.3436728804938272</v>
      </c>
      <c r="N163" s="9"/>
      <c r="O163" s="22">
        <v>0.67047100000000004</v>
      </c>
      <c r="P163" s="22">
        <v>8.1158300000000008</v>
      </c>
      <c r="Q163" s="22">
        <v>-1.1495999999999999E-2</v>
      </c>
      <c r="R163" s="22">
        <v>153</v>
      </c>
      <c r="S163" s="22">
        <v>0.66979999999999995</v>
      </c>
      <c r="T163">
        <f t="shared" si="26"/>
        <v>14.19259259259259</v>
      </c>
      <c r="U163">
        <f t="shared" si="27"/>
        <v>9.5157217481481471</v>
      </c>
      <c r="X163" s="9"/>
      <c r="Y163" s="22">
        <v>-7.0343000000000003E-2</v>
      </c>
      <c r="Z163" s="22">
        <v>11.4063</v>
      </c>
      <c r="AA163" s="22">
        <v>-1.5625E-2</v>
      </c>
      <c r="AB163" s="22">
        <v>153</v>
      </c>
      <c r="AC163" s="22">
        <v>-7.0800799999999997E-2</v>
      </c>
      <c r="AD163">
        <f t="shared" si="28"/>
        <v>19.290123456790123</v>
      </c>
      <c r="AE163">
        <f t="shared" si="29"/>
        <v>-1.3569251543209877</v>
      </c>
      <c r="AF163" s="9"/>
      <c r="AG163" s="22">
        <v>0.67047100000000004</v>
      </c>
      <c r="AH163" s="22">
        <v>13.02</v>
      </c>
      <c r="AI163" s="22">
        <v>-1.43707E-2</v>
      </c>
      <c r="AJ163" s="22">
        <v>153</v>
      </c>
      <c r="AK163" s="22">
        <v>0.66964699999999999</v>
      </c>
      <c r="AL163">
        <f t="shared" si="30"/>
        <v>17.741604938271603</v>
      </c>
      <c r="AM163">
        <f t="shared" si="31"/>
        <v>11.895231604567901</v>
      </c>
      <c r="AP163" s="9"/>
      <c r="AQ163" s="22">
        <v>-7.0343000000000003E-2</v>
      </c>
      <c r="AR163" s="22">
        <v>16.294499999999999</v>
      </c>
      <c r="AS163" s="22">
        <v>-1.5600599999999999E-2</v>
      </c>
      <c r="AT163" s="22">
        <v>153</v>
      </c>
      <c r="AU163" s="22">
        <v>-7.1258500000000002E-2</v>
      </c>
      <c r="AV163">
        <f t="shared" si="32"/>
        <v>19.259999999999998</v>
      </c>
      <c r="AW163">
        <f t="shared" si="33"/>
        <v>-1.35480618</v>
      </c>
      <c r="AX163" s="9"/>
      <c r="AY163" s="22">
        <v>0.67047100000000004</v>
      </c>
      <c r="AZ163" s="22">
        <v>17.908200000000001</v>
      </c>
      <c r="BA163" s="22">
        <v>-1.40839E-2</v>
      </c>
      <c r="BB163" s="22">
        <v>153</v>
      </c>
      <c r="BC163" s="22">
        <v>0.66744999999999999</v>
      </c>
      <c r="BD163">
        <f t="shared" si="34"/>
        <v>17.387530864197529</v>
      </c>
      <c r="BE163">
        <f t="shared" si="35"/>
        <v>11.657835206049382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-7.5378399999999998E-2</v>
      </c>
      <c r="H164" s="22">
        <v>6.5122499999999999</v>
      </c>
      <c r="I164" s="22">
        <v>-1.54816E-2</v>
      </c>
      <c r="J164" s="22">
        <v>154</v>
      </c>
      <c r="K164" s="22">
        <v>-7.5866699999999995E-2</v>
      </c>
      <c r="L164">
        <f t="shared" si="24"/>
        <v>19.113086419753085</v>
      </c>
      <c r="M164">
        <f t="shared" si="25"/>
        <v>-1.4407138733827158</v>
      </c>
      <c r="N164" s="9"/>
      <c r="O164" s="22">
        <v>0.67550699999999997</v>
      </c>
      <c r="P164" s="22">
        <v>8.1258999999999997</v>
      </c>
      <c r="Q164" s="22">
        <v>-1.08948E-2</v>
      </c>
      <c r="R164" s="22">
        <v>154</v>
      </c>
      <c r="S164" s="22">
        <v>0.673431</v>
      </c>
      <c r="T164">
        <f t="shared" si="26"/>
        <v>13.45037037037037</v>
      </c>
      <c r="U164">
        <f t="shared" si="27"/>
        <v>9.0858193377777781</v>
      </c>
      <c r="X164" s="9"/>
      <c r="Y164" s="22">
        <v>-7.5378399999999998E-2</v>
      </c>
      <c r="Z164" s="22">
        <v>11.416399999999999</v>
      </c>
      <c r="AA164" s="22">
        <v>-1.5634200000000001E-2</v>
      </c>
      <c r="AB164" s="22">
        <v>154</v>
      </c>
      <c r="AC164" s="22">
        <v>-7.5958300000000006E-2</v>
      </c>
      <c r="AD164">
        <f t="shared" si="28"/>
        <v>19.301481481481481</v>
      </c>
      <c r="AE164">
        <f t="shared" si="29"/>
        <v>-1.4549147917037037</v>
      </c>
      <c r="AF164" s="9"/>
      <c r="AG164" s="22">
        <v>0.67550699999999997</v>
      </c>
      <c r="AH164" s="22">
        <v>13.030099999999999</v>
      </c>
      <c r="AI164" s="22">
        <v>-1.4346299999999999E-2</v>
      </c>
      <c r="AJ164" s="22">
        <v>154</v>
      </c>
      <c r="AK164" s="22">
        <v>0.67465200000000003</v>
      </c>
      <c r="AL164">
        <f t="shared" si="30"/>
        <v>17.711481481481481</v>
      </c>
      <c r="AM164">
        <f t="shared" si="31"/>
        <v>11.96422972111111</v>
      </c>
      <c r="AP164" s="9"/>
      <c r="AQ164" s="22">
        <v>-7.5378399999999998E-2</v>
      </c>
      <c r="AR164" s="22">
        <v>16.304600000000001</v>
      </c>
      <c r="AS164" s="22">
        <v>-1.5606699999999999E-2</v>
      </c>
      <c r="AT164" s="22">
        <v>154</v>
      </c>
      <c r="AU164" s="22">
        <v>-7.6080300000000003E-2</v>
      </c>
      <c r="AV164">
        <f t="shared" si="32"/>
        <v>19.267530864197528</v>
      </c>
      <c r="AW164">
        <f t="shared" si="33"/>
        <v>-1.4523556484938269</v>
      </c>
      <c r="AX164" s="9"/>
      <c r="AY164" s="22">
        <v>0.67550699999999997</v>
      </c>
      <c r="AZ164" s="22">
        <v>17.918199999999999</v>
      </c>
      <c r="BA164" s="22">
        <v>-1.4053299999999999E-2</v>
      </c>
      <c r="BB164" s="22">
        <v>154</v>
      </c>
      <c r="BC164" s="22">
        <v>0.67550699999999997</v>
      </c>
      <c r="BD164">
        <f t="shared" si="34"/>
        <v>17.349753086419753</v>
      </c>
      <c r="BE164">
        <f t="shared" si="35"/>
        <v>11.719879658148148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-8.0413799999999994E-2</v>
      </c>
      <c r="H165" s="22">
        <v>6.5223199999999997</v>
      </c>
      <c r="I165" s="22">
        <v>-1.54907E-2</v>
      </c>
      <c r="J165" s="22">
        <v>155</v>
      </c>
      <c r="K165" s="22">
        <v>-8.0596899999999999E-2</v>
      </c>
      <c r="L165">
        <f t="shared" si="24"/>
        <v>19.124320987654318</v>
      </c>
      <c r="M165">
        <f t="shared" si="25"/>
        <v>-1.5378593230370368</v>
      </c>
      <c r="N165" s="9"/>
      <c r="O165" s="22">
        <v>0.68054199999999998</v>
      </c>
      <c r="P165" s="22">
        <v>8.1359700000000004</v>
      </c>
      <c r="Q165" s="22">
        <v>-1.0665900000000001E-2</v>
      </c>
      <c r="R165" s="22">
        <v>155</v>
      </c>
      <c r="S165" s="22">
        <v>0.67901599999999995</v>
      </c>
      <c r="T165">
        <f t="shared" si="26"/>
        <v>13.167777777777779</v>
      </c>
      <c r="U165">
        <f t="shared" si="27"/>
        <v>8.9612258244444458</v>
      </c>
      <c r="X165" s="9"/>
      <c r="Y165" s="22">
        <v>-8.0413799999999994E-2</v>
      </c>
      <c r="Z165" s="22">
        <v>11.426500000000001</v>
      </c>
      <c r="AA165" s="22">
        <v>-1.5643299999999999E-2</v>
      </c>
      <c r="AB165" s="22">
        <v>155</v>
      </c>
      <c r="AC165" s="22">
        <v>-8.1146200000000002E-2</v>
      </c>
      <c r="AD165">
        <f t="shared" si="28"/>
        <v>19.312716049382715</v>
      </c>
      <c r="AE165">
        <f t="shared" si="29"/>
        <v>-1.5530088858518516</v>
      </c>
      <c r="AF165" s="9"/>
      <c r="AG165" s="22">
        <v>0.68054199999999998</v>
      </c>
      <c r="AH165" s="22">
        <v>13.040100000000001</v>
      </c>
      <c r="AI165" s="22">
        <v>-1.4324999999999999E-2</v>
      </c>
      <c r="AJ165" s="22">
        <v>155</v>
      </c>
      <c r="AK165" s="22">
        <v>0.67990099999999998</v>
      </c>
      <c r="AL165">
        <f t="shared" si="30"/>
        <v>17.685185185185183</v>
      </c>
      <c r="AM165">
        <f t="shared" si="31"/>
        <v>12.035511296296296</v>
      </c>
      <c r="AP165" s="9"/>
      <c r="AQ165" s="22">
        <v>-8.0413799999999994E-2</v>
      </c>
      <c r="AR165" s="22">
        <v>16.314699999999998</v>
      </c>
      <c r="AS165" s="22">
        <v>-1.5615800000000001E-2</v>
      </c>
      <c r="AT165" s="22">
        <v>155</v>
      </c>
      <c r="AU165" s="22">
        <v>-8.0810499999999993E-2</v>
      </c>
      <c r="AV165">
        <f t="shared" si="32"/>
        <v>19.278765432098766</v>
      </c>
      <c r="AW165">
        <f t="shared" si="33"/>
        <v>-1.5502787877037036</v>
      </c>
      <c r="AX165" s="9"/>
      <c r="AY165" s="22">
        <v>0.68054199999999998</v>
      </c>
      <c r="AZ165" s="22">
        <v>17.9283</v>
      </c>
      <c r="BA165" s="22">
        <v>-1.3958699999999999E-2</v>
      </c>
      <c r="BB165" s="22">
        <v>155</v>
      </c>
      <c r="BC165" s="22">
        <v>0.67977900000000002</v>
      </c>
      <c r="BD165">
        <f t="shared" si="34"/>
        <v>17.232962962962961</v>
      </c>
      <c r="BE165">
        <f t="shared" si="35"/>
        <v>11.727755080740739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-8.5449200000000003E-2</v>
      </c>
      <c r="H166" s="22">
        <v>6.5324</v>
      </c>
      <c r="I166" s="22">
        <v>-1.54968E-2</v>
      </c>
      <c r="J166" s="22">
        <v>156</v>
      </c>
      <c r="K166" s="22">
        <v>-8.58154E-2</v>
      </c>
      <c r="L166">
        <f t="shared" si="24"/>
        <v>19.131851851851852</v>
      </c>
      <c r="M166">
        <f t="shared" si="25"/>
        <v>-1.6348014352592593</v>
      </c>
      <c r="N166" s="9"/>
      <c r="O166" s="22">
        <v>0.68557699999999999</v>
      </c>
      <c r="P166" s="22">
        <v>8.1460399999999993</v>
      </c>
      <c r="Q166" s="22">
        <v>-9.6923800000000004E-3</v>
      </c>
      <c r="R166" s="22">
        <v>156</v>
      </c>
      <c r="S166" s="22">
        <v>0.68337999999999999</v>
      </c>
      <c r="T166">
        <f t="shared" si="26"/>
        <v>11.965901234567902</v>
      </c>
      <c r="U166">
        <f t="shared" si="27"/>
        <v>8.2035466706913578</v>
      </c>
      <c r="X166" s="9"/>
      <c r="Y166" s="22">
        <v>-8.5449200000000003E-2</v>
      </c>
      <c r="Z166" s="22">
        <v>11.4366</v>
      </c>
      <c r="AA166" s="22">
        <v>-1.56525E-2</v>
      </c>
      <c r="AB166" s="22">
        <v>156</v>
      </c>
      <c r="AC166" s="22">
        <v>-8.5968000000000003E-2</v>
      </c>
      <c r="AD166">
        <f t="shared" si="28"/>
        <v>19.324074074074073</v>
      </c>
      <c r="AE166">
        <f t="shared" si="29"/>
        <v>-1.6512266703703704</v>
      </c>
      <c r="AF166" s="9"/>
      <c r="AG166" s="22">
        <v>0.68557699999999999</v>
      </c>
      <c r="AH166" s="22">
        <v>13.0502</v>
      </c>
      <c r="AI166" s="22">
        <v>-1.4297499999999999E-2</v>
      </c>
      <c r="AJ166" s="22">
        <v>156</v>
      </c>
      <c r="AK166" s="22">
        <v>0.68475299999999995</v>
      </c>
      <c r="AL166">
        <f t="shared" si="30"/>
        <v>17.651234567901231</v>
      </c>
      <c r="AM166">
        <f t="shared" si="31"/>
        <v>12.101280441358021</v>
      </c>
      <c r="AP166" s="9"/>
      <c r="AQ166" s="22">
        <v>-8.5449200000000003E-2</v>
      </c>
      <c r="AR166" s="22">
        <v>16.3247</v>
      </c>
      <c r="AS166" s="22">
        <v>-1.5621899999999999E-2</v>
      </c>
      <c r="AT166" s="22">
        <v>156</v>
      </c>
      <c r="AU166" s="22">
        <v>-8.5998500000000005E-2</v>
      </c>
      <c r="AV166">
        <f t="shared" si="32"/>
        <v>19.286296296296296</v>
      </c>
      <c r="AW166">
        <f t="shared" si="33"/>
        <v>-1.6479985894814815</v>
      </c>
      <c r="AX166" s="9"/>
      <c r="AY166" s="22">
        <v>0.68557699999999999</v>
      </c>
      <c r="AZ166" s="22">
        <v>17.938400000000001</v>
      </c>
      <c r="BA166" s="22">
        <v>-1.3913E-2</v>
      </c>
      <c r="BB166" s="22">
        <v>156</v>
      </c>
      <c r="BC166" s="22">
        <v>0.68597399999999997</v>
      </c>
      <c r="BD166">
        <f t="shared" si="34"/>
        <v>17.176543209876542</v>
      </c>
      <c r="BE166">
        <f t="shared" si="35"/>
        <v>11.77584296419753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-9.0484599999999998E-2</v>
      </c>
      <c r="H167" s="22">
        <v>6.5424699999999998</v>
      </c>
      <c r="I167" s="22">
        <v>-1.5506000000000001E-2</v>
      </c>
      <c r="J167" s="22">
        <v>157</v>
      </c>
      <c r="K167" s="22">
        <v>-9.1033900000000001E-2</v>
      </c>
      <c r="L167">
        <f t="shared" si="24"/>
        <v>19.14320987654321</v>
      </c>
      <c r="M167">
        <f t="shared" si="25"/>
        <v>-1.7321656883950618</v>
      </c>
      <c r="N167" s="9"/>
      <c r="O167" s="22">
        <v>0.69061300000000003</v>
      </c>
      <c r="P167" s="22">
        <v>8.15611</v>
      </c>
      <c r="Q167" s="22">
        <v>-8.8836699999999998E-3</v>
      </c>
      <c r="R167" s="22">
        <v>157</v>
      </c>
      <c r="S167" s="22">
        <v>0.69122300000000003</v>
      </c>
      <c r="T167">
        <f t="shared" si="26"/>
        <v>10.967493827160492</v>
      </c>
      <c r="U167">
        <f t="shared" si="27"/>
        <v>7.5742938144567891</v>
      </c>
      <c r="X167" s="9"/>
      <c r="Y167" s="22">
        <v>-9.0484599999999998E-2</v>
      </c>
      <c r="Z167" s="22">
        <v>11.4466</v>
      </c>
      <c r="AA167" s="22">
        <v>-1.5661600000000001E-2</v>
      </c>
      <c r="AB167" s="22">
        <v>157</v>
      </c>
      <c r="AC167" s="22">
        <v>-9.0545700000000007E-2</v>
      </c>
      <c r="AD167">
        <f t="shared" si="28"/>
        <v>19.33530864197531</v>
      </c>
      <c r="AE167">
        <f t="shared" si="29"/>
        <v>-1.749547668345679</v>
      </c>
      <c r="AF167" s="9"/>
      <c r="AG167" s="22">
        <v>0.69061300000000003</v>
      </c>
      <c r="AH167" s="22">
        <v>13.0603</v>
      </c>
      <c r="AI167" s="22">
        <v>-1.427E-2</v>
      </c>
      <c r="AJ167" s="22">
        <v>157</v>
      </c>
      <c r="AK167" s="22">
        <v>0.69006299999999998</v>
      </c>
      <c r="AL167">
        <f t="shared" si="30"/>
        <v>17.617283950617285</v>
      </c>
      <c r="AM167">
        <f t="shared" si="31"/>
        <v>12.166725320987656</v>
      </c>
      <c r="AP167" s="9"/>
      <c r="AQ167" s="22">
        <v>-9.0484599999999998E-2</v>
      </c>
      <c r="AR167" s="22">
        <v>16.334800000000001</v>
      </c>
      <c r="AS167" s="22">
        <v>-1.56372E-2</v>
      </c>
      <c r="AT167" s="22">
        <v>157</v>
      </c>
      <c r="AU167" s="22">
        <v>-9.0881299999999998E-2</v>
      </c>
      <c r="AV167">
        <f t="shared" si="32"/>
        <v>19.305185185185184</v>
      </c>
      <c r="AW167">
        <f t="shared" si="33"/>
        <v>-1.7468219594074073</v>
      </c>
      <c r="AX167" s="9"/>
      <c r="AY167" s="22">
        <v>0.69061300000000003</v>
      </c>
      <c r="AZ167" s="22">
        <v>17.948399999999999</v>
      </c>
      <c r="BA167" s="22">
        <v>-1.37939E-2</v>
      </c>
      <c r="BB167" s="22">
        <v>157</v>
      </c>
      <c r="BC167" s="22">
        <v>0.68966700000000003</v>
      </c>
      <c r="BD167">
        <f t="shared" si="34"/>
        <v>17.029506172839504</v>
      </c>
      <c r="BE167">
        <f t="shared" si="35"/>
        <v>11.76079834654321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-9.5519999999999994E-2</v>
      </c>
      <c r="H168" s="22">
        <v>6.5525399999999996</v>
      </c>
      <c r="I168" s="22">
        <v>-1.55151E-2</v>
      </c>
      <c r="J168" s="22">
        <v>158</v>
      </c>
      <c r="K168" s="22">
        <v>-9.5886200000000005E-2</v>
      </c>
      <c r="L168">
        <f t="shared" si="24"/>
        <v>19.154444444444444</v>
      </c>
      <c r="M168">
        <f t="shared" si="25"/>
        <v>-1.8296325333333332</v>
      </c>
      <c r="N168" s="9"/>
      <c r="O168" s="22">
        <v>0.69564800000000004</v>
      </c>
      <c r="P168" s="22">
        <v>8.1661800000000007</v>
      </c>
      <c r="Q168" s="22">
        <v>-9.0179400000000003E-3</v>
      </c>
      <c r="R168" s="22">
        <v>158</v>
      </c>
      <c r="S168" s="22">
        <v>0.69763200000000003</v>
      </c>
      <c r="T168">
        <f t="shared" si="26"/>
        <v>11.13325925925926</v>
      </c>
      <c r="U168">
        <f t="shared" si="27"/>
        <v>7.7448295371851863</v>
      </c>
      <c r="X168" s="9"/>
      <c r="Y168" s="22">
        <v>-9.5519999999999994E-2</v>
      </c>
      <c r="Z168" s="22">
        <v>11.4567</v>
      </c>
      <c r="AA168" s="22">
        <v>-1.5670799999999999E-2</v>
      </c>
      <c r="AB168" s="22">
        <v>158</v>
      </c>
      <c r="AC168" s="22">
        <v>-9.6282999999999994E-2</v>
      </c>
      <c r="AD168">
        <f t="shared" si="28"/>
        <v>19.346666666666664</v>
      </c>
      <c r="AE168">
        <f t="shared" si="29"/>
        <v>-1.8479935999999997</v>
      </c>
      <c r="AF168" s="9"/>
      <c r="AG168" s="22">
        <v>0.69564800000000004</v>
      </c>
      <c r="AH168" s="22">
        <v>13.0703</v>
      </c>
      <c r="AI168" s="22">
        <v>-1.4236499999999999E-2</v>
      </c>
      <c r="AJ168" s="22">
        <v>158</v>
      </c>
      <c r="AK168" s="22">
        <v>0.69494599999999995</v>
      </c>
      <c r="AL168">
        <f t="shared" si="30"/>
        <v>17.575925925925926</v>
      </c>
      <c r="AM168">
        <f t="shared" si="31"/>
        <v>12.226657718518519</v>
      </c>
      <c r="AP168" s="9"/>
      <c r="AQ168" s="22">
        <v>-9.5519999999999994E-2</v>
      </c>
      <c r="AR168" s="22">
        <v>16.344899999999999</v>
      </c>
      <c r="AS168" s="22">
        <v>-1.5643299999999999E-2</v>
      </c>
      <c r="AT168" s="22">
        <v>158</v>
      </c>
      <c r="AU168" s="22">
        <v>-9.6343999999999999E-2</v>
      </c>
      <c r="AV168">
        <f t="shared" si="32"/>
        <v>19.312716049382715</v>
      </c>
      <c r="AW168">
        <f t="shared" si="33"/>
        <v>-1.8447506370370368</v>
      </c>
      <c r="AX168" s="9"/>
      <c r="AY168" s="22">
        <v>0.69564800000000004</v>
      </c>
      <c r="AZ168" s="22">
        <v>17.958500000000001</v>
      </c>
      <c r="BA168" s="22">
        <v>-1.37085E-2</v>
      </c>
      <c r="BB168" s="22">
        <v>158</v>
      </c>
      <c r="BC168" s="22">
        <v>0.69479400000000002</v>
      </c>
      <c r="BD168">
        <f t="shared" si="34"/>
        <v>16.924074074074074</v>
      </c>
      <c r="BE168">
        <f t="shared" si="35"/>
        <v>11.773198281481482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-0.10055500000000001</v>
      </c>
      <c r="H169" s="22">
        <v>6.5626100000000003</v>
      </c>
      <c r="I169" s="22">
        <v>-1.5527300000000001E-2</v>
      </c>
      <c r="J169" s="22">
        <v>159</v>
      </c>
      <c r="K169" s="22">
        <v>-0.10089099999999999</v>
      </c>
      <c r="L169">
        <f t="shared" si="24"/>
        <v>19.169506172839505</v>
      </c>
      <c r="M169">
        <f t="shared" si="25"/>
        <v>-1.9275896932098764</v>
      </c>
      <c r="N169" s="9"/>
      <c r="O169" s="22">
        <v>0.70068399999999997</v>
      </c>
      <c r="P169" s="22">
        <v>8.1762499999999996</v>
      </c>
      <c r="Q169" s="22">
        <v>-7.8094499999999999E-3</v>
      </c>
      <c r="R169" s="22">
        <v>159</v>
      </c>
      <c r="S169" s="22">
        <v>0.70034799999999997</v>
      </c>
      <c r="T169">
        <f t="shared" si="26"/>
        <v>9.6412962962962947</v>
      </c>
      <c r="U169">
        <f t="shared" si="27"/>
        <v>6.7555020540740731</v>
      </c>
      <c r="X169" s="9"/>
      <c r="Y169" s="22">
        <v>-0.10055500000000001</v>
      </c>
      <c r="Z169" s="22">
        <v>11.466799999999999</v>
      </c>
      <c r="AA169" s="22">
        <v>-1.5682999999999999E-2</v>
      </c>
      <c r="AB169" s="22">
        <v>159</v>
      </c>
      <c r="AC169" s="22">
        <v>-0.10131800000000001</v>
      </c>
      <c r="AD169">
        <f t="shared" si="28"/>
        <v>19.361728395061725</v>
      </c>
      <c r="AE169">
        <f t="shared" si="29"/>
        <v>-1.9469185987654318</v>
      </c>
      <c r="AF169" s="9"/>
      <c r="AG169" s="22">
        <v>0.70068399999999997</v>
      </c>
      <c r="AH169" s="22">
        <v>13.080399999999999</v>
      </c>
      <c r="AI169" s="22">
        <v>-1.4202899999999999E-2</v>
      </c>
      <c r="AJ169" s="22">
        <v>159</v>
      </c>
      <c r="AK169" s="22">
        <v>0.70016500000000004</v>
      </c>
      <c r="AL169">
        <f t="shared" si="30"/>
        <v>17.534444444444443</v>
      </c>
      <c r="AM169">
        <f t="shared" si="31"/>
        <v>12.28610467111111</v>
      </c>
      <c r="AP169" s="9"/>
      <c r="AQ169" s="22">
        <v>-0.10055500000000001</v>
      </c>
      <c r="AR169" s="22">
        <v>16.354900000000001</v>
      </c>
      <c r="AS169" s="22">
        <v>-1.56525E-2</v>
      </c>
      <c r="AT169" s="22">
        <v>159</v>
      </c>
      <c r="AU169" s="22">
        <v>-0.1008</v>
      </c>
      <c r="AV169">
        <f t="shared" si="32"/>
        <v>19.324074074074073</v>
      </c>
      <c r="AW169">
        <f t="shared" si="33"/>
        <v>-1.9431322685185184</v>
      </c>
      <c r="AX169" s="9"/>
      <c r="AY169" s="22">
        <v>0.70068399999999997</v>
      </c>
      <c r="AZ169" s="22">
        <v>17.968599999999999</v>
      </c>
      <c r="BA169" s="22">
        <v>-1.36749E-2</v>
      </c>
      <c r="BB169" s="22">
        <v>159</v>
      </c>
      <c r="BC169" s="22">
        <v>0.69967699999999999</v>
      </c>
      <c r="BD169">
        <f t="shared" si="34"/>
        <v>16.882592592592591</v>
      </c>
      <c r="BE169">
        <f t="shared" si="35"/>
        <v>11.829362508148147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1.7367754286697932</v>
      </c>
      <c r="C3">
        <f ca="1">INDEX(INDIRECT(A3&amp;"!B11"):INDIRECT(A3&amp;"!B21"),MATCH(E3,INDIRECT(A3&amp;"!D11"):INDIRECT(A3&amp;"!D21"),0))</f>
        <v>17.643273486116797</v>
      </c>
      <c r="D3">
        <f ca="1">INDEX(INDIRECT(A3&amp;"!C11"):INDIRECT(A3&amp;"!C21"),MATCH(E3,INDIRECT(A3&amp;"!D11"):INDIRECT(A3&amp;"!D21"),0))</f>
        <v>0.75222988258233403</v>
      </c>
      <c r="E3">
        <f t="shared" ref="E3" ca="1" si="0">MAX(INDIRECT(A3&amp; "!D11"),INDIRECT(A3 &amp; "!D13"),INDIRECT(A3 &amp; "!D15"),INDIRECT(A3 &amp; "!D17"),INDIRECT(A3 &amp; "!D19"),INDIRECT(A3 &amp; "!D21"))</f>
        <v>23.050131866666664</v>
      </c>
      <c r="G3">
        <f ca="1">INDEX(INDIRECT(A3&amp;"!A12"):INDIRECT(A3&amp;"!A22"),MATCH(J3,INDIRECT(A3&amp;"!D12"):INDIRECT(A3&amp;"!D22"),0))</f>
        <v>1.7331855499814248</v>
      </c>
      <c r="H3">
        <f ca="1">INDEX(INDIRECT(A3&amp;"!B12"):INDIRECT(A3&amp;"!B22"),MATCH(J3,INDIRECT(A3&amp;"!D12"):INDIRECT(A3&amp;"!D22"),0))</f>
        <v>17.629387562158062</v>
      </c>
      <c r="I3">
        <f ca="1">INDEX(INDIRECT(A3&amp;"!C12"):INDIRECT(A3&amp;"!C22"),MATCH(J3,INDIRECT(A3&amp;"!D12"):INDIRECT(A3&amp;"!D22"),0))</f>
        <v>0.72303948395670525</v>
      </c>
      <c r="J3">
        <f t="shared" ref="J3" ca="1" si="1">MAX(INDIRECT(A3&amp; "!D12"),INDIRECT(A3 &amp; "!D14"),INDIRECT(A3 &amp; "!D16"),INDIRECT(A3 &amp; "!D18"),INDIRECT(A3 &amp; "!D20"),,INDIRECT(A3 &amp; "!D22"))</f>
        <v>22.092471271604936</v>
      </c>
      <c r="L3">
        <f ca="1">INDEX(INDIRECT(A3&amp;"!E11"):INDIRECT(A3&amp;"!E21"),MATCH(E3,INDIRECT(A3&amp;"!D11"):INDIRECT(A3&amp;"!D21"),0))</f>
        <v>4.6267486680978624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1.648856076314591</v>
      </c>
      <c r="C4">
        <f ca="1">INDEX(INDIRECT(A4&amp;"!B11"):INDIRECT(A4&amp;"!B21"),MATCH(E4,INDIRECT(A4&amp;"!D11"):INDIRECT(A4&amp;"!D21"),0))</f>
        <v>21.209006144393239</v>
      </c>
      <c r="D4">
        <f ca="1">INDEX(INDIRECT(A4&amp;"!C11"):INDIRECT(A4&amp;"!C21"),MATCH(E4,INDIRECT(A4&amp;"!D11"):INDIRECT(A4&amp;"!D21"),0))</f>
        <v>0.72561112573490372</v>
      </c>
      <c r="E4">
        <f t="shared" ref="E4" ca="1" si="2">MAX(INDIRECT(A4&amp; "!D11"),INDIRECT(A4 &amp; "!D13"),INDIRECT(A4 &amp; "!D15"),INDIRECT(A4 &amp; "!D17"),INDIRECT(A4 &amp; "!D19"),INDIRECT(A4 &amp; "!D21"))</f>
        <v>25.375055456790125</v>
      </c>
      <c r="G4">
        <f ca="1">INDEX(INDIRECT(A4&amp;"!A12"):INDIRECT(A4&amp;"!A22"),MATCH(J4,INDIRECT(A4&amp;"!D12"):INDIRECT(A4&amp;"!D22"),0))</f>
        <v>1.6145095187325056</v>
      </c>
      <c r="H4">
        <f ca="1">INDEX(INDIRECT(A4&amp;"!B12"):INDIRECT(A4&amp;"!B22"),MATCH(J4,INDIRECT(A4&amp;"!D12"):INDIRECT(A4&amp;"!D22"),0))</f>
        <v>21.277319459625058</v>
      </c>
      <c r="I4">
        <f ca="1">INDEX(INDIRECT(A4&amp;"!C12"):INDIRECT(A4&amp;"!C22"),MATCH(J4,INDIRECT(A4&amp;"!D12"):INDIRECT(A4&amp;"!D22"),0))</f>
        <v>0.72828916205562477</v>
      </c>
      <c r="J4">
        <f t="shared" ref="J4" ca="1" si="3">MAX(INDIRECT(A4&amp; "!D12"),INDIRECT(A4 &amp; "!D14"),INDIRECT(A4 &amp; "!D16"),INDIRECT(A4 &amp; "!D18"),INDIRECT(A4 &amp; "!D20"),,INDIRECT(A4 &amp; "!D22"))</f>
        <v>25.018505955555558</v>
      </c>
      <c r="L4">
        <f ca="1">INDEX(INDIRECT(A4&amp;"!E11"):INDIRECT(A4&amp;"!E21"),MATCH(E4,INDIRECT(A4&amp;"!D11"):INDIRECT(A4&amp;"!D21"),0))</f>
        <v>1.4051181162607413</v>
      </c>
    </row>
    <row r="5" spans="1:12">
      <c r="A5" t="str" cm="1">
        <f t="array" aca="1" ref="A5" ca="1">IFERROR(INDEX(MID(sheetnames,FIND("]",sheetnames)+1,255),ROWS($A$2:A5)),"")</f>
        <v>20230111T210000</v>
      </c>
      <c r="B5">
        <f ca="1">INDEX(INDIRECT(A5&amp;"!A11"):INDIRECT(A5&amp;"!A21"),MATCH(E5,INDIRECT(A5&amp;"!D11"):INDIRECT(A5&amp;"!D21"),0))</f>
        <v>0.68045586164153449</v>
      </c>
      <c r="C5">
        <f ca="1">INDEX(INDIRECT(A5&amp;"!B11"):INDIRECT(A5&amp;"!B21"),MATCH(E5,INDIRECT(A5&amp;"!D11"):INDIRECT(A5&amp;"!D21"),0))</f>
        <v>18.958461126018147</v>
      </c>
      <c r="D5">
        <f ca="1">INDEX(INDIRECT(A5&amp;"!C11"):INDIRECT(A5&amp;"!C21"),MATCH(E5,INDIRECT(A5&amp;"!D11"):INDIRECT(A5&amp;"!D21"),0))</f>
        <v>0.74872201452574005</v>
      </c>
      <c r="E5">
        <f t="shared" ref="E5" ca="1" si="4">MAX(INDIRECT(A5&amp; "!D11"),INDIRECT(A5 &amp; "!D13"),INDIRECT(A5 &amp; "!D15"),INDIRECT(A5 &amp; "!D17"),INDIRECT(A5 &amp; "!D19"),INDIRECT(A5 &amp; "!D21"))</f>
        <v>9.6588104819753049</v>
      </c>
      <c r="G5">
        <f ca="1">INDEX(INDIRECT(A5&amp;"!A12"):INDIRECT(A5&amp;"!A22"),MATCH(J5,INDIRECT(A5&amp;"!D12"):INDIRECT(A5&amp;"!D22"),0))</f>
        <v>0</v>
      </c>
      <c r="H5">
        <f ca="1">INDEX(INDIRECT(A5&amp;"!B12"):INDIRECT(A5&amp;"!B22"),MATCH(J5,INDIRECT(A5&amp;"!D12"):INDIRECT(A5&amp;"!D22"),0))</f>
        <v>19.09805196668394</v>
      </c>
      <c r="I5">
        <f ca="1">INDEX(INDIRECT(A5&amp;"!C12"):INDIRECT(A5&amp;"!C22"),MATCH(J5,INDIRECT(A5&amp;"!D12"):INDIRECT(A5&amp;"!D22"),0))</f>
        <v>0</v>
      </c>
      <c r="J5">
        <f t="shared" ref="J5" ca="1" si="5">MAX(INDIRECT(A5&amp; "!D12"),INDIRECT(A5 &amp; "!D14"),INDIRECT(A5 &amp; "!D16"),INDIRECT(A5 &amp; "!D18"),INDIRECT(A5 &amp; "!D20"),,INDIRECT(A5 &amp; "!D22"))</f>
        <v>0</v>
      </c>
      <c r="L5">
        <f ca="1">INDEX(INDIRECT(A5&amp;"!E11"):INDIRECT(A5&amp;"!E21"),MATCH(E5,INDIRECT(A5&amp;"!D11"):INDIRECT(A5&amp;"!D21"),0))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20221231T210000</vt:lpstr>
      <vt:lpstr>20230101T090000</vt:lpstr>
      <vt:lpstr>20230111T210000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2023-01-10T13:55:39Z</dcterms:modified>
</cp:coreProperties>
</file>