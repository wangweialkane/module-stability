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02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 s="1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 s="1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 s="1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/>
  <c r="AL246" i="67"/>
  <c r="AM246" i="67"/>
  <c r="AL247" i="67"/>
  <c r="AM247" i="67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 s="1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A5" i="63" a="1"/>
  <c r="A5" i="63" l="1"/>
  <c r="BE9" i="67"/>
  <c r="AW9" i="67"/>
  <c r="AS6" i="67"/>
  <c r="A15" i="67" s="1"/>
  <c r="AM9" i="67"/>
  <c r="AM7" i="67" s="1"/>
  <c r="AM5" i="67"/>
  <c r="AK6" i="67"/>
  <c r="AK7" i="67"/>
  <c r="AE9" i="67"/>
  <c r="AC3" i="67"/>
  <c r="AA6" i="67" s="1"/>
  <c r="A13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 s="1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 s="1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 s="1"/>
  <c r="AD114" i="66"/>
  <c r="AE114" i="66"/>
  <c r="AD115" i="66"/>
  <c r="AE115" i="66"/>
  <c r="AD116" i="66"/>
  <c r="AE116" i="66"/>
  <c r="AD117" i="66"/>
  <c r="AE117" i="66" s="1"/>
  <c r="AD118" i="66"/>
  <c r="AE118" i="66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 s="1"/>
  <c r="T111" i="66"/>
  <c r="U111" i="66"/>
  <c r="T112" i="66"/>
  <c r="U112" i="66"/>
  <c r="T113" i="66"/>
  <c r="U113" i="66"/>
  <c r="T114" i="66"/>
  <c r="U114" i="66"/>
  <c r="T115" i="66"/>
  <c r="U115" i="66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W9" i="66" s="1"/>
  <c r="AL11" i="66"/>
  <c r="AM11" i="66" s="1"/>
  <c r="AD11" i="66"/>
  <c r="AE11" i="66" s="1"/>
  <c r="T11" i="66"/>
  <c r="U11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G4" i="66" s="1"/>
  <c r="AA3" i="66"/>
  <c r="Q3" i="66"/>
  <c r="S3" i="66" s="1"/>
  <c r="O4" i="66" s="1"/>
  <c r="I3" i="66"/>
  <c r="K3" i="66" s="1"/>
  <c r="A4" i="63" a="1"/>
  <c r="BE7" i="67" l="1"/>
  <c r="BE3" i="67"/>
  <c r="BE5" i="67"/>
  <c r="AY4" i="67"/>
  <c r="AW7" i="67"/>
  <c r="AW3" i="67"/>
  <c r="AV4" i="67" s="1"/>
  <c r="AW5" i="67"/>
  <c r="AM3" i="67"/>
  <c r="AG2" i="67"/>
  <c r="AE7" i="67"/>
  <c r="AE5" i="67"/>
  <c r="AE3" i="67"/>
  <c r="Y4" i="67"/>
  <c r="U7" i="67"/>
  <c r="U5" i="67"/>
  <c r="U3" i="67"/>
  <c r="T4" i="67" s="1"/>
  <c r="M5" i="67"/>
  <c r="M7" i="67"/>
  <c r="M3" i="67"/>
  <c r="A20" i="67"/>
  <c r="CN4" i="67"/>
  <c r="A16" i="67"/>
  <c r="BD4" i="67"/>
  <c r="A12" i="67"/>
  <c r="A22" i="67"/>
  <c r="DF4" i="67"/>
  <c r="A18" i="67"/>
  <c r="BV4" i="67"/>
  <c r="A14" i="67"/>
  <c r="AL4" i="67"/>
  <c r="BN4" i="67"/>
  <c r="CF4" i="67"/>
  <c r="CF2" i="67" s="1"/>
  <c r="L4" i="67"/>
  <c r="CX4" i="67"/>
  <c r="AD4" i="67"/>
  <c r="A4" i="63"/>
  <c r="AY2" i="66"/>
  <c r="BE9" i="66"/>
  <c r="BE7" i="66" s="1"/>
  <c r="BE5" i="66"/>
  <c r="AY4" i="66"/>
  <c r="BA6" i="66"/>
  <c r="A16" i="66" s="1"/>
  <c r="AW7" i="66"/>
  <c r="AW3" i="66"/>
  <c r="AW5" i="66"/>
  <c r="AU7" i="66"/>
  <c r="AQ2" i="66" s="1"/>
  <c r="AM9" i="66"/>
  <c r="AM7" i="66" s="1"/>
  <c r="AM5" i="66"/>
  <c r="AI6" i="66"/>
  <c r="A14" i="66" s="1"/>
  <c r="AE9" i="66"/>
  <c r="AE7" i="66" s="1"/>
  <c r="O2" i="66"/>
  <c r="U9" i="66"/>
  <c r="U7" i="66" s="1"/>
  <c r="U3" i="66"/>
  <c r="T4" i="66" s="1"/>
  <c r="T9" i="66"/>
  <c r="B12" i="66" s="1"/>
  <c r="Q6" i="66"/>
  <c r="A12" i="66" s="1"/>
  <c r="G2" i="66"/>
  <c r="M9" i="66"/>
  <c r="M7" i="66" s="1"/>
  <c r="M5" i="66"/>
  <c r="AE5" i="66"/>
  <c r="BW7" i="66"/>
  <c r="BW5" i="66"/>
  <c r="BW3" i="66"/>
  <c r="CY7" i="66"/>
  <c r="CY5" i="66"/>
  <c r="CY3" i="66"/>
  <c r="EQ7" i="66"/>
  <c r="EQ5" i="66"/>
  <c r="EQ3" i="66"/>
  <c r="G4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 s="1"/>
  <c r="AV235" i="65"/>
  <c r="AW235" i="65"/>
  <c r="AV236" i="65"/>
  <c r="AW236" i="65"/>
  <c r="AV237" i="65"/>
  <c r="AW237" i="65"/>
  <c r="AV238" i="65"/>
  <c r="AW238" i="65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 s="1"/>
  <c r="AD219" i="65"/>
  <c r="AE219" i="65"/>
  <c r="AD220" i="65"/>
  <c r="AE220" i="65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 s="1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 s="1"/>
  <c r="L245" i="65"/>
  <c r="M245" i="65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E5" i="63"/>
  <c r="J5" i="63"/>
  <c r="C13" i="67" l="1"/>
  <c r="AD2" i="67"/>
  <c r="C11" i="67"/>
  <c r="L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D19" i="67"/>
  <c r="CC9" i="67"/>
  <c r="E19" i="67" s="1"/>
  <c r="C15" i="67"/>
  <c r="AV2" i="67"/>
  <c r="BE3" i="66"/>
  <c r="AV9" i="66"/>
  <c r="B15" i="66" s="1"/>
  <c r="AM3" i="66"/>
  <c r="AL9" i="66"/>
  <c r="B14" i="66" s="1"/>
  <c r="AE3" i="66"/>
  <c r="U5" i="66"/>
  <c r="M3" i="66"/>
  <c r="A19" i="66"/>
  <c r="CF4" i="66"/>
  <c r="CF2" i="66" s="1"/>
  <c r="A15" i="66"/>
  <c r="A17" i="66"/>
  <c r="BN4" i="66"/>
  <c r="Y4" i="66"/>
  <c r="EP4" i="66"/>
  <c r="EP2" i="66" s="1"/>
  <c r="BV4" i="66"/>
  <c r="L4" i="66"/>
  <c r="CN4" i="66"/>
  <c r="AQ4" i="66"/>
  <c r="CX4" i="66"/>
  <c r="AD4" i="66"/>
  <c r="DF4" i="66"/>
  <c r="C12" i="66"/>
  <c r="T2" i="66"/>
  <c r="D12" i="66" s="1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D11" i="67" l="1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AV4" i="66"/>
  <c r="AV2" i="66" s="1"/>
  <c r="AL4" i="66"/>
  <c r="DF2" i="66"/>
  <c r="D22" i="66" s="1"/>
  <c r="C22" i="66"/>
  <c r="C21" i="66"/>
  <c r="CX2" i="66"/>
  <c r="AL2" i="66"/>
  <c r="D14" i="66" s="1"/>
  <c r="C14" i="66"/>
  <c r="C11" i="66"/>
  <c r="L2" i="66"/>
  <c r="C17" i="66"/>
  <c r="C19" i="66"/>
  <c r="BN2" i="66"/>
  <c r="C15" i="66"/>
  <c r="D19" i="66"/>
  <c r="CC9" i="66"/>
  <c r="E19" i="66" s="1"/>
  <c r="C16" i="66"/>
  <c r="BD2" i="66"/>
  <c r="D16" i="66" s="1"/>
  <c r="C13" i="66"/>
  <c r="AD2" i="66"/>
  <c r="C20" i="66"/>
  <c r="CN2" i="66"/>
  <c r="D20" i="66" s="1"/>
  <c r="C18" i="66"/>
  <c r="BV2" i="66"/>
  <c r="D18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D15" i="66" l="1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H2" i="63"/>
  <c r="I3" i="63"/>
  <c r="D3" i="63"/>
  <c r="B3" i="63"/>
  <c r="C3" i="63"/>
  <c r="D2" i="63"/>
  <c r="L2" i="63"/>
  <c r="I2" i="63"/>
  <c r="G3" i="63"/>
  <c r="H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<sst xmlns="http://schemas.openxmlformats.org/spreadsheetml/2006/main" count="1648" uniqueCount="46">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</sst>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4695.8461967193462</v>
      </c>
      <c r="H2" s="2"/>
      <c r="I2" s="6" t="s">
        <v>12</v>
      </c>
      <c r="J2" s="2"/>
      <c r="K2" s="7" t="s">
        <v>13</v>
      </c>
      <c r="L2" s="3">
        <f>L4*I6*L9/100*100</f>
        <v>18.581412354320985</v>
      </c>
      <c r="M2" s="8" t="s">
        <v>14</v>
      </c>
      <c r="N2" s="9"/>
      <c r="O2" s="2">
        <f>ABS(S7-S6)/ABS(T7-T6)*1000</f>
        <v>1364.4990000002224</v>
      </c>
      <c r="P2" s="2"/>
      <c r="Q2" s="6" t="s">
        <v>15</v>
      </c>
      <c r="R2" s="2"/>
      <c r="S2" s="7" t="s">
        <v>13</v>
      </c>
      <c r="T2" s="3">
        <f>T4*Q6*T9/100*100</f>
        <v>18.215149879012348</v>
      </c>
      <c r="U2" s="8" t="s">
        <v>14</v>
      </c>
      <c r="X2" s="9"/>
      <c r="Y2" s="2">
        <f>ABS(AC7-AC6)/ABS(AD7-AD6)*1000</f>
        <v>14502.211258063746</v>
      </c>
      <c r="Z2" s="2"/>
      <c r="AA2" s="6" t="s">
        <v>12</v>
      </c>
      <c r="AB2" s="2"/>
      <c r="AC2" s="7" t="s">
        <v>13</v>
      </c>
      <c r="AD2" s="3">
        <f>AD4*AA6*AD9/100*100</f>
        <v>18.788400382716048</v>
      </c>
      <c r="AE2" s="8" t="s">
        <v>14</v>
      </c>
      <c r="AF2" s="9"/>
      <c r="AG2" s="2">
        <f>ABS(AK7-AK6)/ABS(AL7-AL6)*1000</f>
        <v>1362.8549700002229</v>
      </c>
      <c r="AH2" s="2"/>
      <c r="AI2" s="6" t="s">
        <v>15</v>
      </c>
      <c r="AJ2" s="2"/>
      <c r="AK2" s="7" t="s">
        <v>13</v>
      </c>
      <c r="AL2" s="3">
        <f>AL4*AI6*AL9/100*100</f>
        <v>18.18447762962963</v>
      </c>
      <c r="AM2" s="8" t="s">
        <v>14</v>
      </c>
      <c r="AP2" s="9"/>
      <c r="AQ2" s="2">
        <f>ABS(AU7-AU6)/ABS(AV7-AV6)*1000</f>
        <v>4025.1861147524146</v>
      </c>
      <c r="AR2" s="2"/>
      <c r="AS2" s="6" t="s">
        <v>12</v>
      </c>
      <c r="AT2" s="2"/>
      <c r="AU2" s="7" t="s">
        <v>13</v>
      </c>
      <c r="AV2" s="3">
        <f>AV4*AS6*AV9/100*100</f>
        <v>18.748134118518522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1.73828</v>
      </c>
      <c r="J3" s="2"/>
      <c r="K3" s="10">
        <f>INDEX(L11:L1056,MATCH(I3,K11:K1056,0))</f>
        <v>-0.28132716049382717</v>
      </c>
      <c r="L3" s="31" t="s">
        <v>16</v>
      </c>
      <c r="M3" s="11">
        <f>M9</f>
        <v>18.581412354320985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0.2725864197530864</v>
      </c>
      <c r="T3" s="31" t="s">
        <v>16</v>
      </c>
      <c r="U3" s="11">
        <f>U9</f>
        <v>18.215149879012348</v>
      </c>
      <c r="X3" s="9"/>
      <c r="Y3" s="2" t="s">
        <v>44</v>
      </c>
      <c r="Z3" s="2"/>
      <c r="AA3" s="2">
        <f>INDEX(AC11:AC856,MATCH(0,AD11:AD856,1))</f>
        <v>1.7395</v>
      </c>
      <c r="AB3" s="2"/>
      <c r="AC3" s="10">
        <f>INDEX(AD11:AD1056,MATCH(AA3,AC11:AC1056,0))</f>
        <v>-0.29217777777777776</v>
      </c>
      <c r="AD3" s="31" t="s">
        <v>16</v>
      </c>
      <c r="AE3" s="11">
        <f>AE9</f>
        <v>18.788400382716045</v>
      </c>
      <c r="AF3" s="9"/>
      <c r="AG3" s="2" t="s">
        <v>44</v>
      </c>
      <c r="AH3" s="2"/>
      <c r="AI3" s="2">
        <f>INDEX(AK11:AK1056,MATCH(0,AL11:AL1056,-1))</f>
        <v>1.72699</v>
      </c>
      <c r="AJ3" s="2"/>
      <c r="AK3" s="10">
        <f>INDEX(AL11:AL1056,MATCH(AI3,AK11:AK1056,0))</f>
        <v>0.22888148148148146</v>
      </c>
      <c r="AL3" s="31" t="s">
        <v>16</v>
      </c>
      <c r="AM3" s="11">
        <f>AM9</f>
        <v>18.18447762962963</v>
      </c>
      <c r="AP3" s="9"/>
      <c r="AQ3" s="2" t="s">
        <v>44</v>
      </c>
      <c r="AR3" s="2"/>
      <c r="AS3" s="2">
        <f>INDEX(AU11:AU856,MATCH(0,AV11:AV856,1))</f>
        <v>1.73431</v>
      </c>
      <c r="AT3" s="2"/>
      <c r="AU3" s="10">
        <f>INDEX(AV11:AV1056,MATCH(AS3,AU11:AU1056,0))</f>
        <v>-6.4840493827160492E-2</v>
      </c>
      <c r="AV3" s="31" t="s">
        <v>16</v>
      </c>
      <c r="AW3" s="11">
        <f>AW9</f>
        <v>18.748134118518518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0.1616679012345679</v>
      </c>
      <c r="BD3" s="31" t="s">
        <v>16</v>
      </c>
      <c r="BE3" s="11">
        <f>BE9</f>
        <v>18.243213851851852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12.954005359580659</v>
      </c>
      <c r="H4" s="2"/>
      <c r="I4" s="2">
        <f>INDEX(K11:K1000,1+MATCH(0,L11:L856,1))</f>
        <v>1.7340100000000001</v>
      </c>
      <c r="J4" s="2"/>
      <c r="K4" s="10">
        <f>INDEX(L11:L1056,MATCH(I4,K11:K1056,0))</f>
        <v>4.8300617283950617E-2</v>
      </c>
      <c r="L4" s="30">
        <f>M3/(I6*L9)</f>
        <v>0.62988298342463644</v>
      </c>
      <c r="M4" s="8" t="s">
        <v>17</v>
      </c>
      <c r="N4" s="9"/>
      <c r="O4" s="2">
        <f>ABS(Q3-Q4)/ABS(S3-S4)*1000</f>
        <v>16.282889003365973</v>
      </c>
      <c r="P4" s="2"/>
      <c r="Q4" s="2">
        <f>INDEX(S11:S856,1+MATCH(0,T11:T856,-1))</f>
        <v>1.7321800000000001</v>
      </c>
      <c r="R4" s="2"/>
      <c r="S4" s="10">
        <f>INDEX(T11:T856,MATCH(Q4,S11:S856,0))</f>
        <v>-4.6153086419753082E-2</v>
      </c>
      <c r="T4" s="30">
        <f>U3/(Q6*T9)</f>
        <v>0.62173131847008167</v>
      </c>
      <c r="U4" s="8" t="s">
        <v>17</v>
      </c>
      <c r="X4" s="9"/>
      <c r="Y4" s="2">
        <f>ABS(AA3-AA4)/ABS(AC3-AC4)*1000</f>
        <v>17.493629794131564</v>
      </c>
      <c r="Z4" s="2"/>
      <c r="AA4" s="2">
        <f>INDEX(AC11:AC1000,1+MATCH(0,AD11:AD856,1))</f>
        <v>1.7337</v>
      </c>
      <c r="AB4" s="2"/>
      <c r="AC4" s="10">
        <f>INDEX(AD11:AD1056,MATCH(AA4,AC11:AC1056,0))</f>
        <v>3.937148148148148E-2</v>
      </c>
      <c r="AD4" s="30">
        <f>AE3/(AA6*AD9)</f>
        <v>0.6320493187047781</v>
      </c>
      <c r="AE4" s="8" t="s">
        <v>17</v>
      </c>
      <c r="AF4" s="9"/>
      <c r="AG4" s="2">
        <f>ABS(AI3-AI4)/ABS(AK3-AK4)*1000</f>
        <v>16.4934822908596</v>
      </c>
      <c r="AH4" s="2"/>
      <c r="AI4" s="2">
        <f>INDEX(AK11:AK856,1+MATCH(0,AL11:AL856,-1))</f>
        <v>1.7321800000000001</v>
      </c>
      <c r="AJ4" s="2"/>
      <c r="AK4" s="10">
        <f>INDEX(AL11:AL856,MATCH(AI4,AK11:AK856,0))</f>
        <v>-8.5788271604938279E-2</v>
      </c>
      <c r="AL4" s="30">
        <f>AM3/(AI6*AL9)</f>
        <v>0.61520751006542163</v>
      </c>
      <c r="AM4" s="8" t="s">
        <v>17</v>
      </c>
      <c r="AP4" s="9"/>
      <c r="AQ4" s="2">
        <f>ABS(AS3-AS4)/ABS(AU3-AU4)*1000</f>
        <v>15.736307522208413</v>
      </c>
      <c r="AR4" s="2"/>
      <c r="AS4" s="2">
        <f>INDEX(AU11:AU1000,1+MATCH(0,AV11:AV856,1))</f>
        <v>1.7291300000000001</v>
      </c>
      <c r="AT4" s="2"/>
      <c r="AU4" s="10">
        <f>INDEX(AV11:AV1056,MATCH(AS4,AU11:AU1056,0))</f>
        <v>0.26433456790123455</v>
      </c>
      <c r="AV4" s="30">
        <f>AW3/(AS6*AV9)</f>
        <v>0.63099754849436418</v>
      </c>
      <c r="AW4" s="8" t="s">
        <v>17</v>
      </c>
      <c r="AX4" s="9"/>
      <c r="AY4" s="2">
        <f>ABS(BA3-BA4)/ABS(BC3-BC4)*1000</f>
        <v>15.512004458013816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-0.15292716049382715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14.056913580246912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14.17753086419753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14.267901234567899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13.989135802469134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14.347037037037037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14.03432098765432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1.7346356864551673</v>
      </c>
      <c r="J6" s="30"/>
      <c r="K6" s="13">
        <f>INDEX(K11:K1056,MATCH(L6,L11:L1056,0))</f>
        <v>3.2617199999999999E-2</v>
      </c>
      <c r="L6" s="10">
        <f>INDEX(L11:L1056,MATCH(0,K11:K1056,-1))</f>
        <v>16.999382716049382</v>
      </c>
      <c r="M6" s="8" t="s">
        <v>22</v>
      </c>
      <c r="N6" s="9"/>
      <c r="O6" s="2"/>
      <c r="P6" s="2"/>
      <c r="Q6" s="36">
        <f>(Q3-Q4)/(S3-S4)*(-S4)+Q4</f>
        <v>1.7314284944166645</v>
      </c>
      <c r="R6" s="36"/>
      <c r="S6" s="13">
        <f>INDEX(S11:S1056,MATCH(T6,T11:T1056,0))</f>
        <v>-2.4777199999999999E-2</v>
      </c>
      <c r="T6" s="10">
        <f>INDEX(T11:T1056,MATCH(0,S11:S1056,1))</f>
        <v>16.939135802469135</v>
      </c>
      <c r="U6" s="8" t="s">
        <v>22</v>
      </c>
      <c r="X6" s="9"/>
      <c r="Y6" s="2"/>
      <c r="Z6" s="2"/>
      <c r="AA6" s="30">
        <f>(AA3-AA4)/(AC3-AC4)*(-AC4)+AA4</f>
        <v>1.7343887501214836</v>
      </c>
      <c r="AB6" s="30"/>
      <c r="AC6" s="13">
        <f>INDEX(AC11:AC1056,MATCH(AD6,AD11:AD1056,0))</f>
        <v>7.3577900000000003E-3</v>
      </c>
      <c r="AD6" s="10">
        <f>INDEX(AD11:AD1056,MATCH(0,AC11:AC1056,-1))</f>
        <v>17.138765432098765</v>
      </c>
      <c r="AE6" s="8" t="s">
        <v>22</v>
      </c>
      <c r="AF6" s="9"/>
      <c r="AG6" s="2"/>
      <c r="AH6" s="2"/>
      <c r="AI6" s="36">
        <f>(AI3-AI4)/(AK3-AK4)*(-AK4)+AI4</f>
        <v>1.7307650526615206</v>
      </c>
      <c r="AJ6" s="36"/>
      <c r="AK6" s="13">
        <f>INDEX(AK11:AK1056,MATCH(AL6,AL11:AL1056,0))</f>
        <v>-4.5593300000000003E-3</v>
      </c>
      <c r="AL6" s="10">
        <f>INDEX(AL11:AL1056,MATCH(0,AK11:AK1056,1))</f>
        <v>17.074814814814815</v>
      </c>
      <c r="AM6" s="8" t="s">
        <v>22</v>
      </c>
      <c r="AP6" s="9"/>
      <c r="AQ6" s="2"/>
      <c r="AR6" s="2"/>
      <c r="AS6" s="30">
        <f>(AS3-AS4)/(AU3-AU4)*(-AU4)+AS4</f>
        <v>1.7332896500492441</v>
      </c>
      <c r="AT6" s="30"/>
      <c r="AU6" s="13">
        <f>INDEX(AU11:AU1056,MATCH(AV6,AV11:AV1056,0))</f>
        <v>2.75696E-2</v>
      </c>
      <c r="AV6" s="10">
        <f>INDEX(AV11:AV1056,MATCH(0,AU11:AU1056,-1))</f>
        <v>17.135061728395058</v>
      </c>
      <c r="AW6" s="8" t="s">
        <v>22</v>
      </c>
      <c r="AX6" s="9"/>
      <c r="AY6" s="2"/>
      <c r="AZ6" s="2"/>
      <c r="BA6" s="36">
        <f>(BA3-BA4)/(BC3-BC4)*(-BC4)+BA4</f>
        <v>1.7294977932046685</v>
      </c>
      <c r="BB6" s="36"/>
      <c r="BC6" s="13">
        <f>INDEX(BC11:BC1056,MATCH(BD6,BD11:BD1056,0))</f>
        <v>-4.54712E-3</v>
      </c>
      <c r="BD6" s="10">
        <f>INDEX(BD11:BD1056,MATCH(0,BC11:BC1056,1))</f>
        <v>17.040864197530862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-2.7465800000000002E-3</v>
      </c>
      <c r="L7" s="10">
        <f>INDEX(L11:L856,1+MATCH(0,K11:K856,-1))</f>
        <v>17.006913580246916</v>
      </c>
      <c r="M7" s="12">
        <f>INDEX(K11:K1056,MATCH(M9,M11:M1056,0))</f>
        <v>1.3208</v>
      </c>
      <c r="N7" s="9"/>
      <c r="O7" s="2"/>
      <c r="P7" s="2"/>
      <c r="Q7" s="2"/>
      <c r="R7" s="2"/>
      <c r="S7" s="13">
        <f>INDEX(S11:S1056,MATCH(T7,T11:T1056,0))</f>
        <v>-1.9723500000000001E-2</v>
      </c>
      <c r="T7" s="10">
        <f>INDEX(T11:T1056,1+MATCH(0,S11:S1056,1))</f>
        <v>16.935432098765432</v>
      </c>
      <c r="U7" s="12">
        <f>INDEX(S11:S1056,MATCH(U9,U11:U1056,0))</f>
        <v>1.2835700000000001</v>
      </c>
      <c r="X7" s="9"/>
      <c r="Y7" s="2"/>
      <c r="Z7" s="2"/>
      <c r="AA7" s="2"/>
      <c r="AB7" s="2"/>
      <c r="AC7" s="13">
        <f>INDEX(AC11:AC856,MATCH(AD7,AD11:AD856,1))</f>
        <v>-4.81445E-2</v>
      </c>
      <c r="AD7" s="10">
        <f>INDEX(AD11:AD856,1+MATCH(0,AC11:AC856,-1))</f>
        <v>17.142592592592592</v>
      </c>
      <c r="AE7" s="12">
        <f>INDEX(AC11:AC1056,MATCH(AE9,AE11:AE1056,0))</f>
        <v>1.31592</v>
      </c>
      <c r="AF7" s="9"/>
      <c r="AG7" s="2"/>
      <c r="AH7" s="2"/>
      <c r="AI7" s="2"/>
      <c r="AJ7" s="2"/>
      <c r="AK7" s="13">
        <f>INDEX(AK11:AK1056,MATCH(AL7,AL11:AL1056,0))</f>
        <v>4.8828100000000002E-4</v>
      </c>
      <c r="AL7" s="10">
        <f>INDEX(AL11:AL1056,1+MATCH(0,AK11:AK1056,1))</f>
        <v>17.078518518518518</v>
      </c>
      <c r="AM7" s="12">
        <f>INDEX(AK11:AK1056,MATCH(AM9,AM11:AM1056,0))</f>
        <v>1.2988299999999999</v>
      </c>
      <c r="AP7" s="9"/>
      <c r="AQ7" s="2"/>
      <c r="AR7" s="2"/>
      <c r="AS7" s="2"/>
      <c r="AT7" s="2"/>
      <c r="AU7" s="13">
        <f>INDEX(AU11:AU856,MATCH(AV7,AV11:AV856,1))</f>
        <v>-2.7435300000000001E-3</v>
      </c>
      <c r="AV7" s="10">
        <f>INDEX(AV11:AV856,1+MATCH(0,AU11:AU856,-1))</f>
        <v>17.142592592592592</v>
      </c>
      <c r="AW7" s="12">
        <f>INDEX(AU11:AU1056,MATCH(AW9,AW11:AW1056,0))</f>
        <v>1.30524</v>
      </c>
      <c r="AX7" s="9"/>
      <c r="AY7" s="2"/>
      <c r="AZ7" s="2"/>
      <c r="BA7" s="2"/>
      <c r="BB7" s="2"/>
      <c r="BC7" s="13">
        <f>INDEX(BC11:BC1056,MATCH(BD7,BD11:BD1056,0))</f>
        <v>-4.54712E-3</v>
      </c>
      <c r="BD7" s="10">
        <f>INDEX(BD11:BD1056,1+MATCH(0,BC11:BC1056,1))</f>
        <v>17.040864197530862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1.9711229067227805</v>
      </c>
      <c r="J9" s="2"/>
      <c r="K9" s="2"/>
      <c r="L9" s="3">
        <f>(L6-L7)/(K6-K7)*(-K7)+L7</f>
        <v>17.006328684599797</v>
      </c>
      <c r="M9" s="16">
        <f>MAX(M11:M1056)</f>
        <v>18.581412354320985</v>
      </c>
      <c r="N9" s="9"/>
      <c r="O9" s="2"/>
      <c r="P9" s="2"/>
      <c r="Q9" s="2"/>
      <c r="R9" s="2"/>
      <c r="S9" s="2"/>
      <c r="T9" s="3">
        <f>(T6-T7)/(S6-S7)*(-S7)+T7</f>
        <v>16.920977342844029</v>
      </c>
      <c r="U9" s="16">
        <f>MAX(U11:U1056)</f>
        <v>18.215149879012348</v>
      </c>
      <c r="X9" s="9"/>
      <c r="Y9" s="2"/>
      <c r="Z9" s="2"/>
      <c r="AA9" s="15">
        <f>(MAX(AD2,AL2)-MIN(AD2,AL2))/MAX(AD2,AL2)%</f>
        <v>3.2143383193067545</v>
      </c>
      <c r="AB9" s="2"/>
      <c r="AC9" s="2"/>
      <c r="AD9" s="3">
        <f>(AD6-AD7)/(AC6-AC7)*(-AC7)+AD7</f>
        <v>17.139272788519733</v>
      </c>
      <c r="AE9" s="16">
        <f>MAX(AE11:AE1056)</f>
        <v>18.788400382716045</v>
      </c>
      <c r="AF9" s="9"/>
      <c r="AG9" s="2"/>
      <c r="AH9" s="2"/>
      <c r="AI9" s="2"/>
      <c r="AJ9" s="2"/>
      <c r="AK9" s="2"/>
      <c r="AL9" s="3">
        <f>(AL6-AL7)/(AK6-AK7)*(-AK7)+AL7</f>
        <v>17.078160240483989</v>
      </c>
      <c r="AM9" s="16">
        <f>MAX(AM11:AM1056)</f>
        <v>18.18447762962963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17.141911001748895</v>
      </c>
      <c r="AW9" s="16">
        <f>MAX(AW11:AW1056)</f>
        <v>18.748134118518518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18.243213851851852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1.7346356864551673</v>
      </c>
      <c r="B11" s="19">
        <f>IFERROR(L9,0)</f>
        <v>17.006328684599797</v>
      </c>
      <c r="C11" s="20">
        <f>IFERROR(L4,0)</f>
        <v>0.62988298342463644</v>
      </c>
      <c r="D11" s="21">
        <f>IFERROR(L2,0)</f>
        <v>18.581412354320985</v>
      </c>
      <c r="E11" s="21">
        <f>IFERROR(I9,0)</f>
        <v>1.9711229067227805</v>
      </c>
      <c r="F11" s="9"/>
      <c r="G11" s="22">
        <v>1.76498</v>
      </c>
      <c r="H11" s="22">
        <v>5.03939</v>
      </c>
      <c r="I11" s="22">
        <v>1.66504E-3</v>
      </c>
      <c r="J11" s="22">
        <v>1</v>
      </c>
      <c r="K11" s="22">
        <v>1.7642199999999999</v>
      </c>
      <c r="L11">
        <f>-I11/$F$2*1000</f>
        <v>-2.0556049382716051</v>
      </c>
      <c r="M11">
        <f>L11*G11</f>
        <v>-3.6281016039506175</v>
      </c>
      <c r="N11" s="9"/>
      <c r="O11" s="22">
        <v>-9.49097E-2</v>
      </c>
      <c r="P11" s="22">
        <v>8.7981499999999997</v>
      </c>
      <c r="Q11" s="22">
        <v>-1.3760400000000001E-2</v>
      </c>
      <c r="R11" s="22">
        <v>1</v>
      </c>
      <c r="S11" s="22">
        <v>-9.5459000000000002E-2</v>
      </c>
      <c r="T11">
        <f>-Q11/$F$2*1000</f>
        <v>16.988148148148149</v>
      </c>
      <c r="U11">
        <f>T11*O11</f>
        <v>-1.6123400442962963</v>
      </c>
      <c r="V11" s="23"/>
      <c r="W11" s="24"/>
      <c r="X11" s="9"/>
      <c r="Y11" s="22">
        <v>1.76498</v>
      </c>
      <c r="Z11" s="22">
        <v>14.2666</v>
      </c>
      <c r="AA11" s="22">
        <v>1.67694E-3</v>
      </c>
      <c r="AB11" s="22">
        <v>1</v>
      </c>
      <c r="AC11" s="22">
        <v>1.7639199999999999</v>
      </c>
      <c r="AD11">
        <f>-AA11/$F$2*1000</f>
        <v>-2.0702962962962963</v>
      </c>
      <c r="AE11">
        <f>AD11*Y11</f>
        <v>-3.6540315570370372</v>
      </c>
      <c r="AF11" s="9"/>
      <c r="AG11" s="22">
        <v>-9.49097E-2</v>
      </c>
      <c r="AH11" s="22">
        <v>18.025400000000001</v>
      </c>
      <c r="AI11" s="22">
        <v>-1.38855E-2</v>
      </c>
      <c r="AJ11" s="22">
        <v>1</v>
      </c>
      <c r="AK11" s="22">
        <v>-9.5397899999999994E-2</v>
      </c>
      <c r="AL11">
        <f>-AI11/$F$2*1000</f>
        <v>17.142592592592592</v>
      </c>
      <c r="AM11">
        <f>AL11*AG11</f>
        <v>-1.6269983201851852</v>
      </c>
      <c r="AP11" s="9"/>
      <c r="AQ11" s="22">
        <v>1.76498</v>
      </c>
      <c r="AR11" s="22">
        <v>23.442799999999998</v>
      </c>
      <c r="AS11" s="22">
        <v>1.7712400000000001E-3</v>
      </c>
      <c r="AT11" s="22">
        <v>1</v>
      </c>
      <c r="AU11" s="22">
        <v>1.7642199999999999</v>
      </c>
      <c r="AV11">
        <f>-AS11/$F$2*1000</f>
        <v>-2.1867160493827162</v>
      </c>
      <c r="AW11">
        <f>AV11*AQ11</f>
        <v>-3.8595100928395065</v>
      </c>
      <c r="AX11" s="9"/>
      <c r="AY11" s="22">
        <v>-9.49097E-2</v>
      </c>
      <c r="AZ11" s="22">
        <v>27.201599999999999</v>
      </c>
      <c r="BA11" s="22">
        <v>-1.38855E-2</v>
      </c>
      <c r="BB11" s="22">
        <v>1</v>
      </c>
      <c r="BC11" s="22">
        <v>-9.5428499999999999E-2</v>
      </c>
      <c r="BD11">
        <f>-BA11/$F$2*1000</f>
        <v>17.142592592592592</v>
      </c>
      <c r="BE11">
        <f>BD11*AY11</f>
        <v>-1.6269983201851852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1.7314284944166645</v>
      </c>
      <c r="B12" s="19">
        <f>IFERROR(T9,0)</f>
        <v>16.920977342844029</v>
      </c>
      <c r="C12" s="20">
        <f>IFERROR(T4,0)</f>
        <v>0.62173131847008167</v>
      </c>
      <c r="D12" s="21">
        <f>IFERROR(T2,0)</f>
        <v>18.215149879012348</v>
      </c>
      <c r="E12" s="21"/>
      <c r="F12" s="9"/>
      <c r="G12" s="22">
        <v>1.7599499999999999</v>
      </c>
      <c r="H12" s="22">
        <v>5.0494599999999998</v>
      </c>
      <c r="I12" s="22">
        <v>1.35345E-3</v>
      </c>
      <c r="J12" s="22">
        <v>2</v>
      </c>
      <c r="K12" s="22">
        <v>1.7590300000000001</v>
      </c>
      <c r="L12">
        <f t="shared" ref="L12:L75" si="0">-I12/$F$2*1000</f>
        <v>-1.6709259259259257</v>
      </c>
      <c r="M12">
        <f t="shared" ref="M12:M75" si="1">L12*G12</f>
        <v>-2.940746083333333</v>
      </c>
      <c r="N12" s="9"/>
      <c r="O12" s="22">
        <v>-8.9874300000000004E-2</v>
      </c>
      <c r="P12" s="22">
        <v>8.8082200000000004</v>
      </c>
      <c r="Q12" s="22">
        <v>-1.3766499999999999E-2</v>
      </c>
      <c r="R12" s="22">
        <v>2</v>
      </c>
      <c r="S12" s="22">
        <v>-9.0423600000000007E-2</v>
      </c>
      <c r="T12">
        <f t="shared" ref="T12:T75" si="2">-Q12/$F$2*1000</f>
        <v>16.995679012345676</v>
      </c>
      <c r="U12">
        <f t="shared" ref="U12:U75" si="3">T12*O12</f>
        <v>-1.527474754259259</v>
      </c>
      <c r="V12" s="23"/>
      <c r="W12" s="24"/>
      <c r="X12" s="9"/>
      <c r="Y12" s="22">
        <v>1.7599499999999999</v>
      </c>
      <c r="Z12" s="22">
        <v>14.2767</v>
      </c>
      <c r="AA12" s="22">
        <v>1.3678E-3</v>
      </c>
      <c r="AB12" s="22">
        <v>2</v>
      </c>
      <c r="AC12" s="22">
        <v>1.7590300000000001</v>
      </c>
      <c r="AD12">
        <f t="shared" ref="AD12:AD75" si="4">-AA12/$F$2*1000</f>
        <v>-1.6886419753086419</v>
      </c>
      <c r="AE12">
        <f t="shared" ref="AE12:AE75" si="5">AD12*Y12</f>
        <v>-2.9719254444444441</v>
      </c>
      <c r="AF12" s="9"/>
      <c r="AG12" s="22">
        <v>-8.9874300000000004E-2</v>
      </c>
      <c r="AH12" s="22">
        <v>18.035399999999999</v>
      </c>
      <c r="AI12" s="22">
        <v>-1.38794E-2</v>
      </c>
      <c r="AJ12" s="22">
        <v>2</v>
      </c>
      <c r="AK12" s="22">
        <v>-9.0393100000000004E-2</v>
      </c>
      <c r="AL12">
        <f t="shared" ref="AL12:AL75" si="6">-AI12/$F$2*1000</f>
        <v>17.135061728395058</v>
      </c>
      <c r="AM12">
        <f t="shared" ref="AM12:AM75" si="7">AL12*AG12</f>
        <v>-1.540001678296296</v>
      </c>
      <c r="AP12" s="9"/>
      <c r="AQ12" s="22">
        <v>1.7599499999999999</v>
      </c>
      <c r="AR12" s="22">
        <v>23.4529</v>
      </c>
      <c r="AS12" s="22">
        <v>1.46057E-3</v>
      </c>
      <c r="AT12" s="22">
        <v>2</v>
      </c>
      <c r="AU12" s="22">
        <v>1.7590300000000001</v>
      </c>
      <c r="AV12">
        <f t="shared" ref="AV12:AV75" si="8">-AS12/$F$2*1000</f>
        <v>-1.8031728395061728</v>
      </c>
      <c r="AW12">
        <f t="shared" ref="AW12:AW75" si="9">AV12*AQ12</f>
        <v>-3.1734940388888888</v>
      </c>
      <c r="AX12" s="9"/>
      <c r="AY12" s="22">
        <v>-8.9874300000000004E-2</v>
      </c>
      <c r="AZ12" s="22">
        <v>27.2117</v>
      </c>
      <c r="BA12" s="22">
        <v>-1.38885E-2</v>
      </c>
      <c r="BB12" s="22">
        <v>2</v>
      </c>
      <c r="BC12" s="22">
        <v>-9.0423600000000007E-2</v>
      </c>
      <c r="BD12">
        <f t="shared" ref="BD12:BD75" si="10">-BA12/$F$2*1000</f>
        <v>17.146296296296295</v>
      </c>
      <c r="BE12">
        <f t="shared" ref="BE12:BE75" si="11">BD12*AY12</f>
        <v>-1.5410113772222223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1.7343887501214836</v>
      </c>
      <c r="B13" s="19">
        <f>IFERROR(AD9,0)</f>
        <v>17.139272788519733</v>
      </c>
      <c r="C13" s="20">
        <f>IFERROR(AD4,0)</f>
        <v>0.6320493187047781</v>
      </c>
      <c r="D13" s="21">
        <f>IFERROR(AD2,0)</f>
        <v>18.788400382716048</v>
      </c>
      <c r="E13" s="21">
        <f>IFERROR(AA9,0)</f>
        <v>3.2143383193067545</v>
      </c>
      <c r="F13" s="9"/>
      <c r="G13" s="22">
        <v>1.75491</v>
      </c>
      <c r="H13" s="22">
        <v>5.0595299999999996</v>
      </c>
      <c r="I13" s="22">
        <v>1.06079E-3</v>
      </c>
      <c r="J13" s="22">
        <v>3</v>
      </c>
      <c r="K13" s="22">
        <v>1.7538499999999999</v>
      </c>
      <c r="L13">
        <f t="shared" si="0"/>
        <v>-1.3096172839506173</v>
      </c>
      <c r="M13">
        <f t="shared" si="1"/>
        <v>-2.2982604677777778</v>
      </c>
      <c r="N13" s="9"/>
      <c r="O13" s="22">
        <v>-8.4838899999999995E-2</v>
      </c>
      <c r="P13" s="22">
        <v>8.8182899999999993</v>
      </c>
      <c r="Q13" s="22">
        <v>-1.3772599999999999E-2</v>
      </c>
      <c r="R13" s="22">
        <v>3</v>
      </c>
      <c r="S13" s="22">
        <v>-8.5388199999999997E-2</v>
      </c>
      <c r="T13">
        <f t="shared" si="2"/>
        <v>17.00320987654321</v>
      </c>
      <c r="U13">
        <f t="shared" si="3"/>
        <v>-1.4425336223950616</v>
      </c>
      <c r="V13" s="23"/>
      <c r="W13" s="24"/>
      <c r="X13" s="9"/>
      <c r="Y13" s="22">
        <v>1.75491</v>
      </c>
      <c r="Z13" s="22">
        <v>14.2867</v>
      </c>
      <c r="AA13" s="22">
        <v>1.07208E-3</v>
      </c>
      <c r="AB13" s="22">
        <v>3</v>
      </c>
      <c r="AC13" s="22">
        <v>1.7541500000000001</v>
      </c>
      <c r="AD13">
        <f t="shared" si="4"/>
        <v>-1.3235555555555554</v>
      </c>
      <c r="AE13">
        <f t="shared" si="5"/>
        <v>-2.3227208799999994</v>
      </c>
      <c r="AF13" s="9"/>
      <c r="AG13" s="22">
        <v>-8.4838899999999995E-2</v>
      </c>
      <c r="AH13" s="22">
        <v>18.045500000000001</v>
      </c>
      <c r="AI13" s="22">
        <v>-1.38794E-2</v>
      </c>
      <c r="AJ13" s="22">
        <v>3</v>
      </c>
      <c r="AK13" s="22">
        <v>-8.54187E-2</v>
      </c>
      <c r="AL13">
        <f t="shared" si="6"/>
        <v>17.135061728395058</v>
      </c>
      <c r="AM13">
        <f t="shared" si="7"/>
        <v>-1.4537197884691355</v>
      </c>
      <c r="AP13" s="9"/>
      <c r="AQ13" s="22">
        <v>1.75491</v>
      </c>
      <c r="AR13" s="22">
        <v>23.463000000000001</v>
      </c>
      <c r="AS13" s="22">
        <v>1.16394E-3</v>
      </c>
      <c r="AT13" s="22">
        <v>3</v>
      </c>
      <c r="AU13" s="22">
        <v>1.7538499999999999</v>
      </c>
      <c r="AV13">
        <f t="shared" si="8"/>
        <v>-1.4369629629629628</v>
      </c>
      <c r="AW13">
        <f t="shared" si="9"/>
        <v>-2.521740673333333</v>
      </c>
      <c r="AX13" s="9"/>
      <c r="AY13" s="22">
        <v>-8.4838899999999995E-2</v>
      </c>
      <c r="AZ13" s="22">
        <v>27.221699999999998</v>
      </c>
      <c r="BA13" s="22">
        <v>-1.3894699999999999E-2</v>
      </c>
      <c r="BB13" s="22">
        <v>3</v>
      </c>
      <c r="BC13" s="22">
        <v>-8.5357699999999995E-2</v>
      </c>
      <c r="BD13">
        <f t="shared" si="10"/>
        <v>17.153950617283947</v>
      </c>
      <c r="BE13">
        <f t="shared" si="11"/>
        <v>-1.455322301024691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1.7307650526615206</v>
      </c>
      <c r="B14" s="19">
        <f>IFERROR(AL9,0)</f>
        <v>17.078160240483989</v>
      </c>
      <c r="C14" s="20">
        <f>IFERROR(AL4,0)</f>
        <v>0.61520751006542163</v>
      </c>
      <c r="D14" s="21">
        <f>IFERROR(AL2,0)</f>
        <v>18.18447762962963</v>
      </c>
      <c r="E14" s="21"/>
      <c r="F14" s="9"/>
      <c r="G14" s="22">
        <v>1.7498800000000001</v>
      </c>
      <c r="H14" s="22">
        <v>5.0696000000000003</v>
      </c>
      <c r="I14" s="22">
        <v>7.7545200000000004E-4</v>
      </c>
      <c r="J14" s="22">
        <v>4</v>
      </c>
      <c r="K14" s="22">
        <v>1.7489600000000001</v>
      </c>
      <c r="L14">
        <f t="shared" si="0"/>
        <v>-0.95734814814814817</v>
      </c>
      <c r="M14">
        <f t="shared" si="1"/>
        <v>-1.6752443774814816</v>
      </c>
      <c r="N14" s="9"/>
      <c r="O14" s="22">
        <v>-7.9803499999999999E-2</v>
      </c>
      <c r="P14" s="22">
        <v>8.8283699999999996</v>
      </c>
      <c r="Q14" s="22">
        <v>-1.3766499999999999E-2</v>
      </c>
      <c r="R14" s="22">
        <v>4</v>
      </c>
      <c r="S14" s="22">
        <v>-8.0352800000000002E-2</v>
      </c>
      <c r="T14">
        <f t="shared" si="2"/>
        <v>16.995679012345676</v>
      </c>
      <c r="U14">
        <f t="shared" si="3"/>
        <v>-1.3563146700617281</v>
      </c>
      <c r="V14" s="23"/>
      <c r="W14" s="24"/>
      <c r="X14" s="9"/>
      <c r="Y14" s="22">
        <v>1.7498800000000001</v>
      </c>
      <c r="Z14" s="22">
        <v>14.296799999999999</v>
      </c>
      <c r="AA14" s="22">
        <v>7.8674300000000001E-4</v>
      </c>
      <c r="AB14" s="22">
        <v>4</v>
      </c>
      <c r="AC14" s="22">
        <v>1.7483500000000001</v>
      </c>
      <c r="AD14">
        <f t="shared" si="4"/>
        <v>-0.97128765432098763</v>
      </c>
      <c r="AE14">
        <f t="shared" si="5"/>
        <v>-1.6996368405432098</v>
      </c>
      <c r="AF14" s="9"/>
      <c r="AG14" s="22">
        <v>-7.9803499999999999E-2</v>
      </c>
      <c r="AH14" s="22">
        <v>18.055599999999998</v>
      </c>
      <c r="AI14" s="22">
        <v>-1.3876299999999999E-2</v>
      </c>
      <c r="AJ14" s="22">
        <v>4</v>
      </c>
      <c r="AK14" s="22">
        <v>-8.0352800000000002E-2</v>
      </c>
      <c r="AL14">
        <f t="shared" si="6"/>
        <v>17.131234567901231</v>
      </c>
      <c r="AM14">
        <f t="shared" si="7"/>
        <v>-1.367132477839506</v>
      </c>
      <c r="AP14" s="9"/>
      <c r="AQ14" s="22">
        <v>1.7498800000000001</v>
      </c>
      <c r="AR14" s="22">
        <v>23.472999999999999</v>
      </c>
      <c r="AS14" s="22">
        <v>8.7707499999999995E-4</v>
      </c>
      <c r="AT14" s="22">
        <v>4</v>
      </c>
      <c r="AU14" s="22">
        <v>1.7486600000000001</v>
      </c>
      <c r="AV14">
        <f t="shared" si="8"/>
        <v>-1.0828086419753085</v>
      </c>
      <c r="AW14">
        <f t="shared" si="9"/>
        <v>-1.8947851864197529</v>
      </c>
      <c r="AX14" s="9"/>
      <c r="AY14" s="22">
        <v>-7.9803499999999999E-2</v>
      </c>
      <c r="AZ14" s="22">
        <v>27.2318</v>
      </c>
      <c r="BA14" s="22">
        <v>-1.38855E-2</v>
      </c>
      <c r="BB14" s="22">
        <v>4</v>
      </c>
      <c r="BC14" s="22">
        <v>-8.0352800000000002E-2</v>
      </c>
      <c r="BD14">
        <f t="shared" si="10"/>
        <v>17.142592592592592</v>
      </c>
      <c r="BE14">
        <f t="shared" si="11"/>
        <v>-1.368038887962963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1.7332896500492441</v>
      </c>
      <c r="B15" s="19">
        <f>IFERROR(AV9,0)</f>
        <v>17.141911001748895</v>
      </c>
      <c r="C15" s="20">
        <f>IFERROR(AV4,0)</f>
        <v>0.63099754849436418</v>
      </c>
      <c r="D15" s="21">
        <f>IFERROR(AV2,0)</f>
        <v>18.748134118518522</v>
      </c>
      <c r="E15" s="21">
        <f>IFERROR(AS9,0)</f>
        <v>0</v>
      </c>
      <c r="F15" s="9"/>
      <c r="G15" s="22">
        <v>1.7448399999999999</v>
      </c>
      <c r="H15" s="22">
        <v>5.0796700000000001</v>
      </c>
      <c r="I15" s="22">
        <v>5.0109899999999997E-4</v>
      </c>
      <c r="J15" s="22">
        <v>5</v>
      </c>
      <c r="K15" s="22">
        <v>1.74377</v>
      </c>
      <c r="L15">
        <f t="shared" si="0"/>
        <v>-0.6186407407407406</v>
      </c>
      <c r="M15">
        <f t="shared" si="1"/>
        <v>-1.0794291100740738</v>
      </c>
      <c r="N15" s="9"/>
      <c r="O15" s="22">
        <v>-7.4768100000000004E-2</v>
      </c>
      <c r="P15" s="22">
        <v>8.8384400000000003</v>
      </c>
      <c r="Q15" s="22">
        <v>-1.37695E-2</v>
      </c>
      <c r="R15" s="22">
        <v>5</v>
      </c>
      <c r="S15" s="22">
        <v>-7.5317400000000007E-2</v>
      </c>
      <c r="T15">
        <f t="shared" si="2"/>
        <v>16.999382716049382</v>
      </c>
      <c r="U15">
        <f t="shared" si="3"/>
        <v>-1.2710115468518519</v>
      </c>
      <c r="V15" s="23"/>
      <c r="W15" s="24"/>
      <c r="X15" s="9"/>
      <c r="Y15" s="22">
        <v>1.7448399999999999</v>
      </c>
      <c r="Z15" s="22">
        <v>14.306900000000001</v>
      </c>
      <c r="AA15" s="22">
        <v>5.0842300000000003E-4</v>
      </c>
      <c r="AB15" s="22">
        <v>5</v>
      </c>
      <c r="AC15" s="22">
        <v>1.7440800000000001</v>
      </c>
      <c r="AD15">
        <f t="shared" si="4"/>
        <v>-0.62768271604938275</v>
      </c>
      <c r="AE15">
        <f t="shared" si="5"/>
        <v>-1.095205910271605</v>
      </c>
      <c r="AF15" s="9"/>
      <c r="AG15" s="22">
        <v>-7.4768100000000004E-2</v>
      </c>
      <c r="AH15" s="22">
        <v>18.0656</v>
      </c>
      <c r="AI15" s="22">
        <v>-1.38824E-2</v>
      </c>
      <c r="AJ15" s="22">
        <v>5</v>
      </c>
      <c r="AK15" s="22">
        <v>-7.5286900000000004E-2</v>
      </c>
      <c r="AL15">
        <f t="shared" si="6"/>
        <v>17.138765432098765</v>
      </c>
      <c r="AM15">
        <f t="shared" si="7"/>
        <v>-1.2814329277037038</v>
      </c>
      <c r="AP15" s="9"/>
      <c r="AQ15" s="22">
        <v>1.7448399999999999</v>
      </c>
      <c r="AR15" s="22">
        <v>23.4831</v>
      </c>
      <c r="AS15" s="22">
        <v>5.9661899999999995E-4</v>
      </c>
      <c r="AT15" s="22">
        <v>5</v>
      </c>
      <c r="AU15" s="22">
        <v>1.74377</v>
      </c>
      <c r="AV15">
        <f t="shared" si="8"/>
        <v>-0.73656666666666659</v>
      </c>
      <c r="AW15">
        <f t="shared" si="9"/>
        <v>-1.2851909826666665</v>
      </c>
      <c r="AX15" s="9"/>
      <c r="AY15" s="22">
        <v>-7.4768100000000004E-2</v>
      </c>
      <c r="AZ15" s="22">
        <v>27.241900000000001</v>
      </c>
      <c r="BA15" s="22">
        <v>-1.3870199999999999E-2</v>
      </c>
      <c r="BB15" s="22">
        <v>5</v>
      </c>
      <c r="BC15" s="22">
        <v>-7.5225799999999995E-2</v>
      </c>
      <c r="BD15">
        <f t="shared" si="10"/>
        <v>17.123703703703701</v>
      </c>
      <c r="BE15">
        <f t="shared" si="11"/>
        <v>-1.2803067908888888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1.7294977932046685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1.7398100000000001</v>
      </c>
      <c r="H16" s="22">
        <v>5.0897500000000004</v>
      </c>
      <c r="I16" s="22">
        <v>2.27875E-4</v>
      </c>
      <c r="J16" s="22">
        <v>6</v>
      </c>
      <c r="K16" s="22">
        <v>1.73828</v>
      </c>
      <c r="L16">
        <f t="shared" si="0"/>
        <v>-0.28132716049382717</v>
      </c>
      <c r="M16">
        <f t="shared" si="1"/>
        <v>-0.48945580709876546</v>
      </c>
      <c r="N16" s="9"/>
      <c r="O16" s="22">
        <v>-6.9732699999999995E-2</v>
      </c>
      <c r="P16" s="22">
        <v>8.8485099999999992</v>
      </c>
      <c r="Q16" s="22">
        <v>-1.3766499999999999E-2</v>
      </c>
      <c r="R16" s="22">
        <v>6</v>
      </c>
      <c r="S16" s="22">
        <v>-7.03125E-2</v>
      </c>
      <c r="T16">
        <f t="shared" si="2"/>
        <v>16.995679012345676</v>
      </c>
      <c r="U16">
        <f t="shared" si="3"/>
        <v>-1.1851545858641972</v>
      </c>
      <c r="V16" s="23"/>
      <c r="W16" s="24"/>
      <c r="X16" s="9"/>
      <c r="Y16" s="22">
        <v>1.7398100000000001</v>
      </c>
      <c r="Z16" s="22">
        <v>14.317</v>
      </c>
      <c r="AA16" s="22">
        <v>2.3666400000000001E-4</v>
      </c>
      <c r="AB16" s="22">
        <v>6</v>
      </c>
      <c r="AC16" s="22">
        <v>1.7395</v>
      </c>
      <c r="AD16">
        <f t="shared" si="4"/>
        <v>-0.29217777777777776</v>
      </c>
      <c r="AE16">
        <f t="shared" si="5"/>
        <v>-0.50833381955555557</v>
      </c>
      <c r="AF16" s="9"/>
      <c r="AG16" s="22">
        <v>-6.9732699999999995E-2</v>
      </c>
      <c r="AH16" s="22">
        <v>18.075700000000001</v>
      </c>
      <c r="AI16" s="22">
        <v>-1.38824E-2</v>
      </c>
      <c r="AJ16" s="22">
        <v>6</v>
      </c>
      <c r="AK16" s="22">
        <v>-7.03125E-2</v>
      </c>
      <c r="AL16">
        <f t="shared" si="6"/>
        <v>17.138765432098765</v>
      </c>
      <c r="AM16">
        <f t="shared" si="7"/>
        <v>-1.1951323882469134</v>
      </c>
      <c r="AP16" s="9"/>
      <c r="AQ16" s="22">
        <v>1.7398100000000001</v>
      </c>
      <c r="AR16" s="22">
        <v>23.493200000000002</v>
      </c>
      <c r="AS16" s="22">
        <v>3.22784E-4</v>
      </c>
      <c r="AT16" s="22">
        <v>6</v>
      </c>
      <c r="AU16" s="22">
        <v>1.73889</v>
      </c>
      <c r="AV16">
        <f t="shared" si="8"/>
        <v>-0.39849876543209872</v>
      </c>
      <c r="AW16">
        <f t="shared" si="9"/>
        <v>-0.6933121370864197</v>
      </c>
      <c r="AX16" s="9"/>
      <c r="AY16" s="22">
        <v>-6.9732699999999995E-2</v>
      </c>
      <c r="AZ16" s="22">
        <v>27.251899999999999</v>
      </c>
      <c r="BA16" s="22">
        <v>-1.3858000000000001E-2</v>
      </c>
      <c r="BB16" s="22">
        <v>6</v>
      </c>
      <c r="BC16" s="22">
        <v>-7.0281999999999997E-2</v>
      </c>
      <c r="BD16">
        <f t="shared" si="10"/>
        <v>17.10864197530864</v>
      </c>
      <c r="BE16">
        <f t="shared" si="11"/>
        <v>-1.1930317982716048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5.0998200000000002</v>
      </c>
      <c r="I17" s="25">
        <v>-3.9123499999999999E-5</v>
      </c>
      <c r="J17" s="22">
        <v>7</v>
      </c>
      <c r="K17" s="22">
        <v>1.7340100000000001</v>
      </c>
      <c r="L17">
        <f t="shared" si="0"/>
        <v>4.8300617283950617E-2</v>
      </c>
      <c r="M17">
        <f t="shared" si="1"/>
        <v>8.379046184567901E-2</v>
      </c>
      <c r="N17" s="9"/>
      <c r="O17" s="22">
        <v>-6.4697299999999999E-2</v>
      </c>
      <c r="P17" s="22">
        <v>8.8585799999999999</v>
      </c>
      <c r="Q17" s="22">
        <v>-1.37573E-2</v>
      </c>
      <c r="R17" s="22">
        <v>7</v>
      </c>
      <c r="S17" s="22">
        <v>-6.5246600000000002E-2</v>
      </c>
      <c r="T17">
        <f t="shared" si="2"/>
        <v>16.984320987654321</v>
      </c>
      <c r="U17">
        <f t="shared" si="3"/>
        <v>-1.0988397102345679</v>
      </c>
      <c r="V17" s="23"/>
      <c r="W17" s="24"/>
      <c r="X17" s="9"/>
      <c r="Y17" s="22">
        <v>1.7347699999999999</v>
      </c>
      <c r="Z17" s="22">
        <v>14.327</v>
      </c>
      <c r="AA17" s="25">
        <v>-3.1890900000000003E-5</v>
      </c>
      <c r="AB17" s="22">
        <v>7</v>
      </c>
      <c r="AC17" s="22">
        <v>1.7337</v>
      </c>
      <c r="AD17">
        <f t="shared" si="4"/>
        <v>3.937148148148148E-2</v>
      </c>
      <c r="AE17">
        <f t="shared" si="5"/>
        <v>6.8300464929629628E-2</v>
      </c>
      <c r="AF17" s="9"/>
      <c r="AG17" s="22">
        <v>-6.4697299999999999E-2</v>
      </c>
      <c r="AH17" s="22">
        <v>18.085799999999999</v>
      </c>
      <c r="AI17" s="22">
        <v>-1.3870199999999999E-2</v>
      </c>
      <c r="AJ17" s="22">
        <v>7</v>
      </c>
      <c r="AK17" s="22">
        <v>-6.5246600000000002E-2</v>
      </c>
      <c r="AL17">
        <f t="shared" si="6"/>
        <v>17.123703703703701</v>
      </c>
      <c r="AM17">
        <f t="shared" si="7"/>
        <v>-1.1078573956296294</v>
      </c>
      <c r="AP17" s="9"/>
      <c r="AQ17" s="22">
        <v>1.7347699999999999</v>
      </c>
      <c r="AR17" s="22">
        <v>23.503299999999999</v>
      </c>
      <c r="AS17" s="25">
        <v>5.25208E-5</v>
      </c>
      <c r="AT17" s="22">
        <v>7</v>
      </c>
      <c r="AU17" s="22">
        <v>1.73431</v>
      </c>
      <c r="AV17">
        <f t="shared" si="8"/>
        <v>-6.4840493827160492E-2</v>
      </c>
      <c r="AW17">
        <f t="shared" si="9"/>
        <v>-0.11248334347654321</v>
      </c>
      <c r="AX17" s="9"/>
      <c r="AY17" s="22">
        <v>-6.4697299999999999E-2</v>
      </c>
      <c r="AZ17" s="22">
        <v>27.262</v>
      </c>
      <c r="BA17" s="22">
        <v>-1.3858000000000001E-2</v>
      </c>
      <c r="BB17" s="22">
        <v>7</v>
      </c>
      <c r="BC17" s="22">
        <v>-6.5185499999999993E-2</v>
      </c>
      <c r="BD17">
        <f t="shared" si="10"/>
        <v>17.10864197530864</v>
      </c>
      <c r="BE17">
        <f t="shared" si="11"/>
        <v>-1.1068829424691355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5.10989</v>
      </c>
      <c r="I18" s="22">
        <v>-3.0191000000000001E-4</v>
      </c>
      <c r="J18" s="22">
        <v>8</v>
      </c>
      <c r="K18" s="22">
        <v>1.72882</v>
      </c>
      <c r="L18">
        <f t="shared" si="0"/>
        <v>0.37272839506172839</v>
      </c>
      <c r="M18">
        <f t="shared" si="1"/>
        <v>0.64472321407407407</v>
      </c>
      <c r="N18" s="9"/>
      <c r="O18" s="22">
        <v>-5.9661899999999997E-2</v>
      </c>
      <c r="P18" s="22">
        <v>8.8686500000000006</v>
      </c>
      <c r="Q18" s="22">
        <v>-1.37451E-2</v>
      </c>
      <c r="R18" s="22">
        <v>8</v>
      </c>
      <c r="S18" s="22">
        <v>-6.0150099999999998E-2</v>
      </c>
      <c r="T18">
        <f t="shared" si="2"/>
        <v>16.969259259259257</v>
      </c>
      <c r="U18">
        <f t="shared" si="3"/>
        <v>-1.0124182489999998</v>
      </c>
      <c r="V18" s="23"/>
      <c r="W18" s="24"/>
      <c r="X18" s="9"/>
      <c r="Y18" s="22">
        <v>1.7297400000000001</v>
      </c>
      <c r="Z18" s="22">
        <v>14.3371</v>
      </c>
      <c r="AA18" s="22">
        <v>-2.9351799999999999E-4</v>
      </c>
      <c r="AB18" s="22">
        <v>8</v>
      </c>
      <c r="AC18" s="22">
        <v>1.7285200000000001</v>
      </c>
      <c r="AD18">
        <f t="shared" si="4"/>
        <v>0.36236790123456786</v>
      </c>
      <c r="AE18">
        <f t="shared" si="5"/>
        <v>0.62680225348148144</v>
      </c>
      <c r="AF18" s="9"/>
      <c r="AG18" s="22">
        <v>-5.9661899999999997E-2</v>
      </c>
      <c r="AH18" s="22">
        <v>18.0959</v>
      </c>
      <c r="AI18" s="22">
        <v>-1.3861099999999999E-2</v>
      </c>
      <c r="AJ18" s="22">
        <v>8</v>
      </c>
      <c r="AK18" s="22">
        <v>-6.0272199999999998E-2</v>
      </c>
      <c r="AL18">
        <f t="shared" si="6"/>
        <v>17.112469135802467</v>
      </c>
      <c r="AM18">
        <f t="shared" si="7"/>
        <v>-1.0209624223333331</v>
      </c>
      <c r="AP18" s="9"/>
      <c r="AQ18" s="22">
        <v>1.7297400000000001</v>
      </c>
      <c r="AR18" s="22">
        <v>23.513300000000001</v>
      </c>
      <c r="AS18" s="22">
        <v>-2.1411100000000001E-4</v>
      </c>
      <c r="AT18" s="22">
        <v>8</v>
      </c>
      <c r="AU18" s="22">
        <v>1.7291300000000001</v>
      </c>
      <c r="AV18">
        <f t="shared" si="8"/>
        <v>0.26433456790123455</v>
      </c>
      <c r="AW18">
        <f t="shared" si="9"/>
        <v>0.45723007548148148</v>
      </c>
      <c r="AX18" s="9"/>
      <c r="AY18" s="22">
        <v>-5.9661899999999997E-2</v>
      </c>
      <c r="AZ18" s="22">
        <v>27.272099999999998</v>
      </c>
      <c r="BA18" s="22">
        <v>-1.3858000000000001E-2</v>
      </c>
      <c r="BB18" s="22">
        <v>8</v>
      </c>
      <c r="BC18" s="22">
        <v>-6.0272199999999998E-2</v>
      </c>
      <c r="BD18">
        <f t="shared" si="10"/>
        <v>17.10864197530864</v>
      </c>
      <c r="BE18">
        <f t="shared" si="11"/>
        <v>-1.0207340866666665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5.1199599999999998</v>
      </c>
      <c r="I19" s="22">
        <v>-5.5664099999999997E-4</v>
      </c>
      <c r="J19" s="22">
        <v>9</v>
      </c>
      <c r="K19" s="22">
        <v>1.72363</v>
      </c>
      <c r="L19">
        <f t="shared" si="0"/>
        <v>0.68721111111111111</v>
      </c>
      <c r="M19">
        <f t="shared" si="1"/>
        <v>1.1852330033333331</v>
      </c>
      <c r="N19" s="9"/>
      <c r="O19" s="22">
        <v>-5.4626500000000001E-2</v>
      </c>
      <c r="P19" s="22">
        <v>8.8787199999999995</v>
      </c>
      <c r="Q19" s="22">
        <v>-1.3738999999999999E-2</v>
      </c>
      <c r="R19" s="22">
        <v>9</v>
      </c>
      <c r="S19" s="22">
        <v>-5.5145300000000001E-2</v>
      </c>
      <c r="T19">
        <f t="shared" si="2"/>
        <v>16.961728395061726</v>
      </c>
      <c r="U19">
        <f t="shared" si="3"/>
        <v>-0.92655985617283942</v>
      </c>
      <c r="V19" s="23"/>
      <c r="W19" s="24"/>
      <c r="X19" s="9"/>
      <c r="Y19" s="22">
        <v>1.7246999999999999</v>
      </c>
      <c r="Z19" s="22">
        <v>14.347200000000001</v>
      </c>
      <c r="AA19" s="22">
        <v>-5.5236800000000002E-4</v>
      </c>
      <c r="AB19" s="22">
        <v>9</v>
      </c>
      <c r="AC19" s="22">
        <v>1.72363</v>
      </c>
      <c r="AD19">
        <f t="shared" si="4"/>
        <v>0.68193580246913577</v>
      </c>
      <c r="AE19">
        <f t="shared" si="5"/>
        <v>1.1761346785185185</v>
      </c>
      <c r="AF19" s="9"/>
      <c r="AG19" s="22">
        <v>-5.4626500000000001E-2</v>
      </c>
      <c r="AH19" s="22">
        <v>18.105899999999998</v>
      </c>
      <c r="AI19" s="22">
        <v>-1.3858000000000001E-2</v>
      </c>
      <c r="AJ19" s="22">
        <v>9</v>
      </c>
      <c r="AK19" s="22">
        <v>-5.5145300000000001E-2</v>
      </c>
      <c r="AL19">
        <f t="shared" si="6"/>
        <v>17.10864197530864</v>
      </c>
      <c r="AM19">
        <f t="shared" si="7"/>
        <v>-0.93458523086419742</v>
      </c>
      <c r="AP19" s="9"/>
      <c r="AQ19" s="22">
        <v>1.7246999999999999</v>
      </c>
      <c r="AR19" s="22">
        <v>23.523399999999999</v>
      </c>
      <c r="AS19" s="22">
        <v>-4.7729499999999998E-4</v>
      </c>
      <c r="AT19" s="22">
        <v>9</v>
      </c>
      <c r="AU19" s="22">
        <v>1.72394</v>
      </c>
      <c r="AV19">
        <f t="shared" si="8"/>
        <v>0.58925308641975305</v>
      </c>
      <c r="AW19">
        <f t="shared" si="9"/>
        <v>1.016284798148148</v>
      </c>
      <c r="AX19" s="9"/>
      <c r="AY19" s="22">
        <v>-5.4626500000000001E-2</v>
      </c>
      <c r="AZ19" s="22">
        <v>27.2822</v>
      </c>
      <c r="BA19" s="22">
        <v>-1.3858000000000001E-2</v>
      </c>
      <c r="BB19" s="22">
        <v>9</v>
      </c>
      <c r="BC19" s="22">
        <v>-5.5145300000000001E-2</v>
      </c>
      <c r="BD19">
        <f t="shared" si="10"/>
        <v>17.10864197530864</v>
      </c>
      <c r="BE19">
        <f t="shared" si="11"/>
        <v>-0.93458523086419742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5.1300299999999996</v>
      </c>
      <c r="I20" s="22">
        <v>-8.0932599999999997E-4</v>
      </c>
      <c r="J20" s="22">
        <v>10</v>
      </c>
      <c r="K20" s="22">
        <v>1.71906</v>
      </c>
      <c r="L20">
        <f t="shared" si="0"/>
        <v>0.99916790123456789</v>
      </c>
      <c r="M20">
        <f t="shared" si="1"/>
        <v>1.7182390647160495</v>
      </c>
      <c r="N20" s="9"/>
      <c r="O20" s="22">
        <v>-4.9591099999999999E-2</v>
      </c>
      <c r="P20" s="22">
        <v>8.8887900000000002</v>
      </c>
      <c r="Q20" s="22">
        <v>-1.3736E-2</v>
      </c>
      <c r="R20" s="22">
        <v>10</v>
      </c>
      <c r="S20" s="22">
        <v>-5.02014E-2</v>
      </c>
      <c r="T20">
        <f t="shared" si="2"/>
        <v>16.958024691358023</v>
      </c>
      <c r="U20">
        <f t="shared" si="3"/>
        <v>-0.84096709827160487</v>
      </c>
      <c r="V20" s="23"/>
      <c r="W20" s="24"/>
      <c r="X20" s="9"/>
      <c r="Y20" s="22">
        <v>1.71967</v>
      </c>
      <c r="Z20" s="22">
        <v>14.357200000000001</v>
      </c>
      <c r="AA20" s="22">
        <v>-8.0596900000000002E-4</v>
      </c>
      <c r="AB20" s="22">
        <v>10</v>
      </c>
      <c r="AC20" s="22">
        <v>1.71844</v>
      </c>
      <c r="AD20">
        <f t="shared" si="4"/>
        <v>0.99502345679012338</v>
      </c>
      <c r="AE20">
        <f t="shared" si="5"/>
        <v>1.7111119879382715</v>
      </c>
      <c r="AF20" s="9"/>
      <c r="AG20" s="22">
        <v>-4.9591099999999999E-2</v>
      </c>
      <c r="AH20" s="22">
        <v>18.116</v>
      </c>
      <c r="AI20" s="22">
        <v>-1.3861099999999999E-2</v>
      </c>
      <c r="AJ20" s="22">
        <v>10</v>
      </c>
      <c r="AK20" s="22">
        <v>-5.0170899999999997E-2</v>
      </c>
      <c r="AL20">
        <f t="shared" si="6"/>
        <v>17.112469135802467</v>
      </c>
      <c r="AM20">
        <f t="shared" si="7"/>
        <v>-0.84862616816049374</v>
      </c>
      <c r="AP20" s="9"/>
      <c r="AQ20" s="22">
        <v>1.71967</v>
      </c>
      <c r="AR20" s="22">
        <v>23.5335</v>
      </c>
      <c r="AS20" s="22">
        <v>-7.3181199999999998E-4</v>
      </c>
      <c r="AT20" s="22">
        <v>10</v>
      </c>
      <c r="AU20" s="22">
        <v>1.71875</v>
      </c>
      <c r="AV20">
        <f t="shared" si="8"/>
        <v>0.9034716049382715</v>
      </c>
      <c r="AW20">
        <f t="shared" si="9"/>
        <v>1.5536730148641973</v>
      </c>
      <c r="AX20" s="9"/>
      <c r="AY20" s="22">
        <v>-4.9591099999999999E-2</v>
      </c>
      <c r="AZ20" s="22">
        <v>27.292200000000001</v>
      </c>
      <c r="BA20" s="22">
        <v>-1.3864100000000001E-2</v>
      </c>
      <c r="BB20" s="22">
        <v>10</v>
      </c>
      <c r="BC20" s="22">
        <v>-5.0109899999999999E-2</v>
      </c>
      <c r="BD20">
        <f t="shared" si="10"/>
        <v>17.11617283950617</v>
      </c>
      <c r="BE20">
        <f t="shared" si="11"/>
        <v>-0.8488098389012344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5.1401000000000003</v>
      </c>
      <c r="I21" s="22">
        <v>-1.05682E-3</v>
      </c>
      <c r="J21" s="22">
        <v>11</v>
      </c>
      <c r="K21" s="22">
        <v>1.71356</v>
      </c>
      <c r="L21">
        <f t="shared" si="0"/>
        <v>1.3047160493827159</v>
      </c>
      <c r="M21">
        <f t="shared" si="1"/>
        <v>2.2371052797530862</v>
      </c>
      <c r="N21" s="9"/>
      <c r="O21" s="22">
        <v>-4.4555699999999997E-2</v>
      </c>
      <c r="P21" s="22">
        <v>8.8988600000000009</v>
      </c>
      <c r="Q21" s="22">
        <v>-1.3726800000000001E-2</v>
      </c>
      <c r="R21" s="22">
        <v>11</v>
      </c>
      <c r="S21" s="22">
        <v>-4.4961500000000001E-2</v>
      </c>
      <c r="T21">
        <f t="shared" si="2"/>
        <v>16.946666666666665</v>
      </c>
      <c r="U21">
        <f t="shared" si="3"/>
        <v>-0.75507059599999993</v>
      </c>
      <c r="V21" s="23"/>
      <c r="W21" s="24"/>
      <c r="X21" s="9"/>
      <c r="Y21" s="22">
        <v>1.7146300000000001</v>
      </c>
      <c r="Z21" s="22">
        <v>14.3673</v>
      </c>
      <c r="AA21" s="22">
        <v>-1.05927E-3</v>
      </c>
      <c r="AB21" s="22">
        <v>11</v>
      </c>
      <c r="AC21" s="22">
        <v>1.71326</v>
      </c>
      <c r="AD21">
        <f t="shared" si="4"/>
        <v>1.3077407407407406</v>
      </c>
      <c r="AE21">
        <f t="shared" si="5"/>
        <v>2.2422915062962963</v>
      </c>
      <c r="AF21" s="9"/>
      <c r="AG21" s="22">
        <v>-4.4555699999999997E-2</v>
      </c>
      <c r="AH21" s="22">
        <v>18.126100000000001</v>
      </c>
      <c r="AI21" s="22">
        <v>-1.3854999999999999E-2</v>
      </c>
      <c r="AJ21" s="22">
        <v>11</v>
      </c>
      <c r="AK21" s="22">
        <v>-4.4949299999999998E-2</v>
      </c>
      <c r="AL21">
        <f t="shared" si="6"/>
        <v>17.104938271604937</v>
      </c>
      <c r="AM21">
        <f t="shared" si="7"/>
        <v>-0.76212249814814803</v>
      </c>
      <c r="AP21" s="9"/>
      <c r="AQ21" s="22">
        <v>1.7146300000000001</v>
      </c>
      <c r="AR21" s="22">
        <v>23.543500000000002</v>
      </c>
      <c r="AS21" s="22">
        <v>-9.848019999999999E-4</v>
      </c>
      <c r="AT21" s="22">
        <v>11</v>
      </c>
      <c r="AU21" s="22">
        <v>1.71356</v>
      </c>
      <c r="AV21">
        <f t="shared" si="8"/>
        <v>1.2158049382716047</v>
      </c>
      <c r="AW21">
        <f t="shared" si="9"/>
        <v>2.0846556213086416</v>
      </c>
      <c r="AX21" s="9"/>
      <c r="AY21" s="22">
        <v>-4.4555699999999997E-2</v>
      </c>
      <c r="AZ21" s="22">
        <v>27.302299999999999</v>
      </c>
      <c r="BA21" s="22">
        <v>-1.38824E-2</v>
      </c>
      <c r="BB21" s="22">
        <v>11</v>
      </c>
      <c r="BC21" s="22">
        <v>-4.4934099999999998E-2</v>
      </c>
      <c r="BD21">
        <f t="shared" si="10"/>
        <v>17.138765432098765</v>
      </c>
      <c r="BE21">
        <f t="shared" si="11"/>
        <v>-0.76362969096296285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5.1501700000000001</v>
      </c>
      <c r="I22" s="22">
        <v>-1.3018800000000001E-3</v>
      </c>
      <c r="J22" s="22">
        <v>12</v>
      </c>
      <c r="K22" s="22">
        <v>1.7083699999999999</v>
      </c>
      <c r="L22">
        <f t="shared" si="0"/>
        <v>1.6072592592592592</v>
      </c>
      <c r="M22">
        <f t="shared" si="1"/>
        <v>2.7477543570370369</v>
      </c>
      <c r="N22" s="9"/>
      <c r="O22" s="22">
        <v>-3.9520300000000001E-2</v>
      </c>
      <c r="P22" s="22">
        <v>8.9089299999999998</v>
      </c>
      <c r="Q22" s="22">
        <v>-1.37238E-2</v>
      </c>
      <c r="R22" s="22">
        <v>12</v>
      </c>
      <c r="S22" s="22">
        <v>-3.99353E-2</v>
      </c>
      <c r="T22">
        <f t="shared" si="2"/>
        <v>16.942962962962962</v>
      </c>
      <c r="U22">
        <f t="shared" si="3"/>
        <v>-0.66959097918518518</v>
      </c>
      <c r="V22" s="23"/>
      <c r="W22" s="24"/>
      <c r="X22" s="9"/>
      <c r="Y22" s="22">
        <v>1.7095899999999999</v>
      </c>
      <c r="Z22" s="22">
        <v>14.3774</v>
      </c>
      <c r="AA22" s="22">
        <v>-1.3061500000000001E-3</v>
      </c>
      <c r="AB22" s="22">
        <v>12</v>
      </c>
      <c r="AC22" s="22">
        <v>1.70929</v>
      </c>
      <c r="AD22">
        <f t="shared" si="4"/>
        <v>1.6125308641975309</v>
      </c>
      <c r="AE22">
        <f t="shared" si="5"/>
        <v>2.7567666401234567</v>
      </c>
      <c r="AF22" s="9"/>
      <c r="AG22" s="22">
        <v>-3.9520300000000001E-2</v>
      </c>
      <c r="AH22" s="22">
        <v>18.136099999999999</v>
      </c>
      <c r="AI22" s="22">
        <v>-1.38519E-2</v>
      </c>
      <c r="AJ22" s="22">
        <v>12</v>
      </c>
      <c r="AK22" s="22">
        <v>-3.9917000000000001E-2</v>
      </c>
      <c r="AL22">
        <f t="shared" si="6"/>
        <v>17.101111111111113</v>
      </c>
      <c r="AM22">
        <f t="shared" si="7"/>
        <v>-0.67584104144444457</v>
      </c>
      <c r="AP22" s="9"/>
      <c r="AQ22" s="22">
        <v>1.7095899999999999</v>
      </c>
      <c r="AR22" s="22">
        <v>23.553599999999999</v>
      </c>
      <c r="AS22" s="22">
        <v>-1.2332199999999999E-3</v>
      </c>
      <c r="AT22" s="22">
        <v>12</v>
      </c>
      <c r="AU22" s="22">
        <v>1.70868</v>
      </c>
      <c r="AV22">
        <f t="shared" si="8"/>
        <v>1.5224938271604938</v>
      </c>
      <c r="AW22">
        <f t="shared" si="9"/>
        <v>2.6028402219753084</v>
      </c>
      <c r="AX22" s="9"/>
      <c r="AY22" s="22">
        <v>-3.9520300000000001E-2</v>
      </c>
      <c r="AZ22" s="22">
        <v>27.3124</v>
      </c>
      <c r="BA22" s="22">
        <v>-1.38824E-2</v>
      </c>
      <c r="BB22" s="22">
        <v>12</v>
      </c>
      <c r="BC22" s="22">
        <v>-3.9886499999999998E-2</v>
      </c>
      <c r="BD22">
        <f t="shared" si="10"/>
        <v>17.138765432098765</v>
      </c>
      <c r="BE22">
        <f t="shared" si="11"/>
        <v>-0.6773291515061729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5.1602399999999999</v>
      </c>
      <c r="I23" s="22">
        <v>-1.53992E-3</v>
      </c>
      <c r="J23" s="22">
        <v>13</v>
      </c>
      <c r="K23" s="22">
        <v>1.7038</v>
      </c>
      <c r="L23">
        <f t="shared" si="0"/>
        <v>1.9011358024691356</v>
      </c>
      <c r="M23">
        <f t="shared" si="1"/>
        <v>3.2406000434567899</v>
      </c>
      <c r="N23" s="9"/>
      <c r="O23" s="22">
        <v>-3.4484899999999999E-2</v>
      </c>
      <c r="P23" s="22">
        <v>8.9190000000000005</v>
      </c>
      <c r="Q23" s="22">
        <v>-1.37238E-2</v>
      </c>
      <c r="R23" s="22">
        <v>13</v>
      </c>
      <c r="S23" s="22">
        <v>-3.4854099999999999E-2</v>
      </c>
      <c r="T23">
        <f t="shared" si="2"/>
        <v>16.942962962962962</v>
      </c>
      <c r="U23">
        <f t="shared" si="3"/>
        <v>-0.58427638348148148</v>
      </c>
      <c r="V23" s="23"/>
      <c r="W23" s="24"/>
      <c r="X23" s="9"/>
      <c r="Y23" s="22">
        <v>1.7045600000000001</v>
      </c>
      <c r="Z23" s="22">
        <v>14.387499999999999</v>
      </c>
      <c r="AA23" s="22">
        <v>-1.54999E-3</v>
      </c>
      <c r="AB23" s="22">
        <v>13</v>
      </c>
      <c r="AC23" s="22">
        <v>1.70319</v>
      </c>
      <c r="AD23">
        <f t="shared" si="4"/>
        <v>1.9135679012345679</v>
      </c>
      <c r="AE23">
        <f t="shared" si="5"/>
        <v>3.2617913017283953</v>
      </c>
      <c r="AF23" s="9"/>
      <c r="AG23" s="22">
        <v>-3.4484899999999999E-2</v>
      </c>
      <c r="AH23" s="22">
        <v>18.1462</v>
      </c>
      <c r="AI23" s="22">
        <v>-1.3854999999999999E-2</v>
      </c>
      <c r="AJ23" s="22">
        <v>13</v>
      </c>
      <c r="AK23" s="22">
        <v>-3.48206E-2</v>
      </c>
      <c r="AL23">
        <f t="shared" si="6"/>
        <v>17.104938271604937</v>
      </c>
      <c r="AM23">
        <f t="shared" si="7"/>
        <v>-0.58986208580246902</v>
      </c>
      <c r="AP23" s="9"/>
      <c r="AQ23" s="22">
        <v>1.7045600000000001</v>
      </c>
      <c r="AR23" s="22">
        <v>23.563700000000001</v>
      </c>
      <c r="AS23" s="22">
        <v>-1.4764400000000001E-3</v>
      </c>
      <c r="AT23" s="22">
        <v>13</v>
      </c>
      <c r="AU23" s="22">
        <v>1.7038</v>
      </c>
      <c r="AV23">
        <f t="shared" si="8"/>
        <v>1.8227654320987654</v>
      </c>
      <c r="AW23">
        <f t="shared" si="9"/>
        <v>3.1070130449382716</v>
      </c>
      <c r="AX23" s="9"/>
      <c r="AY23" s="22">
        <v>-3.4484899999999999E-2</v>
      </c>
      <c r="AZ23" s="22">
        <v>27.322399999999998</v>
      </c>
      <c r="BA23" s="22">
        <v>-1.38855E-2</v>
      </c>
      <c r="BB23" s="22">
        <v>13</v>
      </c>
      <c r="BC23" s="22">
        <v>-3.4829699999999998E-2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5.1703099999999997</v>
      </c>
      <c r="I24" s="22">
        <v>-1.7779499999999999E-3</v>
      </c>
      <c r="J24" s="22">
        <v>14</v>
      </c>
      <c r="K24" s="22">
        <v>1.69861</v>
      </c>
      <c r="L24">
        <f t="shared" si="0"/>
        <v>2.1949999999999998</v>
      </c>
      <c r="M24">
        <f t="shared" si="1"/>
        <v>3.7304463999999995</v>
      </c>
      <c r="N24" s="9"/>
      <c r="O24" s="22">
        <v>-2.94495E-2</v>
      </c>
      <c r="P24" s="22">
        <v>8.9290800000000008</v>
      </c>
      <c r="Q24" s="22">
        <v>-1.37146E-2</v>
      </c>
      <c r="R24" s="22">
        <v>14</v>
      </c>
      <c r="S24" s="22">
        <v>-2.9815700000000001E-2</v>
      </c>
      <c r="T24">
        <f t="shared" si="2"/>
        <v>16.931604938271605</v>
      </c>
      <c r="U24">
        <f t="shared" si="3"/>
        <v>-0.49862729962962959</v>
      </c>
      <c r="V24" s="23"/>
      <c r="W24" s="24"/>
      <c r="X24" s="9"/>
      <c r="Y24" s="22">
        <v>1.6995199999999999</v>
      </c>
      <c r="Z24" s="22">
        <v>14.397500000000001</v>
      </c>
      <c r="AA24" s="22">
        <v>-1.79047E-3</v>
      </c>
      <c r="AB24" s="22">
        <v>14</v>
      </c>
      <c r="AC24" s="22">
        <v>1.6982999999999999</v>
      </c>
      <c r="AD24">
        <f t="shared" si="4"/>
        <v>2.2104567901234566</v>
      </c>
      <c r="AE24">
        <f t="shared" si="5"/>
        <v>3.7567155239506169</v>
      </c>
      <c r="AF24" s="9"/>
      <c r="AG24" s="22">
        <v>-2.94495E-2</v>
      </c>
      <c r="AH24" s="22">
        <v>18.156300000000002</v>
      </c>
      <c r="AI24" s="22">
        <v>-1.3854999999999999E-2</v>
      </c>
      <c r="AJ24" s="22">
        <v>14</v>
      </c>
      <c r="AK24" s="22">
        <v>-2.9821799999999999E-2</v>
      </c>
      <c r="AL24">
        <f t="shared" si="6"/>
        <v>17.104938271604937</v>
      </c>
      <c r="AM24">
        <f t="shared" si="7"/>
        <v>-0.50373187962962962</v>
      </c>
      <c r="AP24" s="9"/>
      <c r="AQ24" s="22">
        <v>1.6995199999999999</v>
      </c>
      <c r="AR24" s="22">
        <v>23.573799999999999</v>
      </c>
      <c r="AS24" s="22">
        <v>-1.71722E-3</v>
      </c>
      <c r="AT24" s="22">
        <v>14</v>
      </c>
      <c r="AU24" s="22">
        <v>1.6982999999999999</v>
      </c>
      <c r="AV24">
        <f t="shared" si="8"/>
        <v>2.1200246913580245</v>
      </c>
      <c r="AW24">
        <f t="shared" si="9"/>
        <v>3.6030243634567896</v>
      </c>
      <c r="AX24" s="9"/>
      <c r="AY24" s="22">
        <v>-2.94495E-2</v>
      </c>
      <c r="AZ24" s="22">
        <v>27.3325</v>
      </c>
      <c r="BA24" s="22">
        <v>-1.38824E-2</v>
      </c>
      <c r="BB24" s="22">
        <v>14</v>
      </c>
      <c r="BC24" s="22">
        <v>-2.9815700000000001E-2</v>
      </c>
      <c r="BD24">
        <f t="shared" si="10"/>
        <v>17.138765432098765</v>
      </c>
      <c r="BE24">
        <f t="shared" si="11"/>
        <v>-0.50472807259259256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5.1803800000000004</v>
      </c>
      <c r="I25" s="22">
        <v>-2.0089700000000001E-3</v>
      </c>
      <c r="J25" s="22">
        <v>15</v>
      </c>
      <c r="K25" s="22">
        <v>1.6934199999999999</v>
      </c>
      <c r="L25">
        <f t="shared" si="0"/>
        <v>2.4802098765432099</v>
      </c>
      <c r="M25">
        <f t="shared" si="1"/>
        <v>4.2026908337037039</v>
      </c>
      <c r="N25" s="9"/>
      <c r="O25" s="22">
        <v>-2.4414100000000001E-2</v>
      </c>
      <c r="P25" s="22">
        <v>8.9391499999999997</v>
      </c>
      <c r="Q25" s="22">
        <v>-1.3720700000000001E-2</v>
      </c>
      <c r="R25" s="22">
        <v>15</v>
      </c>
      <c r="S25" s="22">
        <v>-2.4777199999999999E-2</v>
      </c>
      <c r="T25">
        <f t="shared" si="2"/>
        <v>16.939135802469135</v>
      </c>
      <c r="U25">
        <f t="shared" si="3"/>
        <v>-0.41355375539506173</v>
      </c>
      <c r="V25" s="23"/>
      <c r="W25" s="24"/>
      <c r="X25" s="9"/>
      <c r="Y25" s="22">
        <v>1.6944900000000001</v>
      </c>
      <c r="Z25" s="22">
        <v>14.4076</v>
      </c>
      <c r="AA25" s="22">
        <v>-2.02637E-3</v>
      </c>
      <c r="AB25" s="22">
        <v>15</v>
      </c>
      <c r="AC25" s="22">
        <v>1.6934199999999999</v>
      </c>
      <c r="AD25">
        <f t="shared" si="4"/>
        <v>2.5016913580246913</v>
      </c>
      <c r="AE25">
        <f t="shared" si="5"/>
        <v>4.2390909892592594</v>
      </c>
      <c r="AF25" s="9"/>
      <c r="AG25" s="22">
        <v>-2.4414100000000001E-2</v>
      </c>
      <c r="AH25" s="22">
        <v>18.166399999999999</v>
      </c>
      <c r="AI25" s="22">
        <v>-1.3864100000000001E-2</v>
      </c>
      <c r="AJ25" s="22">
        <v>15</v>
      </c>
      <c r="AK25" s="22">
        <v>-2.4771100000000001E-2</v>
      </c>
      <c r="AL25">
        <f t="shared" si="6"/>
        <v>17.11617283950617</v>
      </c>
      <c r="AM25">
        <f t="shared" si="7"/>
        <v>-0.41787595532098759</v>
      </c>
      <c r="AP25" s="9"/>
      <c r="AQ25" s="22">
        <v>1.6944900000000001</v>
      </c>
      <c r="AR25" s="22">
        <v>23.5838</v>
      </c>
      <c r="AS25" s="22">
        <v>-1.9518999999999999E-3</v>
      </c>
      <c r="AT25" s="22">
        <v>15</v>
      </c>
      <c r="AU25" s="22">
        <v>1.69373</v>
      </c>
      <c r="AV25">
        <f t="shared" si="8"/>
        <v>2.4097530864197529</v>
      </c>
      <c r="AW25">
        <f t="shared" si="9"/>
        <v>4.0833025074074074</v>
      </c>
      <c r="AX25" s="9"/>
      <c r="AY25" s="22">
        <v>-2.4414100000000001E-2</v>
      </c>
      <c r="AZ25" s="22">
        <v>27.342600000000001</v>
      </c>
      <c r="BA25" s="22">
        <v>-1.38733E-2</v>
      </c>
      <c r="BB25" s="22">
        <v>15</v>
      </c>
      <c r="BC25" s="22">
        <v>-2.4780300000000002E-2</v>
      </c>
      <c r="BD25">
        <f t="shared" si="10"/>
        <v>17.127530864197528</v>
      </c>
      <c r="BE25">
        <f t="shared" si="11"/>
        <v>-0.41815325127160491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5.1904599999999999</v>
      </c>
      <c r="I26" s="22">
        <v>-2.2399899999999999E-3</v>
      </c>
      <c r="J26" s="22">
        <v>16</v>
      </c>
      <c r="K26" s="22">
        <v>1.6888399999999999</v>
      </c>
      <c r="L26">
        <f t="shared" si="0"/>
        <v>2.7654197530864195</v>
      </c>
      <c r="M26">
        <f t="shared" si="1"/>
        <v>4.672038401851851</v>
      </c>
      <c r="N26" s="9"/>
      <c r="O26" s="22">
        <v>-1.9378699999999999E-2</v>
      </c>
      <c r="P26" s="22">
        <v>8.9492200000000004</v>
      </c>
      <c r="Q26" s="22">
        <v>-1.3717699999999999E-2</v>
      </c>
      <c r="R26" s="22">
        <v>16</v>
      </c>
      <c r="S26" s="22">
        <v>-1.9723500000000001E-2</v>
      </c>
      <c r="T26">
        <f t="shared" si="2"/>
        <v>16.935432098765432</v>
      </c>
      <c r="U26">
        <f t="shared" si="3"/>
        <v>-0.32818665801234564</v>
      </c>
      <c r="V26" s="23"/>
      <c r="W26" s="24"/>
      <c r="X26" s="9"/>
      <c r="Y26" s="22">
        <v>1.6894499999999999</v>
      </c>
      <c r="Z26" s="22">
        <v>14.4177</v>
      </c>
      <c r="AA26" s="22">
        <v>-2.258E-3</v>
      </c>
      <c r="AB26" s="22">
        <v>16</v>
      </c>
      <c r="AC26" s="22">
        <v>1.6882299999999999</v>
      </c>
      <c r="AD26">
        <f t="shared" si="4"/>
        <v>2.7876543209876541</v>
      </c>
      <c r="AE26">
        <f t="shared" si="5"/>
        <v>4.7096025925925922</v>
      </c>
      <c r="AF26" s="9"/>
      <c r="AG26" s="22">
        <v>-1.9378699999999999E-2</v>
      </c>
      <c r="AH26" s="22">
        <v>18.176400000000001</v>
      </c>
      <c r="AI26" s="22">
        <v>-1.3864100000000001E-2</v>
      </c>
      <c r="AJ26" s="22">
        <v>16</v>
      </c>
      <c r="AK26" s="22">
        <v>-1.97266E-2</v>
      </c>
      <c r="AL26">
        <f t="shared" si="6"/>
        <v>17.11617283950617</v>
      </c>
      <c r="AM26">
        <f t="shared" si="7"/>
        <v>-0.33168917860493818</v>
      </c>
      <c r="AP26" s="9"/>
      <c r="AQ26" s="22">
        <v>1.6894499999999999</v>
      </c>
      <c r="AR26" s="22">
        <v>23.593900000000001</v>
      </c>
      <c r="AS26" s="22">
        <v>-2.1829200000000001E-3</v>
      </c>
      <c r="AT26" s="22">
        <v>16</v>
      </c>
      <c r="AU26" s="22">
        <v>1.6891499999999999</v>
      </c>
      <c r="AV26">
        <f t="shared" si="8"/>
        <v>2.694962962962963</v>
      </c>
      <c r="AW26">
        <f t="shared" si="9"/>
        <v>4.5530051777777771</v>
      </c>
      <c r="AX26" s="9"/>
      <c r="AY26" s="22">
        <v>-1.9378699999999999E-2</v>
      </c>
      <c r="AZ26" s="22">
        <v>27.352699999999999</v>
      </c>
      <c r="BA26" s="22">
        <v>-1.38519E-2</v>
      </c>
      <c r="BB26" s="22">
        <v>16</v>
      </c>
      <c r="BC26" s="22">
        <v>-1.97174E-2</v>
      </c>
      <c r="BD26">
        <f t="shared" si="10"/>
        <v>17.101111111111113</v>
      </c>
      <c r="BE26">
        <f t="shared" si="11"/>
        <v>-0.33139730188888888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5.2005299999999997</v>
      </c>
      <c r="I27" s="22">
        <v>-2.4630699999999999E-3</v>
      </c>
      <c r="J27" s="22">
        <v>17</v>
      </c>
      <c r="K27" s="22">
        <v>1.6839599999999999</v>
      </c>
      <c r="L27">
        <f t="shared" si="0"/>
        <v>3.0408271604938268</v>
      </c>
      <c r="M27">
        <f t="shared" si="1"/>
        <v>5.122030085679012</v>
      </c>
      <c r="N27" s="9"/>
      <c r="O27" s="22">
        <v>-1.43433E-2</v>
      </c>
      <c r="P27" s="22">
        <v>8.9592899999999993</v>
      </c>
      <c r="Q27" s="22">
        <v>-1.3720700000000001E-2</v>
      </c>
      <c r="R27" s="22">
        <v>17</v>
      </c>
      <c r="S27" s="22">
        <v>-1.4682000000000001E-2</v>
      </c>
      <c r="T27">
        <f t="shared" si="2"/>
        <v>16.939135802469135</v>
      </c>
      <c r="U27">
        <f t="shared" si="3"/>
        <v>-0.24296310655555553</v>
      </c>
      <c r="X27" s="9"/>
      <c r="Y27" s="22">
        <v>1.68442</v>
      </c>
      <c r="Z27" s="22">
        <v>14.4277</v>
      </c>
      <c r="AA27" s="22">
        <v>-2.4850499999999999E-3</v>
      </c>
      <c r="AB27" s="22">
        <v>17</v>
      </c>
      <c r="AC27" s="22">
        <v>1.6836500000000001</v>
      </c>
      <c r="AD27">
        <f t="shared" si="4"/>
        <v>3.0679629629629628</v>
      </c>
      <c r="AE27">
        <f t="shared" si="5"/>
        <v>5.1677381740740742</v>
      </c>
      <c r="AF27" s="9"/>
      <c r="AG27" s="22">
        <v>-1.43433E-2</v>
      </c>
      <c r="AH27" s="22">
        <v>18.186499999999999</v>
      </c>
      <c r="AI27" s="22">
        <v>-1.3858000000000001E-2</v>
      </c>
      <c r="AJ27" s="22">
        <v>17</v>
      </c>
      <c r="AK27" s="22">
        <v>-1.46667E-2</v>
      </c>
      <c r="AL27">
        <f t="shared" si="6"/>
        <v>17.10864197530864</v>
      </c>
      <c r="AM27">
        <f t="shared" si="7"/>
        <v>-0.24539438444444442</v>
      </c>
      <c r="AP27" s="9"/>
      <c r="AQ27" s="22">
        <v>1.68442</v>
      </c>
      <c r="AR27" s="22">
        <v>23.603999999999999</v>
      </c>
      <c r="AS27" s="22">
        <v>-2.4105799999999998E-3</v>
      </c>
      <c r="AT27" s="22">
        <v>17</v>
      </c>
      <c r="AU27" s="22">
        <v>1.6833499999999999</v>
      </c>
      <c r="AV27">
        <f t="shared" si="8"/>
        <v>2.9760246913580244</v>
      </c>
      <c r="AW27">
        <f t="shared" si="9"/>
        <v>5.0128755106172838</v>
      </c>
      <c r="AX27" s="9"/>
      <c r="AY27" s="22">
        <v>-1.43433E-2</v>
      </c>
      <c r="AZ27" s="22">
        <v>27.3627</v>
      </c>
      <c r="BA27" s="22">
        <v>-1.38306E-2</v>
      </c>
      <c r="BB27" s="22">
        <v>17</v>
      </c>
      <c r="BC27" s="22">
        <v>-1.4678999999999999E-2</v>
      </c>
      <c r="BD27">
        <f t="shared" si="10"/>
        <v>17.074814814814815</v>
      </c>
      <c r="BE27">
        <f t="shared" si="11"/>
        <v>-0.24490919133333333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5.2106000000000003</v>
      </c>
      <c r="I28" s="22">
        <v>-2.6879899999999999E-3</v>
      </c>
      <c r="J28" s="22">
        <v>18</v>
      </c>
      <c r="K28" s="22">
        <v>1.6781600000000001</v>
      </c>
      <c r="L28">
        <f t="shared" si="0"/>
        <v>3.318506172839506</v>
      </c>
      <c r="M28">
        <f t="shared" si="1"/>
        <v>5.5730328965432099</v>
      </c>
      <c r="N28" s="9"/>
      <c r="O28" s="22">
        <v>-9.3078599999999994E-3</v>
      </c>
      <c r="P28" s="22">
        <v>8.96936</v>
      </c>
      <c r="Q28" s="22">
        <v>-1.37238E-2</v>
      </c>
      <c r="R28" s="22">
        <v>18</v>
      </c>
      <c r="S28" s="22">
        <v>-9.6160900000000007E-3</v>
      </c>
      <c r="T28">
        <f t="shared" si="2"/>
        <v>16.942962962962962</v>
      </c>
      <c r="U28">
        <f t="shared" si="3"/>
        <v>-0.15770272724444442</v>
      </c>
      <c r="X28" s="9"/>
      <c r="Y28" s="22">
        <v>1.6793800000000001</v>
      </c>
      <c r="Z28" s="22">
        <v>14.437799999999999</v>
      </c>
      <c r="AA28" s="22">
        <v>-2.7093500000000001E-3</v>
      </c>
      <c r="AB28" s="22">
        <v>18</v>
      </c>
      <c r="AC28" s="22">
        <v>1.6781600000000001</v>
      </c>
      <c r="AD28">
        <f t="shared" si="4"/>
        <v>3.3448765432098764</v>
      </c>
      <c r="AE28">
        <f t="shared" si="5"/>
        <v>5.6173187691358022</v>
      </c>
      <c r="AF28" s="9"/>
      <c r="AG28" s="22">
        <v>-9.3078599999999994E-3</v>
      </c>
      <c r="AH28" s="22">
        <v>18.1966</v>
      </c>
      <c r="AI28" s="22">
        <v>-1.38397E-2</v>
      </c>
      <c r="AJ28" s="22">
        <v>18</v>
      </c>
      <c r="AK28" s="22">
        <v>-9.6252400000000002E-3</v>
      </c>
      <c r="AL28">
        <f t="shared" si="6"/>
        <v>17.086049382716048</v>
      </c>
      <c r="AM28">
        <f t="shared" si="7"/>
        <v>-0.1590345556074074</v>
      </c>
      <c r="AP28" s="9"/>
      <c r="AQ28" s="22">
        <v>1.6793800000000001</v>
      </c>
      <c r="AR28" s="22">
        <v>23.614000000000001</v>
      </c>
      <c r="AS28" s="22">
        <v>-2.63824E-3</v>
      </c>
      <c r="AT28" s="22">
        <v>18</v>
      </c>
      <c r="AU28" s="22">
        <v>1.6787700000000001</v>
      </c>
      <c r="AV28">
        <f t="shared" si="8"/>
        <v>3.2570864197530862</v>
      </c>
      <c r="AW28">
        <f t="shared" si="9"/>
        <v>5.4698857916049386</v>
      </c>
      <c r="AX28" s="9"/>
      <c r="AY28" s="22">
        <v>-9.3078599999999994E-3</v>
      </c>
      <c r="AZ28" s="22">
        <v>27.372800000000002</v>
      </c>
      <c r="BA28" s="22">
        <v>-1.3815300000000001E-2</v>
      </c>
      <c r="BB28" s="22">
        <v>18</v>
      </c>
      <c r="BC28" s="22">
        <v>-9.6099900000000005E-3</v>
      </c>
      <c r="BD28">
        <f t="shared" si="10"/>
        <v>17.055925925925926</v>
      </c>
      <c r="BE28">
        <f t="shared" si="11"/>
        <v>-0.15875417068888889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5.2206700000000001</v>
      </c>
      <c r="I29" s="22">
        <v>-2.9055800000000001E-3</v>
      </c>
      <c r="J29" s="22">
        <v>19</v>
      </c>
      <c r="K29" s="22">
        <v>1.6726700000000001</v>
      </c>
      <c r="L29">
        <f t="shared" si="0"/>
        <v>3.587135802469136</v>
      </c>
      <c r="M29">
        <f t="shared" si="1"/>
        <v>6.006120830864198</v>
      </c>
      <c r="N29" s="9"/>
      <c r="O29" s="22">
        <v>-4.2724599999999996E-3</v>
      </c>
      <c r="P29" s="22">
        <v>8.9794300000000007</v>
      </c>
      <c r="Q29" s="22">
        <v>-1.3720700000000001E-2</v>
      </c>
      <c r="R29" s="22">
        <v>19</v>
      </c>
      <c r="S29" s="22">
        <v>-4.5837400000000002E-3</v>
      </c>
      <c r="T29">
        <f t="shared" si="2"/>
        <v>16.939135802469135</v>
      </c>
      <c r="U29">
        <f t="shared" si="3"/>
        <v>-7.2371780150617279E-2</v>
      </c>
      <c r="X29" s="9"/>
      <c r="Y29" s="22">
        <v>1.67435</v>
      </c>
      <c r="Z29" s="22">
        <v>14.447900000000001</v>
      </c>
      <c r="AA29" s="22">
        <v>-2.92816E-3</v>
      </c>
      <c r="AB29" s="22">
        <v>19</v>
      </c>
      <c r="AC29" s="22">
        <v>1.6735800000000001</v>
      </c>
      <c r="AD29">
        <f t="shared" si="4"/>
        <v>3.6150123456790122</v>
      </c>
      <c r="AE29">
        <f t="shared" si="5"/>
        <v>6.0527959209876538</v>
      </c>
      <c r="AF29" s="9"/>
      <c r="AG29" s="22">
        <v>-4.2724599999999996E-3</v>
      </c>
      <c r="AH29" s="22">
        <v>18.206600000000002</v>
      </c>
      <c r="AI29" s="22">
        <v>-1.38306E-2</v>
      </c>
      <c r="AJ29" s="22">
        <v>19</v>
      </c>
      <c r="AK29" s="22">
        <v>-4.5593300000000003E-3</v>
      </c>
      <c r="AL29">
        <f t="shared" si="6"/>
        <v>17.074814814814815</v>
      </c>
      <c r="AM29">
        <f t="shared" si="7"/>
        <v>-7.2951463303703695E-2</v>
      </c>
      <c r="AP29" s="9"/>
      <c r="AQ29" s="22">
        <v>1.67435</v>
      </c>
      <c r="AR29" s="22">
        <v>23.624099999999999</v>
      </c>
      <c r="AS29" s="22">
        <v>-2.8601099999999999E-3</v>
      </c>
      <c r="AT29" s="22">
        <v>19</v>
      </c>
      <c r="AU29" s="22">
        <v>1.6729700000000001</v>
      </c>
      <c r="AV29">
        <f t="shared" si="8"/>
        <v>3.5309999999999997</v>
      </c>
      <c r="AW29">
        <f t="shared" si="9"/>
        <v>5.9121298499999995</v>
      </c>
      <c r="AX29" s="9"/>
      <c r="AY29" s="22">
        <v>-4.2724599999999996E-3</v>
      </c>
      <c r="AZ29" s="22">
        <v>27.382899999999999</v>
      </c>
      <c r="BA29" s="22">
        <v>-1.38031E-2</v>
      </c>
      <c r="BB29" s="22">
        <v>19</v>
      </c>
      <c r="BC29" s="22">
        <v>-4.54712E-3</v>
      </c>
      <c r="BD29">
        <f t="shared" si="10"/>
        <v>17.040864197530862</v>
      </c>
      <c r="BE29">
        <f t="shared" si="11"/>
        <v>-7.2806410649382702E-2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5.2307399999999999</v>
      </c>
      <c r="I30" s="22">
        <v>-3.1219500000000001E-3</v>
      </c>
      <c r="J30" s="22">
        <v>20</v>
      </c>
      <c r="K30" s="22">
        <v>1.6680900000000001</v>
      </c>
      <c r="L30">
        <f t="shared" si="0"/>
        <v>3.8542592592592593</v>
      </c>
      <c r="M30">
        <f t="shared" si="1"/>
        <v>6.4339535240740746</v>
      </c>
      <c r="N30" s="9"/>
      <c r="O30" s="22">
        <v>7.6293900000000002E-4</v>
      </c>
      <c r="P30" s="22">
        <v>8.9894999999999996</v>
      </c>
      <c r="Q30" s="22">
        <v>-1.3717699999999999E-2</v>
      </c>
      <c r="R30" s="22">
        <v>20</v>
      </c>
      <c r="S30" s="22">
        <v>5.00488E-4</v>
      </c>
      <c r="T30">
        <f t="shared" si="2"/>
        <v>16.935432098765432</v>
      </c>
      <c r="U30">
        <f t="shared" si="3"/>
        <v>1.292070163E-2</v>
      </c>
      <c r="X30" s="9"/>
      <c r="Y30" s="22">
        <v>1.6693100000000001</v>
      </c>
      <c r="Z30" s="22">
        <v>14.4579</v>
      </c>
      <c r="AA30" s="22">
        <v>-3.1433099999999999E-3</v>
      </c>
      <c r="AB30" s="22">
        <v>20</v>
      </c>
      <c r="AC30" s="22">
        <v>1.6680900000000001</v>
      </c>
      <c r="AD30">
        <f t="shared" si="4"/>
        <v>3.8806296296296292</v>
      </c>
      <c r="AE30">
        <f t="shared" si="5"/>
        <v>6.4779738470370365</v>
      </c>
      <c r="AF30" s="9"/>
      <c r="AG30" s="22">
        <v>7.6293900000000002E-4</v>
      </c>
      <c r="AH30" s="22">
        <v>18.216699999999999</v>
      </c>
      <c r="AI30" s="22">
        <v>-1.38336E-2</v>
      </c>
      <c r="AJ30" s="22">
        <v>20</v>
      </c>
      <c r="AK30" s="22">
        <v>4.8828100000000002E-4</v>
      </c>
      <c r="AL30">
        <f t="shared" si="6"/>
        <v>17.078518518518518</v>
      </c>
      <c r="AM30">
        <f t="shared" si="7"/>
        <v>1.3029867840000001E-2</v>
      </c>
      <c r="AP30" s="9"/>
      <c r="AQ30" s="22">
        <v>1.6693100000000001</v>
      </c>
      <c r="AR30" s="22">
        <v>23.6342</v>
      </c>
      <c r="AS30" s="22">
        <v>-3.07953E-3</v>
      </c>
      <c r="AT30" s="22">
        <v>20</v>
      </c>
      <c r="AU30" s="22">
        <v>1.6684000000000001</v>
      </c>
      <c r="AV30">
        <f t="shared" si="8"/>
        <v>3.8018888888888887</v>
      </c>
      <c r="AW30">
        <f t="shared" si="9"/>
        <v>6.3465311411111109</v>
      </c>
      <c r="AX30" s="9"/>
      <c r="AY30" s="22">
        <v>7.6293900000000002E-4</v>
      </c>
      <c r="AZ30" s="22">
        <v>27.392900000000001</v>
      </c>
      <c r="BA30" s="22">
        <v>-1.38031E-2</v>
      </c>
      <c r="BB30" s="22">
        <v>20</v>
      </c>
      <c r="BC30" s="22">
        <v>5.2490200000000005E-4</v>
      </c>
      <c r="BD30">
        <f t="shared" si="10"/>
        <v>17.040864197530862</v>
      </c>
      <c r="BE30">
        <f t="shared" si="11"/>
        <v>1.3001139889999999E-2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5.2408099999999997</v>
      </c>
      <c r="I31" s="22">
        <v>-3.33374E-3</v>
      </c>
      <c r="J31" s="22">
        <v>21</v>
      </c>
      <c r="K31" s="22">
        <v>1.6632100000000001</v>
      </c>
      <c r="L31">
        <f t="shared" si="0"/>
        <v>4.1157283950617281</v>
      </c>
      <c r="M31">
        <f t="shared" si="1"/>
        <v>6.8497244533333328</v>
      </c>
      <c r="N31" s="9"/>
      <c r="O31" s="22">
        <v>5.7983399999999999E-3</v>
      </c>
      <c r="P31" s="22">
        <v>8.9995700000000003</v>
      </c>
      <c r="Q31" s="22">
        <v>-1.37115E-2</v>
      </c>
      <c r="R31" s="22">
        <v>21</v>
      </c>
      <c r="S31" s="22">
        <v>5.5114700000000001E-3</v>
      </c>
      <c r="T31">
        <f t="shared" si="2"/>
        <v>16.927777777777777</v>
      </c>
      <c r="U31">
        <f t="shared" si="3"/>
        <v>9.8153010999999998E-2</v>
      </c>
      <c r="X31" s="9"/>
      <c r="Y31" s="22">
        <v>1.66428</v>
      </c>
      <c r="Z31" s="22">
        <v>14.468</v>
      </c>
      <c r="AA31" s="22">
        <v>-3.3587600000000001E-3</v>
      </c>
      <c r="AB31" s="22">
        <v>21</v>
      </c>
      <c r="AC31" s="22">
        <v>1.66351</v>
      </c>
      <c r="AD31">
        <f t="shared" si="4"/>
        <v>4.1466172839506177</v>
      </c>
      <c r="AE31">
        <f t="shared" si="5"/>
        <v>6.9011322133333337</v>
      </c>
      <c r="AF31" s="9"/>
      <c r="AG31" s="22">
        <v>5.7983399999999999E-3</v>
      </c>
      <c r="AH31" s="22">
        <v>18.226800000000001</v>
      </c>
      <c r="AI31" s="22">
        <v>-1.38306E-2</v>
      </c>
      <c r="AJ31" s="22">
        <v>21</v>
      </c>
      <c r="AK31" s="22">
        <v>5.5358899999999999E-3</v>
      </c>
      <c r="AL31">
        <f t="shared" si="6"/>
        <v>17.074814814814815</v>
      </c>
      <c r="AM31">
        <f t="shared" si="7"/>
        <v>9.9005581733333334E-2</v>
      </c>
      <c r="AP31" s="9"/>
      <c r="AQ31" s="22">
        <v>1.66428</v>
      </c>
      <c r="AR31" s="22">
        <v>23.644200000000001</v>
      </c>
      <c r="AS31" s="22">
        <v>-3.2974200000000001E-3</v>
      </c>
      <c r="AT31" s="22">
        <v>21</v>
      </c>
      <c r="AU31" s="22">
        <v>1.6638200000000001</v>
      </c>
      <c r="AV31">
        <f t="shared" si="8"/>
        <v>4.0708888888888888</v>
      </c>
      <c r="AW31">
        <f t="shared" si="9"/>
        <v>6.7750989599999993</v>
      </c>
      <c r="AX31" s="9"/>
      <c r="AY31" s="22">
        <v>5.7983399999999999E-3</v>
      </c>
      <c r="AZ31" s="22">
        <v>27.402999999999999</v>
      </c>
      <c r="BA31" s="22">
        <v>-1.38E-2</v>
      </c>
      <c r="BB31" s="22">
        <v>21</v>
      </c>
      <c r="BC31" s="22">
        <v>5.5419900000000001E-3</v>
      </c>
      <c r="BD31">
        <f t="shared" si="10"/>
        <v>17.037037037037035</v>
      </c>
      <c r="BE31">
        <f t="shared" si="11"/>
        <v>9.8786533333333315E-2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5.2508800000000004</v>
      </c>
      <c r="I32" s="22">
        <v>-3.5427900000000001E-3</v>
      </c>
      <c r="J32" s="22">
        <v>22</v>
      </c>
      <c r="K32" s="22">
        <v>1.65802</v>
      </c>
      <c r="L32">
        <f t="shared" si="0"/>
        <v>4.373814814814815</v>
      </c>
      <c r="M32">
        <f t="shared" si="1"/>
        <v>7.2572084933333336</v>
      </c>
      <c r="N32" s="9"/>
      <c r="O32" s="22">
        <v>1.08337E-2</v>
      </c>
      <c r="P32" s="22">
        <v>9.0096399999999992</v>
      </c>
      <c r="Q32" s="22">
        <v>-1.37085E-2</v>
      </c>
      <c r="R32" s="22">
        <v>22</v>
      </c>
      <c r="S32" s="22">
        <v>1.05804E-2</v>
      </c>
      <c r="T32">
        <f t="shared" si="2"/>
        <v>16.924074074074074</v>
      </c>
      <c r="U32">
        <f t="shared" si="3"/>
        <v>0.18335034129629629</v>
      </c>
      <c r="X32" s="9"/>
      <c r="Y32" s="22">
        <v>1.65924</v>
      </c>
      <c r="Z32" s="22">
        <v>14.4781</v>
      </c>
      <c r="AA32" s="22">
        <v>-3.56873E-3</v>
      </c>
      <c r="AB32" s="22">
        <v>22</v>
      </c>
      <c r="AC32" s="22">
        <v>1.6583300000000001</v>
      </c>
      <c r="AD32">
        <f t="shared" si="4"/>
        <v>4.405839506172839</v>
      </c>
      <c r="AE32">
        <f t="shared" si="5"/>
        <v>7.3103451422222214</v>
      </c>
      <c r="AF32" s="9"/>
      <c r="AG32" s="22">
        <v>1.08337E-2</v>
      </c>
      <c r="AH32" s="22">
        <v>18.236899999999999</v>
      </c>
      <c r="AI32" s="22">
        <v>-1.3821399999999999E-2</v>
      </c>
      <c r="AJ32" s="22">
        <v>22</v>
      </c>
      <c r="AK32" s="22">
        <v>1.0577400000000001E-2</v>
      </c>
      <c r="AL32">
        <f t="shared" si="6"/>
        <v>17.063456790123453</v>
      </c>
      <c r="AM32">
        <f t="shared" si="7"/>
        <v>0.18486037182716045</v>
      </c>
      <c r="AP32" s="9"/>
      <c r="AQ32" s="22">
        <v>1.65924</v>
      </c>
      <c r="AR32" s="22">
        <v>23.654299999999999</v>
      </c>
      <c r="AS32" s="22">
        <v>-3.5082999999999998E-3</v>
      </c>
      <c r="AT32" s="22">
        <v>22</v>
      </c>
      <c r="AU32" s="22">
        <v>1.65771</v>
      </c>
      <c r="AV32">
        <f t="shared" si="8"/>
        <v>4.3312345679012338</v>
      </c>
      <c r="AW32">
        <f t="shared" si="9"/>
        <v>7.1865576444444432</v>
      </c>
      <c r="AX32" s="9"/>
      <c r="AY32" s="22">
        <v>1.08337E-2</v>
      </c>
      <c r="AZ32" s="22">
        <v>27.4131</v>
      </c>
      <c r="BA32" s="22">
        <v>-1.38031E-2</v>
      </c>
      <c r="BB32" s="22">
        <v>22</v>
      </c>
      <c r="BC32" s="22">
        <v>1.0549899999999999E-2</v>
      </c>
      <c r="BD32">
        <f t="shared" si="10"/>
        <v>17.040864197530862</v>
      </c>
      <c r="BE32">
        <f t="shared" si="11"/>
        <v>0.18461561045679009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5.2609500000000002</v>
      </c>
      <c r="I33" s="22">
        <v>-3.7451199999999998E-3</v>
      </c>
      <c r="J33" s="22">
        <v>23</v>
      </c>
      <c r="K33" s="22">
        <v>1.65344</v>
      </c>
      <c r="L33">
        <f t="shared" si="0"/>
        <v>4.6236049382716047</v>
      </c>
      <c r="M33">
        <f t="shared" si="1"/>
        <v>7.6484135249382712</v>
      </c>
      <c r="N33" s="9"/>
      <c r="O33" s="22">
        <v>1.5869100000000001E-2</v>
      </c>
      <c r="P33" s="22">
        <v>9.0197099999999999</v>
      </c>
      <c r="Q33" s="22">
        <v>-1.37024E-2</v>
      </c>
      <c r="R33" s="22">
        <v>23</v>
      </c>
      <c r="S33" s="22">
        <v>1.5643299999999999E-2</v>
      </c>
      <c r="T33">
        <f t="shared" si="2"/>
        <v>16.916543209876544</v>
      </c>
      <c r="U33">
        <f t="shared" si="3"/>
        <v>0.26845031585185186</v>
      </c>
      <c r="X33" s="9"/>
      <c r="Y33" s="22">
        <v>1.65421</v>
      </c>
      <c r="Z33" s="22">
        <v>14.488200000000001</v>
      </c>
      <c r="AA33" s="22">
        <v>-3.7762500000000001E-3</v>
      </c>
      <c r="AB33" s="22">
        <v>23</v>
      </c>
      <c r="AC33" s="22">
        <v>1.6531400000000001</v>
      </c>
      <c r="AD33">
        <f t="shared" si="4"/>
        <v>4.6620370370370363</v>
      </c>
      <c r="AE33">
        <f t="shared" si="5"/>
        <v>7.7119882870370358</v>
      </c>
      <c r="AF33" s="9"/>
      <c r="AG33" s="22">
        <v>1.5869100000000001E-2</v>
      </c>
      <c r="AH33" s="22">
        <v>18.2469</v>
      </c>
      <c r="AI33" s="22">
        <v>-1.38123E-2</v>
      </c>
      <c r="AJ33" s="22">
        <v>23</v>
      </c>
      <c r="AK33" s="22">
        <v>1.5643299999999999E-2</v>
      </c>
      <c r="AL33">
        <f t="shared" si="6"/>
        <v>17.052222222222223</v>
      </c>
      <c r="AM33">
        <f t="shared" si="7"/>
        <v>0.27060341966666668</v>
      </c>
      <c r="AP33" s="9"/>
      <c r="AQ33" s="22">
        <v>1.65421</v>
      </c>
      <c r="AR33" s="22">
        <v>23.664400000000001</v>
      </c>
      <c r="AS33" s="22">
        <v>-3.7142899999999999E-3</v>
      </c>
      <c r="AT33" s="22">
        <v>23</v>
      </c>
      <c r="AU33" s="22">
        <v>1.6531400000000001</v>
      </c>
      <c r="AV33">
        <f t="shared" si="8"/>
        <v>4.5855432098765423</v>
      </c>
      <c r="AW33">
        <f t="shared" si="9"/>
        <v>7.585451433209875</v>
      </c>
      <c r="AX33" s="9"/>
      <c r="AY33" s="22">
        <v>1.5869100000000001E-2</v>
      </c>
      <c r="AZ33" s="22">
        <v>27.423200000000001</v>
      </c>
      <c r="BA33" s="22">
        <v>-1.38123E-2</v>
      </c>
      <c r="BB33" s="22">
        <v>23</v>
      </c>
      <c r="BC33" s="22">
        <v>1.5658600000000002E-2</v>
      </c>
      <c r="BD33">
        <f t="shared" si="10"/>
        <v>17.052222222222223</v>
      </c>
      <c r="BE33">
        <f t="shared" si="11"/>
        <v>0.27060341966666668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5.27102</v>
      </c>
      <c r="I34" s="22">
        <v>-3.9495800000000003E-3</v>
      </c>
      <c r="J34" s="22">
        <v>24</v>
      </c>
      <c r="K34" s="22">
        <v>1.64795</v>
      </c>
      <c r="L34">
        <f t="shared" si="0"/>
        <v>4.8760246913580243</v>
      </c>
      <c r="M34">
        <f t="shared" si="1"/>
        <v>8.0413936402469126</v>
      </c>
      <c r="N34" s="9"/>
      <c r="O34" s="22">
        <v>2.0904499999999999E-2</v>
      </c>
      <c r="P34" s="22">
        <v>9.0297900000000002</v>
      </c>
      <c r="Q34" s="22">
        <v>-1.36963E-2</v>
      </c>
      <c r="R34" s="22">
        <v>24</v>
      </c>
      <c r="S34" s="22">
        <v>2.06818E-2</v>
      </c>
      <c r="T34">
        <f t="shared" si="2"/>
        <v>16.90901234567901</v>
      </c>
      <c r="U34">
        <f t="shared" si="3"/>
        <v>0.35347444858024685</v>
      </c>
      <c r="X34" s="9"/>
      <c r="Y34" s="22">
        <v>1.64917</v>
      </c>
      <c r="Z34" s="22">
        <v>14.498200000000001</v>
      </c>
      <c r="AA34" s="22">
        <v>-3.9825399999999997E-3</v>
      </c>
      <c r="AB34" s="22">
        <v>24</v>
      </c>
      <c r="AC34" s="22">
        <v>1.64795</v>
      </c>
      <c r="AD34">
        <f t="shared" si="4"/>
        <v>4.9167160493827158</v>
      </c>
      <c r="AE34">
        <f t="shared" si="5"/>
        <v>8.1085006071604937</v>
      </c>
      <c r="AF34" s="9"/>
      <c r="AG34" s="22">
        <v>2.0904499999999999E-2</v>
      </c>
      <c r="AH34" s="22">
        <v>18.257000000000001</v>
      </c>
      <c r="AI34" s="22">
        <v>-1.38E-2</v>
      </c>
      <c r="AJ34" s="22">
        <v>24</v>
      </c>
      <c r="AK34" s="22">
        <v>2.0687899999999999E-2</v>
      </c>
      <c r="AL34">
        <f t="shared" si="6"/>
        <v>17.037037037037035</v>
      </c>
      <c r="AM34">
        <f t="shared" si="7"/>
        <v>0.35615074074074066</v>
      </c>
      <c r="AP34" s="9"/>
      <c r="AQ34" s="22">
        <v>1.64917</v>
      </c>
      <c r="AR34" s="22">
        <v>23.674499999999998</v>
      </c>
      <c r="AS34" s="22">
        <v>-3.91998E-3</v>
      </c>
      <c r="AT34" s="22">
        <v>24</v>
      </c>
      <c r="AU34" s="22">
        <v>1.64856</v>
      </c>
      <c r="AV34">
        <f t="shared" si="8"/>
        <v>4.8394814814814815</v>
      </c>
      <c r="AW34">
        <f t="shared" si="9"/>
        <v>7.9811276748148146</v>
      </c>
      <c r="AX34" s="9"/>
      <c r="AY34" s="22">
        <v>2.0904499999999999E-2</v>
      </c>
      <c r="AZ34" s="22">
        <v>27.433199999999999</v>
      </c>
      <c r="BA34" s="22">
        <v>-1.38123E-2</v>
      </c>
      <c r="BB34" s="22">
        <v>24</v>
      </c>
      <c r="BC34" s="22">
        <v>2.0675700000000002E-2</v>
      </c>
      <c r="BD34">
        <f t="shared" si="10"/>
        <v>17.052222222222223</v>
      </c>
      <c r="BE34">
        <f t="shared" si="11"/>
        <v>0.35646817944444448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5.2810899999999998</v>
      </c>
      <c r="I35" s="22">
        <v>-4.1470300000000003E-3</v>
      </c>
      <c r="J35" s="22">
        <v>25</v>
      </c>
      <c r="K35" s="22">
        <v>1.64307</v>
      </c>
      <c r="L35">
        <f t="shared" si="0"/>
        <v>5.1197901234567897</v>
      </c>
      <c r="M35">
        <f t="shared" si="1"/>
        <v>8.4176005356790125</v>
      </c>
      <c r="N35" s="9"/>
      <c r="O35" s="22">
        <v>2.5939899999999998E-2</v>
      </c>
      <c r="P35" s="22">
        <v>9.0398599999999991</v>
      </c>
      <c r="Q35" s="22">
        <v>-1.36902E-2</v>
      </c>
      <c r="R35" s="22">
        <v>25</v>
      </c>
      <c r="S35" s="22">
        <v>2.5729399999999999E-2</v>
      </c>
      <c r="T35">
        <f t="shared" si="2"/>
        <v>16.901481481481479</v>
      </c>
      <c r="U35">
        <f t="shared" si="3"/>
        <v>0.43842273948148142</v>
      </c>
      <c r="X35" s="9"/>
      <c r="Y35" s="22">
        <v>1.6441300000000001</v>
      </c>
      <c r="Z35" s="22">
        <v>14.5083</v>
      </c>
      <c r="AA35" s="22">
        <v>-4.18243E-3</v>
      </c>
      <c r="AB35" s="22">
        <v>25</v>
      </c>
      <c r="AC35" s="22">
        <v>1.64368</v>
      </c>
      <c r="AD35">
        <f t="shared" si="4"/>
        <v>5.1634938271604938</v>
      </c>
      <c r="AE35">
        <f t="shared" si="5"/>
        <v>8.4894551060493839</v>
      </c>
      <c r="AF35" s="9"/>
      <c r="AG35" s="22">
        <v>2.5939899999999998E-2</v>
      </c>
      <c r="AH35" s="22">
        <v>18.267099999999999</v>
      </c>
      <c r="AI35" s="22">
        <v>-1.37909E-2</v>
      </c>
      <c r="AJ35" s="22">
        <v>25</v>
      </c>
      <c r="AK35" s="22">
        <v>2.5726300000000001E-2</v>
      </c>
      <c r="AL35">
        <f t="shared" si="6"/>
        <v>17.025802469135801</v>
      </c>
      <c r="AM35">
        <f t="shared" si="7"/>
        <v>0.44164761346913572</v>
      </c>
      <c r="AP35" s="9"/>
      <c r="AQ35" s="22">
        <v>1.6441300000000001</v>
      </c>
      <c r="AR35" s="22">
        <v>23.6845</v>
      </c>
      <c r="AS35" s="22">
        <v>-4.1223099999999997E-3</v>
      </c>
      <c r="AT35" s="22">
        <v>25</v>
      </c>
      <c r="AU35" s="22">
        <v>1.64307</v>
      </c>
      <c r="AV35">
        <f t="shared" si="8"/>
        <v>5.0892716049382711</v>
      </c>
      <c r="AW35">
        <f t="shared" si="9"/>
        <v>8.3674241238271598</v>
      </c>
      <c r="AX35" s="9"/>
      <c r="AY35" s="22">
        <v>2.5939899999999998E-2</v>
      </c>
      <c r="AZ35" s="22">
        <v>27.443300000000001</v>
      </c>
      <c r="BA35" s="22">
        <v>-1.3815300000000001E-2</v>
      </c>
      <c r="BB35" s="22">
        <v>25</v>
      </c>
      <c r="BC35" s="22">
        <v>2.5720199999999999E-2</v>
      </c>
      <c r="BD35">
        <f t="shared" si="10"/>
        <v>17.055925925925926</v>
      </c>
      <c r="BE35">
        <f t="shared" si="11"/>
        <v>0.4424290129259259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5.2911700000000002</v>
      </c>
      <c r="I36" s="22">
        <v>-4.3463099999999999E-3</v>
      </c>
      <c r="J36" s="22">
        <v>26</v>
      </c>
      <c r="K36" s="22">
        <v>1.63849</v>
      </c>
      <c r="L36">
        <f t="shared" si="0"/>
        <v>5.3658148148148141</v>
      </c>
      <c r="M36">
        <f t="shared" si="1"/>
        <v>8.7951070629629626</v>
      </c>
      <c r="N36" s="9"/>
      <c r="O36" s="22">
        <v>3.0975300000000001E-2</v>
      </c>
      <c r="P36" s="22">
        <v>9.0499299999999998</v>
      </c>
      <c r="Q36" s="22">
        <v>-1.3687100000000001E-2</v>
      </c>
      <c r="R36" s="22">
        <v>26</v>
      </c>
      <c r="S36" s="22">
        <v>3.0789199999999999E-2</v>
      </c>
      <c r="T36">
        <f t="shared" si="2"/>
        <v>16.897654320987655</v>
      </c>
      <c r="U36">
        <f t="shared" si="3"/>
        <v>0.52340991188888897</v>
      </c>
      <c r="X36" s="9"/>
      <c r="Y36" s="22">
        <v>1.6391</v>
      </c>
      <c r="Z36" s="22">
        <v>14.5184</v>
      </c>
      <c r="AA36" s="22">
        <v>-4.3792700000000002E-3</v>
      </c>
      <c r="AB36" s="22">
        <v>26</v>
      </c>
      <c r="AC36" s="22">
        <v>1.63757</v>
      </c>
      <c r="AD36">
        <f t="shared" si="4"/>
        <v>5.4065061728395056</v>
      </c>
      <c r="AE36">
        <f t="shared" si="5"/>
        <v>8.861804267901233</v>
      </c>
      <c r="AF36" s="9"/>
      <c r="AG36" s="22">
        <v>3.0975300000000001E-2</v>
      </c>
      <c r="AH36" s="22">
        <v>18.277100000000001</v>
      </c>
      <c r="AI36" s="22">
        <v>-1.3781699999999999E-2</v>
      </c>
      <c r="AJ36" s="22">
        <v>26</v>
      </c>
      <c r="AK36" s="22">
        <v>3.0761699999999999E-2</v>
      </c>
      <c r="AL36">
        <f t="shared" si="6"/>
        <v>17.014444444444443</v>
      </c>
      <c r="AM36">
        <f t="shared" si="7"/>
        <v>0.52702752099999994</v>
      </c>
      <c r="AP36" s="9"/>
      <c r="AQ36" s="22">
        <v>1.6391</v>
      </c>
      <c r="AR36" s="22">
        <v>23.694600000000001</v>
      </c>
      <c r="AS36" s="22">
        <v>-4.3222E-3</v>
      </c>
      <c r="AT36" s="22">
        <v>26</v>
      </c>
      <c r="AU36" s="22">
        <v>1.63788</v>
      </c>
      <c r="AV36">
        <f t="shared" si="8"/>
        <v>5.3360493827160491</v>
      </c>
      <c r="AW36">
        <f t="shared" si="9"/>
        <v>8.7463185432098758</v>
      </c>
      <c r="AX36" s="9"/>
      <c r="AY36" s="22">
        <v>3.0975300000000001E-2</v>
      </c>
      <c r="AZ36" s="22">
        <v>27.453399999999998</v>
      </c>
      <c r="BA36" s="22">
        <v>-1.38123E-2</v>
      </c>
      <c r="BB36" s="22">
        <v>26</v>
      </c>
      <c r="BC36" s="22">
        <v>3.0767800000000001E-2</v>
      </c>
      <c r="BD36">
        <f t="shared" si="10"/>
        <v>17.052222222222223</v>
      </c>
      <c r="BE36">
        <f t="shared" si="11"/>
        <v>0.52819769900000002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5.30124</v>
      </c>
      <c r="I37" s="22">
        <v>-4.5379599999999997E-3</v>
      </c>
      <c r="J37" s="22">
        <v>27</v>
      </c>
      <c r="K37" s="22">
        <v>1.6333</v>
      </c>
      <c r="L37">
        <f t="shared" si="0"/>
        <v>5.6024197530864184</v>
      </c>
      <c r="M37">
        <f t="shared" si="1"/>
        <v>9.1546900217283937</v>
      </c>
      <c r="N37" s="9"/>
      <c r="O37" s="22">
        <v>3.60107E-2</v>
      </c>
      <c r="P37" s="22">
        <v>9.06</v>
      </c>
      <c r="Q37" s="22">
        <v>-1.36749E-2</v>
      </c>
      <c r="R37" s="22">
        <v>27</v>
      </c>
      <c r="S37" s="22">
        <v>3.5791000000000003E-2</v>
      </c>
      <c r="T37">
        <f t="shared" si="2"/>
        <v>16.882592592592591</v>
      </c>
      <c r="U37">
        <f t="shared" si="3"/>
        <v>0.60795397707407406</v>
      </c>
      <c r="X37" s="9"/>
      <c r="Y37" s="22">
        <v>1.6340600000000001</v>
      </c>
      <c r="Z37" s="22">
        <v>14.5284</v>
      </c>
      <c r="AA37" s="22">
        <v>-4.5721399999999997E-3</v>
      </c>
      <c r="AB37" s="22">
        <v>27</v>
      </c>
      <c r="AC37" s="22">
        <v>1.6333</v>
      </c>
      <c r="AD37">
        <f t="shared" si="4"/>
        <v>5.644617283950617</v>
      </c>
      <c r="AE37">
        <f t="shared" si="5"/>
        <v>9.2236433190123464</v>
      </c>
      <c r="AF37" s="9"/>
      <c r="AG37" s="22">
        <v>3.60107E-2</v>
      </c>
      <c r="AH37" s="22">
        <v>18.287199999999999</v>
      </c>
      <c r="AI37" s="22">
        <v>-1.3772599999999999E-2</v>
      </c>
      <c r="AJ37" s="22">
        <v>27</v>
      </c>
      <c r="AK37" s="22">
        <v>3.5824599999999998E-2</v>
      </c>
      <c r="AL37">
        <f t="shared" si="6"/>
        <v>17.00320987654321</v>
      </c>
      <c r="AM37">
        <f t="shared" si="7"/>
        <v>0.61229748990123456</v>
      </c>
      <c r="AP37" s="9"/>
      <c r="AQ37" s="22">
        <v>1.6340600000000001</v>
      </c>
      <c r="AR37" s="22">
        <v>23.704699999999999</v>
      </c>
      <c r="AS37" s="22">
        <v>-4.5138499999999998E-3</v>
      </c>
      <c r="AT37" s="22">
        <v>27</v>
      </c>
      <c r="AU37" s="22">
        <v>1.63361</v>
      </c>
      <c r="AV37">
        <f t="shared" si="8"/>
        <v>5.5726543209876542</v>
      </c>
      <c r="AW37">
        <f t="shared" si="9"/>
        <v>9.1060515197530858</v>
      </c>
      <c r="AX37" s="9"/>
      <c r="AY37" s="22">
        <v>3.60107E-2</v>
      </c>
      <c r="AZ37" s="22">
        <v>27.4634</v>
      </c>
      <c r="BA37" s="22">
        <v>-1.3806199999999999E-2</v>
      </c>
      <c r="BB37" s="22">
        <v>27</v>
      </c>
      <c r="BC37" s="22">
        <v>3.5812400000000001E-2</v>
      </c>
      <c r="BD37">
        <f t="shared" si="10"/>
        <v>17.044691358024689</v>
      </c>
      <c r="BE37">
        <f t="shared" si="11"/>
        <v>0.61379126708641962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5.3113099999999998</v>
      </c>
      <c r="I38" s="22">
        <v>-4.7280899999999999E-3</v>
      </c>
      <c r="J38" s="22">
        <v>28</v>
      </c>
      <c r="K38" s="22">
        <v>1.62842</v>
      </c>
      <c r="L38">
        <f t="shared" si="0"/>
        <v>5.837148148148148</v>
      </c>
      <c r="M38">
        <f t="shared" si="1"/>
        <v>9.5088894477777774</v>
      </c>
      <c r="N38" s="9"/>
      <c r="O38" s="22">
        <v>4.1046100000000002E-2</v>
      </c>
      <c r="P38" s="22">
        <v>9.0700699999999994</v>
      </c>
      <c r="Q38" s="22">
        <v>-1.36597E-2</v>
      </c>
      <c r="R38" s="22">
        <v>28</v>
      </c>
      <c r="S38" s="22">
        <v>4.0869099999999998E-2</v>
      </c>
      <c r="T38">
        <f t="shared" si="2"/>
        <v>16.863827160493827</v>
      </c>
      <c r="U38">
        <f t="shared" si="3"/>
        <v>0.6921943360123457</v>
      </c>
      <c r="X38" s="9"/>
      <c r="Y38" s="22">
        <v>1.62903</v>
      </c>
      <c r="Z38" s="22">
        <v>14.538500000000001</v>
      </c>
      <c r="AA38" s="22">
        <v>-4.7622699999999999E-3</v>
      </c>
      <c r="AB38" s="22">
        <v>28</v>
      </c>
      <c r="AC38" s="22">
        <v>1.62781</v>
      </c>
      <c r="AD38">
        <f t="shared" si="4"/>
        <v>5.8793456790123448</v>
      </c>
      <c r="AE38">
        <f t="shared" si="5"/>
        <v>9.5776304914814805</v>
      </c>
      <c r="AF38" s="9"/>
      <c r="AG38" s="22">
        <v>4.1046100000000002E-2</v>
      </c>
      <c r="AH38" s="22">
        <v>18.2973</v>
      </c>
      <c r="AI38" s="22">
        <v>-1.3772599999999999E-2</v>
      </c>
      <c r="AJ38" s="22">
        <v>28</v>
      </c>
      <c r="AK38" s="22">
        <v>4.086E-2</v>
      </c>
      <c r="AL38">
        <f t="shared" si="6"/>
        <v>17.00320987654321</v>
      </c>
      <c r="AM38">
        <f t="shared" si="7"/>
        <v>0.69791545291358026</v>
      </c>
      <c r="AP38" s="9"/>
      <c r="AQ38" s="22">
        <v>1.62903</v>
      </c>
      <c r="AR38" s="22">
        <v>23.714700000000001</v>
      </c>
      <c r="AS38" s="22">
        <v>-4.7055100000000004E-3</v>
      </c>
      <c r="AT38" s="22">
        <v>28</v>
      </c>
      <c r="AU38" s="22">
        <v>1.6274999999999999</v>
      </c>
      <c r="AV38">
        <f t="shared" si="8"/>
        <v>5.8092716049382718</v>
      </c>
      <c r="AW38">
        <f t="shared" si="9"/>
        <v>9.463477722592593</v>
      </c>
      <c r="AX38" s="9"/>
      <c r="AY38" s="22">
        <v>4.1046100000000002E-2</v>
      </c>
      <c r="AZ38" s="22">
        <v>27.473500000000001</v>
      </c>
      <c r="BA38" s="22">
        <v>-1.38031E-2</v>
      </c>
      <c r="BB38" s="22">
        <v>28</v>
      </c>
      <c r="BC38" s="22">
        <v>4.086E-2</v>
      </c>
      <c r="BD38">
        <f t="shared" si="10"/>
        <v>17.040864197530862</v>
      </c>
      <c r="BE38">
        <f t="shared" si="11"/>
        <v>0.69946101593827159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5.3213800000000004</v>
      </c>
      <c r="I39" s="22">
        <v>-4.9102800000000004E-3</v>
      </c>
      <c r="J39" s="22">
        <v>29</v>
      </c>
      <c r="K39" s="22">
        <v>1.62323</v>
      </c>
      <c r="L39">
        <f t="shared" si="0"/>
        <v>6.0620740740740739</v>
      </c>
      <c r="M39">
        <f t="shared" si="1"/>
        <v>9.8447476755555563</v>
      </c>
      <c r="N39" s="9"/>
      <c r="O39" s="22">
        <v>4.6081499999999997E-2</v>
      </c>
      <c r="P39" s="22">
        <v>9.0801400000000001</v>
      </c>
      <c r="Q39" s="22">
        <v>-1.36536E-2</v>
      </c>
      <c r="R39" s="22">
        <v>29</v>
      </c>
      <c r="S39" s="22">
        <v>4.5892299999999997E-2</v>
      </c>
      <c r="T39">
        <f t="shared" si="2"/>
        <v>16.856296296296296</v>
      </c>
      <c r="U39">
        <f t="shared" si="3"/>
        <v>0.77676341777777769</v>
      </c>
      <c r="X39" s="9"/>
      <c r="Y39" s="22">
        <v>1.62399</v>
      </c>
      <c r="Z39" s="22">
        <v>14.5486</v>
      </c>
      <c r="AA39" s="22">
        <v>-4.9481200000000003E-3</v>
      </c>
      <c r="AB39" s="22">
        <v>29</v>
      </c>
      <c r="AC39" s="22">
        <v>1.62354</v>
      </c>
      <c r="AD39">
        <f t="shared" si="4"/>
        <v>6.1087901234567905</v>
      </c>
      <c r="AE39">
        <f t="shared" si="5"/>
        <v>9.9206140725925938</v>
      </c>
      <c r="AF39" s="9"/>
      <c r="AG39" s="22">
        <v>4.6081499999999997E-2</v>
      </c>
      <c r="AH39" s="22">
        <v>18.307400000000001</v>
      </c>
      <c r="AI39" s="22">
        <v>-1.37695E-2</v>
      </c>
      <c r="AJ39" s="22">
        <v>29</v>
      </c>
      <c r="AK39" s="22">
        <v>4.5910600000000003E-2</v>
      </c>
      <c r="AL39">
        <f t="shared" si="6"/>
        <v>16.999382716049382</v>
      </c>
      <c r="AM39">
        <f t="shared" si="7"/>
        <v>0.78335705462962957</v>
      </c>
      <c r="AP39" s="9"/>
      <c r="AQ39" s="22">
        <v>1.62399</v>
      </c>
      <c r="AR39" s="22">
        <v>23.724799999999998</v>
      </c>
      <c r="AS39" s="22">
        <v>-4.8962399999999996E-3</v>
      </c>
      <c r="AT39" s="22">
        <v>29</v>
      </c>
      <c r="AU39" s="22">
        <v>1.62323</v>
      </c>
      <c r="AV39">
        <f t="shared" si="8"/>
        <v>6.0447407407407399</v>
      </c>
      <c r="AW39">
        <f t="shared" si="9"/>
        <v>9.8165985155555546</v>
      </c>
      <c r="AX39" s="9"/>
      <c r="AY39" s="22">
        <v>4.6081499999999997E-2</v>
      </c>
      <c r="AZ39" s="22">
        <v>27.483599999999999</v>
      </c>
      <c r="BA39" s="22">
        <v>-1.38E-2</v>
      </c>
      <c r="BB39" s="22">
        <v>29</v>
      </c>
      <c r="BC39" s="22">
        <v>4.5928999999999998E-2</v>
      </c>
      <c r="BD39">
        <f t="shared" si="10"/>
        <v>17.037037037037035</v>
      </c>
      <c r="BE39">
        <f t="shared" si="11"/>
        <v>0.78509222222222208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5.3314500000000002</v>
      </c>
      <c r="I40" s="22">
        <v>-5.0964399999999998E-3</v>
      </c>
      <c r="J40" s="22">
        <v>30</v>
      </c>
      <c r="K40" s="22">
        <v>1.6180399999999999</v>
      </c>
      <c r="L40">
        <f t="shared" si="0"/>
        <v>6.2919012345679004</v>
      </c>
      <c r="M40">
        <f t="shared" si="1"/>
        <v>10.186336422716048</v>
      </c>
      <c r="N40" s="9"/>
      <c r="O40" s="22">
        <v>5.11169E-2</v>
      </c>
      <c r="P40" s="22">
        <v>9.0902100000000008</v>
      </c>
      <c r="Q40" s="22">
        <v>-1.36475E-2</v>
      </c>
      <c r="R40" s="22">
        <v>30</v>
      </c>
      <c r="S40" s="22">
        <v>5.0943000000000002E-2</v>
      </c>
      <c r="T40">
        <f t="shared" si="2"/>
        <v>16.848765432098766</v>
      </c>
      <c r="U40">
        <f t="shared" si="3"/>
        <v>0.86125665771604942</v>
      </c>
      <c r="X40" s="9"/>
      <c r="Y40" s="22">
        <v>1.61896</v>
      </c>
      <c r="Z40" s="22">
        <v>14.5587</v>
      </c>
      <c r="AA40" s="22">
        <v>-5.13E-3</v>
      </c>
      <c r="AB40" s="22">
        <v>30</v>
      </c>
      <c r="AC40" s="22">
        <v>1.6180399999999999</v>
      </c>
      <c r="AD40">
        <f t="shared" si="4"/>
        <v>6.333333333333333</v>
      </c>
      <c r="AE40">
        <f t="shared" si="5"/>
        <v>10.253413333333333</v>
      </c>
      <c r="AF40" s="9"/>
      <c r="AG40" s="22">
        <v>5.11169E-2</v>
      </c>
      <c r="AH40" s="22">
        <v>18.317399999999999</v>
      </c>
      <c r="AI40" s="22">
        <v>-1.37695E-2</v>
      </c>
      <c r="AJ40" s="22">
        <v>30</v>
      </c>
      <c r="AK40" s="22">
        <v>5.0943000000000002E-2</v>
      </c>
      <c r="AL40">
        <f t="shared" si="6"/>
        <v>16.999382716049382</v>
      </c>
      <c r="AM40">
        <f t="shared" si="7"/>
        <v>0.86895574635802464</v>
      </c>
      <c r="AP40" s="9"/>
      <c r="AQ40" s="22">
        <v>1.61896</v>
      </c>
      <c r="AR40" s="22">
        <v>23.7349</v>
      </c>
      <c r="AS40" s="22">
        <v>-5.0842300000000003E-3</v>
      </c>
      <c r="AT40" s="22">
        <v>30</v>
      </c>
      <c r="AU40" s="22">
        <v>1.61835</v>
      </c>
      <c r="AV40">
        <f t="shared" si="8"/>
        <v>6.2768271604938271</v>
      </c>
      <c r="AW40">
        <f t="shared" si="9"/>
        <v>10.161932099753086</v>
      </c>
      <c r="AX40" s="9"/>
      <c r="AY40" s="22">
        <v>5.11169E-2</v>
      </c>
      <c r="AZ40" s="22">
        <v>27.493600000000001</v>
      </c>
      <c r="BA40" s="22">
        <v>-1.37939E-2</v>
      </c>
      <c r="BB40" s="22">
        <v>30</v>
      </c>
      <c r="BC40" s="22">
        <v>5.0970500000000002E-2</v>
      </c>
      <c r="BD40">
        <f t="shared" si="10"/>
        <v>17.029506172839504</v>
      </c>
      <c r="BE40">
        <f t="shared" si="11"/>
        <v>0.87049556408641959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5.34152</v>
      </c>
      <c r="I41" s="22">
        <v>-5.2734399999999999E-3</v>
      </c>
      <c r="J41" s="22">
        <v>31</v>
      </c>
      <c r="K41" s="22">
        <v>1.6125499999999999</v>
      </c>
      <c r="L41">
        <f t="shared" si="0"/>
        <v>6.5104197530864196</v>
      </c>
      <c r="M41">
        <f t="shared" si="1"/>
        <v>10.507296647901235</v>
      </c>
      <c r="N41" s="9"/>
      <c r="O41" s="22">
        <v>5.6152300000000002E-2</v>
      </c>
      <c r="P41" s="22">
        <v>9.1002799999999997</v>
      </c>
      <c r="Q41" s="22">
        <v>-1.36597E-2</v>
      </c>
      <c r="R41" s="22">
        <v>31</v>
      </c>
      <c r="S41" s="22">
        <v>5.5603E-2</v>
      </c>
      <c r="T41">
        <f t="shared" si="2"/>
        <v>16.863827160493827</v>
      </c>
      <c r="U41">
        <f t="shared" si="3"/>
        <v>0.9469426818641975</v>
      </c>
      <c r="X41" s="9"/>
      <c r="Y41" s="22">
        <v>1.61392</v>
      </c>
      <c r="Z41" s="22">
        <v>14.5687</v>
      </c>
      <c r="AA41" s="22">
        <v>-5.3039599999999999E-3</v>
      </c>
      <c r="AB41" s="22">
        <v>31</v>
      </c>
      <c r="AC41" s="22">
        <v>1.6131599999999999</v>
      </c>
      <c r="AD41">
        <f t="shared" si="4"/>
        <v>6.5480987654320986</v>
      </c>
      <c r="AE41">
        <f t="shared" si="5"/>
        <v>10.568107559506172</v>
      </c>
      <c r="AF41" s="9"/>
      <c r="AG41" s="22">
        <v>5.6152300000000002E-2</v>
      </c>
      <c r="AH41" s="22">
        <v>18.327500000000001</v>
      </c>
      <c r="AI41" s="22">
        <v>-1.3766499999999999E-2</v>
      </c>
      <c r="AJ41" s="22">
        <v>31</v>
      </c>
      <c r="AK41" s="22">
        <v>5.5542000000000001E-2</v>
      </c>
      <c r="AL41">
        <f t="shared" si="6"/>
        <v>16.995679012345676</v>
      </c>
      <c r="AM41">
        <f t="shared" si="7"/>
        <v>0.95434646660493816</v>
      </c>
      <c r="AP41" s="9"/>
      <c r="AQ41" s="22">
        <v>1.61392</v>
      </c>
      <c r="AR41" s="22">
        <v>23.745000000000001</v>
      </c>
      <c r="AS41" s="22">
        <v>-5.2642799999999997E-3</v>
      </c>
      <c r="AT41" s="22">
        <v>31</v>
      </c>
      <c r="AU41" s="22">
        <v>1.6128499999999999</v>
      </c>
      <c r="AV41">
        <f t="shared" si="8"/>
        <v>6.4991111111111097</v>
      </c>
      <c r="AW41">
        <f t="shared" si="9"/>
        <v>10.489045404444443</v>
      </c>
      <c r="AX41" s="9"/>
      <c r="AY41" s="22">
        <v>5.6152300000000002E-2</v>
      </c>
      <c r="AZ41" s="22">
        <v>27.503699999999998</v>
      </c>
      <c r="BA41" s="22">
        <v>-1.37848E-2</v>
      </c>
      <c r="BB41" s="22">
        <v>31</v>
      </c>
      <c r="BC41" s="22">
        <v>5.5542000000000001E-2</v>
      </c>
      <c r="BD41">
        <f t="shared" si="10"/>
        <v>17.018271604938271</v>
      </c>
      <c r="BE41">
        <f t="shared" si="11"/>
        <v>0.95561509264197531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5.3515899999999998</v>
      </c>
      <c r="I42" s="22">
        <v>-5.4534900000000001E-3</v>
      </c>
      <c r="J42" s="22">
        <v>32</v>
      </c>
      <c r="K42" s="22">
        <v>1.6076699999999999</v>
      </c>
      <c r="L42">
        <f t="shared" si="0"/>
        <v>6.7327037037037032</v>
      </c>
      <c r="M42">
        <f t="shared" si="1"/>
        <v>10.83217966185185</v>
      </c>
      <c r="N42" s="9"/>
      <c r="O42" s="22">
        <v>6.1187699999999998E-2</v>
      </c>
      <c r="P42" s="22">
        <v>9.1103500000000004</v>
      </c>
      <c r="Q42" s="22">
        <v>-1.36688E-2</v>
      </c>
      <c r="R42" s="22">
        <v>32</v>
      </c>
      <c r="S42" s="22">
        <v>6.0577400000000003E-2</v>
      </c>
      <c r="T42">
        <f t="shared" si="2"/>
        <v>16.87506172839506</v>
      </c>
      <c r="U42">
        <f t="shared" si="3"/>
        <v>1.0325462145185185</v>
      </c>
      <c r="X42" s="9"/>
      <c r="Y42" s="22">
        <v>1.6088899999999999</v>
      </c>
      <c r="Z42" s="22">
        <v>14.578799999999999</v>
      </c>
      <c r="AA42" s="22">
        <v>-5.4779099999999999E-3</v>
      </c>
      <c r="AB42" s="22">
        <v>32</v>
      </c>
      <c r="AC42" s="22">
        <v>1.6076699999999999</v>
      </c>
      <c r="AD42">
        <f t="shared" si="4"/>
        <v>6.7628518518518517</v>
      </c>
      <c r="AE42">
        <f t="shared" si="5"/>
        <v>10.880684715925925</v>
      </c>
      <c r="AF42" s="9"/>
      <c r="AG42" s="22">
        <v>6.1187699999999998E-2</v>
      </c>
      <c r="AH42" s="22">
        <v>18.337599999999998</v>
      </c>
      <c r="AI42" s="22">
        <v>-1.3766499999999999E-2</v>
      </c>
      <c r="AJ42" s="22">
        <v>32</v>
      </c>
      <c r="AK42" s="22">
        <v>6.0577400000000003E-2</v>
      </c>
      <c r="AL42">
        <f t="shared" si="6"/>
        <v>16.995679012345676</v>
      </c>
      <c r="AM42">
        <f t="shared" si="7"/>
        <v>1.0399265087037035</v>
      </c>
      <c r="AP42" s="9"/>
      <c r="AQ42" s="22">
        <v>1.6088899999999999</v>
      </c>
      <c r="AR42" s="22">
        <v>23.754999999999999</v>
      </c>
      <c r="AS42" s="22">
        <v>-5.4473899999999999E-3</v>
      </c>
      <c r="AT42" s="22">
        <v>32</v>
      </c>
      <c r="AU42" s="22">
        <v>1.6079699999999999</v>
      </c>
      <c r="AV42">
        <f t="shared" si="8"/>
        <v>6.7251728395061727</v>
      </c>
      <c r="AW42">
        <f t="shared" si="9"/>
        <v>10.820063329753086</v>
      </c>
      <c r="AX42" s="9"/>
      <c r="AY42" s="22">
        <v>6.1187699999999998E-2</v>
      </c>
      <c r="AZ42" s="22">
        <v>27.5138</v>
      </c>
      <c r="BA42" s="22">
        <v>-1.37909E-2</v>
      </c>
      <c r="BB42" s="22">
        <v>32</v>
      </c>
      <c r="BC42" s="22">
        <v>6.0638400000000002E-2</v>
      </c>
      <c r="BD42">
        <f t="shared" si="10"/>
        <v>17.025802469135801</v>
      </c>
      <c r="BE42">
        <f t="shared" si="11"/>
        <v>1.0417696937407406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5.3616599999999996</v>
      </c>
      <c r="I43" s="22">
        <v>-5.62744E-3</v>
      </c>
      <c r="J43" s="22">
        <v>33</v>
      </c>
      <c r="K43" s="22">
        <v>1.6024799999999999</v>
      </c>
      <c r="L43">
        <f t="shared" si="0"/>
        <v>6.9474567901234563</v>
      </c>
      <c r="M43">
        <f t="shared" si="1"/>
        <v>11.142678572839506</v>
      </c>
      <c r="N43" s="9"/>
      <c r="O43" s="22">
        <v>6.6223099999999993E-2</v>
      </c>
      <c r="P43" s="22">
        <v>9.1204199999999993</v>
      </c>
      <c r="Q43" s="22">
        <v>-1.36749E-2</v>
      </c>
      <c r="R43" s="22">
        <v>33</v>
      </c>
      <c r="S43" s="22">
        <v>6.5612799999999999E-2</v>
      </c>
      <c r="T43">
        <f t="shared" si="2"/>
        <v>16.882592592592591</v>
      </c>
      <c r="U43">
        <f t="shared" si="3"/>
        <v>1.1180176175185184</v>
      </c>
      <c r="X43" s="9"/>
      <c r="Y43" s="22">
        <v>1.60385</v>
      </c>
      <c r="Z43" s="22">
        <v>14.588900000000001</v>
      </c>
      <c r="AA43" s="22">
        <v>-5.6518599999999999E-3</v>
      </c>
      <c r="AB43" s="22">
        <v>33</v>
      </c>
      <c r="AC43" s="22">
        <v>1.6027800000000001</v>
      </c>
      <c r="AD43">
        <f t="shared" si="4"/>
        <v>6.9776049382716048</v>
      </c>
      <c r="AE43">
        <f t="shared" si="5"/>
        <v>11.191031680246914</v>
      </c>
      <c r="AF43" s="9"/>
      <c r="AG43" s="22">
        <v>6.6223099999999993E-2</v>
      </c>
      <c r="AH43" s="22">
        <v>18.3476</v>
      </c>
      <c r="AI43" s="22">
        <v>-1.3766499999999999E-2</v>
      </c>
      <c r="AJ43" s="22">
        <v>33</v>
      </c>
      <c r="AK43" s="22">
        <v>6.5582299999999996E-2</v>
      </c>
      <c r="AL43">
        <f t="shared" si="6"/>
        <v>16.995679012345676</v>
      </c>
      <c r="AM43">
        <f t="shared" si="7"/>
        <v>1.1255065508024689</v>
      </c>
      <c r="AP43" s="9"/>
      <c r="AQ43" s="22">
        <v>1.60385</v>
      </c>
      <c r="AR43" s="22">
        <v>23.7651</v>
      </c>
      <c r="AS43" s="22">
        <v>-5.6213399999999998E-3</v>
      </c>
      <c r="AT43" s="22">
        <v>33</v>
      </c>
      <c r="AU43" s="22">
        <v>1.6027800000000001</v>
      </c>
      <c r="AV43">
        <f t="shared" si="8"/>
        <v>6.9399259259259249</v>
      </c>
      <c r="AW43">
        <f t="shared" si="9"/>
        <v>11.130600196296294</v>
      </c>
      <c r="AX43" s="9"/>
      <c r="AY43" s="22">
        <v>6.6223099999999993E-2</v>
      </c>
      <c r="AZ43" s="22">
        <v>27.523900000000001</v>
      </c>
      <c r="BA43" s="22">
        <v>-1.37848E-2</v>
      </c>
      <c r="BB43" s="22">
        <v>33</v>
      </c>
      <c r="BC43" s="22">
        <v>6.5612799999999999E-2</v>
      </c>
      <c r="BD43">
        <f t="shared" si="10"/>
        <v>17.018271604938271</v>
      </c>
      <c r="BE43">
        <f t="shared" si="11"/>
        <v>1.1270027023209874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5.3717300000000003</v>
      </c>
      <c r="I44" s="22">
        <v>-5.7983399999999999E-3</v>
      </c>
      <c r="J44" s="22">
        <v>34</v>
      </c>
      <c r="K44" s="22">
        <v>1.5982099999999999</v>
      </c>
      <c r="L44">
        <f t="shared" si="0"/>
        <v>7.1584444444444442</v>
      </c>
      <c r="M44">
        <f t="shared" si="1"/>
        <v>11.445064146666665</v>
      </c>
      <c r="N44" s="9"/>
      <c r="O44" s="22">
        <v>7.1258500000000002E-2</v>
      </c>
      <c r="P44" s="22">
        <v>9.1304999999999996</v>
      </c>
      <c r="Q44" s="22">
        <v>-1.3665800000000001E-2</v>
      </c>
      <c r="R44" s="22">
        <v>34</v>
      </c>
      <c r="S44" s="22">
        <v>7.0648199999999994E-2</v>
      </c>
      <c r="T44">
        <f t="shared" si="2"/>
        <v>16.871358024691357</v>
      </c>
      <c r="U44">
        <f t="shared" si="3"/>
        <v>1.2022276658024691</v>
      </c>
      <c r="X44" s="9"/>
      <c r="Y44" s="22">
        <v>1.5988199999999999</v>
      </c>
      <c r="Z44" s="22">
        <v>14.5989</v>
      </c>
      <c r="AA44" s="22">
        <v>-5.8258099999999998E-3</v>
      </c>
      <c r="AB44" s="22">
        <v>34</v>
      </c>
      <c r="AC44" s="22">
        <v>1.5982099999999999</v>
      </c>
      <c r="AD44">
        <f t="shared" si="4"/>
        <v>7.1923580246913579</v>
      </c>
      <c r="AE44">
        <f t="shared" si="5"/>
        <v>11.499285857037036</v>
      </c>
      <c r="AF44" s="9"/>
      <c r="AG44" s="22">
        <v>7.1258500000000002E-2</v>
      </c>
      <c r="AH44" s="22">
        <v>18.357700000000001</v>
      </c>
      <c r="AI44" s="22">
        <v>-1.37695E-2</v>
      </c>
      <c r="AJ44" s="22">
        <v>34</v>
      </c>
      <c r="AK44" s="22">
        <v>7.0648199999999994E-2</v>
      </c>
      <c r="AL44">
        <f t="shared" si="6"/>
        <v>16.999382716049382</v>
      </c>
      <c r="AM44">
        <f t="shared" si="7"/>
        <v>1.2113505132716049</v>
      </c>
      <c r="AP44" s="9"/>
      <c r="AQ44" s="22">
        <v>1.5988199999999999</v>
      </c>
      <c r="AR44" s="22">
        <v>23.775200000000002</v>
      </c>
      <c r="AS44" s="22">
        <v>-5.7922399999999997E-3</v>
      </c>
      <c r="AT44" s="22">
        <v>34</v>
      </c>
      <c r="AU44" s="22">
        <v>1.5982099999999999</v>
      </c>
      <c r="AV44">
        <f t="shared" si="8"/>
        <v>7.1509135802469128</v>
      </c>
      <c r="AW44">
        <f t="shared" si="9"/>
        <v>11.433023650370368</v>
      </c>
      <c r="AX44" s="9"/>
      <c r="AY44" s="22">
        <v>7.1258500000000002E-2</v>
      </c>
      <c r="AZ44" s="22">
        <v>27.533899999999999</v>
      </c>
      <c r="BA44" s="22">
        <v>-1.37787E-2</v>
      </c>
      <c r="BB44" s="22">
        <v>34</v>
      </c>
      <c r="BC44" s="22">
        <v>7.0587200000000003E-2</v>
      </c>
      <c r="BD44">
        <f t="shared" si="10"/>
        <v>17.01074074074074</v>
      </c>
      <c r="BE44">
        <f t="shared" si="11"/>
        <v>1.212159869074074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5.3818000000000001</v>
      </c>
      <c r="I45" s="22">
        <v>-5.9661899999999997E-3</v>
      </c>
      <c r="J45" s="22">
        <v>35</v>
      </c>
      <c r="K45" s="22">
        <v>1.5927100000000001</v>
      </c>
      <c r="L45">
        <f t="shared" si="0"/>
        <v>7.3656666666666659</v>
      </c>
      <c r="M45">
        <f t="shared" si="1"/>
        <v>11.739252219999999</v>
      </c>
      <c r="N45" s="9"/>
      <c r="O45" s="22">
        <v>7.6293899999999998E-2</v>
      </c>
      <c r="P45" s="22">
        <v>9.1405700000000003</v>
      </c>
      <c r="Q45" s="22">
        <v>-1.36475E-2</v>
      </c>
      <c r="R45" s="22">
        <v>35</v>
      </c>
      <c r="S45" s="22">
        <v>7.5683600000000004E-2</v>
      </c>
      <c r="T45">
        <f t="shared" si="2"/>
        <v>16.848765432098766</v>
      </c>
      <c r="U45">
        <f t="shared" si="3"/>
        <v>1.2854580250000001</v>
      </c>
      <c r="X45" s="9"/>
      <c r="Y45" s="22">
        <v>1.59378</v>
      </c>
      <c r="Z45" s="22">
        <v>14.609</v>
      </c>
      <c r="AA45" s="22">
        <v>-5.9936499999999997E-3</v>
      </c>
      <c r="AB45" s="22">
        <v>35</v>
      </c>
      <c r="AC45" s="22">
        <v>1.5930200000000001</v>
      </c>
      <c r="AD45">
        <f t="shared" si="4"/>
        <v>7.3995679012345672</v>
      </c>
      <c r="AE45">
        <f t="shared" si="5"/>
        <v>11.793283329629629</v>
      </c>
      <c r="AF45" s="9"/>
      <c r="AG45" s="22">
        <v>7.6293899999999998E-2</v>
      </c>
      <c r="AH45" s="22">
        <v>18.367799999999999</v>
      </c>
      <c r="AI45" s="22">
        <v>-1.37695E-2</v>
      </c>
      <c r="AJ45" s="22">
        <v>35</v>
      </c>
      <c r="AK45" s="22">
        <v>7.5653100000000001E-2</v>
      </c>
      <c r="AL45">
        <f t="shared" si="6"/>
        <v>16.999382716049382</v>
      </c>
      <c r="AM45">
        <f t="shared" si="7"/>
        <v>1.296949205</v>
      </c>
      <c r="AP45" s="9"/>
      <c r="AQ45" s="22">
        <v>1.59378</v>
      </c>
      <c r="AR45" s="22">
        <v>23.7852</v>
      </c>
      <c r="AS45" s="22">
        <v>-5.9600800000000004E-3</v>
      </c>
      <c r="AT45" s="22">
        <v>35</v>
      </c>
      <c r="AU45" s="22">
        <v>1.5930200000000001</v>
      </c>
      <c r="AV45">
        <f t="shared" si="8"/>
        <v>7.358123456790123</v>
      </c>
      <c r="AW45">
        <f t="shared" si="9"/>
        <v>11.727230002962962</v>
      </c>
      <c r="AX45" s="9"/>
      <c r="AY45" s="22">
        <v>7.6293899999999998E-2</v>
      </c>
      <c r="AZ45" s="22">
        <v>27.544</v>
      </c>
      <c r="BA45" s="22">
        <v>-1.3772599999999999E-2</v>
      </c>
      <c r="BB45" s="22">
        <v>35</v>
      </c>
      <c r="BC45" s="22">
        <v>7.5653100000000001E-2</v>
      </c>
      <c r="BD45">
        <f t="shared" si="10"/>
        <v>17.00320987654321</v>
      </c>
      <c r="BE45">
        <f t="shared" si="11"/>
        <v>1.2972411939999999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5.3918799999999996</v>
      </c>
      <c r="I46" s="22">
        <v>-6.1309800000000003E-3</v>
      </c>
      <c r="J46" s="22">
        <v>36</v>
      </c>
      <c r="K46" s="22">
        <v>1.58813</v>
      </c>
      <c r="L46">
        <f t="shared" si="0"/>
        <v>7.5691111111111109</v>
      </c>
      <c r="M46">
        <f t="shared" si="1"/>
        <v>12.025425277777778</v>
      </c>
      <c r="N46" s="9"/>
      <c r="O46" s="22">
        <v>8.1329299999999993E-2</v>
      </c>
      <c r="P46" s="22">
        <v>9.1506399999999992</v>
      </c>
      <c r="Q46" s="22">
        <v>-1.36414E-2</v>
      </c>
      <c r="R46" s="22">
        <v>36</v>
      </c>
      <c r="S46" s="22">
        <v>8.0688499999999996E-2</v>
      </c>
      <c r="T46">
        <f t="shared" si="2"/>
        <v>16.841234567901232</v>
      </c>
      <c r="U46">
        <f t="shared" si="3"/>
        <v>1.3696858185432095</v>
      </c>
      <c r="X46" s="9"/>
      <c r="Y46" s="22">
        <v>1.5887500000000001</v>
      </c>
      <c r="Z46" s="22">
        <v>14.6191</v>
      </c>
      <c r="AA46" s="22">
        <v>-6.1584500000000002E-3</v>
      </c>
      <c r="AB46" s="22">
        <v>36</v>
      </c>
      <c r="AC46" s="22">
        <v>1.58752</v>
      </c>
      <c r="AD46">
        <f t="shared" si="4"/>
        <v>7.6030246913580246</v>
      </c>
      <c r="AE46">
        <f t="shared" si="5"/>
        <v>12.079305478395062</v>
      </c>
      <c r="AF46" s="9"/>
      <c r="AG46" s="22">
        <v>8.1329299999999993E-2</v>
      </c>
      <c r="AH46" s="22">
        <v>18.377800000000001</v>
      </c>
      <c r="AI46" s="22">
        <v>-1.3760400000000001E-2</v>
      </c>
      <c r="AJ46" s="22">
        <v>36</v>
      </c>
      <c r="AK46" s="22">
        <v>8.0718999999999999E-2</v>
      </c>
      <c r="AL46">
        <f t="shared" si="6"/>
        <v>16.988148148148149</v>
      </c>
      <c r="AM46">
        <f t="shared" si="7"/>
        <v>1.3816341971851851</v>
      </c>
      <c r="AP46" s="9"/>
      <c r="AQ46" s="22">
        <v>1.5887500000000001</v>
      </c>
      <c r="AR46" s="22">
        <v>23.795300000000001</v>
      </c>
      <c r="AS46" s="22">
        <v>-6.1309800000000003E-3</v>
      </c>
      <c r="AT46" s="22">
        <v>36</v>
      </c>
      <c r="AU46" s="22">
        <v>1.5872200000000001</v>
      </c>
      <c r="AV46">
        <f t="shared" si="8"/>
        <v>7.5691111111111109</v>
      </c>
      <c r="AW46">
        <f t="shared" si="9"/>
        <v>12.025425277777778</v>
      </c>
      <c r="AX46" s="9"/>
      <c r="AY46" s="22">
        <v>8.1329299999999993E-2</v>
      </c>
      <c r="AZ46" s="22">
        <v>27.554099999999998</v>
      </c>
      <c r="BA46" s="22">
        <v>-1.37695E-2</v>
      </c>
      <c r="BB46" s="22">
        <v>36</v>
      </c>
      <c r="BC46" s="22">
        <v>8.0718999999999999E-2</v>
      </c>
      <c r="BD46">
        <f t="shared" si="10"/>
        <v>16.999382716049382</v>
      </c>
      <c r="BE46">
        <f t="shared" si="11"/>
        <v>1.3825478967283948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5.4019500000000003</v>
      </c>
      <c r="I47" s="22">
        <v>-6.29578E-3</v>
      </c>
      <c r="J47" s="22">
        <v>37</v>
      </c>
      <c r="K47" s="22">
        <v>1.58264</v>
      </c>
      <c r="L47">
        <f t="shared" si="0"/>
        <v>7.7725679012345674</v>
      </c>
      <c r="M47">
        <f t="shared" si="1"/>
        <v>12.309493510864197</v>
      </c>
      <c r="N47" s="9"/>
      <c r="O47" s="22">
        <v>8.6364700000000003E-2</v>
      </c>
      <c r="P47" s="22">
        <v>9.1607099999999999</v>
      </c>
      <c r="Q47" s="22">
        <v>-1.36353E-2</v>
      </c>
      <c r="R47" s="22">
        <v>37</v>
      </c>
      <c r="S47" s="22">
        <v>8.5784899999999997E-2</v>
      </c>
      <c r="T47">
        <f t="shared" si="2"/>
        <v>16.833703703703701</v>
      </c>
      <c r="U47">
        <f t="shared" si="3"/>
        <v>1.4538377702592591</v>
      </c>
      <c r="X47" s="9"/>
      <c r="Y47" s="22">
        <v>1.58371</v>
      </c>
      <c r="Z47" s="22">
        <v>14.629200000000001</v>
      </c>
      <c r="AA47" s="22">
        <v>-6.32629E-3</v>
      </c>
      <c r="AB47" s="22">
        <v>37</v>
      </c>
      <c r="AC47" s="22">
        <v>1.58264</v>
      </c>
      <c r="AD47">
        <f t="shared" si="4"/>
        <v>7.8102345679012339</v>
      </c>
      <c r="AE47">
        <f t="shared" si="5"/>
        <v>12.369146587530862</v>
      </c>
      <c r="AF47" s="9"/>
      <c r="AG47" s="22">
        <v>8.6364700000000003E-2</v>
      </c>
      <c r="AH47" s="22">
        <v>18.387899999999998</v>
      </c>
      <c r="AI47" s="22">
        <v>-1.3754300000000001E-2</v>
      </c>
      <c r="AJ47" s="22">
        <v>37</v>
      </c>
      <c r="AK47" s="22">
        <v>8.5754399999999995E-2</v>
      </c>
      <c r="AL47">
        <f t="shared" si="6"/>
        <v>16.980617283950615</v>
      </c>
      <c r="AM47">
        <f t="shared" si="7"/>
        <v>1.4665259175432097</v>
      </c>
      <c r="AP47" s="9"/>
      <c r="AQ47" s="22">
        <v>1.58371</v>
      </c>
      <c r="AR47" s="22">
        <v>23.805399999999999</v>
      </c>
      <c r="AS47" s="22">
        <v>-6.29578E-3</v>
      </c>
      <c r="AT47" s="22">
        <v>37</v>
      </c>
      <c r="AU47" s="22">
        <v>1.5835600000000001</v>
      </c>
      <c r="AV47">
        <f t="shared" si="8"/>
        <v>7.7725679012345674</v>
      </c>
      <c r="AW47">
        <f t="shared" si="9"/>
        <v>12.309493510864197</v>
      </c>
      <c r="AX47" s="9"/>
      <c r="AY47" s="22">
        <v>8.6364700000000003E-2</v>
      </c>
      <c r="AZ47" s="22">
        <v>27.5641</v>
      </c>
      <c r="BA47" s="22">
        <v>-1.3772599999999999E-2</v>
      </c>
      <c r="BB47" s="22">
        <v>37</v>
      </c>
      <c r="BC47" s="22">
        <v>8.5784899999999997E-2</v>
      </c>
      <c r="BD47">
        <f t="shared" si="10"/>
        <v>17.00320987654321</v>
      </c>
      <c r="BE47">
        <f t="shared" si="11"/>
        <v>1.4684771200246913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5.4120200000000001</v>
      </c>
      <c r="I48" s="22">
        <v>-6.4544700000000003E-3</v>
      </c>
      <c r="J48" s="22">
        <v>38</v>
      </c>
      <c r="K48" s="22">
        <v>1.57806</v>
      </c>
      <c r="L48">
        <f t="shared" si="0"/>
        <v>7.9684814814814811</v>
      </c>
      <c r="M48">
        <f t="shared" si="1"/>
        <v>12.579602660370369</v>
      </c>
      <c r="N48" s="9"/>
      <c r="O48" s="22">
        <v>9.1400099999999998E-2</v>
      </c>
      <c r="P48" s="22">
        <v>9.1707800000000006</v>
      </c>
      <c r="Q48" s="22">
        <v>-1.36261E-2</v>
      </c>
      <c r="R48" s="22">
        <v>38</v>
      </c>
      <c r="S48" s="22">
        <v>9.0820300000000007E-2</v>
      </c>
      <c r="T48">
        <f t="shared" si="2"/>
        <v>16.822345679012344</v>
      </c>
      <c r="U48">
        <f t="shared" si="3"/>
        <v>1.537564077296296</v>
      </c>
      <c r="X48" s="9"/>
      <c r="Y48" s="22">
        <v>1.57867</v>
      </c>
      <c r="Z48" s="22">
        <v>14.639200000000001</v>
      </c>
      <c r="AA48" s="22">
        <v>-6.4849900000000004E-3</v>
      </c>
      <c r="AB48" s="22">
        <v>38</v>
      </c>
      <c r="AC48" s="22">
        <v>1.57806</v>
      </c>
      <c r="AD48">
        <f t="shared" si="4"/>
        <v>8.00616049382716</v>
      </c>
      <c r="AE48">
        <f t="shared" si="5"/>
        <v>12.639085386790123</v>
      </c>
      <c r="AF48" s="9"/>
      <c r="AG48" s="22">
        <v>9.1400099999999998E-2</v>
      </c>
      <c r="AH48" s="22">
        <v>18.398</v>
      </c>
      <c r="AI48" s="22">
        <v>-1.37421E-2</v>
      </c>
      <c r="AJ48" s="22">
        <v>38</v>
      </c>
      <c r="AK48" s="22">
        <v>9.0911900000000004E-2</v>
      </c>
      <c r="AL48">
        <f t="shared" si="6"/>
        <v>16.965555555555554</v>
      </c>
      <c r="AM48">
        <f t="shared" si="7"/>
        <v>1.5506534743333331</v>
      </c>
      <c r="AP48" s="9"/>
      <c r="AQ48" s="22">
        <v>1.57867</v>
      </c>
      <c r="AR48" s="22">
        <v>23.8155</v>
      </c>
      <c r="AS48" s="22">
        <v>-6.4575199999999996E-3</v>
      </c>
      <c r="AT48" s="22">
        <v>38</v>
      </c>
      <c r="AU48" s="22">
        <v>1.5771500000000001</v>
      </c>
      <c r="AV48">
        <f t="shared" si="8"/>
        <v>7.9722469135802463</v>
      </c>
      <c r="AW48">
        <f t="shared" si="9"/>
        <v>12.585547035061728</v>
      </c>
      <c r="AX48" s="9"/>
      <c r="AY48" s="22">
        <v>9.1400099999999998E-2</v>
      </c>
      <c r="AZ48" s="22">
        <v>27.574200000000001</v>
      </c>
      <c r="BA48" s="22">
        <v>-1.37695E-2</v>
      </c>
      <c r="BB48" s="22">
        <v>38</v>
      </c>
      <c r="BC48" s="22">
        <v>9.0850799999999995E-2</v>
      </c>
      <c r="BD48">
        <f t="shared" si="10"/>
        <v>16.999382716049382</v>
      </c>
      <c r="BE48">
        <f t="shared" si="11"/>
        <v>1.5537452801851852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5.4220899999999999</v>
      </c>
      <c r="I49" s="22">
        <v>-6.6101099999999998E-3</v>
      </c>
      <c r="J49" s="22">
        <v>39</v>
      </c>
      <c r="K49" s="22">
        <v>1.5728800000000001</v>
      </c>
      <c r="L49">
        <f t="shared" si="0"/>
        <v>8.1606296296296286</v>
      </c>
      <c r="M49">
        <f t="shared" si="1"/>
        <v>12.841893210370369</v>
      </c>
      <c r="N49" s="9"/>
      <c r="O49" s="22">
        <v>9.6435499999999993E-2</v>
      </c>
      <c r="P49" s="22">
        <v>9.1808499999999995</v>
      </c>
      <c r="Q49" s="22">
        <v>-1.3616899999999999E-2</v>
      </c>
      <c r="R49" s="22">
        <v>39</v>
      </c>
      <c r="S49" s="22">
        <v>9.5825199999999999E-2</v>
      </c>
      <c r="T49">
        <f t="shared" si="2"/>
        <v>16.810987654320986</v>
      </c>
      <c r="U49">
        <f t="shared" si="3"/>
        <v>1.6211759999382713</v>
      </c>
      <c r="X49" s="9"/>
      <c r="Y49" s="22">
        <v>1.5736399999999999</v>
      </c>
      <c r="Z49" s="22">
        <v>14.6493</v>
      </c>
      <c r="AA49" s="22">
        <v>-6.64673E-3</v>
      </c>
      <c r="AB49" s="22">
        <v>39</v>
      </c>
      <c r="AC49" s="22">
        <v>1.5728800000000001</v>
      </c>
      <c r="AD49">
        <f t="shared" si="4"/>
        <v>8.2058395061728397</v>
      </c>
      <c r="AE49">
        <f t="shared" si="5"/>
        <v>12.913037280493826</v>
      </c>
      <c r="AF49" s="9"/>
      <c r="AG49" s="22">
        <v>9.6435499999999993E-2</v>
      </c>
      <c r="AH49" s="22">
        <v>18.408100000000001</v>
      </c>
      <c r="AI49" s="22">
        <v>-1.37299E-2</v>
      </c>
      <c r="AJ49" s="22">
        <v>39</v>
      </c>
      <c r="AK49" s="22">
        <v>9.5825199999999999E-2</v>
      </c>
      <c r="AL49">
        <f t="shared" si="6"/>
        <v>16.950493827160493</v>
      </c>
      <c r="AM49">
        <f t="shared" si="7"/>
        <v>1.6346293474691356</v>
      </c>
      <c r="AP49" s="9"/>
      <c r="AQ49" s="22">
        <v>1.5736399999999999</v>
      </c>
      <c r="AR49" s="22">
        <v>23.825500000000002</v>
      </c>
      <c r="AS49" s="22">
        <v>-6.6131599999999999E-3</v>
      </c>
      <c r="AT49" s="22">
        <v>39</v>
      </c>
      <c r="AU49" s="22">
        <v>1.57257</v>
      </c>
      <c r="AV49">
        <f t="shared" si="8"/>
        <v>8.1643950617283938</v>
      </c>
      <c r="AW49">
        <f t="shared" si="9"/>
        <v>12.847818644938268</v>
      </c>
      <c r="AX49" s="9"/>
      <c r="AY49" s="22">
        <v>9.6435499999999993E-2</v>
      </c>
      <c r="AZ49" s="22">
        <v>27.584299999999999</v>
      </c>
      <c r="BA49" s="22">
        <v>-1.3775600000000001E-2</v>
      </c>
      <c r="BB49" s="22">
        <v>39</v>
      </c>
      <c r="BC49" s="22">
        <v>9.5855700000000002E-2</v>
      </c>
      <c r="BD49">
        <f t="shared" si="10"/>
        <v>17.006913580246916</v>
      </c>
      <c r="BE49">
        <f t="shared" si="11"/>
        <v>1.6400702145679014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5.4321599999999997</v>
      </c>
      <c r="I50" s="22">
        <v>-6.7596399999999999E-3</v>
      </c>
      <c r="J50" s="22">
        <v>40</v>
      </c>
      <c r="K50" s="22">
        <v>1.56769</v>
      </c>
      <c r="L50">
        <f t="shared" si="0"/>
        <v>8.345234567901235</v>
      </c>
      <c r="M50">
        <f t="shared" si="1"/>
        <v>13.090334943209877</v>
      </c>
      <c r="N50" s="9"/>
      <c r="O50" s="22">
        <v>0.10147100000000001</v>
      </c>
      <c r="P50" s="22">
        <v>9.1909200000000002</v>
      </c>
      <c r="Q50" s="22">
        <v>-1.36139E-2</v>
      </c>
      <c r="R50" s="22">
        <v>40</v>
      </c>
      <c r="S50" s="22">
        <v>0.100769</v>
      </c>
      <c r="T50">
        <f t="shared" si="2"/>
        <v>16.807283950617283</v>
      </c>
      <c r="U50">
        <f t="shared" si="3"/>
        <v>1.7054519097530865</v>
      </c>
      <c r="X50" s="9"/>
      <c r="Y50" s="22">
        <v>1.5686</v>
      </c>
      <c r="Z50" s="22">
        <v>14.6594</v>
      </c>
      <c r="AA50" s="22">
        <v>-6.8054200000000004E-3</v>
      </c>
      <c r="AB50" s="22">
        <v>40</v>
      </c>
      <c r="AC50" s="22">
        <v>1.56738</v>
      </c>
      <c r="AD50">
        <f t="shared" si="4"/>
        <v>8.4017530864197525</v>
      </c>
      <c r="AE50">
        <f t="shared" si="5"/>
        <v>13.178989891358023</v>
      </c>
      <c r="AF50" s="9"/>
      <c r="AG50" s="22">
        <v>0.10147100000000001</v>
      </c>
      <c r="AH50" s="22">
        <v>18.418099999999999</v>
      </c>
      <c r="AI50" s="22">
        <v>-1.3726800000000001E-2</v>
      </c>
      <c r="AJ50" s="22">
        <v>40</v>
      </c>
      <c r="AK50" s="22">
        <v>0.10089099999999999</v>
      </c>
      <c r="AL50">
        <f t="shared" si="6"/>
        <v>16.946666666666665</v>
      </c>
      <c r="AM50">
        <f t="shared" si="7"/>
        <v>1.7195952133333332</v>
      </c>
      <c r="AP50" s="9"/>
      <c r="AQ50" s="22">
        <v>1.5686</v>
      </c>
      <c r="AR50" s="22">
        <v>23.835599999999999</v>
      </c>
      <c r="AS50" s="22">
        <v>-6.7688000000000002E-3</v>
      </c>
      <c r="AT50" s="22">
        <v>40</v>
      </c>
      <c r="AU50" s="22">
        <v>1.56708</v>
      </c>
      <c r="AV50">
        <f t="shared" si="8"/>
        <v>8.3565432098765431</v>
      </c>
      <c r="AW50">
        <f t="shared" si="9"/>
        <v>13.108073679012346</v>
      </c>
      <c r="AX50" s="9"/>
      <c r="AY50" s="22">
        <v>0.10147100000000001</v>
      </c>
      <c r="AZ50" s="22">
        <v>27.5944</v>
      </c>
      <c r="BA50" s="22">
        <v>-1.37634E-2</v>
      </c>
      <c r="BB50" s="22">
        <v>40</v>
      </c>
      <c r="BC50" s="22">
        <v>0.10086100000000001</v>
      </c>
      <c r="BD50">
        <f t="shared" si="10"/>
        <v>16.991851851851852</v>
      </c>
      <c r="BE50">
        <f t="shared" si="11"/>
        <v>1.7241801992592594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5.4422300000000003</v>
      </c>
      <c r="I51" s="22">
        <v>-6.9061299999999999E-3</v>
      </c>
      <c r="J51" s="22">
        <v>41</v>
      </c>
      <c r="K51" s="22">
        <v>1.5625</v>
      </c>
      <c r="L51">
        <f t="shared" si="0"/>
        <v>8.526086419753085</v>
      </c>
      <c r="M51">
        <f t="shared" si="1"/>
        <v>13.33113294333333</v>
      </c>
      <c r="N51" s="9"/>
      <c r="O51" s="22">
        <v>0.106506</v>
      </c>
      <c r="P51" s="22">
        <v>9.2009899999999991</v>
      </c>
      <c r="Q51" s="22">
        <v>-1.3616899999999999E-2</v>
      </c>
      <c r="R51" s="22">
        <v>41</v>
      </c>
      <c r="S51" s="22">
        <v>0.105896</v>
      </c>
      <c r="T51">
        <f t="shared" si="2"/>
        <v>16.810987654320986</v>
      </c>
      <c r="U51">
        <f t="shared" si="3"/>
        <v>1.790471051111111</v>
      </c>
      <c r="X51" s="9"/>
      <c r="Y51" s="22">
        <v>1.5635699999999999</v>
      </c>
      <c r="Z51" s="22">
        <v>14.6694</v>
      </c>
      <c r="AA51" s="22">
        <v>-6.9580099999999997E-3</v>
      </c>
      <c r="AB51" s="22">
        <v>41</v>
      </c>
      <c r="AC51" s="22">
        <v>1.56281</v>
      </c>
      <c r="AD51">
        <f t="shared" si="4"/>
        <v>8.5901358024691348</v>
      </c>
      <c r="AE51">
        <f t="shared" si="5"/>
        <v>13.431278636666665</v>
      </c>
      <c r="AF51" s="9"/>
      <c r="AG51" s="22">
        <v>0.106506</v>
      </c>
      <c r="AH51" s="22">
        <v>18.4282</v>
      </c>
      <c r="AI51" s="22">
        <v>-1.3726800000000001E-2</v>
      </c>
      <c r="AJ51" s="22">
        <v>41</v>
      </c>
      <c r="AK51" s="22">
        <v>0.105804</v>
      </c>
      <c r="AL51">
        <f t="shared" si="6"/>
        <v>16.946666666666665</v>
      </c>
      <c r="AM51">
        <f t="shared" si="7"/>
        <v>1.8049216799999999</v>
      </c>
      <c r="AP51" s="9"/>
      <c r="AQ51" s="22">
        <v>1.5635699999999999</v>
      </c>
      <c r="AR51" s="22">
        <v>23.845700000000001</v>
      </c>
      <c r="AS51" s="22">
        <v>-6.9244399999999996E-3</v>
      </c>
      <c r="AT51" s="22">
        <v>41</v>
      </c>
      <c r="AU51" s="22">
        <v>1.56281</v>
      </c>
      <c r="AV51">
        <f t="shared" si="8"/>
        <v>8.5486913580246906</v>
      </c>
      <c r="AW51">
        <f t="shared" si="9"/>
        <v>13.366477346666665</v>
      </c>
      <c r="AX51" s="9"/>
      <c r="AY51" s="22">
        <v>0.106506</v>
      </c>
      <c r="AZ51" s="22">
        <v>27.604399999999998</v>
      </c>
      <c r="BA51" s="22">
        <v>-1.37451E-2</v>
      </c>
      <c r="BB51" s="22">
        <v>41</v>
      </c>
      <c r="BC51" s="22">
        <v>0.105865</v>
      </c>
      <c r="BD51">
        <f t="shared" si="10"/>
        <v>16.969259259259257</v>
      </c>
      <c r="BE51">
        <f t="shared" si="11"/>
        <v>1.8073279266666664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5.4523000000000001</v>
      </c>
      <c r="I52" s="22">
        <v>-7.05261E-3</v>
      </c>
      <c r="J52" s="22">
        <v>42</v>
      </c>
      <c r="K52" s="22">
        <v>1.55701</v>
      </c>
      <c r="L52">
        <f t="shared" si="0"/>
        <v>8.7069259259259244</v>
      </c>
      <c r="M52">
        <f t="shared" si="1"/>
        <v>13.57000526333333</v>
      </c>
      <c r="N52" s="9"/>
      <c r="O52" s="22">
        <v>0.111542</v>
      </c>
      <c r="P52" s="22">
        <v>9.2110599999999998</v>
      </c>
      <c r="Q52" s="22">
        <v>-1.362E-2</v>
      </c>
      <c r="R52" s="22">
        <v>42</v>
      </c>
      <c r="S52" s="22">
        <v>0.110901</v>
      </c>
      <c r="T52">
        <f t="shared" si="2"/>
        <v>16.814814814814813</v>
      </c>
      <c r="U52">
        <f t="shared" si="3"/>
        <v>1.8755580740740738</v>
      </c>
      <c r="X52" s="9"/>
      <c r="Y52" s="22">
        <v>1.55853</v>
      </c>
      <c r="Z52" s="22">
        <v>14.679500000000001</v>
      </c>
      <c r="AA52" s="22">
        <v>-7.1075399999999999E-3</v>
      </c>
      <c r="AB52" s="22">
        <v>42</v>
      </c>
      <c r="AC52" s="22">
        <v>1.55792</v>
      </c>
      <c r="AD52">
        <f t="shared" si="4"/>
        <v>8.7747407407407394</v>
      </c>
      <c r="AE52">
        <f t="shared" si="5"/>
        <v>13.675696686666665</v>
      </c>
      <c r="AF52" s="9"/>
      <c r="AG52" s="22">
        <v>0.111542</v>
      </c>
      <c r="AH52" s="22">
        <v>18.438300000000002</v>
      </c>
      <c r="AI52" s="22">
        <v>-1.3720700000000001E-2</v>
      </c>
      <c r="AJ52" s="22">
        <v>42</v>
      </c>
      <c r="AK52" s="22">
        <v>0.11087</v>
      </c>
      <c r="AL52">
        <f t="shared" si="6"/>
        <v>16.939135802469135</v>
      </c>
      <c r="AM52">
        <f t="shared" si="7"/>
        <v>1.8894250856790122</v>
      </c>
      <c r="AP52" s="9"/>
      <c r="AQ52" s="22">
        <v>1.55853</v>
      </c>
      <c r="AR52" s="22">
        <v>23.855699999999999</v>
      </c>
      <c r="AS52" s="22">
        <v>-7.0770299999999998E-3</v>
      </c>
      <c r="AT52" s="22">
        <v>42</v>
      </c>
      <c r="AU52" s="22">
        <v>1.55792</v>
      </c>
      <c r="AV52">
        <f t="shared" si="8"/>
        <v>8.7370740740740729</v>
      </c>
      <c r="AW52">
        <f t="shared" si="9"/>
        <v>13.616992056666664</v>
      </c>
      <c r="AX52" s="9"/>
      <c r="AY52" s="22">
        <v>0.111542</v>
      </c>
      <c r="AZ52" s="22">
        <v>27.6145</v>
      </c>
      <c r="BA52" s="22">
        <v>-1.37451E-2</v>
      </c>
      <c r="BB52" s="22">
        <v>42</v>
      </c>
      <c r="BC52" s="22">
        <v>0.110901</v>
      </c>
      <c r="BD52">
        <f t="shared" si="10"/>
        <v>16.969259259259257</v>
      </c>
      <c r="BE52">
        <f t="shared" si="11"/>
        <v>1.8927851162962961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5.4623699999999999</v>
      </c>
      <c r="I53" s="22">
        <v>-7.1960399999999999E-3</v>
      </c>
      <c r="J53" s="22">
        <v>43</v>
      </c>
      <c r="K53" s="22">
        <v>1.55304</v>
      </c>
      <c r="L53">
        <f t="shared" si="0"/>
        <v>8.8840000000000003</v>
      </c>
      <c r="M53">
        <f t="shared" si="1"/>
        <v>13.801294000000002</v>
      </c>
      <c r="N53" s="9"/>
      <c r="O53" s="22">
        <v>0.116577</v>
      </c>
      <c r="P53" s="22">
        <v>9.2211300000000005</v>
      </c>
      <c r="Q53" s="22">
        <v>-1.362E-2</v>
      </c>
      <c r="R53" s="22">
        <v>43</v>
      </c>
      <c r="S53" s="22">
        <v>0.115906</v>
      </c>
      <c r="T53">
        <f t="shared" si="2"/>
        <v>16.814814814814813</v>
      </c>
      <c r="U53">
        <f t="shared" si="3"/>
        <v>1.9602206666666664</v>
      </c>
      <c r="X53" s="9"/>
      <c r="Y53" s="22">
        <v>1.5535000000000001</v>
      </c>
      <c r="Z53" s="22">
        <v>14.6896</v>
      </c>
      <c r="AA53" s="22">
        <v>-7.2540299999999999E-3</v>
      </c>
      <c r="AB53" s="22">
        <v>43</v>
      </c>
      <c r="AC53" s="22">
        <v>1.5527299999999999</v>
      </c>
      <c r="AD53">
        <f t="shared" si="4"/>
        <v>8.9555925925925912</v>
      </c>
      <c r="AE53">
        <f t="shared" si="5"/>
        <v>13.912513092592592</v>
      </c>
      <c r="AF53" s="9"/>
      <c r="AG53" s="22">
        <v>0.116577</v>
      </c>
      <c r="AH53" s="22">
        <v>18.4483</v>
      </c>
      <c r="AI53" s="22">
        <v>-1.37146E-2</v>
      </c>
      <c r="AJ53" s="22">
        <v>43</v>
      </c>
      <c r="AK53" s="22">
        <v>0.115997</v>
      </c>
      <c r="AL53">
        <f t="shared" si="6"/>
        <v>16.931604938271605</v>
      </c>
      <c r="AM53">
        <f t="shared" si="7"/>
        <v>1.9738357088888889</v>
      </c>
      <c r="AP53" s="9"/>
      <c r="AQ53" s="22">
        <v>1.5535000000000001</v>
      </c>
      <c r="AR53" s="22">
        <v>23.8658</v>
      </c>
      <c r="AS53" s="22">
        <v>-7.22961E-3</v>
      </c>
      <c r="AT53" s="22">
        <v>43</v>
      </c>
      <c r="AU53" s="22">
        <v>1.55243</v>
      </c>
      <c r="AV53">
        <f t="shared" si="8"/>
        <v>8.9254444444444445</v>
      </c>
      <c r="AW53">
        <f t="shared" si="9"/>
        <v>13.865677944444446</v>
      </c>
      <c r="AX53" s="9"/>
      <c r="AY53" s="22">
        <v>0.116577</v>
      </c>
      <c r="AZ53" s="22">
        <v>27.624600000000001</v>
      </c>
      <c r="BA53" s="22">
        <v>-1.37421E-2</v>
      </c>
      <c r="BB53" s="22">
        <v>43</v>
      </c>
      <c r="BC53" s="22">
        <v>0.115997</v>
      </c>
      <c r="BD53">
        <f t="shared" si="10"/>
        <v>16.965555555555554</v>
      </c>
      <c r="BE53">
        <f t="shared" si="11"/>
        <v>1.9777935699999998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5.4724399999999997</v>
      </c>
      <c r="I54" s="22">
        <v>-7.3364299999999997E-3</v>
      </c>
      <c r="J54" s="22">
        <v>44</v>
      </c>
      <c r="K54" s="22">
        <v>1.54755</v>
      </c>
      <c r="L54">
        <f t="shared" si="0"/>
        <v>9.0573209876543199</v>
      </c>
      <c r="M54">
        <f t="shared" si="1"/>
        <v>14.024899256543208</v>
      </c>
      <c r="N54" s="9"/>
      <c r="O54" s="22">
        <v>0.121613</v>
      </c>
      <c r="P54" s="22">
        <v>9.2312100000000008</v>
      </c>
      <c r="Q54" s="22">
        <v>-1.36261E-2</v>
      </c>
      <c r="R54" s="22">
        <v>44</v>
      </c>
      <c r="S54" s="22">
        <v>0.121002</v>
      </c>
      <c r="T54">
        <f t="shared" si="2"/>
        <v>16.822345679012344</v>
      </c>
      <c r="U54">
        <f t="shared" si="3"/>
        <v>2.0458159250617283</v>
      </c>
      <c r="X54" s="9"/>
      <c r="Y54" s="22">
        <v>1.5484599999999999</v>
      </c>
      <c r="Z54" s="22">
        <v>14.6997</v>
      </c>
      <c r="AA54" s="22">
        <v>-7.3974599999999998E-3</v>
      </c>
      <c r="AB54" s="22">
        <v>44</v>
      </c>
      <c r="AC54" s="22">
        <v>1.54755</v>
      </c>
      <c r="AD54">
        <f t="shared" si="4"/>
        <v>9.1326666666666654</v>
      </c>
      <c r="AE54">
        <f t="shared" si="5"/>
        <v>14.141569026666664</v>
      </c>
      <c r="AF54" s="9"/>
      <c r="AG54" s="22">
        <v>0.121613</v>
      </c>
      <c r="AH54" s="22">
        <v>18.458400000000001</v>
      </c>
      <c r="AI54" s="22">
        <v>-1.37115E-2</v>
      </c>
      <c r="AJ54" s="22">
        <v>44</v>
      </c>
      <c r="AK54" s="22">
        <v>0.121002</v>
      </c>
      <c r="AL54">
        <f t="shared" si="6"/>
        <v>16.927777777777777</v>
      </c>
      <c r="AM54">
        <f t="shared" si="7"/>
        <v>2.0586378388888886</v>
      </c>
      <c r="AP54" s="9"/>
      <c r="AQ54" s="22">
        <v>1.5484599999999999</v>
      </c>
      <c r="AR54" s="22">
        <v>23.875900000000001</v>
      </c>
      <c r="AS54" s="22">
        <v>-7.3730499999999999E-3</v>
      </c>
      <c r="AT54" s="22">
        <v>44</v>
      </c>
      <c r="AU54" s="22">
        <v>1.54755</v>
      </c>
      <c r="AV54">
        <f t="shared" si="8"/>
        <v>9.1025308641975311</v>
      </c>
      <c r="AW54">
        <f t="shared" si="9"/>
        <v>14.094904941975308</v>
      </c>
      <c r="AX54" s="9"/>
      <c r="AY54" s="22">
        <v>0.121613</v>
      </c>
      <c r="AZ54" s="22">
        <v>27.634599999999999</v>
      </c>
      <c r="BA54" s="22">
        <v>-1.3736E-2</v>
      </c>
      <c r="BB54" s="22">
        <v>44</v>
      </c>
      <c r="BC54" s="22">
        <v>0.121002</v>
      </c>
      <c r="BD54">
        <f t="shared" si="10"/>
        <v>16.958024691358023</v>
      </c>
      <c r="BE54">
        <f t="shared" si="11"/>
        <v>2.0623162567901234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5.4825100000000004</v>
      </c>
      <c r="I55" s="22">
        <v>-7.4798599999999996E-3</v>
      </c>
      <c r="J55" s="22">
        <v>45</v>
      </c>
      <c r="K55" s="22">
        <v>1.54236</v>
      </c>
      <c r="L55">
        <f t="shared" si="0"/>
        <v>9.2343950617283941</v>
      </c>
      <c r="M55">
        <f t="shared" si="1"/>
        <v>14.252642370123455</v>
      </c>
      <c r="N55" s="9"/>
      <c r="O55" s="22">
        <v>0.12664800000000001</v>
      </c>
      <c r="P55" s="22">
        <v>9.2412799999999997</v>
      </c>
      <c r="Q55" s="22">
        <v>-1.36353E-2</v>
      </c>
      <c r="R55" s="22">
        <v>45</v>
      </c>
      <c r="S55" s="22">
        <v>0.12600700000000001</v>
      </c>
      <c r="T55">
        <f t="shared" si="2"/>
        <v>16.833703703703701</v>
      </c>
      <c r="U55">
        <f t="shared" si="3"/>
        <v>2.1319549066666665</v>
      </c>
      <c r="X55" s="9"/>
      <c r="Y55" s="22">
        <v>1.5434300000000001</v>
      </c>
      <c r="Z55" s="22">
        <v>14.7097</v>
      </c>
      <c r="AA55" s="22">
        <v>-7.5378399999999996E-3</v>
      </c>
      <c r="AB55" s="22">
        <v>45</v>
      </c>
      <c r="AC55" s="22">
        <v>1.5420499999999999</v>
      </c>
      <c r="AD55">
        <f t="shared" si="4"/>
        <v>9.3059753086419743</v>
      </c>
      <c r="AE55">
        <f t="shared" si="5"/>
        <v>14.363121470617283</v>
      </c>
      <c r="AF55" s="9"/>
      <c r="AG55" s="22">
        <v>0.12664800000000001</v>
      </c>
      <c r="AH55" s="22">
        <v>18.468499999999999</v>
      </c>
      <c r="AI55" s="22">
        <v>-1.37054E-2</v>
      </c>
      <c r="AJ55" s="22">
        <v>45</v>
      </c>
      <c r="AK55" s="22">
        <v>0.12603800000000001</v>
      </c>
      <c r="AL55">
        <f t="shared" si="6"/>
        <v>16.920246913580247</v>
      </c>
      <c r="AM55">
        <f t="shared" si="7"/>
        <v>2.1429154311111112</v>
      </c>
      <c r="AP55" s="9"/>
      <c r="AQ55" s="22">
        <v>1.5434300000000001</v>
      </c>
      <c r="AR55" s="22">
        <v>23.885999999999999</v>
      </c>
      <c r="AS55" s="22">
        <v>-7.51953E-3</v>
      </c>
      <c r="AT55" s="22">
        <v>45</v>
      </c>
      <c r="AU55" s="22">
        <v>1.5426599999999999</v>
      </c>
      <c r="AV55">
        <f t="shared" si="8"/>
        <v>9.2833703703703687</v>
      </c>
      <c r="AW55">
        <f t="shared" si="9"/>
        <v>14.32823233074074</v>
      </c>
      <c r="AX55" s="9"/>
      <c r="AY55" s="22">
        <v>0.12664800000000001</v>
      </c>
      <c r="AZ55" s="22">
        <v>27.6447</v>
      </c>
      <c r="BA55" s="22">
        <v>-1.3717699999999999E-2</v>
      </c>
      <c r="BB55" s="22">
        <v>45</v>
      </c>
      <c r="BC55" s="22">
        <v>0.12603800000000001</v>
      </c>
      <c r="BD55">
        <f t="shared" si="10"/>
        <v>16.935432098765432</v>
      </c>
      <c r="BE55">
        <f t="shared" si="11"/>
        <v>2.1448386044444447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5.4925899999999999</v>
      </c>
      <c r="I56" s="22">
        <v>-7.6141400000000001E-3</v>
      </c>
      <c r="J56" s="22">
        <v>46</v>
      </c>
      <c r="K56" s="22">
        <v>1.53748</v>
      </c>
      <c r="L56">
        <f t="shared" si="0"/>
        <v>9.4001728395061726</v>
      </c>
      <c r="M56">
        <f t="shared" si="1"/>
        <v>14.461131894567901</v>
      </c>
      <c r="N56" s="9"/>
      <c r="O56" s="22">
        <v>0.13168299999999999</v>
      </c>
      <c r="P56" s="22">
        <v>9.2513500000000004</v>
      </c>
      <c r="Q56" s="22">
        <v>-1.36353E-2</v>
      </c>
      <c r="R56" s="22">
        <v>46</v>
      </c>
      <c r="S56" s="22">
        <v>0.131134</v>
      </c>
      <c r="T56">
        <f t="shared" si="2"/>
        <v>16.833703703703701</v>
      </c>
      <c r="U56">
        <f t="shared" si="3"/>
        <v>2.2167126048148145</v>
      </c>
      <c r="X56" s="9"/>
      <c r="Y56" s="22">
        <v>1.5383899999999999</v>
      </c>
      <c r="Z56" s="22">
        <v>14.719799999999999</v>
      </c>
      <c r="AA56" s="22">
        <v>-7.6751700000000003E-3</v>
      </c>
      <c r="AB56" s="22">
        <v>46</v>
      </c>
      <c r="AC56" s="22">
        <v>1.53748</v>
      </c>
      <c r="AD56">
        <f t="shared" si="4"/>
        <v>9.475518518518518</v>
      </c>
      <c r="AE56">
        <f t="shared" si="5"/>
        <v>14.577042933703702</v>
      </c>
      <c r="AF56" s="9"/>
      <c r="AG56" s="22">
        <v>0.13168299999999999</v>
      </c>
      <c r="AH56" s="22">
        <v>18.4786</v>
      </c>
      <c r="AI56" s="22">
        <v>-1.37085E-2</v>
      </c>
      <c r="AJ56" s="22">
        <v>46</v>
      </c>
      <c r="AK56" s="22">
        <v>0.131073</v>
      </c>
      <c r="AL56">
        <f t="shared" si="6"/>
        <v>16.924074074074074</v>
      </c>
      <c r="AM56">
        <f t="shared" si="7"/>
        <v>2.2286128462962962</v>
      </c>
      <c r="AP56" s="9"/>
      <c r="AQ56" s="22">
        <v>1.5383899999999999</v>
      </c>
      <c r="AR56" s="22">
        <v>23.896000000000001</v>
      </c>
      <c r="AS56" s="22">
        <v>-7.6568599999999997E-3</v>
      </c>
      <c r="AT56" s="22">
        <v>46</v>
      </c>
      <c r="AU56" s="22">
        <v>1.5377799999999999</v>
      </c>
      <c r="AV56">
        <f t="shared" si="8"/>
        <v>9.4529135802469142</v>
      </c>
      <c r="AW56">
        <f t="shared" si="9"/>
        <v>14.54226772271605</v>
      </c>
      <c r="AX56" s="9"/>
      <c r="AY56" s="22">
        <v>0.13168299999999999</v>
      </c>
      <c r="AZ56" s="22">
        <v>27.654800000000002</v>
      </c>
      <c r="BA56" s="22">
        <v>-1.37054E-2</v>
      </c>
      <c r="BB56" s="22">
        <v>46</v>
      </c>
      <c r="BC56" s="22">
        <v>0.131073</v>
      </c>
      <c r="BD56">
        <f t="shared" si="10"/>
        <v>16.920246913580247</v>
      </c>
      <c r="BE56">
        <f t="shared" si="11"/>
        <v>2.2281088743209874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5.5026599999999997</v>
      </c>
      <c r="I57" s="22">
        <v>-7.7484099999999998E-3</v>
      </c>
      <c r="J57" s="22">
        <v>47</v>
      </c>
      <c r="K57" s="22">
        <v>1.5319799999999999</v>
      </c>
      <c r="L57">
        <f t="shared" si="0"/>
        <v>9.5659382716049386</v>
      </c>
      <c r="M57">
        <f t="shared" si="1"/>
        <v>14.668027108148149</v>
      </c>
      <c r="N57" s="9"/>
      <c r="O57" s="22">
        <v>0.13671900000000001</v>
      </c>
      <c r="P57" s="22">
        <v>9.2614199999999993</v>
      </c>
      <c r="Q57" s="22">
        <v>-1.3632200000000001E-2</v>
      </c>
      <c r="R57" s="22">
        <v>47</v>
      </c>
      <c r="S57" s="22">
        <v>0.13610800000000001</v>
      </c>
      <c r="T57">
        <f t="shared" si="2"/>
        <v>16.829876543209878</v>
      </c>
      <c r="U57">
        <f t="shared" si="3"/>
        <v>2.3009638911111114</v>
      </c>
      <c r="X57" s="9"/>
      <c r="Y57" s="22">
        <v>1.5333600000000001</v>
      </c>
      <c r="Z57" s="22">
        <v>14.729900000000001</v>
      </c>
      <c r="AA57" s="22">
        <v>-7.8094499999999999E-3</v>
      </c>
      <c r="AB57" s="22">
        <v>47</v>
      </c>
      <c r="AC57" s="22">
        <v>1.5322899999999999</v>
      </c>
      <c r="AD57">
        <f t="shared" si="4"/>
        <v>9.6412962962962947</v>
      </c>
      <c r="AE57">
        <f t="shared" si="5"/>
        <v>14.783578088888888</v>
      </c>
      <c r="AF57" s="9"/>
      <c r="AG57" s="22">
        <v>0.13671900000000001</v>
      </c>
      <c r="AH57" s="22">
        <v>18.488600000000002</v>
      </c>
      <c r="AI57" s="22">
        <v>-1.3699299999999999E-2</v>
      </c>
      <c r="AJ57" s="22">
        <v>47</v>
      </c>
      <c r="AK57" s="22">
        <v>0.13610800000000001</v>
      </c>
      <c r="AL57">
        <f t="shared" si="6"/>
        <v>16.912716049382716</v>
      </c>
      <c r="AM57">
        <f t="shared" si="7"/>
        <v>2.3122896255555556</v>
      </c>
      <c r="AP57" s="9"/>
      <c r="AQ57" s="22">
        <v>1.5333600000000001</v>
      </c>
      <c r="AR57" s="22">
        <v>23.906099999999999</v>
      </c>
      <c r="AS57" s="22">
        <v>-7.7941900000000003E-3</v>
      </c>
      <c r="AT57" s="22">
        <v>47</v>
      </c>
      <c r="AU57" s="22">
        <v>1.5331999999999999</v>
      </c>
      <c r="AV57">
        <f t="shared" si="8"/>
        <v>9.6224567901234561</v>
      </c>
      <c r="AW57">
        <f t="shared" si="9"/>
        <v>14.754690343703704</v>
      </c>
      <c r="AX57" s="9"/>
      <c r="AY57" s="22">
        <v>0.13671900000000001</v>
      </c>
      <c r="AZ57" s="22">
        <v>27.664899999999999</v>
      </c>
      <c r="BA57" s="22">
        <v>-1.3693200000000001E-2</v>
      </c>
      <c r="BB57" s="22">
        <v>47</v>
      </c>
      <c r="BC57" s="22">
        <v>0.13610800000000001</v>
      </c>
      <c r="BD57">
        <f t="shared" si="10"/>
        <v>16.905185185185186</v>
      </c>
      <c r="BE57">
        <f t="shared" si="11"/>
        <v>2.3112600133333334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5.5127300000000004</v>
      </c>
      <c r="I58" s="22">
        <v>-7.8796400000000003E-3</v>
      </c>
      <c r="J58" s="22">
        <v>48</v>
      </c>
      <c r="K58" s="22">
        <v>1.5274000000000001</v>
      </c>
      <c r="L58">
        <f t="shared" si="0"/>
        <v>9.7279506172839501</v>
      </c>
      <c r="M58">
        <f t="shared" si="1"/>
        <v>14.867421487407405</v>
      </c>
      <c r="N58" s="9"/>
      <c r="O58" s="22">
        <v>0.14175399999999999</v>
      </c>
      <c r="P58" s="22">
        <v>9.27149</v>
      </c>
      <c r="Q58" s="22">
        <v>-1.3623E-2</v>
      </c>
      <c r="R58" s="22">
        <v>48</v>
      </c>
      <c r="S58" s="22">
        <v>0.14105200000000001</v>
      </c>
      <c r="T58">
        <f t="shared" si="2"/>
        <v>16.818518518518516</v>
      </c>
      <c r="U58">
        <f t="shared" si="3"/>
        <v>2.3840922740740735</v>
      </c>
      <c r="X58" s="9"/>
      <c r="Y58" s="22">
        <v>1.5283199999999999</v>
      </c>
      <c r="Z58" s="22">
        <v>14.7399</v>
      </c>
      <c r="AA58" s="22">
        <v>-7.9376199999999994E-3</v>
      </c>
      <c r="AB58" s="22">
        <v>48</v>
      </c>
      <c r="AC58" s="22">
        <v>1.5274000000000001</v>
      </c>
      <c r="AD58">
        <f t="shared" si="4"/>
        <v>9.7995308641975303</v>
      </c>
      <c r="AE58">
        <f t="shared" si="5"/>
        <v>14.976819010370368</v>
      </c>
      <c r="AF58" s="9"/>
      <c r="AG58" s="22">
        <v>0.14175399999999999</v>
      </c>
      <c r="AH58" s="22">
        <v>18.498699999999999</v>
      </c>
      <c r="AI58" s="22">
        <v>-1.36963E-2</v>
      </c>
      <c r="AJ58" s="22">
        <v>48</v>
      </c>
      <c r="AK58" s="22">
        <v>0.141205</v>
      </c>
      <c r="AL58">
        <f t="shared" si="6"/>
        <v>16.90901234567901</v>
      </c>
      <c r="AM58">
        <f t="shared" si="7"/>
        <v>2.3969201360493821</v>
      </c>
      <c r="AP58" s="9"/>
      <c r="AQ58" s="22">
        <v>1.5283199999999999</v>
      </c>
      <c r="AR58" s="22">
        <v>23.9162</v>
      </c>
      <c r="AS58" s="22">
        <v>-7.92847E-3</v>
      </c>
      <c r="AT58" s="22">
        <v>48</v>
      </c>
      <c r="AU58" s="22">
        <v>1.5274000000000001</v>
      </c>
      <c r="AV58">
        <f t="shared" si="8"/>
        <v>9.7882345679012346</v>
      </c>
      <c r="AW58">
        <f t="shared" si="9"/>
        <v>14.959554654814815</v>
      </c>
      <c r="AX58" s="9"/>
      <c r="AY58" s="22">
        <v>0.14175399999999999</v>
      </c>
      <c r="AZ58" s="22">
        <v>27.674900000000001</v>
      </c>
      <c r="BA58" s="22">
        <v>-1.3687100000000001E-2</v>
      </c>
      <c r="BB58" s="22">
        <v>48</v>
      </c>
      <c r="BC58" s="22">
        <v>0.141205</v>
      </c>
      <c r="BD58">
        <f t="shared" si="10"/>
        <v>16.897654320987655</v>
      </c>
      <c r="BE58">
        <f t="shared" si="11"/>
        <v>2.3953100906172837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5.5228000000000002</v>
      </c>
      <c r="I59" s="22">
        <v>-8.0108599999999999E-3</v>
      </c>
      <c r="J59" s="22">
        <v>49</v>
      </c>
      <c r="K59" s="22">
        <v>1.5222199999999999</v>
      </c>
      <c r="L59">
        <f t="shared" si="0"/>
        <v>9.8899506172839491</v>
      </c>
      <c r="M59">
        <f t="shared" si="1"/>
        <v>15.065163976296294</v>
      </c>
      <c r="N59" s="9"/>
      <c r="O59" s="22">
        <v>0.14679</v>
      </c>
      <c r="P59" s="22">
        <v>9.2815600000000007</v>
      </c>
      <c r="Q59" s="22">
        <v>-1.3610799999999999E-2</v>
      </c>
      <c r="R59" s="22">
        <v>49</v>
      </c>
      <c r="S59" s="22">
        <v>0.146149</v>
      </c>
      <c r="T59">
        <f t="shared" si="2"/>
        <v>16.803456790123455</v>
      </c>
      <c r="U59">
        <f t="shared" si="3"/>
        <v>2.4665794222222219</v>
      </c>
      <c r="X59" s="9"/>
      <c r="Y59" s="22">
        <v>1.52328</v>
      </c>
      <c r="Z59" s="22">
        <v>14.75</v>
      </c>
      <c r="AA59" s="22">
        <v>-8.0688500000000007E-3</v>
      </c>
      <c r="AB59" s="22">
        <v>49</v>
      </c>
      <c r="AC59" s="22">
        <v>1.5228299999999999</v>
      </c>
      <c r="AD59">
        <f t="shared" si="4"/>
        <v>9.9615432098765435</v>
      </c>
      <c r="AE59">
        <f t="shared" si="5"/>
        <v>15.17421954074074</v>
      </c>
      <c r="AF59" s="9"/>
      <c r="AG59" s="22">
        <v>0.14679</v>
      </c>
      <c r="AH59" s="22">
        <v>18.508800000000001</v>
      </c>
      <c r="AI59" s="22">
        <v>-1.3693200000000001E-2</v>
      </c>
      <c r="AJ59" s="22">
        <v>49</v>
      </c>
      <c r="AK59" s="22">
        <v>0.146179</v>
      </c>
      <c r="AL59">
        <f t="shared" si="6"/>
        <v>16.905185185185186</v>
      </c>
      <c r="AM59">
        <f t="shared" si="7"/>
        <v>2.4815121333333336</v>
      </c>
      <c r="AP59" s="9"/>
      <c r="AQ59" s="22">
        <v>1.52328</v>
      </c>
      <c r="AR59" s="22">
        <v>23.926200000000001</v>
      </c>
      <c r="AS59" s="22">
        <v>-8.0596899999999996E-3</v>
      </c>
      <c r="AT59" s="22">
        <v>49</v>
      </c>
      <c r="AU59" s="22">
        <v>1.5222199999999999</v>
      </c>
      <c r="AV59">
        <f t="shared" si="8"/>
        <v>9.9502345679012336</v>
      </c>
      <c r="AW59">
        <f t="shared" si="9"/>
        <v>15.15699331259259</v>
      </c>
      <c r="AX59" s="9"/>
      <c r="AY59" s="22">
        <v>0.14679</v>
      </c>
      <c r="AZ59" s="22">
        <v>27.684999999999999</v>
      </c>
      <c r="BA59" s="22">
        <v>-1.3687100000000001E-2</v>
      </c>
      <c r="BB59" s="22">
        <v>49</v>
      </c>
      <c r="BC59" s="22">
        <v>0.14621000000000001</v>
      </c>
      <c r="BD59">
        <f t="shared" si="10"/>
        <v>16.897654320987655</v>
      </c>
      <c r="BE59">
        <f t="shared" si="11"/>
        <v>2.4804066777777778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5.53287</v>
      </c>
      <c r="I60" s="22">
        <v>-8.1359899999999992E-3</v>
      </c>
      <c r="J60" s="22">
        <v>50</v>
      </c>
      <c r="K60" s="22">
        <v>1.5167200000000001</v>
      </c>
      <c r="L60">
        <f t="shared" si="0"/>
        <v>10.04443209876543</v>
      </c>
      <c r="M60">
        <f t="shared" si="1"/>
        <v>15.249959033950615</v>
      </c>
      <c r="N60" s="9"/>
      <c r="O60" s="22">
        <v>0.15182499999999999</v>
      </c>
      <c r="P60" s="22">
        <v>9.2916299999999996</v>
      </c>
      <c r="Q60" s="22">
        <v>-1.3598600000000001E-2</v>
      </c>
      <c r="R60" s="22">
        <v>50</v>
      </c>
      <c r="S60" s="22">
        <v>0.15121499999999999</v>
      </c>
      <c r="T60">
        <f t="shared" si="2"/>
        <v>16.788395061728394</v>
      </c>
      <c r="U60">
        <f t="shared" si="3"/>
        <v>2.5488980802469134</v>
      </c>
      <c r="X60" s="9"/>
      <c r="Y60" s="22">
        <v>1.5182500000000001</v>
      </c>
      <c r="Z60" s="22">
        <v>14.7601</v>
      </c>
      <c r="AA60" s="22">
        <v>-8.1970199999999993E-3</v>
      </c>
      <c r="AB60" s="22">
        <v>50</v>
      </c>
      <c r="AC60" s="22">
        <v>1.5173300000000001</v>
      </c>
      <c r="AD60">
        <f t="shared" si="4"/>
        <v>10.119777777777776</v>
      </c>
      <c r="AE60">
        <f t="shared" si="5"/>
        <v>15.364352611111109</v>
      </c>
      <c r="AF60" s="9"/>
      <c r="AG60" s="22">
        <v>0.15182499999999999</v>
      </c>
      <c r="AH60" s="22">
        <v>18.518799999999999</v>
      </c>
      <c r="AI60" s="22">
        <v>-1.36902E-2</v>
      </c>
      <c r="AJ60" s="22">
        <v>50</v>
      </c>
      <c r="AK60" s="22">
        <v>0.15124499999999999</v>
      </c>
      <c r="AL60">
        <f t="shared" si="6"/>
        <v>16.901481481481479</v>
      </c>
      <c r="AM60">
        <f t="shared" si="7"/>
        <v>2.5660674259259255</v>
      </c>
      <c r="AP60" s="9"/>
      <c r="AQ60" s="22">
        <v>1.5182500000000001</v>
      </c>
      <c r="AR60" s="22">
        <v>23.936299999999999</v>
      </c>
      <c r="AS60" s="22">
        <v>-8.1848100000000007E-3</v>
      </c>
      <c r="AT60" s="22">
        <v>50</v>
      </c>
      <c r="AU60" s="22">
        <v>1.5179400000000001</v>
      </c>
      <c r="AV60">
        <f t="shared" si="8"/>
        <v>10.104703703703704</v>
      </c>
      <c r="AW60">
        <f t="shared" si="9"/>
        <v>15.34146639814815</v>
      </c>
      <c r="AX60" s="9"/>
      <c r="AY60" s="22">
        <v>0.15182499999999999</v>
      </c>
      <c r="AZ60" s="22">
        <v>27.6951</v>
      </c>
      <c r="BA60" s="22">
        <v>-1.36902E-2</v>
      </c>
      <c r="BB60" s="22">
        <v>50</v>
      </c>
      <c r="BC60" s="22">
        <v>0.15118400000000001</v>
      </c>
      <c r="BD60">
        <f t="shared" si="10"/>
        <v>16.901481481481479</v>
      </c>
      <c r="BE60">
        <f t="shared" si="11"/>
        <v>2.5660674259259255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5.5429399999999998</v>
      </c>
      <c r="I61" s="22">
        <v>-8.2580599999999994E-3</v>
      </c>
      <c r="J61" s="22">
        <v>51</v>
      </c>
      <c r="K61" s="22">
        <v>1.5121500000000001</v>
      </c>
      <c r="L61">
        <f t="shared" si="0"/>
        <v>10.195135802469133</v>
      </c>
      <c r="M61">
        <f t="shared" si="1"/>
        <v>15.427381447654318</v>
      </c>
      <c r="N61" s="9"/>
      <c r="O61" s="22">
        <v>0.15686</v>
      </c>
      <c r="P61" s="22">
        <v>9.3017000000000003</v>
      </c>
      <c r="Q61" s="22">
        <v>-1.3598600000000001E-2</v>
      </c>
      <c r="R61" s="22">
        <v>51</v>
      </c>
      <c r="S61" s="22">
        <v>0.15625</v>
      </c>
      <c r="T61">
        <f t="shared" si="2"/>
        <v>16.788395061728394</v>
      </c>
      <c r="U61">
        <f t="shared" si="3"/>
        <v>2.6334276493827158</v>
      </c>
      <c r="X61" s="9"/>
      <c r="Y61" s="22">
        <v>1.5132099999999999</v>
      </c>
      <c r="Z61" s="22">
        <v>14.770200000000001</v>
      </c>
      <c r="AA61" s="22">
        <v>-8.3251999999999996E-3</v>
      </c>
      <c r="AB61" s="22">
        <v>51</v>
      </c>
      <c r="AC61" s="22">
        <v>1.5127600000000001</v>
      </c>
      <c r="AD61">
        <f t="shared" si="4"/>
        <v>10.278024691358024</v>
      </c>
      <c r="AE61">
        <f t="shared" si="5"/>
        <v>15.552809743209874</v>
      </c>
      <c r="AF61" s="9"/>
      <c r="AG61" s="22">
        <v>0.15686</v>
      </c>
      <c r="AH61" s="22">
        <v>18.5289</v>
      </c>
      <c r="AI61" s="22">
        <v>-1.3684099999999999E-2</v>
      </c>
      <c r="AJ61" s="22">
        <v>51</v>
      </c>
      <c r="AK61" s="22">
        <v>0.156219</v>
      </c>
      <c r="AL61">
        <f t="shared" si="6"/>
        <v>16.893950617283949</v>
      </c>
      <c r="AM61">
        <f t="shared" si="7"/>
        <v>2.6499850938271603</v>
      </c>
      <c r="AP61" s="9"/>
      <c r="AQ61" s="22">
        <v>1.5132099999999999</v>
      </c>
      <c r="AR61" s="22">
        <v>23.946400000000001</v>
      </c>
      <c r="AS61" s="22">
        <v>-8.30994E-3</v>
      </c>
      <c r="AT61" s="22">
        <v>51</v>
      </c>
      <c r="AU61" s="22">
        <v>1.5121500000000001</v>
      </c>
      <c r="AV61">
        <f t="shared" si="8"/>
        <v>10.259185185185183</v>
      </c>
      <c r="AW61">
        <f t="shared" si="9"/>
        <v>15.524301614074071</v>
      </c>
      <c r="AX61" s="9"/>
      <c r="AY61" s="22">
        <v>0.15686</v>
      </c>
      <c r="AZ61" s="22">
        <v>27.705100000000002</v>
      </c>
      <c r="BA61" s="22">
        <v>-1.3693200000000001E-2</v>
      </c>
      <c r="BB61" s="22">
        <v>51</v>
      </c>
      <c r="BC61" s="22">
        <v>0.15625</v>
      </c>
      <c r="BD61">
        <f t="shared" si="10"/>
        <v>16.905185185185186</v>
      </c>
      <c r="BE61">
        <f t="shared" si="11"/>
        <v>2.6517473481481484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5.5530099999999996</v>
      </c>
      <c r="I62" s="22">
        <v>-8.3801299999999995E-3</v>
      </c>
      <c r="J62" s="22">
        <v>52</v>
      </c>
      <c r="K62" s="22">
        <v>1.5069600000000001</v>
      </c>
      <c r="L62">
        <f t="shared" si="0"/>
        <v>10.345839506172839</v>
      </c>
      <c r="M62">
        <f t="shared" si="1"/>
        <v>15.603388226419753</v>
      </c>
      <c r="N62" s="9"/>
      <c r="O62" s="22">
        <v>0.16189600000000001</v>
      </c>
      <c r="P62" s="22">
        <v>9.3117699999999992</v>
      </c>
      <c r="Q62" s="22">
        <v>-1.3598600000000001E-2</v>
      </c>
      <c r="R62" s="22">
        <v>52</v>
      </c>
      <c r="S62" s="22">
        <v>0.16125500000000001</v>
      </c>
      <c r="T62">
        <f t="shared" si="2"/>
        <v>16.788395061728394</v>
      </c>
      <c r="U62">
        <f t="shared" si="3"/>
        <v>2.7179740069135803</v>
      </c>
      <c r="X62" s="9"/>
      <c r="Y62" s="22">
        <v>1.5081800000000001</v>
      </c>
      <c r="Z62" s="22">
        <v>14.780200000000001</v>
      </c>
      <c r="AA62" s="22">
        <v>-8.4472699999999998E-3</v>
      </c>
      <c r="AB62" s="22">
        <v>52</v>
      </c>
      <c r="AC62" s="22">
        <v>1.50665</v>
      </c>
      <c r="AD62">
        <f t="shared" si="4"/>
        <v>10.428728395061729</v>
      </c>
      <c r="AE62">
        <f t="shared" si="5"/>
        <v>15.728399590864198</v>
      </c>
      <c r="AF62" s="9"/>
      <c r="AG62" s="22">
        <v>0.16189600000000001</v>
      </c>
      <c r="AH62" s="22">
        <v>18.539000000000001</v>
      </c>
      <c r="AI62" s="22">
        <v>-1.3681E-2</v>
      </c>
      <c r="AJ62" s="22">
        <v>52</v>
      </c>
      <c r="AK62" s="22">
        <v>0.16125500000000001</v>
      </c>
      <c r="AL62">
        <f t="shared" si="6"/>
        <v>16.890123456790121</v>
      </c>
      <c r="AM62">
        <f t="shared" si="7"/>
        <v>2.7344434271604938</v>
      </c>
      <c r="AP62" s="9"/>
      <c r="AQ62" s="22">
        <v>1.5081800000000001</v>
      </c>
      <c r="AR62" s="22">
        <v>23.956399999999999</v>
      </c>
      <c r="AS62" s="22">
        <v>-8.4320100000000002E-3</v>
      </c>
      <c r="AT62" s="22">
        <v>52</v>
      </c>
      <c r="AU62" s="22">
        <v>1.50726</v>
      </c>
      <c r="AV62">
        <f t="shared" si="8"/>
        <v>10.409888888888888</v>
      </c>
      <c r="AW62">
        <f t="shared" si="9"/>
        <v>15.699986224444444</v>
      </c>
      <c r="AX62" s="9"/>
      <c r="AY62" s="22">
        <v>0.16189600000000001</v>
      </c>
      <c r="AZ62" s="22">
        <v>27.715199999999999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16.897654320987655</v>
      </c>
      <c r="BE62">
        <f t="shared" si="11"/>
        <v>2.7356626439506178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5.5630800000000002</v>
      </c>
      <c r="I63" s="22">
        <v>-8.4960899999999995E-3</v>
      </c>
      <c r="J63" s="22">
        <v>53</v>
      </c>
      <c r="K63" s="22">
        <v>1.50146</v>
      </c>
      <c r="L63">
        <f t="shared" si="0"/>
        <v>10.488999999999999</v>
      </c>
      <c r="M63">
        <f t="shared" si="1"/>
        <v>15.766435459999999</v>
      </c>
      <c r="N63" s="9"/>
      <c r="O63" s="22">
        <v>0.166931</v>
      </c>
      <c r="P63" s="22">
        <v>9.3218399999999999</v>
      </c>
      <c r="Q63" s="22">
        <v>-1.3589499999999999E-2</v>
      </c>
      <c r="R63" s="22">
        <v>53</v>
      </c>
      <c r="S63" s="22">
        <v>0.16628999999999999</v>
      </c>
      <c r="T63">
        <f t="shared" si="2"/>
        <v>16.777160493827161</v>
      </c>
      <c r="U63">
        <f t="shared" si="3"/>
        <v>2.8006281783950615</v>
      </c>
      <c r="X63" s="9"/>
      <c r="Y63" s="22">
        <v>1.5031399999999999</v>
      </c>
      <c r="Z63" s="22">
        <v>14.7903</v>
      </c>
      <c r="AA63" s="22">
        <v>-8.5632299999999998E-3</v>
      </c>
      <c r="AB63" s="22">
        <v>53</v>
      </c>
      <c r="AC63" s="22">
        <v>1.50238</v>
      </c>
      <c r="AD63">
        <f t="shared" si="4"/>
        <v>10.571888888888887</v>
      </c>
      <c r="AE63">
        <f t="shared" si="5"/>
        <v>15.891029064444441</v>
      </c>
      <c r="AF63" s="9"/>
      <c r="AG63" s="22">
        <v>0.166931</v>
      </c>
      <c r="AH63" s="22">
        <v>18.549099999999999</v>
      </c>
      <c r="AI63" s="22">
        <v>-1.36749E-2</v>
      </c>
      <c r="AJ63" s="22">
        <v>53</v>
      </c>
      <c r="AK63" s="22">
        <v>0.16628999999999999</v>
      </c>
      <c r="AL63">
        <f t="shared" si="6"/>
        <v>16.882592592592591</v>
      </c>
      <c r="AM63">
        <f t="shared" si="7"/>
        <v>2.8182280640740736</v>
      </c>
      <c r="AP63" s="9"/>
      <c r="AQ63" s="22">
        <v>1.5031399999999999</v>
      </c>
      <c r="AR63" s="22">
        <v>23.9665</v>
      </c>
      <c r="AS63" s="22">
        <v>-8.5540800000000004E-3</v>
      </c>
      <c r="AT63" s="22">
        <v>53</v>
      </c>
      <c r="AU63" s="22">
        <v>1.50238</v>
      </c>
      <c r="AV63">
        <f t="shared" si="8"/>
        <v>10.560592592592592</v>
      </c>
      <c r="AW63">
        <f t="shared" si="9"/>
        <v>15.874049149629627</v>
      </c>
      <c r="AX63" s="9"/>
      <c r="AY63" s="22">
        <v>0.166931</v>
      </c>
      <c r="AZ63" s="22">
        <v>27.725300000000001</v>
      </c>
      <c r="BA63" s="22">
        <v>-1.3684099999999999E-2</v>
      </c>
      <c r="BB63" s="22">
        <v>53</v>
      </c>
      <c r="BC63" s="22">
        <v>0.16628999999999999</v>
      </c>
      <c r="BD63">
        <f t="shared" si="10"/>
        <v>16.893950617283949</v>
      </c>
      <c r="BE63">
        <f t="shared" si="11"/>
        <v>2.8201240704938266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5.57315</v>
      </c>
      <c r="I64" s="22">
        <v>-8.6090100000000003E-3</v>
      </c>
      <c r="J64" s="22">
        <v>54</v>
      </c>
      <c r="K64" s="22">
        <v>1.4975000000000001</v>
      </c>
      <c r="L64">
        <f t="shared" si="0"/>
        <v>10.628407407407408</v>
      </c>
      <c r="M64">
        <f t="shared" si="1"/>
        <v>15.922523421111114</v>
      </c>
      <c r="N64" s="9"/>
      <c r="O64" s="22">
        <v>0.17196700000000001</v>
      </c>
      <c r="P64" s="22">
        <v>9.3319200000000002</v>
      </c>
      <c r="Q64" s="22">
        <v>-1.35773E-2</v>
      </c>
      <c r="R64" s="22">
        <v>54</v>
      </c>
      <c r="S64" s="22">
        <v>0.171265</v>
      </c>
      <c r="T64">
        <f t="shared" si="2"/>
        <v>16.7620987654321</v>
      </c>
      <c r="U64">
        <f t="shared" si="3"/>
        <v>2.8825278383950619</v>
      </c>
      <c r="X64" s="9"/>
      <c r="Y64" s="22">
        <v>1.4981100000000001</v>
      </c>
      <c r="Z64" s="22">
        <v>14.8004</v>
      </c>
      <c r="AA64" s="22">
        <v>-8.6761500000000005E-3</v>
      </c>
      <c r="AB64" s="22">
        <v>54</v>
      </c>
      <c r="AC64" s="22">
        <v>1.4968900000000001</v>
      </c>
      <c r="AD64">
        <f t="shared" si="4"/>
        <v>10.711296296296297</v>
      </c>
      <c r="AE64">
        <f t="shared" si="5"/>
        <v>16.046700094444446</v>
      </c>
      <c r="AF64" s="9"/>
      <c r="AG64" s="22">
        <v>0.17196700000000001</v>
      </c>
      <c r="AH64" s="22">
        <v>18.559100000000001</v>
      </c>
      <c r="AI64" s="22">
        <v>-1.3665800000000001E-2</v>
      </c>
      <c r="AJ64" s="22">
        <v>54</v>
      </c>
      <c r="AK64" s="22">
        <v>0.17132600000000001</v>
      </c>
      <c r="AL64">
        <f t="shared" si="6"/>
        <v>16.871358024691357</v>
      </c>
      <c r="AM64">
        <f t="shared" si="7"/>
        <v>2.9013168254320987</v>
      </c>
      <c r="AP64" s="9"/>
      <c r="AQ64" s="22">
        <v>1.4981100000000001</v>
      </c>
      <c r="AR64" s="22">
        <v>23.976600000000001</v>
      </c>
      <c r="AS64" s="22">
        <v>-8.6700400000000004E-3</v>
      </c>
      <c r="AT64" s="22">
        <v>54</v>
      </c>
      <c r="AU64" s="22">
        <v>1.49658</v>
      </c>
      <c r="AV64">
        <f t="shared" si="8"/>
        <v>10.703753086419754</v>
      </c>
      <c r="AW64">
        <f t="shared" si="9"/>
        <v>16.0353995362963</v>
      </c>
      <c r="AX64" s="9"/>
      <c r="AY64" s="22">
        <v>0.17196700000000001</v>
      </c>
      <c r="AZ64" s="22">
        <v>27.735399999999998</v>
      </c>
      <c r="BA64" s="22">
        <v>-1.3681E-2</v>
      </c>
      <c r="BB64" s="22">
        <v>54</v>
      </c>
      <c r="BC64" s="22">
        <v>0.171295</v>
      </c>
      <c r="BD64">
        <f t="shared" si="10"/>
        <v>16.890123456790121</v>
      </c>
      <c r="BE64">
        <f t="shared" si="11"/>
        <v>2.9045438604938267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5.5832199999999998</v>
      </c>
      <c r="I65" s="22">
        <v>-8.7219199999999993E-3</v>
      </c>
      <c r="J65" s="22">
        <v>55</v>
      </c>
      <c r="K65" s="22">
        <v>1.492</v>
      </c>
      <c r="L65">
        <f t="shared" si="0"/>
        <v>10.767802469135802</v>
      </c>
      <c r="M65">
        <f t="shared" si="1"/>
        <v>16.077082832592591</v>
      </c>
      <c r="N65" s="9"/>
      <c r="O65" s="22">
        <v>0.17700199999999999</v>
      </c>
      <c r="P65" s="22">
        <v>9.3419899999999991</v>
      </c>
      <c r="Q65" s="22">
        <v>-1.35742E-2</v>
      </c>
      <c r="R65" s="22">
        <v>55</v>
      </c>
      <c r="S65" s="22">
        <v>0.17633099999999999</v>
      </c>
      <c r="T65">
        <f t="shared" si="2"/>
        <v>16.758271604938273</v>
      </c>
      <c r="U65">
        <f t="shared" si="3"/>
        <v>2.966247590617284</v>
      </c>
      <c r="X65" s="9"/>
      <c r="Y65" s="22">
        <v>1.4930699999999999</v>
      </c>
      <c r="Z65" s="22">
        <v>14.8104</v>
      </c>
      <c r="AA65" s="22">
        <v>-8.7951699999999997E-3</v>
      </c>
      <c r="AB65" s="22">
        <v>55</v>
      </c>
      <c r="AC65" s="22">
        <v>1.49231</v>
      </c>
      <c r="AD65">
        <f t="shared" si="4"/>
        <v>10.858234567901235</v>
      </c>
      <c r="AE65">
        <f t="shared" si="5"/>
        <v>16.212104286296295</v>
      </c>
      <c r="AF65" s="9"/>
      <c r="AG65" s="22">
        <v>0.17700199999999999</v>
      </c>
      <c r="AH65" s="22">
        <v>18.569199999999999</v>
      </c>
      <c r="AI65" s="22">
        <v>-1.3665800000000001E-2</v>
      </c>
      <c r="AJ65" s="22">
        <v>55</v>
      </c>
      <c r="AK65" s="22">
        <v>0.176422</v>
      </c>
      <c r="AL65">
        <f t="shared" si="6"/>
        <v>16.871358024691357</v>
      </c>
      <c r="AM65">
        <f t="shared" si="7"/>
        <v>2.9862641130864196</v>
      </c>
      <c r="AP65" s="9"/>
      <c r="AQ65" s="22">
        <v>1.4930699999999999</v>
      </c>
      <c r="AR65" s="22">
        <v>23.986699999999999</v>
      </c>
      <c r="AS65" s="22">
        <v>-8.7982200000000007E-3</v>
      </c>
      <c r="AT65" s="22">
        <v>55</v>
      </c>
      <c r="AU65" s="22">
        <v>1.492</v>
      </c>
      <c r="AV65">
        <f t="shared" si="8"/>
        <v>10.862</v>
      </c>
      <c r="AW65">
        <f t="shared" si="9"/>
        <v>16.217726339999999</v>
      </c>
      <c r="AX65" s="9"/>
      <c r="AY65" s="22">
        <v>0.17700199999999999</v>
      </c>
      <c r="AZ65" s="22">
        <v>27.7454</v>
      </c>
      <c r="BA65" s="22">
        <v>-1.3677999999999999E-2</v>
      </c>
      <c r="BB65" s="22">
        <v>55</v>
      </c>
      <c r="BC65" s="22">
        <v>0.17633099999999999</v>
      </c>
      <c r="BD65">
        <f t="shared" si="10"/>
        <v>16.886419753086418</v>
      </c>
      <c r="BE65">
        <f t="shared" si="11"/>
        <v>2.9889300691358023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5.5933000000000002</v>
      </c>
      <c r="I66" s="22">
        <v>-8.8287399999999999E-3</v>
      </c>
      <c r="J66" s="22">
        <v>56</v>
      </c>
      <c r="K66" s="22">
        <v>1.48682</v>
      </c>
      <c r="L66">
        <f t="shared" si="0"/>
        <v>10.899679012345679</v>
      </c>
      <c r="M66">
        <f t="shared" si="1"/>
        <v>16.219158357530866</v>
      </c>
      <c r="N66" s="9"/>
      <c r="O66" s="22">
        <v>0.182037</v>
      </c>
      <c r="P66" s="22">
        <v>9.3520599999999998</v>
      </c>
      <c r="Q66" s="22">
        <v>-1.35803E-2</v>
      </c>
      <c r="R66" s="22">
        <v>56</v>
      </c>
      <c r="S66" s="22">
        <v>0.181396</v>
      </c>
      <c r="T66">
        <f t="shared" si="2"/>
        <v>16.765802469135803</v>
      </c>
      <c r="U66">
        <f t="shared" si="3"/>
        <v>3.0519963840740743</v>
      </c>
      <c r="X66" s="9"/>
      <c r="Y66" s="22">
        <v>1.48804</v>
      </c>
      <c r="Z66" s="22">
        <v>14.820499999999999</v>
      </c>
      <c r="AA66" s="22">
        <v>-8.9080800000000005E-3</v>
      </c>
      <c r="AB66" s="22">
        <v>56</v>
      </c>
      <c r="AC66" s="22">
        <v>1.48712</v>
      </c>
      <c r="AD66">
        <f t="shared" si="4"/>
        <v>10.99762962962963</v>
      </c>
      <c r="AE66">
        <f t="shared" si="5"/>
        <v>16.364912794074076</v>
      </c>
      <c r="AF66" s="9"/>
      <c r="AG66" s="22">
        <v>0.182037</v>
      </c>
      <c r="AH66" s="22">
        <v>18.5793</v>
      </c>
      <c r="AI66" s="22">
        <v>-1.36749E-2</v>
      </c>
      <c r="AJ66" s="22">
        <v>56</v>
      </c>
      <c r="AK66" s="22">
        <v>0.181396</v>
      </c>
      <c r="AL66">
        <f t="shared" si="6"/>
        <v>16.882592592592591</v>
      </c>
      <c r="AM66">
        <f t="shared" si="7"/>
        <v>3.0732565077777774</v>
      </c>
      <c r="AP66" s="9"/>
      <c r="AQ66" s="22">
        <v>1.48804</v>
      </c>
      <c r="AR66" s="22">
        <v>23.996700000000001</v>
      </c>
      <c r="AS66" s="22">
        <v>-8.9111299999999997E-3</v>
      </c>
      <c r="AT66" s="22">
        <v>56</v>
      </c>
      <c r="AU66" s="22">
        <v>1.48712</v>
      </c>
      <c r="AV66">
        <f t="shared" si="8"/>
        <v>11.001395061728394</v>
      </c>
      <c r="AW66">
        <f t="shared" si="9"/>
        <v>16.370515907654319</v>
      </c>
      <c r="AX66" s="9"/>
      <c r="AY66" s="22">
        <v>0.182037</v>
      </c>
      <c r="AZ66" s="22">
        <v>27.755500000000001</v>
      </c>
      <c r="BA66" s="22">
        <v>-1.3671900000000001E-2</v>
      </c>
      <c r="BB66" s="22">
        <v>56</v>
      </c>
      <c r="BC66" s="22">
        <v>0.181396</v>
      </c>
      <c r="BD66">
        <f t="shared" si="10"/>
        <v>16.878888888888888</v>
      </c>
      <c r="BE66">
        <f t="shared" si="11"/>
        <v>3.0725822966666665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5.60337</v>
      </c>
      <c r="I67" s="22">
        <v>-8.9385999999999997E-3</v>
      </c>
      <c r="J67" s="22">
        <v>57</v>
      </c>
      <c r="K67" s="22">
        <v>1.48224</v>
      </c>
      <c r="L67">
        <f t="shared" si="0"/>
        <v>11.035308641975307</v>
      </c>
      <c r="M67">
        <f t="shared" si="1"/>
        <v>16.365362716049383</v>
      </c>
      <c r="N67" s="9"/>
      <c r="O67" s="22">
        <v>0.18707299999999999</v>
      </c>
      <c r="P67" s="22">
        <v>9.3621300000000005</v>
      </c>
      <c r="Q67" s="22">
        <v>-1.35925E-2</v>
      </c>
      <c r="R67" s="22">
        <v>57</v>
      </c>
      <c r="S67" s="22">
        <v>0.18643199999999999</v>
      </c>
      <c r="T67">
        <f t="shared" si="2"/>
        <v>16.780864197530864</v>
      </c>
      <c r="U67">
        <f t="shared" si="3"/>
        <v>3.139246608024691</v>
      </c>
      <c r="X67" s="9"/>
      <c r="Y67" s="22">
        <v>1.4830000000000001</v>
      </c>
      <c r="Z67" s="22">
        <v>14.8306</v>
      </c>
      <c r="AA67" s="22">
        <v>-9.0179400000000003E-3</v>
      </c>
      <c r="AB67" s="22">
        <v>57</v>
      </c>
      <c r="AC67" s="22">
        <v>1.48224</v>
      </c>
      <c r="AD67">
        <f t="shared" si="4"/>
        <v>11.13325925925926</v>
      </c>
      <c r="AE67">
        <f t="shared" si="5"/>
        <v>16.510623481481485</v>
      </c>
      <c r="AF67" s="9"/>
      <c r="AG67" s="22">
        <v>0.18707299999999999</v>
      </c>
      <c r="AH67" s="22">
        <v>18.589300000000001</v>
      </c>
      <c r="AI67" s="22">
        <v>-1.36749E-2</v>
      </c>
      <c r="AJ67" s="22">
        <v>57</v>
      </c>
      <c r="AK67" s="22">
        <v>0.18637100000000001</v>
      </c>
      <c r="AL67">
        <f t="shared" si="6"/>
        <v>16.882592592592591</v>
      </c>
      <c r="AM67">
        <f t="shared" si="7"/>
        <v>3.1582772440740734</v>
      </c>
      <c r="AP67" s="9"/>
      <c r="AQ67" s="22">
        <v>1.4830000000000001</v>
      </c>
      <c r="AR67" s="22">
        <v>24.006799999999998</v>
      </c>
      <c r="AS67" s="22">
        <v>-9.0240500000000005E-3</v>
      </c>
      <c r="AT67" s="22">
        <v>57</v>
      </c>
      <c r="AU67" s="22">
        <v>1.48254</v>
      </c>
      <c r="AV67">
        <f t="shared" si="8"/>
        <v>11.140802469135803</v>
      </c>
      <c r="AW67">
        <f t="shared" si="9"/>
        <v>16.521810061728395</v>
      </c>
      <c r="AX67" s="9"/>
      <c r="AY67" s="22">
        <v>0.18707299999999999</v>
      </c>
      <c r="AZ67" s="22">
        <v>27.765599999999999</v>
      </c>
      <c r="BA67" s="22">
        <v>-1.36566E-2</v>
      </c>
      <c r="BB67" s="22">
        <v>57</v>
      </c>
      <c r="BC67" s="22">
        <v>0.18643199999999999</v>
      </c>
      <c r="BD67">
        <f t="shared" si="10"/>
        <v>16.86</v>
      </c>
      <c r="BE67">
        <f t="shared" si="11"/>
        <v>3.1540507799999995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5.6134399999999998</v>
      </c>
      <c r="I68" s="22">
        <v>-9.0515100000000005E-3</v>
      </c>
      <c r="J68" s="22">
        <v>58</v>
      </c>
      <c r="K68" s="22">
        <v>1.47736</v>
      </c>
      <c r="L68">
        <f t="shared" si="0"/>
        <v>11.174703703703704</v>
      </c>
      <c r="M68">
        <f t="shared" si="1"/>
        <v>16.515876832962963</v>
      </c>
      <c r="N68" s="9"/>
      <c r="O68" s="22">
        <v>0.192108</v>
      </c>
      <c r="P68" s="22">
        <v>9.3721999999999994</v>
      </c>
      <c r="Q68" s="22">
        <v>-1.3604700000000001E-2</v>
      </c>
      <c r="R68" s="22">
        <v>58</v>
      </c>
      <c r="S68" s="22">
        <v>0.191467</v>
      </c>
      <c r="T68">
        <f t="shared" si="2"/>
        <v>16.795925925925925</v>
      </c>
      <c r="U68">
        <f t="shared" si="3"/>
        <v>3.2266317377777778</v>
      </c>
      <c r="X68" s="9"/>
      <c r="Y68" s="22">
        <v>1.47797</v>
      </c>
      <c r="Z68" s="22">
        <v>14.8406</v>
      </c>
      <c r="AA68" s="22">
        <v>-9.1308599999999993E-3</v>
      </c>
      <c r="AB68" s="22">
        <v>58</v>
      </c>
      <c r="AC68" s="22">
        <v>1.47675</v>
      </c>
      <c r="AD68">
        <f t="shared" si="4"/>
        <v>11.272666666666666</v>
      </c>
      <c r="AE68">
        <f t="shared" si="5"/>
        <v>16.660663153333331</v>
      </c>
      <c r="AF68" s="9"/>
      <c r="AG68" s="22">
        <v>0.192108</v>
      </c>
      <c r="AH68" s="22">
        <v>18.599399999999999</v>
      </c>
      <c r="AI68" s="22">
        <v>-1.3665800000000001E-2</v>
      </c>
      <c r="AJ68" s="22">
        <v>58</v>
      </c>
      <c r="AK68" s="22">
        <v>0.191437</v>
      </c>
      <c r="AL68">
        <f t="shared" si="6"/>
        <v>16.871358024691357</v>
      </c>
      <c r="AM68">
        <f t="shared" si="7"/>
        <v>3.2411228474074072</v>
      </c>
      <c r="AP68" s="9"/>
      <c r="AQ68" s="22">
        <v>1.47797</v>
      </c>
      <c r="AR68" s="22">
        <v>24.0169</v>
      </c>
      <c r="AS68" s="22">
        <v>-9.1369599999999995E-3</v>
      </c>
      <c r="AT68" s="22">
        <v>58</v>
      </c>
      <c r="AU68" s="22">
        <v>1.47705</v>
      </c>
      <c r="AV68">
        <f t="shared" si="8"/>
        <v>11.280197530864196</v>
      </c>
      <c r="AW68">
        <f t="shared" si="9"/>
        <v>16.671793544691358</v>
      </c>
      <c r="AX68" s="9"/>
      <c r="AY68" s="22">
        <v>0.192108</v>
      </c>
      <c r="AZ68" s="22">
        <v>27.775600000000001</v>
      </c>
      <c r="BA68" s="22">
        <v>-1.36475E-2</v>
      </c>
      <c r="BB68" s="22">
        <v>58</v>
      </c>
      <c r="BC68" s="22">
        <v>0.191467</v>
      </c>
      <c r="BD68">
        <f t="shared" si="10"/>
        <v>16.848765432098766</v>
      </c>
      <c r="BE68">
        <f t="shared" si="11"/>
        <v>3.2367826296296296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5.6235099999999996</v>
      </c>
      <c r="I69" s="22">
        <v>-9.1644299999999995E-3</v>
      </c>
      <c r="J69" s="22">
        <v>59</v>
      </c>
      <c r="K69" s="22">
        <v>1.47217</v>
      </c>
      <c r="L69">
        <f t="shared" si="0"/>
        <v>11.31411111111111</v>
      </c>
      <c r="M69">
        <f t="shared" si="1"/>
        <v>16.664893678888888</v>
      </c>
      <c r="N69" s="9"/>
      <c r="O69" s="22">
        <v>0.19714400000000001</v>
      </c>
      <c r="P69" s="22">
        <v>9.3822700000000001</v>
      </c>
      <c r="Q69" s="22">
        <v>-1.36017E-2</v>
      </c>
      <c r="R69" s="22">
        <v>59</v>
      </c>
      <c r="S69" s="22">
        <v>0.19650300000000001</v>
      </c>
      <c r="T69">
        <f t="shared" si="2"/>
        <v>16.792222222222222</v>
      </c>
      <c r="U69">
        <f t="shared" si="3"/>
        <v>3.310485857777778</v>
      </c>
      <c r="X69" s="9"/>
      <c r="Y69" s="22">
        <v>1.4729300000000001</v>
      </c>
      <c r="Z69" s="22">
        <v>14.8507</v>
      </c>
      <c r="AA69" s="22">
        <v>-9.2376699999999999E-3</v>
      </c>
      <c r="AB69" s="22">
        <v>59</v>
      </c>
      <c r="AC69" s="22">
        <v>1.4724699999999999</v>
      </c>
      <c r="AD69">
        <f t="shared" si="4"/>
        <v>11.404530864197531</v>
      </c>
      <c r="AE69">
        <f t="shared" si="5"/>
        <v>16.79807564580247</v>
      </c>
      <c r="AF69" s="9"/>
      <c r="AG69" s="22">
        <v>0.19714400000000001</v>
      </c>
      <c r="AH69" s="22">
        <v>18.609500000000001</v>
      </c>
      <c r="AI69" s="22">
        <v>-1.36566E-2</v>
      </c>
      <c r="AJ69" s="22">
        <v>59</v>
      </c>
      <c r="AK69" s="22">
        <v>0.19653300000000001</v>
      </c>
      <c r="AL69">
        <f t="shared" si="6"/>
        <v>16.86</v>
      </c>
      <c r="AM69">
        <f t="shared" si="7"/>
        <v>3.32384784</v>
      </c>
      <c r="AP69" s="9"/>
      <c r="AQ69" s="22">
        <v>1.4729300000000001</v>
      </c>
      <c r="AR69" s="22">
        <v>24.026900000000001</v>
      </c>
      <c r="AS69" s="22">
        <v>-9.2437700000000001E-3</v>
      </c>
      <c r="AT69" s="22">
        <v>59</v>
      </c>
      <c r="AU69" s="22">
        <v>1.47217</v>
      </c>
      <c r="AV69">
        <f t="shared" si="8"/>
        <v>11.412061728395061</v>
      </c>
      <c r="AW69">
        <f t="shared" si="9"/>
        <v>16.809168081604938</v>
      </c>
      <c r="AX69" s="9"/>
      <c r="AY69" s="22">
        <v>0.19714400000000001</v>
      </c>
      <c r="AZ69" s="22">
        <v>27.785699999999999</v>
      </c>
      <c r="BA69" s="22">
        <v>-1.3644399999999999E-2</v>
      </c>
      <c r="BB69" s="22">
        <v>59</v>
      </c>
      <c r="BC69" s="22">
        <v>0.19650300000000001</v>
      </c>
      <c r="BD69">
        <f t="shared" si="10"/>
        <v>16.844938271604939</v>
      </c>
      <c r="BE69">
        <f t="shared" si="11"/>
        <v>3.320878510617284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5.6335800000000003</v>
      </c>
      <c r="I70" s="22">
        <v>-9.2742899999999993E-3</v>
      </c>
      <c r="J70" s="22">
        <v>60</v>
      </c>
      <c r="K70" s="22">
        <v>1.46729</v>
      </c>
      <c r="L70">
        <f t="shared" si="0"/>
        <v>11.44974074074074</v>
      </c>
      <c r="M70">
        <f t="shared" si="1"/>
        <v>16.807074433333334</v>
      </c>
      <c r="N70" s="9"/>
      <c r="O70" s="22">
        <v>0.202179</v>
      </c>
      <c r="P70" s="22">
        <v>9.3923400000000008</v>
      </c>
      <c r="Q70" s="22">
        <v>-1.35925E-2</v>
      </c>
      <c r="R70" s="22">
        <v>60</v>
      </c>
      <c r="S70" s="22">
        <v>0.20147699999999999</v>
      </c>
      <c r="T70">
        <f t="shared" si="2"/>
        <v>16.780864197530864</v>
      </c>
      <c r="U70">
        <f t="shared" si="3"/>
        <v>3.3927383425925925</v>
      </c>
      <c r="X70" s="9"/>
      <c r="Y70" s="22">
        <v>1.4679</v>
      </c>
      <c r="Z70" s="22">
        <v>14.860799999999999</v>
      </c>
      <c r="AA70" s="22">
        <v>-9.3444800000000005E-3</v>
      </c>
      <c r="AB70" s="22">
        <v>60</v>
      </c>
      <c r="AC70" s="22">
        <v>1.4666699999999999</v>
      </c>
      <c r="AD70">
        <f t="shared" si="4"/>
        <v>11.536395061728395</v>
      </c>
      <c r="AE70">
        <f t="shared" si="5"/>
        <v>16.93427431111111</v>
      </c>
      <c r="AF70" s="9"/>
      <c r="AG70" s="22">
        <v>0.202179</v>
      </c>
      <c r="AH70" s="22">
        <v>18.619599999999998</v>
      </c>
      <c r="AI70" s="22">
        <v>-1.36475E-2</v>
      </c>
      <c r="AJ70" s="22">
        <v>60</v>
      </c>
      <c r="AK70" s="22">
        <v>0.20153799999999999</v>
      </c>
      <c r="AL70">
        <f t="shared" si="6"/>
        <v>16.848765432098766</v>
      </c>
      <c r="AM70">
        <f t="shared" si="7"/>
        <v>3.4064665462962962</v>
      </c>
      <c r="AP70" s="9"/>
      <c r="AQ70" s="22">
        <v>1.4679</v>
      </c>
      <c r="AR70" s="22">
        <v>24.036999999999999</v>
      </c>
      <c r="AS70" s="22">
        <v>-9.3505900000000006E-3</v>
      </c>
      <c r="AT70" s="22">
        <v>60</v>
      </c>
      <c r="AU70" s="22">
        <v>1.4666699999999999</v>
      </c>
      <c r="AV70">
        <f t="shared" si="8"/>
        <v>11.543938271604938</v>
      </c>
      <c r="AW70">
        <f t="shared" si="9"/>
        <v>16.94534698888889</v>
      </c>
      <c r="AX70" s="9"/>
      <c r="AY70" s="22">
        <v>0.202179</v>
      </c>
      <c r="AZ70" s="22">
        <v>27.7958</v>
      </c>
      <c r="BA70" s="22">
        <v>-1.36475E-2</v>
      </c>
      <c r="BB70" s="22">
        <v>60</v>
      </c>
      <c r="BC70" s="22">
        <v>0.201569</v>
      </c>
      <c r="BD70">
        <f t="shared" si="10"/>
        <v>16.848765432098766</v>
      </c>
      <c r="BE70">
        <f t="shared" si="11"/>
        <v>3.4064665462962962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5.6436500000000001</v>
      </c>
      <c r="I71" s="22">
        <v>-9.3749999999999997E-3</v>
      </c>
      <c r="J71" s="22">
        <v>61</v>
      </c>
      <c r="K71" s="22">
        <v>1.4621</v>
      </c>
      <c r="L71">
        <f t="shared" si="0"/>
        <v>11.574074074074073</v>
      </c>
      <c r="M71">
        <f t="shared" si="1"/>
        <v>16.931249999999999</v>
      </c>
      <c r="N71" s="9"/>
      <c r="O71" s="22">
        <v>0.20721400000000001</v>
      </c>
      <c r="P71" s="22">
        <v>9.4024099999999997</v>
      </c>
      <c r="Q71" s="22">
        <v>-1.3583400000000001E-2</v>
      </c>
      <c r="R71" s="22">
        <v>61</v>
      </c>
      <c r="S71" s="22">
        <v>0.206543</v>
      </c>
      <c r="T71">
        <f t="shared" si="2"/>
        <v>16.76962962962963</v>
      </c>
      <c r="U71">
        <f t="shared" si="3"/>
        <v>3.4749020340740744</v>
      </c>
      <c r="X71" s="9"/>
      <c r="Y71" s="22">
        <v>1.46286</v>
      </c>
      <c r="Z71" s="22">
        <v>14.870900000000001</v>
      </c>
      <c r="AA71" s="22">
        <v>-9.4451899999999991E-3</v>
      </c>
      <c r="AB71" s="22">
        <v>61</v>
      </c>
      <c r="AC71" s="22">
        <v>1.4617899999999999</v>
      </c>
      <c r="AD71">
        <f t="shared" si="4"/>
        <v>11.660728395061726</v>
      </c>
      <c r="AE71">
        <f t="shared" si="5"/>
        <v>17.058013139999996</v>
      </c>
      <c r="AF71" s="9"/>
      <c r="AG71" s="22">
        <v>0.20721400000000001</v>
      </c>
      <c r="AH71" s="22">
        <v>18.6296</v>
      </c>
      <c r="AI71" s="22">
        <v>-1.3638300000000001E-2</v>
      </c>
      <c r="AJ71" s="22">
        <v>61</v>
      </c>
      <c r="AK71" s="22">
        <v>0.206543</v>
      </c>
      <c r="AL71">
        <f t="shared" si="6"/>
        <v>16.837407407407408</v>
      </c>
      <c r="AM71">
        <f t="shared" si="7"/>
        <v>3.488946538518519</v>
      </c>
      <c r="AP71" s="9"/>
      <c r="AQ71" s="22">
        <v>1.46286</v>
      </c>
      <c r="AR71" s="22">
        <v>24.0471</v>
      </c>
      <c r="AS71" s="22">
        <v>-9.4512899999999993E-3</v>
      </c>
      <c r="AT71" s="22">
        <v>61</v>
      </c>
      <c r="AU71" s="22">
        <v>1.4617899999999999</v>
      </c>
      <c r="AV71">
        <f t="shared" si="8"/>
        <v>11.668259259259258</v>
      </c>
      <c r="AW71">
        <f t="shared" si="9"/>
        <v>17.069029739999998</v>
      </c>
      <c r="AX71" s="9"/>
      <c r="AY71" s="22">
        <v>0.20721400000000001</v>
      </c>
      <c r="AZ71" s="22">
        <v>27.805900000000001</v>
      </c>
      <c r="BA71" s="22">
        <v>-1.3650499999999999E-2</v>
      </c>
      <c r="BB71" s="22">
        <v>61</v>
      </c>
      <c r="BC71" s="22">
        <v>0.20657300000000001</v>
      </c>
      <c r="BD71">
        <f t="shared" si="10"/>
        <v>16.852469135802469</v>
      </c>
      <c r="BE71">
        <f t="shared" si="11"/>
        <v>3.4920675395061731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5.6537199999999999</v>
      </c>
      <c r="I72" s="22">
        <v>-9.4726600000000008E-3</v>
      </c>
      <c r="J72" s="22">
        <v>62</v>
      </c>
      <c r="K72" s="22">
        <v>1.4572099999999999</v>
      </c>
      <c r="L72">
        <f t="shared" si="0"/>
        <v>11.694641975308642</v>
      </c>
      <c r="M72">
        <f t="shared" si="1"/>
        <v>17.048682964444442</v>
      </c>
      <c r="N72" s="9"/>
      <c r="O72" s="22">
        <v>0.21224999999999999</v>
      </c>
      <c r="P72" s="22">
        <v>9.4124800000000004</v>
      </c>
      <c r="Q72" s="22">
        <v>-1.35712E-2</v>
      </c>
      <c r="R72" s="22">
        <v>62</v>
      </c>
      <c r="S72" s="22">
        <v>0.21154800000000001</v>
      </c>
      <c r="T72">
        <f t="shared" si="2"/>
        <v>16.754567901234566</v>
      </c>
      <c r="U72">
        <f t="shared" si="3"/>
        <v>3.5561570370370363</v>
      </c>
      <c r="X72" s="9"/>
      <c r="Y72" s="22">
        <v>1.4578199999999999</v>
      </c>
      <c r="Z72" s="22">
        <v>14.8809</v>
      </c>
      <c r="AA72" s="22">
        <v>-9.5489500000000005E-3</v>
      </c>
      <c r="AB72" s="22">
        <v>62</v>
      </c>
      <c r="AC72" s="22">
        <v>1.4569099999999999</v>
      </c>
      <c r="AD72">
        <f t="shared" si="4"/>
        <v>11.788827160493826</v>
      </c>
      <c r="AE72">
        <f t="shared" si="5"/>
        <v>17.185988011111107</v>
      </c>
      <c r="AF72" s="9"/>
      <c r="AG72" s="22">
        <v>0.21224999999999999</v>
      </c>
      <c r="AH72" s="22">
        <v>18.639700000000001</v>
      </c>
      <c r="AI72" s="22">
        <v>-1.36353E-2</v>
      </c>
      <c r="AJ72" s="22">
        <v>62</v>
      </c>
      <c r="AK72" s="22">
        <v>0.21157799999999999</v>
      </c>
      <c r="AL72">
        <f t="shared" si="6"/>
        <v>16.833703703703701</v>
      </c>
      <c r="AM72">
        <f t="shared" si="7"/>
        <v>3.5729536111111107</v>
      </c>
      <c r="AP72" s="9"/>
      <c r="AQ72" s="22">
        <v>1.4578199999999999</v>
      </c>
      <c r="AR72" s="22">
        <v>24.057200000000002</v>
      </c>
      <c r="AS72" s="22">
        <v>-9.5550500000000007E-3</v>
      </c>
      <c r="AT72" s="22">
        <v>62</v>
      </c>
      <c r="AU72" s="22">
        <v>1.4575199999999999</v>
      </c>
      <c r="AV72">
        <f t="shared" si="8"/>
        <v>11.796358024691358</v>
      </c>
      <c r="AW72">
        <f t="shared" si="9"/>
        <v>17.196966655555553</v>
      </c>
      <c r="AX72" s="9"/>
      <c r="AY72" s="22">
        <v>0.21224999999999999</v>
      </c>
      <c r="AZ72" s="22">
        <v>27.815899999999999</v>
      </c>
      <c r="BA72" s="22">
        <v>-1.3644399999999999E-2</v>
      </c>
      <c r="BB72" s="22">
        <v>62</v>
      </c>
      <c r="BC72" s="22">
        <v>0.21163899999999999</v>
      </c>
      <c r="BD72">
        <f t="shared" si="10"/>
        <v>16.844938271604939</v>
      </c>
      <c r="BE72">
        <f t="shared" si="11"/>
        <v>3.5753381481481483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5.6637899999999997</v>
      </c>
      <c r="I73" s="22">
        <v>-9.5703100000000003E-3</v>
      </c>
      <c r="J73" s="22">
        <v>63</v>
      </c>
      <c r="K73" s="22">
        <v>1.4514199999999999</v>
      </c>
      <c r="L73">
        <f t="shared" si="0"/>
        <v>11.815197530864198</v>
      </c>
      <c r="M73">
        <f t="shared" si="1"/>
        <v>17.165000820864201</v>
      </c>
      <c r="N73" s="9"/>
      <c r="O73" s="22">
        <v>0.21728500000000001</v>
      </c>
      <c r="P73" s="22">
        <v>9.4225499999999993</v>
      </c>
      <c r="Q73" s="22">
        <v>-1.3555899999999999E-2</v>
      </c>
      <c r="R73" s="22">
        <v>63</v>
      </c>
      <c r="S73" s="22">
        <v>0.216583</v>
      </c>
      <c r="T73">
        <f t="shared" si="2"/>
        <v>16.735679012345678</v>
      </c>
      <c r="U73">
        <f t="shared" si="3"/>
        <v>3.6364120141975307</v>
      </c>
      <c r="X73" s="9"/>
      <c r="Y73" s="22">
        <v>1.45279</v>
      </c>
      <c r="Z73" s="22">
        <v>14.891</v>
      </c>
      <c r="AA73" s="22">
        <v>-9.6527100000000001E-3</v>
      </c>
      <c r="AB73" s="22">
        <v>63</v>
      </c>
      <c r="AC73" s="22">
        <v>1.4520299999999999</v>
      </c>
      <c r="AD73">
        <f t="shared" si="4"/>
        <v>11.916925925925925</v>
      </c>
      <c r="AE73">
        <f t="shared" si="5"/>
        <v>17.312790815925926</v>
      </c>
      <c r="AF73" s="9"/>
      <c r="AG73" s="22">
        <v>0.21728500000000001</v>
      </c>
      <c r="AH73" s="22">
        <v>18.649799999999999</v>
      </c>
      <c r="AI73" s="22">
        <v>-1.36353E-2</v>
      </c>
      <c r="AJ73" s="22">
        <v>63</v>
      </c>
      <c r="AK73" s="22">
        <v>0.216583</v>
      </c>
      <c r="AL73">
        <f t="shared" si="6"/>
        <v>16.833703703703701</v>
      </c>
      <c r="AM73">
        <f t="shared" si="7"/>
        <v>3.657711309259259</v>
      </c>
      <c r="AP73" s="9"/>
      <c r="AQ73" s="22">
        <v>1.45279</v>
      </c>
      <c r="AR73" s="22">
        <v>24.0672</v>
      </c>
      <c r="AS73" s="22">
        <v>-9.6527100000000001E-3</v>
      </c>
      <c r="AT73" s="22">
        <v>63</v>
      </c>
      <c r="AU73" s="22">
        <v>1.4517199999999999</v>
      </c>
      <c r="AV73">
        <f t="shared" si="8"/>
        <v>11.916925925925925</v>
      </c>
      <c r="AW73">
        <f t="shared" si="9"/>
        <v>17.312790815925926</v>
      </c>
      <c r="AX73" s="9"/>
      <c r="AY73" s="22">
        <v>0.21728500000000001</v>
      </c>
      <c r="AZ73" s="22">
        <v>27.826000000000001</v>
      </c>
      <c r="BA73" s="22">
        <v>-1.3638300000000001E-2</v>
      </c>
      <c r="BB73" s="22">
        <v>63</v>
      </c>
      <c r="BC73" s="22">
        <v>0.216644</v>
      </c>
      <c r="BD73">
        <f t="shared" si="10"/>
        <v>16.837407407407408</v>
      </c>
      <c r="BE73">
        <f t="shared" si="11"/>
        <v>3.658516068518519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5.6738600000000003</v>
      </c>
      <c r="I74" s="22">
        <v>-9.6649200000000005E-3</v>
      </c>
      <c r="J74" s="22">
        <v>64</v>
      </c>
      <c r="K74" s="22">
        <v>1.4468399999999999</v>
      </c>
      <c r="L74">
        <f t="shared" si="0"/>
        <v>11.932</v>
      </c>
      <c r="M74">
        <f t="shared" si="1"/>
        <v>17.274553000000001</v>
      </c>
      <c r="N74" s="9"/>
      <c r="O74" s="22">
        <v>0.22232099999999999</v>
      </c>
      <c r="P74" s="22">
        <v>9.4326299999999996</v>
      </c>
      <c r="Q74" s="22">
        <v>-1.35406E-2</v>
      </c>
      <c r="R74" s="22">
        <v>64</v>
      </c>
      <c r="S74" s="22">
        <v>0.22167999999999999</v>
      </c>
      <c r="T74">
        <f t="shared" si="2"/>
        <v>16.716790123456789</v>
      </c>
      <c r="U74">
        <f t="shared" si="3"/>
        <v>3.7164934970370367</v>
      </c>
      <c r="X74" s="9"/>
      <c r="Y74" s="22">
        <v>1.4477500000000001</v>
      </c>
      <c r="Z74" s="22">
        <v>14.9011</v>
      </c>
      <c r="AA74" s="22">
        <v>-9.7473100000000003E-3</v>
      </c>
      <c r="AB74" s="22">
        <v>64</v>
      </c>
      <c r="AC74" s="22">
        <v>1.4471400000000001</v>
      </c>
      <c r="AD74">
        <f t="shared" si="4"/>
        <v>12.033716049382717</v>
      </c>
      <c r="AE74">
        <f t="shared" si="5"/>
        <v>17.421812410493828</v>
      </c>
      <c r="AF74" s="9"/>
      <c r="AG74" s="22">
        <v>0.22232099999999999</v>
      </c>
      <c r="AH74" s="22">
        <v>18.659800000000001</v>
      </c>
      <c r="AI74" s="22">
        <v>-1.362E-2</v>
      </c>
      <c r="AJ74" s="22">
        <v>64</v>
      </c>
      <c r="AK74" s="22">
        <v>0.22170999999999999</v>
      </c>
      <c r="AL74">
        <f t="shared" si="6"/>
        <v>16.814814814814813</v>
      </c>
      <c r="AM74">
        <f t="shared" si="7"/>
        <v>3.7382864444444439</v>
      </c>
      <c r="AP74" s="9"/>
      <c r="AQ74" s="22">
        <v>1.4477500000000001</v>
      </c>
      <c r="AR74" s="22">
        <v>24.077300000000001</v>
      </c>
      <c r="AS74" s="22">
        <v>-9.7564699999999997E-3</v>
      </c>
      <c r="AT74" s="22">
        <v>64</v>
      </c>
      <c r="AU74" s="22">
        <v>1.4468399999999999</v>
      </c>
      <c r="AV74">
        <f t="shared" si="8"/>
        <v>12.045024691358025</v>
      </c>
      <c r="AW74">
        <f t="shared" si="9"/>
        <v>17.438184496913582</v>
      </c>
      <c r="AX74" s="9"/>
      <c r="AY74" s="22">
        <v>0.22232099999999999</v>
      </c>
      <c r="AZ74" s="22">
        <v>27.836099999999998</v>
      </c>
      <c r="BA74" s="22">
        <v>-1.3638300000000001E-2</v>
      </c>
      <c r="BB74" s="22">
        <v>64</v>
      </c>
      <c r="BC74" s="22">
        <v>0.22170999999999999</v>
      </c>
      <c r="BD74">
        <f t="shared" si="10"/>
        <v>16.837407407407408</v>
      </c>
      <c r="BE74">
        <f t="shared" si="11"/>
        <v>3.7433092522222222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5.6839300000000001</v>
      </c>
      <c r="I75" s="22">
        <v>-9.7503699999999995E-3</v>
      </c>
      <c r="J75" s="22">
        <v>65</v>
      </c>
      <c r="K75" s="22">
        <v>1.4416500000000001</v>
      </c>
      <c r="L75">
        <f t="shared" si="0"/>
        <v>12.037493827160493</v>
      </c>
      <c r="M75">
        <f t="shared" si="1"/>
        <v>17.366733094320985</v>
      </c>
      <c r="N75" s="9"/>
      <c r="O75" s="22">
        <v>0.227356</v>
      </c>
      <c r="P75" s="22">
        <v>9.4427000000000003</v>
      </c>
      <c r="Q75" s="22">
        <v>-1.35254E-2</v>
      </c>
      <c r="R75" s="22">
        <v>65</v>
      </c>
      <c r="S75" s="22">
        <v>0.226715</v>
      </c>
      <c r="T75">
        <f t="shared" si="2"/>
        <v>16.698024691358025</v>
      </c>
      <c r="U75">
        <f t="shared" si="3"/>
        <v>3.7963961017283951</v>
      </c>
      <c r="X75" s="9"/>
      <c r="Y75" s="22">
        <v>1.44272</v>
      </c>
      <c r="Z75" s="22">
        <v>14.911099999999999</v>
      </c>
      <c r="AA75" s="22">
        <v>-9.8327599999999994E-3</v>
      </c>
      <c r="AB75" s="22">
        <v>65</v>
      </c>
      <c r="AC75" s="22">
        <v>1.4410400000000001</v>
      </c>
      <c r="AD75">
        <f t="shared" si="4"/>
        <v>12.139209876543207</v>
      </c>
      <c r="AE75">
        <f t="shared" si="5"/>
        <v>17.513480873086415</v>
      </c>
      <c r="AF75" s="9"/>
      <c r="AG75" s="22">
        <v>0.227356</v>
      </c>
      <c r="AH75" s="22">
        <v>18.669899999999998</v>
      </c>
      <c r="AI75" s="22">
        <v>-1.36139E-2</v>
      </c>
      <c r="AJ75" s="22">
        <v>65</v>
      </c>
      <c r="AK75" s="22">
        <v>0.226746</v>
      </c>
      <c r="AL75">
        <f t="shared" si="6"/>
        <v>16.807283950617283</v>
      </c>
      <c r="AM75">
        <f t="shared" si="7"/>
        <v>3.8212368498765428</v>
      </c>
      <c r="AP75" s="9"/>
      <c r="AQ75" s="22">
        <v>1.44272</v>
      </c>
      <c r="AR75" s="22">
        <v>24.087399999999999</v>
      </c>
      <c r="AS75" s="22">
        <v>-9.85107E-3</v>
      </c>
      <c r="AT75" s="22">
        <v>65</v>
      </c>
      <c r="AU75" s="22">
        <v>1.4416500000000001</v>
      </c>
      <c r="AV75">
        <f t="shared" si="8"/>
        <v>12.161814814814814</v>
      </c>
      <c r="AW75">
        <f t="shared" si="9"/>
        <v>17.546093469629628</v>
      </c>
      <c r="AX75" s="9"/>
      <c r="AY75" s="22">
        <v>0.227356</v>
      </c>
      <c r="AZ75" s="22">
        <v>27.8461</v>
      </c>
      <c r="BA75" s="22">
        <v>-1.3638300000000001E-2</v>
      </c>
      <c r="BB75" s="22">
        <v>65</v>
      </c>
      <c r="BC75" s="22">
        <v>0.226715</v>
      </c>
      <c r="BD75">
        <f t="shared" si="10"/>
        <v>16.837407407407408</v>
      </c>
      <c r="BE75">
        <f t="shared" si="11"/>
        <v>3.8280855985185185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5.6940099999999996</v>
      </c>
      <c r="I76" s="22">
        <v>-9.8358200000000003E-3</v>
      </c>
      <c r="J76" s="22">
        <v>66</v>
      </c>
      <c r="K76" s="22">
        <v>1.4367700000000001</v>
      </c>
      <c r="L76">
        <f t="shared" ref="L76:L139" si="12">-I76/$F$2*1000</f>
        <v>12.142987654320986</v>
      </c>
      <c r="M76">
        <f t="shared" ref="M76:M139" si="13">L76*G76</f>
        <v>17.457730490864197</v>
      </c>
      <c r="N76" s="9"/>
      <c r="O76" s="22">
        <v>0.23239099999999999</v>
      </c>
      <c r="P76" s="22">
        <v>9.4527699999999992</v>
      </c>
      <c r="Q76" s="22">
        <v>-1.35132E-2</v>
      </c>
      <c r="R76" s="22">
        <v>66</v>
      </c>
      <c r="S76" s="22">
        <v>0.23168900000000001</v>
      </c>
      <c r="T76">
        <f t="shared" ref="T76:T139" si="14">-Q76/$F$2*1000</f>
        <v>16.682962962962961</v>
      </c>
      <c r="U76">
        <f t="shared" ref="U76:U139" si="15">T76*O76</f>
        <v>3.8769704459259251</v>
      </c>
      <c r="X76" s="9"/>
      <c r="Y76" s="22">
        <v>1.4376800000000001</v>
      </c>
      <c r="Z76" s="22">
        <v>14.921200000000001</v>
      </c>
      <c r="AA76" s="22">
        <v>-9.9182100000000002E-3</v>
      </c>
      <c r="AB76" s="22">
        <v>66</v>
      </c>
      <c r="AC76" s="22">
        <v>1.4367700000000001</v>
      </c>
      <c r="AD76">
        <f t="shared" ref="AD76:AD139" si="16">-AA76/$F$2*1000</f>
        <v>12.244703703703705</v>
      </c>
      <c r="AE76">
        <f t="shared" ref="AE76:AE139" si="17">AD76*Y76</f>
        <v>17.603965620740741</v>
      </c>
      <c r="AF76" s="9"/>
      <c r="AG76" s="22">
        <v>0.23239099999999999</v>
      </c>
      <c r="AH76" s="22">
        <v>18.68</v>
      </c>
      <c r="AI76" s="22">
        <v>-1.36139E-2</v>
      </c>
      <c r="AJ76" s="22">
        <v>66</v>
      </c>
      <c r="AK76" s="22">
        <v>0.23172000000000001</v>
      </c>
      <c r="AL76">
        <f t="shared" ref="AL76:AL139" si="18">-AI76/$F$2*1000</f>
        <v>16.807283950617283</v>
      </c>
      <c r="AM76">
        <f t="shared" ref="AM76:AM139" si="19">AL76*AG76</f>
        <v>3.9058615245679009</v>
      </c>
      <c r="AP76" s="9"/>
      <c r="AQ76" s="22">
        <v>1.4376800000000001</v>
      </c>
      <c r="AR76" s="22">
        <v>24.0974</v>
      </c>
      <c r="AS76" s="22">
        <v>-9.9426299999999992E-3</v>
      </c>
      <c r="AT76" s="22">
        <v>66</v>
      </c>
      <c r="AU76" s="22">
        <v>1.4364600000000001</v>
      </c>
      <c r="AV76">
        <f t="shared" ref="AV76:AV139" si="20">-AS76/$F$2*1000</f>
        <v>12.274851851851849</v>
      </c>
      <c r="AW76">
        <f t="shared" ref="AW76:AW139" si="21">AV76*AQ76</f>
        <v>17.647309010370368</v>
      </c>
      <c r="AX76" s="9"/>
      <c r="AY76" s="22">
        <v>0.23239099999999999</v>
      </c>
      <c r="AZ76" s="22">
        <v>27.856200000000001</v>
      </c>
      <c r="BA76" s="22">
        <v>-1.36414E-2</v>
      </c>
      <c r="BB76" s="22">
        <v>66</v>
      </c>
      <c r="BC76" s="22">
        <v>0.23168900000000001</v>
      </c>
      <c r="BD76">
        <f t="shared" ref="BD76:BD139" si="22">-BA76/$F$2*1000</f>
        <v>16.841234567901232</v>
      </c>
      <c r="BE76">
        <f t="shared" ref="BE76:BE139" si="23">BD76*AY76</f>
        <v>3.9137513424691348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5.7040800000000003</v>
      </c>
      <c r="I77" s="22">
        <v>-9.9243200000000004E-3</v>
      </c>
      <c r="J77" s="22">
        <v>67</v>
      </c>
      <c r="K77" s="22">
        <v>1.43127</v>
      </c>
      <c r="L77">
        <f t="shared" si="12"/>
        <v>12.252246913580246</v>
      </c>
      <c r="M77">
        <f t="shared" si="13"/>
        <v>17.553181540740738</v>
      </c>
      <c r="N77" s="9"/>
      <c r="O77" s="22">
        <v>0.237427</v>
      </c>
      <c r="P77" s="22">
        <v>9.4628399999999999</v>
      </c>
      <c r="Q77" s="22">
        <v>-1.3501000000000001E-2</v>
      </c>
      <c r="R77" s="22">
        <v>67</v>
      </c>
      <c r="S77" s="22">
        <v>0.23675499999999999</v>
      </c>
      <c r="T77">
        <f t="shared" si="14"/>
        <v>16.667901234567903</v>
      </c>
      <c r="U77">
        <f t="shared" si="15"/>
        <v>3.9574097864197535</v>
      </c>
      <c r="X77" s="9"/>
      <c r="Y77" s="22">
        <v>1.43265</v>
      </c>
      <c r="Z77" s="22">
        <v>14.9313</v>
      </c>
      <c r="AA77" s="22">
        <v>-1.0003700000000001E-2</v>
      </c>
      <c r="AB77" s="22">
        <v>67</v>
      </c>
      <c r="AC77" s="22">
        <v>1.4315800000000001</v>
      </c>
      <c r="AD77">
        <f t="shared" si="16"/>
        <v>12.350246913580246</v>
      </c>
      <c r="AE77">
        <f t="shared" si="17"/>
        <v>17.693581240740741</v>
      </c>
      <c r="AF77" s="9"/>
      <c r="AG77" s="22">
        <v>0.237427</v>
      </c>
      <c r="AH77" s="22">
        <v>18.690000000000001</v>
      </c>
      <c r="AI77" s="22">
        <v>-1.36139E-2</v>
      </c>
      <c r="AJ77" s="22">
        <v>67</v>
      </c>
      <c r="AK77" s="22">
        <v>0.236847</v>
      </c>
      <c r="AL77">
        <f t="shared" si="18"/>
        <v>16.807283950617283</v>
      </c>
      <c r="AM77">
        <f t="shared" si="19"/>
        <v>3.9905030065432094</v>
      </c>
      <c r="AP77" s="9"/>
      <c r="AQ77" s="22">
        <v>1.43265</v>
      </c>
      <c r="AR77" s="22">
        <v>24.107500000000002</v>
      </c>
      <c r="AS77" s="22">
        <v>-1.0031099999999999E-2</v>
      </c>
      <c r="AT77" s="22">
        <v>67</v>
      </c>
      <c r="AU77" s="22">
        <v>1.43127</v>
      </c>
      <c r="AV77">
        <f t="shared" si="20"/>
        <v>12.384074074074071</v>
      </c>
      <c r="AW77">
        <f t="shared" si="21"/>
        <v>17.742043722222217</v>
      </c>
      <c r="AX77" s="9"/>
      <c r="AY77" s="22">
        <v>0.237427</v>
      </c>
      <c r="AZ77" s="22">
        <v>27.866299999999999</v>
      </c>
      <c r="BA77" s="22">
        <v>-1.36475E-2</v>
      </c>
      <c r="BB77" s="22">
        <v>67</v>
      </c>
      <c r="BC77" s="22">
        <v>0.236816</v>
      </c>
      <c r="BD77">
        <f t="shared" si="22"/>
        <v>16.848765432098766</v>
      </c>
      <c r="BE77">
        <f t="shared" si="23"/>
        <v>4.0003518302469141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5.7141500000000001</v>
      </c>
      <c r="I78" s="22">
        <v>-1.0009799999999999E-2</v>
      </c>
      <c r="J78" s="22">
        <v>68</v>
      </c>
      <c r="K78" s="22">
        <v>1.42639</v>
      </c>
      <c r="L78">
        <f t="shared" si="12"/>
        <v>12.357777777777777</v>
      </c>
      <c r="M78">
        <f t="shared" si="13"/>
        <v>17.642087133333334</v>
      </c>
      <c r="N78" s="9"/>
      <c r="O78" s="22">
        <v>0.24246200000000001</v>
      </c>
      <c r="P78" s="22">
        <v>9.4729100000000006</v>
      </c>
      <c r="Q78" s="22">
        <v>-1.34979E-2</v>
      </c>
      <c r="R78" s="22">
        <v>68</v>
      </c>
      <c r="S78" s="22">
        <v>0.24179100000000001</v>
      </c>
      <c r="T78">
        <f t="shared" si="14"/>
        <v>16.664074074074072</v>
      </c>
      <c r="U78">
        <f t="shared" si="15"/>
        <v>4.0404047281481477</v>
      </c>
      <c r="X78" s="9"/>
      <c r="Y78" s="22">
        <v>1.42761</v>
      </c>
      <c r="Z78" s="22">
        <v>14.9414</v>
      </c>
      <c r="AA78" s="22">
        <v>-1.00891E-2</v>
      </c>
      <c r="AB78" s="22">
        <v>68</v>
      </c>
      <c r="AC78" s="22">
        <v>1.4267000000000001</v>
      </c>
      <c r="AD78">
        <f t="shared" si="16"/>
        <v>12.455679012345678</v>
      </c>
      <c r="AE78">
        <f t="shared" si="17"/>
        <v>17.781851914814816</v>
      </c>
      <c r="AF78" s="9"/>
      <c r="AG78" s="22">
        <v>0.24246200000000001</v>
      </c>
      <c r="AH78" s="22">
        <v>18.700099999999999</v>
      </c>
      <c r="AI78" s="22">
        <v>-1.36139E-2</v>
      </c>
      <c r="AJ78" s="22">
        <v>68</v>
      </c>
      <c r="AK78" s="22">
        <v>0.24182100000000001</v>
      </c>
      <c r="AL78">
        <f t="shared" si="18"/>
        <v>16.807283950617283</v>
      </c>
      <c r="AM78">
        <f t="shared" si="19"/>
        <v>4.0751276812345676</v>
      </c>
      <c r="AP78" s="9"/>
      <c r="AQ78" s="22">
        <v>1.42761</v>
      </c>
      <c r="AR78" s="22">
        <v>24.117599999999999</v>
      </c>
      <c r="AS78" s="22">
        <v>-1.0119599999999999E-2</v>
      </c>
      <c r="AT78" s="22">
        <v>68</v>
      </c>
      <c r="AU78" s="22">
        <v>1.4267000000000001</v>
      </c>
      <c r="AV78">
        <f t="shared" si="20"/>
        <v>12.493333333333332</v>
      </c>
      <c r="AW78">
        <f t="shared" si="21"/>
        <v>17.835607599999999</v>
      </c>
      <c r="AX78" s="9"/>
      <c r="AY78" s="22">
        <v>0.24246200000000001</v>
      </c>
      <c r="AZ78" s="22">
        <v>27.876300000000001</v>
      </c>
      <c r="BA78" s="22">
        <v>-1.36475E-2</v>
      </c>
      <c r="BB78" s="22">
        <v>68</v>
      </c>
      <c r="BC78" s="22">
        <v>0.24176</v>
      </c>
      <c r="BD78">
        <f t="shared" si="22"/>
        <v>16.848765432098766</v>
      </c>
      <c r="BE78">
        <f t="shared" si="23"/>
        <v>4.0851853641975309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5.7242199999999999</v>
      </c>
      <c r="I79" s="22">
        <v>-1.0098299999999999E-2</v>
      </c>
      <c r="J79" s="22">
        <v>69</v>
      </c>
      <c r="K79" s="22">
        <v>1.4209000000000001</v>
      </c>
      <c r="L79">
        <f t="shared" si="12"/>
        <v>12.467037037037036</v>
      </c>
      <c r="M79">
        <f t="shared" si="13"/>
        <v>17.735357548148148</v>
      </c>
      <c r="N79" s="9"/>
      <c r="O79" s="22">
        <v>0.247498</v>
      </c>
      <c r="P79" s="22">
        <v>9.4829799999999995</v>
      </c>
      <c r="Q79" s="22">
        <v>-1.3501000000000001E-2</v>
      </c>
      <c r="R79" s="22">
        <v>69</v>
      </c>
      <c r="S79" s="22">
        <v>0.24679599999999999</v>
      </c>
      <c r="T79">
        <f t="shared" si="14"/>
        <v>16.667901234567903</v>
      </c>
      <c r="U79">
        <f t="shared" si="15"/>
        <v>4.1252722197530867</v>
      </c>
      <c r="X79" s="9"/>
      <c r="Y79" s="22">
        <v>1.42258</v>
      </c>
      <c r="Z79" s="22">
        <v>14.9514</v>
      </c>
      <c r="AA79" s="22">
        <v>-1.01776E-2</v>
      </c>
      <c r="AB79" s="22">
        <v>69</v>
      </c>
      <c r="AC79" s="22">
        <v>1.4212</v>
      </c>
      <c r="AD79">
        <f t="shared" si="16"/>
        <v>12.564938271604937</v>
      </c>
      <c r="AE79">
        <f t="shared" si="17"/>
        <v>17.874629886419751</v>
      </c>
      <c r="AF79" s="9"/>
      <c r="AG79" s="22">
        <v>0.247498</v>
      </c>
      <c r="AH79" s="22">
        <v>18.7102</v>
      </c>
      <c r="AI79" s="22">
        <v>-1.36078E-2</v>
      </c>
      <c r="AJ79" s="22">
        <v>69</v>
      </c>
      <c r="AK79" s="22">
        <v>0.24682599999999999</v>
      </c>
      <c r="AL79">
        <f t="shared" si="18"/>
        <v>16.799753086419752</v>
      </c>
      <c r="AM79">
        <f t="shared" si="19"/>
        <v>4.1579052893827155</v>
      </c>
      <c r="AP79" s="9"/>
      <c r="AQ79" s="22">
        <v>1.42258</v>
      </c>
      <c r="AR79" s="22">
        <v>24.127700000000001</v>
      </c>
      <c r="AS79" s="22">
        <v>-1.0208099999999999E-2</v>
      </c>
      <c r="AT79" s="22">
        <v>69</v>
      </c>
      <c r="AU79" s="22">
        <v>1.4215100000000001</v>
      </c>
      <c r="AV79">
        <f t="shared" si="20"/>
        <v>12.602592592592591</v>
      </c>
      <c r="AW79">
        <f t="shared" si="21"/>
        <v>17.928196170370367</v>
      </c>
      <c r="AX79" s="9"/>
      <c r="AY79" s="22">
        <v>0.247498</v>
      </c>
      <c r="AZ79" s="22">
        <v>27.886399999999998</v>
      </c>
      <c r="BA79" s="22">
        <v>-1.36475E-2</v>
      </c>
      <c r="BB79" s="22">
        <v>69</v>
      </c>
      <c r="BC79" s="22">
        <v>0.246887</v>
      </c>
      <c r="BD79">
        <f t="shared" si="22"/>
        <v>16.848765432098766</v>
      </c>
      <c r="BE79">
        <f t="shared" si="23"/>
        <v>4.1700357469135803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5.7342899999999997</v>
      </c>
      <c r="I80" s="22">
        <v>-1.01837E-2</v>
      </c>
      <c r="J80" s="22">
        <v>70</v>
      </c>
      <c r="K80" s="22">
        <v>1.4166300000000001</v>
      </c>
      <c r="L80">
        <f t="shared" si="12"/>
        <v>12.57246913580247</v>
      </c>
      <c r="M80">
        <f t="shared" si="13"/>
        <v>17.821977898765432</v>
      </c>
      <c r="N80" s="9"/>
      <c r="O80" s="22">
        <v>0.25253300000000001</v>
      </c>
      <c r="P80" s="22">
        <v>9.4930500000000002</v>
      </c>
      <c r="Q80" s="22">
        <v>-1.3507099999999999E-2</v>
      </c>
      <c r="R80" s="22">
        <v>70</v>
      </c>
      <c r="S80" s="22">
        <v>0.25183100000000003</v>
      </c>
      <c r="T80">
        <f t="shared" si="14"/>
        <v>16.67543209876543</v>
      </c>
      <c r="U80">
        <f t="shared" si="15"/>
        <v>4.2110968941975306</v>
      </c>
      <c r="X80" s="9"/>
      <c r="Y80" s="22">
        <v>1.41754</v>
      </c>
      <c r="Z80" s="22">
        <v>14.961499999999999</v>
      </c>
      <c r="AA80" s="22">
        <v>-1.0263100000000001E-2</v>
      </c>
      <c r="AB80" s="22">
        <v>70</v>
      </c>
      <c r="AC80" s="22">
        <v>1.41693</v>
      </c>
      <c r="AD80">
        <f t="shared" si="16"/>
        <v>12.670493827160493</v>
      </c>
      <c r="AE80">
        <f t="shared" si="17"/>
        <v>17.960931819753085</v>
      </c>
      <c r="AF80" s="9"/>
      <c r="AG80" s="22">
        <v>0.25253300000000001</v>
      </c>
      <c r="AH80" s="22">
        <v>18.720300000000002</v>
      </c>
      <c r="AI80" s="22">
        <v>-1.3610799999999999E-2</v>
      </c>
      <c r="AJ80" s="22">
        <v>70</v>
      </c>
      <c r="AK80" s="22">
        <v>0.25183100000000003</v>
      </c>
      <c r="AL80">
        <f t="shared" si="18"/>
        <v>16.803456790123455</v>
      </c>
      <c r="AM80">
        <f t="shared" si="19"/>
        <v>4.2434273535802465</v>
      </c>
      <c r="AP80" s="9"/>
      <c r="AQ80" s="22">
        <v>1.41754</v>
      </c>
      <c r="AR80" s="22">
        <v>24.137699999999999</v>
      </c>
      <c r="AS80" s="22">
        <v>-1.0290499999999999E-2</v>
      </c>
      <c r="AT80" s="22">
        <v>70</v>
      </c>
      <c r="AU80" s="22">
        <v>1.41632</v>
      </c>
      <c r="AV80">
        <f t="shared" si="20"/>
        <v>12.70432098765432</v>
      </c>
      <c r="AW80">
        <f t="shared" si="21"/>
        <v>18.008883172839504</v>
      </c>
      <c r="AX80" s="9"/>
      <c r="AY80" s="22">
        <v>0.25253300000000001</v>
      </c>
      <c r="AZ80" s="22">
        <v>27.8965</v>
      </c>
      <c r="BA80" s="22">
        <v>-1.36536E-2</v>
      </c>
      <c r="BB80" s="22">
        <v>70</v>
      </c>
      <c r="BC80" s="22">
        <v>0.25186199999999997</v>
      </c>
      <c r="BD80">
        <f t="shared" si="22"/>
        <v>16.856296296296296</v>
      </c>
      <c r="BE80">
        <f t="shared" si="23"/>
        <v>4.2567710725925929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5.7443600000000004</v>
      </c>
      <c r="I81" s="22">
        <v>-1.0263100000000001E-2</v>
      </c>
      <c r="J81" s="22">
        <v>71</v>
      </c>
      <c r="K81" s="22">
        <v>1.41174</v>
      </c>
      <c r="L81">
        <f t="shared" si="12"/>
        <v>12.670493827160493</v>
      </c>
      <c r="M81">
        <f t="shared" si="13"/>
        <v>17.897199235802468</v>
      </c>
      <c r="N81" s="9"/>
      <c r="O81" s="22">
        <v>0.25756800000000002</v>
      </c>
      <c r="P81" s="22">
        <v>9.5031199999999991</v>
      </c>
      <c r="Q81" s="22">
        <v>-1.3510100000000001E-2</v>
      </c>
      <c r="R81" s="22">
        <v>71</v>
      </c>
      <c r="S81" s="22">
        <v>0.25686599999999998</v>
      </c>
      <c r="T81">
        <f t="shared" si="14"/>
        <v>16.679135802469133</v>
      </c>
      <c r="U81">
        <f t="shared" si="15"/>
        <v>4.29601165037037</v>
      </c>
      <c r="X81" s="9"/>
      <c r="Y81" s="22">
        <v>1.4125099999999999</v>
      </c>
      <c r="Z81" s="22">
        <v>14.9716</v>
      </c>
      <c r="AA81" s="22">
        <v>-1.03424E-2</v>
      </c>
      <c r="AB81" s="22">
        <v>71</v>
      </c>
      <c r="AC81" s="22">
        <v>1.41174</v>
      </c>
      <c r="AD81">
        <f t="shared" si="16"/>
        <v>12.768395061728393</v>
      </c>
      <c r="AE81">
        <f t="shared" si="17"/>
        <v>18.035485708641971</v>
      </c>
      <c r="AF81" s="9"/>
      <c r="AG81" s="22">
        <v>0.25756800000000002</v>
      </c>
      <c r="AH81" s="22">
        <v>18.7303</v>
      </c>
      <c r="AI81" s="22">
        <v>-1.36139E-2</v>
      </c>
      <c r="AJ81" s="22">
        <v>71</v>
      </c>
      <c r="AK81" s="22">
        <v>0.25689699999999999</v>
      </c>
      <c r="AL81">
        <f t="shared" si="18"/>
        <v>16.807283950617283</v>
      </c>
      <c r="AM81">
        <f t="shared" si="19"/>
        <v>4.3290185125925928</v>
      </c>
      <c r="AP81" s="9"/>
      <c r="AQ81" s="22">
        <v>1.4125099999999999</v>
      </c>
      <c r="AR81" s="22">
        <v>24.1478</v>
      </c>
      <c r="AS81" s="22">
        <v>-1.0376E-2</v>
      </c>
      <c r="AT81" s="22">
        <v>71</v>
      </c>
      <c r="AU81" s="22">
        <v>1.41083</v>
      </c>
      <c r="AV81">
        <f t="shared" si="20"/>
        <v>12.809876543209876</v>
      </c>
      <c r="AW81">
        <f t="shared" si="21"/>
        <v>18.094078716049381</v>
      </c>
      <c r="AX81" s="9"/>
      <c r="AY81" s="22">
        <v>0.25756800000000002</v>
      </c>
      <c r="AZ81" s="22">
        <v>27.906600000000001</v>
      </c>
      <c r="BA81" s="22">
        <v>-1.36566E-2</v>
      </c>
      <c r="BB81" s="22">
        <v>71</v>
      </c>
      <c r="BC81" s="22">
        <v>0.25686599999999998</v>
      </c>
      <c r="BD81">
        <f t="shared" si="22"/>
        <v>16.86</v>
      </c>
      <c r="BE81">
        <f t="shared" si="23"/>
        <v>4.3425964800000001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5.7544300000000002</v>
      </c>
      <c r="I82" s="22">
        <v>-1.03394E-2</v>
      </c>
      <c r="J82" s="22">
        <v>72</v>
      </c>
      <c r="K82" s="22">
        <v>1.40656</v>
      </c>
      <c r="L82">
        <f t="shared" si="12"/>
        <v>12.764691358024692</v>
      </c>
      <c r="M82">
        <f t="shared" si="13"/>
        <v>17.965920145679014</v>
      </c>
      <c r="N82" s="9"/>
      <c r="O82" s="22">
        <v>0.262604</v>
      </c>
      <c r="P82" s="22">
        <v>9.5131899999999998</v>
      </c>
      <c r="Q82" s="22">
        <v>-1.3507099999999999E-2</v>
      </c>
      <c r="R82" s="22">
        <v>72</v>
      </c>
      <c r="S82" s="22">
        <v>0.26187100000000002</v>
      </c>
      <c r="T82">
        <f t="shared" si="14"/>
        <v>16.67543209876543</v>
      </c>
      <c r="U82">
        <f t="shared" si="15"/>
        <v>4.3790351708641975</v>
      </c>
      <c r="X82" s="9"/>
      <c r="Y82" s="22">
        <v>1.40747</v>
      </c>
      <c r="Z82" s="22">
        <v>14.9816</v>
      </c>
      <c r="AA82" s="22">
        <v>-1.0418699999999999E-2</v>
      </c>
      <c r="AB82" s="22">
        <v>72</v>
      </c>
      <c r="AC82" s="22">
        <v>1.40717</v>
      </c>
      <c r="AD82">
        <f t="shared" si="16"/>
        <v>12.862592592592591</v>
      </c>
      <c r="AE82">
        <f t="shared" si="17"/>
        <v>18.103713196296294</v>
      </c>
      <c r="AF82" s="9"/>
      <c r="AG82" s="22">
        <v>0.262604</v>
      </c>
      <c r="AH82" s="22">
        <v>18.740400000000001</v>
      </c>
      <c r="AI82" s="22">
        <v>-1.3616899999999999E-2</v>
      </c>
      <c r="AJ82" s="22">
        <v>72</v>
      </c>
      <c r="AK82" s="22">
        <v>0.261932</v>
      </c>
      <c r="AL82">
        <f t="shared" si="18"/>
        <v>16.810987654320986</v>
      </c>
      <c r="AM82">
        <f t="shared" si="19"/>
        <v>4.4146326019753079</v>
      </c>
      <c r="AP82" s="9"/>
      <c r="AQ82" s="22">
        <v>1.40747</v>
      </c>
      <c r="AR82" s="22">
        <v>24.157900000000001</v>
      </c>
      <c r="AS82" s="22">
        <v>-1.0452299999999999E-2</v>
      </c>
      <c r="AT82" s="22">
        <v>72</v>
      </c>
      <c r="AU82" s="22">
        <v>1.40625</v>
      </c>
      <c r="AV82">
        <f t="shared" si="20"/>
        <v>12.904074074074073</v>
      </c>
      <c r="AW82">
        <f t="shared" si="21"/>
        <v>18.162097137037033</v>
      </c>
      <c r="AX82" s="9"/>
      <c r="AY82" s="22">
        <v>0.262604</v>
      </c>
      <c r="AZ82" s="22">
        <v>27.916599999999999</v>
      </c>
      <c r="BA82" s="22">
        <v>-1.3650499999999999E-2</v>
      </c>
      <c r="BB82" s="22">
        <v>72</v>
      </c>
      <c r="BC82" s="22">
        <v>0.26190200000000002</v>
      </c>
      <c r="BD82">
        <f t="shared" si="22"/>
        <v>16.852469135802469</v>
      </c>
      <c r="BE82">
        <f t="shared" si="23"/>
        <v>4.425525804938272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5.7645</v>
      </c>
      <c r="I83" s="22">
        <v>-1.04218E-2</v>
      </c>
      <c r="J83" s="22">
        <v>73</v>
      </c>
      <c r="K83" s="22">
        <v>1.40167</v>
      </c>
      <c r="L83">
        <f t="shared" si="12"/>
        <v>12.866419753086419</v>
      </c>
      <c r="M83">
        <f t="shared" si="13"/>
        <v>18.044381718518515</v>
      </c>
      <c r="N83" s="9"/>
      <c r="O83" s="22">
        <v>0.26763900000000002</v>
      </c>
      <c r="P83" s="22">
        <v>9.5232600000000005</v>
      </c>
      <c r="Q83" s="22">
        <v>-1.34979E-2</v>
      </c>
      <c r="R83" s="22">
        <v>73</v>
      </c>
      <c r="S83" s="22">
        <v>0.26696799999999998</v>
      </c>
      <c r="T83">
        <f t="shared" si="14"/>
        <v>16.664074074074072</v>
      </c>
      <c r="U83">
        <f t="shared" si="15"/>
        <v>4.4599561211111105</v>
      </c>
      <c r="X83" s="9"/>
      <c r="Y83" s="22">
        <v>1.4024399999999999</v>
      </c>
      <c r="Z83" s="22">
        <v>14.9917</v>
      </c>
      <c r="AA83" s="22">
        <v>-1.0495000000000001E-2</v>
      </c>
      <c r="AB83" s="22">
        <v>73</v>
      </c>
      <c r="AC83" s="22">
        <v>1.40106</v>
      </c>
      <c r="AD83">
        <f t="shared" si="16"/>
        <v>12.956790123456791</v>
      </c>
      <c r="AE83">
        <f t="shared" si="17"/>
        <v>18.17112074074074</v>
      </c>
      <c r="AF83" s="9"/>
      <c r="AG83" s="22">
        <v>0.26763900000000002</v>
      </c>
      <c r="AH83" s="22">
        <v>18.750499999999999</v>
      </c>
      <c r="AI83" s="22">
        <v>-1.3604700000000001E-2</v>
      </c>
      <c r="AJ83" s="22">
        <v>73</v>
      </c>
      <c r="AK83" s="22">
        <v>0.26696799999999998</v>
      </c>
      <c r="AL83">
        <f t="shared" si="18"/>
        <v>16.795925925925925</v>
      </c>
      <c r="AM83">
        <f t="shared" si="19"/>
        <v>4.4952448188888887</v>
      </c>
      <c r="AP83" s="9"/>
      <c r="AQ83" s="22">
        <v>1.4024399999999999</v>
      </c>
      <c r="AR83" s="22">
        <v>24.167899999999999</v>
      </c>
      <c r="AS83" s="22">
        <v>-1.05194E-2</v>
      </c>
      <c r="AT83" s="22">
        <v>73</v>
      </c>
      <c r="AU83" s="22">
        <v>1.40137</v>
      </c>
      <c r="AV83">
        <f t="shared" si="20"/>
        <v>12.986913580246913</v>
      </c>
      <c r="AW83">
        <f t="shared" si="21"/>
        <v>18.213367081481479</v>
      </c>
      <c r="AX83" s="9"/>
      <c r="AY83" s="22">
        <v>0.26763900000000002</v>
      </c>
      <c r="AZ83" s="22">
        <v>27.9267</v>
      </c>
      <c r="BA83" s="22">
        <v>-1.3644399999999999E-2</v>
      </c>
      <c r="BB83" s="22">
        <v>73</v>
      </c>
      <c r="BC83" s="22">
        <v>0.26693699999999998</v>
      </c>
      <c r="BD83">
        <f t="shared" si="22"/>
        <v>16.844938271604939</v>
      </c>
      <c r="BE83">
        <f t="shared" si="23"/>
        <v>4.5083624340740744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5.7745699999999998</v>
      </c>
      <c r="I84" s="22">
        <v>-1.0501099999999999E-2</v>
      </c>
      <c r="J84" s="22">
        <v>74</v>
      </c>
      <c r="K84" s="22">
        <v>1.39618</v>
      </c>
      <c r="L84">
        <f t="shared" si="12"/>
        <v>12.96432098765432</v>
      </c>
      <c r="M84">
        <f t="shared" si="13"/>
        <v>18.116342148148146</v>
      </c>
      <c r="N84" s="9"/>
      <c r="O84" s="22">
        <v>0.272675</v>
      </c>
      <c r="P84" s="22">
        <v>9.5333400000000008</v>
      </c>
      <c r="Q84" s="22">
        <v>-1.34979E-2</v>
      </c>
      <c r="R84" s="22">
        <v>74</v>
      </c>
      <c r="S84" s="22">
        <v>0.27200299999999999</v>
      </c>
      <c r="T84">
        <f t="shared" si="14"/>
        <v>16.664074074074072</v>
      </c>
      <c r="U84">
        <f t="shared" si="15"/>
        <v>4.5438763981481474</v>
      </c>
      <c r="X84" s="9"/>
      <c r="Y84" s="22">
        <v>1.3974</v>
      </c>
      <c r="Z84" s="22">
        <v>15.001799999999999</v>
      </c>
      <c r="AA84" s="22">
        <v>-1.05743E-2</v>
      </c>
      <c r="AB84" s="22">
        <v>74</v>
      </c>
      <c r="AC84" s="22">
        <v>1.39618</v>
      </c>
      <c r="AD84">
        <f t="shared" si="16"/>
        <v>13.054691358024691</v>
      </c>
      <c r="AE84">
        <f t="shared" si="17"/>
        <v>18.242625703703702</v>
      </c>
      <c r="AF84" s="9"/>
      <c r="AG84" s="22">
        <v>0.272675</v>
      </c>
      <c r="AH84" s="22">
        <v>18.7605</v>
      </c>
      <c r="AI84" s="22">
        <v>-1.35864E-2</v>
      </c>
      <c r="AJ84" s="22">
        <v>74</v>
      </c>
      <c r="AK84" s="22">
        <v>0.27197300000000002</v>
      </c>
      <c r="AL84">
        <f t="shared" si="18"/>
        <v>16.77333333333333</v>
      </c>
      <c r="AM84">
        <f t="shared" si="19"/>
        <v>4.5736686666666655</v>
      </c>
      <c r="AP84" s="9"/>
      <c r="AQ84" s="22">
        <v>1.3974</v>
      </c>
      <c r="AR84" s="22">
        <v>24.178000000000001</v>
      </c>
      <c r="AS84" s="22">
        <v>-1.0589599999999999E-2</v>
      </c>
      <c r="AT84" s="22">
        <v>74</v>
      </c>
      <c r="AU84" s="22">
        <v>1.39679</v>
      </c>
      <c r="AV84">
        <f t="shared" si="20"/>
        <v>13.073580246913579</v>
      </c>
      <c r="AW84">
        <f t="shared" si="21"/>
        <v>18.269021037037035</v>
      </c>
      <c r="AX84" s="9"/>
      <c r="AY84" s="22">
        <v>0.272675</v>
      </c>
      <c r="AZ84" s="22">
        <v>27.936800000000002</v>
      </c>
      <c r="BA84" s="22">
        <v>-1.3629199999999999E-2</v>
      </c>
      <c r="BB84" s="22">
        <v>74</v>
      </c>
      <c r="BC84" s="22">
        <v>0.27200299999999999</v>
      </c>
      <c r="BD84">
        <f t="shared" si="22"/>
        <v>16.826172839506171</v>
      </c>
      <c r="BE84">
        <f t="shared" si="23"/>
        <v>4.5880766790123451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5.7846399999999996</v>
      </c>
      <c r="I85" s="22">
        <v>-1.05743E-2</v>
      </c>
      <c r="J85" s="22">
        <v>75</v>
      </c>
      <c r="K85" s="22">
        <v>1.3915999999999999</v>
      </c>
      <c r="L85">
        <f t="shared" si="12"/>
        <v>13.054691358024691</v>
      </c>
      <c r="M85">
        <f t="shared" si="13"/>
        <v>18.17683005925926</v>
      </c>
      <c r="N85" s="9"/>
      <c r="O85" s="22">
        <v>0.27771000000000001</v>
      </c>
      <c r="P85" s="22">
        <v>9.5434099999999997</v>
      </c>
      <c r="Q85" s="22">
        <v>-1.3501000000000001E-2</v>
      </c>
      <c r="R85" s="22">
        <v>75</v>
      </c>
      <c r="S85" s="22">
        <v>0.27703899999999998</v>
      </c>
      <c r="T85">
        <f t="shared" si="14"/>
        <v>16.667901234567903</v>
      </c>
      <c r="U85">
        <f t="shared" si="15"/>
        <v>4.6288428518518527</v>
      </c>
      <c r="X85" s="9"/>
      <c r="Y85" s="22">
        <v>1.39236</v>
      </c>
      <c r="Z85" s="22">
        <v>15.011900000000001</v>
      </c>
      <c r="AA85" s="22">
        <v>-1.06506E-2</v>
      </c>
      <c r="AB85" s="22">
        <v>75</v>
      </c>
      <c r="AC85" s="22">
        <v>1.3915999999999999</v>
      </c>
      <c r="AD85">
        <f t="shared" si="16"/>
        <v>13.148888888888887</v>
      </c>
      <c r="AE85">
        <f t="shared" si="17"/>
        <v>18.307986933333332</v>
      </c>
      <c r="AF85" s="9"/>
      <c r="AG85" s="22">
        <v>0.27771000000000001</v>
      </c>
      <c r="AH85" s="22">
        <v>18.770600000000002</v>
      </c>
      <c r="AI85" s="22">
        <v>-1.35742E-2</v>
      </c>
      <c r="AJ85" s="22">
        <v>75</v>
      </c>
      <c r="AK85" s="22">
        <v>0.27703899999999998</v>
      </c>
      <c r="AL85">
        <f t="shared" si="18"/>
        <v>16.758271604938273</v>
      </c>
      <c r="AM85">
        <f t="shared" si="19"/>
        <v>4.6539396074074082</v>
      </c>
      <c r="AP85" s="9"/>
      <c r="AQ85" s="22">
        <v>1.39236</v>
      </c>
      <c r="AR85" s="22">
        <v>24.188099999999999</v>
      </c>
      <c r="AS85" s="22">
        <v>-1.0659800000000001E-2</v>
      </c>
      <c r="AT85" s="22">
        <v>75</v>
      </c>
      <c r="AU85" s="22">
        <v>1.3915999999999999</v>
      </c>
      <c r="AV85">
        <f t="shared" si="20"/>
        <v>13.160246913580247</v>
      </c>
      <c r="AW85">
        <f t="shared" si="21"/>
        <v>18.323801392592593</v>
      </c>
      <c r="AX85" s="9"/>
      <c r="AY85" s="22">
        <v>0.27771000000000001</v>
      </c>
      <c r="AZ85" s="22">
        <v>27.9468</v>
      </c>
      <c r="BA85" s="22">
        <v>-1.362E-2</v>
      </c>
      <c r="BB85" s="22">
        <v>75</v>
      </c>
      <c r="BC85" s="22">
        <v>0.27703899999999998</v>
      </c>
      <c r="BD85">
        <f t="shared" si="22"/>
        <v>16.814814814814813</v>
      </c>
      <c r="BE85">
        <f t="shared" si="23"/>
        <v>4.6696422222222216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5.7947199999999999</v>
      </c>
      <c r="I86" s="22">
        <v>-1.06415E-2</v>
      </c>
      <c r="J86" s="22">
        <v>76</v>
      </c>
      <c r="K86" s="22">
        <v>1.38672</v>
      </c>
      <c r="L86">
        <f t="shared" si="12"/>
        <v>13.137654320987654</v>
      </c>
      <c r="M86">
        <f t="shared" si="13"/>
        <v>18.226261969135802</v>
      </c>
      <c r="N86" s="9"/>
      <c r="O86" s="22">
        <v>0.28274500000000002</v>
      </c>
      <c r="P86" s="22">
        <v>9.5534800000000004</v>
      </c>
      <c r="Q86" s="22">
        <v>-1.3494900000000001E-2</v>
      </c>
      <c r="R86" s="22">
        <v>76</v>
      </c>
      <c r="S86" s="22">
        <v>0.28195199999999998</v>
      </c>
      <c r="T86">
        <f t="shared" si="14"/>
        <v>16.660370370370369</v>
      </c>
      <c r="U86">
        <f t="shared" si="15"/>
        <v>4.7106364203703706</v>
      </c>
      <c r="X86" s="9"/>
      <c r="Y86" s="22">
        <v>1.38733</v>
      </c>
      <c r="Z86" s="22">
        <v>15.0219</v>
      </c>
      <c r="AA86" s="22">
        <v>-1.07239E-2</v>
      </c>
      <c r="AB86" s="22">
        <v>76</v>
      </c>
      <c r="AC86" s="22">
        <v>1.38672</v>
      </c>
      <c r="AD86">
        <f t="shared" si="16"/>
        <v>13.239382716049382</v>
      </c>
      <c r="AE86">
        <f t="shared" si="17"/>
        <v>18.36739282345679</v>
      </c>
      <c r="AF86" s="9"/>
      <c r="AG86" s="22">
        <v>0.28274500000000002</v>
      </c>
      <c r="AH86" s="22">
        <v>18.7807</v>
      </c>
      <c r="AI86" s="22">
        <v>-1.35651E-2</v>
      </c>
      <c r="AJ86" s="22">
        <v>76</v>
      </c>
      <c r="AK86" s="22">
        <v>0.28207399999999999</v>
      </c>
      <c r="AL86">
        <f t="shared" si="18"/>
        <v>16.747037037037035</v>
      </c>
      <c r="AM86">
        <f t="shared" si="19"/>
        <v>4.7351409870370373</v>
      </c>
      <c r="AP86" s="9"/>
      <c r="AQ86" s="22">
        <v>1.38733</v>
      </c>
      <c r="AR86" s="22">
        <v>24.1982</v>
      </c>
      <c r="AS86" s="22">
        <v>-1.073E-2</v>
      </c>
      <c r="AT86" s="22">
        <v>76</v>
      </c>
      <c r="AU86" s="22">
        <v>1.3870199999999999</v>
      </c>
      <c r="AV86">
        <f t="shared" si="20"/>
        <v>13.246913580246913</v>
      </c>
      <c r="AW86">
        <f t="shared" si="21"/>
        <v>18.377840617283947</v>
      </c>
      <c r="AX86" s="9"/>
      <c r="AY86" s="22">
        <v>0.28274500000000002</v>
      </c>
      <c r="AZ86" s="22">
        <v>27.956900000000001</v>
      </c>
      <c r="BA86" s="22">
        <v>-1.36139E-2</v>
      </c>
      <c r="BB86" s="22">
        <v>76</v>
      </c>
      <c r="BC86" s="22">
        <v>0.28207399999999999</v>
      </c>
      <c r="BD86">
        <f t="shared" si="22"/>
        <v>16.807283950617283</v>
      </c>
      <c r="BE86">
        <f t="shared" si="23"/>
        <v>4.7521755006172839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5.8047899999999997</v>
      </c>
      <c r="I87" s="22">
        <v>-1.07025E-2</v>
      </c>
      <c r="J87" s="22">
        <v>77</v>
      </c>
      <c r="K87" s="22">
        <v>1.38123</v>
      </c>
      <c r="L87">
        <f t="shared" si="12"/>
        <v>13.212962962962964</v>
      </c>
      <c r="M87">
        <f t="shared" si="13"/>
        <v>18.264146574074076</v>
      </c>
      <c r="N87" s="9"/>
      <c r="O87" s="22">
        <v>0.28778100000000001</v>
      </c>
      <c r="P87" s="22">
        <v>9.5635499999999993</v>
      </c>
      <c r="Q87" s="22">
        <v>-1.34888E-2</v>
      </c>
      <c r="R87" s="22">
        <v>77</v>
      </c>
      <c r="S87" s="22">
        <v>0.28716999999999998</v>
      </c>
      <c r="T87">
        <f t="shared" si="14"/>
        <v>16.652839506172839</v>
      </c>
      <c r="U87">
        <f t="shared" si="15"/>
        <v>4.792370805925926</v>
      </c>
      <c r="X87" s="9"/>
      <c r="Y87" s="22">
        <v>1.38229</v>
      </c>
      <c r="Z87" s="22">
        <v>15.032</v>
      </c>
      <c r="AA87" s="22">
        <v>-1.07971E-2</v>
      </c>
      <c r="AB87" s="22">
        <v>77</v>
      </c>
      <c r="AC87" s="22">
        <v>1.38184</v>
      </c>
      <c r="AD87">
        <f t="shared" si="16"/>
        <v>13.329753086419753</v>
      </c>
      <c r="AE87">
        <f t="shared" si="17"/>
        <v>18.425584393827162</v>
      </c>
      <c r="AF87" s="9"/>
      <c r="AG87" s="22">
        <v>0.28778100000000001</v>
      </c>
      <c r="AH87" s="22">
        <v>18.790800000000001</v>
      </c>
      <c r="AI87" s="22">
        <v>-1.3559E-2</v>
      </c>
      <c r="AJ87" s="22">
        <v>77</v>
      </c>
      <c r="AK87" s="22">
        <v>0.28716999999999998</v>
      </c>
      <c r="AL87">
        <f t="shared" si="18"/>
        <v>16.739506172839505</v>
      </c>
      <c r="AM87">
        <f t="shared" si="19"/>
        <v>4.817311825925926</v>
      </c>
      <c r="AP87" s="9"/>
      <c r="AQ87" s="22">
        <v>1.38229</v>
      </c>
      <c r="AR87" s="22">
        <v>24.208200000000001</v>
      </c>
      <c r="AS87" s="22">
        <v>-1.07971E-2</v>
      </c>
      <c r="AT87" s="22">
        <v>77</v>
      </c>
      <c r="AU87" s="22">
        <v>1.3809199999999999</v>
      </c>
      <c r="AV87">
        <f t="shared" si="20"/>
        <v>13.329753086419753</v>
      </c>
      <c r="AW87">
        <f t="shared" si="21"/>
        <v>18.425584393827162</v>
      </c>
      <c r="AX87" s="9"/>
      <c r="AY87" s="22">
        <v>0.28778100000000001</v>
      </c>
      <c r="AZ87" s="22">
        <v>27.966999999999999</v>
      </c>
      <c r="BA87" s="22">
        <v>-1.3616899999999999E-2</v>
      </c>
      <c r="BB87" s="22">
        <v>77</v>
      </c>
      <c r="BC87" s="22">
        <v>0.287109</v>
      </c>
      <c r="BD87">
        <f t="shared" si="22"/>
        <v>16.810987654320986</v>
      </c>
      <c r="BE87">
        <f t="shared" si="23"/>
        <v>4.8378828381481478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5.8148600000000004</v>
      </c>
      <c r="I88" s="22">
        <v>-1.07697E-2</v>
      </c>
      <c r="J88" s="22">
        <v>78</v>
      </c>
      <c r="K88" s="22">
        <v>1.3763399999999999</v>
      </c>
      <c r="L88">
        <f t="shared" si="12"/>
        <v>13.295925925925925</v>
      </c>
      <c r="M88">
        <f t="shared" si="13"/>
        <v>18.311946940740739</v>
      </c>
      <c r="N88" s="9"/>
      <c r="O88" s="22">
        <v>0.29281600000000002</v>
      </c>
      <c r="P88" s="22">
        <v>9.57362</v>
      </c>
      <c r="Q88" s="22">
        <v>-1.34857E-2</v>
      </c>
      <c r="R88" s="22">
        <v>78</v>
      </c>
      <c r="S88" s="22">
        <v>0.29214499999999999</v>
      </c>
      <c r="T88">
        <f t="shared" si="14"/>
        <v>16.649012345679012</v>
      </c>
      <c r="U88">
        <f t="shared" si="15"/>
        <v>4.8750971990123455</v>
      </c>
      <c r="X88" s="9"/>
      <c r="Y88" s="22">
        <v>1.3772599999999999</v>
      </c>
      <c r="Z88" s="22">
        <v>15.0421</v>
      </c>
      <c r="AA88" s="22">
        <v>-1.0870400000000001E-2</v>
      </c>
      <c r="AB88" s="22">
        <v>78</v>
      </c>
      <c r="AC88" s="22">
        <v>1.3760399999999999</v>
      </c>
      <c r="AD88">
        <f t="shared" si="16"/>
        <v>13.420246913580247</v>
      </c>
      <c r="AE88">
        <f t="shared" si="17"/>
        <v>18.483169264197528</v>
      </c>
      <c r="AF88" s="9"/>
      <c r="AG88" s="22">
        <v>0.29281600000000002</v>
      </c>
      <c r="AH88" s="22">
        <v>18.800799999999999</v>
      </c>
      <c r="AI88" s="22">
        <v>-1.3549800000000001E-2</v>
      </c>
      <c r="AJ88" s="22">
        <v>78</v>
      </c>
      <c r="AK88" s="22">
        <v>0.29211399999999998</v>
      </c>
      <c r="AL88">
        <f t="shared" si="18"/>
        <v>16.728148148148147</v>
      </c>
      <c r="AM88">
        <f t="shared" si="19"/>
        <v>4.898269428148148</v>
      </c>
      <c r="AP88" s="9"/>
      <c r="AQ88" s="22">
        <v>1.3772599999999999</v>
      </c>
      <c r="AR88" s="22">
        <v>24.218299999999999</v>
      </c>
      <c r="AS88" s="22">
        <v>-1.0870400000000001E-2</v>
      </c>
      <c r="AT88" s="22">
        <v>78</v>
      </c>
      <c r="AU88" s="22">
        <v>1.3763399999999999</v>
      </c>
      <c r="AV88">
        <f t="shared" si="20"/>
        <v>13.420246913580247</v>
      </c>
      <c r="AW88">
        <f t="shared" si="21"/>
        <v>18.483169264197528</v>
      </c>
      <c r="AX88" s="9"/>
      <c r="AY88" s="22">
        <v>0.29281600000000002</v>
      </c>
      <c r="AZ88" s="22">
        <v>27.9771</v>
      </c>
      <c r="BA88" s="22">
        <v>-1.3610799999999999E-2</v>
      </c>
      <c r="BB88" s="22">
        <v>78</v>
      </c>
      <c r="BC88" s="22">
        <v>0.29211399999999998</v>
      </c>
      <c r="BD88">
        <f t="shared" si="22"/>
        <v>16.803456790123455</v>
      </c>
      <c r="BE88">
        <f t="shared" si="23"/>
        <v>4.9203210034567899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5.8249300000000002</v>
      </c>
      <c r="I89" s="22">
        <v>-1.08337E-2</v>
      </c>
      <c r="J89" s="22">
        <v>79</v>
      </c>
      <c r="K89" s="22">
        <v>1.3708499999999999</v>
      </c>
      <c r="L89">
        <f t="shared" si="12"/>
        <v>13.374938271604938</v>
      </c>
      <c r="M89">
        <f t="shared" si="13"/>
        <v>18.353357795061729</v>
      </c>
      <c r="N89" s="9"/>
      <c r="O89" s="22">
        <v>0.29785200000000001</v>
      </c>
      <c r="P89" s="22">
        <v>9.5836900000000007</v>
      </c>
      <c r="Q89" s="22">
        <v>-1.34888E-2</v>
      </c>
      <c r="R89" s="22">
        <v>79</v>
      </c>
      <c r="S89" s="22">
        <v>0.29715000000000003</v>
      </c>
      <c r="T89">
        <f t="shared" si="14"/>
        <v>16.652839506172839</v>
      </c>
      <c r="U89">
        <f t="shared" si="15"/>
        <v>4.9600815525925928</v>
      </c>
      <c r="X89" s="9"/>
      <c r="Y89" s="22">
        <v>1.37222</v>
      </c>
      <c r="Z89" s="22">
        <v>15.052099999999999</v>
      </c>
      <c r="AA89" s="22">
        <v>-1.09344E-2</v>
      </c>
      <c r="AB89" s="22">
        <v>79</v>
      </c>
      <c r="AC89" s="22">
        <v>1.3711500000000001</v>
      </c>
      <c r="AD89">
        <f t="shared" si="16"/>
        <v>13.49925925925926</v>
      </c>
      <c r="AE89">
        <f t="shared" si="17"/>
        <v>18.523953540740742</v>
      </c>
      <c r="AF89" s="9"/>
      <c r="AG89" s="22">
        <v>0.29785200000000001</v>
      </c>
      <c r="AH89" s="22">
        <v>18.8109</v>
      </c>
      <c r="AI89" s="22">
        <v>-1.3543700000000001E-2</v>
      </c>
      <c r="AJ89" s="22">
        <v>79</v>
      </c>
      <c r="AK89" s="22">
        <v>0.297211</v>
      </c>
      <c r="AL89">
        <f t="shared" si="18"/>
        <v>16.720617283950617</v>
      </c>
      <c r="AM89">
        <f t="shared" si="19"/>
        <v>4.980269299259259</v>
      </c>
      <c r="AP89" s="9"/>
      <c r="AQ89" s="22">
        <v>1.37222</v>
      </c>
      <c r="AR89" s="22">
        <v>24.228400000000001</v>
      </c>
      <c r="AS89" s="22">
        <v>-1.0937499999999999E-2</v>
      </c>
      <c r="AT89" s="22">
        <v>79</v>
      </c>
      <c r="AU89" s="22">
        <v>1.3717699999999999</v>
      </c>
      <c r="AV89">
        <f t="shared" si="20"/>
        <v>13.503086419753084</v>
      </c>
      <c r="AW89">
        <f t="shared" si="21"/>
        <v>18.529205246913577</v>
      </c>
      <c r="AX89" s="9"/>
      <c r="AY89" s="22">
        <v>0.29785200000000001</v>
      </c>
      <c r="AZ89" s="22">
        <v>27.987100000000002</v>
      </c>
      <c r="BA89" s="22">
        <v>-1.3610799999999999E-2</v>
      </c>
      <c r="BB89" s="22">
        <v>79</v>
      </c>
      <c r="BC89" s="22">
        <v>0.29715000000000003</v>
      </c>
      <c r="BD89">
        <f t="shared" si="22"/>
        <v>16.803456790123455</v>
      </c>
      <c r="BE89">
        <f t="shared" si="23"/>
        <v>5.0049432118518515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5.835</v>
      </c>
      <c r="I90" s="22">
        <v>-1.08948E-2</v>
      </c>
      <c r="J90" s="22">
        <v>80</v>
      </c>
      <c r="K90" s="22">
        <v>1.3662700000000001</v>
      </c>
      <c r="L90">
        <f t="shared" si="12"/>
        <v>13.45037037037037</v>
      </c>
      <c r="M90">
        <f t="shared" si="13"/>
        <v>18.389211866666667</v>
      </c>
      <c r="N90" s="9"/>
      <c r="O90" s="22">
        <v>0.30288700000000002</v>
      </c>
      <c r="P90" s="22">
        <v>9.5937599999999996</v>
      </c>
      <c r="Q90" s="22">
        <v>-1.34918E-2</v>
      </c>
      <c r="R90" s="22">
        <v>80</v>
      </c>
      <c r="S90" s="22">
        <v>0.30227700000000002</v>
      </c>
      <c r="T90">
        <f t="shared" si="14"/>
        <v>16.656543209876542</v>
      </c>
      <c r="U90">
        <f t="shared" si="15"/>
        <v>5.0450504032098769</v>
      </c>
      <c r="X90" s="9"/>
      <c r="Y90" s="22">
        <v>1.3671899999999999</v>
      </c>
      <c r="Z90" s="22">
        <v>15.062200000000001</v>
      </c>
      <c r="AA90" s="22">
        <v>-1.09985E-2</v>
      </c>
      <c r="AB90" s="22">
        <v>80</v>
      </c>
      <c r="AC90" s="22">
        <v>1.3659699999999999</v>
      </c>
      <c r="AD90">
        <f t="shared" si="16"/>
        <v>13.578395061728394</v>
      </c>
      <c r="AE90">
        <f t="shared" si="17"/>
        <v>18.564245944444441</v>
      </c>
      <c r="AF90" s="9"/>
      <c r="AG90" s="22">
        <v>0.30288700000000002</v>
      </c>
      <c r="AH90" s="22">
        <v>18.821000000000002</v>
      </c>
      <c r="AI90" s="22">
        <v>-1.35345E-2</v>
      </c>
      <c r="AJ90" s="22">
        <v>80</v>
      </c>
      <c r="AK90" s="22">
        <v>0.30221599999999998</v>
      </c>
      <c r="AL90">
        <f t="shared" si="18"/>
        <v>16.709259259259255</v>
      </c>
      <c r="AM90">
        <f t="shared" si="19"/>
        <v>5.0610174092592581</v>
      </c>
      <c r="AP90" s="9"/>
      <c r="AQ90" s="22">
        <v>1.3671899999999999</v>
      </c>
      <c r="AR90" s="22">
        <v>24.238399999999999</v>
      </c>
      <c r="AS90" s="22">
        <v>-1.09985E-2</v>
      </c>
      <c r="AT90" s="22">
        <v>80</v>
      </c>
      <c r="AU90" s="22">
        <v>1.3665799999999999</v>
      </c>
      <c r="AV90">
        <f t="shared" si="20"/>
        <v>13.578395061728394</v>
      </c>
      <c r="AW90">
        <f t="shared" si="21"/>
        <v>18.564245944444441</v>
      </c>
      <c r="AX90" s="9"/>
      <c r="AY90" s="22">
        <v>0.30288700000000002</v>
      </c>
      <c r="AZ90" s="22">
        <v>27.997199999999999</v>
      </c>
      <c r="BA90" s="22">
        <v>-1.36078E-2</v>
      </c>
      <c r="BB90" s="22">
        <v>80</v>
      </c>
      <c r="BC90" s="22">
        <v>0.30224600000000001</v>
      </c>
      <c r="BD90">
        <f t="shared" si="22"/>
        <v>16.799753086419752</v>
      </c>
      <c r="BE90">
        <f t="shared" si="23"/>
        <v>5.0884268130864196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5.8450699999999998</v>
      </c>
      <c r="I91" s="22">
        <v>-1.09528E-2</v>
      </c>
      <c r="J91" s="22">
        <v>81</v>
      </c>
      <c r="K91" s="22">
        <v>1.3610800000000001</v>
      </c>
      <c r="L91">
        <f t="shared" si="12"/>
        <v>13.521975308641975</v>
      </c>
      <c r="M91">
        <f t="shared" si="13"/>
        <v>18.418958666666665</v>
      </c>
      <c r="N91" s="9"/>
      <c r="O91" s="22">
        <v>0.30792199999999997</v>
      </c>
      <c r="P91" s="22">
        <v>9.6038300000000003</v>
      </c>
      <c r="Q91" s="22">
        <v>-1.34888E-2</v>
      </c>
      <c r="R91" s="22">
        <v>81</v>
      </c>
      <c r="S91" s="22">
        <v>0.30721999999999999</v>
      </c>
      <c r="T91">
        <f t="shared" si="14"/>
        <v>16.652839506172839</v>
      </c>
      <c r="U91">
        <f t="shared" si="15"/>
        <v>5.1277756464197521</v>
      </c>
      <c r="X91" s="9"/>
      <c r="Y91" s="22">
        <v>1.36215</v>
      </c>
      <c r="Z91" s="22">
        <v>15.0723</v>
      </c>
      <c r="AA91" s="22">
        <v>-1.1059599999999999E-2</v>
      </c>
      <c r="AB91" s="22">
        <v>81</v>
      </c>
      <c r="AC91" s="22">
        <v>1.3607800000000001</v>
      </c>
      <c r="AD91">
        <f t="shared" si="16"/>
        <v>13.653827160493826</v>
      </c>
      <c r="AE91">
        <f t="shared" si="17"/>
        <v>18.598560666666664</v>
      </c>
      <c r="AF91" s="9"/>
      <c r="AG91" s="22">
        <v>0.30792199999999997</v>
      </c>
      <c r="AH91" s="22">
        <v>18.831</v>
      </c>
      <c r="AI91" s="22">
        <v>-1.3528399999999999E-2</v>
      </c>
      <c r="AJ91" s="22">
        <v>81</v>
      </c>
      <c r="AK91" s="22">
        <v>0.30719000000000002</v>
      </c>
      <c r="AL91">
        <f t="shared" si="18"/>
        <v>16.701728395061725</v>
      </c>
      <c r="AM91">
        <f t="shared" si="19"/>
        <v>5.1428296108641955</v>
      </c>
      <c r="AP91" s="9"/>
      <c r="AQ91" s="22">
        <v>1.36215</v>
      </c>
      <c r="AR91" s="22">
        <v>24.2485</v>
      </c>
      <c r="AS91" s="22">
        <v>-1.10565E-2</v>
      </c>
      <c r="AT91" s="22">
        <v>81</v>
      </c>
      <c r="AU91" s="22">
        <v>1.3610800000000001</v>
      </c>
      <c r="AV91">
        <f t="shared" si="20"/>
        <v>13.649999999999999</v>
      </c>
      <c r="AW91">
        <f t="shared" si="21"/>
        <v>18.593347499999997</v>
      </c>
      <c r="AX91" s="9"/>
      <c r="AY91" s="22">
        <v>0.30792199999999997</v>
      </c>
      <c r="AZ91" s="22">
        <v>28.007300000000001</v>
      </c>
      <c r="BA91" s="22">
        <v>-1.3595599999999999E-2</v>
      </c>
      <c r="BB91" s="22">
        <v>81</v>
      </c>
      <c r="BC91" s="22">
        <v>0.30721999999999999</v>
      </c>
      <c r="BD91">
        <f t="shared" si="22"/>
        <v>16.784691358024691</v>
      </c>
      <c r="BE91">
        <f t="shared" si="23"/>
        <v>5.1683757323456785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5.8551399999999996</v>
      </c>
      <c r="I92" s="22">
        <v>-1.10077E-2</v>
      </c>
      <c r="J92" s="22">
        <v>82</v>
      </c>
      <c r="K92" s="22">
        <v>1.3562000000000001</v>
      </c>
      <c r="L92">
        <f t="shared" si="12"/>
        <v>13.589753086419753</v>
      </c>
      <c r="M92">
        <f t="shared" si="13"/>
        <v>18.442925708641976</v>
      </c>
      <c r="N92" s="9"/>
      <c r="O92" s="22">
        <v>0.31295800000000001</v>
      </c>
      <c r="P92" s="22">
        <v>9.6138999999999992</v>
      </c>
      <c r="Q92" s="22">
        <v>-1.34857E-2</v>
      </c>
      <c r="R92" s="22">
        <v>82</v>
      </c>
      <c r="S92" s="22">
        <v>0.31225599999999998</v>
      </c>
      <c r="T92">
        <f t="shared" si="14"/>
        <v>16.649012345679012</v>
      </c>
      <c r="U92">
        <f t="shared" si="15"/>
        <v>5.2104416056790122</v>
      </c>
      <c r="X92" s="9"/>
      <c r="Y92" s="22">
        <v>1.3571200000000001</v>
      </c>
      <c r="Z92" s="22">
        <v>15.0824</v>
      </c>
      <c r="AA92" s="22">
        <v>-1.11176E-2</v>
      </c>
      <c r="AB92" s="22">
        <v>82</v>
      </c>
      <c r="AC92" s="22">
        <v>1.3555900000000001</v>
      </c>
      <c r="AD92">
        <f t="shared" si="16"/>
        <v>13.725432098765431</v>
      </c>
      <c r="AE92">
        <f t="shared" si="17"/>
        <v>18.627058409876543</v>
      </c>
      <c r="AF92" s="9"/>
      <c r="AG92" s="22">
        <v>0.31295800000000001</v>
      </c>
      <c r="AH92" s="22">
        <v>18.841100000000001</v>
      </c>
      <c r="AI92" s="22">
        <v>-1.35315E-2</v>
      </c>
      <c r="AJ92" s="22">
        <v>82</v>
      </c>
      <c r="AK92" s="22">
        <v>0.31222499999999997</v>
      </c>
      <c r="AL92">
        <f t="shared" si="18"/>
        <v>16.705555555555552</v>
      </c>
      <c r="AM92">
        <f t="shared" si="19"/>
        <v>5.2281372555555548</v>
      </c>
      <c r="AP92" s="9"/>
      <c r="AQ92" s="22">
        <v>1.3571200000000001</v>
      </c>
      <c r="AR92" s="22">
        <v>24.258600000000001</v>
      </c>
      <c r="AS92" s="22">
        <v>-1.11115E-2</v>
      </c>
      <c r="AT92" s="22">
        <v>82</v>
      </c>
      <c r="AU92" s="22">
        <v>1.3559000000000001</v>
      </c>
      <c r="AV92">
        <f t="shared" si="20"/>
        <v>13.717901234567901</v>
      </c>
      <c r="AW92">
        <f t="shared" si="21"/>
        <v>18.616838123456791</v>
      </c>
      <c r="AX92" s="9"/>
      <c r="AY92" s="22">
        <v>0.31295800000000001</v>
      </c>
      <c r="AZ92" s="22">
        <v>28.017299999999999</v>
      </c>
      <c r="BA92" s="22">
        <v>-1.3583400000000001E-2</v>
      </c>
      <c r="BB92" s="22">
        <v>82</v>
      </c>
      <c r="BC92" s="22">
        <v>0.31225599999999998</v>
      </c>
      <c r="BD92">
        <f t="shared" si="22"/>
        <v>16.76962962962963</v>
      </c>
      <c r="BE92">
        <f t="shared" si="23"/>
        <v>5.2481897496296304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5.8652100000000003</v>
      </c>
      <c r="I93" s="22">
        <v>-1.1068700000000001E-2</v>
      </c>
      <c r="J93" s="22">
        <v>83</v>
      </c>
      <c r="K93" s="22">
        <v>1.3513200000000001</v>
      </c>
      <c r="L93">
        <f t="shared" si="12"/>
        <v>13.665061728395063</v>
      </c>
      <c r="M93">
        <f t="shared" si="13"/>
        <v>18.476256661728396</v>
      </c>
      <c r="N93" s="9"/>
      <c r="O93" s="22">
        <v>0.31799300000000003</v>
      </c>
      <c r="P93" s="22">
        <v>9.6239699999999999</v>
      </c>
      <c r="Q93" s="22">
        <v>-1.34796E-2</v>
      </c>
      <c r="R93" s="22">
        <v>83</v>
      </c>
      <c r="S93" s="22">
        <v>0.31732199999999999</v>
      </c>
      <c r="T93">
        <f t="shared" si="14"/>
        <v>16.641481481481478</v>
      </c>
      <c r="U93">
        <f t="shared" si="15"/>
        <v>5.2918746207407397</v>
      </c>
      <c r="X93" s="9"/>
      <c r="Y93" s="22">
        <v>1.3520799999999999</v>
      </c>
      <c r="Z93" s="22">
        <v>15.0924</v>
      </c>
      <c r="AA93" s="22">
        <v>-1.11755E-2</v>
      </c>
      <c r="AB93" s="22">
        <v>83</v>
      </c>
      <c r="AC93" s="22">
        <v>1.35101</v>
      </c>
      <c r="AD93">
        <f t="shared" si="16"/>
        <v>13.796913580246912</v>
      </c>
      <c r="AE93">
        <f t="shared" si="17"/>
        <v>18.654530913580246</v>
      </c>
      <c r="AF93" s="9"/>
      <c r="AG93" s="22">
        <v>0.31799300000000003</v>
      </c>
      <c r="AH93" s="22">
        <v>18.851199999999999</v>
      </c>
      <c r="AI93" s="22">
        <v>-1.35315E-2</v>
      </c>
      <c r="AJ93" s="22">
        <v>83</v>
      </c>
      <c r="AK93" s="22">
        <v>0.31732199999999999</v>
      </c>
      <c r="AL93">
        <f t="shared" si="18"/>
        <v>16.705555555555552</v>
      </c>
      <c r="AM93">
        <f t="shared" si="19"/>
        <v>5.3122497277777772</v>
      </c>
      <c r="AP93" s="9"/>
      <c r="AQ93" s="22">
        <v>1.3520799999999999</v>
      </c>
      <c r="AR93" s="22">
        <v>24.268699999999999</v>
      </c>
      <c r="AS93" s="22">
        <v>-1.1169399999999999E-2</v>
      </c>
      <c r="AT93" s="22">
        <v>83</v>
      </c>
      <c r="AU93" s="22">
        <v>1.35101</v>
      </c>
      <c r="AV93">
        <f t="shared" si="20"/>
        <v>13.789382716049381</v>
      </c>
      <c r="AW93">
        <f t="shared" si="21"/>
        <v>18.644348582716045</v>
      </c>
      <c r="AX93" s="9"/>
      <c r="AY93" s="22">
        <v>0.31799300000000003</v>
      </c>
      <c r="AZ93" s="22">
        <v>28.0274</v>
      </c>
      <c r="BA93" s="22">
        <v>-1.35712E-2</v>
      </c>
      <c r="BB93" s="22">
        <v>83</v>
      </c>
      <c r="BC93" s="22">
        <v>0.31735200000000002</v>
      </c>
      <c r="BD93">
        <f t="shared" si="22"/>
        <v>16.754567901234566</v>
      </c>
      <c r="BE93">
        <f t="shared" si="23"/>
        <v>5.3278353106172833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5.8752800000000001</v>
      </c>
      <c r="I94" s="22">
        <v>-1.11267E-2</v>
      </c>
      <c r="J94" s="22">
        <v>84</v>
      </c>
      <c r="K94" s="22">
        <v>1.3464400000000001</v>
      </c>
      <c r="L94">
        <f t="shared" si="12"/>
        <v>13.736666666666666</v>
      </c>
      <c r="M94">
        <f t="shared" si="13"/>
        <v>18.503976833333333</v>
      </c>
      <c r="N94" s="9"/>
      <c r="O94" s="22">
        <v>0.32302900000000001</v>
      </c>
      <c r="P94" s="22">
        <v>9.6340500000000002</v>
      </c>
      <c r="Q94" s="22">
        <v>-1.34827E-2</v>
      </c>
      <c r="R94" s="22">
        <v>84</v>
      </c>
      <c r="S94" s="22">
        <v>0.32229600000000003</v>
      </c>
      <c r="T94">
        <f t="shared" si="14"/>
        <v>16.645308641975308</v>
      </c>
      <c r="U94">
        <f t="shared" si="15"/>
        <v>5.3769174053086424</v>
      </c>
      <c r="X94" s="9"/>
      <c r="Y94" s="22">
        <v>1.3470500000000001</v>
      </c>
      <c r="Z94" s="22">
        <v>15.102499999999999</v>
      </c>
      <c r="AA94" s="22">
        <v>-1.1230499999999999E-2</v>
      </c>
      <c r="AB94" s="22">
        <v>84</v>
      </c>
      <c r="AC94" s="22">
        <v>1.3464400000000001</v>
      </c>
      <c r="AD94">
        <f t="shared" si="16"/>
        <v>13.864814814814812</v>
      </c>
      <c r="AE94">
        <f t="shared" si="17"/>
        <v>18.676598796296293</v>
      </c>
      <c r="AF94" s="9"/>
      <c r="AG94" s="22">
        <v>0.32302900000000001</v>
      </c>
      <c r="AH94" s="22">
        <v>18.8613</v>
      </c>
      <c r="AI94" s="22">
        <v>-1.35345E-2</v>
      </c>
      <c r="AJ94" s="22">
        <v>84</v>
      </c>
      <c r="AK94" s="22">
        <v>0.322357</v>
      </c>
      <c r="AL94">
        <f t="shared" si="18"/>
        <v>16.709259259259255</v>
      </c>
      <c r="AM94">
        <f t="shared" si="19"/>
        <v>5.397575309259258</v>
      </c>
      <c r="AP94" s="9"/>
      <c r="AQ94" s="22">
        <v>1.3470500000000001</v>
      </c>
      <c r="AR94" s="22">
        <v>24.278700000000001</v>
      </c>
      <c r="AS94" s="22">
        <v>-1.12274E-2</v>
      </c>
      <c r="AT94" s="22">
        <v>84</v>
      </c>
      <c r="AU94" s="22">
        <v>1.3458300000000001</v>
      </c>
      <c r="AV94">
        <f t="shared" si="20"/>
        <v>13.860987654320986</v>
      </c>
      <c r="AW94">
        <f t="shared" si="21"/>
        <v>18.671443419753086</v>
      </c>
      <c r="AX94" s="9"/>
      <c r="AY94" s="22">
        <v>0.32302900000000001</v>
      </c>
      <c r="AZ94" s="22">
        <v>28.037500000000001</v>
      </c>
      <c r="BA94" s="22">
        <v>-1.35651E-2</v>
      </c>
      <c r="BB94" s="22">
        <v>84</v>
      </c>
      <c r="BC94" s="22">
        <v>0.322266</v>
      </c>
      <c r="BD94">
        <f t="shared" si="22"/>
        <v>16.747037037037035</v>
      </c>
      <c r="BE94">
        <f t="shared" si="23"/>
        <v>5.4097786270370367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5.8853499999999999</v>
      </c>
      <c r="I95" s="22">
        <v>-1.11877E-2</v>
      </c>
      <c r="J95" s="22">
        <v>85</v>
      </c>
      <c r="K95" s="22">
        <v>1.34094</v>
      </c>
      <c r="L95">
        <f t="shared" si="12"/>
        <v>13.811975308641975</v>
      </c>
      <c r="M95">
        <f t="shared" si="13"/>
        <v>18.535808983950616</v>
      </c>
      <c r="N95" s="9"/>
      <c r="O95" s="22">
        <v>0.32806400000000002</v>
      </c>
      <c r="P95" s="22">
        <v>9.6441199999999991</v>
      </c>
      <c r="Q95" s="22">
        <v>-1.34796E-2</v>
      </c>
      <c r="R95" s="22">
        <v>85</v>
      </c>
      <c r="S95" s="22">
        <v>0.32733200000000001</v>
      </c>
      <c r="T95">
        <f t="shared" si="14"/>
        <v>16.641481481481478</v>
      </c>
      <c r="U95">
        <f t="shared" si="15"/>
        <v>5.4594709807407398</v>
      </c>
      <c r="X95" s="9"/>
      <c r="Y95" s="22">
        <v>1.3420099999999999</v>
      </c>
      <c r="Z95" s="22">
        <v>15.1126</v>
      </c>
      <c r="AA95" s="22">
        <v>-1.1291499999999999E-2</v>
      </c>
      <c r="AB95" s="22">
        <v>85</v>
      </c>
      <c r="AC95" s="22">
        <v>1.34094</v>
      </c>
      <c r="AD95">
        <f t="shared" si="16"/>
        <v>13.940123456790122</v>
      </c>
      <c r="AE95">
        <f t="shared" si="17"/>
        <v>18.707785080246911</v>
      </c>
      <c r="AF95" s="9"/>
      <c r="AG95" s="22">
        <v>0.32806400000000002</v>
      </c>
      <c r="AH95" s="22">
        <v>18.871300000000002</v>
      </c>
      <c r="AI95" s="22">
        <v>-1.35345E-2</v>
      </c>
      <c r="AJ95" s="22">
        <v>85</v>
      </c>
      <c r="AK95" s="22">
        <v>0.32733200000000001</v>
      </c>
      <c r="AL95">
        <f t="shared" si="18"/>
        <v>16.709259259259255</v>
      </c>
      <c r="AM95">
        <f t="shared" si="19"/>
        <v>5.4817064296296287</v>
      </c>
      <c r="AP95" s="9"/>
      <c r="AQ95" s="22">
        <v>1.3420099999999999</v>
      </c>
      <c r="AR95" s="22">
        <v>24.288799999999998</v>
      </c>
      <c r="AS95" s="22">
        <v>-1.1279300000000001E-2</v>
      </c>
      <c r="AT95" s="22">
        <v>85</v>
      </c>
      <c r="AU95" s="22">
        <v>1.3412500000000001</v>
      </c>
      <c r="AV95">
        <f t="shared" si="20"/>
        <v>13.925061728395063</v>
      </c>
      <c r="AW95">
        <f t="shared" si="21"/>
        <v>18.687572090123457</v>
      </c>
      <c r="AX95" s="9"/>
      <c r="AY95" s="22">
        <v>0.32806400000000002</v>
      </c>
      <c r="AZ95" s="22">
        <v>28.047599999999999</v>
      </c>
      <c r="BA95" s="22">
        <v>-1.35712E-2</v>
      </c>
      <c r="BB95" s="22">
        <v>85</v>
      </c>
      <c r="BC95" s="22">
        <v>0.32733200000000001</v>
      </c>
      <c r="BD95">
        <f t="shared" si="22"/>
        <v>16.754567901234566</v>
      </c>
      <c r="BE95">
        <f t="shared" si="23"/>
        <v>5.496570563950617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5.8954300000000002</v>
      </c>
      <c r="I96" s="22">
        <v>-1.12427E-2</v>
      </c>
      <c r="J96" s="22">
        <v>86</v>
      </c>
      <c r="K96" s="22">
        <v>1.33575</v>
      </c>
      <c r="L96">
        <f t="shared" si="12"/>
        <v>13.879876543209877</v>
      </c>
      <c r="M96">
        <f t="shared" si="13"/>
        <v>18.557117340740742</v>
      </c>
      <c r="N96" s="9"/>
      <c r="O96" s="22">
        <v>0.33309899999999998</v>
      </c>
      <c r="P96" s="22">
        <v>9.6541899999999998</v>
      </c>
      <c r="Q96" s="22">
        <v>-1.3467399999999999E-2</v>
      </c>
      <c r="R96" s="22">
        <v>86</v>
      </c>
      <c r="S96" s="22">
        <v>0.33236700000000002</v>
      </c>
      <c r="T96">
        <f t="shared" si="14"/>
        <v>16.626419753086417</v>
      </c>
      <c r="U96">
        <f t="shared" si="15"/>
        <v>5.5382437933333319</v>
      </c>
      <c r="X96" s="9"/>
      <c r="Y96" s="22">
        <v>1.3369800000000001</v>
      </c>
      <c r="Z96" s="22">
        <v>15.1226</v>
      </c>
      <c r="AA96" s="22">
        <v>-1.13556E-2</v>
      </c>
      <c r="AB96" s="22">
        <v>86</v>
      </c>
      <c r="AC96" s="22">
        <v>1.33575</v>
      </c>
      <c r="AD96">
        <f t="shared" si="16"/>
        <v>14.019259259259259</v>
      </c>
      <c r="AE96">
        <f t="shared" si="17"/>
        <v>18.743469244444444</v>
      </c>
      <c r="AF96" s="9"/>
      <c r="AG96" s="22">
        <v>0.33309899999999998</v>
      </c>
      <c r="AH96" s="22">
        <v>18.881399999999999</v>
      </c>
      <c r="AI96" s="22">
        <v>-1.35193E-2</v>
      </c>
      <c r="AJ96" s="22">
        <v>86</v>
      </c>
      <c r="AK96" s="22">
        <v>0.332428</v>
      </c>
      <c r="AL96">
        <f t="shared" si="18"/>
        <v>16.690493827160495</v>
      </c>
      <c r="AM96">
        <f t="shared" si="19"/>
        <v>5.5595868033333335</v>
      </c>
      <c r="AP96" s="9"/>
      <c r="AQ96" s="22">
        <v>1.3369800000000001</v>
      </c>
      <c r="AR96" s="22">
        <v>24.2989</v>
      </c>
      <c r="AS96" s="22">
        <v>-1.1334199999999999E-2</v>
      </c>
      <c r="AT96" s="22">
        <v>86</v>
      </c>
      <c r="AU96" s="22">
        <v>1.33575</v>
      </c>
      <c r="AV96">
        <f t="shared" si="20"/>
        <v>13.992839506172839</v>
      </c>
      <c r="AW96">
        <f t="shared" si="21"/>
        <v>18.708146562962963</v>
      </c>
      <c r="AX96" s="9"/>
      <c r="AY96" s="22">
        <v>0.33309899999999998</v>
      </c>
      <c r="AZ96" s="22">
        <v>28.057600000000001</v>
      </c>
      <c r="BA96" s="22">
        <v>-1.35742E-2</v>
      </c>
      <c r="BB96" s="22">
        <v>86</v>
      </c>
      <c r="BC96" s="22">
        <v>0.332397</v>
      </c>
      <c r="BD96">
        <f t="shared" si="22"/>
        <v>16.758271604938273</v>
      </c>
      <c r="BE96">
        <f t="shared" si="23"/>
        <v>5.5821635133333336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5.9055</v>
      </c>
      <c r="I97" s="22">
        <v>-1.12885E-2</v>
      </c>
      <c r="J97" s="22">
        <v>87</v>
      </c>
      <c r="K97" s="22">
        <v>1.33087</v>
      </c>
      <c r="L97">
        <f t="shared" si="12"/>
        <v>13.936419753086419</v>
      </c>
      <c r="M97">
        <f t="shared" si="13"/>
        <v>18.562474925925923</v>
      </c>
      <c r="N97" s="9"/>
      <c r="O97" s="22">
        <v>0.33813500000000002</v>
      </c>
      <c r="P97" s="22">
        <v>9.6642600000000005</v>
      </c>
      <c r="Q97" s="22">
        <v>-1.34552E-2</v>
      </c>
      <c r="R97" s="22">
        <v>87</v>
      </c>
      <c r="S97" s="22">
        <v>0.33743299999999998</v>
      </c>
      <c r="T97">
        <f t="shared" si="14"/>
        <v>16.611358024691356</v>
      </c>
      <c r="U97">
        <f t="shared" si="15"/>
        <v>5.6168815456790115</v>
      </c>
      <c r="X97" s="9"/>
      <c r="Y97" s="22">
        <v>1.3319399999999999</v>
      </c>
      <c r="Z97" s="22">
        <v>15.1327</v>
      </c>
      <c r="AA97" s="22">
        <v>-1.14044E-2</v>
      </c>
      <c r="AB97" s="22">
        <v>87</v>
      </c>
      <c r="AC97" s="22">
        <v>1.33118</v>
      </c>
      <c r="AD97">
        <f t="shared" si="16"/>
        <v>14.079506172839505</v>
      </c>
      <c r="AE97">
        <f t="shared" si="17"/>
        <v>18.753057451851848</v>
      </c>
      <c r="AF97" s="9"/>
      <c r="AG97" s="22">
        <v>0.33813500000000002</v>
      </c>
      <c r="AH97" s="22">
        <v>18.891500000000001</v>
      </c>
      <c r="AI97" s="22">
        <v>-1.3507099999999999E-2</v>
      </c>
      <c r="AJ97" s="22">
        <v>87</v>
      </c>
      <c r="AK97" s="22">
        <v>0.33749400000000002</v>
      </c>
      <c r="AL97">
        <f t="shared" si="18"/>
        <v>16.67543209876543</v>
      </c>
      <c r="AM97">
        <f t="shared" si="19"/>
        <v>5.6385472327160491</v>
      </c>
      <c r="AP97" s="9"/>
      <c r="AQ97" s="22">
        <v>1.3319399999999999</v>
      </c>
      <c r="AR97" s="22">
        <v>24.308900000000001</v>
      </c>
      <c r="AS97" s="22">
        <v>-1.1379999999999999E-2</v>
      </c>
      <c r="AT97" s="22">
        <v>87</v>
      </c>
      <c r="AU97" s="22">
        <v>1.33087</v>
      </c>
      <c r="AV97">
        <f t="shared" si="20"/>
        <v>14.049382716049381</v>
      </c>
      <c r="AW97">
        <f t="shared" si="21"/>
        <v>18.712934814814812</v>
      </c>
      <c r="AX97" s="9"/>
      <c r="AY97" s="22">
        <v>0.33813500000000002</v>
      </c>
      <c r="AZ97" s="22">
        <v>28.067699999999999</v>
      </c>
      <c r="BA97" s="22">
        <v>-1.35712E-2</v>
      </c>
      <c r="BB97" s="22">
        <v>87</v>
      </c>
      <c r="BC97" s="22">
        <v>0.33740199999999998</v>
      </c>
      <c r="BD97">
        <f t="shared" si="22"/>
        <v>16.754567901234566</v>
      </c>
      <c r="BE97">
        <f t="shared" si="23"/>
        <v>5.6653058172839499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5.9155699999999998</v>
      </c>
      <c r="I98" s="22">
        <v>-1.13373E-2</v>
      </c>
      <c r="J98" s="22">
        <v>88</v>
      </c>
      <c r="K98" s="22">
        <v>1.32568</v>
      </c>
      <c r="L98">
        <f t="shared" si="12"/>
        <v>13.996666666666666</v>
      </c>
      <c r="M98">
        <f t="shared" si="13"/>
        <v>18.572177</v>
      </c>
      <c r="N98" s="9"/>
      <c r="O98" s="22">
        <v>0.34316999999999998</v>
      </c>
      <c r="P98" s="22">
        <v>9.6743299999999994</v>
      </c>
      <c r="Q98" s="22">
        <v>-1.34369E-2</v>
      </c>
      <c r="R98" s="22">
        <v>88</v>
      </c>
      <c r="S98" s="22">
        <v>0.34243800000000002</v>
      </c>
      <c r="T98">
        <f t="shared" si="14"/>
        <v>16.588765432098764</v>
      </c>
      <c r="U98">
        <f t="shared" si="15"/>
        <v>5.6927666333333322</v>
      </c>
      <c r="X98" s="9"/>
      <c r="Y98" s="22">
        <v>1.3269</v>
      </c>
      <c r="Z98" s="22">
        <v>15.142799999999999</v>
      </c>
      <c r="AA98" s="22">
        <v>-1.14594E-2</v>
      </c>
      <c r="AB98" s="22">
        <v>88</v>
      </c>
      <c r="AC98" s="22">
        <v>1.32568</v>
      </c>
      <c r="AD98">
        <f t="shared" si="16"/>
        <v>14.147407407407405</v>
      </c>
      <c r="AE98">
        <f t="shared" si="17"/>
        <v>18.772194888888887</v>
      </c>
      <c r="AF98" s="9"/>
      <c r="AG98" s="22">
        <v>0.34316999999999998</v>
      </c>
      <c r="AH98" s="22">
        <v>18.901499999999999</v>
      </c>
      <c r="AI98" s="22">
        <v>-1.3494900000000001E-2</v>
      </c>
      <c r="AJ98" s="22">
        <v>88</v>
      </c>
      <c r="AK98" s="22">
        <v>0.34240700000000002</v>
      </c>
      <c r="AL98">
        <f t="shared" si="18"/>
        <v>16.660370370370369</v>
      </c>
      <c r="AM98">
        <f t="shared" si="19"/>
        <v>5.717339299999999</v>
      </c>
      <c r="AP98" s="9"/>
      <c r="AQ98" s="22">
        <v>1.3269</v>
      </c>
      <c r="AR98" s="22">
        <v>24.318999999999999</v>
      </c>
      <c r="AS98" s="22">
        <v>-1.14349E-2</v>
      </c>
      <c r="AT98" s="22">
        <v>88</v>
      </c>
      <c r="AU98" s="22">
        <v>1.32629</v>
      </c>
      <c r="AV98">
        <f t="shared" si="20"/>
        <v>14.117160493827161</v>
      </c>
      <c r="AW98">
        <f t="shared" si="21"/>
        <v>18.73206025925926</v>
      </c>
      <c r="AX98" s="9"/>
      <c r="AY98" s="22">
        <v>0.34316999999999998</v>
      </c>
      <c r="AZ98" s="22">
        <v>28.0778</v>
      </c>
      <c r="BA98" s="22">
        <v>-1.3561999999999999E-2</v>
      </c>
      <c r="BB98" s="22">
        <v>88</v>
      </c>
      <c r="BC98" s="22">
        <v>0.34243800000000002</v>
      </c>
      <c r="BD98">
        <f t="shared" si="22"/>
        <v>16.743209876543208</v>
      </c>
      <c r="BE98">
        <f t="shared" si="23"/>
        <v>5.7457673333333323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5.9256399999999996</v>
      </c>
      <c r="I99" s="22">
        <v>-1.13861E-2</v>
      </c>
      <c r="J99" s="22">
        <v>89</v>
      </c>
      <c r="K99" s="22">
        <v>1.3208</v>
      </c>
      <c r="L99">
        <f t="shared" si="12"/>
        <v>14.056913580246912</v>
      </c>
      <c r="M99">
        <f t="shared" si="13"/>
        <v>18.581412354320985</v>
      </c>
      <c r="N99" s="9"/>
      <c r="O99" s="22">
        <v>0.34820600000000002</v>
      </c>
      <c r="P99" s="22">
        <v>9.6844000000000001</v>
      </c>
      <c r="Q99" s="22">
        <v>-1.3433799999999999E-2</v>
      </c>
      <c r="R99" s="22">
        <v>89</v>
      </c>
      <c r="S99" s="22">
        <v>0.34747299999999998</v>
      </c>
      <c r="T99">
        <f t="shared" si="14"/>
        <v>16.584938271604937</v>
      </c>
      <c r="U99">
        <f t="shared" si="15"/>
        <v>5.7749750158024691</v>
      </c>
      <c r="X99" s="9"/>
      <c r="Y99" s="22">
        <v>1.3218700000000001</v>
      </c>
      <c r="Z99" s="22">
        <v>15.152799999999999</v>
      </c>
      <c r="AA99" s="22">
        <v>-1.1511199999999999E-2</v>
      </c>
      <c r="AB99" s="22">
        <v>89</v>
      </c>
      <c r="AC99" s="22">
        <v>1.32141</v>
      </c>
      <c r="AD99">
        <f t="shared" si="16"/>
        <v>14.211358024691357</v>
      </c>
      <c r="AE99">
        <f t="shared" si="17"/>
        <v>18.785567832098767</v>
      </c>
      <c r="AF99" s="9"/>
      <c r="AG99" s="22">
        <v>0.34820600000000002</v>
      </c>
      <c r="AH99" s="22">
        <v>18.9116</v>
      </c>
      <c r="AI99" s="22">
        <v>-1.34827E-2</v>
      </c>
      <c r="AJ99" s="22">
        <v>89</v>
      </c>
      <c r="AK99" s="22">
        <v>0.34747299999999998</v>
      </c>
      <c r="AL99">
        <f t="shared" si="18"/>
        <v>16.645308641975308</v>
      </c>
      <c r="AM99">
        <f t="shared" si="19"/>
        <v>5.7959963409876547</v>
      </c>
      <c r="AP99" s="9"/>
      <c r="AQ99" s="22">
        <v>1.3218700000000001</v>
      </c>
      <c r="AR99" s="22">
        <v>24.3291</v>
      </c>
      <c r="AS99" s="22">
        <v>-1.14807E-2</v>
      </c>
      <c r="AT99" s="22">
        <v>89</v>
      </c>
      <c r="AU99" s="22">
        <v>1.32111</v>
      </c>
      <c r="AV99">
        <f t="shared" si="20"/>
        <v>14.173703703703703</v>
      </c>
      <c r="AW99">
        <f t="shared" si="21"/>
        <v>18.735793714814815</v>
      </c>
      <c r="AX99" s="9"/>
      <c r="AY99" s="22">
        <v>0.34820600000000002</v>
      </c>
      <c r="AZ99" s="22">
        <v>28.087800000000001</v>
      </c>
      <c r="BA99" s="22">
        <v>-1.3549800000000001E-2</v>
      </c>
      <c r="BB99" s="22">
        <v>89</v>
      </c>
      <c r="BC99" s="22">
        <v>0.34747299999999998</v>
      </c>
      <c r="BD99">
        <f t="shared" si="22"/>
        <v>16.728148148148147</v>
      </c>
      <c r="BE99">
        <f t="shared" si="23"/>
        <v>5.8248415540740739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5.9357100000000003</v>
      </c>
      <c r="I100" s="22">
        <v>-1.14258E-2</v>
      </c>
      <c r="J100" s="22">
        <v>90</v>
      </c>
      <c r="K100" s="22">
        <v>1.31592</v>
      </c>
      <c r="L100">
        <f t="shared" si="12"/>
        <v>14.105925925925925</v>
      </c>
      <c r="M100">
        <f t="shared" si="13"/>
        <v>18.575106437037036</v>
      </c>
      <c r="N100" s="9"/>
      <c r="O100" s="22">
        <v>0.35324100000000003</v>
      </c>
      <c r="P100" s="22">
        <v>9.6944700000000008</v>
      </c>
      <c r="Q100" s="22">
        <v>-1.34369E-2</v>
      </c>
      <c r="R100" s="22">
        <v>90</v>
      </c>
      <c r="S100" s="22">
        <v>0.35247800000000001</v>
      </c>
      <c r="T100">
        <f t="shared" si="14"/>
        <v>16.588765432098764</v>
      </c>
      <c r="U100">
        <f t="shared" si="15"/>
        <v>5.8598320900000003</v>
      </c>
      <c r="X100" s="9"/>
      <c r="Y100" s="22">
        <v>1.3168299999999999</v>
      </c>
      <c r="Z100" s="22">
        <v>15.1629</v>
      </c>
      <c r="AA100" s="22">
        <v>-1.1557E-2</v>
      </c>
      <c r="AB100" s="22">
        <v>90</v>
      </c>
      <c r="AC100" s="22">
        <v>1.31592</v>
      </c>
      <c r="AD100">
        <f t="shared" si="16"/>
        <v>14.267901234567899</v>
      </c>
      <c r="AE100">
        <f t="shared" si="17"/>
        <v>18.788400382716045</v>
      </c>
      <c r="AF100" s="9"/>
      <c r="AG100" s="22">
        <v>0.35324100000000003</v>
      </c>
      <c r="AH100" s="22">
        <v>18.921700000000001</v>
      </c>
      <c r="AI100" s="22">
        <v>-1.3473499999999999E-2</v>
      </c>
      <c r="AJ100" s="22">
        <v>90</v>
      </c>
      <c r="AK100" s="22">
        <v>0.35263100000000003</v>
      </c>
      <c r="AL100">
        <f t="shared" si="18"/>
        <v>16.633950617283947</v>
      </c>
      <c r="AM100">
        <f t="shared" si="19"/>
        <v>5.8757933499999995</v>
      </c>
      <c r="AP100" s="9"/>
      <c r="AQ100" s="22">
        <v>1.3168299999999999</v>
      </c>
      <c r="AR100" s="22">
        <v>24.339099999999998</v>
      </c>
      <c r="AS100" s="22">
        <v>-1.15295E-2</v>
      </c>
      <c r="AT100" s="22">
        <v>90</v>
      </c>
      <c r="AU100" s="22">
        <v>1.31592</v>
      </c>
      <c r="AV100">
        <f t="shared" si="20"/>
        <v>14.23395061728395</v>
      </c>
      <c r="AW100">
        <f t="shared" si="21"/>
        <v>18.743693191358023</v>
      </c>
      <c r="AX100" s="9"/>
      <c r="AY100" s="22">
        <v>0.35324100000000003</v>
      </c>
      <c r="AZ100" s="22">
        <v>28.097899999999999</v>
      </c>
      <c r="BA100" s="22">
        <v>-1.35406E-2</v>
      </c>
      <c r="BB100" s="22">
        <v>90</v>
      </c>
      <c r="BC100" s="22">
        <v>0.35253899999999999</v>
      </c>
      <c r="BD100">
        <f t="shared" si="22"/>
        <v>16.716790123456789</v>
      </c>
      <c r="BE100">
        <f t="shared" si="23"/>
        <v>5.9050556600000004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5.9457800000000001</v>
      </c>
      <c r="I101" s="22">
        <v>-1.1462399999999999E-2</v>
      </c>
      <c r="J101" s="22">
        <v>91</v>
      </c>
      <c r="K101" s="22">
        <v>1.31104</v>
      </c>
      <c r="L101">
        <f t="shared" si="12"/>
        <v>14.15111111111111</v>
      </c>
      <c r="M101">
        <f t="shared" si="13"/>
        <v>18.563427555555556</v>
      </c>
      <c r="N101" s="9"/>
      <c r="O101" s="22">
        <v>0.35827599999999998</v>
      </c>
      <c r="P101" s="22">
        <v>9.7045399999999997</v>
      </c>
      <c r="Q101" s="22">
        <v>-1.3443E-2</v>
      </c>
      <c r="R101" s="22">
        <v>91</v>
      </c>
      <c r="S101" s="22">
        <v>0.35760500000000001</v>
      </c>
      <c r="T101">
        <f t="shared" si="14"/>
        <v>16.596296296296295</v>
      </c>
      <c r="U101">
        <f t="shared" si="15"/>
        <v>5.9460546518518509</v>
      </c>
      <c r="X101" s="9"/>
      <c r="Y101" s="22">
        <v>1.3118000000000001</v>
      </c>
      <c r="Z101" s="22">
        <v>15.173</v>
      </c>
      <c r="AA101" s="22">
        <v>-1.15967E-2</v>
      </c>
      <c r="AB101" s="22">
        <v>91</v>
      </c>
      <c r="AC101" s="22">
        <v>1.3104199999999999</v>
      </c>
      <c r="AD101">
        <f t="shared" si="16"/>
        <v>14.316913580246911</v>
      </c>
      <c r="AE101">
        <f t="shared" si="17"/>
        <v>18.780927234567901</v>
      </c>
      <c r="AF101" s="9"/>
      <c r="AG101" s="22">
        <v>0.35827599999999998</v>
      </c>
      <c r="AH101" s="22">
        <v>18.931799999999999</v>
      </c>
      <c r="AI101" s="22">
        <v>-1.3467399999999999E-2</v>
      </c>
      <c r="AJ101" s="22">
        <v>91</v>
      </c>
      <c r="AK101" s="22">
        <v>0.35754399999999997</v>
      </c>
      <c r="AL101">
        <f t="shared" si="18"/>
        <v>16.626419753086417</v>
      </c>
      <c r="AM101">
        <f t="shared" si="19"/>
        <v>5.9568471634567883</v>
      </c>
      <c r="AP101" s="9"/>
      <c r="AQ101" s="22">
        <v>1.3118000000000001</v>
      </c>
      <c r="AR101" s="22">
        <v>24.3492</v>
      </c>
      <c r="AS101" s="22">
        <v>-1.15753E-2</v>
      </c>
      <c r="AT101" s="22">
        <v>91</v>
      </c>
      <c r="AU101" s="22">
        <v>1.31073</v>
      </c>
      <c r="AV101">
        <f t="shared" si="20"/>
        <v>14.290493827160493</v>
      </c>
      <c r="AW101">
        <f t="shared" si="21"/>
        <v>18.746269802469136</v>
      </c>
      <c r="AX101" s="9"/>
      <c r="AY101" s="22">
        <v>0.35827599999999998</v>
      </c>
      <c r="AZ101" s="22">
        <v>28.108000000000001</v>
      </c>
      <c r="BA101" s="22">
        <v>-1.35345E-2</v>
      </c>
      <c r="BB101" s="22">
        <v>91</v>
      </c>
      <c r="BC101" s="22">
        <v>0.357574</v>
      </c>
      <c r="BD101">
        <f t="shared" si="22"/>
        <v>16.709259259259255</v>
      </c>
      <c r="BE101">
        <f t="shared" si="23"/>
        <v>5.9865265703703683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5.9558499999999999</v>
      </c>
      <c r="I102" s="22">
        <v>-1.1502099999999999E-2</v>
      </c>
      <c r="J102" s="22">
        <v>92</v>
      </c>
      <c r="K102" s="22">
        <v>1.30585</v>
      </c>
      <c r="L102">
        <f t="shared" si="12"/>
        <v>14.200123456790122</v>
      </c>
      <c r="M102">
        <f t="shared" si="13"/>
        <v>18.556153328395059</v>
      </c>
      <c r="N102" s="9"/>
      <c r="O102" s="22">
        <v>0.36331200000000002</v>
      </c>
      <c r="P102" s="22">
        <v>9.7146100000000004</v>
      </c>
      <c r="Q102" s="22">
        <v>-1.34552E-2</v>
      </c>
      <c r="R102" s="22">
        <v>92</v>
      </c>
      <c r="S102" s="22">
        <v>0.36260999999999999</v>
      </c>
      <c r="T102">
        <f t="shared" si="14"/>
        <v>16.611358024691356</v>
      </c>
      <c r="U102">
        <f t="shared" si="15"/>
        <v>6.0351057066666662</v>
      </c>
      <c r="X102" s="9"/>
      <c r="Y102" s="22">
        <v>1.3067599999999999</v>
      </c>
      <c r="Z102" s="22">
        <v>15.1831</v>
      </c>
      <c r="AA102" s="22">
        <v>-1.1633299999999999E-2</v>
      </c>
      <c r="AB102" s="22">
        <v>92</v>
      </c>
      <c r="AC102" s="22">
        <v>1.30585</v>
      </c>
      <c r="AD102">
        <f t="shared" si="16"/>
        <v>14.362098765432096</v>
      </c>
      <c r="AE102">
        <f t="shared" si="17"/>
        <v>18.767816182716043</v>
      </c>
      <c r="AF102" s="9"/>
      <c r="AG102" s="22">
        <v>0.36331200000000002</v>
      </c>
      <c r="AH102" s="22">
        <v>18.941800000000001</v>
      </c>
      <c r="AI102" s="22">
        <v>-1.34705E-2</v>
      </c>
      <c r="AJ102" s="22">
        <v>92</v>
      </c>
      <c r="AK102" s="22">
        <v>0.36251800000000001</v>
      </c>
      <c r="AL102">
        <f t="shared" si="18"/>
        <v>16.630246913580244</v>
      </c>
      <c r="AM102">
        <f t="shared" si="19"/>
        <v>6.0419682666666663</v>
      </c>
      <c r="AP102" s="9"/>
      <c r="AQ102" s="22">
        <v>1.3067599999999999</v>
      </c>
      <c r="AR102" s="22">
        <v>24.359300000000001</v>
      </c>
      <c r="AS102" s="22">
        <v>-1.1621100000000001E-2</v>
      </c>
      <c r="AT102" s="22">
        <v>92</v>
      </c>
      <c r="AU102" s="22">
        <v>1.30524</v>
      </c>
      <c r="AV102">
        <f t="shared" si="20"/>
        <v>14.347037037037037</v>
      </c>
      <c r="AW102">
        <f t="shared" si="21"/>
        <v>18.748134118518518</v>
      </c>
      <c r="AX102" s="9"/>
      <c r="AY102" s="22">
        <v>0.36331200000000002</v>
      </c>
      <c r="AZ102" s="22">
        <v>28.118099999999998</v>
      </c>
      <c r="BA102" s="22">
        <v>-1.35345E-2</v>
      </c>
      <c r="BB102" s="22">
        <v>92</v>
      </c>
      <c r="BC102" s="22">
        <v>0.36264000000000002</v>
      </c>
      <c r="BD102">
        <f t="shared" si="22"/>
        <v>16.709259259259255</v>
      </c>
      <c r="BE102">
        <f t="shared" si="23"/>
        <v>6.0706743999999988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5.9659199999999997</v>
      </c>
      <c r="I103" s="22">
        <v>-1.1544799999999999E-2</v>
      </c>
      <c r="J103" s="22">
        <v>93</v>
      </c>
      <c r="K103" s="22">
        <v>1.3006599999999999</v>
      </c>
      <c r="L103">
        <f t="shared" si="12"/>
        <v>14.252839506172839</v>
      </c>
      <c r="M103">
        <f t="shared" si="13"/>
        <v>18.55334877037037</v>
      </c>
      <c r="N103" s="9"/>
      <c r="O103" s="22">
        <v>0.36834699999999998</v>
      </c>
      <c r="P103" s="22">
        <v>9.7246799999999993</v>
      </c>
      <c r="Q103" s="22">
        <v>-1.3461300000000001E-2</v>
      </c>
      <c r="R103" s="22">
        <v>93</v>
      </c>
      <c r="S103" s="22">
        <v>0.367645</v>
      </c>
      <c r="T103">
        <f t="shared" si="14"/>
        <v>16.618888888888886</v>
      </c>
      <c r="U103">
        <f t="shared" si="15"/>
        <v>6.1215178655555542</v>
      </c>
      <c r="X103" s="9"/>
      <c r="Y103" s="22">
        <v>1.3017300000000001</v>
      </c>
      <c r="Z103" s="22">
        <v>15.193099999999999</v>
      </c>
      <c r="AA103" s="22">
        <v>-1.1676000000000001E-2</v>
      </c>
      <c r="AB103" s="22">
        <v>93</v>
      </c>
      <c r="AC103" s="22">
        <v>1.3003499999999999</v>
      </c>
      <c r="AD103">
        <f t="shared" si="16"/>
        <v>14.414814814814815</v>
      </c>
      <c r="AE103">
        <f t="shared" si="17"/>
        <v>18.76419688888889</v>
      </c>
      <c r="AF103" s="9"/>
      <c r="AG103" s="22">
        <v>0.36834699999999998</v>
      </c>
      <c r="AH103" s="22">
        <v>18.951899999999998</v>
      </c>
      <c r="AI103" s="22">
        <v>-1.34796E-2</v>
      </c>
      <c r="AJ103" s="22">
        <v>93</v>
      </c>
      <c r="AK103" s="22">
        <v>0.36761500000000003</v>
      </c>
      <c r="AL103">
        <f t="shared" si="18"/>
        <v>16.641481481481478</v>
      </c>
      <c r="AM103">
        <f t="shared" si="19"/>
        <v>6.1298397792592576</v>
      </c>
      <c r="AP103" s="9"/>
      <c r="AQ103" s="22">
        <v>1.3017300000000001</v>
      </c>
      <c r="AR103" s="22">
        <v>24.369399999999999</v>
      </c>
      <c r="AS103" s="22">
        <v>-1.16577E-2</v>
      </c>
      <c r="AT103" s="22">
        <v>93</v>
      </c>
      <c r="AU103" s="22">
        <v>1.3003499999999999</v>
      </c>
      <c r="AV103">
        <f t="shared" si="20"/>
        <v>14.392222222222221</v>
      </c>
      <c r="AW103">
        <f t="shared" si="21"/>
        <v>18.734787433333334</v>
      </c>
      <c r="AX103" s="9"/>
      <c r="AY103" s="22">
        <v>0.36834699999999998</v>
      </c>
      <c r="AZ103" s="22">
        <v>28.1281</v>
      </c>
      <c r="BA103" s="22">
        <v>-1.35376E-2</v>
      </c>
      <c r="BB103" s="22">
        <v>93</v>
      </c>
      <c r="BC103" s="22">
        <v>0.36761500000000003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5.9759900000000004</v>
      </c>
      <c r="I104" s="22">
        <v>-1.1587500000000001E-2</v>
      </c>
      <c r="J104" s="22">
        <v>94</v>
      </c>
      <c r="K104" s="22">
        <v>1.2957799999999999</v>
      </c>
      <c r="L104">
        <f t="shared" si="12"/>
        <v>14.305555555555555</v>
      </c>
      <c r="M104">
        <f t="shared" si="13"/>
        <v>18.549870833333333</v>
      </c>
      <c r="N104" s="9"/>
      <c r="O104" s="22">
        <v>0.37338300000000002</v>
      </c>
      <c r="P104" s="22">
        <v>9.7347599999999996</v>
      </c>
      <c r="Q104" s="22">
        <v>-1.34644E-2</v>
      </c>
      <c r="R104" s="22">
        <v>94</v>
      </c>
      <c r="S104" s="22">
        <v>0.37271100000000001</v>
      </c>
      <c r="T104">
        <f t="shared" si="14"/>
        <v>16.622716049382717</v>
      </c>
      <c r="U104">
        <f t="shared" si="15"/>
        <v>6.2066395866666673</v>
      </c>
      <c r="X104" s="9"/>
      <c r="Y104" s="22">
        <v>1.2966899999999999</v>
      </c>
      <c r="Z104" s="22">
        <v>15.203200000000001</v>
      </c>
      <c r="AA104" s="22">
        <v>-1.1715700000000001E-2</v>
      </c>
      <c r="AB104" s="22">
        <v>94</v>
      </c>
      <c r="AC104" s="22">
        <v>1.2960799999999999</v>
      </c>
      <c r="AD104">
        <f t="shared" si="16"/>
        <v>14.463827160493826</v>
      </c>
      <c r="AE104">
        <f t="shared" si="17"/>
        <v>18.755100040740739</v>
      </c>
      <c r="AF104" s="9"/>
      <c r="AG104" s="22">
        <v>0.37338300000000002</v>
      </c>
      <c r="AH104" s="22">
        <v>18.962</v>
      </c>
      <c r="AI104" s="22">
        <v>-1.3473499999999999E-2</v>
      </c>
      <c r="AJ104" s="22">
        <v>94</v>
      </c>
      <c r="AK104" s="22">
        <v>0.37264999999999998</v>
      </c>
      <c r="AL104">
        <f t="shared" si="18"/>
        <v>16.633950617283947</v>
      </c>
      <c r="AM104">
        <f t="shared" si="19"/>
        <v>6.2108343833333324</v>
      </c>
      <c r="AP104" s="9"/>
      <c r="AQ104" s="22">
        <v>1.2966899999999999</v>
      </c>
      <c r="AR104" s="22">
        <v>24.3794</v>
      </c>
      <c r="AS104" s="22">
        <v>-1.16974E-2</v>
      </c>
      <c r="AT104" s="22">
        <v>94</v>
      </c>
      <c r="AU104" s="22">
        <v>1.2957799999999999</v>
      </c>
      <c r="AV104">
        <f t="shared" si="20"/>
        <v>14.441234567901233</v>
      </c>
      <c r="AW104">
        <f t="shared" si="21"/>
        <v>18.72580445185185</v>
      </c>
      <c r="AX104" s="9"/>
      <c r="AY104" s="22">
        <v>0.37338300000000002</v>
      </c>
      <c r="AZ104" s="22">
        <v>28.138200000000001</v>
      </c>
      <c r="BA104" s="22">
        <v>-1.35345E-2</v>
      </c>
      <c r="BB104" s="22">
        <v>94</v>
      </c>
      <c r="BC104" s="22">
        <v>0.37268099999999998</v>
      </c>
      <c r="BD104">
        <f t="shared" si="22"/>
        <v>16.709259259259255</v>
      </c>
      <c r="BE104">
        <f t="shared" si="23"/>
        <v>6.2389533499999992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5.9860600000000002</v>
      </c>
      <c r="I105" s="22">
        <v>-1.1633299999999999E-2</v>
      </c>
      <c r="J105" s="22">
        <v>95</v>
      </c>
      <c r="K105" s="22">
        <v>1.2911999999999999</v>
      </c>
      <c r="L105">
        <f t="shared" si="12"/>
        <v>14.362098765432096</v>
      </c>
      <c r="M105">
        <f t="shared" si="13"/>
        <v>18.550948491358021</v>
      </c>
      <c r="N105" s="9"/>
      <c r="O105" s="22">
        <v>0.37841799999999998</v>
      </c>
      <c r="P105" s="22">
        <v>9.7448300000000003</v>
      </c>
      <c r="Q105" s="22">
        <v>-1.3461300000000001E-2</v>
      </c>
      <c r="R105" s="22">
        <v>95</v>
      </c>
      <c r="S105" s="22">
        <v>0.377747</v>
      </c>
      <c r="T105">
        <f t="shared" si="14"/>
        <v>16.618888888888886</v>
      </c>
      <c r="U105">
        <f t="shared" si="15"/>
        <v>6.2888866955555542</v>
      </c>
      <c r="X105" s="9"/>
      <c r="Y105" s="22">
        <v>1.29166</v>
      </c>
      <c r="Z105" s="22">
        <v>15.2133</v>
      </c>
      <c r="AA105" s="22">
        <v>-1.1755399999999999E-2</v>
      </c>
      <c r="AB105" s="22">
        <v>95</v>
      </c>
      <c r="AC105" s="22">
        <v>1.2905899999999999</v>
      </c>
      <c r="AD105">
        <f t="shared" si="16"/>
        <v>14.512839506172838</v>
      </c>
      <c r="AE105">
        <f t="shared" si="17"/>
        <v>18.74565427654321</v>
      </c>
      <c r="AF105" s="9"/>
      <c r="AG105" s="22">
        <v>0.37841799999999998</v>
      </c>
      <c r="AH105" s="22">
        <v>18.972000000000001</v>
      </c>
      <c r="AI105" s="22">
        <v>-1.3467399999999999E-2</v>
      </c>
      <c r="AJ105" s="22">
        <v>95</v>
      </c>
      <c r="AK105" s="22">
        <v>0.377716</v>
      </c>
      <c r="AL105">
        <f t="shared" si="18"/>
        <v>16.626419753086417</v>
      </c>
      <c r="AM105">
        <f t="shared" si="19"/>
        <v>6.2917365101234548</v>
      </c>
      <c r="AP105" s="9"/>
      <c r="AQ105" s="22">
        <v>1.29166</v>
      </c>
      <c r="AR105" s="22">
        <v>24.389500000000002</v>
      </c>
      <c r="AS105" s="22">
        <v>-1.17371E-2</v>
      </c>
      <c r="AT105" s="22">
        <v>95</v>
      </c>
      <c r="AU105" s="22">
        <v>1.2905899999999999</v>
      </c>
      <c r="AV105">
        <f t="shared" si="20"/>
        <v>14.490246913580247</v>
      </c>
      <c r="AW105">
        <f t="shared" si="21"/>
        <v>18.716472328395064</v>
      </c>
      <c r="AX105" s="9"/>
      <c r="AY105" s="22">
        <v>0.37841799999999998</v>
      </c>
      <c r="AZ105" s="22">
        <v>28.148299999999999</v>
      </c>
      <c r="BA105" s="22">
        <v>-1.35376E-2</v>
      </c>
      <c r="BB105" s="22">
        <v>95</v>
      </c>
      <c r="BC105" s="22">
        <v>0.37777699999999997</v>
      </c>
      <c r="BD105">
        <f t="shared" si="22"/>
        <v>16.713086419753086</v>
      </c>
      <c r="BE105">
        <f t="shared" si="23"/>
        <v>6.3245327367901227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5.9961399999999996</v>
      </c>
      <c r="I106" s="22">
        <v>-1.1672999999999999E-2</v>
      </c>
      <c r="J106" s="22">
        <v>96</v>
      </c>
      <c r="K106" s="22">
        <v>1.2857099999999999</v>
      </c>
      <c r="L106">
        <f t="shared" si="12"/>
        <v>14.41111111111111</v>
      </c>
      <c r="M106">
        <f t="shared" si="13"/>
        <v>18.541623777777776</v>
      </c>
      <c r="N106" s="9"/>
      <c r="O106" s="22">
        <v>0.38345299999999999</v>
      </c>
      <c r="P106" s="22">
        <v>9.7548999999999992</v>
      </c>
      <c r="Q106" s="22">
        <v>-1.3458299999999999E-2</v>
      </c>
      <c r="R106" s="22">
        <v>96</v>
      </c>
      <c r="S106" s="22">
        <v>0.38275100000000001</v>
      </c>
      <c r="T106">
        <f t="shared" si="14"/>
        <v>16.615185185185183</v>
      </c>
      <c r="U106">
        <f t="shared" si="15"/>
        <v>6.3711426048148141</v>
      </c>
      <c r="X106" s="9"/>
      <c r="Y106" s="22">
        <v>1.2866200000000001</v>
      </c>
      <c r="Z106" s="22">
        <v>15.2233</v>
      </c>
      <c r="AA106" s="22">
        <v>-1.1792E-2</v>
      </c>
      <c r="AB106" s="22">
        <v>96</v>
      </c>
      <c r="AC106" s="22">
        <v>1.2854000000000001</v>
      </c>
      <c r="AD106">
        <f t="shared" si="16"/>
        <v>14.558024691358025</v>
      </c>
      <c r="AE106">
        <f t="shared" si="17"/>
        <v>18.730645728395064</v>
      </c>
      <c r="AF106" s="9"/>
      <c r="AG106" s="22">
        <v>0.38345299999999999</v>
      </c>
      <c r="AH106" s="22">
        <v>18.982099999999999</v>
      </c>
      <c r="AI106" s="22">
        <v>-1.3467399999999999E-2</v>
      </c>
      <c r="AJ106" s="22">
        <v>96</v>
      </c>
      <c r="AK106" s="22">
        <v>0.38275100000000001</v>
      </c>
      <c r="AL106">
        <f t="shared" si="18"/>
        <v>16.626419753086417</v>
      </c>
      <c r="AM106">
        <f t="shared" si="19"/>
        <v>6.3754505335802456</v>
      </c>
      <c r="AP106" s="9"/>
      <c r="AQ106" s="22">
        <v>1.2866200000000001</v>
      </c>
      <c r="AR106" s="22">
        <v>24.3996</v>
      </c>
      <c r="AS106" s="22">
        <v>-1.17798E-2</v>
      </c>
      <c r="AT106" s="22">
        <v>96</v>
      </c>
      <c r="AU106" s="22">
        <v>1.2854000000000001</v>
      </c>
      <c r="AV106">
        <f t="shared" si="20"/>
        <v>14.542962962962962</v>
      </c>
      <c r="AW106">
        <f t="shared" si="21"/>
        <v>18.711267007407407</v>
      </c>
      <c r="AX106" s="9"/>
      <c r="AY106" s="22">
        <v>0.38345299999999999</v>
      </c>
      <c r="AZ106" s="22">
        <v>28.158300000000001</v>
      </c>
      <c r="BA106" s="22">
        <v>-1.35345E-2</v>
      </c>
      <c r="BB106" s="22">
        <v>96</v>
      </c>
      <c r="BC106" s="22">
        <v>0.38281300000000001</v>
      </c>
      <c r="BD106">
        <f t="shared" si="22"/>
        <v>16.709259259259255</v>
      </c>
      <c r="BE106">
        <f t="shared" si="23"/>
        <v>6.4072155907407389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6.0062100000000003</v>
      </c>
      <c r="I107" s="22">
        <v>-1.17035E-2</v>
      </c>
      <c r="J107" s="22">
        <v>97</v>
      </c>
      <c r="K107" s="22">
        <v>1.2805200000000001</v>
      </c>
      <c r="L107">
        <f t="shared" si="12"/>
        <v>14.448765432098766</v>
      </c>
      <c r="M107">
        <f t="shared" si="13"/>
        <v>18.517393290123458</v>
      </c>
      <c r="N107" s="9"/>
      <c r="O107" s="22">
        <v>0.38848899999999997</v>
      </c>
      <c r="P107" s="22">
        <v>9.7649699999999999</v>
      </c>
      <c r="Q107" s="22">
        <v>-1.3443E-2</v>
      </c>
      <c r="R107" s="22">
        <v>97</v>
      </c>
      <c r="S107" s="22">
        <v>0.38778699999999999</v>
      </c>
      <c r="T107">
        <f t="shared" si="14"/>
        <v>16.596296296296295</v>
      </c>
      <c r="U107">
        <f t="shared" si="15"/>
        <v>6.4474785518518507</v>
      </c>
      <c r="X107" s="9"/>
      <c r="Y107" s="22">
        <v>1.28159</v>
      </c>
      <c r="Z107" s="22">
        <v>15.2334</v>
      </c>
      <c r="AA107" s="22">
        <v>-1.18256E-2</v>
      </c>
      <c r="AB107" s="22">
        <v>97</v>
      </c>
      <c r="AC107" s="22">
        <v>1.2808200000000001</v>
      </c>
      <c r="AD107">
        <f t="shared" si="16"/>
        <v>14.599506172839504</v>
      </c>
      <c r="AE107">
        <f t="shared" si="17"/>
        <v>18.710581116049379</v>
      </c>
      <c r="AF107" s="9"/>
      <c r="AG107" s="22">
        <v>0.38848899999999997</v>
      </c>
      <c r="AH107" s="22">
        <v>18.9922</v>
      </c>
      <c r="AI107" s="22">
        <v>-1.34552E-2</v>
      </c>
      <c r="AJ107" s="22">
        <v>97</v>
      </c>
      <c r="AK107" s="22">
        <v>0.38781700000000002</v>
      </c>
      <c r="AL107">
        <f t="shared" si="18"/>
        <v>16.611358024691356</v>
      </c>
      <c r="AM107">
        <f t="shared" si="19"/>
        <v>6.45332986765432</v>
      </c>
      <c r="AP107" s="9"/>
      <c r="AQ107" s="22">
        <v>1.28159</v>
      </c>
      <c r="AR107" s="22">
        <v>24.409600000000001</v>
      </c>
      <c r="AS107" s="22">
        <v>-1.1816399999999999E-2</v>
      </c>
      <c r="AT107" s="22">
        <v>97</v>
      </c>
      <c r="AU107" s="22">
        <v>1.2808200000000001</v>
      </c>
      <c r="AV107">
        <f t="shared" si="20"/>
        <v>14.588148148148147</v>
      </c>
      <c r="AW107">
        <f t="shared" si="21"/>
        <v>18.696024785185184</v>
      </c>
      <c r="AX107" s="9"/>
      <c r="AY107" s="22">
        <v>0.38848899999999997</v>
      </c>
      <c r="AZ107" s="22">
        <v>28.168399999999998</v>
      </c>
      <c r="BA107" s="22">
        <v>-1.35315E-2</v>
      </c>
      <c r="BB107" s="22">
        <v>97</v>
      </c>
      <c r="BC107" s="22">
        <v>0.38784800000000003</v>
      </c>
      <c r="BD107">
        <f t="shared" si="22"/>
        <v>16.705555555555552</v>
      </c>
      <c r="BE107">
        <f t="shared" si="23"/>
        <v>6.4899245722222201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6.0162800000000001</v>
      </c>
      <c r="I108" s="22">
        <v>-1.17249E-2</v>
      </c>
      <c r="J108" s="22">
        <v>98</v>
      </c>
      <c r="K108" s="22">
        <v>1.2759400000000001</v>
      </c>
      <c r="L108">
        <f t="shared" si="12"/>
        <v>14.475185185185184</v>
      </c>
      <c r="M108">
        <f t="shared" si="13"/>
        <v>18.47829764814815</v>
      </c>
      <c r="N108" s="9"/>
      <c r="O108" s="22">
        <v>0.39352399999999998</v>
      </c>
      <c r="P108" s="22">
        <v>9.7750400000000006</v>
      </c>
      <c r="Q108" s="22">
        <v>-1.34308E-2</v>
      </c>
      <c r="R108" s="22">
        <v>98</v>
      </c>
      <c r="S108" s="22">
        <v>0.392822</v>
      </c>
      <c r="T108">
        <f t="shared" si="14"/>
        <v>16.581234567901234</v>
      </c>
      <c r="U108">
        <f t="shared" si="15"/>
        <v>6.5251137520987648</v>
      </c>
      <c r="X108" s="9"/>
      <c r="Y108" s="22">
        <v>1.2765500000000001</v>
      </c>
      <c r="Z108" s="22">
        <v>15.243499999999999</v>
      </c>
      <c r="AA108" s="22">
        <v>-1.1865199999999999E-2</v>
      </c>
      <c r="AB108" s="22">
        <v>98</v>
      </c>
      <c r="AC108" s="22">
        <v>1.27563</v>
      </c>
      <c r="AD108">
        <f t="shared" si="16"/>
        <v>14.648395061728394</v>
      </c>
      <c r="AE108">
        <f t="shared" si="17"/>
        <v>18.699408716049383</v>
      </c>
      <c r="AF108" s="9"/>
      <c r="AG108" s="22">
        <v>0.39352399999999998</v>
      </c>
      <c r="AH108" s="22">
        <v>19.002199999999998</v>
      </c>
      <c r="AI108" s="22">
        <v>-1.34521E-2</v>
      </c>
      <c r="AJ108" s="22">
        <v>98</v>
      </c>
      <c r="AK108" s="22">
        <v>0.392822</v>
      </c>
      <c r="AL108">
        <f t="shared" si="18"/>
        <v>16.607530864197528</v>
      </c>
      <c r="AM108">
        <f t="shared" si="19"/>
        <v>6.5354619758024679</v>
      </c>
      <c r="AP108" s="9"/>
      <c r="AQ108" s="22">
        <v>1.2765500000000001</v>
      </c>
      <c r="AR108" s="22">
        <v>24.419699999999999</v>
      </c>
      <c r="AS108" s="22">
        <v>-1.1865199999999999E-2</v>
      </c>
      <c r="AT108" s="22">
        <v>98</v>
      </c>
      <c r="AU108" s="22">
        <v>1.27563</v>
      </c>
      <c r="AV108">
        <f t="shared" si="20"/>
        <v>14.648395061728394</v>
      </c>
      <c r="AW108">
        <f t="shared" si="21"/>
        <v>18.699408716049383</v>
      </c>
      <c r="AX108" s="9"/>
      <c r="AY108" s="22">
        <v>0.39352399999999998</v>
      </c>
      <c r="AZ108" s="22">
        <v>28.1785</v>
      </c>
      <c r="BA108" s="22">
        <v>-1.3528399999999999E-2</v>
      </c>
      <c r="BB108" s="22">
        <v>98</v>
      </c>
      <c r="BC108" s="22">
        <v>0.39285300000000001</v>
      </c>
      <c r="BD108">
        <f t="shared" si="22"/>
        <v>16.701728395061725</v>
      </c>
      <c r="BE108">
        <f t="shared" si="23"/>
        <v>6.5725309649382702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6.0263499999999999</v>
      </c>
      <c r="I109" s="22">
        <v>-1.1755399999999999E-2</v>
      </c>
      <c r="J109" s="22">
        <v>99</v>
      </c>
      <c r="K109" s="22">
        <v>1.27075</v>
      </c>
      <c r="L109">
        <f t="shared" si="12"/>
        <v>14.512839506172838</v>
      </c>
      <c r="M109">
        <f t="shared" si="13"/>
        <v>18.453220560493826</v>
      </c>
      <c r="N109" s="9"/>
      <c r="O109" s="22">
        <v>0.39856000000000003</v>
      </c>
      <c r="P109" s="22">
        <v>9.7851099999999995</v>
      </c>
      <c r="Q109" s="22">
        <v>-1.34308E-2</v>
      </c>
      <c r="R109" s="22">
        <v>99</v>
      </c>
      <c r="S109" s="22">
        <v>0.39782699999999999</v>
      </c>
      <c r="T109">
        <f t="shared" si="14"/>
        <v>16.581234567901234</v>
      </c>
      <c r="U109">
        <f t="shared" si="15"/>
        <v>6.6086168493827158</v>
      </c>
      <c r="X109" s="9"/>
      <c r="Y109" s="22">
        <v>1.2715099999999999</v>
      </c>
      <c r="Z109" s="22">
        <v>15.2536</v>
      </c>
      <c r="AA109" s="22">
        <v>-1.19019E-2</v>
      </c>
      <c r="AB109" s="22">
        <v>99</v>
      </c>
      <c r="AC109" s="22">
        <v>1.2710600000000001</v>
      </c>
      <c r="AD109">
        <f t="shared" si="16"/>
        <v>14.693703703703703</v>
      </c>
      <c r="AE109">
        <f t="shared" si="17"/>
        <v>18.683191196296292</v>
      </c>
      <c r="AF109" s="9"/>
      <c r="AG109" s="22">
        <v>0.39856000000000003</v>
      </c>
      <c r="AH109" s="22">
        <v>19.0123</v>
      </c>
      <c r="AI109" s="22">
        <v>-1.3443E-2</v>
      </c>
      <c r="AJ109" s="22">
        <v>99</v>
      </c>
      <c r="AK109" s="22">
        <v>0.39782699999999999</v>
      </c>
      <c r="AL109">
        <f t="shared" si="18"/>
        <v>16.596296296296295</v>
      </c>
      <c r="AM109">
        <f t="shared" si="19"/>
        <v>6.6146198518518515</v>
      </c>
      <c r="AP109" s="9"/>
      <c r="AQ109" s="22">
        <v>1.2715099999999999</v>
      </c>
      <c r="AR109" s="22">
        <v>24.4298</v>
      </c>
      <c r="AS109" s="22">
        <v>-1.19049E-2</v>
      </c>
      <c r="AT109" s="22">
        <v>99</v>
      </c>
      <c r="AU109" s="22">
        <v>1.2704500000000001</v>
      </c>
      <c r="AV109">
        <f t="shared" si="20"/>
        <v>14.697407407407406</v>
      </c>
      <c r="AW109">
        <f t="shared" si="21"/>
        <v>18.68790049259259</v>
      </c>
      <c r="AX109" s="9"/>
      <c r="AY109" s="22">
        <v>0.39856000000000003</v>
      </c>
      <c r="AZ109" s="22">
        <v>28.188500000000001</v>
      </c>
      <c r="BA109" s="22">
        <v>-1.3528399999999999E-2</v>
      </c>
      <c r="BB109" s="22">
        <v>99</v>
      </c>
      <c r="BC109" s="22">
        <v>0.39779700000000001</v>
      </c>
      <c r="BD109">
        <f t="shared" si="22"/>
        <v>16.701728395061725</v>
      </c>
      <c r="BE109">
        <f t="shared" si="23"/>
        <v>6.6566408691358019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6.0364199999999997</v>
      </c>
      <c r="I110" s="22">
        <v>-1.1792E-2</v>
      </c>
      <c r="J110" s="22">
        <v>100</v>
      </c>
      <c r="K110" s="22">
        <v>1.2658700000000001</v>
      </c>
      <c r="L110">
        <f t="shared" si="12"/>
        <v>14.558024691358025</v>
      </c>
      <c r="M110">
        <f t="shared" si="13"/>
        <v>18.437447111111112</v>
      </c>
      <c r="N110" s="9"/>
      <c r="O110" s="22">
        <v>0.40359499999999998</v>
      </c>
      <c r="P110" s="22">
        <v>9.7951800000000002</v>
      </c>
      <c r="Q110" s="22">
        <v>-1.3427700000000001E-2</v>
      </c>
      <c r="R110" s="22">
        <v>100</v>
      </c>
      <c r="S110" s="22">
        <v>0.402924</v>
      </c>
      <c r="T110">
        <f t="shared" si="14"/>
        <v>16.57740740740741</v>
      </c>
      <c r="U110">
        <f t="shared" si="15"/>
        <v>6.690558742592593</v>
      </c>
      <c r="X110" s="9"/>
      <c r="Y110" s="22">
        <v>1.2664800000000001</v>
      </c>
      <c r="Z110" s="22">
        <v>15.2636</v>
      </c>
      <c r="AA110" s="22">
        <v>-1.1935400000000001E-2</v>
      </c>
      <c r="AB110" s="22">
        <v>100</v>
      </c>
      <c r="AC110" s="22">
        <v>1.2652600000000001</v>
      </c>
      <c r="AD110">
        <f t="shared" si="16"/>
        <v>14.735061728395062</v>
      </c>
      <c r="AE110">
        <f t="shared" si="17"/>
        <v>18.661660977777778</v>
      </c>
      <c r="AF110" s="9"/>
      <c r="AG110" s="22">
        <v>0.40359499999999998</v>
      </c>
      <c r="AH110" s="22">
        <v>19.022400000000001</v>
      </c>
      <c r="AI110" s="22">
        <v>-1.34308E-2</v>
      </c>
      <c r="AJ110" s="22">
        <v>100</v>
      </c>
      <c r="AK110" s="22">
        <v>0.40286300000000003</v>
      </c>
      <c r="AL110">
        <f t="shared" si="18"/>
        <v>16.581234567901234</v>
      </c>
      <c r="AM110">
        <f t="shared" si="19"/>
        <v>6.6921033654320983</v>
      </c>
      <c r="AP110" s="9"/>
      <c r="AQ110" s="22">
        <v>1.2664800000000001</v>
      </c>
      <c r="AR110" s="22">
        <v>24.439900000000002</v>
      </c>
      <c r="AS110" s="22">
        <v>-1.1935400000000001E-2</v>
      </c>
      <c r="AT110" s="22">
        <v>100</v>
      </c>
      <c r="AU110" s="22">
        <v>1.26556</v>
      </c>
      <c r="AV110">
        <f t="shared" si="20"/>
        <v>14.735061728395062</v>
      </c>
      <c r="AW110">
        <f t="shared" si="21"/>
        <v>18.661660977777778</v>
      </c>
      <c r="AX110" s="9"/>
      <c r="AY110" s="22">
        <v>0.40359499999999998</v>
      </c>
      <c r="AZ110" s="22">
        <v>28.198599999999999</v>
      </c>
      <c r="BA110" s="22">
        <v>-1.35345E-2</v>
      </c>
      <c r="BB110" s="22">
        <v>100</v>
      </c>
      <c r="BC110" s="22">
        <v>0.40286300000000003</v>
      </c>
      <c r="BD110">
        <f t="shared" si="22"/>
        <v>16.709259259259255</v>
      </c>
      <c r="BE110">
        <f t="shared" si="23"/>
        <v>6.7437734907407387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6.0464900000000004</v>
      </c>
      <c r="I111" s="22">
        <v>-1.18225E-2</v>
      </c>
      <c r="J111" s="22">
        <v>101</v>
      </c>
      <c r="K111" s="22">
        <v>1.26007</v>
      </c>
      <c r="L111">
        <f t="shared" si="12"/>
        <v>14.595679012345677</v>
      </c>
      <c r="M111">
        <f t="shared" si="13"/>
        <v>18.41157333333333</v>
      </c>
      <c r="N111" s="9"/>
      <c r="O111" s="22">
        <v>0.40862999999999999</v>
      </c>
      <c r="P111" s="22">
        <v>9.8052499999999991</v>
      </c>
      <c r="Q111" s="22">
        <v>-1.3424699999999999E-2</v>
      </c>
      <c r="R111" s="22">
        <v>101</v>
      </c>
      <c r="S111" s="22">
        <v>0.40786699999999998</v>
      </c>
      <c r="T111">
        <f t="shared" si="14"/>
        <v>16.5737037037037</v>
      </c>
      <c r="U111">
        <f t="shared" si="15"/>
        <v>6.7725125444444432</v>
      </c>
      <c r="X111" s="9"/>
      <c r="Y111" s="22">
        <v>1.2614399999999999</v>
      </c>
      <c r="Z111" s="22">
        <v>15.2737</v>
      </c>
      <c r="AA111" s="22">
        <v>-1.19659E-2</v>
      </c>
      <c r="AB111" s="22">
        <v>101</v>
      </c>
      <c r="AC111" s="22">
        <v>1.26068</v>
      </c>
      <c r="AD111">
        <f t="shared" si="16"/>
        <v>14.772716049382716</v>
      </c>
      <c r="AE111">
        <f t="shared" si="17"/>
        <v>18.634894933333332</v>
      </c>
      <c r="AF111" s="9"/>
      <c r="AG111" s="22">
        <v>0.40862999999999999</v>
      </c>
      <c r="AH111" s="22">
        <v>19.032499999999999</v>
      </c>
      <c r="AI111" s="22">
        <v>-1.34308E-2</v>
      </c>
      <c r="AJ111" s="22">
        <v>101</v>
      </c>
      <c r="AK111" s="22">
        <v>0.40792800000000001</v>
      </c>
      <c r="AL111">
        <f t="shared" si="18"/>
        <v>16.581234567901234</v>
      </c>
      <c r="AM111">
        <f t="shared" si="19"/>
        <v>6.7755898814814808</v>
      </c>
      <c r="AP111" s="9"/>
      <c r="AQ111" s="22">
        <v>1.2614399999999999</v>
      </c>
      <c r="AR111" s="22">
        <v>24.4499</v>
      </c>
      <c r="AS111" s="22">
        <v>-1.19659E-2</v>
      </c>
      <c r="AT111" s="22">
        <v>101</v>
      </c>
      <c r="AU111" s="22">
        <v>1.26007</v>
      </c>
      <c r="AV111">
        <f t="shared" si="20"/>
        <v>14.772716049382716</v>
      </c>
      <c r="AW111">
        <f t="shared" si="21"/>
        <v>18.634894933333332</v>
      </c>
      <c r="AX111" s="9"/>
      <c r="AY111" s="22">
        <v>0.40862999999999999</v>
      </c>
      <c r="AZ111" s="22">
        <v>28.2087</v>
      </c>
      <c r="BA111" s="22">
        <v>-1.3528399999999999E-2</v>
      </c>
      <c r="BB111" s="22">
        <v>101</v>
      </c>
      <c r="BC111" s="22">
        <v>0.40789799999999998</v>
      </c>
      <c r="BD111">
        <f t="shared" si="22"/>
        <v>16.701728395061725</v>
      </c>
      <c r="BE111">
        <f t="shared" si="23"/>
        <v>6.8248272740740727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6.0565600000000002</v>
      </c>
      <c r="I112" s="22">
        <v>-1.1853000000000001E-2</v>
      </c>
      <c r="J112" s="22">
        <v>102</v>
      </c>
      <c r="K112" s="22">
        <v>1.25519</v>
      </c>
      <c r="L112">
        <f t="shared" si="12"/>
        <v>14.633333333333333</v>
      </c>
      <c r="M112">
        <f t="shared" si="13"/>
        <v>18.385466333333333</v>
      </c>
      <c r="N112" s="9"/>
      <c r="O112" s="22">
        <v>0.41366599999999998</v>
      </c>
      <c r="P112" s="22">
        <v>9.8153199999999998</v>
      </c>
      <c r="Q112" s="22">
        <v>-1.34155E-2</v>
      </c>
      <c r="R112" s="22">
        <v>102</v>
      </c>
      <c r="S112" s="22">
        <v>0.41290300000000002</v>
      </c>
      <c r="T112">
        <f t="shared" si="14"/>
        <v>16.562345679012346</v>
      </c>
      <c r="U112">
        <f t="shared" si="15"/>
        <v>6.8512792876543207</v>
      </c>
      <c r="X112" s="9"/>
      <c r="Y112" s="22">
        <v>1.25641</v>
      </c>
      <c r="Z112" s="22">
        <v>15.283799999999999</v>
      </c>
      <c r="AA112" s="22">
        <v>-1.19995E-2</v>
      </c>
      <c r="AB112" s="22">
        <v>102</v>
      </c>
      <c r="AC112" s="22">
        <v>1.25519</v>
      </c>
      <c r="AD112">
        <f t="shared" si="16"/>
        <v>14.814197530864195</v>
      </c>
      <c r="AE112">
        <f t="shared" si="17"/>
        <v>18.612705919753083</v>
      </c>
      <c r="AF112" s="9"/>
      <c r="AG112" s="22">
        <v>0.41366599999999998</v>
      </c>
      <c r="AH112" s="22">
        <v>19.0425</v>
      </c>
      <c r="AI112" s="22">
        <v>-1.3433799999999999E-2</v>
      </c>
      <c r="AJ112" s="22">
        <v>102</v>
      </c>
      <c r="AK112" s="22">
        <v>0.41293299999999999</v>
      </c>
      <c r="AL112">
        <f t="shared" si="18"/>
        <v>16.584938271604937</v>
      </c>
      <c r="AM112">
        <f t="shared" si="19"/>
        <v>6.8606250750617273</v>
      </c>
      <c r="AP112" s="9"/>
      <c r="AQ112" s="22">
        <v>1.25641</v>
      </c>
      <c r="AR112" s="22">
        <v>24.46</v>
      </c>
      <c r="AS112" s="22">
        <v>-1.19904E-2</v>
      </c>
      <c r="AT112" s="22">
        <v>102</v>
      </c>
      <c r="AU112" s="22">
        <v>1.2558</v>
      </c>
      <c r="AV112">
        <f t="shared" si="20"/>
        <v>14.802962962962962</v>
      </c>
      <c r="AW112">
        <f t="shared" si="21"/>
        <v>18.598590696296295</v>
      </c>
      <c r="AX112" s="9"/>
      <c r="AY112" s="22">
        <v>0.41366599999999998</v>
      </c>
      <c r="AZ112" s="22">
        <v>28.218800000000002</v>
      </c>
      <c r="BA112" s="22">
        <v>-1.35193E-2</v>
      </c>
      <c r="BB112" s="22">
        <v>102</v>
      </c>
      <c r="BC112" s="22">
        <v>0.41293299999999999</v>
      </c>
      <c r="BD112">
        <f t="shared" si="22"/>
        <v>16.690493827160495</v>
      </c>
      <c r="BE112">
        <f t="shared" si="23"/>
        <v>6.9042898195061726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6.06663</v>
      </c>
      <c r="I113" s="22">
        <v>-1.18805E-2</v>
      </c>
      <c r="J113" s="22">
        <v>103</v>
      </c>
      <c r="K113" s="22">
        <v>1.25061</v>
      </c>
      <c r="L113">
        <f t="shared" si="12"/>
        <v>14.667283950617284</v>
      </c>
      <c r="M113">
        <f t="shared" si="13"/>
        <v>18.354199117283951</v>
      </c>
      <c r="N113" s="9"/>
      <c r="O113" s="22">
        <v>0.41870099999999999</v>
      </c>
      <c r="P113" s="22">
        <v>9.8253900000000005</v>
      </c>
      <c r="Q113" s="22">
        <v>-1.3412500000000001E-2</v>
      </c>
      <c r="R113" s="22">
        <v>103</v>
      </c>
      <c r="S113" s="22">
        <v>0.41799900000000001</v>
      </c>
      <c r="T113">
        <f t="shared" si="14"/>
        <v>16.558641975308642</v>
      </c>
      <c r="U113">
        <f t="shared" si="15"/>
        <v>6.933119953703704</v>
      </c>
      <c r="X113" s="9"/>
      <c r="Y113" s="22">
        <v>1.2513700000000001</v>
      </c>
      <c r="Z113" s="22">
        <v>15.293799999999999</v>
      </c>
      <c r="AA113" s="22">
        <v>-1.20331E-2</v>
      </c>
      <c r="AB113" s="22">
        <v>103</v>
      </c>
      <c r="AC113" s="22">
        <v>1.25061</v>
      </c>
      <c r="AD113">
        <f t="shared" si="16"/>
        <v>14.855679012345679</v>
      </c>
      <c r="AE113">
        <f t="shared" si="17"/>
        <v>18.589951045679012</v>
      </c>
      <c r="AF113" s="9"/>
      <c r="AG113" s="22">
        <v>0.41870099999999999</v>
      </c>
      <c r="AH113" s="22">
        <v>19.052600000000002</v>
      </c>
      <c r="AI113" s="22">
        <v>-1.34308E-2</v>
      </c>
      <c r="AJ113" s="22">
        <v>103</v>
      </c>
      <c r="AK113" s="22">
        <v>0.41799900000000001</v>
      </c>
      <c r="AL113">
        <f t="shared" si="18"/>
        <v>16.581234567901234</v>
      </c>
      <c r="AM113">
        <f t="shared" si="19"/>
        <v>6.9425794948148143</v>
      </c>
      <c r="AP113" s="9"/>
      <c r="AQ113" s="22">
        <v>1.2513700000000001</v>
      </c>
      <c r="AR113" s="22">
        <v>24.470099999999999</v>
      </c>
      <c r="AS113" s="22">
        <v>-1.2014800000000001E-2</v>
      </c>
      <c r="AT113" s="22">
        <v>103</v>
      </c>
      <c r="AU113" s="22">
        <v>1.25031</v>
      </c>
      <c r="AV113">
        <f t="shared" si="20"/>
        <v>14.833086419753087</v>
      </c>
      <c r="AW113">
        <f t="shared" si="21"/>
        <v>18.561679353086422</v>
      </c>
      <c r="AX113" s="9"/>
      <c r="AY113" s="22">
        <v>0.41870099999999999</v>
      </c>
      <c r="AZ113" s="22">
        <v>28.2288</v>
      </c>
      <c r="BA113" s="22">
        <v>-1.3501000000000001E-2</v>
      </c>
      <c r="BB113" s="22">
        <v>103</v>
      </c>
      <c r="BC113" s="22">
        <v>0.41805999999999999</v>
      </c>
      <c r="BD113">
        <f t="shared" si="22"/>
        <v>16.667901234567903</v>
      </c>
      <c r="BE113">
        <f t="shared" si="23"/>
        <v>6.9788669148148159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6.0766999999999998</v>
      </c>
      <c r="I114" s="22">
        <v>-1.1908E-2</v>
      </c>
      <c r="J114" s="22">
        <v>104</v>
      </c>
      <c r="K114" s="22">
        <v>1.24512</v>
      </c>
      <c r="L114">
        <f t="shared" si="12"/>
        <v>14.701234567901233</v>
      </c>
      <c r="M114">
        <f t="shared" si="13"/>
        <v>18.322736691358024</v>
      </c>
      <c r="N114" s="9"/>
      <c r="O114" s="22">
        <v>0.42373699999999997</v>
      </c>
      <c r="P114" s="22">
        <v>9.8354700000000008</v>
      </c>
      <c r="Q114" s="22">
        <v>-1.34094E-2</v>
      </c>
      <c r="R114" s="22">
        <v>104</v>
      </c>
      <c r="S114" s="22">
        <v>0.42303499999999999</v>
      </c>
      <c r="T114">
        <f t="shared" si="14"/>
        <v>16.554814814814815</v>
      </c>
      <c r="U114">
        <f t="shared" si="15"/>
        <v>7.0148875651851847</v>
      </c>
      <c r="X114" s="9"/>
      <c r="Y114" s="22">
        <v>1.24634</v>
      </c>
      <c r="Z114" s="22">
        <v>15.303900000000001</v>
      </c>
      <c r="AA114" s="22">
        <v>-1.2057500000000001E-2</v>
      </c>
      <c r="AB114" s="22">
        <v>104</v>
      </c>
      <c r="AC114" s="22">
        <v>1.24542</v>
      </c>
      <c r="AD114">
        <f t="shared" si="16"/>
        <v>14.885802469135802</v>
      </c>
      <c r="AE114">
        <f t="shared" si="17"/>
        <v>18.552771049382716</v>
      </c>
      <c r="AF114" s="9"/>
      <c r="AG114" s="22">
        <v>0.42373699999999997</v>
      </c>
      <c r="AH114" s="22">
        <v>19.0627</v>
      </c>
      <c r="AI114" s="22">
        <v>-1.34308E-2</v>
      </c>
      <c r="AJ114" s="22">
        <v>104</v>
      </c>
      <c r="AK114" s="22">
        <v>0.42300399999999999</v>
      </c>
      <c r="AL114">
        <f t="shared" si="18"/>
        <v>16.581234567901234</v>
      </c>
      <c r="AM114">
        <f t="shared" si="19"/>
        <v>7.0260825920987644</v>
      </c>
      <c r="AP114" s="9"/>
      <c r="AQ114" s="22">
        <v>1.24634</v>
      </c>
      <c r="AR114" s="22">
        <v>24.4801</v>
      </c>
      <c r="AS114" s="22">
        <v>-1.20514E-2</v>
      </c>
      <c r="AT114" s="22">
        <v>104</v>
      </c>
      <c r="AU114" s="22">
        <v>1.24542</v>
      </c>
      <c r="AV114">
        <f t="shared" si="20"/>
        <v>14.878271604938272</v>
      </c>
      <c r="AW114">
        <f t="shared" si="21"/>
        <v>18.543385032098765</v>
      </c>
      <c r="AX114" s="9"/>
      <c r="AY114" s="22">
        <v>0.42373699999999997</v>
      </c>
      <c r="AZ114" s="22">
        <v>28.238900000000001</v>
      </c>
      <c r="BA114" s="22">
        <v>-1.34888E-2</v>
      </c>
      <c r="BB114" s="22">
        <v>104</v>
      </c>
      <c r="BC114" s="22">
        <v>0.42306500000000002</v>
      </c>
      <c r="BD114">
        <f t="shared" si="22"/>
        <v>16.652839506172839</v>
      </c>
      <c r="BE114">
        <f t="shared" si="23"/>
        <v>7.05642425382716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6.0867699999999996</v>
      </c>
      <c r="I115" s="22">
        <v>-1.19446E-2</v>
      </c>
      <c r="J115" s="22">
        <v>105</v>
      </c>
      <c r="K115" s="22">
        <v>1.23993</v>
      </c>
      <c r="L115">
        <f t="shared" si="12"/>
        <v>14.746419753086418</v>
      </c>
      <c r="M115">
        <f t="shared" si="13"/>
        <v>18.304730839506171</v>
      </c>
      <c r="N115" s="9"/>
      <c r="O115" s="22">
        <v>0.42877199999999999</v>
      </c>
      <c r="P115" s="22">
        <v>9.8455399999999997</v>
      </c>
      <c r="Q115" s="22">
        <v>-1.3406400000000001E-2</v>
      </c>
      <c r="R115" s="22">
        <v>105</v>
      </c>
      <c r="S115" s="22">
        <v>0.42807000000000001</v>
      </c>
      <c r="T115">
        <f t="shared" si="14"/>
        <v>16.551111111111108</v>
      </c>
      <c r="U115">
        <f t="shared" si="15"/>
        <v>7.0966530133333316</v>
      </c>
      <c r="X115" s="9"/>
      <c r="Y115" s="22">
        <v>1.2413000000000001</v>
      </c>
      <c r="Z115" s="22">
        <v>15.314</v>
      </c>
      <c r="AA115" s="22">
        <v>-1.2088E-2</v>
      </c>
      <c r="AB115" s="22">
        <v>105</v>
      </c>
      <c r="AC115" s="22">
        <v>1.2396199999999999</v>
      </c>
      <c r="AD115">
        <f t="shared" si="16"/>
        <v>14.923456790123456</v>
      </c>
      <c r="AE115">
        <f t="shared" si="17"/>
        <v>18.524486913580247</v>
      </c>
      <c r="AF115" s="9"/>
      <c r="AG115" s="22">
        <v>0.42877199999999999</v>
      </c>
      <c r="AH115" s="22">
        <v>19.072700000000001</v>
      </c>
      <c r="AI115" s="22">
        <v>-1.3433799999999999E-2</v>
      </c>
      <c r="AJ115" s="22">
        <v>105</v>
      </c>
      <c r="AK115" s="22">
        <v>0.42803999999999998</v>
      </c>
      <c r="AL115">
        <f t="shared" si="18"/>
        <v>16.584938271604937</v>
      </c>
      <c r="AM115">
        <f t="shared" si="19"/>
        <v>7.1111571525925914</v>
      </c>
      <c r="AP115" s="9"/>
      <c r="AQ115" s="22">
        <v>1.2413000000000001</v>
      </c>
      <c r="AR115" s="22">
        <v>24.490200000000002</v>
      </c>
      <c r="AS115" s="22">
        <v>-1.20911E-2</v>
      </c>
      <c r="AT115" s="22">
        <v>105</v>
      </c>
      <c r="AU115" s="22">
        <v>1.24054</v>
      </c>
      <c r="AV115">
        <f t="shared" si="20"/>
        <v>14.927283950617284</v>
      </c>
      <c r="AW115">
        <f t="shared" si="21"/>
        <v>18.529237567901234</v>
      </c>
      <c r="AX115" s="9"/>
      <c r="AY115" s="22">
        <v>0.42877199999999999</v>
      </c>
      <c r="AZ115" s="22">
        <v>28.248999999999999</v>
      </c>
      <c r="BA115" s="22">
        <v>-1.34857E-2</v>
      </c>
      <c r="BB115" s="22">
        <v>105</v>
      </c>
      <c r="BC115" s="22">
        <v>0.42803999999999998</v>
      </c>
      <c r="BD115">
        <f t="shared" si="22"/>
        <v>16.649012345679012</v>
      </c>
      <c r="BE115">
        <f t="shared" si="23"/>
        <v>7.1386303214814806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6.0968499999999999</v>
      </c>
      <c r="I116" s="22">
        <v>-1.19659E-2</v>
      </c>
      <c r="J116" s="22">
        <v>106</v>
      </c>
      <c r="K116" s="22">
        <v>1.2347399999999999</v>
      </c>
      <c r="L116">
        <f t="shared" si="12"/>
        <v>14.772716049382716</v>
      </c>
      <c r="M116">
        <f t="shared" si="13"/>
        <v>18.26306567037037</v>
      </c>
      <c r="N116" s="9"/>
      <c r="O116" s="22">
        <v>0.433807</v>
      </c>
      <c r="P116" s="22">
        <v>9.8556100000000004</v>
      </c>
      <c r="Q116" s="22">
        <v>-1.33942E-2</v>
      </c>
      <c r="R116" s="22">
        <v>106</v>
      </c>
      <c r="S116" s="22">
        <v>0.43316700000000002</v>
      </c>
      <c r="T116">
        <f t="shared" si="14"/>
        <v>16.536049382716048</v>
      </c>
      <c r="U116">
        <f t="shared" si="15"/>
        <v>7.1734539745679005</v>
      </c>
      <c r="X116" s="9"/>
      <c r="Y116" s="22">
        <v>1.23627</v>
      </c>
      <c r="Z116" s="22">
        <v>15.3241</v>
      </c>
      <c r="AA116" s="22">
        <v>-1.21277E-2</v>
      </c>
      <c r="AB116" s="22">
        <v>106</v>
      </c>
      <c r="AC116" s="22">
        <v>1.23566</v>
      </c>
      <c r="AD116">
        <f t="shared" si="16"/>
        <v>14.972469135802468</v>
      </c>
      <c r="AE116">
        <f t="shared" si="17"/>
        <v>18.510014418518516</v>
      </c>
      <c r="AF116" s="9"/>
      <c r="AG116" s="22">
        <v>0.433807</v>
      </c>
      <c r="AH116" s="22">
        <v>19.082799999999999</v>
      </c>
      <c r="AI116" s="22">
        <v>-1.34369E-2</v>
      </c>
      <c r="AJ116" s="22">
        <v>106</v>
      </c>
      <c r="AK116" s="22">
        <v>0.43313600000000002</v>
      </c>
      <c r="AL116">
        <f t="shared" si="18"/>
        <v>16.588765432098764</v>
      </c>
      <c r="AM116">
        <f t="shared" si="19"/>
        <v>7.1963225658024683</v>
      </c>
      <c r="AP116" s="9"/>
      <c r="AQ116" s="22">
        <v>1.23627</v>
      </c>
      <c r="AR116" s="22">
        <v>24.500299999999999</v>
      </c>
      <c r="AS116" s="22">
        <v>-1.21277E-2</v>
      </c>
      <c r="AT116" s="22">
        <v>106</v>
      </c>
      <c r="AU116" s="22">
        <v>1.2353499999999999</v>
      </c>
      <c r="AV116">
        <f t="shared" si="20"/>
        <v>14.972469135802468</v>
      </c>
      <c r="AW116">
        <f t="shared" si="21"/>
        <v>18.510014418518516</v>
      </c>
      <c r="AX116" s="9"/>
      <c r="AY116" s="22">
        <v>0.433807</v>
      </c>
      <c r="AZ116" s="22">
        <v>28.259</v>
      </c>
      <c r="BA116" s="22">
        <v>-1.34918E-2</v>
      </c>
      <c r="BB116" s="22">
        <v>106</v>
      </c>
      <c r="BC116" s="22">
        <v>0.43313600000000002</v>
      </c>
      <c r="BD116">
        <f t="shared" si="22"/>
        <v>16.656543209876542</v>
      </c>
      <c r="BE116">
        <f t="shared" si="23"/>
        <v>7.2257250402469131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6.1069199999999997</v>
      </c>
      <c r="I117" s="22">
        <v>-1.19904E-2</v>
      </c>
      <c r="J117" s="22">
        <v>107</v>
      </c>
      <c r="K117" s="22">
        <v>1.23047</v>
      </c>
      <c r="L117">
        <f t="shared" si="12"/>
        <v>14.802962962962962</v>
      </c>
      <c r="M117">
        <f t="shared" si="13"/>
        <v>18.225852088888889</v>
      </c>
      <c r="N117" s="9"/>
      <c r="O117" s="22">
        <v>0.43884299999999998</v>
      </c>
      <c r="P117" s="22">
        <v>9.8656799999999993</v>
      </c>
      <c r="Q117" s="22">
        <v>-1.3384999999999999E-2</v>
      </c>
      <c r="R117" s="22">
        <v>107</v>
      </c>
      <c r="S117" s="22">
        <v>0.438141</v>
      </c>
      <c r="T117">
        <f t="shared" si="14"/>
        <v>16.52469135802469</v>
      </c>
      <c r="U117">
        <f t="shared" si="15"/>
        <v>7.2517451296296285</v>
      </c>
      <c r="X117" s="9"/>
      <c r="Y117" s="22">
        <v>1.23123</v>
      </c>
      <c r="Z117" s="22">
        <v>15.334099999999999</v>
      </c>
      <c r="AA117" s="22">
        <v>-1.2158199999999999E-2</v>
      </c>
      <c r="AB117" s="22">
        <v>107</v>
      </c>
      <c r="AC117" s="22">
        <v>1.2301599999999999</v>
      </c>
      <c r="AD117">
        <f t="shared" si="16"/>
        <v>15.010123456790122</v>
      </c>
      <c r="AE117">
        <f t="shared" si="17"/>
        <v>18.480914303703702</v>
      </c>
      <c r="AF117" s="9"/>
      <c r="AG117" s="22">
        <v>0.43884299999999998</v>
      </c>
      <c r="AH117" s="22">
        <v>19.0929</v>
      </c>
      <c r="AI117" s="22">
        <v>-1.3443E-2</v>
      </c>
      <c r="AJ117" s="22">
        <v>107</v>
      </c>
      <c r="AK117" s="22">
        <v>0.438141</v>
      </c>
      <c r="AL117">
        <f t="shared" si="18"/>
        <v>16.596296296296295</v>
      </c>
      <c r="AM117">
        <f t="shared" si="19"/>
        <v>7.2831684555555549</v>
      </c>
      <c r="AP117" s="9"/>
      <c r="AQ117" s="22">
        <v>1.23123</v>
      </c>
      <c r="AR117" s="22">
        <v>24.510400000000001</v>
      </c>
      <c r="AS117" s="22">
        <v>-1.2158199999999999E-2</v>
      </c>
      <c r="AT117" s="22">
        <v>107</v>
      </c>
      <c r="AU117" s="22">
        <v>1.23047</v>
      </c>
      <c r="AV117">
        <f t="shared" si="20"/>
        <v>15.010123456790122</v>
      </c>
      <c r="AW117">
        <f t="shared" si="21"/>
        <v>18.480914303703702</v>
      </c>
      <c r="AX117" s="9"/>
      <c r="AY117" s="22">
        <v>0.43884299999999998</v>
      </c>
      <c r="AZ117" s="22">
        <v>28.269100000000002</v>
      </c>
      <c r="BA117" s="22">
        <v>-1.34918E-2</v>
      </c>
      <c r="BB117" s="22">
        <v>107</v>
      </c>
      <c r="BC117" s="22">
        <v>0.43808000000000002</v>
      </c>
      <c r="BD117">
        <f t="shared" si="22"/>
        <v>16.656543209876542</v>
      </c>
      <c r="BE117">
        <f t="shared" si="23"/>
        <v>7.3096073918518512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6.1169900000000004</v>
      </c>
      <c r="I118" s="22">
        <v>-1.20178E-2</v>
      </c>
      <c r="J118" s="22">
        <v>108</v>
      </c>
      <c r="K118" s="22">
        <v>1.22498</v>
      </c>
      <c r="L118">
        <f t="shared" si="12"/>
        <v>14.836790123456788</v>
      </c>
      <c r="M118">
        <f t="shared" si="13"/>
        <v>18.192872049382714</v>
      </c>
      <c r="N118" s="9"/>
      <c r="O118" s="22">
        <v>0.44387799999999999</v>
      </c>
      <c r="P118" s="22">
        <v>9.87575</v>
      </c>
      <c r="Q118" s="22">
        <v>-1.3378900000000001E-2</v>
      </c>
      <c r="R118" s="22">
        <v>108</v>
      </c>
      <c r="S118" s="22">
        <v>0.44323699999999999</v>
      </c>
      <c r="T118">
        <f t="shared" si="14"/>
        <v>16.517160493827159</v>
      </c>
      <c r="U118">
        <f t="shared" si="15"/>
        <v>7.3316041656790114</v>
      </c>
      <c r="X118" s="9"/>
      <c r="Y118" s="22">
        <v>1.2262</v>
      </c>
      <c r="Z118" s="22">
        <v>15.344200000000001</v>
      </c>
      <c r="AA118" s="22">
        <v>-1.21887E-2</v>
      </c>
      <c r="AB118" s="22">
        <v>108</v>
      </c>
      <c r="AC118" s="22">
        <v>1.22498</v>
      </c>
      <c r="AD118">
        <f t="shared" si="16"/>
        <v>15.047777777777776</v>
      </c>
      <c r="AE118">
        <f t="shared" si="17"/>
        <v>18.451585111111108</v>
      </c>
      <c r="AF118" s="9"/>
      <c r="AG118" s="22">
        <v>0.44387799999999999</v>
      </c>
      <c r="AH118" s="22">
        <v>19.103000000000002</v>
      </c>
      <c r="AI118" s="22">
        <v>-1.3443E-2</v>
      </c>
      <c r="AJ118" s="22">
        <v>108</v>
      </c>
      <c r="AK118" s="22">
        <v>0.44320700000000002</v>
      </c>
      <c r="AL118">
        <f t="shared" si="18"/>
        <v>16.596296296296295</v>
      </c>
      <c r="AM118">
        <f t="shared" si="19"/>
        <v>7.3667308074074063</v>
      </c>
      <c r="AP118" s="9"/>
      <c r="AQ118" s="22">
        <v>1.2262</v>
      </c>
      <c r="AR118" s="22">
        <v>24.520399999999999</v>
      </c>
      <c r="AS118" s="22">
        <v>-1.21796E-2</v>
      </c>
      <c r="AT118" s="22">
        <v>108</v>
      </c>
      <c r="AU118" s="22">
        <v>1.22498</v>
      </c>
      <c r="AV118">
        <f t="shared" si="20"/>
        <v>15.036543209876543</v>
      </c>
      <c r="AW118">
        <f t="shared" si="21"/>
        <v>18.437809283950617</v>
      </c>
      <c r="AX118" s="9"/>
      <c r="AY118" s="22">
        <v>0.44387799999999999</v>
      </c>
      <c r="AZ118" s="22">
        <v>28.279199999999999</v>
      </c>
      <c r="BA118" s="22">
        <v>-1.34918E-2</v>
      </c>
      <c r="BB118" s="22">
        <v>108</v>
      </c>
      <c r="BC118" s="22">
        <v>0.44320700000000002</v>
      </c>
      <c r="BD118">
        <f t="shared" si="22"/>
        <v>16.656543209876542</v>
      </c>
      <c r="BE118">
        <f t="shared" si="23"/>
        <v>7.3934730869135796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6.1270600000000002</v>
      </c>
      <c r="I119" s="22">
        <v>-1.20453E-2</v>
      </c>
      <c r="J119" s="22">
        <v>109</v>
      </c>
      <c r="K119" s="22">
        <v>1.2197899999999999</v>
      </c>
      <c r="L119">
        <f t="shared" si="12"/>
        <v>14.870740740740739</v>
      </c>
      <c r="M119">
        <f t="shared" si="13"/>
        <v>18.159553762962961</v>
      </c>
      <c r="N119" s="9"/>
      <c r="O119" s="22">
        <v>0.44891399999999998</v>
      </c>
      <c r="P119" s="22">
        <v>9.8858200000000007</v>
      </c>
      <c r="Q119" s="22">
        <v>-1.33606E-2</v>
      </c>
      <c r="R119" s="22">
        <v>109</v>
      </c>
      <c r="S119" s="22">
        <v>0.44815100000000002</v>
      </c>
      <c r="T119">
        <f t="shared" si="14"/>
        <v>16.494567901234568</v>
      </c>
      <c r="U119">
        <f t="shared" si="15"/>
        <v>7.4046424548148142</v>
      </c>
      <c r="X119" s="9"/>
      <c r="Y119" s="22">
        <v>1.22116</v>
      </c>
      <c r="Z119" s="22">
        <v>15.3543</v>
      </c>
      <c r="AA119" s="22">
        <v>-1.22223E-2</v>
      </c>
      <c r="AB119" s="22">
        <v>109</v>
      </c>
      <c r="AC119" s="22">
        <v>1.2203999999999999</v>
      </c>
      <c r="AD119">
        <f t="shared" si="16"/>
        <v>15.08925925925926</v>
      </c>
      <c r="AE119">
        <f t="shared" si="17"/>
        <v>18.426399837037039</v>
      </c>
      <c r="AF119" s="9"/>
      <c r="AG119" s="22">
        <v>0.44891399999999998</v>
      </c>
      <c r="AH119" s="22">
        <v>19.113</v>
      </c>
      <c r="AI119" s="22">
        <v>-1.34369E-2</v>
      </c>
      <c r="AJ119" s="22">
        <v>109</v>
      </c>
      <c r="AK119" s="22">
        <v>0.448212</v>
      </c>
      <c r="AL119">
        <f t="shared" si="18"/>
        <v>16.588765432098764</v>
      </c>
      <c r="AM119">
        <f t="shared" si="19"/>
        <v>7.4469290451851844</v>
      </c>
      <c r="AP119" s="9"/>
      <c r="AQ119" s="22">
        <v>1.22116</v>
      </c>
      <c r="AR119" s="22">
        <v>24.5305</v>
      </c>
      <c r="AS119" s="22">
        <v>-1.2204E-2</v>
      </c>
      <c r="AT119" s="22">
        <v>109</v>
      </c>
      <c r="AU119" s="22">
        <v>1.2200899999999999</v>
      </c>
      <c r="AV119">
        <f t="shared" si="20"/>
        <v>15.066666666666666</v>
      </c>
      <c r="AW119">
        <f t="shared" si="21"/>
        <v>18.398810666666666</v>
      </c>
      <c r="AX119" s="9"/>
      <c r="AY119" s="22">
        <v>0.44891399999999998</v>
      </c>
      <c r="AZ119" s="22">
        <v>28.289300000000001</v>
      </c>
      <c r="BA119" s="22">
        <v>-1.34857E-2</v>
      </c>
      <c r="BB119" s="22">
        <v>109</v>
      </c>
      <c r="BC119" s="22">
        <v>0.44824199999999997</v>
      </c>
      <c r="BD119">
        <f t="shared" si="22"/>
        <v>16.649012345679012</v>
      </c>
      <c r="BE119">
        <f t="shared" si="23"/>
        <v>7.4739747281481472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6.13713</v>
      </c>
      <c r="I120" s="22">
        <v>-1.20789E-2</v>
      </c>
      <c r="J120" s="22">
        <v>110</v>
      </c>
      <c r="K120" s="22">
        <v>1.2149000000000001</v>
      </c>
      <c r="L120">
        <f t="shared" si="12"/>
        <v>14.912222222222221</v>
      </c>
      <c r="M120">
        <f t="shared" si="13"/>
        <v>18.135200811111108</v>
      </c>
      <c r="N120" s="9"/>
      <c r="O120" s="22">
        <v>0.45394899999999999</v>
      </c>
      <c r="P120" s="22">
        <v>9.8958899999999996</v>
      </c>
      <c r="Q120" s="22">
        <v>-1.33575E-2</v>
      </c>
      <c r="R120" s="22">
        <v>110</v>
      </c>
      <c r="S120" s="22">
        <v>0.45327800000000001</v>
      </c>
      <c r="T120">
        <f t="shared" si="14"/>
        <v>16.49074074074074</v>
      </c>
      <c r="U120">
        <f t="shared" si="15"/>
        <v>7.4859552685185182</v>
      </c>
      <c r="X120" s="9"/>
      <c r="Y120" s="22">
        <v>1.2161299999999999</v>
      </c>
      <c r="Z120" s="22">
        <v>15.3643</v>
      </c>
      <c r="AA120" s="22">
        <v>-1.2252799999999999E-2</v>
      </c>
      <c r="AB120" s="22">
        <v>110</v>
      </c>
      <c r="AC120" s="22">
        <v>1.2142900000000001</v>
      </c>
      <c r="AD120">
        <f t="shared" si="16"/>
        <v>15.126913580246912</v>
      </c>
      <c r="AE120">
        <f t="shared" si="17"/>
        <v>18.396293412345678</v>
      </c>
      <c r="AF120" s="9"/>
      <c r="AG120" s="22">
        <v>0.45394899999999999</v>
      </c>
      <c r="AH120" s="22">
        <v>19.123100000000001</v>
      </c>
      <c r="AI120" s="22">
        <v>-1.3427700000000001E-2</v>
      </c>
      <c r="AJ120" s="22">
        <v>110</v>
      </c>
      <c r="AK120" s="22">
        <v>0.45321699999999998</v>
      </c>
      <c r="AL120">
        <f t="shared" si="18"/>
        <v>16.57740740740741</v>
      </c>
      <c r="AM120">
        <f t="shared" si="19"/>
        <v>7.5252975151851862</v>
      </c>
      <c r="AP120" s="9"/>
      <c r="AQ120" s="22">
        <v>1.2161299999999999</v>
      </c>
      <c r="AR120" s="22">
        <v>24.540600000000001</v>
      </c>
      <c r="AS120" s="22">
        <v>-1.22314E-2</v>
      </c>
      <c r="AT120" s="22">
        <v>110</v>
      </c>
      <c r="AU120" s="22">
        <v>1.2149000000000001</v>
      </c>
      <c r="AV120">
        <f t="shared" si="20"/>
        <v>15.100493827160493</v>
      </c>
      <c r="AW120">
        <f t="shared" si="21"/>
        <v>18.364163558024689</v>
      </c>
      <c r="AX120" s="9"/>
      <c r="AY120" s="22">
        <v>0.45394899999999999</v>
      </c>
      <c r="AZ120" s="22">
        <v>28.299299999999999</v>
      </c>
      <c r="BA120" s="22">
        <v>-1.34796E-2</v>
      </c>
      <c r="BB120" s="22">
        <v>110</v>
      </c>
      <c r="BC120" s="22">
        <v>0.45321699999999998</v>
      </c>
      <c r="BD120">
        <f t="shared" si="22"/>
        <v>16.641481481481478</v>
      </c>
      <c r="BE120">
        <f t="shared" si="23"/>
        <v>7.5543838770370355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6.1471999999999998</v>
      </c>
      <c r="I121" s="22">
        <v>-1.2109399999999999E-2</v>
      </c>
      <c r="J121" s="22">
        <v>111</v>
      </c>
      <c r="K121" s="22">
        <v>1.2106300000000001</v>
      </c>
      <c r="L121">
        <f t="shared" si="12"/>
        <v>14.949876543209875</v>
      </c>
      <c r="M121">
        <f t="shared" si="13"/>
        <v>18.105645982716048</v>
      </c>
      <c r="N121" s="9"/>
      <c r="O121" s="22">
        <v>0.458984</v>
      </c>
      <c r="P121" s="22">
        <v>9.9059600000000003</v>
      </c>
      <c r="Q121" s="22">
        <v>-1.3351399999999999E-2</v>
      </c>
      <c r="R121" s="22">
        <v>111</v>
      </c>
      <c r="S121" s="22">
        <v>0.45828200000000002</v>
      </c>
      <c r="T121">
        <f t="shared" si="14"/>
        <v>16.483209876543206</v>
      </c>
      <c r="U121">
        <f t="shared" si="15"/>
        <v>7.5655296019753075</v>
      </c>
      <c r="X121" s="9"/>
      <c r="Y121" s="22">
        <v>1.21109</v>
      </c>
      <c r="Z121" s="22">
        <v>15.3744</v>
      </c>
      <c r="AA121" s="22">
        <v>-1.2280299999999999E-2</v>
      </c>
      <c r="AB121" s="22">
        <v>111</v>
      </c>
      <c r="AC121" s="22">
        <v>1.2097199999999999</v>
      </c>
      <c r="AD121">
        <f t="shared" si="16"/>
        <v>15.160864197530863</v>
      </c>
      <c r="AE121">
        <f t="shared" si="17"/>
        <v>18.361171020987651</v>
      </c>
      <c r="AF121" s="9"/>
      <c r="AG121" s="22">
        <v>0.458984</v>
      </c>
      <c r="AH121" s="22">
        <v>19.133199999999999</v>
      </c>
      <c r="AI121" s="22">
        <v>-1.3421600000000001E-2</v>
      </c>
      <c r="AJ121" s="22">
        <v>111</v>
      </c>
      <c r="AK121" s="22">
        <v>0.45822099999999999</v>
      </c>
      <c r="AL121">
        <f t="shared" si="18"/>
        <v>16.569876543209876</v>
      </c>
      <c r="AM121">
        <f t="shared" si="19"/>
        <v>7.605308215308642</v>
      </c>
      <c r="AP121" s="9"/>
      <c r="AQ121" s="22">
        <v>1.21109</v>
      </c>
      <c r="AR121" s="22">
        <v>24.550599999999999</v>
      </c>
      <c r="AS121" s="22">
        <v>-1.2252799999999999E-2</v>
      </c>
      <c r="AT121" s="22">
        <v>111</v>
      </c>
      <c r="AU121" s="22">
        <v>1.2103299999999999</v>
      </c>
      <c r="AV121">
        <f t="shared" si="20"/>
        <v>15.126913580246912</v>
      </c>
      <c r="AW121">
        <f t="shared" si="21"/>
        <v>18.320053767901232</v>
      </c>
      <c r="AX121" s="9"/>
      <c r="AY121" s="22">
        <v>0.458984</v>
      </c>
      <c r="AZ121" s="22">
        <v>28.3094</v>
      </c>
      <c r="BA121" s="22">
        <v>-1.34705E-2</v>
      </c>
      <c r="BB121" s="22">
        <v>111</v>
      </c>
      <c r="BC121" s="22">
        <v>0.45828200000000002</v>
      </c>
      <c r="BD121">
        <f t="shared" si="22"/>
        <v>16.630246913580244</v>
      </c>
      <c r="BE121">
        <f t="shared" si="23"/>
        <v>7.6330172493827151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6.1572699999999996</v>
      </c>
      <c r="I122" s="22">
        <v>-1.21368E-2</v>
      </c>
      <c r="J122" s="22">
        <v>112</v>
      </c>
      <c r="K122" s="22">
        <v>1.2048300000000001</v>
      </c>
      <c r="L122">
        <f t="shared" si="12"/>
        <v>14.983703703703702</v>
      </c>
      <c r="M122">
        <f t="shared" si="13"/>
        <v>18.071095851851851</v>
      </c>
      <c r="N122" s="9"/>
      <c r="O122" s="22">
        <v>0.46401999999999999</v>
      </c>
      <c r="P122" s="22">
        <v>9.9160299999999992</v>
      </c>
      <c r="Q122" s="22">
        <v>-1.33484E-2</v>
      </c>
      <c r="R122" s="22">
        <v>112</v>
      </c>
      <c r="S122" s="22">
        <v>0.46325699999999997</v>
      </c>
      <c r="T122">
        <f t="shared" si="14"/>
        <v>16.479506172839503</v>
      </c>
      <c r="U122">
        <f t="shared" si="15"/>
        <v>7.6468204543209861</v>
      </c>
      <c r="X122" s="9"/>
      <c r="Y122" s="22">
        <v>1.2060500000000001</v>
      </c>
      <c r="Z122" s="22">
        <v>15.384499999999999</v>
      </c>
      <c r="AA122" s="22">
        <v>-1.23108E-2</v>
      </c>
      <c r="AB122" s="22">
        <v>112</v>
      </c>
      <c r="AC122" s="22">
        <v>1.2048300000000001</v>
      </c>
      <c r="AD122">
        <f t="shared" si="16"/>
        <v>15.198518518518517</v>
      </c>
      <c r="AE122">
        <f t="shared" si="17"/>
        <v>18.330173259259258</v>
      </c>
      <c r="AF122" s="9"/>
      <c r="AG122" s="22">
        <v>0.46401999999999999</v>
      </c>
      <c r="AH122" s="22">
        <v>19.1432</v>
      </c>
      <c r="AI122" s="22">
        <v>-1.3418599999999999E-2</v>
      </c>
      <c r="AJ122" s="22">
        <v>112</v>
      </c>
      <c r="AK122" s="22">
        <v>0.46331800000000001</v>
      </c>
      <c r="AL122">
        <f t="shared" si="18"/>
        <v>16.566172839506169</v>
      </c>
      <c r="AM122">
        <f t="shared" si="19"/>
        <v>7.6870355209876529</v>
      </c>
      <c r="AP122" s="9"/>
      <c r="AQ122" s="22">
        <v>1.2060500000000001</v>
      </c>
      <c r="AR122" s="22">
        <v>24.560700000000001</v>
      </c>
      <c r="AS122" s="22">
        <v>-1.2280299999999999E-2</v>
      </c>
      <c r="AT122" s="22">
        <v>112</v>
      </c>
      <c r="AU122" s="22">
        <v>1.2054400000000001</v>
      </c>
      <c r="AV122">
        <f t="shared" si="20"/>
        <v>15.160864197530863</v>
      </c>
      <c r="AW122">
        <f t="shared" si="21"/>
        <v>18.284760265432098</v>
      </c>
      <c r="AX122" s="9"/>
      <c r="AY122" s="22">
        <v>0.46401999999999999</v>
      </c>
      <c r="AZ122" s="22">
        <v>28.319500000000001</v>
      </c>
      <c r="BA122" s="22">
        <v>-1.34521E-2</v>
      </c>
      <c r="BB122" s="22">
        <v>112</v>
      </c>
      <c r="BC122" s="22">
        <v>0.46325699999999997</v>
      </c>
      <c r="BD122">
        <f t="shared" si="22"/>
        <v>16.607530864197528</v>
      </c>
      <c r="BE122">
        <f t="shared" si="23"/>
        <v>7.7062264716049365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6.1673400000000003</v>
      </c>
      <c r="I123" s="22">
        <v>-1.21613E-2</v>
      </c>
      <c r="J123" s="22">
        <v>113</v>
      </c>
      <c r="K123" s="22">
        <v>1.1999500000000001</v>
      </c>
      <c r="L123">
        <f t="shared" si="12"/>
        <v>15.01395061728395</v>
      </c>
      <c r="M123">
        <f t="shared" si="13"/>
        <v>18.032054970370368</v>
      </c>
      <c r="N123" s="9"/>
      <c r="O123" s="22">
        <v>0.469055</v>
      </c>
      <c r="P123" s="22">
        <v>9.9260999999999999</v>
      </c>
      <c r="Q123" s="22">
        <v>-1.3351399999999999E-2</v>
      </c>
      <c r="R123" s="22">
        <v>113</v>
      </c>
      <c r="S123" s="22">
        <v>0.46835300000000002</v>
      </c>
      <c r="T123">
        <f t="shared" si="14"/>
        <v>16.483209876543206</v>
      </c>
      <c r="U123">
        <f t="shared" si="15"/>
        <v>7.7315320086419739</v>
      </c>
      <c r="X123" s="9"/>
      <c r="Y123" s="22">
        <v>1.20102</v>
      </c>
      <c r="Z123" s="22">
        <v>15.394600000000001</v>
      </c>
      <c r="AA123" s="22">
        <v>-1.2335199999999999E-2</v>
      </c>
      <c r="AB123" s="22">
        <v>113</v>
      </c>
      <c r="AC123" s="22">
        <v>1.2002600000000001</v>
      </c>
      <c r="AD123">
        <f t="shared" si="16"/>
        <v>15.228641975308641</v>
      </c>
      <c r="AE123">
        <f t="shared" si="17"/>
        <v>18.289903585185183</v>
      </c>
      <c r="AF123" s="9"/>
      <c r="AG123" s="22">
        <v>0.469055</v>
      </c>
      <c r="AH123" s="22">
        <v>19.153300000000002</v>
      </c>
      <c r="AI123" s="22">
        <v>-1.3424699999999999E-2</v>
      </c>
      <c r="AJ123" s="22">
        <v>113</v>
      </c>
      <c r="AK123" s="22">
        <v>0.46829199999999999</v>
      </c>
      <c r="AL123">
        <f t="shared" si="18"/>
        <v>16.5737037037037</v>
      </c>
      <c r="AM123">
        <f t="shared" si="19"/>
        <v>7.7739785907407386</v>
      </c>
      <c r="AP123" s="9"/>
      <c r="AQ123" s="22">
        <v>1.20102</v>
      </c>
      <c r="AR123" s="22">
        <v>24.570799999999998</v>
      </c>
      <c r="AS123" s="22">
        <v>-1.23047E-2</v>
      </c>
      <c r="AT123" s="22">
        <v>113</v>
      </c>
      <c r="AU123" s="22">
        <v>1.1993400000000001</v>
      </c>
      <c r="AV123">
        <f t="shared" si="20"/>
        <v>15.190987654320987</v>
      </c>
      <c r="AW123">
        <f t="shared" si="21"/>
        <v>18.244679992592591</v>
      </c>
      <c r="AX123" s="9"/>
      <c r="AY123" s="22">
        <v>0.469055</v>
      </c>
      <c r="AZ123" s="22">
        <v>28.329499999999999</v>
      </c>
      <c r="BA123" s="22">
        <v>-1.3439899999999999E-2</v>
      </c>
      <c r="BB123" s="22">
        <v>113</v>
      </c>
      <c r="BC123" s="22">
        <v>0.46832299999999999</v>
      </c>
      <c r="BD123">
        <f t="shared" si="22"/>
        <v>16.592469135802467</v>
      </c>
      <c r="BE123">
        <f t="shared" si="23"/>
        <v>7.782780610493826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6.1774100000000001</v>
      </c>
      <c r="I124" s="22">
        <v>-1.21887E-2</v>
      </c>
      <c r="J124" s="22">
        <v>114</v>
      </c>
      <c r="K124" s="22">
        <v>1.1950700000000001</v>
      </c>
      <c r="L124">
        <f t="shared" si="12"/>
        <v>15.047777777777776</v>
      </c>
      <c r="M124">
        <f t="shared" si="13"/>
        <v>17.996841266666667</v>
      </c>
      <c r="N124" s="9"/>
      <c r="O124" s="22">
        <v>0.47409099999999998</v>
      </c>
      <c r="P124" s="22">
        <v>9.9361800000000002</v>
      </c>
      <c r="Q124" s="22">
        <v>-1.33545E-2</v>
      </c>
      <c r="R124" s="22">
        <v>114</v>
      </c>
      <c r="S124" s="22">
        <v>0.47332800000000003</v>
      </c>
      <c r="T124">
        <f t="shared" si="14"/>
        <v>16.487037037037037</v>
      </c>
      <c r="U124">
        <f t="shared" si="15"/>
        <v>7.8163558759259262</v>
      </c>
      <c r="X124" s="9"/>
      <c r="Y124" s="22">
        <v>1.19598</v>
      </c>
      <c r="Z124" s="22">
        <v>15.4046</v>
      </c>
      <c r="AA124" s="22">
        <v>-1.23596E-2</v>
      </c>
      <c r="AB124" s="22">
        <v>114</v>
      </c>
      <c r="AC124" s="22">
        <v>1.1950700000000001</v>
      </c>
      <c r="AD124">
        <f t="shared" si="16"/>
        <v>15.258765432098766</v>
      </c>
      <c r="AE124">
        <f t="shared" si="17"/>
        <v>18.249178281481484</v>
      </c>
      <c r="AF124" s="9"/>
      <c r="AG124" s="22">
        <v>0.47409099999999998</v>
      </c>
      <c r="AH124" s="22">
        <v>19.163399999999999</v>
      </c>
      <c r="AI124" s="22">
        <v>-1.3433799999999999E-2</v>
      </c>
      <c r="AJ124" s="22">
        <v>114</v>
      </c>
      <c r="AK124" s="22">
        <v>0.47341899999999998</v>
      </c>
      <c r="AL124">
        <f t="shared" si="18"/>
        <v>16.584938271604937</v>
      </c>
      <c r="AM124">
        <f t="shared" si="19"/>
        <v>7.8627699701234555</v>
      </c>
      <c r="AP124" s="9"/>
      <c r="AQ124" s="22">
        <v>1.19598</v>
      </c>
      <c r="AR124" s="22">
        <v>24.5809</v>
      </c>
      <c r="AS124" s="22">
        <v>-1.23169E-2</v>
      </c>
      <c r="AT124" s="22">
        <v>114</v>
      </c>
      <c r="AU124" s="22">
        <v>1.1950700000000001</v>
      </c>
      <c r="AV124">
        <f t="shared" si="20"/>
        <v>15.206049382716049</v>
      </c>
      <c r="AW124">
        <f t="shared" si="21"/>
        <v>18.186130940740743</v>
      </c>
      <c r="AX124" s="9"/>
      <c r="AY124" s="22">
        <v>0.47409099999999998</v>
      </c>
      <c r="AZ124" s="22">
        <v>28.339600000000001</v>
      </c>
      <c r="BA124" s="22">
        <v>-1.34308E-2</v>
      </c>
      <c r="BB124" s="22">
        <v>114</v>
      </c>
      <c r="BC124" s="22">
        <v>0.47332800000000003</v>
      </c>
      <c r="BD124">
        <f t="shared" si="22"/>
        <v>16.581234567901234</v>
      </c>
      <c r="BE124">
        <f t="shared" si="23"/>
        <v>7.8610140775308635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6.1874799999999999</v>
      </c>
      <c r="I125" s="22">
        <v>-1.22101E-2</v>
      </c>
      <c r="J125" s="22">
        <v>115</v>
      </c>
      <c r="K125" s="22">
        <v>1.1901900000000001</v>
      </c>
      <c r="L125">
        <f t="shared" si="12"/>
        <v>15.074197530864195</v>
      </c>
      <c r="M125">
        <f t="shared" si="13"/>
        <v>17.952615549382713</v>
      </c>
      <c r="N125" s="9"/>
      <c r="O125" s="22">
        <v>0.479126</v>
      </c>
      <c r="P125" s="22">
        <v>9.9462499999999991</v>
      </c>
      <c r="Q125" s="22">
        <v>-1.33636E-2</v>
      </c>
      <c r="R125" s="22">
        <v>115</v>
      </c>
      <c r="S125" s="22">
        <v>0.47845500000000002</v>
      </c>
      <c r="T125">
        <f t="shared" si="14"/>
        <v>16.498271604938271</v>
      </c>
      <c r="U125">
        <f t="shared" si="15"/>
        <v>7.9047508809876543</v>
      </c>
      <c r="X125" s="9"/>
      <c r="Y125" s="22">
        <v>1.19095</v>
      </c>
      <c r="Z125" s="22">
        <v>15.4147</v>
      </c>
      <c r="AA125" s="22">
        <v>-1.2383999999999999E-2</v>
      </c>
      <c r="AB125" s="22">
        <v>115</v>
      </c>
      <c r="AC125" s="22">
        <v>1.1895800000000001</v>
      </c>
      <c r="AD125">
        <f t="shared" si="16"/>
        <v>15.288888888888886</v>
      </c>
      <c r="AE125">
        <f t="shared" si="17"/>
        <v>18.208302222222219</v>
      </c>
      <c r="AF125" s="9"/>
      <c r="AG125" s="22">
        <v>0.479126</v>
      </c>
      <c r="AH125" s="22">
        <v>19.173500000000001</v>
      </c>
      <c r="AI125" s="22">
        <v>-1.3427700000000001E-2</v>
      </c>
      <c r="AJ125" s="22">
        <v>115</v>
      </c>
      <c r="AK125" s="22">
        <v>0.47836299999999998</v>
      </c>
      <c r="AL125">
        <f t="shared" si="18"/>
        <v>16.57740740740741</v>
      </c>
      <c r="AM125">
        <f t="shared" si="19"/>
        <v>7.9426669014814824</v>
      </c>
      <c r="AP125" s="9"/>
      <c r="AQ125" s="22">
        <v>1.19095</v>
      </c>
      <c r="AR125" s="22">
        <v>24.590900000000001</v>
      </c>
      <c r="AS125" s="22">
        <v>-1.23444E-2</v>
      </c>
      <c r="AT125" s="22">
        <v>115</v>
      </c>
      <c r="AU125" s="22">
        <v>1.1895800000000001</v>
      </c>
      <c r="AV125">
        <f t="shared" si="20"/>
        <v>15.239999999999998</v>
      </c>
      <c r="AW125">
        <f t="shared" si="21"/>
        <v>18.150077999999997</v>
      </c>
      <c r="AX125" s="9"/>
      <c r="AY125" s="22">
        <v>0.479126</v>
      </c>
      <c r="AZ125" s="22">
        <v>28.349699999999999</v>
      </c>
      <c r="BA125" s="22">
        <v>-1.3424699999999999E-2</v>
      </c>
      <c r="BB125" s="22">
        <v>115</v>
      </c>
      <c r="BC125" s="22">
        <v>0.47833300000000001</v>
      </c>
      <c r="BD125">
        <f t="shared" si="22"/>
        <v>16.5737037037037</v>
      </c>
      <c r="BE125">
        <f t="shared" si="23"/>
        <v>7.9408923607407385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6.1975600000000002</v>
      </c>
      <c r="I126" s="22">
        <v>-1.22284E-2</v>
      </c>
      <c r="J126" s="22">
        <v>116</v>
      </c>
      <c r="K126" s="22">
        <v>1.18469</v>
      </c>
      <c r="L126">
        <f t="shared" si="12"/>
        <v>15.096790123456788</v>
      </c>
      <c r="M126">
        <f t="shared" si="13"/>
        <v>17.903434375308642</v>
      </c>
      <c r="N126" s="9"/>
      <c r="O126" s="22">
        <v>0.48416100000000001</v>
      </c>
      <c r="P126" s="22">
        <v>9.9563199999999998</v>
      </c>
      <c r="Q126" s="22">
        <v>-1.3369799999999999E-2</v>
      </c>
      <c r="R126" s="22">
        <v>116</v>
      </c>
      <c r="S126" s="22">
        <v>0.48339799999999999</v>
      </c>
      <c r="T126">
        <f t="shared" si="14"/>
        <v>16.505925925925922</v>
      </c>
      <c r="U126">
        <f t="shared" si="15"/>
        <v>7.9915256022222207</v>
      </c>
      <c r="X126" s="9"/>
      <c r="Y126" s="22">
        <v>1.18591</v>
      </c>
      <c r="Z126" s="22">
        <v>15.424799999999999</v>
      </c>
      <c r="AA126" s="22">
        <v>-1.24084E-2</v>
      </c>
      <c r="AB126" s="22">
        <v>116</v>
      </c>
      <c r="AC126" s="22">
        <v>1.18469</v>
      </c>
      <c r="AD126">
        <f t="shared" si="16"/>
        <v>15.319012345679011</v>
      </c>
      <c r="AE126">
        <f t="shared" si="17"/>
        <v>18.166969930864198</v>
      </c>
      <c r="AF126" s="9"/>
      <c r="AG126" s="22">
        <v>0.48416100000000001</v>
      </c>
      <c r="AH126" s="22">
        <v>19.183499999999999</v>
      </c>
      <c r="AI126" s="22">
        <v>-1.3427700000000001E-2</v>
      </c>
      <c r="AJ126" s="22">
        <v>116</v>
      </c>
      <c r="AK126" s="22">
        <v>0.48345900000000003</v>
      </c>
      <c r="AL126">
        <f t="shared" si="18"/>
        <v>16.57740740740741</v>
      </c>
      <c r="AM126">
        <f t="shared" si="19"/>
        <v>8.0261341477777783</v>
      </c>
      <c r="AP126" s="9"/>
      <c r="AQ126" s="22">
        <v>1.18591</v>
      </c>
      <c r="AR126" s="22">
        <v>24.600999999999999</v>
      </c>
      <c r="AS126" s="22">
        <v>-1.23657E-2</v>
      </c>
      <c r="AT126" s="22">
        <v>116</v>
      </c>
      <c r="AU126" s="22">
        <v>1.18469</v>
      </c>
      <c r="AV126">
        <f t="shared" si="20"/>
        <v>15.266296296296295</v>
      </c>
      <c r="AW126">
        <f t="shared" si="21"/>
        <v>18.104453440740738</v>
      </c>
      <c r="AX126" s="9"/>
      <c r="AY126" s="22">
        <v>0.48416100000000001</v>
      </c>
      <c r="AZ126" s="22">
        <v>28.3598</v>
      </c>
      <c r="BA126" s="22">
        <v>-1.3427700000000001E-2</v>
      </c>
      <c r="BB126" s="22">
        <v>116</v>
      </c>
      <c r="BC126" s="22">
        <v>0.48336800000000002</v>
      </c>
      <c r="BD126">
        <f t="shared" si="22"/>
        <v>16.57740740740741</v>
      </c>
      <c r="BE126">
        <f t="shared" si="23"/>
        <v>8.0261341477777783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6.20763</v>
      </c>
      <c r="I127" s="22">
        <v>-1.2246699999999999E-2</v>
      </c>
      <c r="J127" s="22">
        <v>117</v>
      </c>
      <c r="K127" s="22">
        <v>1.18011</v>
      </c>
      <c r="L127">
        <f t="shared" si="12"/>
        <v>15.11938271604938</v>
      </c>
      <c r="M127">
        <f t="shared" si="13"/>
        <v>17.854176661728392</v>
      </c>
      <c r="N127" s="9"/>
      <c r="O127" s="22">
        <v>0.48919699999999999</v>
      </c>
      <c r="P127" s="22">
        <v>9.9663900000000005</v>
      </c>
      <c r="Q127" s="22">
        <v>-1.3372800000000001E-2</v>
      </c>
      <c r="R127" s="22">
        <v>117</v>
      </c>
      <c r="S127" s="22">
        <v>0.48846400000000001</v>
      </c>
      <c r="T127">
        <f t="shared" si="14"/>
        <v>16.509629629629632</v>
      </c>
      <c r="U127">
        <f t="shared" si="15"/>
        <v>8.0764612859259266</v>
      </c>
      <c r="X127" s="9"/>
      <c r="Y127" s="22">
        <v>1.1808799999999999</v>
      </c>
      <c r="Z127" s="22">
        <v>15.434799999999999</v>
      </c>
      <c r="AA127" s="22">
        <v>-1.24298E-2</v>
      </c>
      <c r="AB127" s="22">
        <v>117</v>
      </c>
      <c r="AC127" s="22">
        <v>1.18011</v>
      </c>
      <c r="AD127">
        <f t="shared" si="16"/>
        <v>15.34543209876543</v>
      </c>
      <c r="AE127">
        <f t="shared" si="17"/>
        <v>18.121113856790121</v>
      </c>
      <c r="AF127" s="9"/>
      <c r="AG127" s="22">
        <v>0.48919699999999999</v>
      </c>
      <c r="AH127" s="22">
        <v>19.1936</v>
      </c>
      <c r="AI127" s="22">
        <v>-1.34094E-2</v>
      </c>
      <c r="AJ127" s="22">
        <v>117</v>
      </c>
      <c r="AK127" s="22">
        <v>0.48852499999999999</v>
      </c>
      <c r="AL127">
        <f t="shared" si="18"/>
        <v>16.554814814814815</v>
      </c>
      <c r="AM127">
        <f t="shared" si="19"/>
        <v>8.0985657429629629</v>
      </c>
      <c r="AP127" s="9"/>
      <c r="AQ127" s="22">
        <v>1.1808799999999999</v>
      </c>
      <c r="AR127" s="22">
        <v>24.6111</v>
      </c>
      <c r="AS127" s="22">
        <v>-1.23962E-2</v>
      </c>
      <c r="AT127" s="22">
        <v>117</v>
      </c>
      <c r="AU127" s="22">
        <v>1.18042</v>
      </c>
      <c r="AV127">
        <f t="shared" si="20"/>
        <v>15.303950617283951</v>
      </c>
      <c r="AW127">
        <f t="shared" si="21"/>
        <v>18.072129204938271</v>
      </c>
      <c r="AX127" s="9"/>
      <c r="AY127" s="22">
        <v>0.48919699999999999</v>
      </c>
      <c r="AZ127" s="22">
        <v>28.369800000000001</v>
      </c>
      <c r="BA127" s="22">
        <v>-1.3433799999999999E-2</v>
      </c>
      <c r="BB127" s="22">
        <v>117</v>
      </c>
      <c r="BC127" s="22">
        <v>0.48843399999999998</v>
      </c>
      <c r="BD127">
        <f t="shared" si="22"/>
        <v>16.584938271604937</v>
      </c>
      <c r="BE127">
        <f t="shared" si="23"/>
        <v>8.1133020476543205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6.2176999999999998</v>
      </c>
      <c r="I128" s="22">
        <v>-1.2265E-2</v>
      </c>
      <c r="J128" s="22">
        <v>118</v>
      </c>
      <c r="K128" s="22">
        <v>1.17462</v>
      </c>
      <c r="L128">
        <f t="shared" si="12"/>
        <v>15.141975308641973</v>
      </c>
      <c r="M128">
        <f t="shared" si="13"/>
        <v>17.804540246913579</v>
      </c>
      <c r="N128" s="9"/>
      <c r="O128" s="22">
        <v>0.494232</v>
      </c>
      <c r="P128" s="22">
        <v>9.9764599999999994</v>
      </c>
      <c r="Q128" s="22">
        <v>-1.3372800000000001E-2</v>
      </c>
      <c r="R128" s="22">
        <v>118</v>
      </c>
      <c r="S128" s="22">
        <v>0.49349999999999999</v>
      </c>
      <c r="T128">
        <f t="shared" si="14"/>
        <v>16.509629629629632</v>
      </c>
      <c r="U128">
        <f t="shared" si="15"/>
        <v>8.1595872711111124</v>
      </c>
      <c r="X128" s="9"/>
      <c r="Y128" s="22">
        <v>1.17584</v>
      </c>
      <c r="Z128" s="22">
        <v>15.444900000000001</v>
      </c>
      <c r="AA128" s="22">
        <v>-1.2445100000000001E-2</v>
      </c>
      <c r="AB128" s="22">
        <v>118</v>
      </c>
      <c r="AC128" s="22">
        <v>1.17462</v>
      </c>
      <c r="AD128">
        <f t="shared" si="16"/>
        <v>15.36432098765432</v>
      </c>
      <c r="AE128">
        <f t="shared" si="17"/>
        <v>18.065983190123458</v>
      </c>
      <c r="AF128" s="9"/>
      <c r="AG128" s="22">
        <v>0.494232</v>
      </c>
      <c r="AH128" s="22">
        <v>19.203700000000001</v>
      </c>
      <c r="AI128" s="22">
        <v>-1.34003E-2</v>
      </c>
      <c r="AJ128" s="22">
        <v>118</v>
      </c>
      <c r="AK128" s="22">
        <v>0.49346899999999999</v>
      </c>
      <c r="AL128">
        <f t="shared" si="18"/>
        <v>16.543580246913578</v>
      </c>
      <c r="AM128">
        <f t="shared" si="19"/>
        <v>8.1763667525925907</v>
      </c>
      <c r="AP128" s="9"/>
      <c r="AQ128" s="22">
        <v>1.17584</v>
      </c>
      <c r="AR128" s="22">
        <v>24.621099999999998</v>
      </c>
      <c r="AS128" s="22">
        <v>-1.24298E-2</v>
      </c>
      <c r="AT128" s="22">
        <v>118</v>
      </c>
      <c r="AU128" s="22">
        <v>1.17493</v>
      </c>
      <c r="AV128">
        <f t="shared" si="20"/>
        <v>15.34543209876543</v>
      </c>
      <c r="AW128">
        <f t="shared" si="21"/>
        <v>18.043772879012344</v>
      </c>
      <c r="AX128" s="9"/>
      <c r="AY128" s="22">
        <v>0.494232</v>
      </c>
      <c r="AZ128" s="22">
        <v>28.379899999999999</v>
      </c>
      <c r="BA128" s="22">
        <v>-1.3439899999999999E-2</v>
      </c>
      <c r="BB128" s="22">
        <v>118</v>
      </c>
      <c r="BC128" s="22">
        <v>0.49346899999999999</v>
      </c>
      <c r="BD128">
        <f t="shared" si="22"/>
        <v>16.592469135802467</v>
      </c>
      <c r="BE128">
        <f t="shared" si="23"/>
        <v>8.2005292059259247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6.2277699999999996</v>
      </c>
      <c r="I129" s="22">
        <v>-1.2286399999999999E-2</v>
      </c>
      <c r="J129" s="22">
        <v>119</v>
      </c>
      <c r="K129" s="22">
        <v>1.16974</v>
      </c>
      <c r="L129">
        <f t="shared" si="12"/>
        <v>15.168395061728393</v>
      </c>
      <c r="M129">
        <f t="shared" si="13"/>
        <v>17.759308622222218</v>
      </c>
      <c r="N129" s="9"/>
      <c r="O129" s="22">
        <v>0.49926799999999999</v>
      </c>
      <c r="P129" s="22">
        <v>9.9865300000000001</v>
      </c>
      <c r="Q129" s="22">
        <v>-1.33636E-2</v>
      </c>
      <c r="R129" s="22">
        <v>119</v>
      </c>
      <c r="S129" s="22">
        <v>0.49856600000000001</v>
      </c>
      <c r="T129">
        <f t="shared" si="14"/>
        <v>16.498271604938271</v>
      </c>
      <c r="U129">
        <f t="shared" si="15"/>
        <v>8.2370590676543198</v>
      </c>
      <c r="X129" s="9"/>
      <c r="Y129" s="22">
        <v>1.1708099999999999</v>
      </c>
      <c r="Z129" s="22">
        <v>15.455</v>
      </c>
      <c r="AA129" s="22">
        <v>-1.24695E-2</v>
      </c>
      <c r="AB129" s="22">
        <v>119</v>
      </c>
      <c r="AC129" s="22">
        <v>1.17004</v>
      </c>
      <c r="AD129">
        <f t="shared" si="16"/>
        <v>15.394444444444444</v>
      </c>
      <c r="AE129">
        <f t="shared" si="17"/>
        <v>18.023969499999996</v>
      </c>
      <c r="AF129" s="9"/>
      <c r="AG129" s="22">
        <v>0.49926799999999999</v>
      </c>
      <c r="AH129" s="22">
        <v>19.213699999999999</v>
      </c>
      <c r="AI129" s="22">
        <v>-1.33972E-2</v>
      </c>
      <c r="AJ129" s="22">
        <v>119</v>
      </c>
      <c r="AK129" s="22">
        <v>0.49853500000000001</v>
      </c>
      <c r="AL129">
        <f t="shared" si="18"/>
        <v>16.539753086419751</v>
      </c>
      <c r="AM129">
        <f t="shared" si="19"/>
        <v>8.2577694439506164</v>
      </c>
      <c r="AP129" s="9"/>
      <c r="AQ129" s="22">
        <v>1.1708099999999999</v>
      </c>
      <c r="AR129" s="22">
        <v>24.6312</v>
      </c>
      <c r="AS129" s="22">
        <v>-1.2457299999999999E-2</v>
      </c>
      <c r="AT129" s="22">
        <v>119</v>
      </c>
      <c r="AU129" s="22">
        <v>1.16974</v>
      </c>
      <c r="AV129">
        <f t="shared" si="20"/>
        <v>15.379382716049379</v>
      </c>
      <c r="AW129">
        <f t="shared" si="21"/>
        <v>18.006335077777774</v>
      </c>
      <c r="AX129" s="9"/>
      <c r="AY129" s="22">
        <v>0.49926799999999999</v>
      </c>
      <c r="AZ129" s="22">
        <v>28.39</v>
      </c>
      <c r="BA129" s="22">
        <v>-1.34308E-2</v>
      </c>
      <c r="BB129" s="22">
        <v>119</v>
      </c>
      <c r="BC129" s="22">
        <v>0.49847399999999997</v>
      </c>
      <c r="BD129">
        <f t="shared" si="22"/>
        <v>16.581234567901234</v>
      </c>
      <c r="BE129">
        <f t="shared" si="23"/>
        <v>8.278479820246913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6.2378400000000003</v>
      </c>
      <c r="I130" s="22">
        <v>-1.23077E-2</v>
      </c>
      <c r="J130" s="22">
        <v>120</v>
      </c>
      <c r="K130" s="22">
        <v>1.16455</v>
      </c>
      <c r="L130">
        <f t="shared" si="12"/>
        <v>15.19469135802469</v>
      </c>
      <c r="M130">
        <f t="shared" si="13"/>
        <v>17.713515344444442</v>
      </c>
      <c r="N130" s="9"/>
      <c r="O130" s="22">
        <v>0.50430299999999995</v>
      </c>
      <c r="P130" s="22">
        <v>9.9966000000000008</v>
      </c>
      <c r="Q130" s="22">
        <v>-1.33606E-2</v>
      </c>
      <c r="R130" s="22">
        <v>120</v>
      </c>
      <c r="S130" s="22">
        <v>0.50353999999999999</v>
      </c>
      <c r="T130">
        <f t="shared" si="14"/>
        <v>16.494567901234568</v>
      </c>
      <c r="U130">
        <f t="shared" si="15"/>
        <v>8.3182600762962959</v>
      </c>
      <c r="X130" s="9"/>
      <c r="Y130" s="22">
        <v>1.16577</v>
      </c>
      <c r="Z130" s="22">
        <v>15.465</v>
      </c>
      <c r="AA130" s="22">
        <v>-1.24878E-2</v>
      </c>
      <c r="AB130" s="22">
        <v>120</v>
      </c>
      <c r="AC130" s="22">
        <v>1.16425</v>
      </c>
      <c r="AD130">
        <f t="shared" si="16"/>
        <v>15.417037037037037</v>
      </c>
      <c r="AE130">
        <f t="shared" si="17"/>
        <v>17.972719266666665</v>
      </c>
      <c r="AF130" s="9"/>
      <c r="AG130" s="22">
        <v>0.50430299999999995</v>
      </c>
      <c r="AH130" s="22">
        <v>19.223800000000001</v>
      </c>
      <c r="AI130" s="22">
        <v>-1.33942E-2</v>
      </c>
      <c r="AJ130" s="22">
        <v>120</v>
      </c>
      <c r="AK130" s="22">
        <v>0.50357099999999999</v>
      </c>
      <c r="AL130">
        <f t="shared" si="18"/>
        <v>16.536049382716048</v>
      </c>
      <c r="AM130">
        <f t="shared" si="19"/>
        <v>8.3391793118518507</v>
      </c>
      <c r="AP130" s="9"/>
      <c r="AQ130" s="22">
        <v>1.16577</v>
      </c>
      <c r="AR130" s="22">
        <v>24.641300000000001</v>
      </c>
      <c r="AS130" s="22">
        <v>-1.24756E-2</v>
      </c>
      <c r="AT130" s="22">
        <v>120</v>
      </c>
      <c r="AU130" s="22">
        <v>1.16486</v>
      </c>
      <c r="AV130">
        <f t="shared" si="20"/>
        <v>15.401975308641974</v>
      </c>
      <c r="AW130">
        <f t="shared" si="21"/>
        <v>17.955160755555553</v>
      </c>
      <c r="AX130" s="9"/>
      <c r="AY130" s="22">
        <v>0.50430299999999995</v>
      </c>
      <c r="AZ130" s="22">
        <v>28.4</v>
      </c>
      <c r="BA130" s="22">
        <v>-1.34369E-2</v>
      </c>
      <c r="BB130" s="22">
        <v>120</v>
      </c>
      <c r="BC130" s="22">
        <v>0.50347900000000001</v>
      </c>
      <c r="BD130">
        <f t="shared" si="22"/>
        <v>16.588765432098764</v>
      </c>
      <c r="BE130">
        <f t="shared" si="23"/>
        <v>8.3657641737037025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6.2479100000000001</v>
      </c>
      <c r="I131" s="22">
        <v>-1.23199E-2</v>
      </c>
      <c r="J131" s="22">
        <v>121</v>
      </c>
      <c r="K131" s="22">
        <v>1.1599699999999999</v>
      </c>
      <c r="L131">
        <f t="shared" si="12"/>
        <v>15.209753086419752</v>
      </c>
      <c r="M131">
        <f t="shared" si="13"/>
        <v>17.654568797530864</v>
      </c>
      <c r="N131" s="9"/>
      <c r="O131" s="22">
        <v>0.50933799999999996</v>
      </c>
      <c r="P131" s="22">
        <v>10.0067</v>
      </c>
      <c r="Q131" s="22">
        <v>-1.33545E-2</v>
      </c>
      <c r="R131" s="22">
        <v>121</v>
      </c>
      <c r="S131" s="22">
        <v>0.50854500000000002</v>
      </c>
      <c r="T131">
        <f t="shared" si="14"/>
        <v>16.487037037037037</v>
      </c>
      <c r="U131">
        <f t="shared" si="15"/>
        <v>8.3974744703703692</v>
      </c>
      <c r="X131" s="9"/>
      <c r="Y131" s="22">
        <v>1.1607400000000001</v>
      </c>
      <c r="Z131" s="22">
        <v>15.475099999999999</v>
      </c>
      <c r="AA131" s="22">
        <v>-1.2500000000000001E-2</v>
      </c>
      <c r="AB131" s="22">
        <v>121</v>
      </c>
      <c r="AC131" s="22">
        <v>1.1599699999999999</v>
      </c>
      <c r="AD131">
        <f t="shared" si="16"/>
        <v>15.432098765432098</v>
      </c>
      <c r="AE131">
        <f t="shared" si="17"/>
        <v>17.912654320987656</v>
      </c>
      <c r="AF131" s="9"/>
      <c r="AG131" s="22">
        <v>0.50933799999999996</v>
      </c>
      <c r="AH131" s="22">
        <v>19.233899999999998</v>
      </c>
      <c r="AI131" s="22">
        <v>-1.33881E-2</v>
      </c>
      <c r="AJ131" s="22">
        <v>121</v>
      </c>
      <c r="AK131" s="22">
        <v>0.50854500000000002</v>
      </c>
      <c r="AL131">
        <f t="shared" si="18"/>
        <v>16.528518518518517</v>
      </c>
      <c r="AM131">
        <f t="shared" si="19"/>
        <v>8.4186025651851839</v>
      </c>
      <c r="AP131" s="9"/>
      <c r="AQ131" s="22">
        <v>1.1607400000000001</v>
      </c>
      <c r="AR131" s="22">
        <v>24.651299999999999</v>
      </c>
      <c r="AS131" s="22">
        <v>-1.24878E-2</v>
      </c>
      <c r="AT131" s="22">
        <v>121</v>
      </c>
      <c r="AU131" s="22">
        <v>1.15967</v>
      </c>
      <c r="AV131">
        <f t="shared" si="20"/>
        <v>15.417037037037037</v>
      </c>
      <c r="AW131">
        <f t="shared" si="21"/>
        <v>17.895171570370373</v>
      </c>
      <c r="AX131" s="9"/>
      <c r="AY131" s="22">
        <v>0.50933799999999996</v>
      </c>
      <c r="AZ131" s="22">
        <v>28.4101</v>
      </c>
      <c r="BA131" s="22">
        <v>-1.3446E-2</v>
      </c>
      <c r="BB131" s="22">
        <v>121</v>
      </c>
      <c r="BC131" s="22">
        <v>0.508575</v>
      </c>
      <c r="BD131">
        <f t="shared" si="22"/>
        <v>16.599999999999998</v>
      </c>
      <c r="BE131">
        <f t="shared" si="23"/>
        <v>8.4550107999999984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6.2579799999999999</v>
      </c>
      <c r="I132" s="22">
        <v>-1.2329100000000001E-2</v>
      </c>
      <c r="J132" s="22">
        <v>122</v>
      </c>
      <c r="K132" s="22">
        <v>1.15509</v>
      </c>
      <c r="L132">
        <f t="shared" si="12"/>
        <v>15.22111111111111</v>
      </c>
      <c r="M132">
        <f t="shared" si="13"/>
        <v>17.591038111111111</v>
      </c>
      <c r="N132" s="9"/>
      <c r="O132" s="22">
        <v>0.514374</v>
      </c>
      <c r="P132" s="22">
        <v>10.0167</v>
      </c>
      <c r="Q132" s="22">
        <v>-1.3351399999999999E-2</v>
      </c>
      <c r="R132" s="22">
        <v>122</v>
      </c>
      <c r="S132" s="22">
        <v>0.51364100000000001</v>
      </c>
      <c r="T132">
        <f t="shared" si="14"/>
        <v>16.483209876543206</v>
      </c>
      <c r="U132">
        <f t="shared" si="15"/>
        <v>8.4785345970370347</v>
      </c>
      <c r="X132" s="9"/>
      <c r="Y132" s="22">
        <v>1.1556999999999999</v>
      </c>
      <c r="Z132" s="22">
        <v>15.485200000000001</v>
      </c>
      <c r="AA132" s="22">
        <v>-1.25183E-2</v>
      </c>
      <c r="AB132" s="22">
        <v>122</v>
      </c>
      <c r="AC132" s="22">
        <v>1.15448</v>
      </c>
      <c r="AD132">
        <f t="shared" si="16"/>
        <v>15.454691358024689</v>
      </c>
      <c r="AE132">
        <f t="shared" si="17"/>
        <v>17.860986802469132</v>
      </c>
      <c r="AF132" s="9"/>
      <c r="AG132" s="22">
        <v>0.514374</v>
      </c>
      <c r="AH132" s="22">
        <v>19.244</v>
      </c>
      <c r="AI132" s="22">
        <v>-1.33759E-2</v>
      </c>
      <c r="AJ132" s="22">
        <v>122</v>
      </c>
      <c r="AK132" s="22">
        <v>0.51364100000000001</v>
      </c>
      <c r="AL132">
        <f t="shared" si="18"/>
        <v>16.513456790123456</v>
      </c>
      <c r="AM132">
        <f t="shared" si="19"/>
        <v>8.494092822962962</v>
      </c>
      <c r="AP132" s="9"/>
      <c r="AQ132" s="22">
        <v>1.1556999999999999</v>
      </c>
      <c r="AR132" s="22">
        <v>24.6614</v>
      </c>
      <c r="AS132" s="22">
        <v>-1.24969E-2</v>
      </c>
      <c r="AT132" s="22">
        <v>122</v>
      </c>
      <c r="AU132" s="22">
        <v>1.15479</v>
      </c>
      <c r="AV132">
        <f t="shared" si="20"/>
        <v>15.428271604938271</v>
      </c>
      <c r="AW132">
        <f t="shared" si="21"/>
        <v>17.830453493827157</v>
      </c>
      <c r="AX132" s="9"/>
      <c r="AY132" s="22">
        <v>0.514374</v>
      </c>
      <c r="AZ132" s="22">
        <v>28.420200000000001</v>
      </c>
      <c r="BA132" s="22">
        <v>-1.3446E-2</v>
      </c>
      <c r="BB132" s="22">
        <v>122</v>
      </c>
      <c r="BC132" s="22">
        <v>0.51361100000000004</v>
      </c>
      <c r="BD132">
        <f t="shared" si="22"/>
        <v>16.599999999999998</v>
      </c>
      <c r="BE132">
        <f t="shared" si="23"/>
        <v>8.5386083999999993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6.2680499999999997</v>
      </c>
      <c r="I133" s="22">
        <v>-1.23444E-2</v>
      </c>
      <c r="J133" s="22">
        <v>123</v>
      </c>
      <c r="K133" s="22">
        <v>1.1498999999999999</v>
      </c>
      <c r="L133">
        <f t="shared" si="12"/>
        <v>15.239999999999998</v>
      </c>
      <c r="M133">
        <f t="shared" si="13"/>
        <v>17.536210799999999</v>
      </c>
      <c r="N133" s="9"/>
      <c r="O133" s="22">
        <v>0.51940900000000001</v>
      </c>
      <c r="P133" s="22">
        <v>10.0268</v>
      </c>
      <c r="Q133" s="22">
        <v>-1.33484E-2</v>
      </c>
      <c r="R133" s="22">
        <v>123</v>
      </c>
      <c r="S133" s="22">
        <v>0.51861599999999997</v>
      </c>
      <c r="T133">
        <f t="shared" si="14"/>
        <v>16.479506172839503</v>
      </c>
      <c r="U133">
        <f t="shared" si="15"/>
        <v>8.559603821728393</v>
      </c>
      <c r="X133" s="9"/>
      <c r="Y133" s="22">
        <v>1.1506700000000001</v>
      </c>
      <c r="Z133" s="22">
        <v>15.4953</v>
      </c>
      <c r="AA133" s="22">
        <v>-1.25366E-2</v>
      </c>
      <c r="AB133" s="22">
        <v>123</v>
      </c>
      <c r="AC133" s="22">
        <v>1.1496</v>
      </c>
      <c r="AD133">
        <f t="shared" si="16"/>
        <v>15.477283950617283</v>
      </c>
      <c r="AE133">
        <f t="shared" si="17"/>
        <v>17.80924632345679</v>
      </c>
      <c r="AF133" s="9"/>
      <c r="AG133" s="22">
        <v>0.51940900000000001</v>
      </c>
      <c r="AH133" s="22">
        <v>19.254000000000001</v>
      </c>
      <c r="AI133" s="22">
        <v>-1.3372800000000001E-2</v>
      </c>
      <c r="AJ133" s="22">
        <v>123</v>
      </c>
      <c r="AK133" s="22">
        <v>0.51861599999999997</v>
      </c>
      <c r="AL133">
        <f t="shared" si="18"/>
        <v>16.509629629629632</v>
      </c>
      <c r="AM133">
        <f t="shared" si="19"/>
        <v>8.5752502162962987</v>
      </c>
      <c r="AP133" s="9"/>
      <c r="AQ133" s="22">
        <v>1.1506700000000001</v>
      </c>
      <c r="AR133" s="22">
        <v>24.671500000000002</v>
      </c>
      <c r="AS133" s="22">
        <v>-1.25092E-2</v>
      </c>
      <c r="AT133" s="22">
        <v>123</v>
      </c>
      <c r="AU133" s="22">
        <v>1.1496</v>
      </c>
      <c r="AV133">
        <f t="shared" si="20"/>
        <v>15.443456790123456</v>
      </c>
      <c r="AW133">
        <f t="shared" si="21"/>
        <v>17.770322424691358</v>
      </c>
      <c r="AX133" s="9"/>
      <c r="AY133" s="22">
        <v>0.51940900000000001</v>
      </c>
      <c r="AZ133" s="22">
        <v>28.430299999999999</v>
      </c>
      <c r="BA133" s="22">
        <v>-1.3439899999999999E-2</v>
      </c>
      <c r="BB133" s="22">
        <v>123</v>
      </c>
      <c r="BC133" s="22">
        <v>0.51861599999999997</v>
      </c>
      <c r="BD133">
        <f t="shared" si="22"/>
        <v>16.592469135802467</v>
      </c>
      <c r="BE133">
        <f t="shared" si="23"/>
        <v>8.6182778013580243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6.2781200000000004</v>
      </c>
      <c r="I134" s="22">
        <v>-1.23596E-2</v>
      </c>
      <c r="J134" s="22">
        <v>124</v>
      </c>
      <c r="K134" s="22">
        <v>1.1444099999999999</v>
      </c>
      <c r="L134">
        <f t="shared" si="12"/>
        <v>15.258765432098766</v>
      </c>
      <c r="M134">
        <f t="shared" si="13"/>
        <v>17.480899441975307</v>
      </c>
      <c r="N134" s="9"/>
      <c r="O134" s="22">
        <v>0.52444500000000005</v>
      </c>
      <c r="P134" s="22">
        <v>10.036899999999999</v>
      </c>
      <c r="Q134" s="22">
        <v>-1.33484E-2</v>
      </c>
      <c r="R134" s="22">
        <v>124</v>
      </c>
      <c r="S134" s="22">
        <v>0.52365099999999998</v>
      </c>
      <c r="T134">
        <f t="shared" si="14"/>
        <v>16.479506172839503</v>
      </c>
      <c r="U134">
        <f t="shared" si="15"/>
        <v>8.6425946148148149</v>
      </c>
      <c r="X134" s="9"/>
      <c r="Y134" s="22">
        <v>1.1456299999999999</v>
      </c>
      <c r="Z134" s="22">
        <v>15.5053</v>
      </c>
      <c r="AA134" s="22">
        <v>-1.25519E-2</v>
      </c>
      <c r="AB134" s="22">
        <v>124</v>
      </c>
      <c r="AC134" s="22">
        <v>1.1450199999999999</v>
      </c>
      <c r="AD134">
        <f t="shared" si="16"/>
        <v>15.496172839506173</v>
      </c>
      <c r="AE134">
        <f t="shared" si="17"/>
        <v>17.752880490123456</v>
      </c>
      <c r="AF134" s="9"/>
      <c r="AG134" s="22">
        <v>0.52444500000000005</v>
      </c>
      <c r="AH134" s="22">
        <v>19.264099999999999</v>
      </c>
      <c r="AI134" s="22">
        <v>-1.3372800000000001E-2</v>
      </c>
      <c r="AJ134" s="22">
        <v>124</v>
      </c>
      <c r="AK134" s="22">
        <v>0.52374299999999996</v>
      </c>
      <c r="AL134">
        <f t="shared" si="18"/>
        <v>16.509629629629632</v>
      </c>
      <c r="AM134">
        <f t="shared" si="19"/>
        <v>8.6583927111111141</v>
      </c>
      <c r="AP134" s="9"/>
      <c r="AQ134" s="22">
        <v>1.1456299999999999</v>
      </c>
      <c r="AR134" s="22">
        <v>24.6816</v>
      </c>
      <c r="AS134" s="22">
        <v>-1.25214E-2</v>
      </c>
      <c r="AT134" s="22">
        <v>124</v>
      </c>
      <c r="AU134" s="22">
        <v>1.1444099999999999</v>
      </c>
      <c r="AV134">
        <f t="shared" si="20"/>
        <v>15.458518518518517</v>
      </c>
      <c r="AW134">
        <f t="shared" si="21"/>
        <v>17.709742570370366</v>
      </c>
      <c r="AX134" s="9"/>
      <c r="AY134" s="22">
        <v>0.52444500000000005</v>
      </c>
      <c r="AZ134" s="22">
        <v>28.440300000000001</v>
      </c>
      <c r="BA134" s="22">
        <v>-1.3433799999999999E-2</v>
      </c>
      <c r="BB134" s="22">
        <v>124</v>
      </c>
      <c r="BC134" s="22">
        <v>0.52365099999999998</v>
      </c>
      <c r="BD134">
        <f t="shared" si="22"/>
        <v>16.584938271604937</v>
      </c>
      <c r="BE134">
        <f t="shared" si="23"/>
        <v>8.6978879518518522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6.2881900000000002</v>
      </c>
      <c r="I135" s="22">
        <v>-1.2368799999999999E-2</v>
      </c>
      <c r="J135" s="22">
        <v>125</v>
      </c>
      <c r="K135" s="22">
        <v>1.1395299999999999</v>
      </c>
      <c r="L135">
        <f t="shared" si="12"/>
        <v>15.270123456790122</v>
      </c>
      <c r="M135">
        <f t="shared" si="13"/>
        <v>17.416950113580246</v>
      </c>
      <c r="N135" s="9"/>
      <c r="O135" s="22">
        <v>0.52947999999999995</v>
      </c>
      <c r="P135" s="22">
        <v>10.047000000000001</v>
      </c>
      <c r="Q135" s="22">
        <v>-1.3351399999999999E-2</v>
      </c>
      <c r="R135" s="22">
        <v>125</v>
      </c>
      <c r="S135" s="22">
        <v>0.52871699999999999</v>
      </c>
      <c r="T135">
        <f t="shared" si="14"/>
        <v>16.483209876543206</v>
      </c>
      <c r="U135">
        <f t="shared" si="15"/>
        <v>8.7275299654320957</v>
      </c>
      <c r="X135" s="9"/>
      <c r="Y135" s="22">
        <v>1.14059</v>
      </c>
      <c r="Z135" s="22">
        <v>15.5154</v>
      </c>
      <c r="AA135" s="22">
        <v>-1.25763E-2</v>
      </c>
      <c r="AB135" s="22">
        <v>125</v>
      </c>
      <c r="AC135" s="22">
        <v>1.1398299999999999</v>
      </c>
      <c r="AD135">
        <f t="shared" si="16"/>
        <v>15.526296296296294</v>
      </c>
      <c r="AE135">
        <f t="shared" si="17"/>
        <v>17.709138292592591</v>
      </c>
      <c r="AF135" s="9"/>
      <c r="AG135" s="22">
        <v>0.52947999999999995</v>
      </c>
      <c r="AH135" s="22">
        <v>19.2742</v>
      </c>
      <c r="AI135" s="22">
        <v>-1.3369799999999999E-2</v>
      </c>
      <c r="AJ135" s="22">
        <v>125</v>
      </c>
      <c r="AK135" s="22">
        <v>0.52868700000000002</v>
      </c>
      <c r="AL135">
        <f t="shared" si="18"/>
        <v>16.505925925925922</v>
      </c>
      <c r="AM135">
        <f t="shared" si="19"/>
        <v>8.7395576592592565</v>
      </c>
      <c r="AP135" s="9"/>
      <c r="AQ135" s="22">
        <v>1.14059</v>
      </c>
      <c r="AR135" s="22">
        <v>24.691600000000001</v>
      </c>
      <c r="AS135" s="22">
        <v>-1.2533600000000001E-2</v>
      </c>
      <c r="AT135" s="22">
        <v>125</v>
      </c>
      <c r="AU135" s="22">
        <v>1.1392199999999999</v>
      </c>
      <c r="AV135">
        <f t="shared" si="20"/>
        <v>15.473580246913581</v>
      </c>
      <c r="AW135">
        <f t="shared" si="21"/>
        <v>17.64901089382716</v>
      </c>
      <c r="AX135" s="9"/>
      <c r="AY135" s="22">
        <v>0.52947999999999995</v>
      </c>
      <c r="AZ135" s="22">
        <v>28.450399999999998</v>
      </c>
      <c r="BA135" s="22">
        <v>-1.3424699999999999E-2</v>
      </c>
      <c r="BB135" s="22">
        <v>125</v>
      </c>
      <c r="BC135" s="22">
        <v>0.52871699999999999</v>
      </c>
      <c r="BD135">
        <f t="shared" si="22"/>
        <v>16.5737037037037</v>
      </c>
      <c r="BE135">
        <f t="shared" si="23"/>
        <v>8.7754446370370349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6.2982699999999996</v>
      </c>
      <c r="I136" s="22">
        <v>-1.2383999999999999E-2</v>
      </c>
      <c r="J136" s="22">
        <v>126</v>
      </c>
      <c r="K136" s="22">
        <v>1.1340300000000001</v>
      </c>
      <c r="L136">
        <f t="shared" si="12"/>
        <v>15.288888888888886</v>
      </c>
      <c r="M136">
        <f t="shared" si="13"/>
        <v>17.361450666666663</v>
      </c>
      <c r="N136" s="9"/>
      <c r="O136" s="22">
        <v>0.53451499999999996</v>
      </c>
      <c r="P136" s="22">
        <v>10.057</v>
      </c>
      <c r="Q136" s="22">
        <v>-1.33545E-2</v>
      </c>
      <c r="R136" s="22">
        <v>126</v>
      </c>
      <c r="S136" s="22">
        <v>0.53372200000000003</v>
      </c>
      <c r="T136">
        <f t="shared" si="14"/>
        <v>16.487037037037037</v>
      </c>
      <c r="U136">
        <f t="shared" si="15"/>
        <v>8.8125686018518508</v>
      </c>
      <c r="X136" s="9"/>
      <c r="Y136" s="22">
        <v>1.1355599999999999</v>
      </c>
      <c r="Z136" s="22">
        <v>15.525499999999999</v>
      </c>
      <c r="AA136" s="22">
        <v>-1.25977E-2</v>
      </c>
      <c r="AB136" s="22">
        <v>126</v>
      </c>
      <c r="AC136" s="22">
        <v>1.1349499999999999</v>
      </c>
      <c r="AD136">
        <f t="shared" si="16"/>
        <v>15.552716049382715</v>
      </c>
      <c r="AE136">
        <f t="shared" si="17"/>
        <v>17.661042237037034</v>
      </c>
      <c r="AF136" s="9"/>
      <c r="AG136" s="22">
        <v>0.53451499999999996</v>
      </c>
      <c r="AH136" s="22">
        <v>19.284199999999998</v>
      </c>
      <c r="AI136" s="22">
        <v>-1.3369799999999999E-2</v>
      </c>
      <c r="AJ136" s="22">
        <v>126</v>
      </c>
      <c r="AK136" s="22">
        <v>0.53378300000000001</v>
      </c>
      <c r="AL136">
        <f t="shared" si="18"/>
        <v>16.505925925925922</v>
      </c>
      <c r="AM136">
        <f t="shared" si="19"/>
        <v>8.8226649962962931</v>
      </c>
      <c r="AP136" s="9"/>
      <c r="AQ136" s="22">
        <v>1.1355599999999999</v>
      </c>
      <c r="AR136" s="22">
        <v>24.701699999999999</v>
      </c>
      <c r="AS136" s="22">
        <v>-1.2548800000000001E-2</v>
      </c>
      <c r="AT136" s="22">
        <v>126</v>
      </c>
      <c r="AU136" s="22">
        <v>1.1352500000000001</v>
      </c>
      <c r="AV136">
        <f t="shared" si="20"/>
        <v>15.492345679012345</v>
      </c>
      <c r="AW136">
        <f t="shared" si="21"/>
        <v>17.592488059259257</v>
      </c>
      <c r="AX136" s="9"/>
      <c r="AY136" s="22">
        <v>0.53451499999999996</v>
      </c>
      <c r="AZ136" s="22">
        <v>28.4605</v>
      </c>
      <c r="BA136" s="22">
        <v>-1.34155E-2</v>
      </c>
      <c r="BB136" s="22">
        <v>126</v>
      </c>
      <c r="BC136" s="22">
        <v>0.53372200000000003</v>
      </c>
      <c r="BD136">
        <f t="shared" si="22"/>
        <v>16.562345679012346</v>
      </c>
      <c r="BE136">
        <f t="shared" si="23"/>
        <v>8.8528222006172825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6.3083400000000003</v>
      </c>
      <c r="I137" s="22">
        <v>-1.24084E-2</v>
      </c>
      <c r="J137" s="22">
        <v>127</v>
      </c>
      <c r="K137" s="22">
        <v>1.1294599999999999</v>
      </c>
      <c r="L137">
        <f t="shared" si="12"/>
        <v>15.319012345679011</v>
      </c>
      <c r="M137">
        <f t="shared" si="13"/>
        <v>17.318449837037036</v>
      </c>
      <c r="N137" s="9"/>
      <c r="O137" s="22">
        <v>0.539551</v>
      </c>
      <c r="P137" s="22">
        <v>10.0671</v>
      </c>
      <c r="Q137" s="22">
        <v>-1.33484E-2</v>
      </c>
      <c r="R137" s="22">
        <v>127</v>
      </c>
      <c r="S137" s="22">
        <v>0.53872699999999996</v>
      </c>
      <c r="T137">
        <f t="shared" si="14"/>
        <v>16.479506172839503</v>
      </c>
      <c r="U137">
        <f t="shared" si="15"/>
        <v>8.8915340350617278</v>
      </c>
      <c r="X137" s="9"/>
      <c r="Y137" s="22">
        <v>1.13052</v>
      </c>
      <c r="Z137" s="22">
        <v>15.535500000000001</v>
      </c>
      <c r="AA137" s="22">
        <v>-1.26129E-2</v>
      </c>
      <c r="AB137" s="22">
        <v>127</v>
      </c>
      <c r="AC137" s="22">
        <v>1.1300699999999999</v>
      </c>
      <c r="AD137">
        <f t="shared" si="16"/>
        <v>15.571481481481479</v>
      </c>
      <c r="AE137">
        <f t="shared" si="17"/>
        <v>17.603871244444441</v>
      </c>
      <c r="AF137" s="9"/>
      <c r="AG137" s="22">
        <v>0.539551</v>
      </c>
      <c r="AH137" s="22">
        <v>19.2943</v>
      </c>
      <c r="AI137" s="22">
        <v>-1.33575E-2</v>
      </c>
      <c r="AJ137" s="22">
        <v>127</v>
      </c>
      <c r="AK137" s="22">
        <v>0.53872699999999996</v>
      </c>
      <c r="AL137">
        <f t="shared" si="18"/>
        <v>16.49074074074074</v>
      </c>
      <c r="AM137">
        <f t="shared" si="19"/>
        <v>8.8975956574074075</v>
      </c>
      <c r="AP137" s="9"/>
      <c r="AQ137" s="22">
        <v>1.13052</v>
      </c>
      <c r="AR137" s="22">
        <v>24.7118</v>
      </c>
      <c r="AS137" s="22">
        <v>-1.25702E-2</v>
      </c>
      <c r="AT137" s="22">
        <v>127</v>
      </c>
      <c r="AU137" s="22">
        <v>1.1297600000000001</v>
      </c>
      <c r="AV137">
        <f t="shared" si="20"/>
        <v>15.518765432098766</v>
      </c>
      <c r="AW137">
        <f t="shared" si="21"/>
        <v>17.544274696296295</v>
      </c>
      <c r="AX137" s="9"/>
      <c r="AY137" s="22">
        <v>0.539551</v>
      </c>
      <c r="AZ137" s="22">
        <v>28.470500000000001</v>
      </c>
      <c r="BA137" s="22">
        <v>-1.3406400000000001E-2</v>
      </c>
      <c r="BB137" s="22">
        <v>127</v>
      </c>
      <c r="BC137" s="22">
        <v>0.53878800000000004</v>
      </c>
      <c r="BD137">
        <f t="shared" si="22"/>
        <v>16.551111111111108</v>
      </c>
      <c r="BE137">
        <f t="shared" si="23"/>
        <v>8.9301685511111089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6.3184100000000001</v>
      </c>
      <c r="I138" s="22">
        <v>-1.24268E-2</v>
      </c>
      <c r="J138" s="22">
        <v>128</v>
      </c>
      <c r="K138" s="22">
        <v>1.1245700000000001</v>
      </c>
      <c r="L138">
        <f t="shared" si="12"/>
        <v>15.341728395061727</v>
      </c>
      <c r="M138">
        <f t="shared" si="13"/>
        <v>17.266961891358026</v>
      </c>
      <c r="N138" s="9"/>
      <c r="O138" s="22">
        <v>0.54458600000000001</v>
      </c>
      <c r="P138" s="22">
        <v>10.077199999999999</v>
      </c>
      <c r="Q138" s="22">
        <v>-1.3339200000000001E-2</v>
      </c>
      <c r="R138" s="22">
        <v>128</v>
      </c>
      <c r="S138" s="22">
        <v>0.54370099999999999</v>
      </c>
      <c r="T138">
        <f t="shared" si="14"/>
        <v>16.468148148148149</v>
      </c>
      <c r="U138">
        <f t="shared" si="15"/>
        <v>8.9683229274074083</v>
      </c>
      <c r="X138" s="9"/>
      <c r="Y138" s="22">
        <v>1.1254900000000001</v>
      </c>
      <c r="Z138" s="22">
        <v>15.5456</v>
      </c>
      <c r="AA138" s="22">
        <v>-1.2628199999999999E-2</v>
      </c>
      <c r="AB138" s="22">
        <v>128</v>
      </c>
      <c r="AC138" s="22">
        <v>1.1248800000000001</v>
      </c>
      <c r="AD138">
        <f t="shared" si="16"/>
        <v>15.590370370370369</v>
      </c>
      <c r="AE138">
        <f t="shared" si="17"/>
        <v>17.546805948148148</v>
      </c>
      <c r="AF138" s="9"/>
      <c r="AG138" s="22">
        <v>0.54458600000000001</v>
      </c>
      <c r="AH138" s="22">
        <v>19.304400000000001</v>
      </c>
      <c r="AI138" s="22">
        <v>-1.3351399999999999E-2</v>
      </c>
      <c r="AJ138" s="22">
        <v>128</v>
      </c>
      <c r="AK138" s="22">
        <v>0.54376199999999997</v>
      </c>
      <c r="AL138">
        <f t="shared" si="18"/>
        <v>16.483209876543206</v>
      </c>
      <c r="AM138">
        <f t="shared" si="19"/>
        <v>8.9765253338271584</v>
      </c>
      <c r="AP138" s="9"/>
      <c r="AQ138" s="22">
        <v>1.1254900000000001</v>
      </c>
      <c r="AR138" s="22">
        <v>24.721800000000002</v>
      </c>
      <c r="AS138" s="22">
        <v>-1.2582400000000001E-2</v>
      </c>
      <c r="AT138" s="22">
        <v>128</v>
      </c>
      <c r="AU138" s="22">
        <v>1.1248800000000001</v>
      </c>
      <c r="AV138">
        <f t="shared" si="20"/>
        <v>15.533827160493827</v>
      </c>
      <c r="AW138">
        <f t="shared" si="21"/>
        <v>17.483167130864199</v>
      </c>
      <c r="AX138" s="9"/>
      <c r="AY138" s="22">
        <v>0.54458600000000001</v>
      </c>
      <c r="AZ138" s="22">
        <v>28.480599999999999</v>
      </c>
      <c r="BA138" s="22">
        <v>-1.34003E-2</v>
      </c>
      <c r="BB138" s="22">
        <v>128</v>
      </c>
      <c r="BC138" s="22">
        <v>0.54376199999999997</v>
      </c>
      <c r="BD138">
        <f t="shared" si="22"/>
        <v>16.543580246913578</v>
      </c>
      <c r="BE138">
        <f t="shared" si="23"/>
        <v>9.0094021923456786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6.3284799999999999</v>
      </c>
      <c r="I139" s="22">
        <v>-1.2439E-2</v>
      </c>
      <c r="J139" s="22">
        <v>129</v>
      </c>
      <c r="K139" s="22">
        <v>1.1196900000000001</v>
      </c>
      <c r="L139">
        <f t="shared" si="12"/>
        <v>15.35679012345679</v>
      </c>
      <c r="M139">
        <f t="shared" si="13"/>
        <v>17.206515493827158</v>
      </c>
      <c r="N139" s="9"/>
      <c r="O139" s="22">
        <v>0.54962200000000005</v>
      </c>
      <c r="P139" s="22">
        <v>10.087199999999999</v>
      </c>
      <c r="Q139" s="22">
        <v>-1.3333100000000001E-2</v>
      </c>
      <c r="R139" s="22">
        <v>129</v>
      </c>
      <c r="S139" s="22">
        <v>0.54882799999999998</v>
      </c>
      <c r="T139">
        <f t="shared" si="14"/>
        <v>16.460617283950615</v>
      </c>
      <c r="U139">
        <f t="shared" si="15"/>
        <v>9.047117392839505</v>
      </c>
      <c r="X139" s="9"/>
      <c r="Y139" s="22">
        <v>1.1204499999999999</v>
      </c>
      <c r="Z139" s="22">
        <v>15.5557</v>
      </c>
      <c r="AA139" s="22">
        <v>-1.2637300000000001E-2</v>
      </c>
      <c r="AB139" s="22">
        <v>129</v>
      </c>
      <c r="AC139" s="22">
        <v>1.1190800000000001</v>
      </c>
      <c r="AD139">
        <f t="shared" si="16"/>
        <v>15.601604938271604</v>
      </c>
      <c r="AE139">
        <f t="shared" si="17"/>
        <v>17.480818253086419</v>
      </c>
      <c r="AF139" s="9"/>
      <c r="AG139" s="22">
        <v>0.54962200000000005</v>
      </c>
      <c r="AH139" s="22">
        <v>19.314499999999999</v>
      </c>
      <c r="AI139" s="22">
        <v>-1.33484E-2</v>
      </c>
      <c r="AJ139" s="22">
        <v>129</v>
      </c>
      <c r="AK139" s="22">
        <v>0.54882799999999998</v>
      </c>
      <c r="AL139">
        <f t="shared" si="18"/>
        <v>16.479506172839503</v>
      </c>
      <c r="AM139">
        <f t="shared" si="19"/>
        <v>9.0574991417283943</v>
      </c>
      <c r="AP139" s="9"/>
      <c r="AQ139" s="22">
        <v>1.1204499999999999</v>
      </c>
      <c r="AR139" s="22">
        <v>24.7319</v>
      </c>
      <c r="AS139" s="22">
        <v>-1.26038E-2</v>
      </c>
      <c r="AT139" s="22">
        <v>129</v>
      </c>
      <c r="AU139" s="22">
        <v>1.1190800000000001</v>
      </c>
      <c r="AV139">
        <f t="shared" si="20"/>
        <v>15.560246913580245</v>
      </c>
      <c r="AW139">
        <f t="shared" si="21"/>
        <v>17.434478654320984</v>
      </c>
      <c r="AX139" s="9"/>
      <c r="AY139" s="22">
        <v>0.54962200000000005</v>
      </c>
      <c r="AZ139" s="22">
        <v>28.4907</v>
      </c>
      <c r="BA139" s="22">
        <v>-1.33911E-2</v>
      </c>
      <c r="BB139" s="22">
        <v>129</v>
      </c>
      <c r="BC139" s="22">
        <v>0.54885899999999999</v>
      </c>
      <c r="BD139">
        <f t="shared" si="22"/>
        <v>16.53222222222222</v>
      </c>
      <c r="BE139">
        <f t="shared" si="23"/>
        <v>9.086473042222222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6.3385499999999997</v>
      </c>
      <c r="I140" s="22">
        <v>-1.2457299999999999E-2</v>
      </c>
      <c r="J140" s="22">
        <v>130</v>
      </c>
      <c r="K140" s="22">
        <v>1.1145</v>
      </c>
      <c r="L140">
        <f t="shared" ref="L140:L203" si="24">-I140/$F$2*1000</f>
        <v>15.379382716049379</v>
      </c>
      <c r="M140">
        <f t="shared" ref="M140:M203" si="25">L140*G140</f>
        <v>17.154471069135798</v>
      </c>
      <c r="N140" s="9"/>
      <c r="O140" s="22">
        <v>0.55465699999999996</v>
      </c>
      <c r="P140" s="22">
        <v>10.097300000000001</v>
      </c>
      <c r="Q140" s="22">
        <v>-1.3327E-2</v>
      </c>
      <c r="R140" s="22">
        <v>130</v>
      </c>
      <c r="S140" s="22">
        <v>0.553894</v>
      </c>
      <c r="T140">
        <f t="shared" ref="T140:T203" si="26">-Q140/$F$2*1000</f>
        <v>16.453086419753085</v>
      </c>
      <c r="U140">
        <f t="shared" ref="U140:U203" si="27">T140*O140</f>
        <v>9.1258195543209855</v>
      </c>
      <c r="X140" s="9"/>
      <c r="Y140" s="22">
        <v>1.1154200000000001</v>
      </c>
      <c r="Z140" s="22">
        <v>15.565799999999999</v>
      </c>
      <c r="AA140" s="22">
        <v>-1.2643400000000001E-2</v>
      </c>
      <c r="AB140" s="22">
        <v>130</v>
      </c>
      <c r="AC140" s="22">
        <v>1.1145</v>
      </c>
      <c r="AD140">
        <f t="shared" ref="AD140:AD203" si="28">-AA140/$F$2*1000</f>
        <v>15.609135802469137</v>
      </c>
      <c r="AE140">
        <f t="shared" ref="AE140:AE203" si="29">AD140*Y140</f>
        <v>17.410742256790126</v>
      </c>
      <c r="AF140" s="9"/>
      <c r="AG140" s="22">
        <v>0.55465699999999996</v>
      </c>
      <c r="AH140" s="22">
        <v>19.3245</v>
      </c>
      <c r="AI140" s="22">
        <v>-1.33423E-2</v>
      </c>
      <c r="AJ140" s="22">
        <v>130</v>
      </c>
      <c r="AK140" s="22">
        <v>0.553925</v>
      </c>
      <c r="AL140">
        <f t="shared" ref="AL140:AL203" si="30">-AI140/$F$2*1000</f>
        <v>16.471975308641973</v>
      </c>
      <c r="AM140">
        <f t="shared" ref="AM140:AM203" si="31">AL140*AG140</f>
        <v>9.1362964087654301</v>
      </c>
      <c r="AP140" s="9"/>
      <c r="AQ140" s="22">
        <v>1.1154200000000001</v>
      </c>
      <c r="AR140" s="22">
        <v>24.742000000000001</v>
      </c>
      <c r="AS140" s="22">
        <v>-1.26251E-2</v>
      </c>
      <c r="AT140" s="22">
        <v>130</v>
      </c>
      <c r="AU140" s="22">
        <v>1.1135900000000001</v>
      </c>
      <c r="AV140">
        <f t="shared" ref="AV140:AV203" si="32">-AS140/$F$2*1000</f>
        <v>15.586543209876544</v>
      </c>
      <c r="AW140">
        <f t="shared" ref="AW140:AW203" si="33">AV140*AQ140</f>
        <v>17.385542027160497</v>
      </c>
      <c r="AX140" s="9"/>
      <c r="AY140" s="22">
        <v>0.55465699999999996</v>
      </c>
      <c r="AZ140" s="22">
        <v>28.500699999999998</v>
      </c>
      <c r="BA140" s="22">
        <v>-1.3378900000000001E-2</v>
      </c>
      <c r="BB140" s="22">
        <v>130</v>
      </c>
      <c r="BC140" s="22">
        <v>0.55386400000000002</v>
      </c>
      <c r="BD140">
        <f t="shared" ref="BD140:BD203" si="34">-BA140/$F$2*1000</f>
        <v>16.517160493827159</v>
      </c>
      <c r="BE140">
        <f t="shared" ref="BE140:BE203" si="35">BD140*AY140</f>
        <v>9.1613586880246896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6.3486200000000004</v>
      </c>
      <c r="I141" s="22">
        <v>-1.24695E-2</v>
      </c>
      <c r="J141" s="22">
        <v>131</v>
      </c>
      <c r="K141" s="22">
        <v>1.1090100000000001</v>
      </c>
      <c r="L141">
        <f t="shared" si="24"/>
        <v>15.394444444444444</v>
      </c>
      <c r="M141">
        <f t="shared" si="25"/>
        <v>17.093683222222221</v>
      </c>
      <c r="N141" s="9"/>
      <c r="O141" s="22">
        <v>0.55969199999999997</v>
      </c>
      <c r="P141" s="22">
        <v>10.1074</v>
      </c>
      <c r="Q141" s="22">
        <v>-1.33148E-2</v>
      </c>
      <c r="R141" s="22">
        <v>131</v>
      </c>
      <c r="S141" s="22">
        <v>0.55889900000000003</v>
      </c>
      <c r="T141">
        <f t="shared" si="26"/>
        <v>16.438024691358024</v>
      </c>
      <c r="U141">
        <f t="shared" si="27"/>
        <v>9.2002309155555544</v>
      </c>
      <c r="X141" s="9"/>
      <c r="Y141" s="22">
        <v>1.1103799999999999</v>
      </c>
      <c r="Z141" s="22">
        <v>15.575799999999999</v>
      </c>
      <c r="AA141" s="22">
        <v>-1.26526E-2</v>
      </c>
      <c r="AB141" s="22">
        <v>131</v>
      </c>
      <c r="AC141" s="22">
        <v>1.1090100000000001</v>
      </c>
      <c r="AD141">
        <f t="shared" si="28"/>
        <v>15.620493827160493</v>
      </c>
      <c r="AE141">
        <f t="shared" si="29"/>
        <v>17.344683935802468</v>
      </c>
      <c r="AF141" s="9"/>
      <c r="AG141" s="22">
        <v>0.55969199999999997</v>
      </c>
      <c r="AH141" s="22">
        <v>19.334599999999998</v>
      </c>
      <c r="AI141" s="22">
        <v>-1.3336199999999999E-2</v>
      </c>
      <c r="AJ141" s="22">
        <v>131</v>
      </c>
      <c r="AK141" s="22">
        <v>0.55896000000000001</v>
      </c>
      <c r="AL141">
        <f t="shared" si="30"/>
        <v>16.464444444444442</v>
      </c>
      <c r="AM141">
        <f t="shared" si="31"/>
        <v>9.215017839999998</v>
      </c>
      <c r="AP141" s="9"/>
      <c r="AQ141" s="22">
        <v>1.1103799999999999</v>
      </c>
      <c r="AR141" s="22">
        <v>24.752099999999999</v>
      </c>
      <c r="AS141" s="22">
        <v>-1.2637300000000001E-2</v>
      </c>
      <c r="AT141" s="22">
        <v>131</v>
      </c>
      <c r="AU141" s="22">
        <v>1.10931</v>
      </c>
      <c r="AV141">
        <f t="shared" si="32"/>
        <v>15.601604938271604</v>
      </c>
      <c r="AW141">
        <f t="shared" si="33"/>
        <v>17.323710091358024</v>
      </c>
      <c r="AX141" s="9"/>
      <c r="AY141" s="22">
        <v>0.55969199999999997</v>
      </c>
      <c r="AZ141" s="22">
        <v>28.5108</v>
      </c>
      <c r="BA141" s="22">
        <v>-1.33667E-2</v>
      </c>
      <c r="BB141" s="22">
        <v>131</v>
      </c>
      <c r="BC141" s="22">
        <v>0.55898999999999999</v>
      </c>
      <c r="BD141">
        <f t="shared" si="34"/>
        <v>16.502098765432098</v>
      </c>
      <c r="BE141">
        <f t="shared" si="35"/>
        <v>9.2360926622222213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6.3586900000000002</v>
      </c>
      <c r="I142" s="22">
        <v>-1.24908E-2</v>
      </c>
      <c r="J142" s="22">
        <v>132</v>
      </c>
      <c r="K142" s="22">
        <v>1.10382</v>
      </c>
      <c r="L142">
        <f t="shared" si="24"/>
        <v>15.42074074074074</v>
      </c>
      <c r="M142">
        <f t="shared" si="25"/>
        <v>17.045315777777777</v>
      </c>
      <c r="N142" s="9"/>
      <c r="O142" s="22">
        <v>0.56472800000000001</v>
      </c>
      <c r="P142" s="22">
        <v>10.1175</v>
      </c>
      <c r="Q142" s="22">
        <v>-1.33087E-2</v>
      </c>
      <c r="R142" s="22">
        <v>132</v>
      </c>
      <c r="S142" s="22">
        <v>0.56393400000000005</v>
      </c>
      <c r="T142">
        <f t="shared" si="26"/>
        <v>16.430493827160493</v>
      </c>
      <c r="U142">
        <f t="shared" si="27"/>
        <v>9.2787599180246918</v>
      </c>
      <c r="X142" s="9"/>
      <c r="Y142" s="22">
        <v>1.1053500000000001</v>
      </c>
      <c r="Z142" s="22">
        <v>15.585900000000001</v>
      </c>
      <c r="AA142" s="22">
        <v>-1.26648E-2</v>
      </c>
      <c r="AB142" s="22">
        <v>132</v>
      </c>
      <c r="AC142" s="22">
        <v>1.10443</v>
      </c>
      <c r="AD142">
        <f t="shared" si="28"/>
        <v>15.635555555555555</v>
      </c>
      <c r="AE142">
        <f t="shared" si="29"/>
        <v>17.282761333333333</v>
      </c>
      <c r="AF142" s="9"/>
      <c r="AG142" s="22">
        <v>0.56472800000000001</v>
      </c>
      <c r="AH142" s="22">
        <v>19.3447</v>
      </c>
      <c r="AI142" s="22">
        <v>-1.3330099999999999E-2</v>
      </c>
      <c r="AJ142" s="22">
        <v>132</v>
      </c>
      <c r="AK142" s="22">
        <v>0.56390399999999996</v>
      </c>
      <c r="AL142">
        <f t="shared" si="30"/>
        <v>16.456913580246912</v>
      </c>
      <c r="AM142">
        <f t="shared" si="31"/>
        <v>9.2936798923456774</v>
      </c>
      <c r="AP142" s="9"/>
      <c r="AQ142" s="22">
        <v>1.1053500000000001</v>
      </c>
      <c r="AR142" s="22">
        <v>24.7621</v>
      </c>
      <c r="AS142" s="22">
        <v>-1.26404E-2</v>
      </c>
      <c r="AT142" s="22">
        <v>132</v>
      </c>
      <c r="AU142" s="22">
        <v>1.1047400000000001</v>
      </c>
      <c r="AV142">
        <f t="shared" si="32"/>
        <v>15.60543209876543</v>
      </c>
      <c r="AW142">
        <f t="shared" si="33"/>
        <v>17.249464370370369</v>
      </c>
      <c r="AX142" s="9"/>
      <c r="AY142" s="22">
        <v>0.56472800000000001</v>
      </c>
      <c r="AZ142" s="22">
        <v>28.520900000000001</v>
      </c>
      <c r="BA142" s="22">
        <v>-1.3369799999999999E-2</v>
      </c>
      <c r="BB142" s="22">
        <v>132</v>
      </c>
      <c r="BC142" s="22">
        <v>0.56399500000000002</v>
      </c>
      <c r="BD142">
        <f t="shared" si="34"/>
        <v>16.505925925925922</v>
      </c>
      <c r="BE142">
        <f t="shared" si="35"/>
        <v>9.3213585362962945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6.36876</v>
      </c>
      <c r="I143" s="22">
        <v>-1.2512199999999999E-2</v>
      </c>
      <c r="J143" s="22">
        <v>133</v>
      </c>
      <c r="K143" s="22">
        <v>1.09955</v>
      </c>
      <c r="L143">
        <f t="shared" si="24"/>
        <v>15.447160493827159</v>
      </c>
      <c r="M143">
        <f t="shared" si="25"/>
        <v>16.996665162962959</v>
      </c>
      <c r="N143" s="9"/>
      <c r="O143" s="22">
        <v>0.56976300000000002</v>
      </c>
      <c r="P143" s="22">
        <v>10.1275</v>
      </c>
      <c r="Q143" s="22">
        <v>-1.33087E-2</v>
      </c>
      <c r="R143" s="22">
        <v>133</v>
      </c>
      <c r="S143" s="22">
        <v>0.56896999999999998</v>
      </c>
      <c r="T143">
        <f t="shared" si="26"/>
        <v>16.430493827160493</v>
      </c>
      <c r="U143">
        <f t="shared" si="27"/>
        <v>9.3614874544444451</v>
      </c>
      <c r="X143" s="9"/>
      <c r="Y143" s="22">
        <v>1.1003099999999999</v>
      </c>
      <c r="Z143" s="22">
        <v>15.596</v>
      </c>
      <c r="AA143" s="22">
        <v>-1.2677000000000001E-2</v>
      </c>
      <c r="AB143" s="22">
        <v>133</v>
      </c>
      <c r="AC143" s="22">
        <v>1.09894</v>
      </c>
      <c r="AD143">
        <f t="shared" si="28"/>
        <v>15.650617283950618</v>
      </c>
      <c r="AE143">
        <f t="shared" si="29"/>
        <v>17.220530703703702</v>
      </c>
      <c r="AF143" s="9"/>
      <c r="AG143" s="22">
        <v>0.56976300000000002</v>
      </c>
      <c r="AH143" s="22">
        <v>19.354700000000001</v>
      </c>
      <c r="AI143" s="22">
        <v>-1.33087E-2</v>
      </c>
      <c r="AJ143" s="22">
        <v>133</v>
      </c>
      <c r="AK143" s="22">
        <v>0.56899999999999995</v>
      </c>
      <c r="AL143">
        <f t="shared" si="30"/>
        <v>16.430493827160493</v>
      </c>
      <c r="AM143">
        <f t="shared" si="31"/>
        <v>9.3614874544444451</v>
      </c>
      <c r="AP143" s="9"/>
      <c r="AQ143" s="22">
        <v>1.1003099999999999</v>
      </c>
      <c r="AR143" s="22">
        <v>24.772200000000002</v>
      </c>
      <c r="AS143" s="22">
        <v>-1.26465E-2</v>
      </c>
      <c r="AT143" s="22">
        <v>133</v>
      </c>
      <c r="AU143" s="22">
        <v>1.09924</v>
      </c>
      <c r="AV143">
        <f t="shared" si="32"/>
        <v>15.612962962962962</v>
      </c>
      <c r="AW143">
        <f t="shared" si="33"/>
        <v>17.179099277777777</v>
      </c>
      <c r="AX143" s="9"/>
      <c r="AY143" s="22">
        <v>0.56976300000000002</v>
      </c>
      <c r="AZ143" s="22">
        <v>28.530999999999999</v>
      </c>
      <c r="BA143" s="22">
        <v>-1.33759E-2</v>
      </c>
      <c r="BB143" s="22">
        <v>133</v>
      </c>
      <c r="BC143" s="22">
        <v>0.56896999999999998</v>
      </c>
      <c r="BD143">
        <f t="shared" si="34"/>
        <v>16.513456790123456</v>
      </c>
      <c r="BE143">
        <f t="shared" si="35"/>
        <v>9.408756681111111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6.3788299999999998</v>
      </c>
      <c r="I144" s="22">
        <v>-1.25244E-2</v>
      </c>
      <c r="J144" s="22">
        <v>134</v>
      </c>
      <c r="K144" s="22">
        <v>1.09436</v>
      </c>
      <c r="L144">
        <f t="shared" si="24"/>
        <v>15.462222222222222</v>
      </c>
      <c r="M144">
        <f t="shared" si="25"/>
        <v>16.935462755555555</v>
      </c>
      <c r="N144" s="9"/>
      <c r="O144" s="22">
        <v>0.57479899999999995</v>
      </c>
      <c r="P144" s="22">
        <v>10.137600000000001</v>
      </c>
      <c r="Q144" s="22">
        <v>-1.33148E-2</v>
      </c>
      <c r="R144" s="22">
        <v>134</v>
      </c>
      <c r="S144" s="22">
        <v>0.57397500000000001</v>
      </c>
      <c r="T144">
        <f t="shared" si="26"/>
        <v>16.438024691358024</v>
      </c>
      <c r="U144">
        <f t="shared" si="27"/>
        <v>9.4485601545679003</v>
      </c>
      <c r="X144" s="9"/>
      <c r="Y144" s="22">
        <v>1.09528</v>
      </c>
      <c r="Z144" s="22">
        <v>15.606</v>
      </c>
      <c r="AA144" s="22">
        <v>-1.26923E-2</v>
      </c>
      <c r="AB144" s="22">
        <v>134</v>
      </c>
      <c r="AC144" s="22">
        <v>1.09406</v>
      </c>
      <c r="AD144">
        <f t="shared" si="28"/>
        <v>15.669506172839506</v>
      </c>
      <c r="AE144">
        <f t="shared" si="29"/>
        <v>17.162496720987654</v>
      </c>
      <c r="AF144" s="9"/>
      <c r="AG144" s="22">
        <v>0.57479899999999995</v>
      </c>
      <c r="AH144" s="22">
        <v>19.364799999999999</v>
      </c>
      <c r="AI144" s="22">
        <v>-1.33118E-2</v>
      </c>
      <c r="AJ144" s="22">
        <v>134</v>
      </c>
      <c r="AK144" s="22">
        <v>0.57403599999999999</v>
      </c>
      <c r="AL144">
        <f t="shared" si="30"/>
        <v>16.434320987654321</v>
      </c>
      <c r="AM144">
        <f t="shared" si="31"/>
        <v>9.4464312693827157</v>
      </c>
      <c r="AP144" s="9"/>
      <c r="AQ144" s="22">
        <v>1.09528</v>
      </c>
      <c r="AR144" s="22">
        <v>24.782299999999999</v>
      </c>
      <c r="AS144" s="22">
        <v>-1.2655599999999999E-2</v>
      </c>
      <c r="AT144" s="22">
        <v>134</v>
      </c>
      <c r="AU144" s="22">
        <v>1.09467</v>
      </c>
      <c r="AV144">
        <f t="shared" si="32"/>
        <v>15.624197530864196</v>
      </c>
      <c r="AW144">
        <f t="shared" si="33"/>
        <v>17.112871071604935</v>
      </c>
      <c r="AX144" s="9"/>
      <c r="AY144" s="22">
        <v>0.57479899999999995</v>
      </c>
      <c r="AZ144" s="22">
        <v>28.541</v>
      </c>
      <c r="BA144" s="22">
        <v>-1.3382E-2</v>
      </c>
      <c r="BB144" s="22">
        <v>134</v>
      </c>
      <c r="BC144" s="22">
        <v>0.57403599999999999</v>
      </c>
      <c r="BD144">
        <f t="shared" si="34"/>
        <v>16.520987654320987</v>
      </c>
      <c r="BE144">
        <f t="shared" si="35"/>
        <v>9.4962471827160471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6.3888999999999996</v>
      </c>
      <c r="I145" s="22">
        <v>-1.25366E-2</v>
      </c>
      <c r="J145" s="22">
        <v>135</v>
      </c>
      <c r="K145" s="22">
        <v>1.08887</v>
      </c>
      <c r="L145">
        <f t="shared" si="24"/>
        <v>15.477283950617283</v>
      </c>
      <c r="M145">
        <f t="shared" si="25"/>
        <v>16.873954054320986</v>
      </c>
      <c r="N145" s="9"/>
      <c r="O145" s="22">
        <v>0.57983399999999996</v>
      </c>
      <c r="P145" s="22">
        <v>10.1477</v>
      </c>
      <c r="Q145" s="22">
        <v>-1.33087E-2</v>
      </c>
      <c r="R145" s="22">
        <v>135</v>
      </c>
      <c r="S145" s="22">
        <v>0.57913199999999998</v>
      </c>
      <c r="T145">
        <f t="shared" si="26"/>
        <v>16.430493827160493</v>
      </c>
      <c r="U145">
        <f t="shared" si="27"/>
        <v>9.5269589577777776</v>
      </c>
      <c r="X145" s="9"/>
      <c r="Y145" s="22">
        <v>1.0902400000000001</v>
      </c>
      <c r="Z145" s="22">
        <v>15.616099999999999</v>
      </c>
      <c r="AA145" s="22">
        <v>-1.26984E-2</v>
      </c>
      <c r="AB145" s="22">
        <v>135</v>
      </c>
      <c r="AC145" s="22">
        <v>1.09009</v>
      </c>
      <c r="AD145">
        <f t="shared" si="28"/>
        <v>15.677037037037039</v>
      </c>
      <c r="AE145">
        <f t="shared" si="29"/>
        <v>17.091732859259263</v>
      </c>
      <c r="AF145" s="9"/>
      <c r="AG145" s="22">
        <v>0.57983399999999996</v>
      </c>
      <c r="AH145" s="22">
        <v>19.3749</v>
      </c>
      <c r="AI145" s="22">
        <v>-1.3317900000000001E-2</v>
      </c>
      <c r="AJ145" s="22">
        <v>135</v>
      </c>
      <c r="AK145" s="22">
        <v>0.579071</v>
      </c>
      <c r="AL145">
        <f t="shared" si="30"/>
        <v>16.441851851851851</v>
      </c>
      <c r="AM145">
        <f t="shared" si="31"/>
        <v>9.5335447266666655</v>
      </c>
      <c r="AP145" s="9"/>
      <c r="AQ145" s="22">
        <v>1.0902400000000001</v>
      </c>
      <c r="AR145" s="22">
        <v>24.792300000000001</v>
      </c>
      <c r="AS145" s="22">
        <v>-1.26648E-2</v>
      </c>
      <c r="AT145" s="22">
        <v>135</v>
      </c>
      <c r="AU145" s="22">
        <v>1.08917</v>
      </c>
      <c r="AV145">
        <f t="shared" si="32"/>
        <v>15.635555555555555</v>
      </c>
      <c r="AW145">
        <f t="shared" si="33"/>
        <v>17.046508088888892</v>
      </c>
      <c r="AX145" s="9"/>
      <c r="AY145" s="22">
        <v>0.57983399999999996</v>
      </c>
      <c r="AZ145" s="22">
        <v>28.551100000000002</v>
      </c>
      <c r="BA145" s="22">
        <v>-1.3378900000000001E-2</v>
      </c>
      <c r="BB145" s="22">
        <v>135</v>
      </c>
      <c r="BC145" s="22">
        <v>0.579071</v>
      </c>
      <c r="BD145">
        <f t="shared" si="34"/>
        <v>16.517160493827159</v>
      </c>
      <c r="BE145">
        <f t="shared" si="35"/>
        <v>9.5772112377777763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6.3989799999999999</v>
      </c>
      <c r="I146" s="22">
        <v>-1.2558E-2</v>
      </c>
      <c r="J146" s="22">
        <v>136</v>
      </c>
      <c r="K146" s="22">
        <v>1.08429</v>
      </c>
      <c r="L146">
        <f t="shared" si="24"/>
        <v>15.503703703703701</v>
      </c>
      <c r="M146">
        <f t="shared" si="25"/>
        <v>16.824774296296294</v>
      </c>
      <c r="N146" s="9"/>
      <c r="O146" s="22">
        <v>0.58486899999999997</v>
      </c>
      <c r="P146" s="22">
        <v>10.1577</v>
      </c>
      <c r="Q146" s="22">
        <v>-1.3296499999999999E-2</v>
      </c>
      <c r="R146" s="22">
        <v>136</v>
      </c>
      <c r="S146" s="22">
        <v>0.58407600000000004</v>
      </c>
      <c r="T146">
        <f t="shared" si="26"/>
        <v>16.415432098765429</v>
      </c>
      <c r="U146">
        <f t="shared" si="27"/>
        <v>9.6008773561728376</v>
      </c>
      <c r="X146" s="9"/>
      <c r="Y146" s="22">
        <v>1.08521</v>
      </c>
      <c r="Z146" s="22">
        <v>15.626200000000001</v>
      </c>
      <c r="AA146" s="22">
        <v>-1.2716699999999999E-2</v>
      </c>
      <c r="AB146" s="22">
        <v>136</v>
      </c>
      <c r="AC146" s="22">
        <v>1.08429</v>
      </c>
      <c r="AD146">
        <f t="shared" si="28"/>
        <v>15.699629629629626</v>
      </c>
      <c r="AE146">
        <f t="shared" si="29"/>
        <v>17.037395070370366</v>
      </c>
      <c r="AF146" s="9"/>
      <c r="AG146" s="22">
        <v>0.58486899999999997</v>
      </c>
      <c r="AH146" s="22">
        <v>19.384899999999998</v>
      </c>
      <c r="AI146" s="22">
        <v>-1.3317900000000001E-2</v>
      </c>
      <c r="AJ146" s="22">
        <v>136</v>
      </c>
      <c r="AK146" s="22">
        <v>0.58407600000000004</v>
      </c>
      <c r="AL146">
        <f t="shared" si="30"/>
        <v>16.441851851851851</v>
      </c>
      <c r="AM146">
        <f t="shared" si="31"/>
        <v>9.6163294507407393</v>
      </c>
      <c r="AP146" s="9"/>
      <c r="AQ146" s="22">
        <v>1.08521</v>
      </c>
      <c r="AR146" s="22">
        <v>24.802399999999999</v>
      </c>
      <c r="AS146" s="22">
        <v>-1.2683099999999999E-2</v>
      </c>
      <c r="AT146" s="22">
        <v>136</v>
      </c>
      <c r="AU146" s="22">
        <v>1.08429</v>
      </c>
      <c r="AV146">
        <f t="shared" si="32"/>
        <v>15.658148148148147</v>
      </c>
      <c r="AW146">
        <f t="shared" si="33"/>
        <v>16.992378951851851</v>
      </c>
      <c r="AX146" s="9"/>
      <c r="AY146" s="22">
        <v>0.58486899999999997</v>
      </c>
      <c r="AZ146" s="22">
        <v>28.561199999999999</v>
      </c>
      <c r="BA146" s="22">
        <v>-1.33759E-2</v>
      </c>
      <c r="BB146" s="22">
        <v>136</v>
      </c>
      <c r="BC146" s="22">
        <v>0.58407600000000004</v>
      </c>
      <c r="BD146">
        <f t="shared" si="34"/>
        <v>16.513456790123456</v>
      </c>
      <c r="BE146">
        <f t="shared" si="35"/>
        <v>9.6582089593827156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6.4090499999999997</v>
      </c>
      <c r="I147" s="22">
        <v>-1.25702E-2</v>
      </c>
      <c r="J147" s="22">
        <v>137</v>
      </c>
      <c r="K147" s="22">
        <v>1.0788</v>
      </c>
      <c r="L147">
        <f t="shared" si="24"/>
        <v>15.518765432098766</v>
      </c>
      <c r="M147">
        <f t="shared" si="25"/>
        <v>16.762904856790126</v>
      </c>
      <c r="N147" s="9"/>
      <c r="O147" s="22">
        <v>0.58990500000000001</v>
      </c>
      <c r="P147" s="22">
        <v>10.1678</v>
      </c>
      <c r="Q147" s="22">
        <v>-1.32874E-2</v>
      </c>
      <c r="R147" s="22">
        <v>137</v>
      </c>
      <c r="S147" s="22">
        <v>0.58911100000000005</v>
      </c>
      <c r="T147">
        <f t="shared" si="26"/>
        <v>16.404197530864195</v>
      </c>
      <c r="U147">
        <f t="shared" si="27"/>
        <v>9.6769181444444428</v>
      </c>
      <c r="X147" s="9"/>
      <c r="Y147" s="22">
        <v>1.0801700000000001</v>
      </c>
      <c r="Z147" s="22">
        <v>15.6363</v>
      </c>
      <c r="AA147" s="22">
        <v>-1.2722799999999999E-2</v>
      </c>
      <c r="AB147" s="22">
        <v>137</v>
      </c>
      <c r="AC147" s="22">
        <v>1.07941</v>
      </c>
      <c r="AD147">
        <f t="shared" si="28"/>
        <v>15.707160493827157</v>
      </c>
      <c r="AE147">
        <f t="shared" si="29"/>
        <v>16.966403550617283</v>
      </c>
      <c r="AF147" s="9"/>
      <c r="AG147" s="22">
        <v>0.58990500000000001</v>
      </c>
      <c r="AH147" s="22">
        <v>19.395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1.0801700000000001</v>
      </c>
      <c r="AR147" s="22">
        <v>24.8125</v>
      </c>
      <c r="AS147" s="22">
        <v>-1.27014E-2</v>
      </c>
      <c r="AT147" s="22">
        <v>137</v>
      </c>
      <c r="AU147" s="22">
        <v>1.0788</v>
      </c>
      <c r="AV147">
        <f t="shared" si="32"/>
        <v>15.680740740740738</v>
      </c>
      <c r="AW147">
        <f t="shared" si="33"/>
        <v>16.937865725925924</v>
      </c>
      <c r="AX147" s="9"/>
      <c r="AY147" s="22">
        <v>0.58990500000000001</v>
      </c>
      <c r="AZ147" s="22">
        <v>28.571200000000001</v>
      </c>
      <c r="BA147" s="22">
        <v>-1.3372800000000001E-2</v>
      </c>
      <c r="BB147" s="22">
        <v>137</v>
      </c>
      <c r="BC147" s="22">
        <v>0.58917200000000003</v>
      </c>
      <c r="BD147">
        <f t="shared" si="34"/>
        <v>16.509629629629632</v>
      </c>
      <c r="BE147">
        <f t="shared" si="35"/>
        <v>9.7391130666666683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6.4191200000000004</v>
      </c>
      <c r="I148" s="22">
        <v>-1.25854E-2</v>
      </c>
      <c r="J148" s="22">
        <v>138</v>
      </c>
      <c r="K148" s="22">
        <v>1.0739099999999999</v>
      </c>
      <c r="L148">
        <f t="shared" si="24"/>
        <v>15.53753086419753</v>
      </c>
      <c r="M148">
        <f t="shared" si="25"/>
        <v>16.704865558024689</v>
      </c>
      <c r="N148" s="9"/>
      <c r="O148" s="22">
        <v>0.59494000000000002</v>
      </c>
      <c r="P148" s="22">
        <v>10.177899999999999</v>
      </c>
      <c r="Q148" s="22">
        <v>-1.3284300000000001E-2</v>
      </c>
      <c r="R148" s="22">
        <v>138</v>
      </c>
      <c r="S148" s="22">
        <v>0.59414699999999998</v>
      </c>
      <c r="T148">
        <f t="shared" si="26"/>
        <v>16.400370370370371</v>
      </c>
      <c r="U148">
        <f t="shared" si="27"/>
        <v>9.7572363481481492</v>
      </c>
      <c r="X148" s="9"/>
      <c r="Y148" s="22">
        <v>1.0751299999999999</v>
      </c>
      <c r="Z148" s="22">
        <v>15.6463</v>
      </c>
      <c r="AA148" s="22">
        <v>-1.2731900000000001E-2</v>
      </c>
      <c r="AB148" s="22">
        <v>138</v>
      </c>
      <c r="AC148" s="22">
        <v>1.07361</v>
      </c>
      <c r="AD148">
        <f t="shared" si="28"/>
        <v>15.718395061728396</v>
      </c>
      <c r="AE148">
        <f t="shared" si="29"/>
        <v>16.89931808271605</v>
      </c>
      <c r="AF148" s="9"/>
      <c r="AG148" s="22">
        <v>0.59494000000000002</v>
      </c>
      <c r="AH148" s="22">
        <v>19.405100000000001</v>
      </c>
      <c r="AI148" s="22">
        <v>-1.33148E-2</v>
      </c>
      <c r="AJ148" s="22">
        <v>138</v>
      </c>
      <c r="AK148" s="22">
        <v>0.59411599999999998</v>
      </c>
      <c r="AL148">
        <f t="shared" si="30"/>
        <v>16.438024691358024</v>
      </c>
      <c r="AM148">
        <f t="shared" si="31"/>
        <v>9.7796384098765436</v>
      </c>
      <c r="AP148" s="9"/>
      <c r="AQ148" s="22">
        <v>1.0751299999999999</v>
      </c>
      <c r="AR148" s="22">
        <v>24.822600000000001</v>
      </c>
      <c r="AS148" s="22">
        <v>-1.27289E-2</v>
      </c>
      <c r="AT148" s="22">
        <v>138</v>
      </c>
      <c r="AU148" s="22">
        <v>1.07422</v>
      </c>
      <c r="AV148">
        <f t="shared" si="32"/>
        <v>15.714691358024689</v>
      </c>
      <c r="AW148">
        <f t="shared" si="33"/>
        <v>16.895336119753082</v>
      </c>
      <c r="AX148" s="9"/>
      <c r="AY148" s="22">
        <v>0.59494000000000002</v>
      </c>
      <c r="AZ148" s="22">
        <v>28.581299999999999</v>
      </c>
      <c r="BA148" s="22">
        <v>-1.33667E-2</v>
      </c>
      <c r="BB148" s="22">
        <v>138</v>
      </c>
      <c r="BC148" s="22">
        <v>0.59414699999999998</v>
      </c>
      <c r="BD148">
        <f t="shared" si="34"/>
        <v>16.502098765432098</v>
      </c>
      <c r="BE148">
        <f t="shared" si="35"/>
        <v>9.8177586395061738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6.4291900000000002</v>
      </c>
      <c r="I149" s="22">
        <v>-1.2594599999999999E-2</v>
      </c>
      <c r="J149" s="22">
        <v>139</v>
      </c>
      <c r="K149" s="22">
        <v>1.06873</v>
      </c>
      <c r="L149">
        <f t="shared" si="24"/>
        <v>15.548888888888886</v>
      </c>
      <c r="M149">
        <f t="shared" si="25"/>
        <v>16.638865999999997</v>
      </c>
      <c r="N149" s="9"/>
      <c r="O149" s="22">
        <v>0.59997599999999995</v>
      </c>
      <c r="P149" s="22">
        <v>10.188000000000001</v>
      </c>
      <c r="Q149" s="22">
        <v>-1.3281299999999999E-2</v>
      </c>
      <c r="R149" s="22">
        <v>139</v>
      </c>
      <c r="S149" s="22">
        <v>0.59924299999999997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1.0701000000000001</v>
      </c>
      <c r="Z149" s="22">
        <v>15.6564</v>
      </c>
      <c r="AA149" s="22">
        <v>-1.27411E-2</v>
      </c>
      <c r="AB149" s="22">
        <v>139</v>
      </c>
      <c r="AC149" s="22">
        <v>1.06934</v>
      </c>
      <c r="AD149">
        <f t="shared" si="28"/>
        <v>15.729753086419752</v>
      </c>
      <c r="AE149">
        <f t="shared" si="29"/>
        <v>16.832408777777776</v>
      </c>
      <c r="AF149" s="9"/>
      <c r="AG149" s="22">
        <v>0.59997599999999995</v>
      </c>
      <c r="AH149" s="22">
        <v>19.415199999999999</v>
      </c>
      <c r="AI149" s="22">
        <v>-1.33087E-2</v>
      </c>
      <c r="AJ149" s="22">
        <v>139</v>
      </c>
      <c r="AK149" s="22">
        <v>0.59924299999999997</v>
      </c>
      <c r="AL149">
        <f t="shared" si="30"/>
        <v>16.430493827160493</v>
      </c>
      <c r="AM149">
        <f t="shared" si="31"/>
        <v>9.8579019644444426</v>
      </c>
      <c r="AP149" s="9"/>
      <c r="AQ149" s="22">
        <v>1.0701000000000001</v>
      </c>
      <c r="AR149" s="22">
        <v>24.832599999999999</v>
      </c>
      <c r="AS149" s="22">
        <v>-1.27441E-2</v>
      </c>
      <c r="AT149" s="22">
        <v>139</v>
      </c>
      <c r="AU149" s="22">
        <v>1.0696399999999999</v>
      </c>
      <c r="AV149">
        <f t="shared" si="32"/>
        <v>15.733456790123457</v>
      </c>
      <c r="AW149">
        <f t="shared" si="33"/>
        <v>16.83637211111111</v>
      </c>
      <c r="AX149" s="9"/>
      <c r="AY149" s="22">
        <v>0.59997599999999995</v>
      </c>
      <c r="AZ149" s="22">
        <v>28.5914</v>
      </c>
      <c r="BA149" s="22">
        <v>-1.3369799999999999E-2</v>
      </c>
      <c r="BB149" s="22">
        <v>139</v>
      </c>
      <c r="BC149" s="22">
        <v>0.59930399999999995</v>
      </c>
      <c r="BD149">
        <f t="shared" si="34"/>
        <v>16.505925925925922</v>
      </c>
      <c r="BE149">
        <f t="shared" si="35"/>
        <v>9.9031594133333307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6.43926</v>
      </c>
      <c r="I150" s="22">
        <v>-1.26068E-2</v>
      </c>
      <c r="J150" s="22">
        <v>140</v>
      </c>
      <c r="K150" s="22">
        <v>1.0644499999999999</v>
      </c>
      <c r="L150">
        <f t="shared" si="24"/>
        <v>15.56395061728395</v>
      </c>
      <c r="M150">
        <f t="shared" si="25"/>
        <v>16.576541244444442</v>
      </c>
      <c r="N150" s="9"/>
      <c r="O150" s="22">
        <v>0.60501099999999997</v>
      </c>
      <c r="P150" s="22">
        <v>10.198</v>
      </c>
      <c r="Q150" s="22">
        <v>-1.3281299999999999E-2</v>
      </c>
      <c r="R150" s="22">
        <v>140</v>
      </c>
      <c r="S150" s="22">
        <v>0.60418700000000003</v>
      </c>
      <c r="T150">
        <f t="shared" si="26"/>
        <v>16.396666666666665</v>
      </c>
      <c r="U150">
        <f t="shared" si="27"/>
        <v>9.9201636966666644</v>
      </c>
      <c r="X150" s="9"/>
      <c r="Y150" s="22">
        <v>1.0650599999999999</v>
      </c>
      <c r="Z150" s="22">
        <v>15.666499999999999</v>
      </c>
      <c r="AA150" s="22">
        <v>-1.2737999999999999E-2</v>
      </c>
      <c r="AB150" s="22">
        <v>140</v>
      </c>
      <c r="AC150" s="22">
        <v>1.0641499999999999</v>
      </c>
      <c r="AD150">
        <f t="shared" si="28"/>
        <v>15.725925925925925</v>
      </c>
      <c r="AE150">
        <f t="shared" si="29"/>
        <v>16.749054666666662</v>
      </c>
      <c r="AF150" s="9"/>
      <c r="AG150" s="22">
        <v>0.60501099999999997</v>
      </c>
      <c r="AH150" s="22">
        <v>19.4252</v>
      </c>
      <c r="AI150" s="22">
        <v>-1.32996E-2</v>
      </c>
      <c r="AJ150" s="22">
        <v>140</v>
      </c>
      <c r="AK150" s="22">
        <v>0.60421800000000003</v>
      </c>
      <c r="AL150">
        <f t="shared" si="30"/>
        <v>16.41925925925926</v>
      </c>
      <c r="AM150">
        <f t="shared" si="31"/>
        <v>9.9338324637037037</v>
      </c>
      <c r="AP150" s="9"/>
      <c r="AQ150" s="22">
        <v>1.0650599999999999</v>
      </c>
      <c r="AR150" s="22">
        <v>24.842700000000001</v>
      </c>
      <c r="AS150" s="22">
        <v>-1.2759400000000001E-2</v>
      </c>
      <c r="AT150" s="22">
        <v>140</v>
      </c>
      <c r="AU150" s="22">
        <v>1.0641499999999999</v>
      </c>
      <c r="AV150">
        <f t="shared" si="32"/>
        <v>15.752345679012343</v>
      </c>
      <c r="AW150">
        <f t="shared" si="33"/>
        <v>16.777193288888885</v>
      </c>
      <c r="AX150" s="9"/>
      <c r="AY150" s="22">
        <v>0.60501099999999997</v>
      </c>
      <c r="AZ150" s="22">
        <v>28.601500000000001</v>
      </c>
      <c r="BA150" s="22">
        <v>-1.33667E-2</v>
      </c>
      <c r="BB150" s="22">
        <v>140</v>
      </c>
      <c r="BC150" s="22">
        <v>0.60418700000000003</v>
      </c>
      <c r="BD150">
        <f t="shared" si="34"/>
        <v>16.502098765432098</v>
      </c>
      <c r="BE150">
        <f t="shared" si="35"/>
        <v>9.9839512761728386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6.4493299999999998</v>
      </c>
      <c r="I151" s="22">
        <v>-1.2622100000000001E-2</v>
      </c>
      <c r="J151" s="22">
        <v>141</v>
      </c>
      <c r="K151" s="22">
        <v>1.0583499999999999</v>
      </c>
      <c r="L151">
        <f t="shared" si="24"/>
        <v>15.582839506172839</v>
      </c>
      <c r="M151">
        <f t="shared" si="25"/>
        <v>16.518277361728394</v>
      </c>
      <c r="N151" s="9"/>
      <c r="O151" s="22">
        <v>0.61004599999999998</v>
      </c>
      <c r="P151" s="22">
        <v>10.2081</v>
      </c>
      <c r="Q151" s="22">
        <v>-1.32782E-2</v>
      </c>
      <c r="R151" s="22">
        <v>141</v>
      </c>
      <c r="S151" s="22">
        <v>0.60931400000000002</v>
      </c>
      <c r="T151">
        <f t="shared" si="26"/>
        <v>16.392839506172837</v>
      </c>
      <c r="U151">
        <f t="shared" si="27"/>
        <v>10.000386169382715</v>
      </c>
      <c r="X151" s="9"/>
      <c r="Y151" s="22">
        <v>1.06003</v>
      </c>
      <c r="Z151" s="22">
        <v>15.676500000000001</v>
      </c>
      <c r="AA151" s="22">
        <v>-1.27533E-2</v>
      </c>
      <c r="AB151" s="22">
        <v>141</v>
      </c>
      <c r="AC151" s="22">
        <v>1.0589599999999999</v>
      </c>
      <c r="AD151">
        <f t="shared" si="28"/>
        <v>15.744814814814816</v>
      </c>
      <c r="AE151">
        <f t="shared" si="29"/>
        <v>16.68997604814815</v>
      </c>
      <c r="AF151" s="9"/>
      <c r="AG151" s="22">
        <v>0.61004599999999998</v>
      </c>
      <c r="AH151" s="22">
        <v>19.435300000000002</v>
      </c>
      <c r="AI151" s="22">
        <v>-1.32935E-2</v>
      </c>
      <c r="AJ151" s="22">
        <v>141</v>
      </c>
      <c r="AK151" s="22">
        <v>0.60931400000000002</v>
      </c>
      <c r="AL151">
        <f t="shared" si="30"/>
        <v>16.411728395061726</v>
      </c>
      <c r="AM151">
        <f t="shared" si="31"/>
        <v>10.011909260493825</v>
      </c>
      <c r="AP151" s="9"/>
      <c r="AQ151" s="22">
        <v>1.06003</v>
      </c>
      <c r="AR151" s="22">
        <v>24.852799999999998</v>
      </c>
      <c r="AS151" s="22">
        <v>-1.2777699999999999E-2</v>
      </c>
      <c r="AT151" s="22">
        <v>141</v>
      </c>
      <c r="AU151" s="22">
        <v>1.0589599999999999</v>
      </c>
      <c r="AV151">
        <f t="shared" si="32"/>
        <v>15.774938271604935</v>
      </c>
      <c r="AW151">
        <f t="shared" si="33"/>
        <v>16.721907816049381</v>
      </c>
      <c r="AX151" s="9"/>
      <c r="AY151" s="22">
        <v>0.61004599999999998</v>
      </c>
      <c r="AZ151" s="22">
        <v>28.611499999999999</v>
      </c>
      <c r="BA151" s="22">
        <v>-1.33484E-2</v>
      </c>
      <c r="BB151" s="22">
        <v>141</v>
      </c>
      <c r="BC151" s="22">
        <v>0.60928300000000002</v>
      </c>
      <c r="BD151">
        <f t="shared" si="34"/>
        <v>16.479506172839503</v>
      </c>
      <c r="BE151">
        <f t="shared" si="35"/>
        <v>10.053256822716047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6.4593999999999996</v>
      </c>
      <c r="I152" s="22">
        <v>-1.26251E-2</v>
      </c>
      <c r="J152" s="22">
        <v>142</v>
      </c>
      <c r="K152" s="22">
        <v>1.0543800000000001</v>
      </c>
      <c r="L152">
        <f t="shared" si="24"/>
        <v>15.586543209876544</v>
      </c>
      <c r="M152">
        <f t="shared" si="25"/>
        <v>16.443647220987657</v>
      </c>
      <c r="N152" s="9"/>
      <c r="O152" s="22">
        <v>0.61508200000000002</v>
      </c>
      <c r="P152" s="22">
        <v>10.2182</v>
      </c>
      <c r="Q152" s="22">
        <v>-1.32751E-2</v>
      </c>
      <c r="R152" s="22">
        <v>142</v>
      </c>
      <c r="S152" s="22">
        <v>0.61434900000000003</v>
      </c>
      <c r="T152">
        <f t="shared" si="26"/>
        <v>16.38901234567901</v>
      </c>
      <c r="U152">
        <f t="shared" si="27"/>
        <v>10.080586491604937</v>
      </c>
      <c r="X152" s="9"/>
      <c r="Y152" s="22">
        <v>1.0549900000000001</v>
      </c>
      <c r="Z152" s="22">
        <v>15.6866</v>
      </c>
      <c r="AA152" s="22">
        <v>-1.27747E-2</v>
      </c>
      <c r="AB152" s="22">
        <v>142</v>
      </c>
      <c r="AC152" s="22">
        <v>1.0537700000000001</v>
      </c>
      <c r="AD152">
        <f t="shared" si="28"/>
        <v>15.771234567901235</v>
      </c>
      <c r="AE152">
        <f t="shared" si="29"/>
        <v>16.638494756790127</v>
      </c>
      <c r="AF152" s="9"/>
      <c r="AG152" s="22">
        <v>0.61508200000000002</v>
      </c>
      <c r="AH152" s="22">
        <v>19.445399999999999</v>
      </c>
      <c r="AI152" s="22">
        <v>-1.3284300000000001E-2</v>
      </c>
      <c r="AJ152" s="22">
        <v>142</v>
      </c>
      <c r="AK152" s="22">
        <v>0.61428799999999995</v>
      </c>
      <c r="AL152">
        <f t="shared" si="30"/>
        <v>16.400370370370371</v>
      </c>
      <c r="AM152">
        <f t="shared" si="31"/>
        <v>10.087572608148148</v>
      </c>
      <c r="AP152" s="9"/>
      <c r="AQ152" s="22">
        <v>1.0549900000000001</v>
      </c>
      <c r="AR152" s="22">
        <v>24.8628</v>
      </c>
      <c r="AS152" s="22">
        <v>-1.27838E-2</v>
      </c>
      <c r="AT152" s="22">
        <v>142</v>
      </c>
      <c r="AU152" s="22">
        <v>1.0537700000000001</v>
      </c>
      <c r="AV152">
        <f t="shared" si="32"/>
        <v>15.782469135802467</v>
      </c>
      <c r="AW152">
        <f t="shared" si="33"/>
        <v>16.650347113580246</v>
      </c>
      <c r="AX152" s="9"/>
      <c r="AY152" s="22">
        <v>0.61508200000000002</v>
      </c>
      <c r="AZ152" s="22">
        <v>28.621600000000001</v>
      </c>
      <c r="BA152" s="22">
        <v>-1.3336199999999999E-2</v>
      </c>
      <c r="BB152" s="22">
        <v>142</v>
      </c>
      <c r="BC152" s="22">
        <v>0.61428799999999995</v>
      </c>
      <c r="BD152">
        <f t="shared" si="34"/>
        <v>16.464444444444442</v>
      </c>
      <c r="BE152">
        <f t="shared" si="35"/>
        <v>10.126983417777776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6.4694700000000003</v>
      </c>
      <c r="I153" s="22">
        <v>-1.26312E-2</v>
      </c>
      <c r="J153" s="22">
        <v>143</v>
      </c>
      <c r="K153" s="22">
        <v>1.0488900000000001</v>
      </c>
      <c r="L153">
        <f t="shared" si="24"/>
        <v>15.594074074074072</v>
      </c>
      <c r="M153">
        <f t="shared" si="25"/>
        <v>16.373154014814812</v>
      </c>
      <c r="N153" s="9"/>
      <c r="O153" s="22">
        <v>0.62011700000000003</v>
      </c>
      <c r="P153" s="22">
        <v>10.228199999999999</v>
      </c>
      <c r="Q153" s="22">
        <v>-1.3269E-2</v>
      </c>
      <c r="R153" s="22">
        <v>143</v>
      </c>
      <c r="S153" s="22">
        <v>0.61938499999999996</v>
      </c>
      <c r="T153">
        <f t="shared" si="26"/>
        <v>16.38148148148148</v>
      </c>
      <c r="U153">
        <f t="shared" si="27"/>
        <v>10.158435151851851</v>
      </c>
      <c r="X153" s="9"/>
      <c r="Y153" s="22">
        <v>1.04996</v>
      </c>
      <c r="Z153" s="22">
        <v>15.6967</v>
      </c>
      <c r="AA153" s="22">
        <v>-1.27899E-2</v>
      </c>
      <c r="AB153" s="22">
        <v>143</v>
      </c>
      <c r="AC153" s="22">
        <v>1.0482800000000001</v>
      </c>
      <c r="AD153">
        <f t="shared" si="28"/>
        <v>15.79</v>
      </c>
      <c r="AE153">
        <f t="shared" si="29"/>
        <v>16.578868399999998</v>
      </c>
      <c r="AF153" s="9"/>
      <c r="AG153" s="22">
        <v>0.62011700000000003</v>
      </c>
      <c r="AH153" s="22">
        <v>19.455400000000001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1.04996</v>
      </c>
      <c r="AR153" s="22">
        <v>24.872900000000001</v>
      </c>
      <c r="AS153" s="22">
        <v>-1.27869E-2</v>
      </c>
      <c r="AT153" s="22">
        <v>143</v>
      </c>
      <c r="AU153" s="22">
        <v>1.0485800000000001</v>
      </c>
      <c r="AV153">
        <f t="shared" si="32"/>
        <v>15.786296296296294</v>
      </c>
      <c r="AW153">
        <f t="shared" si="33"/>
        <v>16.574979659259256</v>
      </c>
      <c r="AX153" s="9"/>
      <c r="AY153" s="22">
        <v>0.62011700000000003</v>
      </c>
      <c r="AZ153" s="22">
        <v>28.631699999999999</v>
      </c>
      <c r="BA153" s="22">
        <v>-1.3333100000000001E-2</v>
      </c>
      <c r="BB153" s="22">
        <v>143</v>
      </c>
      <c r="BC153" s="22">
        <v>0.61935399999999996</v>
      </c>
      <c r="BD153">
        <f t="shared" si="34"/>
        <v>16.460617283950615</v>
      </c>
      <c r="BE153">
        <f t="shared" si="35"/>
        <v>10.207508608271604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6.4795400000000001</v>
      </c>
      <c r="I154" s="22">
        <v>-1.26526E-2</v>
      </c>
      <c r="J154" s="22">
        <v>144</v>
      </c>
      <c r="K154" s="22">
        <v>1.0434000000000001</v>
      </c>
      <c r="L154">
        <f t="shared" si="24"/>
        <v>15.620493827160493</v>
      </c>
      <c r="M154">
        <f t="shared" si="25"/>
        <v>16.322166409876544</v>
      </c>
      <c r="N154" s="9"/>
      <c r="O154" s="22">
        <v>0.62515299999999996</v>
      </c>
      <c r="P154" s="22">
        <v>10.238300000000001</v>
      </c>
      <c r="Q154" s="22">
        <v>-1.3266E-2</v>
      </c>
      <c r="R154" s="22">
        <v>144</v>
      </c>
      <c r="S154" s="22">
        <v>0.62439</v>
      </c>
      <c r="T154">
        <f t="shared" si="26"/>
        <v>16.377777777777776</v>
      </c>
      <c r="U154">
        <f t="shared" si="27"/>
        <v>10.238616911111109</v>
      </c>
      <c r="X154" s="9"/>
      <c r="Y154" s="22">
        <v>1.0449200000000001</v>
      </c>
      <c r="Z154" s="22">
        <v>15.706799999999999</v>
      </c>
      <c r="AA154" s="22">
        <v>-1.2796E-2</v>
      </c>
      <c r="AB154" s="22">
        <v>144</v>
      </c>
      <c r="AC154" s="22">
        <v>1.0440100000000001</v>
      </c>
      <c r="AD154">
        <f t="shared" si="28"/>
        <v>15.79753086419753</v>
      </c>
      <c r="AE154">
        <f t="shared" si="29"/>
        <v>16.507155950617285</v>
      </c>
      <c r="AF154" s="9"/>
      <c r="AG154" s="22">
        <v>0.62515299999999996</v>
      </c>
      <c r="AH154" s="22">
        <v>19.465499999999999</v>
      </c>
      <c r="AI154" s="22">
        <v>-1.32599E-2</v>
      </c>
      <c r="AJ154" s="22">
        <v>144</v>
      </c>
      <c r="AK154" s="22">
        <v>0.62441999999999998</v>
      </c>
      <c r="AL154">
        <f t="shared" si="30"/>
        <v>16.370246913580246</v>
      </c>
      <c r="AM154">
        <f t="shared" si="31"/>
        <v>10.23390896876543</v>
      </c>
      <c r="AP154" s="9"/>
      <c r="AQ154" s="22">
        <v>1.0449200000000001</v>
      </c>
      <c r="AR154" s="22">
        <v>24.882999999999999</v>
      </c>
      <c r="AS154" s="22">
        <v>-1.2799100000000001E-2</v>
      </c>
      <c r="AT154" s="22">
        <v>144</v>
      </c>
      <c r="AU154" s="22">
        <v>1.0437000000000001</v>
      </c>
      <c r="AV154">
        <f t="shared" si="32"/>
        <v>15.801358024691359</v>
      </c>
      <c r="AW154">
        <f t="shared" si="33"/>
        <v>16.511155027160495</v>
      </c>
      <c r="AX154" s="9"/>
      <c r="AY154" s="22">
        <v>0.62515299999999996</v>
      </c>
      <c r="AZ154" s="22">
        <v>28.6417</v>
      </c>
      <c r="BA154" s="22">
        <v>-1.3333100000000001E-2</v>
      </c>
      <c r="BB154" s="22">
        <v>144</v>
      </c>
      <c r="BC154" s="22">
        <v>0.62441999999999998</v>
      </c>
      <c r="BD154">
        <f t="shared" si="34"/>
        <v>16.460617283950615</v>
      </c>
      <c r="BE154">
        <f t="shared" si="35"/>
        <v>10.290404276913579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6.4896099999999999</v>
      </c>
      <c r="I155" s="22">
        <v>-1.26801E-2</v>
      </c>
      <c r="J155" s="22">
        <v>145</v>
      </c>
      <c r="K155" s="22">
        <v>1.0394300000000001</v>
      </c>
      <c r="L155">
        <f t="shared" si="24"/>
        <v>15.654444444444444</v>
      </c>
      <c r="M155">
        <f t="shared" si="25"/>
        <v>16.278900233333331</v>
      </c>
      <c r="N155" s="9"/>
      <c r="O155" s="22">
        <v>0.63018799999999997</v>
      </c>
      <c r="P155" s="22">
        <v>10.2484</v>
      </c>
      <c r="Q155" s="22">
        <v>-1.3262899999999999E-2</v>
      </c>
      <c r="R155" s="22">
        <v>145</v>
      </c>
      <c r="S155" s="22">
        <v>0.62942500000000001</v>
      </c>
      <c r="T155">
        <f t="shared" si="26"/>
        <v>16.373950617283949</v>
      </c>
      <c r="U155">
        <f t="shared" si="27"/>
        <v>10.318667191604936</v>
      </c>
      <c r="X155" s="9"/>
      <c r="Y155" s="22">
        <v>1.03989</v>
      </c>
      <c r="Z155" s="22">
        <v>15.716799999999999</v>
      </c>
      <c r="AA155" s="22">
        <v>-1.2811299999999999E-2</v>
      </c>
      <c r="AB155" s="22">
        <v>145</v>
      </c>
      <c r="AC155" s="22">
        <v>1.03851</v>
      </c>
      <c r="AD155">
        <f t="shared" si="28"/>
        <v>15.816419753086418</v>
      </c>
      <c r="AE155">
        <f t="shared" si="29"/>
        <v>16.447336737037034</v>
      </c>
      <c r="AF155" s="9"/>
      <c r="AG155" s="22">
        <v>0.63018799999999997</v>
      </c>
      <c r="AH155" s="22">
        <v>19.4756</v>
      </c>
      <c r="AI155" s="22">
        <v>-1.3256799999999999E-2</v>
      </c>
      <c r="AJ155" s="22">
        <v>145</v>
      </c>
      <c r="AK155" s="22">
        <v>0.62945600000000002</v>
      </c>
      <c r="AL155">
        <f t="shared" si="30"/>
        <v>16.366419753086415</v>
      </c>
      <c r="AM155">
        <f t="shared" si="31"/>
        <v>10.313921331358021</v>
      </c>
      <c r="AP155" s="9"/>
      <c r="AQ155" s="22">
        <v>1.03989</v>
      </c>
      <c r="AR155" s="22">
        <v>24.8931</v>
      </c>
      <c r="AS155" s="22">
        <v>-1.2811299999999999E-2</v>
      </c>
      <c r="AT155" s="22">
        <v>145</v>
      </c>
      <c r="AU155" s="22">
        <v>1.0388200000000001</v>
      </c>
      <c r="AV155">
        <f t="shared" si="32"/>
        <v>15.816419753086418</v>
      </c>
      <c r="AW155">
        <f t="shared" si="33"/>
        <v>16.447336737037034</v>
      </c>
      <c r="AX155" s="9"/>
      <c r="AY155" s="22">
        <v>0.63018799999999997</v>
      </c>
      <c r="AZ155" s="22">
        <v>28.651800000000001</v>
      </c>
      <c r="BA155" s="22">
        <v>-1.3327E-2</v>
      </c>
      <c r="BB155" s="22">
        <v>145</v>
      </c>
      <c r="BC155" s="22">
        <v>0.62939500000000004</v>
      </c>
      <c r="BD155">
        <f t="shared" si="34"/>
        <v>16.453086419753085</v>
      </c>
      <c r="BE155">
        <f t="shared" si="35"/>
        <v>10.368537624691356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6.4996900000000002</v>
      </c>
      <c r="I156" s="22">
        <v>-1.26984E-2</v>
      </c>
      <c r="J156" s="22">
        <v>146</v>
      </c>
      <c r="K156" s="22">
        <v>1.03424</v>
      </c>
      <c r="L156">
        <f t="shared" si="24"/>
        <v>15.677037037037039</v>
      </c>
      <c r="M156">
        <f t="shared" si="25"/>
        <v>16.223381777777782</v>
      </c>
      <c r="N156" s="9"/>
      <c r="O156" s="22">
        <v>0.63522299999999998</v>
      </c>
      <c r="P156" s="22">
        <v>10.2584</v>
      </c>
      <c r="Q156" s="22">
        <v>-1.3262899999999999E-2</v>
      </c>
      <c r="R156" s="22">
        <v>146</v>
      </c>
      <c r="S156" s="22">
        <v>0.63446000000000002</v>
      </c>
      <c r="T156">
        <f t="shared" si="26"/>
        <v>16.373950617283949</v>
      </c>
      <c r="U156">
        <f t="shared" si="27"/>
        <v>10.401110032962961</v>
      </c>
      <c r="X156" s="9"/>
      <c r="Y156" s="22">
        <v>1.03485</v>
      </c>
      <c r="Z156" s="22">
        <v>15.726900000000001</v>
      </c>
      <c r="AA156" s="22">
        <v>-1.28296E-2</v>
      </c>
      <c r="AB156" s="22">
        <v>146</v>
      </c>
      <c r="AC156" s="22">
        <v>1.03363</v>
      </c>
      <c r="AD156">
        <f t="shared" si="28"/>
        <v>15.839012345679013</v>
      </c>
      <c r="AE156">
        <f t="shared" si="29"/>
        <v>16.391001925925927</v>
      </c>
      <c r="AF156" s="9"/>
      <c r="AG156" s="22">
        <v>0.63522299999999998</v>
      </c>
      <c r="AH156" s="22">
        <v>19.485700000000001</v>
      </c>
      <c r="AI156" s="22">
        <v>-1.32538E-2</v>
      </c>
      <c r="AJ156" s="22">
        <v>146</v>
      </c>
      <c r="AK156" s="22">
        <v>0.63443000000000005</v>
      </c>
      <c r="AL156">
        <f t="shared" si="30"/>
        <v>16.362716049382716</v>
      </c>
      <c r="AM156">
        <f t="shared" si="31"/>
        <v>10.393973577037036</v>
      </c>
      <c r="AP156" s="9"/>
      <c r="AQ156" s="22">
        <v>1.03485</v>
      </c>
      <c r="AR156" s="22">
        <v>24.903099999999998</v>
      </c>
      <c r="AS156" s="22">
        <v>-1.28235E-2</v>
      </c>
      <c r="AT156" s="22">
        <v>146</v>
      </c>
      <c r="AU156" s="22">
        <v>1.0333300000000001</v>
      </c>
      <c r="AV156">
        <f t="shared" si="32"/>
        <v>15.831481481481481</v>
      </c>
      <c r="AW156">
        <f t="shared" si="33"/>
        <v>16.383208611111112</v>
      </c>
      <c r="AX156" s="9"/>
      <c r="AY156" s="22">
        <v>0.63522299999999998</v>
      </c>
      <c r="AZ156" s="22">
        <v>28.661899999999999</v>
      </c>
      <c r="BA156" s="22">
        <v>-1.33209E-2</v>
      </c>
      <c r="BB156" s="22">
        <v>146</v>
      </c>
      <c r="BC156" s="22">
        <v>0.63446000000000002</v>
      </c>
      <c r="BD156">
        <f t="shared" si="34"/>
        <v>16.445555555555554</v>
      </c>
      <c r="BE156">
        <f t="shared" si="35"/>
        <v>10.446595136666666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6.50976</v>
      </c>
      <c r="I157" s="22">
        <v>-1.27136E-2</v>
      </c>
      <c r="J157" s="22">
        <v>147</v>
      </c>
      <c r="K157" s="22">
        <v>1.02844</v>
      </c>
      <c r="L157">
        <f t="shared" si="24"/>
        <v>15.695802469135801</v>
      </c>
      <c r="M157">
        <f t="shared" si="25"/>
        <v>16.163851298765429</v>
      </c>
      <c r="N157" s="9"/>
      <c r="O157" s="22">
        <v>0.64025900000000002</v>
      </c>
      <c r="P157" s="22">
        <v>10.2685</v>
      </c>
      <c r="Q157" s="22">
        <v>-1.3266E-2</v>
      </c>
      <c r="R157" s="22">
        <v>147</v>
      </c>
      <c r="S157" s="22">
        <v>0.63946499999999995</v>
      </c>
      <c r="T157">
        <f t="shared" si="26"/>
        <v>16.377777777777776</v>
      </c>
      <c r="U157">
        <f t="shared" si="27"/>
        <v>10.486019622222221</v>
      </c>
      <c r="X157" s="9"/>
      <c r="Y157" s="22">
        <v>1.02982</v>
      </c>
      <c r="Z157" s="22">
        <v>15.737</v>
      </c>
      <c r="AA157" s="22">
        <v>-1.28448E-2</v>
      </c>
      <c r="AB157" s="22">
        <v>147</v>
      </c>
      <c r="AC157" s="22">
        <v>1.0287500000000001</v>
      </c>
      <c r="AD157">
        <f t="shared" si="28"/>
        <v>15.857777777777777</v>
      </c>
      <c r="AE157">
        <f t="shared" si="29"/>
        <v>16.330656711111111</v>
      </c>
      <c r="AF157" s="9"/>
      <c r="AG157" s="22">
        <v>0.64025900000000002</v>
      </c>
      <c r="AH157" s="22">
        <v>19.495699999999999</v>
      </c>
      <c r="AI157" s="22">
        <v>-1.3256799999999999E-2</v>
      </c>
      <c r="AJ157" s="22">
        <v>147</v>
      </c>
      <c r="AK157" s="22">
        <v>0.63940399999999997</v>
      </c>
      <c r="AL157">
        <f t="shared" si="30"/>
        <v>16.366419753086415</v>
      </c>
      <c r="AM157">
        <f t="shared" si="31"/>
        <v>10.478747544691355</v>
      </c>
      <c r="AP157" s="9"/>
      <c r="AQ157" s="22">
        <v>1.02982</v>
      </c>
      <c r="AR157" s="22">
        <v>24.9132</v>
      </c>
      <c r="AS157" s="22">
        <v>-1.28326E-2</v>
      </c>
      <c r="AT157" s="22">
        <v>147</v>
      </c>
      <c r="AU157" s="22">
        <v>1.02844</v>
      </c>
      <c r="AV157">
        <f t="shared" si="32"/>
        <v>15.842716049382712</v>
      </c>
      <c r="AW157">
        <f t="shared" si="33"/>
        <v>16.315145841975305</v>
      </c>
      <c r="AX157" s="9"/>
      <c r="AY157" s="22">
        <v>0.64025900000000002</v>
      </c>
      <c r="AZ157" s="22">
        <v>28.672000000000001</v>
      </c>
      <c r="BA157" s="22">
        <v>-1.33148E-2</v>
      </c>
      <c r="BB157" s="22">
        <v>147</v>
      </c>
      <c r="BC157" s="22">
        <v>0.63946499999999995</v>
      </c>
      <c r="BD157">
        <f t="shared" si="34"/>
        <v>16.438024691358024</v>
      </c>
      <c r="BE157">
        <f t="shared" si="35"/>
        <v>10.524593250864196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6.5198299999999998</v>
      </c>
      <c r="I158" s="22">
        <v>-1.2731900000000001E-2</v>
      </c>
      <c r="J158" s="22">
        <v>148</v>
      </c>
      <c r="K158" s="22">
        <v>1.02325</v>
      </c>
      <c r="L158">
        <f t="shared" si="24"/>
        <v>15.718395061728396</v>
      </c>
      <c r="M158">
        <f t="shared" si="25"/>
        <v>16.107896891358028</v>
      </c>
      <c r="N158" s="9"/>
      <c r="O158" s="22">
        <v>0.64529400000000003</v>
      </c>
      <c r="P158" s="22">
        <v>10.278600000000001</v>
      </c>
      <c r="Q158" s="22">
        <v>-1.3269E-2</v>
      </c>
      <c r="R158" s="22">
        <v>148</v>
      </c>
      <c r="S158" s="22">
        <v>0.64459200000000005</v>
      </c>
      <c r="T158">
        <f t="shared" si="26"/>
        <v>16.38148148148148</v>
      </c>
      <c r="U158">
        <f t="shared" si="27"/>
        <v>10.57087171111111</v>
      </c>
      <c r="X158" s="9"/>
      <c r="Y158" s="22">
        <v>1.02478</v>
      </c>
      <c r="Z158" s="22">
        <v>15.747</v>
      </c>
      <c r="AA158" s="22">
        <v>-1.2860099999999999E-2</v>
      </c>
      <c r="AB158" s="22">
        <v>148</v>
      </c>
      <c r="AC158" s="22">
        <v>1.02356</v>
      </c>
      <c r="AD158">
        <f t="shared" si="28"/>
        <v>15.876666666666663</v>
      </c>
      <c r="AE158">
        <f t="shared" si="29"/>
        <v>16.270090466666662</v>
      </c>
      <c r="AF158" s="9"/>
      <c r="AG158" s="22">
        <v>0.64529400000000003</v>
      </c>
      <c r="AH158" s="22">
        <v>19.505800000000001</v>
      </c>
      <c r="AI158" s="22">
        <v>-1.3250700000000001E-2</v>
      </c>
      <c r="AJ158" s="22">
        <v>148</v>
      </c>
      <c r="AK158" s="22">
        <v>0.64450099999999999</v>
      </c>
      <c r="AL158">
        <f t="shared" si="30"/>
        <v>16.358888888888888</v>
      </c>
      <c r="AM158">
        <f t="shared" si="31"/>
        <v>10.556292846666667</v>
      </c>
      <c r="AP158" s="9"/>
      <c r="AQ158" s="22">
        <v>1.02478</v>
      </c>
      <c r="AR158" s="22">
        <v>24.923300000000001</v>
      </c>
      <c r="AS158" s="22">
        <v>-1.28418E-2</v>
      </c>
      <c r="AT158" s="22">
        <v>148</v>
      </c>
      <c r="AU158" s="22">
        <v>1.02356</v>
      </c>
      <c r="AV158">
        <f t="shared" si="32"/>
        <v>15.854074074074072</v>
      </c>
      <c r="AW158">
        <f t="shared" si="33"/>
        <v>16.246938029629629</v>
      </c>
      <c r="AX158" s="9"/>
      <c r="AY158" s="22">
        <v>0.64529400000000003</v>
      </c>
      <c r="AZ158" s="22">
        <v>28.681999999999999</v>
      </c>
      <c r="BA158" s="22">
        <v>-1.33118E-2</v>
      </c>
      <c r="BB158" s="22">
        <v>148</v>
      </c>
      <c r="BC158" s="22">
        <v>0.64456199999999997</v>
      </c>
      <c r="BD158">
        <f t="shared" si="34"/>
        <v>16.434320987654321</v>
      </c>
      <c r="BE158">
        <f t="shared" si="35"/>
        <v>10.604968727407408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6.5298999999999996</v>
      </c>
      <c r="I159" s="22">
        <v>-1.27441E-2</v>
      </c>
      <c r="J159" s="22">
        <v>149</v>
      </c>
      <c r="K159" s="22">
        <v>1.01776</v>
      </c>
      <c r="L159">
        <f t="shared" si="24"/>
        <v>15.733456790123457</v>
      </c>
      <c r="M159">
        <f t="shared" si="25"/>
        <v>16.044035227160496</v>
      </c>
      <c r="N159" s="9"/>
      <c r="O159" s="22">
        <v>0.65032999999999996</v>
      </c>
      <c r="P159" s="22">
        <v>10.2887</v>
      </c>
      <c r="Q159" s="22">
        <v>-1.3269E-2</v>
      </c>
      <c r="R159" s="22">
        <v>149</v>
      </c>
      <c r="S159" s="22">
        <v>0.64950600000000003</v>
      </c>
      <c r="T159">
        <f t="shared" si="26"/>
        <v>16.38148148148148</v>
      </c>
      <c r="U159">
        <f t="shared" si="27"/>
        <v>10.65336885185185</v>
      </c>
      <c r="X159" s="9"/>
      <c r="Y159" s="22">
        <v>1.0197400000000001</v>
      </c>
      <c r="Z159" s="22">
        <v>15.757099999999999</v>
      </c>
      <c r="AA159" s="22">
        <v>-1.28693E-2</v>
      </c>
      <c r="AB159" s="22">
        <v>149</v>
      </c>
      <c r="AC159" s="22">
        <v>1.01898</v>
      </c>
      <c r="AD159">
        <f t="shared" si="28"/>
        <v>15.888024691358023</v>
      </c>
      <c r="AE159">
        <f t="shared" si="29"/>
        <v>16.201654298765433</v>
      </c>
      <c r="AF159" s="9"/>
      <c r="AG159" s="22">
        <v>0.65032999999999996</v>
      </c>
      <c r="AH159" s="22">
        <v>19.515899999999998</v>
      </c>
      <c r="AI159" s="22">
        <v>-1.32538E-2</v>
      </c>
      <c r="AJ159" s="22">
        <v>149</v>
      </c>
      <c r="AK159" s="22">
        <v>0.64956700000000001</v>
      </c>
      <c r="AL159">
        <f t="shared" si="30"/>
        <v>16.362716049382716</v>
      </c>
      <c r="AM159">
        <f t="shared" si="31"/>
        <v>10.641165128395061</v>
      </c>
      <c r="AP159" s="9"/>
      <c r="AQ159" s="22">
        <v>1.0197400000000001</v>
      </c>
      <c r="AR159" s="22">
        <v>24.933299999999999</v>
      </c>
      <c r="AS159" s="22">
        <v>-1.28448E-2</v>
      </c>
      <c r="AT159" s="22">
        <v>149</v>
      </c>
      <c r="AU159" s="22">
        <v>1.01837</v>
      </c>
      <c r="AV159">
        <f t="shared" si="32"/>
        <v>15.857777777777777</v>
      </c>
      <c r="AW159">
        <f t="shared" si="33"/>
        <v>16.170810311111111</v>
      </c>
      <c r="AX159" s="9"/>
      <c r="AY159" s="22">
        <v>0.65032999999999996</v>
      </c>
      <c r="AZ159" s="22">
        <v>28.6921</v>
      </c>
      <c r="BA159" s="22">
        <v>-1.3317900000000001E-2</v>
      </c>
      <c r="BB159" s="22">
        <v>149</v>
      </c>
      <c r="BC159" s="22">
        <v>0.649536</v>
      </c>
      <c r="BD159">
        <f t="shared" si="34"/>
        <v>16.441851851851851</v>
      </c>
      <c r="BE159">
        <f t="shared" si="35"/>
        <v>10.692629514814813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6.5399700000000003</v>
      </c>
      <c r="I160" s="22">
        <v>-1.27502E-2</v>
      </c>
      <c r="J160" s="22">
        <v>150</v>
      </c>
      <c r="K160" s="22">
        <v>1.01379</v>
      </c>
      <c r="L160">
        <f t="shared" si="24"/>
        <v>15.740987654320987</v>
      </c>
      <c r="M160">
        <f t="shared" si="25"/>
        <v>15.972537582716049</v>
      </c>
      <c r="N160" s="9"/>
      <c r="O160" s="22">
        <v>0.65536499999999998</v>
      </c>
      <c r="P160" s="22">
        <v>10.2987</v>
      </c>
      <c r="Q160" s="22">
        <v>-1.3250700000000001E-2</v>
      </c>
      <c r="R160" s="22">
        <v>150</v>
      </c>
      <c r="S160" s="22">
        <v>0.65463300000000002</v>
      </c>
      <c r="T160">
        <f t="shared" si="26"/>
        <v>16.358888888888888</v>
      </c>
      <c r="U160">
        <f t="shared" si="27"/>
        <v>10.721043216666665</v>
      </c>
      <c r="X160" s="9"/>
      <c r="Y160" s="22">
        <v>1.01471</v>
      </c>
      <c r="Z160" s="22">
        <v>15.767200000000001</v>
      </c>
      <c r="AA160" s="22">
        <v>-1.2881500000000001E-2</v>
      </c>
      <c r="AB160" s="22">
        <v>150</v>
      </c>
      <c r="AC160" s="22">
        <v>1.01349</v>
      </c>
      <c r="AD160">
        <f t="shared" si="28"/>
        <v>15.903086419753087</v>
      </c>
      <c r="AE160">
        <f t="shared" si="29"/>
        <v>16.137020820987654</v>
      </c>
      <c r="AF160" s="9"/>
      <c r="AG160" s="22">
        <v>0.65536499999999998</v>
      </c>
      <c r="AH160" s="22">
        <v>19.5259</v>
      </c>
      <c r="AI160" s="22">
        <v>-1.3250700000000001E-2</v>
      </c>
      <c r="AJ160" s="22">
        <v>150</v>
      </c>
      <c r="AK160" s="22">
        <v>0.65460200000000002</v>
      </c>
      <c r="AL160">
        <f t="shared" si="30"/>
        <v>16.358888888888888</v>
      </c>
      <c r="AM160">
        <f t="shared" si="31"/>
        <v>10.721043216666665</v>
      </c>
      <c r="AP160" s="9"/>
      <c r="AQ160" s="22">
        <v>1.01471</v>
      </c>
      <c r="AR160" s="22">
        <v>24.9434</v>
      </c>
      <c r="AS160" s="22">
        <v>-1.2851E-2</v>
      </c>
      <c r="AT160" s="22">
        <v>150</v>
      </c>
      <c r="AU160" s="22">
        <v>1.01349</v>
      </c>
      <c r="AV160">
        <f t="shared" si="32"/>
        <v>15.865432098765432</v>
      </c>
      <c r="AW160">
        <f t="shared" si="33"/>
        <v>16.098812604938271</v>
      </c>
      <c r="AX160" s="9"/>
      <c r="AY160" s="22">
        <v>0.65536499999999998</v>
      </c>
      <c r="AZ160" s="22">
        <v>28.702200000000001</v>
      </c>
      <c r="BA160" s="22">
        <v>-1.3317900000000001E-2</v>
      </c>
      <c r="BB160" s="22">
        <v>150</v>
      </c>
      <c r="BC160" s="22">
        <v>0.65463300000000002</v>
      </c>
      <c r="BD160">
        <f t="shared" si="34"/>
        <v>16.441851851851851</v>
      </c>
      <c r="BE160">
        <f t="shared" si="35"/>
        <v>10.775414238888889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6.5500400000000001</v>
      </c>
      <c r="I161" s="22">
        <v>-1.2759400000000001E-2</v>
      </c>
      <c r="J161" s="22">
        <v>151</v>
      </c>
      <c r="K161" s="22">
        <v>1.0083</v>
      </c>
      <c r="L161">
        <f t="shared" si="24"/>
        <v>15.752345679012343</v>
      </c>
      <c r="M161">
        <f t="shared" si="25"/>
        <v>15.904670861728393</v>
      </c>
      <c r="N161" s="9"/>
      <c r="O161" s="22">
        <v>0.66039999999999999</v>
      </c>
      <c r="P161" s="22">
        <v>10.3088</v>
      </c>
      <c r="Q161" s="22">
        <v>-1.32446E-2</v>
      </c>
      <c r="R161" s="22">
        <v>151</v>
      </c>
      <c r="S161" s="22">
        <v>0.65969800000000001</v>
      </c>
      <c r="T161">
        <f t="shared" si="26"/>
        <v>16.351358024691358</v>
      </c>
      <c r="U161">
        <f t="shared" si="27"/>
        <v>10.798436839506172</v>
      </c>
      <c r="X161" s="9"/>
      <c r="Y161" s="22">
        <v>1.0096700000000001</v>
      </c>
      <c r="Z161" s="22">
        <v>15.7773</v>
      </c>
      <c r="AA161" s="22">
        <v>-1.2899799999999999E-2</v>
      </c>
      <c r="AB161" s="22">
        <v>151</v>
      </c>
      <c r="AC161" s="22">
        <v>1.0083</v>
      </c>
      <c r="AD161">
        <f t="shared" si="28"/>
        <v>15.925679012345679</v>
      </c>
      <c r="AE161">
        <f t="shared" si="29"/>
        <v>16.079680328395064</v>
      </c>
      <c r="AF161" s="9"/>
      <c r="AG161" s="22">
        <v>0.66039999999999999</v>
      </c>
      <c r="AH161" s="22">
        <v>19.536000000000001</v>
      </c>
      <c r="AI161" s="22">
        <v>-1.3250700000000001E-2</v>
      </c>
      <c r="AJ161" s="22">
        <v>151</v>
      </c>
      <c r="AK161" s="22">
        <v>0.65963700000000003</v>
      </c>
      <c r="AL161">
        <f t="shared" si="30"/>
        <v>16.358888888888888</v>
      </c>
      <c r="AM161">
        <f t="shared" si="31"/>
        <v>10.803410222222222</v>
      </c>
      <c r="AP161" s="9"/>
      <c r="AQ161" s="22">
        <v>1.0096700000000001</v>
      </c>
      <c r="AR161" s="22">
        <v>24.953499999999998</v>
      </c>
      <c r="AS161" s="22">
        <v>-1.28632E-2</v>
      </c>
      <c r="AT161" s="22">
        <v>151</v>
      </c>
      <c r="AU161" s="22">
        <v>1.0083</v>
      </c>
      <c r="AV161">
        <f t="shared" si="32"/>
        <v>15.880493827160493</v>
      </c>
      <c r="AW161">
        <f t="shared" si="33"/>
        <v>16.034058202469136</v>
      </c>
      <c r="AX161" s="9"/>
      <c r="AY161" s="22">
        <v>0.66039999999999999</v>
      </c>
      <c r="AZ161" s="22">
        <v>28.712199999999999</v>
      </c>
      <c r="BA161" s="22">
        <v>-1.3317900000000001E-2</v>
      </c>
      <c r="BB161" s="22">
        <v>151</v>
      </c>
      <c r="BC161" s="22">
        <v>0.65960700000000005</v>
      </c>
      <c r="BD161">
        <f t="shared" si="34"/>
        <v>16.441851851851851</v>
      </c>
      <c r="BE161">
        <f t="shared" si="35"/>
        <v>10.858198962962962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6.5601099999999999</v>
      </c>
      <c r="I162" s="22">
        <v>-1.2771599999999999E-2</v>
      </c>
      <c r="J162" s="22">
        <v>152</v>
      </c>
      <c r="K162" s="22">
        <v>1.00403</v>
      </c>
      <c r="L162">
        <f t="shared" si="24"/>
        <v>15.767407407407408</v>
      </c>
      <c r="M162">
        <f t="shared" si="25"/>
        <v>15.840568177777778</v>
      </c>
      <c r="N162" s="9"/>
      <c r="O162" s="22">
        <v>0.66543600000000003</v>
      </c>
      <c r="P162" s="22">
        <v>10.318899999999999</v>
      </c>
      <c r="Q162" s="22">
        <v>-1.32385E-2</v>
      </c>
      <c r="R162" s="22">
        <v>152</v>
      </c>
      <c r="S162" s="22">
        <v>0.66458099999999998</v>
      </c>
      <c r="T162">
        <f t="shared" si="26"/>
        <v>16.343827160493824</v>
      </c>
      <c r="U162">
        <f t="shared" si="27"/>
        <v>10.875770970370368</v>
      </c>
      <c r="X162" s="9"/>
      <c r="Y162" s="22">
        <v>1.00464</v>
      </c>
      <c r="Z162" s="22">
        <v>15.7873</v>
      </c>
      <c r="AA162" s="22">
        <v>-1.2914999999999999E-2</v>
      </c>
      <c r="AB162" s="22">
        <v>152</v>
      </c>
      <c r="AC162" s="22">
        <v>1.00342</v>
      </c>
      <c r="AD162">
        <f t="shared" si="28"/>
        <v>15.944444444444441</v>
      </c>
      <c r="AE162">
        <f t="shared" si="29"/>
        <v>16.018426666666663</v>
      </c>
      <c r="AF162" s="9"/>
      <c r="AG162" s="22">
        <v>0.66543600000000003</v>
      </c>
      <c r="AH162" s="22">
        <v>19.546099999999999</v>
      </c>
      <c r="AI162" s="22">
        <v>-1.32538E-2</v>
      </c>
      <c r="AJ162" s="22">
        <v>152</v>
      </c>
      <c r="AK162" s="22">
        <v>0.66464199999999996</v>
      </c>
      <c r="AL162">
        <f t="shared" si="30"/>
        <v>16.362716049382716</v>
      </c>
      <c r="AM162">
        <f t="shared" si="31"/>
        <v>10.888340317037038</v>
      </c>
      <c r="AP162" s="9"/>
      <c r="AQ162" s="22">
        <v>1.00464</v>
      </c>
      <c r="AR162" s="22">
        <v>24.9635</v>
      </c>
      <c r="AS162" s="22">
        <v>-1.28693E-2</v>
      </c>
      <c r="AT162" s="22">
        <v>152</v>
      </c>
      <c r="AU162" s="22">
        <v>1.00342</v>
      </c>
      <c r="AV162">
        <f t="shared" si="32"/>
        <v>15.888024691358023</v>
      </c>
      <c r="AW162">
        <f t="shared" si="33"/>
        <v>15.961745125925924</v>
      </c>
      <c r="AX162" s="9"/>
      <c r="AY162" s="22">
        <v>0.66543600000000003</v>
      </c>
      <c r="AZ162" s="22">
        <v>28.722300000000001</v>
      </c>
      <c r="BA162" s="22">
        <v>-1.33148E-2</v>
      </c>
      <c r="BB162" s="22">
        <v>152</v>
      </c>
      <c r="BC162" s="22">
        <v>0.66467299999999996</v>
      </c>
      <c r="BD162">
        <f t="shared" si="34"/>
        <v>16.438024691358024</v>
      </c>
      <c r="BE162">
        <f t="shared" si="35"/>
        <v>10.938453398518519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6.5701799999999997</v>
      </c>
      <c r="I163" s="22">
        <v>-1.27838E-2</v>
      </c>
      <c r="J163" s="22">
        <v>153</v>
      </c>
      <c r="K163" s="22">
        <v>0.99822999999999995</v>
      </c>
      <c r="L163">
        <f t="shared" si="24"/>
        <v>15.782469135802467</v>
      </c>
      <c r="M163">
        <f t="shared" si="25"/>
        <v>15.776203495555553</v>
      </c>
      <c r="N163" s="9"/>
      <c r="O163" s="22">
        <v>0.67047100000000004</v>
      </c>
      <c r="P163" s="22">
        <v>10.328900000000001</v>
      </c>
      <c r="Q163" s="22">
        <v>-1.3235500000000001E-2</v>
      </c>
      <c r="R163" s="22">
        <v>153</v>
      </c>
      <c r="S163" s="22">
        <v>0.669678</v>
      </c>
      <c r="T163">
        <f t="shared" si="26"/>
        <v>16.340123456790124</v>
      </c>
      <c r="U163">
        <f t="shared" si="27"/>
        <v>10.955578914197533</v>
      </c>
      <c r="X163" s="9"/>
      <c r="Y163" s="22">
        <v>0.99960300000000002</v>
      </c>
      <c r="Z163" s="22">
        <v>15.7974</v>
      </c>
      <c r="AA163" s="22">
        <v>-1.29303E-2</v>
      </c>
      <c r="AB163" s="22">
        <v>153</v>
      </c>
      <c r="AC163" s="22">
        <v>0.99853499999999995</v>
      </c>
      <c r="AD163">
        <f t="shared" si="28"/>
        <v>15.963333333333333</v>
      </c>
      <c r="AE163">
        <f t="shared" si="29"/>
        <v>15.95699589</v>
      </c>
      <c r="AF163" s="9"/>
      <c r="AG163" s="22">
        <v>0.67047100000000004</v>
      </c>
      <c r="AH163" s="22">
        <v>19.5562</v>
      </c>
      <c r="AI163" s="22">
        <v>-1.3250700000000001E-2</v>
      </c>
      <c r="AJ163" s="22">
        <v>153</v>
      </c>
      <c r="AK163" s="22">
        <v>0.66964699999999999</v>
      </c>
      <c r="AL163">
        <f t="shared" si="30"/>
        <v>16.358888888888888</v>
      </c>
      <c r="AM163">
        <f t="shared" si="31"/>
        <v>10.968160592222223</v>
      </c>
      <c r="AP163" s="9"/>
      <c r="AQ163" s="22">
        <v>0.99960300000000002</v>
      </c>
      <c r="AR163" s="22">
        <v>24.973600000000001</v>
      </c>
      <c r="AS163" s="22">
        <v>-1.28784E-2</v>
      </c>
      <c r="AT163" s="22">
        <v>153</v>
      </c>
      <c r="AU163" s="22">
        <v>0.99853499999999995</v>
      </c>
      <c r="AV163">
        <f t="shared" si="32"/>
        <v>15.899259259259258</v>
      </c>
      <c r="AW163">
        <f t="shared" si="33"/>
        <v>15.892947253333332</v>
      </c>
      <c r="AX163" s="9"/>
      <c r="AY163" s="22">
        <v>0.67047100000000004</v>
      </c>
      <c r="AZ163" s="22">
        <v>28.732399999999998</v>
      </c>
      <c r="BA163" s="22">
        <v>-1.33057E-2</v>
      </c>
      <c r="BB163" s="22">
        <v>153</v>
      </c>
      <c r="BC163" s="22">
        <v>0.66964699999999999</v>
      </c>
      <c r="BD163">
        <f t="shared" si="34"/>
        <v>16.42679012345679</v>
      </c>
      <c r="BE163">
        <f t="shared" si="35"/>
        <v>11.013686400864199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6.5802500000000004</v>
      </c>
      <c r="I164" s="22">
        <v>-1.27869E-2</v>
      </c>
      <c r="J164" s="22">
        <v>154</v>
      </c>
      <c r="K164" s="22">
        <v>0.99365199999999998</v>
      </c>
      <c r="L164">
        <f t="shared" si="24"/>
        <v>15.786296296296294</v>
      </c>
      <c r="M164">
        <f t="shared" si="25"/>
        <v>15.700545134814814</v>
      </c>
      <c r="N164" s="9"/>
      <c r="O164" s="22">
        <v>0.67550699999999997</v>
      </c>
      <c r="P164" s="22">
        <v>10.339</v>
      </c>
      <c r="Q164" s="22">
        <v>-1.3229400000000001E-2</v>
      </c>
      <c r="R164" s="22">
        <v>154</v>
      </c>
      <c r="S164" s="22">
        <v>0.67471300000000001</v>
      </c>
      <c r="T164">
        <f t="shared" si="26"/>
        <v>16.332592592592594</v>
      </c>
      <c r="U164">
        <f t="shared" si="27"/>
        <v>11.032780624444445</v>
      </c>
      <c r="X164" s="9"/>
      <c r="Y164" s="22">
        <v>0.99456800000000001</v>
      </c>
      <c r="Z164" s="22">
        <v>15.807499999999999</v>
      </c>
      <c r="AA164" s="22">
        <v>-1.2942499999999999E-2</v>
      </c>
      <c r="AB164" s="22">
        <v>154</v>
      </c>
      <c r="AC164" s="22">
        <v>0.99334699999999998</v>
      </c>
      <c r="AD164">
        <f t="shared" si="28"/>
        <v>15.978395061728392</v>
      </c>
      <c r="AE164">
        <f t="shared" si="29"/>
        <v>15.891600419753084</v>
      </c>
      <c r="AF164" s="9"/>
      <c r="AG164" s="22">
        <v>0.67550699999999997</v>
      </c>
      <c r="AH164" s="22">
        <v>19.566199999999998</v>
      </c>
      <c r="AI164" s="22">
        <v>-1.3250700000000001E-2</v>
      </c>
      <c r="AJ164" s="22">
        <v>154</v>
      </c>
      <c r="AK164" s="22">
        <v>0.67468300000000003</v>
      </c>
      <c r="AL164">
        <f t="shared" si="30"/>
        <v>16.358888888888888</v>
      </c>
      <c r="AM164">
        <f t="shared" si="31"/>
        <v>11.050543956666665</v>
      </c>
      <c r="AP164" s="9"/>
      <c r="AQ164" s="22">
        <v>0.99456800000000001</v>
      </c>
      <c r="AR164" s="22">
        <v>24.983699999999999</v>
      </c>
      <c r="AS164" s="22">
        <v>-1.2899799999999999E-2</v>
      </c>
      <c r="AT164" s="22">
        <v>154</v>
      </c>
      <c r="AU164" s="22">
        <v>0.99365199999999998</v>
      </c>
      <c r="AV164">
        <f t="shared" si="32"/>
        <v>15.925679012345679</v>
      </c>
      <c r="AW164">
        <f t="shared" si="33"/>
        <v>15.839170723950618</v>
      </c>
      <c r="AX164" s="9"/>
      <c r="AY164" s="22">
        <v>0.67550699999999997</v>
      </c>
      <c r="AZ164" s="22">
        <v>28.7425</v>
      </c>
      <c r="BA164" s="22">
        <v>-1.32996E-2</v>
      </c>
      <c r="BB164" s="22">
        <v>154</v>
      </c>
      <c r="BC164" s="22">
        <v>0.67468300000000003</v>
      </c>
      <c r="BD164">
        <f t="shared" si="34"/>
        <v>16.41925925925926</v>
      </c>
      <c r="BE164">
        <f t="shared" si="35"/>
        <v>11.091324564444443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6.5903200000000002</v>
      </c>
      <c r="I165" s="22">
        <v>-1.2796E-2</v>
      </c>
      <c r="J165" s="22">
        <v>155</v>
      </c>
      <c r="K165" s="22">
        <v>0.98846400000000001</v>
      </c>
      <c r="L165">
        <f t="shared" si="24"/>
        <v>15.79753086419753</v>
      </c>
      <c r="M165">
        <f t="shared" si="25"/>
        <v>15.632162311111109</v>
      </c>
      <c r="N165" s="9"/>
      <c r="O165" s="22">
        <v>0.68054199999999998</v>
      </c>
      <c r="P165" s="22">
        <v>10.3491</v>
      </c>
      <c r="Q165" s="22">
        <v>-1.32172E-2</v>
      </c>
      <c r="R165" s="22">
        <v>155</v>
      </c>
      <c r="S165" s="22">
        <v>0.67981000000000003</v>
      </c>
      <c r="T165">
        <f t="shared" si="26"/>
        <v>16.317530864197529</v>
      </c>
      <c r="U165">
        <f t="shared" si="27"/>
        <v>11.104765089382715</v>
      </c>
      <c r="X165" s="9"/>
      <c r="Y165" s="22">
        <v>0.98953199999999997</v>
      </c>
      <c r="Z165" s="22">
        <v>15.817500000000001</v>
      </c>
      <c r="AA165" s="22">
        <v>-1.29578E-2</v>
      </c>
      <c r="AB165" s="22">
        <v>155</v>
      </c>
      <c r="AC165" s="22">
        <v>0.98785400000000001</v>
      </c>
      <c r="AD165">
        <f t="shared" si="28"/>
        <v>15.997283950617284</v>
      </c>
      <c r="AE165">
        <f t="shared" si="29"/>
        <v>15.829824382222222</v>
      </c>
      <c r="AF165" s="9"/>
      <c r="AG165" s="22">
        <v>0.68054199999999998</v>
      </c>
      <c r="AH165" s="22">
        <v>19.5763</v>
      </c>
      <c r="AI165" s="22">
        <v>-1.32446E-2</v>
      </c>
      <c r="AJ165" s="22">
        <v>155</v>
      </c>
      <c r="AK165" s="22">
        <v>0.67981000000000003</v>
      </c>
      <c r="AL165">
        <f t="shared" si="30"/>
        <v>16.351358024691358</v>
      </c>
      <c r="AM165">
        <f t="shared" si="31"/>
        <v>11.127785892839505</v>
      </c>
      <c r="AP165" s="9"/>
      <c r="AQ165" s="22">
        <v>0.98953199999999997</v>
      </c>
      <c r="AR165" s="22">
        <v>24.9938</v>
      </c>
      <c r="AS165" s="22">
        <v>-1.2912E-2</v>
      </c>
      <c r="AT165" s="22">
        <v>155</v>
      </c>
      <c r="AU165" s="22">
        <v>0.98815900000000001</v>
      </c>
      <c r="AV165">
        <f t="shared" si="32"/>
        <v>15.940740740740738</v>
      </c>
      <c r="AW165">
        <f t="shared" si="33"/>
        <v>15.773873066666663</v>
      </c>
      <c r="AX165" s="9"/>
      <c r="AY165" s="22">
        <v>0.68054199999999998</v>
      </c>
      <c r="AZ165" s="22">
        <v>28.752500000000001</v>
      </c>
      <c r="BA165" s="22">
        <v>-1.32874E-2</v>
      </c>
      <c r="BB165" s="22">
        <v>155</v>
      </c>
      <c r="BC165" s="22">
        <v>0.67974900000000005</v>
      </c>
      <c r="BD165">
        <f t="shared" si="34"/>
        <v>16.404197530864195</v>
      </c>
      <c r="BE165">
        <f t="shared" si="35"/>
        <v>11.16374539604938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6.6003999999999996</v>
      </c>
      <c r="I166" s="22">
        <v>-1.28021E-2</v>
      </c>
      <c r="J166" s="22">
        <v>156</v>
      </c>
      <c r="K166" s="22">
        <v>0.98297100000000004</v>
      </c>
      <c r="L166">
        <f t="shared" si="24"/>
        <v>15.805061728395062</v>
      </c>
      <c r="M166">
        <f t="shared" si="25"/>
        <v>15.560035856419752</v>
      </c>
      <c r="N166" s="9"/>
      <c r="O166" s="22">
        <v>0.68557699999999999</v>
      </c>
      <c r="P166" s="22">
        <v>10.3592</v>
      </c>
      <c r="Q166" s="22">
        <v>-1.3205E-2</v>
      </c>
      <c r="R166" s="22">
        <v>156</v>
      </c>
      <c r="S166" s="22">
        <v>0.68472299999999997</v>
      </c>
      <c r="T166">
        <f t="shared" si="26"/>
        <v>16.302469135802468</v>
      </c>
      <c r="U166">
        <f t="shared" si="27"/>
        <v>11.176597882716049</v>
      </c>
      <c r="X166" s="9"/>
      <c r="Y166" s="22">
        <v>0.98449699999999996</v>
      </c>
      <c r="Z166" s="22">
        <v>15.8276</v>
      </c>
      <c r="AA166" s="22">
        <v>-1.2970000000000001E-2</v>
      </c>
      <c r="AB166" s="22">
        <v>156</v>
      </c>
      <c r="AC166" s="22">
        <v>0.98358199999999996</v>
      </c>
      <c r="AD166">
        <f t="shared" si="28"/>
        <v>16.012345679012348</v>
      </c>
      <c r="AE166">
        <f t="shared" si="29"/>
        <v>15.764106283950619</v>
      </c>
      <c r="AF166" s="9"/>
      <c r="AG166" s="22">
        <v>0.68557699999999999</v>
      </c>
      <c r="AH166" s="22">
        <v>19.586400000000001</v>
      </c>
      <c r="AI166" s="22">
        <v>-1.32446E-2</v>
      </c>
      <c r="AJ166" s="22">
        <v>156</v>
      </c>
      <c r="AK166" s="22">
        <v>0.68481400000000003</v>
      </c>
      <c r="AL166">
        <f t="shared" si="30"/>
        <v>16.351358024691358</v>
      </c>
      <c r="AM166">
        <f t="shared" si="31"/>
        <v>11.210114980493827</v>
      </c>
      <c r="AP166" s="9"/>
      <c r="AQ166" s="22">
        <v>0.98449699999999996</v>
      </c>
      <c r="AR166" s="22">
        <v>25.003799999999998</v>
      </c>
      <c r="AS166" s="22">
        <v>-1.29272E-2</v>
      </c>
      <c r="AT166" s="22">
        <v>156</v>
      </c>
      <c r="AU166" s="22">
        <v>0.98327600000000004</v>
      </c>
      <c r="AV166">
        <f t="shared" si="32"/>
        <v>15.959506172839506</v>
      </c>
      <c r="AW166">
        <f t="shared" si="33"/>
        <v>15.712085948641974</v>
      </c>
      <c r="AX166" s="9"/>
      <c r="AY166" s="22">
        <v>0.68557699999999999</v>
      </c>
      <c r="AZ166" s="22">
        <v>28.762599999999999</v>
      </c>
      <c r="BA166" s="22">
        <v>-1.32782E-2</v>
      </c>
      <c r="BB166" s="22">
        <v>156</v>
      </c>
      <c r="BC166" s="22">
        <v>0.68484500000000004</v>
      </c>
      <c r="BD166">
        <f t="shared" si="34"/>
        <v>16.392839506172837</v>
      </c>
      <c r="BE166">
        <f t="shared" si="35"/>
        <v>11.238553730123455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6.6104700000000003</v>
      </c>
      <c r="I167" s="22">
        <v>-1.28174E-2</v>
      </c>
      <c r="J167" s="22">
        <v>157</v>
      </c>
      <c r="K167" s="22">
        <v>0.97869899999999999</v>
      </c>
      <c r="L167">
        <f t="shared" si="24"/>
        <v>15.82395061728395</v>
      </c>
      <c r="M167">
        <f t="shared" si="25"/>
        <v>15.498958319506173</v>
      </c>
      <c r="N167" s="9"/>
      <c r="O167" s="22">
        <v>0.69061300000000003</v>
      </c>
      <c r="P167" s="22">
        <v>10.369199999999999</v>
      </c>
      <c r="Q167" s="22">
        <v>-1.31989E-2</v>
      </c>
      <c r="R167" s="22">
        <v>157</v>
      </c>
      <c r="S167" s="22">
        <v>0.68984999999999996</v>
      </c>
      <c r="T167">
        <f t="shared" si="26"/>
        <v>16.294938271604938</v>
      </c>
      <c r="U167">
        <f t="shared" si="27"/>
        <v>11.253496204567901</v>
      </c>
      <c r="X167" s="9"/>
      <c r="Y167" s="22">
        <v>0.97946200000000005</v>
      </c>
      <c r="Z167" s="22">
        <v>15.8377</v>
      </c>
      <c r="AA167" s="22">
        <v>-1.2976100000000001E-2</v>
      </c>
      <c r="AB167" s="22">
        <v>157</v>
      </c>
      <c r="AC167" s="22">
        <v>0.97869899999999999</v>
      </c>
      <c r="AD167">
        <f t="shared" si="28"/>
        <v>16.019876543209875</v>
      </c>
      <c r="AE167">
        <f t="shared" si="29"/>
        <v>15.690860318765433</v>
      </c>
      <c r="AF167" s="9"/>
      <c r="AG167" s="22">
        <v>0.69061300000000003</v>
      </c>
      <c r="AH167" s="22">
        <v>19.596399999999999</v>
      </c>
      <c r="AI167" s="22">
        <v>-1.32385E-2</v>
      </c>
      <c r="AJ167" s="22">
        <v>157</v>
      </c>
      <c r="AK167" s="22">
        <v>0.68978899999999999</v>
      </c>
      <c r="AL167">
        <f t="shared" si="30"/>
        <v>16.343827160493824</v>
      </c>
      <c r="AM167">
        <f t="shared" si="31"/>
        <v>11.287259506790122</v>
      </c>
      <c r="AP167" s="9"/>
      <c r="AQ167" s="22">
        <v>0.97946200000000005</v>
      </c>
      <c r="AR167" s="22">
        <v>25.0139</v>
      </c>
      <c r="AS167" s="22">
        <v>-1.2942499999999999E-2</v>
      </c>
      <c r="AT167" s="22">
        <v>157</v>
      </c>
      <c r="AU167" s="22">
        <v>0.97839399999999999</v>
      </c>
      <c r="AV167">
        <f t="shared" si="32"/>
        <v>15.978395061728392</v>
      </c>
      <c r="AW167">
        <f t="shared" si="33"/>
        <v>15.650230783950615</v>
      </c>
      <c r="AX167" s="9"/>
      <c r="AY167" s="22">
        <v>0.69061300000000003</v>
      </c>
      <c r="AZ167" s="22">
        <v>28.7727</v>
      </c>
      <c r="BA167" s="22">
        <v>-1.3281299999999999E-2</v>
      </c>
      <c r="BB167" s="22">
        <v>157</v>
      </c>
      <c r="BC167" s="22">
        <v>0.68984999999999996</v>
      </c>
      <c r="BD167">
        <f t="shared" si="34"/>
        <v>16.396666666666665</v>
      </c>
      <c r="BE167">
        <f t="shared" si="35"/>
        <v>11.323751156666665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6.6205400000000001</v>
      </c>
      <c r="I168" s="22">
        <v>-1.28326E-2</v>
      </c>
      <c r="J168" s="22">
        <v>158</v>
      </c>
      <c r="K168" s="22">
        <v>0.97320600000000002</v>
      </c>
      <c r="L168">
        <f t="shared" si="24"/>
        <v>15.842716049382712</v>
      </c>
      <c r="M168">
        <f t="shared" si="25"/>
        <v>15.437554429135799</v>
      </c>
      <c r="N168" s="9"/>
      <c r="O168" s="22">
        <v>0.69564800000000004</v>
      </c>
      <c r="P168" s="22">
        <v>10.379300000000001</v>
      </c>
      <c r="Q168" s="22">
        <v>-1.3205E-2</v>
      </c>
      <c r="R168" s="22">
        <v>158</v>
      </c>
      <c r="S168" s="22">
        <v>0.69479400000000002</v>
      </c>
      <c r="T168">
        <f t="shared" si="26"/>
        <v>16.302469135802468</v>
      </c>
      <c r="U168">
        <f t="shared" si="27"/>
        <v>11.340780049382715</v>
      </c>
      <c r="X168" s="9"/>
      <c r="Y168" s="22">
        <v>0.97442600000000001</v>
      </c>
      <c r="Z168" s="22">
        <v>15.8477</v>
      </c>
      <c r="AA168" s="22">
        <v>-1.2985200000000001E-2</v>
      </c>
      <c r="AB168" s="22">
        <v>158</v>
      </c>
      <c r="AC168" s="22">
        <v>0.97351100000000002</v>
      </c>
      <c r="AD168">
        <f t="shared" si="28"/>
        <v>16.031111111111109</v>
      </c>
      <c r="AE168">
        <f t="shared" si="29"/>
        <v>15.621131475555554</v>
      </c>
      <c r="AF168" s="9"/>
      <c r="AG168" s="22">
        <v>0.69564800000000004</v>
      </c>
      <c r="AH168" s="22">
        <v>19.6065</v>
      </c>
      <c r="AI168" s="22">
        <v>-1.32385E-2</v>
      </c>
      <c r="AJ168" s="22">
        <v>158</v>
      </c>
      <c r="AK168" s="22">
        <v>0.694855</v>
      </c>
      <c r="AL168">
        <f t="shared" si="30"/>
        <v>16.343827160493824</v>
      </c>
      <c r="AM168">
        <f t="shared" si="31"/>
        <v>11.369550676543208</v>
      </c>
      <c r="AP168" s="9"/>
      <c r="AQ168" s="22">
        <v>0.97442600000000001</v>
      </c>
      <c r="AR168" s="22">
        <v>25.024000000000001</v>
      </c>
      <c r="AS168" s="22">
        <v>-1.29547E-2</v>
      </c>
      <c r="AT168" s="22">
        <v>158</v>
      </c>
      <c r="AU168" s="22">
        <v>0.97320600000000002</v>
      </c>
      <c r="AV168">
        <f t="shared" si="32"/>
        <v>15.993456790123457</v>
      </c>
      <c r="AW168">
        <f t="shared" si="33"/>
        <v>15.58444012617284</v>
      </c>
      <c r="AX168" s="9"/>
      <c r="AY168" s="22">
        <v>0.69564800000000004</v>
      </c>
      <c r="AZ168" s="22">
        <v>28.782699999999998</v>
      </c>
      <c r="BA168" s="22">
        <v>-1.3290400000000001E-2</v>
      </c>
      <c r="BB168" s="22">
        <v>158</v>
      </c>
      <c r="BC168" s="22">
        <v>0.694824</v>
      </c>
      <c r="BD168">
        <f t="shared" si="34"/>
        <v>16.407901234567902</v>
      </c>
      <c r="BE168">
        <f t="shared" si="35"/>
        <v>11.414123678024692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6.6306099999999999</v>
      </c>
      <c r="I169" s="22">
        <v>-1.28387E-2</v>
      </c>
      <c r="J169" s="22">
        <v>159</v>
      </c>
      <c r="K169" s="22">
        <v>0.96801800000000005</v>
      </c>
      <c r="L169">
        <f t="shared" si="24"/>
        <v>15.850246913580245</v>
      </c>
      <c r="M169">
        <f t="shared" si="25"/>
        <v>15.365086705802467</v>
      </c>
      <c r="N169" s="9"/>
      <c r="O169" s="22">
        <v>0.70068399999999997</v>
      </c>
      <c r="P169" s="22">
        <v>10.3894</v>
      </c>
      <c r="Q169" s="22">
        <v>-1.3205E-2</v>
      </c>
      <c r="R169" s="22">
        <v>159</v>
      </c>
      <c r="S169" s="22">
        <v>0.69992100000000002</v>
      </c>
      <c r="T169">
        <f t="shared" si="26"/>
        <v>16.302469135802468</v>
      </c>
      <c r="U169">
        <f t="shared" si="27"/>
        <v>11.422879283950616</v>
      </c>
      <c r="X169" s="9"/>
      <c r="Y169" s="22">
        <v>0.969391</v>
      </c>
      <c r="Z169" s="22">
        <v>15.857799999999999</v>
      </c>
      <c r="AA169" s="22">
        <v>-1.2991300000000001E-2</v>
      </c>
      <c r="AB169" s="22">
        <v>159</v>
      </c>
      <c r="AC169" s="22">
        <v>0.96832300000000004</v>
      </c>
      <c r="AD169">
        <f t="shared" si="28"/>
        <v>16.038641975308643</v>
      </c>
      <c r="AE169">
        <f t="shared" si="29"/>
        <v>15.547715183086421</v>
      </c>
      <c r="AF169" s="9"/>
      <c r="AG169" s="22">
        <v>0.70068399999999997</v>
      </c>
      <c r="AH169" s="22">
        <v>19.616599999999998</v>
      </c>
      <c r="AI169" s="22">
        <v>-1.3241599999999999E-2</v>
      </c>
      <c r="AJ169" s="22">
        <v>159</v>
      </c>
      <c r="AK169" s="22">
        <v>0.69989000000000001</v>
      </c>
      <c r="AL169">
        <f t="shared" si="30"/>
        <v>16.347654320987651</v>
      </c>
      <c r="AM169">
        <f t="shared" si="31"/>
        <v>11.454539820246911</v>
      </c>
      <c r="AP169" s="9"/>
      <c r="AQ169" s="22">
        <v>0.969391</v>
      </c>
      <c r="AR169" s="22">
        <v>25.033999999999999</v>
      </c>
      <c r="AS169" s="22">
        <v>-1.29578E-2</v>
      </c>
      <c r="AT169" s="22">
        <v>159</v>
      </c>
      <c r="AU169" s="22">
        <v>0.96801800000000005</v>
      </c>
      <c r="AV169">
        <f t="shared" si="32"/>
        <v>15.997283950617284</v>
      </c>
      <c r="AW169">
        <f t="shared" si="33"/>
        <v>15.50762308617284</v>
      </c>
      <c r="AX169" s="9"/>
      <c r="AY169" s="22">
        <v>0.70068399999999997</v>
      </c>
      <c r="AZ169" s="22">
        <v>28.7928</v>
      </c>
      <c r="BA169" s="22">
        <v>-1.3296499999999999E-2</v>
      </c>
      <c r="BB169" s="22">
        <v>159</v>
      </c>
      <c r="BC169" s="22">
        <v>0.69995099999999999</v>
      </c>
      <c r="BD169">
        <f t="shared" si="34"/>
        <v>16.415432098765429</v>
      </c>
      <c r="BE169">
        <f t="shared" si="35"/>
        <v>11.502030624691356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6.6406799999999997</v>
      </c>
      <c r="I170" s="22">
        <v>-1.28448E-2</v>
      </c>
      <c r="J170" s="22">
        <v>160</v>
      </c>
      <c r="K170" s="22">
        <v>0.96313499999999996</v>
      </c>
      <c r="L170">
        <f t="shared" si="24"/>
        <v>15.857777777777777</v>
      </c>
      <c r="M170">
        <f t="shared" si="25"/>
        <v>15.292527288888888</v>
      </c>
      <c r="N170" s="9"/>
      <c r="O170" s="22">
        <v>0.70571899999999999</v>
      </c>
      <c r="P170" s="22">
        <v>10.3994</v>
      </c>
      <c r="Q170" s="22">
        <v>-1.31989E-2</v>
      </c>
      <c r="R170" s="22">
        <v>160</v>
      </c>
      <c r="S170" s="22">
        <v>0.705017</v>
      </c>
      <c r="T170">
        <f t="shared" si="26"/>
        <v>16.294938271604938</v>
      </c>
      <c r="U170">
        <f t="shared" si="27"/>
        <v>11.499647542098765</v>
      </c>
      <c r="X170" s="9"/>
      <c r="Y170" s="22">
        <v>0.96435499999999996</v>
      </c>
      <c r="Z170" s="22">
        <v>15.867900000000001</v>
      </c>
      <c r="AA170" s="22">
        <v>-1.29944E-2</v>
      </c>
      <c r="AB170" s="22">
        <v>160</v>
      </c>
      <c r="AC170" s="22">
        <v>0.96282999999999996</v>
      </c>
      <c r="AD170">
        <f t="shared" si="28"/>
        <v>16.042469135802467</v>
      </c>
      <c r="AE170">
        <f t="shared" si="29"/>
        <v>15.470635323456786</v>
      </c>
      <c r="AF170" s="9"/>
      <c r="AG170" s="22">
        <v>0.70571899999999999</v>
      </c>
      <c r="AH170" s="22">
        <v>19.6267</v>
      </c>
      <c r="AI170" s="22">
        <v>-1.3241599999999999E-2</v>
      </c>
      <c r="AJ170" s="22">
        <v>160</v>
      </c>
      <c r="AK170" s="22">
        <v>0.70504800000000001</v>
      </c>
      <c r="AL170">
        <f t="shared" si="30"/>
        <v>16.347654320987651</v>
      </c>
      <c r="AM170">
        <f t="shared" si="31"/>
        <v>11.536850259753084</v>
      </c>
      <c r="AP170" s="9"/>
      <c r="AQ170" s="22">
        <v>0.96435499999999996</v>
      </c>
      <c r="AR170" s="22">
        <v>25.0441</v>
      </c>
      <c r="AS170" s="22">
        <v>-1.29547E-2</v>
      </c>
      <c r="AT170" s="22">
        <v>160</v>
      </c>
      <c r="AU170" s="22">
        <v>0.96343999999999996</v>
      </c>
      <c r="AV170">
        <f t="shared" si="32"/>
        <v>15.993456790123457</v>
      </c>
      <c r="AW170">
        <f t="shared" si="33"/>
        <v>15.423370022839505</v>
      </c>
      <c r="AX170" s="9"/>
      <c r="AY170" s="22">
        <v>0.70571899999999999</v>
      </c>
      <c r="AZ170" s="22">
        <v>28.802900000000001</v>
      </c>
      <c r="BA170" s="22">
        <v>-1.3290400000000001E-2</v>
      </c>
      <c r="BB170" s="22">
        <v>160</v>
      </c>
      <c r="BC170" s="22">
        <v>0.70498700000000003</v>
      </c>
      <c r="BD170">
        <f t="shared" si="34"/>
        <v>16.407901234567902</v>
      </c>
      <c r="BE170">
        <f t="shared" si="35"/>
        <v>11.579367651358025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6.6507500000000004</v>
      </c>
      <c r="I171" s="22">
        <v>-1.2851E-2</v>
      </c>
      <c r="J171" s="22">
        <v>161</v>
      </c>
      <c r="K171" s="22">
        <v>0.95855699999999999</v>
      </c>
      <c r="L171">
        <f t="shared" si="24"/>
        <v>15.865432098765432</v>
      </c>
      <c r="M171">
        <f t="shared" si="25"/>
        <v>15.220026320987653</v>
      </c>
      <c r="N171" s="9"/>
      <c r="O171" s="22">
        <v>0.710754</v>
      </c>
      <c r="P171" s="22">
        <v>10.4095</v>
      </c>
      <c r="Q171" s="22">
        <v>-1.3195800000000001E-2</v>
      </c>
      <c r="R171" s="22">
        <v>161</v>
      </c>
      <c r="S171" s="22">
        <v>0.70999100000000004</v>
      </c>
      <c r="T171">
        <f t="shared" si="26"/>
        <v>16.29111111111111</v>
      </c>
      <c r="U171">
        <f t="shared" si="27"/>
        <v>11.578972386666667</v>
      </c>
      <c r="X171" s="9"/>
      <c r="Y171" s="22">
        <v>0.95931999999999995</v>
      </c>
      <c r="Z171" s="22">
        <v>15.878</v>
      </c>
      <c r="AA171" s="22">
        <v>-1.2988299999999999E-2</v>
      </c>
      <c r="AB171" s="22">
        <v>161</v>
      </c>
      <c r="AC171" s="22">
        <v>0.95764199999999999</v>
      </c>
      <c r="AD171">
        <f t="shared" si="28"/>
        <v>16.034938271604936</v>
      </c>
      <c r="AE171">
        <f t="shared" si="29"/>
        <v>15.382636982716047</v>
      </c>
      <c r="AF171" s="9"/>
      <c r="AG171" s="22">
        <v>0.710754</v>
      </c>
      <c r="AH171" s="22">
        <v>19.636700000000001</v>
      </c>
      <c r="AI171" s="22">
        <v>-1.32324E-2</v>
      </c>
      <c r="AJ171" s="22">
        <v>161</v>
      </c>
      <c r="AK171" s="22">
        <v>0.70992999999999995</v>
      </c>
      <c r="AL171">
        <f t="shared" si="30"/>
        <v>16.336296296296297</v>
      </c>
      <c r="AM171">
        <f t="shared" si="31"/>
        <v>11.611087937777778</v>
      </c>
      <c r="AP171" s="9"/>
      <c r="AQ171" s="22">
        <v>0.95931999999999995</v>
      </c>
      <c r="AR171" s="22">
        <v>25.054200000000002</v>
      </c>
      <c r="AS171" s="22">
        <v>-1.29547E-2</v>
      </c>
      <c r="AT171" s="22">
        <v>161</v>
      </c>
      <c r="AU171" s="22">
        <v>0.95855699999999999</v>
      </c>
      <c r="AV171">
        <f t="shared" si="32"/>
        <v>15.993456790123457</v>
      </c>
      <c r="AW171">
        <f t="shared" si="33"/>
        <v>15.342842967901234</v>
      </c>
      <c r="AX171" s="9"/>
      <c r="AY171" s="22">
        <v>0.710754</v>
      </c>
      <c r="AZ171" s="22">
        <v>28.812999999999999</v>
      </c>
      <c r="BA171" s="22">
        <v>-1.3290400000000001E-2</v>
      </c>
      <c r="BB171" s="22">
        <v>161</v>
      </c>
      <c r="BC171" s="22">
        <v>0.70996099999999995</v>
      </c>
      <c r="BD171">
        <f t="shared" si="34"/>
        <v>16.407901234567902</v>
      </c>
      <c r="BE171">
        <f t="shared" si="35"/>
        <v>11.661981434074075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6.6608200000000002</v>
      </c>
      <c r="I172" s="22">
        <v>-1.28571E-2</v>
      </c>
      <c r="J172" s="22">
        <v>162</v>
      </c>
      <c r="K172" s="22">
        <v>0.95275900000000002</v>
      </c>
      <c r="L172">
        <f t="shared" si="24"/>
        <v>15.87296296296296</v>
      </c>
      <c r="M172">
        <f t="shared" si="25"/>
        <v>15.147330461111109</v>
      </c>
      <c r="N172" s="9"/>
      <c r="O172" s="22">
        <v>0.71579000000000004</v>
      </c>
      <c r="P172" s="22">
        <v>10.419600000000001</v>
      </c>
      <c r="Q172" s="22">
        <v>-1.31897E-2</v>
      </c>
      <c r="R172" s="22">
        <v>162</v>
      </c>
      <c r="S172" s="22">
        <v>0.71496599999999999</v>
      </c>
      <c r="T172">
        <f t="shared" si="26"/>
        <v>16.28358024691358</v>
      </c>
      <c r="U172">
        <f t="shared" si="27"/>
        <v>11.655623904938272</v>
      </c>
      <c r="X172" s="9"/>
      <c r="Y172" s="22">
        <v>0.95428500000000005</v>
      </c>
      <c r="Z172" s="22">
        <v>15.888</v>
      </c>
      <c r="AA172" s="22">
        <v>-1.2991300000000001E-2</v>
      </c>
      <c r="AB172" s="22">
        <v>162</v>
      </c>
      <c r="AC172" s="22">
        <v>0.95306400000000002</v>
      </c>
      <c r="AD172">
        <f t="shared" si="28"/>
        <v>16.038641975308643</v>
      </c>
      <c r="AE172">
        <f t="shared" si="29"/>
        <v>15.305435457407409</v>
      </c>
      <c r="AF172" s="9"/>
      <c r="AG172" s="22">
        <v>0.71579000000000004</v>
      </c>
      <c r="AH172" s="22">
        <v>19.646799999999999</v>
      </c>
      <c r="AI172" s="22">
        <v>-1.32233E-2</v>
      </c>
      <c r="AJ172" s="22">
        <v>162</v>
      </c>
      <c r="AK172" s="22">
        <v>0.71505700000000005</v>
      </c>
      <c r="AL172">
        <f t="shared" si="30"/>
        <v>16.32506172839506</v>
      </c>
      <c r="AM172">
        <f t="shared" si="31"/>
        <v>11.6853159345679</v>
      </c>
      <c r="AP172" s="9"/>
      <c r="AQ172" s="22">
        <v>0.95428500000000005</v>
      </c>
      <c r="AR172" s="22">
        <v>25.064299999999999</v>
      </c>
      <c r="AS172" s="22">
        <v>-1.29639E-2</v>
      </c>
      <c r="AT172" s="22">
        <v>162</v>
      </c>
      <c r="AU172" s="22">
        <v>0.95275900000000002</v>
      </c>
      <c r="AV172">
        <f t="shared" si="32"/>
        <v>16.004814814814814</v>
      </c>
      <c r="AW172">
        <f t="shared" si="33"/>
        <v>15.273154705555555</v>
      </c>
      <c r="AX172" s="9"/>
      <c r="AY172" s="22">
        <v>0.71579000000000004</v>
      </c>
      <c r="AZ172" s="22">
        <v>28.823</v>
      </c>
      <c r="BA172" s="22">
        <v>-1.32874E-2</v>
      </c>
      <c r="BB172" s="22">
        <v>162</v>
      </c>
      <c r="BC172" s="22">
        <v>0.71502699999999997</v>
      </c>
      <c r="BD172">
        <f t="shared" si="34"/>
        <v>16.404197530864195</v>
      </c>
      <c r="BE172">
        <f t="shared" si="35"/>
        <v>11.741960550617282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6.67089</v>
      </c>
      <c r="I173" s="22">
        <v>-1.28662E-2</v>
      </c>
      <c r="J173" s="22">
        <v>163</v>
      </c>
      <c r="K173" s="22">
        <v>0.94848600000000005</v>
      </c>
      <c r="L173">
        <f t="shared" si="24"/>
        <v>15.884197530864196</v>
      </c>
      <c r="M173">
        <f t="shared" si="25"/>
        <v>15.078058621975307</v>
      </c>
      <c r="N173" s="9"/>
      <c r="O173" s="22">
        <v>0.72082500000000005</v>
      </c>
      <c r="P173" s="22">
        <v>10.4297</v>
      </c>
      <c r="Q173" s="22">
        <v>-1.31897E-2</v>
      </c>
      <c r="R173" s="22">
        <v>163</v>
      </c>
      <c r="S173" s="22">
        <v>0.72006199999999998</v>
      </c>
      <c r="T173">
        <f t="shared" si="26"/>
        <v>16.28358024691358</v>
      </c>
      <c r="U173">
        <f t="shared" si="27"/>
        <v>11.737611731481483</v>
      </c>
      <c r="X173" s="9"/>
      <c r="Y173" s="22">
        <v>0.94924900000000001</v>
      </c>
      <c r="Z173" s="22">
        <v>15.898099999999999</v>
      </c>
      <c r="AA173" s="22">
        <v>-1.3003499999999999E-2</v>
      </c>
      <c r="AB173" s="22">
        <v>163</v>
      </c>
      <c r="AC173" s="22">
        <v>0.94818100000000005</v>
      </c>
      <c r="AD173">
        <f t="shared" si="28"/>
        <v>16.0537037037037</v>
      </c>
      <c r="AE173">
        <f t="shared" si="29"/>
        <v>15.238962187037034</v>
      </c>
      <c r="AF173" s="9"/>
      <c r="AG173" s="22">
        <v>0.72082500000000005</v>
      </c>
      <c r="AH173" s="22">
        <v>19.6569</v>
      </c>
      <c r="AI173" s="22">
        <v>-1.3214099999999999E-2</v>
      </c>
      <c r="AJ173" s="22">
        <v>163</v>
      </c>
      <c r="AK173" s="22">
        <v>0.720001</v>
      </c>
      <c r="AL173">
        <f t="shared" si="30"/>
        <v>16.313703703703702</v>
      </c>
      <c r="AM173">
        <f t="shared" si="31"/>
        <v>11.759325472222221</v>
      </c>
      <c r="AP173" s="9"/>
      <c r="AQ173" s="22">
        <v>0.94924900000000001</v>
      </c>
      <c r="AR173" s="22">
        <v>25.074300000000001</v>
      </c>
      <c r="AS173" s="22">
        <v>-1.29791E-2</v>
      </c>
      <c r="AT173" s="22">
        <v>163</v>
      </c>
      <c r="AU173" s="22">
        <v>0.94818100000000005</v>
      </c>
      <c r="AV173">
        <f t="shared" si="32"/>
        <v>16.023580246913578</v>
      </c>
      <c r="AW173">
        <f t="shared" si="33"/>
        <v>15.210367525802468</v>
      </c>
      <c r="AX173" s="9"/>
      <c r="AY173" s="22">
        <v>0.72082500000000005</v>
      </c>
      <c r="AZ173" s="22">
        <v>28.833100000000002</v>
      </c>
      <c r="BA173" s="22">
        <v>-1.32782E-2</v>
      </c>
      <c r="BB173" s="22">
        <v>163</v>
      </c>
      <c r="BC173" s="22">
        <v>0.720001</v>
      </c>
      <c r="BD173">
        <f t="shared" si="34"/>
        <v>16.392839506172837</v>
      </c>
      <c r="BE173">
        <f t="shared" si="35"/>
        <v>11.816368537037036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6.6809599999999998</v>
      </c>
      <c r="I174" s="22">
        <v>-1.28723E-2</v>
      </c>
      <c r="J174" s="22">
        <v>164</v>
      </c>
      <c r="K174" s="22">
        <v>0.94329799999999997</v>
      </c>
      <c r="L174">
        <f t="shared" si="24"/>
        <v>15.891728395061728</v>
      </c>
      <c r="M174">
        <f t="shared" si="25"/>
        <v>15.005192434814814</v>
      </c>
      <c r="N174" s="9"/>
      <c r="O174" s="22">
        <v>0.72586099999999998</v>
      </c>
      <c r="P174" s="22">
        <v>10.4397</v>
      </c>
      <c r="Q174" s="22">
        <v>-1.31897E-2</v>
      </c>
      <c r="R174" s="22">
        <v>164</v>
      </c>
      <c r="S174" s="22">
        <v>0.72500600000000004</v>
      </c>
      <c r="T174">
        <f t="shared" si="26"/>
        <v>16.28358024691358</v>
      </c>
      <c r="U174">
        <f t="shared" si="27"/>
        <v>11.819615841604938</v>
      </c>
      <c r="X174" s="9"/>
      <c r="Y174" s="22">
        <v>0.944214</v>
      </c>
      <c r="Z174" s="22">
        <v>15.908200000000001</v>
      </c>
      <c r="AA174" s="22">
        <v>-1.30127E-2</v>
      </c>
      <c r="AB174" s="22">
        <v>164</v>
      </c>
      <c r="AC174" s="22">
        <v>0.94268799999999997</v>
      </c>
      <c r="AD174">
        <f t="shared" si="28"/>
        <v>16.065061728395062</v>
      </c>
      <c r="AE174">
        <f t="shared" si="29"/>
        <v>15.168856194814815</v>
      </c>
      <c r="AF174" s="9"/>
      <c r="AG174" s="22">
        <v>0.72586099999999998</v>
      </c>
      <c r="AH174" s="22">
        <v>19.666899999999998</v>
      </c>
      <c r="AI174" s="22">
        <v>-1.3205E-2</v>
      </c>
      <c r="AJ174" s="22">
        <v>164</v>
      </c>
      <c r="AK174" s="22">
        <v>0.72500600000000004</v>
      </c>
      <c r="AL174">
        <f t="shared" si="30"/>
        <v>16.302469135802468</v>
      </c>
      <c r="AM174">
        <f t="shared" si="31"/>
        <v>11.833326549382715</v>
      </c>
      <c r="AP174" s="9"/>
      <c r="AQ174" s="22">
        <v>0.944214</v>
      </c>
      <c r="AR174" s="22">
        <v>25.084399999999999</v>
      </c>
      <c r="AS174" s="22">
        <v>-1.29944E-2</v>
      </c>
      <c r="AT174" s="22">
        <v>164</v>
      </c>
      <c r="AU174" s="22">
        <v>0.94299299999999997</v>
      </c>
      <c r="AV174">
        <f t="shared" si="32"/>
        <v>16.042469135802467</v>
      </c>
      <c r="AW174">
        <f t="shared" si="33"/>
        <v>15.147523952592591</v>
      </c>
      <c r="AX174" s="9"/>
      <c r="AY174" s="22">
        <v>0.72586099999999998</v>
      </c>
      <c r="AZ174" s="22">
        <v>28.8432</v>
      </c>
      <c r="BA174" s="22">
        <v>-1.3266E-2</v>
      </c>
      <c r="BB174" s="22">
        <v>164</v>
      </c>
      <c r="BC174" s="22">
        <v>0.72509800000000002</v>
      </c>
      <c r="BD174">
        <f t="shared" si="34"/>
        <v>16.377777777777776</v>
      </c>
      <c r="BE174">
        <f t="shared" si="35"/>
        <v>11.887990155555554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6.6910299999999996</v>
      </c>
      <c r="I175" s="22">
        <v>-1.28845E-2</v>
      </c>
      <c r="J175" s="22">
        <v>165</v>
      </c>
      <c r="K175" s="22">
        <v>0.93811</v>
      </c>
      <c r="L175">
        <f t="shared" si="24"/>
        <v>15.906790123456791</v>
      </c>
      <c r="M175">
        <f t="shared" si="25"/>
        <v>14.939307334567902</v>
      </c>
      <c r="N175" s="9"/>
      <c r="O175" s="22">
        <v>0.73089599999999999</v>
      </c>
      <c r="P175" s="22">
        <v>10.4498</v>
      </c>
      <c r="Q175" s="22">
        <v>-1.31866E-2</v>
      </c>
      <c r="R175" s="22">
        <v>165</v>
      </c>
      <c r="S175" s="22">
        <v>0.73007200000000005</v>
      </c>
      <c r="T175">
        <f t="shared" si="26"/>
        <v>16.279753086419749</v>
      </c>
      <c r="U175">
        <f t="shared" si="27"/>
        <v>11.898806411851849</v>
      </c>
      <c r="X175" s="9"/>
      <c r="Y175" s="22">
        <v>0.93917799999999996</v>
      </c>
      <c r="Z175" s="22">
        <v>15.918200000000001</v>
      </c>
      <c r="AA175" s="22">
        <v>-1.3024900000000001E-2</v>
      </c>
      <c r="AB175" s="22">
        <v>165</v>
      </c>
      <c r="AC175" s="22">
        <v>0.93841600000000003</v>
      </c>
      <c r="AD175">
        <f t="shared" si="28"/>
        <v>16.080123456790126</v>
      </c>
      <c r="AE175">
        <f t="shared" si="29"/>
        <v>15.102098187901236</v>
      </c>
      <c r="AF175" s="9"/>
      <c r="AG175" s="22">
        <v>0.73089599999999999</v>
      </c>
      <c r="AH175" s="22">
        <v>19.677</v>
      </c>
      <c r="AI175" s="22">
        <v>-1.31866E-2</v>
      </c>
      <c r="AJ175" s="22">
        <v>165</v>
      </c>
      <c r="AK175" s="22">
        <v>0.73007200000000005</v>
      </c>
      <c r="AL175">
        <f t="shared" si="30"/>
        <v>16.279753086419749</v>
      </c>
      <c r="AM175">
        <f t="shared" si="31"/>
        <v>11.898806411851849</v>
      </c>
      <c r="AP175" s="9"/>
      <c r="AQ175" s="22">
        <v>0.93917799999999996</v>
      </c>
      <c r="AR175" s="22">
        <v>25.0945</v>
      </c>
      <c r="AS175" s="22">
        <v>-1.3003499999999999E-2</v>
      </c>
      <c r="AT175" s="22">
        <v>165</v>
      </c>
      <c r="AU175" s="22">
        <v>0.937805</v>
      </c>
      <c r="AV175">
        <f t="shared" si="32"/>
        <v>16.0537037037037</v>
      </c>
      <c r="AW175">
        <f t="shared" si="33"/>
        <v>15.077285337037033</v>
      </c>
      <c r="AX175" s="9"/>
      <c r="AY175" s="22">
        <v>0.73089599999999999</v>
      </c>
      <c r="AZ175" s="22">
        <v>28.853200000000001</v>
      </c>
      <c r="BA175" s="22">
        <v>-1.32538E-2</v>
      </c>
      <c r="BB175" s="22">
        <v>165</v>
      </c>
      <c r="BC175" s="22">
        <v>0.73010299999999995</v>
      </c>
      <c r="BD175">
        <f t="shared" si="34"/>
        <v>16.362716049382716</v>
      </c>
      <c r="BE175">
        <f t="shared" si="35"/>
        <v>11.959443709629628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6.7011099999999999</v>
      </c>
      <c r="I176" s="22">
        <v>-1.2893699999999999E-2</v>
      </c>
      <c r="J176" s="22">
        <v>166</v>
      </c>
      <c r="K176" s="22">
        <v>0.93353299999999995</v>
      </c>
      <c r="L176">
        <f t="shared" si="24"/>
        <v>15.918148148148147</v>
      </c>
      <c r="M176">
        <f t="shared" si="25"/>
        <v>14.869826665555554</v>
      </c>
      <c r="N176" s="9"/>
      <c r="O176" s="22">
        <v>0.735931</v>
      </c>
      <c r="P176" s="22">
        <v>10.459899999999999</v>
      </c>
      <c r="Q176" s="22">
        <v>-1.31836E-2</v>
      </c>
      <c r="R176" s="22">
        <v>166</v>
      </c>
      <c r="S176" s="22">
        <v>0.73510699999999995</v>
      </c>
      <c r="T176">
        <f t="shared" si="26"/>
        <v>16.276049382716046</v>
      </c>
      <c r="U176">
        <f t="shared" si="27"/>
        <v>11.978049298271602</v>
      </c>
      <c r="X176" s="9"/>
      <c r="Y176" s="22">
        <v>0.93414299999999995</v>
      </c>
      <c r="Z176" s="22">
        <v>15.9283</v>
      </c>
      <c r="AA176" s="22">
        <v>-1.3024900000000001E-2</v>
      </c>
      <c r="AB176" s="22">
        <v>166</v>
      </c>
      <c r="AC176" s="22">
        <v>0.93383799999999995</v>
      </c>
      <c r="AD176">
        <f t="shared" si="28"/>
        <v>16.080123456790126</v>
      </c>
      <c r="AE176">
        <f t="shared" si="29"/>
        <v>15.021134766296298</v>
      </c>
      <c r="AF176" s="9"/>
      <c r="AG176" s="22">
        <v>0.735931</v>
      </c>
      <c r="AH176" s="22">
        <v>19.687100000000001</v>
      </c>
      <c r="AI176" s="22">
        <v>-1.31805E-2</v>
      </c>
      <c r="AJ176" s="22">
        <v>166</v>
      </c>
      <c r="AK176" s="22">
        <v>0.73516800000000004</v>
      </c>
      <c r="AL176">
        <f t="shared" si="30"/>
        <v>16.272222222222219</v>
      </c>
      <c r="AM176">
        <f t="shared" si="31"/>
        <v>11.975232772222219</v>
      </c>
      <c r="AP176" s="9"/>
      <c r="AQ176" s="22">
        <v>0.93414299999999995</v>
      </c>
      <c r="AR176" s="22">
        <v>25.104500000000002</v>
      </c>
      <c r="AS176" s="22">
        <v>-1.30157E-2</v>
      </c>
      <c r="AT176" s="22">
        <v>166</v>
      </c>
      <c r="AU176" s="22">
        <v>0.93322799999999995</v>
      </c>
      <c r="AV176">
        <f t="shared" si="32"/>
        <v>16.068765432098765</v>
      </c>
      <c r="AW176">
        <f t="shared" si="33"/>
        <v>15.010524747037035</v>
      </c>
      <c r="AX176" s="9"/>
      <c r="AY176" s="22">
        <v>0.735931</v>
      </c>
      <c r="AZ176" s="22">
        <v>28.863299999999999</v>
      </c>
      <c r="BA176" s="22">
        <v>-1.3241599999999999E-2</v>
      </c>
      <c r="BB176" s="22">
        <v>166</v>
      </c>
      <c r="BC176" s="22">
        <v>0.73513799999999996</v>
      </c>
      <c r="BD176">
        <f t="shared" si="34"/>
        <v>16.347654320987651</v>
      </c>
      <c r="BE176">
        <f t="shared" si="35"/>
        <v>12.030745592098762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6.7111799999999997</v>
      </c>
      <c r="I177" s="22">
        <v>-1.2908899999999999E-2</v>
      </c>
      <c r="J177" s="22">
        <v>167</v>
      </c>
      <c r="K177" s="22">
        <v>0.92834499999999998</v>
      </c>
      <c r="L177">
        <f t="shared" si="24"/>
        <v>15.936913580246911</v>
      </c>
      <c r="M177">
        <f t="shared" si="25"/>
        <v>14.807113902716047</v>
      </c>
      <c r="N177" s="9"/>
      <c r="O177" s="22">
        <v>0.74096700000000004</v>
      </c>
      <c r="P177" s="22">
        <v>10.469900000000001</v>
      </c>
      <c r="Q177" s="22">
        <v>-1.31714E-2</v>
      </c>
      <c r="R177" s="22">
        <v>167</v>
      </c>
      <c r="S177" s="22">
        <v>0.74026499999999995</v>
      </c>
      <c r="T177">
        <f t="shared" si="26"/>
        <v>16.260987654320989</v>
      </c>
      <c r="U177">
        <f t="shared" si="27"/>
        <v>12.048855239259261</v>
      </c>
      <c r="X177" s="9"/>
      <c r="Y177" s="22">
        <v>0.92910800000000004</v>
      </c>
      <c r="Z177" s="22">
        <v>15.9384</v>
      </c>
      <c r="AA177" s="22">
        <v>-1.3030999999999999E-2</v>
      </c>
      <c r="AB177" s="22">
        <v>167</v>
      </c>
      <c r="AC177" s="22">
        <v>0.92803999999999998</v>
      </c>
      <c r="AD177">
        <f t="shared" si="28"/>
        <v>16.087654320987653</v>
      </c>
      <c r="AE177">
        <f t="shared" si="29"/>
        <v>14.947168330864198</v>
      </c>
      <c r="AF177" s="9"/>
      <c r="AG177" s="22">
        <v>0.74096700000000004</v>
      </c>
      <c r="AH177" s="22">
        <v>19.697099999999999</v>
      </c>
      <c r="AI177" s="22">
        <v>-1.31653E-2</v>
      </c>
      <c r="AJ177" s="22">
        <v>167</v>
      </c>
      <c r="AK177" s="22">
        <v>0.740143</v>
      </c>
      <c r="AL177">
        <f t="shared" si="30"/>
        <v>16.253456790123455</v>
      </c>
      <c r="AM177">
        <f t="shared" si="31"/>
        <v>12.043275117407406</v>
      </c>
      <c r="AP177" s="9"/>
      <c r="AQ177" s="22">
        <v>0.92910800000000004</v>
      </c>
      <c r="AR177" s="22">
        <v>25.114599999999999</v>
      </c>
      <c r="AS177" s="22">
        <v>-1.3021899999999999E-2</v>
      </c>
      <c r="AT177" s="22">
        <v>167</v>
      </c>
      <c r="AU177" s="22">
        <v>0.92834499999999998</v>
      </c>
      <c r="AV177">
        <f t="shared" si="32"/>
        <v>16.076419753086416</v>
      </c>
      <c r="AW177">
        <f t="shared" si="33"/>
        <v>14.936730203950614</v>
      </c>
      <c r="AX177" s="9"/>
      <c r="AY177" s="22">
        <v>0.74096700000000004</v>
      </c>
      <c r="AZ177" s="22">
        <v>28.8734</v>
      </c>
      <c r="BA177" s="22">
        <v>-1.32385E-2</v>
      </c>
      <c r="BB177" s="22">
        <v>167</v>
      </c>
      <c r="BC177" s="22">
        <v>0.74020399999999997</v>
      </c>
      <c r="BD177">
        <f t="shared" si="34"/>
        <v>16.343827160493824</v>
      </c>
      <c r="BE177">
        <f t="shared" si="35"/>
        <v>12.110236579629628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6.7212500000000004</v>
      </c>
      <c r="I178" s="22">
        <v>-1.2914999999999999E-2</v>
      </c>
      <c r="J178" s="22">
        <v>168</v>
      </c>
      <c r="K178" s="22">
        <v>0.92315700000000001</v>
      </c>
      <c r="L178">
        <f t="shared" si="24"/>
        <v>15.944444444444441</v>
      </c>
      <c r="M178">
        <f t="shared" si="25"/>
        <v>14.733814666666664</v>
      </c>
      <c r="N178" s="9"/>
      <c r="O178" s="22">
        <v>0.74600200000000005</v>
      </c>
      <c r="P178" s="22">
        <v>10.48</v>
      </c>
      <c r="Q178" s="22">
        <v>-1.3168300000000001E-2</v>
      </c>
      <c r="R178" s="22">
        <v>168</v>
      </c>
      <c r="S178" s="22">
        <v>0.74520900000000001</v>
      </c>
      <c r="T178">
        <f t="shared" si="26"/>
        <v>16.257160493827158</v>
      </c>
      <c r="U178">
        <f t="shared" si="27"/>
        <v>12.127874242716048</v>
      </c>
      <c r="X178" s="9"/>
      <c r="Y178" s="22">
        <v>0.924072</v>
      </c>
      <c r="Z178" s="22">
        <v>15.948499999999999</v>
      </c>
      <c r="AA178" s="22">
        <v>-1.30341E-2</v>
      </c>
      <c r="AB178" s="22">
        <v>168</v>
      </c>
      <c r="AC178" s="22">
        <v>0.92315700000000001</v>
      </c>
      <c r="AD178">
        <f t="shared" si="28"/>
        <v>16.09148148148148</v>
      </c>
      <c r="AE178">
        <f t="shared" si="29"/>
        <v>14.869687475555555</v>
      </c>
      <c r="AF178" s="9"/>
      <c r="AG178" s="22">
        <v>0.74600200000000005</v>
      </c>
      <c r="AH178" s="22">
        <v>19.7072</v>
      </c>
      <c r="AI178" s="22">
        <v>-1.31561E-2</v>
      </c>
      <c r="AJ178" s="22">
        <v>168</v>
      </c>
      <c r="AK178" s="22">
        <v>0.74526999999999999</v>
      </c>
      <c r="AL178">
        <f t="shared" si="30"/>
        <v>16.2420987654321</v>
      </c>
      <c r="AM178">
        <f t="shared" si="31"/>
        <v>12.116638163209879</v>
      </c>
      <c r="AP178" s="9"/>
      <c r="AQ178" s="22">
        <v>0.924072</v>
      </c>
      <c r="AR178" s="22">
        <v>25.124700000000001</v>
      </c>
      <c r="AS178" s="22">
        <v>-1.3028E-2</v>
      </c>
      <c r="AT178" s="22">
        <v>168</v>
      </c>
      <c r="AU178" s="22">
        <v>0.92285200000000001</v>
      </c>
      <c r="AV178">
        <f t="shared" si="32"/>
        <v>16.08395061728395</v>
      </c>
      <c r="AW178">
        <f t="shared" si="33"/>
        <v>14.862728414814814</v>
      </c>
      <c r="AX178" s="9"/>
      <c r="AY178" s="22">
        <v>0.74600200000000005</v>
      </c>
      <c r="AZ178" s="22">
        <v>28.883400000000002</v>
      </c>
      <c r="BA178" s="22">
        <v>-1.32385E-2</v>
      </c>
      <c r="BB178" s="22">
        <v>168</v>
      </c>
      <c r="BC178" s="22">
        <v>0.74520900000000001</v>
      </c>
      <c r="BD178">
        <f t="shared" si="34"/>
        <v>16.343827160493824</v>
      </c>
      <c r="BE178">
        <f t="shared" si="35"/>
        <v>12.192527749382714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6.7313200000000002</v>
      </c>
      <c r="I179" s="22">
        <v>-1.29181E-2</v>
      </c>
      <c r="J179" s="22">
        <v>169</v>
      </c>
      <c r="K179" s="22">
        <v>0.91796900000000003</v>
      </c>
      <c r="L179">
        <f t="shared" si="24"/>
        <v>15.94827160493827</v>
      </c>
      <c r="M179">
        <f t="shared" si="25"/>
        <v>14.657051690987654</v>
      </c>
      <c r="N179" s="9"/>
      <c r="O179" s="22">
        <v>0.75103799999999998</v>
      </c>
      <c r="P179" s="22">
        <v>10.4901</v>
      </c>
      <c r="Q179" s="22">
        <v>-1.3159199999999999E-2</v>
      </c>
      <c r="R179" s="22">
        <v>169</v>
      </c>
      <c r="S179" s="22">
        <v>0.75021400000000005</v>
      </c>
      <c r="T179">
        <f t="shared" si="26"/>
        <v>16.245925925925924</v>
      </c>
      <c r="U179">
        <f t="shared" si="27"/>
        <v>12.201307715555554</v>
      </c>
      <c r="X179" s="9"/>
      <c r="Y179" s="22">
        <v>0.91903699999999999</v>
      </c>
      <c r="Z179" s="22">
        <v>15.958500000000001</v>
      </c>
      <c r="AA179" s="22">
        <v>-1.30432E-2</v>
      </c>
      <c r="AB179" s="22">
        <v>169</v>
      </c>
      <c r="AC179" s="22">
        <v>0.91796900000000003</v>
      </c>
      <c r="AD179">
        <f t="shared" si="28"/>
        <v>16.102716049382714</v>
      </c>
      <c r="AE179">
        <f t="shared" si="29"/>
        <v>14.798991849876542</v>
      </c>
      <c r="AF179" s="9"/>
      <c r="AG179" s="22">
        <v>0.75103799999999998</v>
      </c>
      <c r="AH179" s="22">
        <v>19.717300000000002</v>
      </c>
      <c r="AI179" s="22">
        <v>-1.315E-2</v>
      </c>
      <c r="AJ179" s="22">
        <v>169</v>
      </c>
      <c r="AK179" s="22">
        <v>0.75018300000000004</v>
      </c>
      <c r="AL179">
        <f t="shared" si="30"/>
        <v>16.234567901234566</v>
      </c>
      <c r="AM179">
        <f t="shared" si="31"/>
        <v>12.192777407407405</v>
      </c>
      <c r="AP179" s="9"/>
      <c r="AQ179" s="22">
        <v>0.91903699999999999</v>
      </c>
      <c r="AR179" s="22">
        <v>25.134799999999998</v>
      </c>
      <c r="AS179" s="22">
        <v>-1.3037099999999999E-2</v>
      </c>
      <c r="AT179" s="22">
        <v>169</v>
      </c>
      <c r="AU179" s="22">
        <v>0.91827400000000003</v>
      </c>
      <c r="AV179">
        <f t="shared" si="32"/>
        <v>16.095185185185183</v>
      </c>
      <c r="AW179">
        <f t="shared" si="33"/>
        <v>14.792070707037036</v>
      </c>
      <c r="AX179" s="9"/>
      <c r="AY179" s="22">
        <v>0.75103799999999998</v>
      </c>
      <c r="AZ179" s="22">
        <v>28.8935</v>
      </c>
      <c r="BA179" s="22">
        <v>-1.32263E-2</v>
      </c>
      <c r="BB179" s="22">
        <v>169</v>
      </c>
      <c r="BC179" s="22">
        <v>0.75024400000000002</v>
      </c>
      <c r="BD179">
        <f t="shared" si="34"/>
        <v>16.328765432098766</v>
      </c>
      <c r="BE179">
        <f t="shared" si="35"/>
        <v>12.263523332592593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6.74139</v>
      </c>
      <c r="I180" s="22">
        <v>-1.29181E-2</v>
      </c>
      <c r="J180" s="22">
        <v>170</v>
      </c>
      <c r="K180" s="22">
        <v>0.91278099999999995</v>
      </c>
      <c r="L180">
        <f t="shared" si="24"/>
        <v>15.94827160493827</v>
      </c>
      <c r="M180">
        <f t="shared" si="25"/>
        <v>14.576736195185184</v>
      </c>
      <c r="N180" s="9"/>
      <c r="O180" s="22">
        <v>0.756073</v>
      </c>
      <c r="P180" s="22">
        <v>10.5002</v>
      </c>
      <c r="Q180" s="22">
        <v>-1.315E-2</v>
      </c>
      <c r="R180" s="22">
        <v>170</v>
      </c>
      <c r="S180" s="22">
        <v>0.75500500000000004</v>
      </c>
      <c r="T180">
        <f t="shared" si="26"/>
        <v>16.234567901234566</v>
      </c>
      <c r="U180">
        <f t="shared" si="27"/>
        <v>12.274518456790123</v>
      </c>
      <c r="X180" s="9"/>
      <c r="Y180" s="22">
        <v>0.91400099999999995</v>
      </c>
      <c r="Z180" s="22">
        <v>15.9686</v>
      </c>
      <c r="AA180" s="22">
        <v>-1.30493E-2</v>
      </c>
      <c r="AB180" s="22">
        <v>170</v>
      </c>
      <c r="AC180" s="22">
        <v>0.91308599999999995</v>
      </c>
      <c r="AD180">
        <f t="shared" si="28"/>
        <v>16.110246913580244</v>
      </c>
      <c r="AE180">
        <f t="shared" si="29"/>
        <v>14.724781789259255</v>
      </c>
      <c r="AF180" s="9"/>
      <c r="AG180" s="22">
        <v>0.756073</v>
      </c>
      <c r="AH180" s="22">
        <v>19.727399999999999</v>
      </c>
      <c r="AI180" s="22">
        <v>-1.3147000000000001E-2</v>
      </c>
      <c r="AJ180" s="22">
        <v>170</v>
      </c>
      <c r="AK180" s="22">
        <v>0.75531000000000004</v>
      </c>
      <c r="AL180">
        <f t="shared" si="30"/>
        <v>16.230864197530863</v>
      </c>
      <c r="AM180">
        <f t="shared" si="31"/>
        <v>12.271718186419752</v>
      </c>
      <c r="AP180" s="9"/>
      <c r="AQ180" s="22">
        <v>0.91400099999999995</v>
      </c>
      <c r="AR180" s="22">
        <v>25.1448</v>
      </c>
      <c r="AS180" s="22">
        <v>-1.30463E-2</v>
      </c>
      <c r="AT180" s="22">
        <v>170</v>
      </c>
      <c r="AU180" s="22">
        <v>0.91308599999999995</v>
      </c>
      <c r="AV180">
        <f t="shared" si="32"/>
        <v>16.106543209876545</v>
      </c>
      <c r="AW180">
        <f t="shared" si="33"/>
        <v>14.721396600370371</v>
      </c>
      <c r="AX180" s="9"/>
      <c r="AY180" s="22">
        <v>0.756073</v>
      </c>
      <c r="AZ180" s="22">
        <v>28.903600000000001</v>
      </c>
      <c r="BA180" s="22">
        <v>-1.3201900000000001E-2</v>
      </c>
      <c r="BB180" s="22">
        <v>170</v>
      </c>
      <c r="BC180" s="22">
        <v>0.75531000000000004</v>
      </c>
      <c r="BD180">
        <f t="shared" si="34"/>
        <v>16.298641975308641</v>
      </c>
      <c r="BE180">
        <f t="shared" si="35"/>
        <v>12.322963134197529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6.7514599999999998</v>
      </c>
      <c r="I181" s="22">
        <v>-1.2912E-2</v>
      </c>
      <c r="J181" s="22">
        <v>171</v>
      </c>
      <c r="K181" s="22">
        <v>0.90820299999999998</v>
      </c>
      <c r="L181">
        <f t="shared" si="24"/>
        <v>15.940740740740738</v>
      </c>
      <c r="M181">
        <f t="shared" si="25"/>
        <v>14.489591348148146</v>
      </c>
      <c r="N181" s="9"/>
      <c r="O181" s="22">
        <v>0.76110800000000001</v>
      </c>
      <c r="P181" s="22">
        <v>10.510199999999999</v>
      </c>
      <c r="Q181" s="22">
        <v>-1.31409E-2</v>
      </c>
      <c r="R181" s="22">
        <v>171</v>
      </c>
      <c r="S181" s="22">
        <v>0.76049800000000001</v>
      </c>
      <c r="T181">
        <f t="shared" si="26"/>
        <v>16.223333333333333</v>
      </c>
      <c r="U181">
        <f t="shared" si="27"/>
        <v>12.347708786666667</v>
      </c>
      <c r="X181" s="9"/>
      <c r="Y181" s="22">
        <v>0.90896600000000005</v>
      </c>
      <c r="Z181" s="22">
        <v>15.9787</v>
      </c>
      <c r="AA181" s="22">
        <v>-1.30524E-2</v>
      </c>
      <c r="AB181" s="22">
        <v>171</v>
      </c>
      <c r="AC181" s="22">
        <v>0.90789799999999998</v>
      </c>
      <c r="AD181">
        <f t="shared" si="28"/>
        <v>16.114074074074072</v>
      </c>
      <c r="AE181">
        <f t="shared" si="29"/>
        <v>14.647145454814813</v>
      </c>
      <c r="AF181" s="9"/>
      <c r="AG181" s="22">
        <v>0.76110800000000001</v>
      </c>
      <c r="AH181" s="22">
        <v>19.737400000000001</v>
      </c>
      <c r="AI181" s="22">
        <v>-1.3147000000000001E-2</v>
      </c>
      <c r="AJ181" s="22">
        <v>171</v>
      </c>
      <c r="AK181" s="22">
        <v>0.75958300000000001</v>
      </c>
      <c r="AL181">
        <f t="shared" si="30"/>
        <v>16.230864197530863</v>
      </c>
      <c r="AM181">
        <f t="shared" si="31"/>
        <v>12.353440587654321</v>
      </c>
      <c r="AP181" s="9"/>
      <c r="AQ181" s="22">
        <v>0.90896600000000005</v>
      </c>
      <c r="AR181" s="22">
        <v>25.154900000000001</v>
      </c>
      <c r="AS181" s="22">
        <v>-1.30615E-2</v>
      </c>
      <c r="AT181" s="22">
        <v>171</v>
      </c>
      <c r="AU181" s="22">
        <v>0.90789799999999998</v>
      </c>
      <c r="AV181">
        <f t="shared" si="32"/>
        <v>16.125308641975309</v>
      </c>
      <c r="AW181">
        <f t="shared" si="33"/>
        <v>14.657357295061729</v>
      </c>
      <c r="AX181" s="9"/>
      <c r="AY181" s="22">
        <v>0.76110800000000001</v>
      </c>
      <c r="AZ181" s="22">
        <v>28.913699999999999</v>
      </c>
      <c r="BA181" s="22">
        <v>-1.3201900000000001E-2</v>
      </c>
      <c r="BB181" s="22">
        <v>171</v>
      </c>
      <c r="BC181" s="22">
        <v>0.75988800000000001</v>
      </c>
      <c r="BD181">
        <f t="shared" si="34"/>
        <v>16.298641975308641</v>
      </c>
      <c r="BE181">
        <f t="shared" si="35"/>
        <v>12.405026796543209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6.7615299999999996</v>
      </c>
      <c r="I182" s="22">
        <v>-1.2912E-2</v>
      </c>
      <c r="J182" s="22">
        <v>172</v>
      </c>
      <c r="K182" s="22">
        <v>0.90301500000000001</v>
      </c>
      <c r="L182">
        <f t="shared" si="24"/>
        <v>15.940740740740738</v>
      </c>
      <c r="M182">
        <f t="shared" si="25"/>
        <v>14.409329718518517</v>
      </c>
      <c r="N182" s="9"/>
      <c r="O182" s="22">
        <v>0.76614400000000005</v>
      </c>
      <c r="P182" s="22">
        <v>10.520300000000001</v>
      </c>
      <c r="Q182" s="22">
        <v>-1.31287E-2</v>
      </c>
      <c r="R182" s="22">
        <v>172</v>
      </c>
      <c r="S182" s="22">
        <v>0.76538099999999998</v>
      </c>
      <c r="T182">
        <f t="shared" si="26"/>
        <v>16.208271604938268</v>
      </c>
      <c r="U182">
        <f t="shared" si="27"/>
        <v>12.417870040493826</v>
      </c>
      <c r="X182" s="9"/>
      <c r="Y182" s="22">
        <v>0.90393100000000004</v>
      </c>
      <c r="Z182" s="22">
        <v>15.9887</v>
      </c>
      <c r="AA182" s="22">
        <v>-1.30554E-2</v>
      </c>
      <c r="AB182" s="22">
        <v>172</v>
      </c>
      <c r="AC182" s="22">
        <v>0.90301500000000001</v>
      </c>
      <c r="AD182">
        <f t="shared" si="28"/>
        <v>16.117777777777775</v>
      </c>
      <c r="AE182">
        <f t="shared" si="29"/>
        <v>14.569358984444442</v>
      </c>
      <c r="AF182" s="9"/>
      <c r="AG182" s="22">
        <v>0.76614400000000005</v>
      </c>
      <c r="AH182" s="22">
        <v>19.747499999999999</v>
      </c>
      <c r="AI182" s="22">
        <v>-1.31378E-2</v>
      </c>
      <c r="AJ182" s="22">
        <v>172</v>
      </c>
      <c r="AK182" s="22">
        <v>0.76507599999999998</v>
      </c>
      <c r="AL182">
        <f t="shared" si="30"/>
        <v>16.219506172839505</v>
      </c>
      <c r="AM182">
        <f t="shared" si="31"/>
        <v>12.42647733728395</v>
      </c>
      <c r="AP182" s="9"/>
      <c r="AQ182" s="22">
        <v>0.90393100000000004</v>
      </c>
      <c r="AR182" s="22">
        <v>25.164999999999999</v>
      </c>
      <c r="AS182" s="22">
        <v>-1.3085899999999999E-2</v>
      </c>
      <c r="AT182" s="22">
        <v>172</v>
      </c>
      <c r="AU182" s="22">
        <v>0.90271000000000001</v>
      </c>
      <c r="AV182">
        <f t="shared" si="32"/>
        <v>16.155432098765431</v>
      </c>
      <c r="AW182">
        <f t="shared" si="33"/>
        <v>14.603395892469136</v>
      </c>
      <c r="AX182" s="9"/>
      <c r="AY182" s="22">
        <v>0.76614400000000005</v>
      </c>
      <c r="AZ182" s="22">
        <v>28.9237</v>
      </c>
      <c r="BA182" s="22">
        <v>-1.31989E-2</v>
      </c>
      <c r="BB182" s="22">
        <v>172</v>
      </c>
      <c r="BC182" s="22">
        <v>0.76507599999999998</v>
      </c>
      <c r="BD182">
        <f t="shared" si="34"/>
        <v>16.294938271604938</v>
      </c>
      <c r="BE182">
        <f t="shared" si="35"/>
        <v>12.484269187160494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6.7716000000000003</v>
      </c>
      <c r="I183" s="22">
        <v>-1.29242E-2</v>
      </c>
      <c r="J183" s="22">
        <v>173</v>
      </c>
      <c r="K183" s="22">
        <v>0.89782700000000004</v>
      </c>
      <c r="L183">
        <f t="shared" si="24"/>
        <v>15.955802469135801</v>
      </c>
      <c r="M183">
        <f t="shared" si="25"/>
        <v>14.342591060493826</v>
      </c>
      <c r="N183" s="9"/>
      <c r="O183" s="22">
        <v>0.77117899999999995</v>
      </c>
      <c r="P183" s="22">
        <v>10.5304</v>
      </c>
      <c r="Q183" s="22">
        <v>-1.3119499999999999E-2</v>
      </c>
      <c r="R183" s="22">
        <v>173</v>
      </c>
      <c r="S183" s="22">
        <v>0.77056899999999995</v>
      </c>
      <c r="T183">
        <f t="shared" si="26"/>
        <v>16.19691358024691</v>
      </c>
      <c r="U183">
        <f t="shared" si="27"/>
        <v>12.490719617901231</v>
      </c>
      <c r="X183" s="9"/>
      <c r="Y183" s="22">
        <v>0.898895</v>
      </c>
      <c r="Z183" s="22">
        <v>15.998799999999999</v>
      </c>
      <c r="AA183" s="22">
        <v>-1.30554E-2</v>
      </c>
      <c r="AB183" s="22">
        <v>173</v>
      </c>
      <c r="AC183" s="22">
        <v>0.89813200000000004</v>
      </c>
      <c r="AD183">
        <f t="shared" si="28"/>
        <v>16.117777777777775</v>
      </c>
      <c r="AE183">
        <f t="shared" si="29"/>
        <v>14.488189855555554</v>
      </c>
      <c r="AF183" s="9"/>
      <c r="AG183" s="22">
        <v>0.77117899999999995</v>
      </c>
      <c r="AH183" s="22">
        <v>19.7576</v>
      </c>
      <c r="AI183" s="22">
        <v>-1.31226E-2</v>
      </c>
      <c r="AJ183" s="22">
        <v>173</v>
      </c>
      <c r="AK183" s="22">
        <v>0.77026399999999995</v>
      </c>
      <c r="AL183">
        <f t="shared" si="30"/>
        <v>16.200740740740741</v>
      </c>
      <c r="AM183">
        <f t="shared" si="31"/>
        <v>12.493671043703703</v>
      </c>
      <c r="AP183" s="9"/>
      <c r="AQ183" s="22">
        <v>0.898895</v>
      </c>
      <c r="AR183" s="22">
        <v>25.175000000000001</v>
      </c>
      <c r="AS183" s="22">
        <v>-1.31012E-2</v>
      </c>
      <c r="AT183" s="22">
        <v>173</v>
      </c>
      <c r="AU183" s="22">
        <v>0.89782700000000004</v>
      </c>
      <c r="AV183">
        <f t="shared" si="32"/>
        <v>16.174320987654323</v>
      </c>
      <c r="AW183">
        <f t="shared" si="33"/>
        <v>14.539016264197532</v>
      </c>
      <c r="AX183" s="9"/>
      <c r="AY183" s="22">
        <v>0.77117899999999995</v>
      </c>
      <c r="AZ183" s="22">
        <v>28.933800000000002</v>
      </c>
      <c r="BA183" s="22">
        <v>-1.31897E-2</v>
      </c>
      <c r="BB183" s="22">
        <v>173</v>
      </c>
      <c r="BC183" s="22">
        <v>0.76965300000000003</v>
      </c>
      <c r="BD183">
        <f t="shared" si="34"/>
        <v>16.28358024691358</v>
      </c>
      <c r="BE183">
        <f t="shared" si="35"/>
        <v>12.557555131234567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6.7816700000000001</v>
      </c>
      <c r="I184" s="22">
        <v>-1.29395E-2</v>
      </c>
      <c r="J184" s="22">
        <v>174</v>
      </c>
      <c r="K184" s="22">
        <v>0.89324999999999999</v>
      </c>
      <c r="L184">
        <f t="shared" si="24"/>
        <v>15.974691358024689</v>
      </c>
      <c r="M184">
        <f t="shared" si="25"/>
        <v>14.279137617283949</v>
      </c>
      <c r="N184" s="9"/>
      <c r="O184" s="22">
        <v>0.77621499999999999</v>
      </c>
      <c r="P184" s="22">
        <v>10.5404</v>
      </c>
      <c r="Q184" s="22">
        <v>-1.3110399999999999E-2</v>
      </c>
      <c r="R184" s="22">
        <v>174</v>
      </c>
      <c r="S184" s="22">
        <v>0.775146</v>
      </c>
      <c r="T184">
        <f t="shared" si="26"/>
        <v>16.185679012345677</v>
      </c>
      <c r="U184">
        <f t="shared" si="27"/>
        <v>12.563566834567899</v>
      </c>
      <c r="X184" s="9"/>
      <c r="Y184" s="22">
        <v>0.89385999999999999</v>
      </c>
      <c r="Z184" s="22">
        <v>16.008900000000001</v>
      </c>
      <c r="AA184" s="22">
        <v>-1.30676E-2</v>
      </c>
      <c r="AB184" s="22">
        <v>174</v>
      </c>
      <c r="AC184" s="22">
        <v>0.89294399999999996</v>
      </c>
      <c r="AD184">
        <f t="shared" si="28"/>
        <v>16.132839506172839</v>
      </c>
      <c r="AE184">
        <f t="shared" si="29"/>
        <v>14.420499920987654</v>
      </c>
      <c r="AF184" s="9"/>
      <c r="AG184" s="22">
        <v>0.77621499999999999</v>
      </c>
      <c r="AH184" s="22">
        <v>19.767600000000002</v>
      </c>
      <c r="AI184" s="22">
        <v>-1.31042E-2</v>
      </c>
      <c r="AJ184" s="22">
        <v>174</v>
      </c>
      <c r="AK184" s="22">
        <v>0.774841</v>
      </c>
      <c r="AL184">
        <f t="shared" si="30"/>
        <v>16.178024691358022</v>
      </c>
      <c r="AM184">
        <f t="shared" si="31"/>
        <v>12.557625435802468</v>
      </c>
      <c r="AP184" s="9"/>
      <c r="AQ184" s="22">
        <v>0.89385999999999999</v>
      </c>
      <c r="AR184" s="22">
        <v>25.185099999999998</v>
      </c>
      <c r="AS184" s="22">
        <v>-1.3107300000000001E-2</v>
      </c>
      <c r="AT184" s="22">
        <v>174</v>
      </c>
      <c r="AU184" s="22">
        <v>0.89263899999999996</v>
      </c>
      <c r="AV184">
        <f t="shared" si="32"/>
        <v>16.181851851851849</v>
      </c>
      <c r="AW184">
        <f t="shared" si="33"/>
        <v>14.464310096296295</v>
      </c>
      <c r="AX184" s="9"/>
      <c r="AY184" s="22">
        <v>0.77621499999999999</v>
      </c>
      <c r="AZ184" s="22">
        <v>28.943899999999999</v>
      </c>
      <c r="BA184" s="22">
        <v>-1.31927E-2</v>
      </c>
      <c r="BB184" s="22">
        <v>174</v>
      </c>
      <c r="BC184" s="22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6.7917399999999999</v>
      </c>
      <c r="I185" s="22">
        <v>-1.29517E-2</v>
      </c>
      <c r="J185" s="22">
        <v>175</v>
      </c>
      <c r="K185" s="22">
        <v>0.88806200000000002</v>
      </c>
      <c r="L185">
        <f t="shared" si="24"/>
        <v>15.989753086419752</v>
      </c>
      <c r="M185">
        <f t="shared" si="25"/>
        <v>14.212076297283948</v>
      </c>
      <c r="N185" s="9"/>
      <c r="O185" s="22">
        <v>0.78125</v>
      </c>
      <c r="P185" s="22">
        <v>10.5505</v>
      </c>
      <c r="Q185" s="22">
        <v>-1.3107300000000001E-2</v>
      </c>
      <c r="R185" s="22">
        <v>175</v>
      </c>
      <c r="S185" s="22">
        <v>0.78033399999999997</v>
      </c>
      <c r="T185">
        <f t="shared" si="26"/>
        <v>16.181851851851849</v>
      </c>
      <c r="U185">
        <f t="shared" si="27"/>
        <v>12.642071759259258</v>
      </c>
      <c r="X185" s="9"/>
      <c r="Y185" s="22">
        <v>0.88882399999999995</v>
      </c>
      <c r="Z185" s="22">
        <v>16.018999999999998</v>
      </c>
      <c r="AA185" s="22">
        <v>-1.3073700000000001E-2</v>
      </c>
      <c r="AB185" s="22">
        <v>175</v>
      </c>
      <c r="AC185" s="22">
        <v>0.88775599999999999</v>
      </c>
      <c r="AD185">
        <f t="shared" si="28"/>
        <v>16.14037037037037</v>
      </c>
      <c r="AE185">
        <f t="shared" si="29"/>
        <v>14.345948554074072</v>
      </c>
      <c r="AF185" s="9"/>
      <c r="AG185" s="22">
        <v>0.78125</v>
      </c>
      <c r="AH185" s="22">
        <v>19.777699999999999</v>
      </c>
      <c r="AI185" s="22">
        <v>-1.30981E-2</v>
      </c>
      <c r="AJ185" s="22">
        <v>175</v>
      </c>
      <c r="AK185" s="22">
        <v>0.78002899999999997</v>
      </c>
      <c r="AL185">
        <f t="shared" si="30"/>
        <v>16.170493827160495</v>
      </c>
      <c r="AM185">
        <f t="shared" si="31"/>
        <v>12.633198302469136</v>
      </c>
      <c r="AP185" s="9"/>
      <c r="AQ185" s="22">
        <v>0.88882399999999995</v>
      </c>
      <c r="AR185" s="22">
        <v>25.1952</v>
      </c>
      <c r="AS185" s="22">
        <v>-1.3113400000000001E-2</v>
      </c>
      <c r="AT185" s="22">
        <v>175</v>
      </c>
      <c r="AU185" s="22">
        <v>0.88806200000000002</v>
      </c>
      <c r="AV185">
        <f t="shared" si="32"/>
        <v>16.18938271604938</v>
      </c>
      <c r="AW185">
        <f t="shared" si="33"/>
        <v>14.389511903209874</v>
      </c>
      <c r="AX185" s="9"/>
      <c r="AY185" s="22">
        <v>0.78125</v>
      </c>
      <c r="AZ185" s="22">
        <v>28.953900000000001</v>
      </c>
      <c r="BA185" s="22">
        <v>-1.3195800000000001E-2</v>
      </c>
      <c r="BB185" s="22">
        <v>175</v>
      </c>
      <c r="BC185" s="22">
        <v>0.78064</v>
      </c>
      <c r="BD185">
        <f t="shared" si="34"/>
        <v>16.29111111111111</v>
      </c>
      <c r="BE185">
        <f t="shared" si="35"/>
        <v>12.727430555555555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6.8018200000000002</v>
      </c>
      <c r="I186" s="22">
        <v>-1.29639E-2</v>
      </c>
      <c r="J186" s="22">
        <v>176</v>
      </c>
      <c r="K186" s="22">
        <v>0.88287400000000005</v>
      </c>
      <c r="L186">
        <f t="shared" si="24"/>
        <v>16.004814814814814</v>
      </c>
      <c r="M186">
        <f t="shared" si="25"/>
        <v>14.14487928037037</v>
      </c>
      <c r="N186" s="9"/>
      <c r="O186" s="22">
        <v>0.78628500000000001</v>
      </c>
      <c r="P186" s="22">
        <v>10.560600000000001</v>
      </c>
      <c r="Q186" s="22">
        <v>-1.31012E-2</v>
      </c>
      <c r="R186" s="22">
        <v>176</v>
      </c>
      <c r="S186" s="22">
        <v>0.78521700000000005</v>
      </c>
      <c r="T186">
        <f t="shared" si="26"/>
        <v>16.174320987654323</v>
      </c>
      <c r="U186">
        <f t="shared" si="27"/>
        <v>12.717625977777779</v>
      </c>
      <c r="X186" s="9"/>
      <c r="Y186" s="22">
        <v>0.88378900000000005</v>
      </c>
      <c r="Z186" s="22">
        <v>16.029</v>
      </c>
      <c r="AA186" s="22">
        <v>-1.30829E-2</v>
      </c>
      <c r="AB186" s="22">
        <v>176</v>
      </c>
      <c r="AC186" s="22">
        <v>0.88287400000000005</v>
      </c>
      <c r="AD186">
        <f t="shared" si="28"/>
        <v>16.151728395061728</v>
      </c>
      <c r="AE186">
        <f t="shared" si="29"/>
        <v>14.27471988654321</v>
      </c>
      <c r="AF186" s="9"/>
      <c r="AG186" s="22">
        <v>0.78628500000000001</v>
      </c>
      <c r="AH186" s="22">
        <v>19.787800000000001</v>
      </c>
      <c r="AI186" s="22">
        <v>-1.30981E-2</v>
      </c>
      <c r="AJ186" s="22">
        <v>176</v>
      </c>
      <c r="AK186" s="22">
        <v>0.78552200000000005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0.88378900000000005</v>
      </c>
      <c r="AR186" s="22">
        <v>25.205300000000001</v>
      </c>
      <c r="AS186" s="22">
        <v>-1.3113400000000001E-2</v>
      </c>
      <c r="AT186" s="22">
        <v>176</v>
      </c>
      <c r="AU186" s="22">
        <v>0.88256800000000002</v>
      </c>
      <c r="AV186">
        <f t="shared" si="32"/>
        <v>16.18938271604938</v>
      </c>
      <c r="AW186">
        <f t="shared" si="33"/>
        <v>14.307998361234565</v>
      </c>
      <c r="AX186" s="9"/>
      <c r="AY186" s="22">
        <v>0.78628500000000001</v>
      </c>
      <c r="AZ186" s="22">
        <v>28.963999999999999</v>
      </c>
      <c r="BA186" s="22">
        <v>-1.31927E-2</v>
      </c>
      <c r="BB186" s="22">
        <v>176</v>
      </c>
      <c r="BC186" s="22">
        <v>0.78552200000000005</v>
      </c>
      <c r="BD186">
        <f t="shared" si="34"/>
        <v>16.287283950617283</v>
      </c>
      <c r="BE186">
        <f t="shared" si="35"/>
        <v>12.806447061111111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6.81189</v>
      </c>
      <c r="I187" s="22">
        <v>-1.29791E-2</v>
      </c>
      <c r="J187" s="22">
        <v>177</v>
      </c>
      <c r="K187" s="22">
        <v>0.87738000000000005</v>
      </c>
      <c r="L187">
        <f t="shared" si="24"/>
        <v>16.023580246913578</v>
      </c>
      <c r="M187">
        <f t="shared" si="25"/>
        <v>14.080785236296295</v>
      </c>
      <c r="N187" s="9"/>
      <c r="O187" s="22">
        <v>0.79132100000000005</v>
      </c>
      <c r="P187" s="22">
        <v>10.570600000000001</v>
      </c>
      <c r="Q187" s="22">
        <v>-1.30951E-2</v>
      </c>
      <c r="R187" s="22">
        <v>177</v>
      </c>
      <c r="S187" s="22">
        <v>0.79071000000000002</v>
      </c>
      <c r="T187">
        <f t="shared" si="26"/>
        <v>16.166790123456789</v>
      </c>
      <c r="U187">
        <f t="shared" si="27"/>
        <v>12.79312052728395</v>
      </c>
      <c r="X187" s="9"/>
      <c r="Y187" s="22">
        <v>0.87875400000000004</v>
      </c>
      <c r="Z187" s="22">
        <v>16.039100000000001</v>
      </c>
      <c r="AA187" s="22">
        <v>-1.3089E-2</v>
      </c>
      <c r="AB187" s="22">
        <v>177</v>
      </c>
      <c r="AC187" s="22">
        <v>0.87768599999999997</v>
      </c>
      <c r="AD187">
        <f t="shared" si="28"/>
        <v>16.159259259259258</v>
      </c>
      <c r="AE187">
        <f t="shared" si="29"/>
        <v>14.200013711111112</v>
      </c>
      <c r="AF187" s="9"/>
      <c r="AG187" s="22">
        <v>0.79132100000000005</v>
      </c>
      <c r="AH187" s="22">
        <v>19.797899999999998</v>
      </c>
      <c r="AI187" s="22">
        <v>-1.3091999999999999E-2</v>
      </c>
      <c r="AJ187" s="22">
        <v>177</v>
      </c>
      <c r="AK187" s="22">
        <v>0.79010000000000002</v>
      </c>
      <c r="AL187">
        <f t="shared" si="30"/>
        <v>16.162962962962961</v>
      </c>
      <c r="AM187">
        <f t="shared" si="31"/>
        <v>12.790092014814814</v>
      </c>
      <c r="AP187" s="9"/>
      <c r="AQ187" s="22">
        <v>0.87875400000000004</v>
      </c>
      <c r="AR187" s="22">
        <v>25.215299999999999</v>
      </c>
      <c r="AS187" s="22">
        <v>-1.31165E-2</v>
      </c>
      <c r="AT187" s="22">
        <v>177</v>
      </c>
      <c r="AU187" s="22">
        <v>0.87768599999999997</v>
      </c>
      <c r="AV187">
        <f t="shared" si="32"/>
        <v>16.193209876543211</v>
      </c>
      <c r="AW187">
        <f t="shared" si="33"/>
        <v>14.229847951851854</v>
      </c>
      <c r="AX187" s="9"/>
      <c r="AY187" s="22">
        <v>0.79132100000000005</v>
      </c>
      <c r="AZ187" s="22">
        <v>28.9741</v>
      </c>
      <c r="BA187" s="22">
        <v>-1.31836E-2</v>
      </c>
      <c r="BB187" s="22">
        <v>177</v>
      </c>
      <c r="BC187" s="22">
        <v>0.79040500000000002</v>
      </c>
      <c r="BD187">
        <f t="shared" si="34"/>
        <v>16.276049382716046</v>
      </c>
      <c r="BE187">
        <f t="shared" si="35"/>
        <v>12.879579673580245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6.8219599999999998</v>
      </c>
      <c r="I188" s="22">
        <v>-1.29791E-2</v>
      </c>
      <c r="J188" s="22">
        <v>178</v>
      </c>
      <c r="K188" s="22">
        <v>0.872498</v>
      </c>
      <c r="L188">
        <f t="shared" si="24"/>
        <v>16.023580246913578</v>
      </c>
      <c r="M188">
        <f t="shared" si="25"/>
        <v>14.000090486172837</v>
      </c>
      <c r="N188" s="9"/>
      <c r="O188" s="22">
        <v>0.79635599999999995</v>
      </c>
      <c r="P188" s="22">
        <v>10.5807</v>
      </c>
      <c r="Q188" s="22">
        <v>-1.30951E-2</v>
      </c>
      <c r="R188" s="22">
        <v>178</v>
      </c>
      <c r="S188" s="22">
        <v>0.79559299999999999</v>
      </c>
      <c r="T188">
        <f t="shared" si="26"/>
        <v>16.166790123456789</v>
      </c>
      <c r="U188">
        <f t="shared" si="27"/>
        <v>12.874520315555554</v>
      </c>
      <c r="X188" s="9"/>
      <c r="Y188" s="22">
        <v>0.87371799999999999</v>
      </c>
      <c r="Z188" s="22">
        <v>16.049199999999999</v>
      </c>
      <c r="AA188" s="22">
        <v>-1.3091999999999999E-2</v>
      </c>
      <c r="AB188" s="22">
        <v>178</v>
      </c>
      <c r="AC188" s="22">
        <v>0.872803</v>
      </c>
      <c r="AD188">
        <f t="shared" si="28"/>
        <v>16.162962962962961</v>
      </c>
      <c r="AE188">
        <f t="shared" si="29"/>
        <v>14.121871674074072</v>
      </c>
      <c r="AF188" s="9"/>
      <c r="AG188" s="22">
        <v>0.79635599999999995</v>
      </c>
      <c r="AH188" s="22">
        <v>19.8079</v>
      </c>
      <c r="AI188" s="22">
        <v>-1.3085899999999999E-2</v>
      </c>
      <c r="AJ188" s="22">
        <v>178</v>
      </c>
      <c r="AK188" s="22">
        <v>0.79528799999999999</v>
      </c>
      <c r="AL188">
        <f t="shared" si="30"/>
        <v>16.155432098765431</v>
      </c>
      <c r="AM188">
        <f t="shared" si="31"/>
        <v>12.865475284444443</v>
      </c>
      <c r="AP188" s="9"/>
      <c r="AQ188" s="22">
        <v>0.87371799999999999</v>
      </c>
      <c r="AR188" s="22">
        <v>25.2254</v>
      </c>
      <c r="AS188" s="22">
        <v>-1.31226E-2</v>
      </c>
      <c r="AT188" s="22">
        <v>178</v>
      </c>
      <c r="AU188" s="22">
        <v>0.872803</v>
      </c>
      <c r="AV188">
        <f t="shared" si="32"/>
        <v>16.200740740740741</v>
      </c>
      <c r="AW188">
        <f t="shared" si="33"/>
        <v>14.154878798518519</v>
      </c>
      <c r="AX188" s="9"/>
      <c r="AY188" s="22">
        <v>0.79635599999999995</v>
      </c>
      <c r="AZ188" s="22">
        <v>28.984200000000001</v>
      </c>
      <c r="BA188" s="22">
        <v>-1.31805E-2</v>
      </c>
      <c r="BB188" s="22">
        <v>178</v>
      </c>
      <c r="BC188" s="22">
        <v>0.794983</v>
      </c>
      <c r="BD188">
        <f t="shared" si="34"/>
        <v>16.272222222222219</v>
      </c>
      <c r="BE188">
        <f t="shared" si="35"/>
        <v>12.958481799999996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6.8320299999999996</v>
      </c>
      <c r="I189" s="22">
        <v>-1.29791E-2</v>
      </c>
      <c r="J189" s="22">
        <v>179</v>
      </c>
      <c r="K189" s="22">
        <v>0.86761500000000003</v>
      </c>
      <c r="L189">
        <f t="shared" si="24"/>
        <v>16.023580246913578</v>
      </c>
      <c r="M189">
        <f t="shared" si="25"/>
        <v>13.919411759629627</v>
      </c>
      <c r="N189" s="9"/>
      <c r="O189" s="22">
        <v>0.80139199999999999</v>
      </c>
      <c r="P189" s="22">
        <v>10.5908</v>
      </c>
      <c r="Q189" s="22">
        <v>-1.3091999999999999E-2</v>
      </c>
      <c r="R189" s="22">
        <v>179</v>
      </c>
      <c r="S189" s="22">
        <v>0.80017099999999997</v>
      </c>
      <c r="T189">
        <f t="shared" si="26"/>
        <v>16.162962962962961</v>
      </c>
      <c r="U189">
        <f t="shared" si="27"/>
        <v>12.952869214814813</v>
      </c>
      <c r="X189" s="9"/>
      <c r="Y189" s="22">
        <v>0.86868299999999998</v>
      </c>
      <c r="Z189" s="22">
        <v>16.059200000000001</v>
      </c>
      <c r="AA189" s="22">
        <v>-1.31012E-2</v>
      </c>
      <c r="AB189" s="22">
        <v>179</v>
      </c>
      <c r="AC189" s="22">
        <v>0.86761500000000003</v>
      </c>
      <c r="AD189">
        <f t="shared" si="28"/>
        <v>16.174320987654323</v>
      </c>
      <c r="AE189">
        <f t="shared" si="29"/>
        <v>14.05035767851852</v>
      </c>
      <c r="AF189" s="9"/>
      <c r="AG189" s="22">
        <v>0.80139199999999999</v>
      </c>
      <c r="AH189" s="22">
        <v>19.818000000000001</v>
      </c>
      <c r="AI189" s="22">
        <v>-1.3085899999999999E-2</v>
      </c>
      <c r="AJ189" s="22">
        <v>179</v>
      </c>
      <c r="AK189" s="22">
        <v>0.80017099999999997</v>
      </c>
      <c r="AL189">
        <f t="shared" si="30"/>
        <v>16.155432098765431</v>
      </c>
      <c r="AM189">
        <f t="shared" si="31"/>
        <v>12.946834040493826</v>
      </c>
      <c r="AP189" s="9"/>
      <c r="AQ189" s="22">
        <v>0.86868299999999998</v>
      </c>
      <c r="AR189" s="22">
        <v>25.235499999999998</v>
      </c>
      <c r="AS189" s="22">
        <v>-1.3119499999999999E-2</v>
      </c>
      <c r="AT189" s="22">
        <v>179</v>
      </c>
      <c r="AU189" s="22">
        <v>0.867004</v>
      </c>
      <c r="AV189">
        <f t="shared" si="32"/>
        <v>16.19691358024691</v>
      </c>
      <c r="AW189">
        <f t="shared" si="33"/>
        <v>14.069983479629627</v>
      </c>
      <c r="AX189" s="9"/>
      <c r="AY189" s="22">
        <v>0.80139199999999999</v>
      </c>
      <c r="AZ189" s="22">
        <v>28.994199999999999</v>
      </c>
      <c r="BA189" s="22">
        <v>-1.31714E-2</v>
      </c>
      <c r="BB189" s="22">
        <v>179</v>
      </c>
      <c r="BC189" s="22">
        <v>0.80017099999999997</v>
      </c>
      <c r="BD189">
        <f t="shared" si="34"/>
        <v>16.260987654320989</v>
      </c>
      <c r="BE189">
        <f t="shared" si="35"/>
        <v>13.031425418271606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6.8421000000000003</v>
      </c>
      <c r="I190" s="22">
        <v>-1.2976100000000001E-2</v>
      </c>
      <c r="J190" s="22">
        <v>180</v>
      </c>
      <c r="K190" s="22">
        <v>0.86242700000000005</v>
      </c>
      <c r="L190">
        <f t="shared" si="24"/>
        <v>16.019876543209875</v>
      </c>
      <c r="M190">
        <f t="shared" si="25"/>
        <v>13.83551831691358</v>
      </c>
      <c r="N190" s="9"/>
      <c r="O190" s="22">
        <v>0.806427</v>
      </c>
      <c r="P190" s="22">
        <v>10.600899999999999</v>
      </c>
      <c r="Q190" s="22">
        <v>-1.3085899999999999E-2</v>
      </c>
      <c r="R190" s="22">
        <v>180</v>
      </c>
      <c r="S190" s="22">
        <v>0.80566400000000005</v>
      </c>
      <c r="T190">
        <f t="shared" si="26"/>
        <v>16.155432098765431</v>
      </c>
      <c r="U190">
        <f t="shared" si="27"/>
        <v>13.028176641111109</v>
      </c>
      <c r="X190" s="9"/>
      <c r="Y190" s="22">
        <v>0.86364700000000005</v>
      </c>
      <c r="Z190" s="22">
        <v>16.069299999999998</v>
      </c>
      <c r="AA190" s="22">
        <v>-1.3113400000000001E-2</v>
      </c>
      <c r="AB190" s="22">
        <v>180</v>
      </c>
      <c r="AC190" s="22">
        <v>0.86242700000000005</v>
      </c>
      <c r="AD190">
        <f t="shared" si="28"/>
        <v>16.18938271604938</v>
      </c>
      <c r="AE190">
        <f t="shared" si="29"/>
        <v>13.9819118145679</v>
      </c>
      <c r="AF190" s="9"/>
      <c r="AG190" s="22">
        <v>0.806427</v>
      </c>
      <c r="AH190" s="22">
        <v>19.828099999999999</v>
      </c>
      <c r="AI190" s="22">
        <v>-1.3079800000000001E-2</v>
      </c>
      <c r="AJ190" s="22">
        <v>180</v>
      </c>
      <c r="AK190" s="22">
        <v>0.80535900000000005</v>
      </c>
      <c r="AL190">
        <f t="shared" si="30"/>
        <v>16.147901234567904</v>
      </c>
      <c r="AM190">
        <f t="shared" si="31"/>
        <v>13.022103548888891</v>
      </c>
      <c r="AP190" s="9"/>
      <c r="AQ190" s="22">
        <v>0.86364700000000005</v>
      </c>
      <c r="AR190" s="22">
        <v>25.2455</v>
      </c>
      <c r="AS190" s="22">
        <v>-1.3125599999999999E-2</v>
      </c>
      <c r="AT190" s="22">
        <v>180</v>
      </c>
      <c r="AU190" s="22">
        <v>0.86273200000000005</v>
      </c>
      <c r="AV190">
        <f t="shared" si="32"/>
        <v>16.204444444444441</v>
      </c>
      <c r="AW190">
        <f t="shared" si="33"/>
        <v>13.994919831111108</v>
      </c>
      <c r="AX190" s="9"/>
      <c r="AY190" s="22">
        <v>0.806427</v>
      </c>
      <c r="AZ190" s="22">
        <v>29.004300000000001</v>
      </c>
      <c r="BA190" s="22">
        <v>-1.3174399999999999E-2</v>
      </c>
      <c r="BB190" s="22">
        <v>180</v>
      </c>
      <c r="BC190" s="22">
        <v>0.80566400000000005</v>
      </c>
      <c r="BD190">
        <f t="shared" si="34"/>
        <v>16.264691358024692</v>
      </c>
      <c r="BE190">
        <f t="shared" si="35"/>
        <v>13.116286257777778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6.8521700000000001</v>
      </c>
      <c r="I191" s="22">
        <v>-1.29669E-2</v>
      </c>
      <c r="J191" s="22">
        <v>181</v>
      </c>
      <c r="K191" s="22">
        <v>0.85754399999999997</v>
      </c>
      <c r="L191">
        <f t="shared" si="24"/>
        <v>16.008518518518514</v>
      </c>
      <c r="M191">
        <f t="shared" si="25"/>
        <v>13.745106102222218</v>
      </c>
      <c r="N191" s="9"/>
      <c r="O191" s="22">
        <v>0.81146200000000002</v>
      </c>
      <c r="P191" s="22">
        <v>10.610900000000001</v>
      </c>
      <c r="Q191" s="22">
        <v>-1.3079800000000001E-2</v>
      </c>
      <c r="R191" s="22">
        <v>181</v>
      </c>
      <c r="S191" s="22">
        <v>0.81054700000000002</v>
      </c>
      <c r="T191">
        <f t="shared" si="26"/>
        <v>16.147901234567904</v>
      </c>
      <c r="U191">
        <f t="shared" si="27"/>
        <v>13.103408231604941</v>
      </c>
      <c r="X191" s="9"/>
      <c r="Y191" s="22">
        <v>0.85861200000000004</v>
      </c>
      <c r="Z191" s="22">
        <v>16.0794</v>
      </c>
      <c r="AA191" s="22">
        <v>-1.3125599999999999E-2</v>
      </c>
      <c r="AB191" s="22">
        <v>181</v>
      </c>
      <c r="AC191" s="22">
        <v>0.85784899999999997</v>
      </c>
      <c r="AD191">
        <f t="shared" si="28"/>
        <v>16.204444444444441</v>
      </c>
      <c r="AE191">
        <f t="shared" si="29"/>
        <v>13.91333045333333</v>
      </c>
      <c r="AF191" s="9"/>
      <c r="AG191" s="22">
        <v>0.81146200000000002</v>
      </c>
      <c r="AH191" s="22">
        <v>19.838100000000001</v>
      </c>
      <c r="AI191" s="22">
        <v>-1.3070699999999999E-2</v>
      </c>
      <c r="AJ191" s="22">
        <v>181</v>
      </c>
      <c r="AK191" s="22">
        <v>0.81024200000000002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0.85861200000000004</v>
      </c>
      <c r="AR191" s="22">
        <v>25.255600000000001</v>
      </c>
      <c r="AS191" s="22">
        <v>-1.31317E-2</v>
      </c>
      <c r="AT191" s="22">
        <v>181</v>
      </c>
      <c r="AU191" s="22">
        <v>0.85754399999999997</v>
      </c>
      <c r="AV191">
        <f t="shared" si="32"/>
        <v>16.211975308641971</v>
      </c>
      <c r="AW191">
        <f t="shared" si="33"/>
        <v>13.919796543703701</v>
      </c>
      <c r="AX191" s="9"/>
      <c r="AY191" s="22">
        <v>0.81146200000000002</v>
      </c>
      <c r="AZ191" s="22">
        <v>29.014399999999998</v>
      </c>
      <c r="BA191" s="22">
        <v>-1.3162200000000001E-2</v>
      </c>
      <c r="BB191" s="22">
        <v>181</v>
      </c>
      <c r="BC191" s="22">
        <v>0.80993700000000002</v>
      </c>
      <c r="BD191">
        <f t="shared" si="34"/>
        <v>16.249629629629627</v>
      </c>
      <c r="BE191">
        <f t="shared" si="35"/>
        <v>13.185956958518517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6.8622399999999999</v>
      </c>
      <c r="I192" s="22">
        <v>-1.29639E-2</v>
      </c>
      <c r="J192" s="22">
        <v>182</v>
      </c>
      <c r="K192" s="22">
        <v>0.852356</v>
      </c>
      <c r="L192">
        <f t="shared" si="24"/>
        <v>16.004814814814814</v>
      </c>
      <c r="M192">
        <f t="shared" si="25"/>
        <v>13.661341815185185</v>
      </c>
      <c r="N192" s="9"/>
      <c r="O192" s="22">
        <v>0.81649799999999995</v>
      </c>
      <c r="P192" s="22">
        <v>10.621</v>
      </c>
      <c r="Q192" s="22">
        <v>-1.30768E-2</v>
      </c>
      <c r="R192" s="22">
        <v>182</v>
      </c>
      <c r="S192" s="22">
        <v>0.81512499999999999</v>
      </c>
      <c r="T192">
        <f t="shared" si="26"/>
        <v>16.144197530864194</v>
      </c>
      <c r="U192">
        <f t="shared" si="27"/>
        <v>13.181704995555551</v>
      </c>
      <c r="X192" s="9"/>
      <c r="Y192" s="22">
        <v>0.85357700000000003</v>
      </c>
      <c r="Z192" s="22">
        <v>16.089500000000001</v>
      </c>
      <c r="AA192" s="22">
        <v>-1.31317E-2</v>
      </c>
      <c r="AB192" s="22">
        <v>182</v>
      </c>
      <c r="AC192" s="22">
        <v>0.852661</v>
      </c>
      <c r="AD192">
        <f t="shared" si="28"/>
        <v>16.211975308641971</v>
      </c>
      <c r="AE192">
        <f t="shared" si="29"/>
        <v>13.838169248024688</v>
      </c>
      <c r="AF192" s="9"/>
      <c r="AG192" s="22">
        <v>0.81649799999999995</v>
      </c>
      <c r="AH192" s="22">
        <v>19.848199999999999</v>
      </c>
      <c r="AI192" s="22">
        <v>-1.30554E-2</v>
      </c>
      <c r="AJ192" s="22">
        <v>182</v>
      </c>
      <c r="AK192" s="22">
        <v>0.81542999999999999</v>
      </c>
      <c r="AL192">
        <f t="shared" si="30"/>
        <v>16.117777777777775</v>
      </c>
      <c r="AM192">
        <f t="shared" si="31"/>
        <v>13.160133319999996</v>
      </c>
      <c r="AP192" s="9"/>
      <c r="AQ192" s="22">
        <v>0.85357700000000003</v>
      </c>
      <c r="AR192" s="22">
        <v>25.265699999999999</v>
      </c>
      <c r="AS192" s="22">
        <v>-1.31378E-2</v>
      </c>
      <c r="AT192" s="22">
        <v>182</v>
      </c>
      <c r="AU192" s="22">
        <v>0.852661</v>
      </c>
      <c r="AV192">
        <f t="shared" si="32"/>
        <v>16.219506172839505</v>
      </c>
      <c r="AW192">
        <f t="shared" si="33"/>
        <v>13.844597420493827</v>
      </c>
      <c r="AX192" s="9"/>
      <c r="AY192" s="22">
        <v>0.81649799999999995</v>
      </c>
      <c r="AZ192" s="22">
        <v>29.0244</v>
      </c>
      <c r="BA192" s="22">
        <v>-1.3153099999999999E-2</v>
      </c>
      <c r="BB192" s="22">
        <v>182</v>
      </c>
      <c r="BC192" s="22">
        <v>0.81573499999999999</v>
      </c>
      <c r="BD192">
        <f t="shared" si="34"/>
        <v>16.238395061728394</v>
      </c>
      <c r="BE192">
        <f t="shared" si="35"/>
        <v>13.258617091111109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6.8723099999999997</v>
      </c>
      <c r="I193" s="22">
        <v>-1.29669E-2</v>
      </c>
      <c r="J193" s="22">
        <v>183</v>
      </c>
      <c r="K193" s="22">
        <v>0.84747300000000003</v>
      </c>
      <c r="L193">
        <f t="shared" si="24"/>
        <v>16.008518518518514</v>
      </c>
      <c r="M193">
        <f t="shared" si="25"/>
        <v>13.583884312222219</v>
      </c>
      <c r="N193" s="9"/>
      <c r="O193" s="22">
        <v>0.82153299999999996</v>
      </c>
      <c r="P193" s="22">
        <v>10.6311</v>
      </c>
      <c r="Q193" s="22">
        <v>-1.30676E-2</v>
      </c>
      <c r="R193" s="22">
        <v>183</v>
      </c>
      <c r="S193" s="22">
        <v>0.82031299999999996</v>
      </c>
      <c r="T193">
        <f t="shared" si="26"/>
        <v>16.132839506172839</v>
      </c>
      <c r="U193">
        <f t="shared" si="27"/>
        <v>13.253660038024691</v>
      </c>
      <c r="X193" s="9"/>
      <c r="Y193" s="22">
        <v>0.84854099999999999</v>
      </c>
      <c r="Z193" s="22">
        <v>16.099499999999999</v>
      </c>
      <c r="AA193" s="22">
        <v>-1.3125599999999999E-2</v>
      </c>
      <c r="AB193" s="22">
        <v>183</v>
      </c>
      <c r="AC193" s="22">
        <v>0.84808300000000003</v>
      </c>
      <c r="AD193">
        <f t="shared" si="28"/>
        <v>16.204444444444441</v>
      </c>
      <c r="AE193">
        <f t="shared" si="29"/>
        <v>13.75013549333333</v>
      </c>
      <c r="AF193" s="9"/>
      <c r="AG193" s="22">
        <v>0.82153299999999996</v>
      </c>
      <c r="AH193" s="22">
        <v>19.8583</v>
      </c>
      <c r="AI193" s="22">
        <v>-1.3037099999999999E-2</v>
      </c>
      <c r="AJ193" s="22">
        <v>183</v>
      </c>
      <c r="AK193" s="22">
        <v>0.82000700000000004</v>
      </c>
      <c r="AL193">
        <f t="shared" si="30"/>
        <v>16.095185185185183</v>
      </c>
      <c r="AM193">
        <f t="shared" si="31"/>
        <v>13.222725770740739</v>
      </c>
      <c r="AP193" s="9"/>
      <c r="AQ193" s="22">
        <v>0.84854099999999999</v>
      </c>
      <c r="AR193" s="22">
        <v>25.2758</v>
      </c>
      <c r="AS193" s="22">
        <v>-1.315E-2</v>
      </c>
      <c r="AT193" s="22">
        <v>183</v>
      </c>
      <c r="AU193" s="22">
        <v>0.84686300000000003</v>
      </c>
      <c r="AV193">
        <f t="shared" si="32"/>
        <v>16.234567901234566</v>
      </c>
      <c r="AW193">
        <f t="shared" si="33"/>
        <v>13.77569648148148</v>
      </c>
      <c r="AX193" s="9"/>
      <c r="AY193" s="22">
        <v>0.82153299999999996</v>
      </c>
      <c r="AZ193" s="22">
        <v>29.034500000000001</v>
      </c>
      <c r="BA193" s="22">
        <v>-1.3147000000000001E-2</v>
      </c>
      <c r="BB193" s="22">
        <v>183</v>
      </c>
      <c r="BC193" s="22">
        <v>0.82031299999999996</v>
      </c>
      <c r="BD193">
        <f t="shared" si="34"/>
        <v>16.230864197530863</v>
      </c>
      <c r="BE193">
        <f t="shared" si="35"/>
        <v>13.334190556790121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6.8823800000000004</v>
      </c>
      <c r="I194" s="22">
        <v>-1.29791E-2</v>
      </c>
      <c r="J194" s="22">
        <v>184</v>
      </c>
      <c r="K194" s="22">
        <v>0.84320099999999998</v>
      </c>
      <c r="L194">
        <f t="shared" si="24"/>
        <v>16.023580246913578</v>
      </c>
      <c r="M194">
        <f t="shared" si="25"/>
        <v>13.515986079753084</v>
      </c>
      <c r="N194" s="9"/>
      <c r="O194" s="22">
        <v>0.826569</v>
      </c>
      <c r="P194" s="22">
        <v>10.6411</v>
      </c>
      <c r="Q194" s="22">
        <v>-1.30524E-2</v>
      </c>
      <c r="R194" s="22">
        <v>184</v>
      </c>
      <c r="S194" s="22">
        <v>0.82580600000000004</v>
      </c>
      <c r="T194">
        <f t="shared" si="26"/>
        <v>16.114074074074072</v>
      </c>
      <c r="U194">
        <f t="shared" si="27"/>
        <v>13.319394093333331</v>
      </c>
      <c r="X194" s="9"/>
      <c r="Y194" s="22">
        <v>0.84350599999999998</v>
      </c>
      <c r="Z194" s="22">
        <v>16.1096</v>
      </c>
      <c r="AA194" s="22">
        <v>-1.31165E-2</v>
      </c>
      <c r="AB194" s="22">
        <v>184</v>
      </c>
      <c r="AC194" s="22">
        <v>0.84258999999999995</v>
      </c>
      <c r="AD194">
        <f t="shared" si="28"/>
        <v>16.193209876543211</v>
      </c>
      <c r="AE194">
        <f t="shared" si="29"/>
        <v>13.659069690123458</v>
      </c>
      <c r="AF194" s="9"/>
      <c r="AG194" s="22">
        <v>0.826569</v>
      </c>
      <c r="AH194" s="22">
        <v>19.868400000000001</v>
      </c>
      <c r="AI194" s="22">
        <v>-1.3024900000000001E-2</v>
      </c>
      <c r="AJ194" s="22">
        <v>184</v>
      </c>
      <c r="AK194" s="22">
        <v>0.82580600000000004</v>
      </c>
      <c r="AL194">
        <f t="shared" si="30"/>
        <v>16.080123456790126</v>
      </c>
      <c r="AM194">
        <f t="shared" si="31"/>
        <v>13.291331565555558</v>
      </c>
      <c r="AP194" s="9"/>
      <c r="AQ194" s="22">
        <v>0.84350599999999998</v>
      </c>
      <c r="AR194" s="22">
        <v>25.285799999999998</v>
      </c>
      <c r="AS194" s="22">
        <v>-1.3162200000000001E-2</v>
      </c>
      <c r="AT194" s="22">
        <v>184</v>
      </c>
      <c r="AU194" s="22">
        <v>0.84258999999999995</v>
      </c>
      <c r="AV194">
        <f t="shared" si="32"/>
        <v>16.249629629629627</v>
      </c>
      <c r="AW194">
        <f t="shared" si="33"/>
        <v>13.706660090370368</v>
      </c>
      <c r="AX194" s="9"/>
      <c r="AY194" s="22">
        <v>0.826569</v>
      </c>
      <c r="AZ194" s="22">
        <v>29.044599999999999</v>
      </c>
      <c r="BA194" s="22">
        <v>-1.31378E-2</v>
      </c>
      <c r="BB194" s="22">
        <v>184</v>
      </c>
      <c r="BC194" s="22">
        <v>0.82580600000000004</v>
      </c>
      <c r="BD194">
        <f t="shared" si="34"/>
        <v>16.219506172839505</v>
      </c>
      <c r="BE194">
        <f t="shared" si="35"/>
        <v>13.406540997777777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6.8924500000000002</v>
      </c>
      <c r="I195" s="22">
        <v>-1.29791E-2</v>
      </c>
      <c r="J195" s="22">
        <v>185</v>
      </c>
      <c r="K195" s="22">
        <v>0.83740199999999998</v>
      </c>
      <c r="L195">
        <f t="shared" si="24"/>
        <v>16.023580246913578</v>
      </c>
      <c r="M195">
        <f t="shared" si="25"/>
        <v>13.43529132962963</v>
      </c>
      <c r="N195" s="9"/>
      <c r="O195" s="22">
        <v>0.83160400000000001</v>
      </c>
      <c r="P195" s="22">
        <v>10.651199999999999</v>
      </c>
      <c r="Q195" s="22">
        <v>-1.30432E-2</v>
      </c>
      <c r="R195" s="22">
        <v>185</v>
      </c>
      <c r="S195" s="22">
        <v>0.83068799999999998</v>
      </c>
      <c r="T195">
        <f t="shared" si="26"/>
        <v>16.102716049382714</v>
      </c>
      <c r="U195">
        <f t="shared" si="27"/>
        <v>13.391083077530862</v>
      </c>
      <c r="X195" s="9"/>
      <c r="Y195" s="22">
        <v>0.83847000000000005</v>
      </c>
      <c r="Z195" s="22">
        <v>16.119700000000002</v>
      </c>
      <c r="AA195" s="22">
        <v>-1.31226E-2</v>
      </c>
      <c r="AB195" s="22">
        <v>185</v>
      </c>
      <c r="AC195" s="22">
        <v>0.83709699999999998</v>
      </c>
      <c r="AD195">
        <f t="shared" si="28"/>
        <v>16.200740740740741</v>
      </c>
      <c r="AE195">
        <f t="shared" si="29"/>
        <v>13.58383508888889</v>
      </c>
      <c r="AF195" s="9"/>
      <c r="AG195" s="22">
        <v>0.83160400000000001</v>
      </c>
      <c r="AH195" s="22">
        <v>19.878399999999999</v>
      </c>
      <c r="AI195" s="22">
        <v>-1.30127E-2</v>
      </c>
      <c r="AJ195" s="22">
        <v>185</v>
      </c>
      <c r="AK195" s="22">
        <v>0.83099400000000001</v>
      </c>
      <c r="AL195">
        <f t="shared" si="30"/>
        <v>16.065061728395062</v>
      </c>
      <c r="AM195">
        <f t="shared" si="31"/>
        <v>13.359769593580246</v>
      </c>
      <c r="AP195" s="9"/>
      <c r="AQ195" s="22">
        <v>0.83847000000000005</v>
      </c>
      <c r="AR195" s="22">
        <v>25.2959</v>
      </c>
      <c r="AS195" s="22">
        <v>-1.31653E-2</v>
      </c>
      <c r="AT195" s="22">
        <v>185</v>
      </c>
      <c r="AU195" s="22">
        <v>0.83709699999999998</v>
      </c>
      <c r="AV195">
        <f t="shared" si="32"/>
        <v>16.253456790123455</v>
      </c>
      <c r="AW195">
        <f t="shared" si="33"/>
        <v>13.628035914814813</v>
      </c>
      <c r="AX195" s="9"/>
      <c r="AY195" s="22">
        <v>0.83160400000000001</v>
      </c>
      <c r="AZ195" s="22">
        <v>29.0547</v>
      </c>
      <c r="BA195" s="22">
        <v>-1.31226E-2</v>
      </c>
      <c r="BB195" s="22">
        <v>185</v>
      </c>
      <c r="BC195" s="22">
        <v>0.83068799999999998</v>
      </c>
      <c r="BD195">
        <f t="shared" si="34"/>
        <v>16.200740740740741</v>
      </c>
      <c r="BE195">
        <f t="shared" si="35"/>
        <v>13.472600802962964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6.9025299999999996</v>
      </c>
      <c r="I196" s="22">
        <v>-1.2982199999999999E-2</v>
      </c>
      <c r="J196" s="22">
        <v>186</v>
      </c>
      <c r="K196" s="22">
        <v>0.83282500000000004</v>
      </c>
      <c r="L196">
        <f t="shared" si="24"/>
        <v>16.027407407407406</v>
      </c>
      <c r="M196">
        <f t="shared" si="25"/>
        <v>13.357802292592591</v>
      </c>
      <c r="N196" s="9"/>
      <c r="O196" s="22">
        <v>0.83663900000000002</v>
      </c>
      <c r="P196" s="22">
        <v>10.661300000000001</v>
      </c>
      <c r="Q196" s="22">
        <v>-1.3030999999999999E-2</v>
      </c>
      <c r="R196" s="22">
        <v>186</v>
      </c>
      <c r="S196" s="22">
        <v>0.83587599999999995</v>
      </c>
      <c r="T196">
        <f t="shared" si="26"/>
        <v>16.087654320987653</v>
      </c>
      <c r="U196">
        <f t="shared" si="27"/>
        <v>13.459559023456789</v>
      </c>
      <c r="X196" s="9"/>
      <c r="Y196" s="22">
        <v>0.83343500000000004</v>
      </c>
      <c r="Z196" s="22">
        <v>16.1297</v>
      </c>
      <c r="AA196" s="22">
        <v>-1.3125599999999999E-2</v>
      </c>
      <c r="AB196" s="22">
        <v>186</v>
      </c>
      <c r="AC196" s="22">
        <v>0.83282500000000004</v>
      </c>
      <c r="AD196">
        <f t="shared" si="28"/>
        <v>16.204444444444441</v>
      </c>
      <c r="AE196">
        <f t="shared" si="29"/>
        <v>13.505351155555553</v>
      </c>
      <c r="AF196" s="9"/>
      <c r="AG196" s="22">
        <v>0.83663900000000002</v>
      </c>
      <c r="AH196" s="22">
        <v>19.888500000000001</v>
      </c>
      <c r="AI196" s="22">
        <v>-1.30005E-2</v>
      </c>
      <c r="AJ196" s="22">
        <v>186</v>
      </c>
      <c r="AK196" s="22">
        <v>0.83618199999999998</v>
      </c>
      <c r="AL196">
        <f t="shared" si="30"/>
        <v>16.049999999999997</v>
      </c>
      <c r="AM196">
        <f t="shared" si="31"/>
        <v>13.428055949999997</v>
      </c>
      <c r="AP196" s="9"/>
      <c r="AQ196" s="22">
        <v>0.83343500000000004</v>
      </c>
      <c r="AR196" s="22">
        <v>25.306000000000001</v>
      </c>
      <c r="AS196" s="22">
        <v>-1.3168300000000001E-2</v>
      </c>
      <c r="AT196" s="22">
        <v>186</v>
      </c>
      <c r="AU196" s="22">
        <v>0.83221400000000001</v>
      </c>
      <c r="AV196">
        <f t="shared" si="32"/>
        <v>16.257160493827158</v>
      </c>
      <c r="AW196">
        <f t="shared" si="33"/>
        <v>13.549286556172838</v>
      </c>
      <c r="AX196" s="9"/>
      <c r="AY196" s="22">
        <v>0.83663900000000002</v>
      </c>
      <c r="AZ196" s="22">
        <v>29.064699999999998</v>
      </c>
      <c r="BA196" s="22">
        <v>-1.31165E-2</v>
      </c>
      <c r="BB196" s="22">
        <v>186</v>
      </c>
      <c r="BC196" s="22">
        <v>0.83557099999999995</v>
      </c>
      <c r="BD196">
        <f t="shared" si="34"/>
        <v>16.193209876543211</v>
      </c>
      <c r="BE196">
        <f t="shared" si="35"/>
        <v>13.547870917901236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6.9126000000000003</v>
      </c>
      <c r="I197" s="22">
        <v>-1.29944E-2</v>
      </c>
      <c r="J197" s="22">
        <v>187</v>
      </c>
      <c r="K197" s="22">
        <v>0.82702600000000004</v>
      </c>
      <c r="L197">
        <f t="shared" si="24"/>
        <v>16.042469135802467</v>
      </c>
      <c r="M197">
        <f t="shared" si="25"/>
        <v>13.289581432098764</v>
      </c>
      <c r="N197" s="9"/>
      <c r="O197" s="22">
        <v>0.84167499999999995</v>
      </c>
      <c r="P197" s="22">
        <v>10.6714</v>
      </c>
      <c r="Q197" s="22">
        <v>-1.3024900000000001E-2</v>
      </c>
      <c r="R197" s="22">
        <v>187</v>
      </c>
      <c r="S197" s="22">
        <v>0.84045400000000003</v>
      </c>
      <c r="T197">
        <f t="shared" si="26"/>
        <v>16.080123456790126</v>
      </c>
      <c r="U197">
        <f t="shared" si="27"/>
        <v>13.534237910493829</v>
      </c>
      <c r="X197" s="9"/>
      <c r="Y197" s="22">
        <v>0.82840000000000003</v>
      </c>
      <c r="Z197" s="22">
        <v>16.139800000000001</v>
      </c>
      <c r="AA197" s="22">
        <v>-1.31378E-2</v>
      </c>
      <c r="AB197" s="22">
        <v>187</v>
      </c>
      <c r="AC197" s="22">
        <v>0.82733199999999996</v>
      </c>
      <c r="AD197">
        <f t="shared" si="28"/>
        <v>16.219506172839505</v>
      </c>
      <c r="AE197">
        <f t="shared" si="29"/>
        <v>13.436238913580247</v>
      </c>
      <c r="AF197" s="9"/>
      <c r="AG197" s="22">
        <v>0.84167499999999995</v>
      </c>
      <c r="AH197" s="22">
        <v>19.898599999999998</v>
      </c>
      <c r="AI197" s="22">
        <v>-1.2988299999999999E-2</v>
      </c>
      <c r="AJ197" s="22">
        <v>187</v>
      </c>
      <c r="AK197" s="22">
        <v>0.84045400000000003</v>
      </c>
      <c r="AL197">
        <f t="shared" si="30"/>
        <v>16.034938271604936</v>
      </c>
      <c r="AM197">
        <f t="shared" si="31"/>
        <v>13.496206669753084</v>
      </c>
      <c r="AP197" s="9"/>
      <c r="AQ197" s="22">
        <v>0.82840000000000003</v>
      </c>
      <c r="AR197" s="22">
        <v>25.315999999999999</v>
      </c>
      <c r="AS197" s="22">
        <v>-1.3174399999999999E-2</v>
      </c>
      <c r="AT197" s="22">
        <v>187</v>
      </c>
      <c r="AU197" s="22">
        <v>0.82763699999999996</v>
      </c>
      <c r="AV197">
        <f t="shared" si="32"/>
        <v>16.264691358024692</v>
      </c>
      <c r="AW197">
        <f t="shared" si="33"/>
        <v>13.473670320987654</v>
      </c>
      <c r="AX197" s="9"/>
      <c r="AY197" s="22">
        <v>0.84167499999999995</v>
      </c>
      <c r="AZ197" s="22">
        <v>29.0748</v>
      </c>
      <c r="BA197" s="22">
        <v>-1.31012E-2</v>
      </c>
      <c r="BB197" s="22">
        <v>187</v>
      </c>
      <c r="BC197" s="22">
        <v>0.84045400000000003</v>
      </c>
      <c r="BD197">
        <f t="shared" si="34"/>
        <v>16.174320987654323</v>
      </c>
      <c r="BE197">
        <f t="shared" si="35"/>
        <v>13.613521617283951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6.9226700000000001</v>
      </c>
      <c r="I198" s="22">
        <v>-1.30005E-2</v>
      </c>
      <c r="J198" s="22">
        <v>188</v>
      </c>
      <c r="K198" s="22">
        <v>0.82305899999999999</v>
      </c>
      <c r="L198">
        <f t="shared" si="24"/>
        <v>16.049999999999997</v>
      </c>
      <c r="M198">
        <f t="shared" si="25"/>
        <v>13.214992199999998</v>
      </c>
      <c r="N198" s="9"/>
      <c r="O198" s="22">
        <v>0.84670999999999996</v>
      </c>
      <c r="P198" s="22">
        <v>10.6814</v>
      </c>
      <c r="Q198" s="22">
        <v>-1.3021899999999999E-2</v>
      </c>
      <c r="R198" s="22">
        <v>188</v>
      </c>
      <c r="S198" s="22">
        <v>0.84533700000000001</v>
      </c>
      <c r="T198">
        <f t="shared" si="26"/>
        <v>16.076419753086416</v>
      </c>
      <c r="U198">
        <f t="shared" si="27"/>
        <v>13.612065369135799</v>
      </c>
      <c r="X198" s="9"/>
      <c r="Y198" s="22">
        <v>0.82336399999999998</v>
      </c>
      <c r="Z198" s="22">
        <v>16.149899999999999</v>
      </c>
      <c r="AA198" s="22">
        <v>-1.315E-2</v>
      </c>
      <c r="AB198" s="22">
        <v>188</v>
      </c>
      <c r="AC198" s="22">
        <v>0.82244899999999999</v>
      </c>
      <c r="AD198">
        <f t="shared" si="28"/>
        <v>16.234567901234566</v>
      </c>
      <c r="AE198">
        <f t="shared" si="29"/>
        <v>13.366958765432097</v>
      </c>
      <c r="AF198" s="9"/>
      <c r="AG198" s="22">
        <v>0.84670999999999996</v>
      </c>
      <c r="AH198" s="22">
        <v>19.9086</v>
      </c>
      <c r="AI198" s="22">
        <v>-1.29791E-2</v>
      </c>
      <c r="AJ198" s="22">
        <v>188</v>
      </c>
      <c r="AK198" s="22">
        <v>0.845642</v>
      </c>
      <c r="AL198">
        <f t="shared" si="30"/>
        <v>16.023580246913578</v>
      </c>
      <c r="AM198">
        <f t="shared" si="31"/>
        <v>13.567325630864195</v>
      </c>
      <c r="AP198" s="9"/>
      <c r="AQ198" s="22">
        <v>0.82336399999999998</v>
      </c>
      <c r="AR198" s="22">
        <v>25.3261</v>
      </c>
      <c r="AS198" s="22">
        <v>-1.31775E-2</v>
      </c>
      <c r="AT198" s="22">
        <v>188</v>
      </c>
      <c r="AU198" s="22">
        <v>0.82214399999999999</v>
      </c>
      <c r="AV198">
        <f t="shared" si="32"/>
        <v>16.268518518518519</v>
      </c>
      <c r="AW198">
        <f t="shared" si="33"/>
        <v>13.394912481481482</v>
      </c>
      <c r="AX198" s="9"/>
      <c r="AY198" s="22">
        <v>0.84670999999999996</v>
      </c>
      <c r="AZ198" s="22">
        <v>29.084900000000001</v>
      </c>
      <c r="BA198" s="22">
        <v>-1.31042E-2</v>
      </c>
      <c r="BB198" s="22">
        <v>188</v>
      </c>
      <c r="BC198" s="22">
        <v>0.845947</v>
      </c>
      <c r="BD198">
        <f t="shared" si="34"/>
        <v>16.178024691358022</v>
      </c>
      <c r="BE198">
        <f t="shared" si="35"/>
        <v>13.69809528641975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6.9327399999999999</v>
      </c>
      <c r="I199" s="22">
        <v>-1.2997399999999999E-2</v>
      </c>
      <c r="J199" s="22">
        <v>189</v>
      </c>
      <c r="K199" s="22">
        <v>0.81726100000000002</v>
      </c>
      <c r="L199">
        <f t="shared" si="24"/>
        <v>16.04617283950617</v>
      </c>
      <c r="M199">
        <f t="shared" si="25"/>
        <v>13.131048573580244</v>
      </c>
      <c r="N199" s="9"/>
      <c r="O199" s="22">
        <v>0.851746</v>
      </c>
      <c r="P199" s="22">
        <v>10.6915</v>
      </c>
      <c r="Q199" s="22">
        <v>-1.3018800000000001E-2</v>
      </c>
      <c r="R199" s="22">
        <v>189</v>
      </c>
      <c r="S199" s="22">
        <v>0.85082999999999998</v>
      </c>
      <c r="T199">
        <f t="shared" si="26"/>
        <v>16.072592592592592</v>
      </c>
      <c r="U199">
        <f t="shared" si="27"/>
        <v>13.689766450370371</v>
      </c>
      <c r="X199" s="9"/>
      <c r="Y199" s="22">
        <v>0.81832899999999997</v>
      </c>
      <c r="Z199" s="22">
        <v>16.1599</v>
      </c>
      <c r="AA199" s="22">
        <v>-1.3159199999999999E-2</v>
      </c>
      <c r="AB199" s="22">
        <v>189</v>
      </c>
      <c r="AC199" s="22">
        <v>0.81695600000000002</v>
      </c>
      <c r="AD199">
        <f t="shared" si="28"/>
        <v>16.245925925925924</v>
      </c>
      <c r="AE199">
        <f t="shared" si="29"/>
        <v>13.294512317037036</v>
      </c>
      <c r="AF199" s="9"/>
      <c r="AG199" s="22">
        <v>0.851746</v>
      </c>
      <c r="AH199" s="22">
        <v>19.918700000000001</v>
      </c>
      <c r="AI199" s="22">
        <v>-1.29608E-2</v>
      </c>
      <c r="AJ199" s="22">
        <v>189</v>
      </c>
      <c r="AK199" s="22">
        <v>0.85021999999999998</v>
      </c>
      <c r="AL199">
        <f t="shared" si="30"/>
        <v>16.000987654320987</v>
      </c>
      <c r="AM199">
        <f t="shared" si="31"/>
        <v>13.628777230617283</v>
      </c>
      <c r="AP199" s="9"/>
      <c r="AQ199" s="22">
        <v>0.81832899999999997</v>
      </c>
      <c r="AR199" s="22">
        <v>25.336200000000002</v>
      </c>
      <c r="AS199" s="22">
        <v>-1.31805E-2</v>
      </c>
      <c r="AT199" s="22">
        <v>189</v>
      </c>
      <c r="AU199" s="22">
        <v>0.81756600000000001</v>
      </c>
      <c r="AV199">
        <f t="shared" si="32"/>
        <v>16.272222222222219</v>
      </c>
      <c r="AW199">
        <f t="shared" si="33"/>
        <v>13.316031338888886</v>
      </c>
      <c r="AX199" s="9"/>
      <c r="AY199" s="22">
        <v>0.851746</v>
      </c>
      <c r="AZ199" s="22">
        <v>29.094899999999999</v>
      </c>
      <c r="BA199" s="22">
        <v>-1.3107300000000001E-2</v>
      </c>
      <c r="BB199" s="22">
        <v>189</v>
      </c>
      <c r="BC199" s="22">
        <v>0.85052499999999998</v>
      </c>
      <c r="BD199">
        <f t="shared" si="34"/>
        <v>16.181851851851849</v>
      </c>
      <c r="BE199">
        <f t="shared" si="35"/>
        <v>13.782827587407406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6.9428099999999997</v>
      </c>
      <c r="I200" s="22">
        <v>-1.2997399999999999E-2</v>
      </c>
      <c r="J200" s="22">
        <v>190</v>
      </c>
      <c r="K200" s="22">
        <v>0.81176800000000005</v>
      </c>
      <c r="L200">
        <f t="shared" si="24"/>
        <v>16.04617283950617</v>
      </c>
      <c r="M200">
        <f t="shared" si="25"/>
        <v>13.050240047160493</v>
      </c>
      <c r="N200" s="9"/>
      <c r="O200" s="22">
        <v>0.85678100000000001</v>
      </c>
      <c r="P200" s="22">
        <v>10.701599999999999</v>
      </c>
      <c r="Q200" s="22">
        <v>-1.30096E-2</v>
      </c>
      <c r="R200" s="22">
        <v>190</v>
      </c>
      <c r="S200" s="22">
        <v>0.85571299999999995</v>
      </c>
      <c r="T200">
        <f t="shared" si="26"/>
        <v>16.061234567901234</v>
      </c>
      <c r="U200">
        <f t="shared" si="27"/>
        <v>13.760960614320988</v>
      </c>
      <c r="X200" s="9"/>
      <c r="Y200" s="22">
        <v>0.81329300000000004</v>
      </c>
      <c r="Z200" s="22">
        <v>16.170000000000002</v>
      </c>
      <c r="AA200" s="22">
        <v>-1.3159199999999999E-2</v>
      </c>
      <c r="AB200" s="22">
        <v>190</v>
      </c>
      <c r="AC200" s="22">
        <v>0.81207300000000004</v>
      </c>
      <c r="AD200">
        <f t="shared" si="28"/>
        <v>16.245925925925924</v>
      </c>
      <c r="AE200">
        <f t="shared" si="29"/>
        <v>13.212697834074074</v>
      </c>
      <c r="AF200" s="9"/>
      <c r="AG200" s="22">
        <v>0.85678100000000001</v>
      </c>
      <c r="AH200" s="22">
        <v>19.928799999999999</v>
      </c>
      <c r="AI200" s="22">
        <v>-1.29517E-2</v>
      </c>
      <c r="AJ200" s="22">
        <v>190</v>
      </c>
      <c r="AK200" s="22">
        <v>0.85571299999999995</v>
      </c>
      <c r="AL200">
        <f t="shared" si="30"/>
        <v>15.989753086419752</v>
      </c>
      <c r="AM200">
        <f t="shared" si="31"/>
        <v>13.699716639135801</v>
      </c>
      <c r="AP200" s="9"/>
      <c r="AQ200" s="22">
        <v>0.81329300000000004</v>
      </c>
      <c r="AR200" s="22">
        <v>25.3462</v>
      </c>
      <c r="AS200" s="22">
        <v>-1.31836E-2</v>
      </c>
      <c r="AT200" s="22">
        <v>190</v>
      </c>
      <c r="AU200" s="22">
        <v>0.81207300000000004</v>
      </c>
      <c r="AV200">
        <f t="shared" si="32"/>
        <v>16.276049382716046</v>
      </c>
      <c r="AW200">
        <f t="shared" si="33"/>
        <v>13.237197030617281</v>
      </c>
      <c r="AX200" s="9"/>
      <c r="AY200" s="22">
        <v>0.85678100000000001</v>
      </c>
      <c r="AZ200" s="22">
        <v>29.105</v>
      </c>
      <c r="BA200" s="22">
        <v>-1.3110399999999999E-2</v>
      </c>
      <c r="BB200" s="22">
        <v>190</v>
      </c>
      <c r="BC200" s="22">
        <v>0.85601799999999995</v>
      </c>
      <c r="BD200">
        <f t="shared" si="34"/>
        <v>16.185679012345677</v>
      </c>
      <c r="BE200">
        <f t="shared" si="35"/>
        <v>13.867582249876541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6.9528800000000004</v>
      </c>
      <c r="I201" s="22">
        <v>-1.30005E-2</v>
      </c>
      <c r="J201" s="22">
        <v>191</v>
      </c>
      <c r="K201" s="22">
        <v>0.80718999999999996</v>
      </c>
      <c r="L201">
        <f t="shared" si="24"/>
        <v>16.049999999999997</v>
      </c>
      <c r="M201">
        <f t="shared" si="25"/>
        <v>12.972540899999998</v>
      </c>
      <c r="N201" s="9"/>
      <c r="O201" s="22">
        <v>0.86181600000000003</v>
      </c>
      <c r="P201" s="22">
        <v>10.711600000000001</v>
      </c>
      <c r="Q201" s="22">
        <v>-1.3003499999999999E-2</v>
      </c>
      <c r="R201" s="22">
        <v>191</v>
      </c>
      <c r="S201" s="22">
        <v>0.86059600000000003</v>
      </c>
      <c r="T201">
        <f t="shared" si="26"/>
        <v>16.0537037037037</v>
      </c>
      <c r="U201">
        <f t="shared" si="27"/>
        <v>13.835338711111108</v>
      </c>
      <c r="X201" s="9"/>
      <c r="Y201" s="22">
        <v>0.80825800000000003</v>
      </c>
      <c r="Z201" s="22">
        <v>16.180099999999999</v>
      </c>
      <c r="AA201" s="22">
        <v>-1.31714E-2</v>
      </c>
      <c r="AB201" s="22">
        <v>191</v>
      </c>
      <c r="AC201" s="22">
        <v>0.80718999999999996</v>
      </c>
      <c r="AD201">
        <f t="shared" si="28"/>
        <v>16.260987654320989</v>
      </c>
      <c r="AE201">
        <f t="shared" si="29"/>
        <v>13.143073359506174</v>
      </c>
      <c r="AF201" s="9"/>
      <c r="AG201" s="22">
        <v>0.86181600000000003</v>
      </c>
      <c r="AH201" s="22">
        <v>19.9389</v>
      </c>
      <c r="AI201" s="22">
        <v>-1.29517E-2</v>
      </c>
      <c r="AJ201" s="22">
        <v>191</v>
      </c>
      <c r="AK201" s="22">
        <v>0.86059600000000003</v>
      </c>
      <c r="AL201">
        <f t="shared" si="30"/>
        <v>15.989753086419752</v>
      </c>
      <c r="AM201">
        <f t="shared" si="31"/>
        <v>13.780225045925926</v>
      </c>
      <c r="AP201" s="9"/>
      <c r="AQ201" s="22">
        <v>0.80825800000000003</v>
      </c>
      <c r="AR201" s="22">
        <v>25.356300000000001</v>
      </c>
      <c r="AS201" s="22">
        <v>-1.31836E-2</v>
      </c>
      <c r="AT201" s="22">
        <v>191</v>
      </c>
      <c r="AU201" s="22">
        <v>0.80718999999999996</v>
      </c>
      <c r="AV201">
        <f t="shared" si="32"/>
        <v>16.276049382716046</v>
      </c>
      <c r="AW201">
        <f t="shared" si="33"/>
        <v>13.155247121975306</v>
      </c>
      <c r="AX201" s="9"/>
      <c r="AY201" s="22">
        <v>0.86181600000000003</v>
      </c>
      <c r="AZ201" s="22">
        <v>29.115100000000002</v>
      </c>
      <c r="BA201" s="22">
        <v>-1.3107300000000001E-2</v>
      </c>
      <c r="BB201" s="22">
        <v>191</v>
      </c>
      <c r="BC201" s="22">
        <v>0.86090100000000003</v>
      </c>
      <c r="BD201">
        <f t="shared" si="34"/>
        <v>16.181851851851849</v>
      </c>
      <c r="BE201">
        <f t="shared" si="35"/>
        <v>13.945778835555554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6.9629500000000002</v>
      </c>
      <c r="I202" s="22">
        <v>-1.30066E-2</v>
      </c>
      <c r="J202" s="22">
        <v>192</v>
      </c>
      <c r="K202" s="22">
        <v>0.80230699999999999</v>
      </c>
      <c r="L202">
        <f t="shared" si="24"/>
        <v>16.057530864197531</v>
      </c>
      <c r="M202">
        <f t="shared" si="25"/>
        <v>12.897778113333334</v>
      </c>
      <c r="N202" s="9"/>
      <c r="O202" s="22">
        <v>0.86685199999999996</v>
      </c>
      <c r="P202" s="22">
        <v>10.7217</v>
      </c>
      <c r="Q202" s="22">
        <v>-1.3003499999999999E-2</v>
      </c>
      <c r="R202" s="22">
        <v>192</v>
      </c>
      <c r="S202" s="22">
        <v>0.865784</v>
      </c>
      <c r="T202">
        <f t="shared" si="26"/>
        <v>16.0537037037037</v>
      </c>
      <c r="U202">
        <f t="shared" si="27"/>
        <v>13.916185162962959</v>
      </c>
      <c r="X202" s="9"/>
      <c r="Y202" s="22">
        <v>0.80322300000000002</v>
      </c>
      <c r="Z202" s="22">
        <v>16.190200000000001</v>
      </c>
      <c r="AA202" s="22">
        <v>-1.3174399999999999E-2</v>
      </c>
      <c r="AB202" s="22">
        <v>192</v>
      </c>
      <c r="AC202" s="22">
        <v>0.80169699999999999</v>
      </c>
      <c r="AD202">
        <f t="shared" si="28"/>
        <v>16.264691358024692</v>
      </c>
      <c r="AE202">
        <f t="shared" si="29"/>
        <v>13.064174186666667</v>
      </c>
      <c r="AF202" s="9"/>
      <c r="AG202" s="22">
        <v>0.86685199999999996</v>
      </c>
      <c r="AH202" s="22">
        <v>19.948899999999998</v>
      </c>
      <c r="AI202" s="22">
        <v>-1.29547E-2</v>
      </c>
      <c r="AJ202" s="22">
        <v>192</v>
      </c>
      <c r="AK202" s="22">
        <v>0.865784</v>
      </c>
      <c r="AL202">
        <f t="shared" si="30"/>
        <v>15.993456790123457</v>
      </c>
      <c r="AM202">
        <f t="shared" si="31"/>
        <v>13.863960005432098</v>
      </c>
      <c r="AP202" s="9"/>
      <c r="AQ202" s="22">
        <v>0.80322300000000002</v>
      </c>
      <c r="AR202" s="22">
        <v>25.366399999999999</v>
      </c>
      <c r="AS202" s="22">
        <v>-1.31805E-2</v>
      </c>
      <c r="AT202" s="22">
        <v>192</v>
      </c>
      <c r="AU202" s="22">
        <v>0.80230699999999999</v>
      </c>
      <c r="AV202">
        <f t="shared" si="32"/>
        <v>16.272222222222219</v>
      </c>
      <c r="AW202">
        <f t="shared" si="33"/>
        <v>13.070223149999997</v>
      </c>
      <c r="AX202" s="9"/>
      <c r="AY202" s="22">
        <v>0.86685199999999996</v>
      </c>
      <c r="AZ202" s="22">
        <v>29.1252</v>
      </c>
      <c r="BA202" s="22">
        <v>-1.31012E-2</v>
      </c>
      <c r="BB202" s="22">
        <v>192</v>
      </c>
      <c r="BC202" s="22">
        <v>0.865784</v>
      </c>
      <c r="BD202">
        <f t="shared" si="34"/>
        <v>16.174320987654323</v>
      </c>
      <c r="BE202">
        <f t="shared" si="35"/>
        <v>14.020742496790124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6.97302</v>
      </c>
      <c r="I203" s="22">
        <v>-1.30096E-2</v>
      </c>
      <c r="J203" s="22">
        <v>193</v>
      </c>
      <c r="K203" s="22">
        <v>0.79742400000000002</v>
      </c>
      <c r="L203">
        <f t="shared" si="24"/>
        <v>16.061234567901234</v>
      </c>
      <c r="M203">
        <f t="shared" si="25"/>
        <v>12.819868636049382</v>
      </c>
      <c r="N203" s="9"/>
      <c r="O203" s="22">
        <v>0.87188699999999997</v>
      </c>
      <c r="P203" s="22">
        <v>10.7318</v>
      </c>
      <c r="Q203" s="22">
        <v>-1.2997399999999999E-2</v>
      </c>
      <c r="R203" s="22">
        <v>193</v>
      </c>
      <c r="S203" s="22">
        <v>0.87127699999999997</v>
      </c>
      <c r="T203">
        <f t="shared" si="26"/>
        <v>16.04617283950617</v>
      </c>
      <c r="U203">
        <f t="shared" si="27"/>
        <v>13.990449498518515</v>
      </c>
      <c r="X203" s="9"/>
      <c r="Y203" s="22">
        <v>0.79818699999999998</v>
      </c>
      <c r="Z203" s="22">
        <v>16.200199999999999</v>
      </c>
      <c r="AA203" s="22">
        <v>-1.31775E-2</v>
      </c>
      <c r="AB203" s="22">
        <v>193</v>
      </c>
      <c r="AC203" s="22">
        <v>0.79742400000000002</v>
      </c>
      <c r="AD203">
        <f t="shared" si="28"/>
        <v>16.268518518518519</v>
      </c>
      <c r="AE203">
        <f t="shared" si="29"/>
        <v>12.985319990740742</v>
      </c>
      <c r="AF203" s="9"/>
      <c r="AG203" s="22">
        <v>0.87188699999999997</v>
      </c>
      <c r="AH203" s="22">
        <v>19.959</v>
      </c>
      <c r="AI203" s="22">
        <v>-1.2942499999999999E-2</v>
      </c>
      <c r="AJ203" s="22">
        <v>193</v>
      </c>
      <c r="AK203" s="22">
        <v>0.87066699999999997</v>
      </c>
      <c r="AL203">
        <f t="shared" si="30"/>
        <v>15.978395061728392</v>
      </c>
      <c r="AM203">
        <f t="shared" si="31"/>
        <v>13.931354935185182</v>
      </c>
      <c r="AP203" s="9"/>
      <c r="AQ203" s="22">
        <v>0.79818699999999998</v>
      </c>
      <c r="AR203" s="22">
        <v>25.3765</v>
      </c>
      <c r="AS203" s="22">
        <v>-1.3174399999999999E-2</v>
      </c>
      <c r="AT203" s="22">
        <v>193</v>
      </c>
      <c r="AU203" s="22">
        <v>0.79650900000000002</v>
      </c>
      <c r="AV203">
        <f t="shared" si="32"/>
        <v>16.264691358024692</v>
      </c>
      <c r="AW203">
        <f t="shared" si="33"/>
        <v>12.982265200987655</v>
      </c>
      <c r="AX203" s="9"/>
      <c r="AY203" s="22">
        <v>0.87188699999999997</v>
      </c>
      <c r="AZ203" s="22">
        <v>29.135200000000001</v>
      </c>
      <c r="BA203" s="22">
        <v>-1.30829E-2</v>
      </c>
      <c r="BB203" s="22">
        <v>193</v>
      </c>
      <c r="BC203" s="22">
        <v>0.87097199999999997</v>
      </c>
      <c r="BD203">
        <f t="shared" si="34"/>
        <v>16.151728395061728</v>
      </c>
      <c r="BE203">
        <f t="shared" si="35"/>
        <v>14.082482015185183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6.9830899999999998</v>
      </c>
      <c r="I204" s="22">
        <v>-1.30096E-2</v>
      </c>
      <c r="J204" s="22">
        <v>194</v>
      </c>
      <c r="K204" s="22">
        <v>0.79223600000000005</v>
      </c>
      <c r="L204">
        <f t="shared" ref="L204:L267" si="36">-I204/$F$2*1000</f>
        <v>16.061234567901234</v>
      </c>
      <c r="M204">
        <f t="shared" ref="M204:M267" si="37">L204*G204</f>
        <v>12.739000319999999</v>
      </c>
      <c r="N204" s="9"/>
      <c r="O204" s="22">
        <v>0.87692300000000001</v>
      </c>
      <c r="P204" s="22">
        <v>10.741899999999999</v>
      </c>
      <c r="Q204" s="22">
        <v>-1.2985200000000001E-2</v>
      </c>
      <c r="R204" s="22">
        <v>194</v>
      </c>
      <c r="S204" s="22">
        <v>0.87646500000000005</v>
      </c>
      <c r="T204">
        <f t="shared" ref="T204:T267" si="38">-Q204/$F$2*1000</f>
        <v>16.031111111111109</v>
      </c>
      <c r="U204">
        <f t="shared" ref="U204:U267" si="39">T204*O204</f>
        <v>14.058050048888887</v>
      </c>
      <c r="X204" s="9"/>
      <c r="Y204" s="22">
        <v>0.79315199999999997</v>
      </c>
      <c r="Z204" s="22">
        <v>16.2103</v>
      </c>
      <c r="AA204" s="22">
        <v>-1.31866E-2</v>
      </c>
      <c r="AB204" s="22">
        <v>194</v>
      </c>
      <c r="AC204" s="22">
        <v>0.79254199999999997</v>
      </c>
      <c r="AD204">
        <f t="shared" ref="AD204:AD267" si="40">-AA204/$F$2*1000</f>
        <v>16.279753086419749</v>
      </c>
      <c r="AE204">
        <f t="shared" ref="AE204:AE267" si="41">AD204*Y204</f>
        <v>12.912318719999996</v>
      </c>
      <c r="AF204" s="9"/>
      <c r="AG204" s="22">
        <v>0.87692300000000001</v>
      </c>
      <c r="AH204" s="22">
        <v>19.969100000000001</v>
      </c>
      <c r="AI204" s="22">
        <v>-1.2942499999999999E-2</v>
      </c>
      <c r="AJ204" s="22">
        <v>194</v>
      </c>
      <c r="AK204" s="22">
        <v>0.87585400000000002</v>
      </c>
      <c r="AL204">
        <f t="shared" ref="AL204:AL267" si="42">-AI204/$F$2*1000</f>
        <v>15.978395061728392</v>
      </c>
      <c r="AM204">
        <f t="shared" ref="AM204:AM267" si="43">AL204*AG204</f>
        <v>14.011822132716047</v>
      </c>
      <c r="AP204" s="9"/>
      <c r="AQ204" s="22">
        <v>0.79315199999999997</v>
      </c>
      <c r="AR204" s="22">
        <v>25.386500000000002</v>
      </c>
      <c r="AS204" s="22">
        <v>-1.31836E-2</v>
      </c>
      <c r="AT204" s="22">
        <v>194</v>
      </c>
      <c r="AU204" s="22">
        <v>0.79193100000000005</v>
      </c>
      <c r="AV204">
        <f t="shared" ref="AV204:AV267" si="44">-AS204/$F$2*1000</f>
        <v>16.276049382716046</v>
      </c>
      <c r="AW204">
        <f t="shared" ref="AW204:AW267" si="45">AV204*AQ204</f>
        <v>12.909381119999997</v>
      </c>
      <c r="AX204" s="9"/>
      <c r="AY204" s="22">
        <v>0.87692300000000001</v>
      </c>
      <c r="AZ204" s="22">
        <v>29.145299999999999</v>
      </c>
      <c r="BA204" s="22">
        <v>-1.30676E-2</v>
      </c>
      <c r="BB204" s="22">
        <v>194</v>
      </c>
      <c r="BC204" s="22">
        <v>0.87616000000000005</v>
      </c>
      <c r="BD204">
        <f t="shared" ref="BD204:BD267" si="46">-BA204/$F$2*1000</f>
        <v>16.132839506172839</v>
      </c>
      <c r="BE204">
        <f t="shared" ref="BE204:BE267" si="47">BD204*AY204</f>
        <v>14.147258018271605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6.9931599999999996</v>
      </c>
      <c r="I205" s="22">
        <v>-1.30096E-2</v>
      </c>
      <c r="J205" s="22">
        <v>195</v>
      </c>
      <c r="K205" s="22">
        <v>0.787659</v>
      </c>
      <c r="L205">
        <f t="shared" si="36"/>
        <v>16.061234567901234</v>
      </c>
      <c r="M205">
        <f t="shared" si="37"/>
        <v>12.65811594271605</v>
      </c>
      <c r="N205" s="9"/>
      <c r="O205" s="22">
        <v>0.88195800000000002</v>
      </c>
      <c r="P205" s="22">
        <v>10.751899999999999</v>
      </c>
      <c r="Q205" s="22">
        <v>-1.29669E-2</v>
      </c>
      <c r="R205" s="22">
        <v>195</v>
      </c>
      <c r="S205" s="22">
        <v>0.88104199999999999</v>
      </c>
      <c r="T205">
        <f t="shared" si="38"/>
        <v>16.008518518518514</v>
      </c>
      <c r="U205">
        <f t="shared" si="39"/>
        <v>14.118840975555552</v>
      </c>
      <c r="X205" s="9"/>
      <c r="Y205" s="22">
        <v>0.78811600000000004</v>
      </c>
      <c r="Z205" s="22">
        <v>16.220400000000001</v>
      </c>
      <c r="AA205" s="22">
        <v>-1.31866E-2</v>
      </c>
      <c r="AB205" s="22">
        <v>195</v>
      </c>
      <c r="AC205" s="22">
        <v>0.78704799999999997</v>
      </c>
      <c r="AD205">
        <f t="shared" si="40"/>
        <v>16.279753086419749</v>
      </c>
      <c r="AE205">
        <f t="shared" si="41"/>
        <v>12.830333883456788</v>
      </c>
      <c r="AF205" s="9"/>
      <c r="AG205" s="22">
        <v>0.88195800000000002</v>
      </c>
      <c r="AH205" s="22">
        <v>19.979099999999999</v>
      </c>
      <c r="AI205" s="22">
        <v>-1.2936400000000001E-2</v>
      </c>
      <c r="AJ205" s="22">
        <v>195</v>
      </c>
      <c r="AK205" s="22">
        <v>0.88073699999999999</v>
      </c>
      <c r="AL205">
        <f t="shared" si="42"/>
        <v>15.970864197530865</v>
      </c>
      <c r="AM205">
        <f t="shared" si="43"/>
        <v>14.085631445925927</v>
      </c>
      <c r="AP205" s="9"/>
      <c r="AQ205" s="22">
        <v>0.78811600000000004</v>
      </c>
      <c r="AR205" s="22">
        <v>25.396599999999999</v>
      </c>
      <c r="AS205" s="22">
        <v>-1.31866E-2</v>
      </c>
      <c r="AT205" s="22">
        <v>195</v>
      </c>
      <c r="AU205" s="22">
        <v>0.78674299999999997</v>
      </c>
      <c r="AV205">
        <f t="shared" si="44"/>
        <v>16.279753086419749</v>
      </c>
      <c r="AW205">
        <f t="shared" si="45"/>
        <v>12.830333883456788</v>
      </c>
      <c r="AX205" s="9"/>
      <c r="AY205" s="22">
        <v>0.88195800000000002</v>
      </c>
      <c r="AZ205" s="22">
        <v>29.1554</v>
      </c>
      <c r="BA205" s="22">
        <v>-1.3058500000000001E-2</v>
      </c>
      <c r="BB205" s="22">
        <v>195</v>
      </c>
      <c r="BC205" s="22">
        <v>0.88104199999999999</v>
      </c>
      <c r="BD205">
        <f t="shared" si="46"/>
        <v>16.121604938271602</v>
      </c>
      <c r="BE205">
        <f t="shared" si="47"/>
        <v>14.218578448148145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7.0032399999999999</v>
      </c>
      <c r="I206" s="22">
        <v>-1.3021899999999999E-2</v>
      </c>
      <c r="J206" s="22">
        <v>196</v>
      </c>
      <c r="K206" s="22">
        <v>0.78186</v>
      </c>
      <c r="L206">
        <f t="shared" si="36"/>
        <v>16.076419753086416</v>
      </c>
      <c r="M206">
        <f t="shared" si="37"/>
        <v>12.589138856666665</v>
      </c>
      <c r="N206" s="9"/>
      <c r="O206" s="22">
        <v>0.88699300000000003</v>
      </c>
      <c r="P206" s="22">
        <v>10.762</v>
      </c>
      <c r="Q206" s="22">
        <v>-1.29456E-2</v>
      </c>
      <c r="R206" s="22">
        <v>196</v>
      </c>
      <c r="S206" s="22">
        <v>0.88592499999999996</v>
      </c>
      <c r="T206">
        <f t="shared" si="38"/>
        <v>15.982222222222221</v>
      </c>
      <c r="U206">
        <f t="shared" si="39"/>
        <v>14.176119235555555</v>
      </c>
      <c r="X206" s="9"/>
      <c r="Y206" s="22">
        <v>0.78308100000000003</v>
      </c>
      <c r="Z206" s="22">
        <v>16.230399999999999</v>
      </c>
      <c r="AA206" s="22">
        <v>-1.31866E-2</v>
      </c>
      <c r="AB206" s="22">
        <v>196</v>
      </c>
      <c r="AC206" s="22">
        <v>0.78216600000000003</v>
      </c>
      <c r="AD206">
        <f t="shared" si="40"/>
        <v>16.279753086419749</v>
      </c>
      <c r="AE206">
        <f t="shared" si="41"/>
        <v>12.748365326666663</v>
      </c>
      <c r="AF206" s="9"/>
      <c r="AG206" s="22">
        <v>0.88699300000000003</v>
      </c>
      <c r="AH206" s="22">
        <v>19.9892</v>
      </c>
      <c r="AI206" s="22">
        <v>-1.29211E-2</v>
      </c>
      <c r="AJ206" s="22">
        <v>196</v>
      </c>
      <c r="AK206" s="22">
        <v>0.88592499999999996</v>
      </c>
      <c r="AL206">
        <f t="shared" si="42"/>
        <v>15.951975308641973</v>
      </c>
      <c r="AM206">
        <f t="shared" si="43"/>
        <v>14.149290434938271</v>
      </c>
      <c r="AP206" s="9"/>
      <c r="AQ206" s="22">
        <v>0.78308100000000003</v>
      </c>
      <c r="AR206" s="22">
        <v>25.406700000000001</v>
      </c>
      <c r="AS206" s="22">
        <v>-1.31989E-2</v>
      </c>
      <c r="AT206" s="22">
        <v>196</v>
      </c>
      <c r="AU206" s="22">
        <v>0.78186</v>
      </c>
      <c r="AV206">
        <f t="shared" si="44"/>
        <v>16.294938271604938</v>
      </c>
      <c r="AW206">
        <f t="shared" si="45"/>
        <v>12.760256556666667</v>
      </c>
      <c r="AX206" s="9"/>
      <c r="AY206" s="22">
        <v>0.88699300000000003</v>
      </c>
      <c r="AZ206" s="22">
        <v>29.165400000000002</v>
      </c>
      <c r="BA206" s="22">
        <v>-1.30493E-2</v>
      </c>
      <c r="BB206" s="22">
        <v>196</v>
      </c>
      <c r="BC206" s="22">
        <v>0.88592499999999996</v>
      </c>
      <c r="BD206">
        <f t="shared" si="46"/>
        <v>16.110246913580244</v>
      </c>
      <c r="BE206">
        <f t="shared" si="47"/>
        <v>14.289676240617283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7.0133099999999997</v>
      </c>
      <c r="I207" s="22">
        <v>-1.3028E-2</v>
      </c>
      <c r="J207" s="22">
        <v>197</v>
      </c>
      <c r="K207" s="22">
        <v>0.77728299999999995</v>
      </c>
      <c r="L207">
        <f t="shared" si="36"/>
        <v>16.08395061728395</v>
      </c>
      <c r="M207">
        <f t="shared" si="37"/>
        <v>12.514053441975308</v>
      </c>
      <c r="N207" s="9"/>
      <c r="O207" s="22">
        <v>0.89202899999999996</v>
      </c>
      <c r="P207" s="22">
        <v>10.7721</v>
      </c>
      <c r="Q207" s="22">
        <v>-1.29303E-2</v>
      </c>
      <c r="R207" s="22">
        <v>197</v>
      </c>
      <c r="S207" s="22">
        <v>0.89080800000000004</v>
      </c>
      <c r="T207">
        <f t="shared" si="38"/>
        <v>15.963333333333333</v>
      </c>
      <c r="U207">
        <f t="shared" si="39"/>
        <v>14.239756269999999</v>
      </c>
      <c r="X207" s="9"/>
      <c r="Y207" s="22">
        <v>0.77804600000000002</v>
      </c>
      <c r="Z207" s="22">
        <v>16.240500000000001</v>
      </c>
      <c r="AA207" s="22">
        <v>-1.31866E-2</v>
      </c>
      <c r="AB207" s="22">
        <v>197</v>
      </c>
      <c r="AC207" s="22">
        <v>0.77728299999999995</v>
      </c>
      <c r="AD207">
        <f t="shared" si="40"/>
        <v>16.279753086419749</v>
      </c>
      <c r="AE207">
        <f t="shared" si="41"/>
        <v>12.66639676987654</v>
      </c>
      <c r="AF207" s="9"/>
      <c r="AG207" s="22">
        <v>0.89202899999999996</v>
      </c>
      <c r="AH207" s="22">
        <v>19.999300000000002</v>
      </c>
      <c r="AI207" s="22">
        <v>-1.2914999999999999E-2</v>
      </c>
      <c r="AJ207" s="22">
        <v>197</v>
      </c>
      <c r="AK207" s="22">
        <v>0.89050300000000004</v>
      </c>
      <c r="AL207">
        <f t="shared" si="42"/>
        <v>15.944444444444441</v>
      </c>
      <c r="AM207">
        <f t="shared" si="43"/>
        <v>14.22290683333333</v>
      </c>
      <c r="AP207" s="9"/>
      <c r="AQ207" s="22">
        <v>0.77804600000000002</v>
      </c>
      <c r="AR207" s="22">
        <v>25.416699999999999</v>
      </c>
      <c r="AS207" s="22">
        <v>-1.3214099999999999E-2</v>
      </c>
      <c r="AT207" s="22">
        <v>197</v>
      </c>
      <c r="AU207" s="22">
        <v>0.77728299999999995</v>
      </c>
      <c r="AV207">
        <f t="shared" si="44"/>
        <v>16.313703703703702</v>
      </c>
      <c r="AW207">
        <f t="shared" si="45"/>
        <v>12.69281191185185</v>
      </c>
      <c r="AX207" s="9"/>
      <c r="AY207" s="22">
        <v>0.89202899999999996</v>
      </c>
      <c r="AZ207" s="22">
        <v>29.1755</v>
      </c>
      <c r="BA207" s="22">
        <v>-1.3037099999999999E-2</v>
      </c>
      <c r="BB207" s="22">
        <v>197</v>
      </c>
      <c r="BC207" s="22">
        <v>0.89141800000000004</v>
      </c>
      <c r="BD207">
        <f t="shared" si="46"/>
        <v>16.095185185185183</v>
      </c>
      <c r="BE207">
        <f t="shared" si="47"/>
        <v>14.357371945555553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7.0233800000000004</v>
      </c>
      <c r="I208" s="22">
        <v>-1.3028E-2</v>
      </c>
      <c r="J208" s="22">
        <v>198</v>
      </c>
      <c r="K208" s="22">
        <v>0.77239999999999998</v>
      </c>
      <c r="L208">
        <f t="shared" si="36"/>
        <v>16.08395061728395</v>
      </c>
      <c r="M208">
        <f t="shared" si="37"/>
        <v>12.433054666666665</v>
      </c>
      <c r="N208" s="9"/>
      <c r="O208" s="22">
        <v>0.89706399999999997</v>
      </c>
      <c r="P208" s="22">
        <v>10.7821</v>
      </c>
      <c r="Q208" s="22">
        <v>-1.29181E-2</v>
      </c>
      <c r="R208" s="22">
        <v>198</v>
      </c>
      <c r="S208" s="22">
        <v>0.89569100000000001</v>
      </c>
      <c r="T208">
        <f t="shared" si="38"/>
        <v>15.94827160493827</v>
      </c>
      <c r="U208">
        <f t="shared" si="39"/>
        <v>14.306620319012344</v>
      </c>
      <c r="X208" s="9"/>
      <c r="Y208" s="22">
        <v>0.77300999999999997</v>
      </c>
      <c r="Z208" s="22">
        <v>16.250599999999999</v>
      </c>
      <c r="AA208" s="22">
        <v>-1.3195800000000001E-2</v>
      </c>
      <c r="AB208" s="22">
        <v>198</v>
      </c>
      <c r="AC208" s="22">
        <v>0.77148399999999995</v>
      </c>
      <c r="AD208">
        <f t="shared" si="40"/>
        <v>16.29111111111111</v>
      </c>
      <c r="AE208">
        <f t="shared" si="41"/>
        <v>12.5931918</v>
      </c>
      <c r="AF208" s="9"/>
      <c r="AG208" s="22">
        <v>0.89706399999999997</v>
      </c>
      <c r="AH208" s="22">
        <v>20.0093</v>
      </c>
      <c r="AI208" s="22">
        <v>-1.29059E-2</v>
      </c>
      <c r="AJ208" s="22">
        <v>198</v>
      </c>
      <c r="AK208" s="22">
        <v>0.89569100000000001</v>
      </c>
      <c r="AL208">
        <f t="shared" si="42"/>
        <v>15.933209876543209</v>
      </c>
      <c r="AM208">
        <f t="shared" si="43"/>
        <v>14.293108984691358</v>
      </c>
      <c r="AP208" s="9"/>
      <c r="AQ208" s="22">
        <v>0.77300999999999997</v>
      </c>
      <c r="AR208" s="22">
        <v>25.4268</v>
      </c>
      <c r="AS208" s="22">
        <v>-1.32233E-2</v>
      </c>
      <c r="AT208" s="22">
        <v>198</v>
      </c>
      <c r="AU208" s="22">
        <v>0.77209499999999998</v>
      </c>
      <c r="AV208">
        <f t="shared" si="44"/>
        <v>16.32506172839506</v>
      </c>
      <c r="AW208">
        <f t="shared" si="45"/>
        <v>12.619435966666664</v>
      </c>
      <c r="AX208" s="9"/>
      <c r="AY208" s="22">
        <v>0.89706399999999997</v>
      </c>
      <c r="AZ208" s="22">
        <v>29.185600000000001</v>
      </c>
      <c r="BA208" s="22">
        <v>-1.3024900000000001E-2</v>
      </c>
      <c r="BB208" s="22">
        <v>198</v>
      </c>
      <c r="BC208" s="22">
        <v>0.89599600000000001</v>
      </c>
      <c r="BD208">
        <f t="shared" si="46"/>
        <v>16.080123456790126</v>
      </c>
      <c r="BE208">
        <f t="shared" si="47"/>
        <v>14.424899868641978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7.0334500000000002</v>
      </c>
      <c r="I209" s="22">
        <v>-1.30341E-2</v>
      </c>
      <c r="J209" s="22">
        <v>199</v>
      </c>
      <c r="K209" s="22">
        <v>0.76660200000000001</v>
      </c>
      <c r="L209">
        <f t="shared" si="36"/>
        <v>16.09148148148148</v>
      </c>
      <c r="M209">
        <f t="shared" si="37"/>
        <v>12.357855490740739</v>
      </c>
      <c r="N209" s="9"/>
      <c r="O209" s="22">
        <v>0.90210000000000001</v>
      </c>
      <c r="P209" s="22">
        <v>10.792199999999999</v>
      </c>
      <c r="Q209" s="22">
        <v>-1.2914999999999999E-2</v>
      </c>
      <c r="R209" s="22">
        <v>199</v>
      </c>
      <c r="S209" s="22">
        <v>0.90118399999999999</v>
      </c>
      <c r="T209">
        <f t="shared" si="38"/>
        <v>15.944444444444441</v>
      </c>
      <c r="U209">
        <f t="shared" si="39"/>
        <v>14.383483333333331</v>
      </c>
      <c r="X209" s="9"/>
      <c r="Y209" s="22">
        <v>0.76797499999999996</v>
      </c>
      <c r="Z209" s="22">
        <v>16.2607</v>
      </c>
      <c r="AA209" s="22">
        <v>-1.3207999999999999E-2</v>
      </c>
      <c r="AB209" s="22">
        <v>199</v>
      </c>
      <c r="AC209" s="22">
        <v>0.76690700000000001</v>
      </c>
      <c r="AD209">
        <f t="shared" si="40"/>
        <v>16.306172839506171</v>
      </c>
      <c r="AE209">
        <f t="shared" si="41"/>
        <v>12.522733086419752</v>
      </c>
      <c r="AF209" s="9"/>
      <c r="AG209" s="22">
        <v>0.90210000000000001</v>
      </c>
      <c r="AH209" s="22">
        <v>20.019400000000001</v>
      </c>
      <c r="AI209" s="22">
        <v>-1.29059E-2</v>
      </c>
      <c r="AJ209" s="22">
        <v>199</v>
      </c>
      <c r="AK209" s="22">
        <v>0.90148899999999998</v>
      </c>
      <c r="AL209">
        <f t="shared" si="42"/>
        <v>15.933209876543209</v>
      </c>
      <c r="AM209">
        <f t="shared" si="43"/>
        <v>14.373348629629628</v>
      </c>
      <c r="AP209" s="9"/>
      <c r="AQ209" s="22">
        <v>0.76797499999999996</v>
      </c>
      <c r="AR209" s="22">
        <v>25.436900000000001</v>
      </c>
      <c r="AS209" s="22">
        <v>-1.3235500000000001E-2</v>
      </c>
      <c r="AT209" s="22">
        <v>199</v>
      </c>
      <c r="AU209" s="22">
        <v>0.76721200000000001</v>
      </c>
      <c r="AV209">
        <f t="shared" si="44"/>
        <v>16.340123456790124</v>
      </c>
      <c r="AW209">
        <f t="shared" si="45"/>
        <v>12.548806311728395</v>
      </c>
      <c r="AX209" s="9"/>
      <c r="AY209" s="22">
        <v>0.90210000000000001</v>
      </c>
      <c r="AZ209" s="22">
        <v>29.195599999999999</v>
      </c>
      <c r="BA209" s="22">
        <v>-1.30066E-2</v>
      </c>
      <c r="BB209" s="22">
        <v>199</v>
      </c>
      <c r="BC209" s="22">
        <v>0.90087899999999999</v>
      </c>
      <c r="BD209">
        <f t="shared" si="46"/>
        <v>16.057530864197531</v>
      </c>
      <c r="BE209">
        <f t="shared" si="47"/>
        <v>14.485498592592593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7.04352</v>
      </c>
      <c r="I210" s="22">
        <v>-1.30341E-2</v>
      </c>
      <c r="J210" s="22">
        <v>200</v>
      </c>
      <c r="K210" s="22">
        <v>0.76171900000000003</v>
      </c>
      <c r="L210">
        <f t="shared" si="36"/>
        <v>16.09148148148148</v>
      </c>
      <c r="M210">
        <f t="shared" si="37"/>
        <v>12.27681879</v>
      </c>
      <c r="N210" s="9"/>
      <c r="O210" s="22">
        <v>0.90713500000000002</v>
      </c>
      <c r="P210" s="22">
        <v>10.802300000000001</v>
      </c>
      <c r="Q210" s="22">
        <v>-1.2908899999999999E-2</v>
      </c>
      <c r="R210" s="22">
        <v>200</v>
      </c>
      <c r="S210" s="22">
        <v>0.90637199999999996</v>
      </c>
      <c r="T210">
        <f t="shared" si="38"/>
        <v>15.936913580246911</v>
      </c>
      <c r="U210">
        <f t="shared" si="39"/>
        <v>14.456932100617282</v>
      </c>
      <c r="X210" s="9"/>
      <c r="Y210" s="22">
        <v>0.76293900000000003</v>
      </c>
      <c r="Z210" s="22">
        <v>16.270700000000001</v>
      </c>
      <c r="AA210" s="22">
        <v>-1.32233E-2</v>
      </c>
      <c r="AB210" s="22">
        <v>200</v>
      </c>
      <c r="AC210" s="22">
        <v>0.76232900000000003</v>
      </c>
      <c r="AD210">
        <f t="shared" si="40"/>
        <v>16.32506172839506</v>
      </c>
      <c r="AE210">
        <f t="shared" si="41"/>
        <v>12.455026269999999</v>
      </c>
      <c r="AF210" s="9"/>
      <c r="AG210" s="22">
        <v>0.90713500000000002</v>
      </c>
      <c r="AH210" s="22">
        <v>20.029499999999999</v>
      </c>
      <c r="AI210" s="22">
        <v>-1.2899799999999999E-2</v>
      </c>
      <c r="AJ210" s="22">
        <v>200</v>
      </c>
      <c r="AK210" s="22">
        <v>0.90606699999999996</v>
      </c>
      <c r="AL210">
        <f t="shared" si="42"/>
        <v>15.925679012345679</v>
      </c>
      <c r="AM210">
        <f t="shared" si="43"/>
        <v>14.446740830864197</v>
      </c>
      <c r="AP210" s="9"/>
      <c r="AQ210" s="22">
        <v>0.76293900000000003</v>
      </c>
      <c r="AR210" s="22">
        <v>25.446999999999999</v>
      </c>
      <c r="AS210" s="22">
        <v>-1.32446E-2</v>
      </c>
      <c r="AT210" s="22">
        <v>200</v>
      </c>
      <c r="AU210" s="22">
        <v>0.76171900000000003</v>
      </c>
      <c r="AV210">
        <f t="shared" si="44"/>
        <v>16.351358024691358</v>
      </c>
      <c r="AW210">
        <f t="shared" si="45"/>
        <v>12.47508874</v>
      </c>
      <c r="AX210" s="9"/>
      <c r="AY210" s="22">
        <v>0.90713500000000002</v>
      </c>
      <c r="AZ210" s="22">
        <v>29.2057</v>
      </c>
      <c r="BA210" s="22">
        <v>-1.2997399999999999E-2</v>
      </c>
      <c r="BB210" s="22">
        <v>200</v>
      </c>
      <c r="BC210" s="22">
        <v>0.90576199999999996</v>
      </c>
      <c r="BD210">
        <f t="shared" si="46"/>
        <v>16.04617283950617</v>
      </c>
      <c r="BE210">
        <f t="shared" si="47"/>
        <v>14.556044998765429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7.0535899999999998</v>
      </c>
      <c r="I211" s="22">
        <v>-1.30432E-2</v>
      </c>
      <c r="J211" s="22">
        <v>201</v>
      </c>
      <c r="K211" s="22">
        <v>0.75683599999999995</v>
      </c>
      <c r="L211">
        <f t="shared" si="36"/>
        <v>16.102716049382714</v>
      </c>
      <c r="M211">
        <f t="shared" si="37"/>
        <v>12.204312904691356</v>
      </c>
      <c r="N211" s="9"/>
      <c r="O211" s="22">
        <v>0.91217000000000004</v>
      </c>
      <c r="P211" s="22">
        <v>10.8124</v>
      </c>
      <c r="Q211" s="22">
        <v>-1.29059E-2</v>
      </c>
      <c r="R211" s="22">
        <v>201</v>
      </c>
      <c r="S211" s="22">
        <v>0.91186500000000004</v>
      </c>
      <c r="T211">
        <f t="shared" si="38"/>
        <v>15.933209876543209</v>
      </c>
      <c r="U211">
        <f t="shared" si="39"/>
        <v>14.533796053086419</v>
      </c>
      <c r="X211" s="9"/>
      <c r="Y211" s="22">
        <v>0.75790400000000002</v>
      </c>
      <c r="Z211" s="22">
        <v>16.280799999999999</v>
      </c>
      <c r="AA211" s="22">
        <v>-1.32385E-2</v>
      </c>
      <c r="AB211" s="22">
        <v>201</v>
      </c>
      <c r="AC211" s="22">
        <v>0.75714099999999995</v>
      </c>
      <c r="AD211">
        <f t="shared" si="40"/>
        <v>16.343827160493824</v>
      </c>
      <c r="AE211">
        <f t="shared" si="41"/>
        <v>12.387051980246911</v>
      </c>
      <c r="AF211" s="9"/>
      <c r="AG211" s="22">
        <v>0.91217000000000004</v>
      </c>
      <c r="AH211" s="22">
        <v>20.0396</v>
      </c>
      <c r="AI211" s="22">
        <v>-1.28845E-2</v>
      </c>
      <c r="AJ211" s="22">
        <v>201</v>
      </c>
      <c r="AK211" s="22">
        <v>0.91064500000000004</v>
      </c>
      <c r="AL211">
        <f t="shared" si="42"/>
        <v>15.906790123456791</v>
      </c>
      <c r="AM211">
        <f t="shared" si="43"/>
        <v>14.509696746913582</v>
      </c>
      <c r="AP211" s="9"/>
      <c r="AQ211" s="22">
        <v>0.75790400000000002</v>
      </c>
      <c r="AR211" s="22">
        <v>25.457000000000001</v>
      </c>
      <c r="AS211" s="22">
        <v>-1.32538E-2</v>
      </c>
      <c r="AT211" s="22">
        <v>201</v>
      </c>
      <c r="AU211" s="22">
        <v>0.75683599999999995</v>
      </c>
      <c r="AV211">
        <f t="shared" si="44"/>
        <v>16.362716049382716</v>
      </c>
      <c r="AW211">
        <f t="shared" si="45"/>
        <v>12.401367944691359</v>
      </c>
      <c r="AX211" s="9"/>
      <c r="AY211" s="22">
        <v>0.91217000000000004</v>
      </c>
      <c r="AZ211" s="22">
        <v>29.215800000000002</v>
      </c>
      <c r="BA211" s="22">
        <v>-1.29791E-2</v>
      </c>
      <c r="BB211" s="22">
        <v>201</v>
      </c>
      <c r="BC211" s="22">
        <v>0.91125500000000004</v>
      </c>
      <c r="BD211">
        <f t="shared" si="46"/>
        <v>16.023580246913578</v>
      </c>
      <c r="BE211">
        <f t="shared" si="47"/>
        <v>14.616229193827159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7.0636599999999996</v>
      </c>
      <c r="I212" s="22">
        <v>-1.30524E-2</v>
      </c>
      <c r="J212" s="22">
        <v>202</v>
      </c>
      <c r="K212" s="22">
        <v>0.75225799999999998</v>
      </c>
      <c r="L212">
        <f t="shared" si="36"/>
        <v>16.114074074074072</v>
      </c>
      <c r="M212">
        <f t="shared" si="37"/>
        <v>12.131786834074072</v>
      </c>
      <c r="N212" s="9"/>
      <c r="O212" s="22">
        <v>0.91720599999999997</v>
      </c>
      <c r="P212" s="22">
        <v>10.8224</v>
      </c>
      <c r="Q212" s="22">
        <v>-1.2902800000000001E-2</v>
      </c>
      <c r="R212" s="22">
        <v>202</v>
      </c>
      <c r="S212" s="22">
        <v>0.91583300000000001</v>
      </c>
      <c r="T212">
        <f t="shared" si="38"/>
        <v>15.929382716049382</v>
      </c>
      <c r="U212">
        <f t="shared" si="39"/>
        <v>14.610525403456789</v>
      </c>
      <c r="X212" s="9"/>
      <c r="Y212" s="22">
        <v>0.75286900000000001</v>
      </c>
      <c r="Z212" s="22">
        <v>16.290900000000001</v>
      </c>
      <c r="AA212" s="22">
        <v>-1.3247699999999999E-2</v>
      </c>
      <c r="AB212" s="22">
        <v>202</v>
      </c>
      <c r="AC212" s="22">
        <v>0.75195299999999998</v>
      </c>
      <c r="AD212">
        <f t="shared" si="40"/>
        <v>16.355185185185185</v>
      </c>
      <c r="AE212">
        <f t="shared" si="41"/>
        <v>12.313311915185185</v>
      </c>
      <c r="AF212" s="9"/>
      <c r="AG212" s="22">
        <v>0.91720599999999997</v>
      </c>
      <c r="AH212" s="22">
        <v>20.049600000000002</v>
      </c>
      <c r="AI212" s="22">
        <v>-1.28784E-2</v>
      </c>
      <c r="AJ212" s="22">
        <v>202</v>
      </c>
      <c r="AK212" s="22">
        <v>0.91644300000000001</v>
      </c>
      <c r="AL212">
        <f t="shared" si="42"/>
        <v>15.899259259259258</v>
      </c>
      <c r="AM212">
        <f t="shared" si="43"/>
        <v>14.582895988148147</v>
      </c>
      <c r="AP212" s="9"/>
      <c r="AQ212" s="22">
        <v>0.75286900000000001</v>
      </c>
      <c r="AR212" s="22">
        <v>25.467099999999999</v>
      </c>
      <c r="AS212" s="22">
        <v>-1.32599E-2</v>
      </c>
      <c r="AT212" s="22">
        <v>202</v>
      </c>
      <c r="AU212" s="22">
        <v>0.75195299999999998</v>
      </c>
      <c r="AV212">
        <f t="shared" si="44"/>
        <v>16.370246913580246</v>
      </c>
      <c r="AW212">
        <f t="shared" si="45"/>
        <v>12.324651423580246</v>
      </c>
      <c r="AX212" s="9"/>
      <c r="AY212" s="22">
        <v>0.91720599999999997</v>
      </c>
      <c r="AZ212" s="22">
        <v>29.225899999999999</v>
      </c>
      <c r="BA212" s="22">
        <v>-1.29669E-2</v>
      </c>
      <c r="BB212" s="22">
        <v>202</v>
      </c>
      <c r="BC212" s="22">
        <v>0.91613800000000001</v>
      </c>
      <c r="BD212">
        <f t="shared" si="46"/>
        <v>16.008518518518514</v>
      </c>
      <c r="BE212">
        <f t="shared" si="47"/>
        <v>14.683109236296291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7.0737300000000003</v>
      </c>
      <c r="I213" s="22">
        <v>-1.30615E-2</v>
      </c>
      <c r="J213" s="22">
        <v>203</v>
      </c>
      <c r="K213" s="22">
        <v>0.74710100000000002</v>
      </c>
      <c r="L213">
        <f t="shared" si="36"/>
        <v>16.125308641975309</v>
      </c>
      <c r="M213">
        <f t="shared" si="37"/>
        <v>12.05903793765432</v>
      </c>
      <c r="N213" s="9"/>
      <c r="O213" s="22">
        <v>0.92224099999999998</v>
      </c>
      <c r="P213" s="22">
        <v>10.8325</v>
      </c>
      <c r="Q213" s="22">
        <v>-1.2887600000000001E-2</v>
      </c>
      <c r="R213" s="22">
        <v>203</v>
      </c>
      <c r="S213" s="22">
        <v>0.92132599999999998</v>
      </c>
      <c r="T213">
        <f t="shared" si="38"/>
        <v>15.910617283950618</v>
      </c>
      <c r="U213">
        <f t="shared" si="39"/>
        <v>14.673423594567902</v>
      </c>
      <c r="X213" s="9"/>
      <c r="Y213" s="22">
        <v>0.74783299999999997</v>
      </c>
      <c r="Z213" s="22">
        <v>16.300899999999999</v>
      </c>
      <c r="AA213" s="22">
        <v>-1.32385E-2</v>
      </c>
      <c r="AB213" s="22">
        <v>203</v>
      </c>
      <c r="AC213" s="22">
        <v>0.74700900000000003</v>
      </c>
      <c r="AD213">
        <f t="shared" si="40"/>
        <v>16.343827160493824</v>
      </c>
      <c r="AE213">
        <f t="shared" si="41"/>
        <v>12.222453296913578</v>
      </c>
      <c r="AF213" s="9"/>
      <c r="AG213" s="22">
        <v>0.92224099999999998</v>
      </c>
      <c r="AH213" s="22">
        <v>20.059699999999999</v>
      </c>
      <c r="AI213" s="22">
        <v>-1.28754E-2</v>
      </c>
      <c r="AJ213" s="22">
        <v>203</v>
      </c>
      <c r="AK213" s="22">
        <v>0.92040999999999995</v>
      </c>
      <c r="AL213">
        <f t="shared" si="42"/>
        <v>15.895555555555555</v>
      </c>
      <c r="AM213">
        <f t="shared" si="43"/>
        <v>14.65953305111111</v>
      </c>
      <c r="AP213" s="9"/>
      <c r="AQ213" s="22">
        <v>0.74783299999999997</v>
      </c>
      <c r="AR213" s="22">
        <v>25.4772</v>
      </c>
      <c r="AS213" s="22">
        <v>-1.3262899999999999E-2</v>
      </c>
      <c r="AT213" s="22">
        <v>203</v>
      </c>
      <c r="AU213" s="22">
        <v>0.74694799999999995</v>
      </c>
      <c r="AV213">
        <f t="shared" si="44"/>
        <v>16.373950617283949</v>
      </c>
      <c r="AW213">
        <f t="shared" si="45"/>
        <v>12.244980611975308</v>
      </c>
      <c r="AX213" s="9"/>
      <c r="AY213" s="22">
        <v>0.92224099999999998</v>
      </c>
      <c r="AZ213" s="22">
        <v>29.235900000000001</v>
      </c>
      <c r="BA213" s="22">
        <v>-1.29547E-2</v>
      </c>
      <c r="BB213" s="22">
        <v>203</v>
      </c>
      <c r="BC213" s="22">
        <v>0.92132599999999998</v>
      </c>
      <c r="BD213">
        <f t="shared" si="46"/>
        <v>15.993456790123457</v>
      </c>
      <c r="BE213">
        <f t="shared" si="47"/>
        <v>14.749821583580246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7.0838000000000001</v>
      </c>
      <c r="I214" s="22">
        <v>-1.3064600000000001E-2</v>
      </c>
      <c r="J214" s="22">
        <v>204</v>
      </c>
      <c r="K214" s="22">
        <v>0.742004</v>
      </c>
      <c r="L214">
        <f t="shared" si="36"/>
        <v>16.129135802469136</v>
      </c>
      <c r="M214">
        <f t="shared" si="37"/>
        <v>11.980689815802469</v>
      </c>
      <c r="N214" s="9"/>
      <c r="O214" s="22">
        <v>0.92727700000000002</v>
      </c>
      <c r="P214" s="22">
        <v>10.842599999999999</v>
      </c>
      <c r="Q214" s="22">
        <v>-1.28906E-2</v>
      </c>
      <c r="R214" s="22">
        <v>204</v>
      </c>
      <c r="S214" s="22">
        <v>0.92681899999999995</v>
      </c>
      <c r="T214">
        <f t="shared" si="38"/>
        <v>15.914320987654323</v>
      </c>
      <c r="U214">
        <f t="shared" si="39"/>
        <v>14.756983822469138</v>
      </c>
      <c r="X214" s="9"/>
      <c r="Y214" s="22">
        <v>0.74279799999999996</v>
      </c>
      <c r="Z214" s="22">
        <v>16.311</v>
      </c>
      <c r="AA214" s="22">
        <v>-1.32324E-2</v>
      </c>
      <c r="AB214" s="22">
        <v>204</v>
      </c>
      <c r="AC214" s="22">
        <v>0.742004</v>
      </c>
      <c r="AD214">
        <f t="shared" si="40"/>
        <v>16.336296296296297</v>
      </c>
      <c r="AE214">
        <f t="shared" si="41"/>
        <v>12.134568216296296</v>
      </c>
      <c r="AF214" s="9"/>
      <c r="AG214" s="22">
        <v>0.92727700000000002</v>
      </c>
      <c r="AH214" s="22">
        <v>20.069800000000001</v>
      </c>
      <c r="AI214" s="22">
        <v>-1.28723E-2</v>
      </c>
      <c r="AJ214" s="22">
        <v>204</v>
      </c>
      <c r="AK214" s="22">
        <v>0.92620800000000003</v>
      </c>
      <c r="AL214">
        <f t="shared" si="42"/>
        <v>15.891728395061728</v>
      </c>
      <c r="AM214">
        <f t="shared" si="43"/>
        <v>14.736034230987654</v>
      </c>
      <c r="AP214" s="9"/>
      <c r="AQ214" s="22">
        <v>0.74279799999999996</v>
      </c>
      <c r="AR214" s="22">
        <v>25.487200000000001</v>
      </c>
      <c r="AS214" s="22">
        <v>-1.32721E-2</v>
      </c>
      <c r="AT214" s="22">
        <v>204</v>
      </c>
      <c r="AU214" s="22">
        <v>0.74197400000000002</v>
      </c>
      <c r="AV214">
        <f t="shared" si="44"/>
        <v>16.385308641975307</v>
      </c>
      <c r="AW214">
        <f t="shared" si="45"/>
        <v>12.170974488641974</v>
      </c>
      <c r="AX214" s="9"/>
      <c r="AY214" s="22">
        <v>0.92727700000000002</v>
      </c>
      <c r="AZ214" s="22">
        <v>29.245999999999999</v>
      </c>
      <c r="BA214" s="22">
        <v>-1.29547E-2</v>
      </c>
      <c r="BB214" s="22">
        <v>204</v>
      </c>
      <c r="BC214" s="22">
        <v>0.92620800000000003</v>
      </c>
      <c r="BD214">
        <f t="shared" si="46"/>
        <v>15.993456790123457</v>
      </c>
      <c r="BE214">
        <f t="shared" si="47"/>
        <v>14.830364631975309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7.0938699999999999</v>
      </c>
      <c r="I215" s="22">
        <v>-1.3064600000000001E-2</v>
      </c>
      <c r="J215" s="22">
        <v>205</v>
      </c>
      <c r="K215" s="22">
        <v>0.73699999999999999</v>
      </c>
      <c r="L215">
        <f t="shared" si="36"/>
        <v>16.129135802469136</v>
      </c>
      <c r="M215">
        <f t="shared" si="37"/>
        <v>11.899463487901235</v>
      </c>
      <c r="N215" s="9"/>
      <c r="O215" s="22">
        <v>0.93231200000000003</v>
      </c>
      <c r="P215" s="22">
        <v>10.852600000000001</v>
      </c>
      <c r="Q215" s="22">
        <v>-1.2896700000000001E-2</v>
      </c>
      <c r="R215" s="22">
        <v>205</v>
      </c>
      <c r="S215" s="22">
        <v>0.931091</v>
      </c>
      <c r="T215">
        <f t="shared" si="38"/>
        <v>15.92185185185185</v>
      </c>
      <c r="U215">
        <f t="shared" si="39"/>
        <v>14.844133543703702</v>
      </c>
      <c r="X215" s="9"/>
      <c r="Y215" s="22">
        <v>0.73776200000000003</v>
      </c>
      <c r="Z215" s="22">
        <v>16.321100000000001</v>
      </c>
      <c r="AA215" s="22">
        <v>-1.32324E-2</v>
      </c>
      <c r="AB215" s="22">
        <v>205</v>
      </c>
      <c r="AC215" s="22">
        <v>0.73696899999999999</v>
      </c>
      <c r="AD215">
        <f t="shared" si="40"/>
        <v>16.336296296296297</v>
      </c>
      <c r="AE215">
        <f t="shared" si="41"/>
        <v>12.052298628148149</v>
      </c>
      <c r="AF215" s="9"/>
      <c r="AG215" s="22">
        <v>0.93231200000000003</v>
      </c>
      <c r="AH215" s="22">
        <v>20.079799999999999</v>
      </c>
      <c r="AI215" s="22">
        <v>-1.28723E-2</v>
      </c>
      <c r="AJ215" s="22">
        <v>205</v>
      </c>
      <c r="AK215" s="22">
        <v>0.931091</v>
      </c>
      <c r="AL215">
        <f t="shared" si="42"/>
        <v>15.891728395061728</v>
      </c>
      <c r="AM215">
        <f t="shared" si="43"/>
        <v>14.81604908345679</v>
      </c>
      <c r="AP215" s="9"/>
      <c r="AQ215" s="22">
        <v>0.73776200000000003</v>
      </c>
      <c r="AR215" s="22">
        <v>25.497299999999999</v>
      </c>
      <c r="AS215" s="22">
        <v>-1.32782E-2</v>
      </c>
      <c r="AT215" s="22">
        <v>205</v>
      </c>
      <c r="AU215" s="22">
        <v>0.73696899999999999</v>
      </c>
      <c r="AV215">
        <f t="shared" si="44"/>
        <v>16.392839506172837</v>
      </c>
      <c r="AW215">
        <f t="shared" si="45"/>
        <v>12.094014059753086</v>
      </c>
      <c r="AX215" s="9"/>
      <c r="AY215" s="22">
        <v>0.93231200000000003</v>
      </c>
      <c r="AZ215" s="22">
        <v>29.2561</v>
      </c>
      <c r="BA215" s="22">
        <v>-1.29517E-2</v>
      </c>
      <c r="BB215" s="22">
        <v>205</v>
      </c>
      <c r="BC215" s="22">
        <v>0.931091</v>
      </c>
      <c r="BD215">
        <f t="shared" si="46"/>
        <v>15.989753086419752</v>
      </c>
      <c r="BE215">
        <f t="shared" si="47"/>
        <v>14.907438679506171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7.1039500000000002</v>
      </c>
      <c r="I216" s="22">
        <v>-1.3070699999999999E-2</v>
      </c>
      <c r="J216" s="22">
        <v>206</v>
      </c>
      <c r="K216" s="22">
        <v>0.731873</v>
      </c>
      <c r="L216">
        <f t="shared" si="36"/>
        <v>16.136666666666663</v>
      </c>
      <c r="M216">
        <f t="shared" si="37"/>
        <v>11.823771356666665</v>
      </c>
      <c r="N216" s="9"/>
      <c r="O216" s="22">
        <v>0.93734700000000004</v>
      </c>
      <c r="P216" s="22">
        <v>10.8627</v>
      </c>
      <c r="Q216" s="22">
        <v>-1.28906E-2</v>
      </c>
      <c r="R216" s="22">
        <v>206</v>
      </c>
      <c r="S216" s="22">
        <v>0.93597399999999997</v>
      </c>
      <c r="T216">
        <f t="shared" si="38"/>
        <v>15.914320987654323</v>
      </c>
      <c r="U216">
        <f t="shared" si="39"/>
        <v>14.917241034814817</v>
      </c>
      <c r="X216" s="9"/>
      <c r="Y216" s="22">
        <v>0.73272700000000002</v>
      </c>
      <c r="Z216" s="22">
        <v>16.331199999999999</v>
      </c>
      <c r="AA216" s="22">
        <v>-1.32324E-2</v>
      </c>
      <c r="AB216" s="22">
        <v>206</v>
      </c>
      <c r="AC216" s="22">
        <v>0.73196399999999995</v>
      </c>
      <c r="AD216">
        <f t="shared" si="40"/>
        <v>16.336296296296297</v>
      </c>
      <c r="AE216">
        <f t="shared" si="41"/>
        <v>11.970045376296296</v>
      </c>
      <c r="AF216" s="9"/>
      <c r="AG216" s="22">
        <v>0.93734700000000004</v>
      </c>
      <c r="AH216" s="22">
        <v>20.0899</v>
      </c>
      <c r="AI216" s="22">
        <v>-1.28662E-2</v>
      </c>
      <c r="AJ216" s="22">
        <v>206</v>
      </c>
      <c r="AK216" s="22">
        <v>0.93627899999999997</v>
      </c>
      <c r="AL216">
        <f t="shared" si="42"/>
        <v>15.884197530864196</v>
      </c>
      <c r="AM216">
        <f t="shared" si="43"/>
        <v>14.889004902962961</v>
      </c>
      <c r="AP216" s="9"/>
      <c r="AQ216" s="22">
        <v>0.73272700000000002</v>
      </c>
      <c r="AR216" s="22">
        <v>25.507400000000001</v>
      </c>
      <c r="AS216" s="22">
        <v>-1.3281299999999999E-2</v>
      </c>
      <c r="AT216" s="22">
        <v>206</v>
      </c>
      <c r="AU216" s="22">
        <v>0.73193399999999997</v>
      </c>
      <c r="AV216">
        <f t="shared" si="44"/>
        <v>16.396666666666665</v>
      </c>
      <c r="AW216">
        <f t="shared" si="45"/>
        <v>12.014280376666665</v>
      </c>
      <c r="AX216" s="9"/>
      <c r="AY216" s="22">
        <v>0.93734700000000004</v>
      </c>
      <c r="AZ216" s="22">
        <v>29.266100000000002</v>
      </c>
      <c r="BA216" s="22">
        <v>-1.29395E-2</v>
      </c>
      <c r="BB216" s="22">
        <v>206</v>
      </c>
      <c r="BC216" s="22">
        <v>0.93627899999999997</v>
      </c>
      <c r="BD216">
        <f t="shared" si="46"/>
        <v>15.974691358024689</v>
      </c>
      <c r="BE216">
        <f t="shared" si="47"/>
        <v>14.973829020370369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7.11402</v>
      </c>
      <c r="I217" s="22">
        <v>-1.3073700000000001E-2</v>
      </c>
      <c r="J217" s="22">
        <v>207</v>
      </c>
      <c r="K217" s="22">
        <v>0.72686799999999996</v>
      </c>
      <c r="L217">
        <f t="shared" si="36"/>
        <v>16.14037037037037</v>
      </c>
      <c r="M217">
        <f t="shared" si="37"/>
        <v>11.745218395555556</v>
      </c>
      <c r="N217" s="9"/>
      <c r="O217" s="22">
        <v>0.94238299999999997</v>
      </c>
      <c r="P217" s="22">
        <v>10.8728</v>
      </c>
      <c r="Q217" s="22">
        <v>-1.2887600000000001E-2</v>
      </c>
      <c r="R217" s="22">
        <v>207</v>
      </c>
      <c r="S217" s="22">
        <v>0.94146700000000005</v>
      </c>
      <c r="T217">
        <f t="shared" si="38"/>
        <v>15.910617283950618</v>
      </c>
      <c r="U217">
        <f t="shared" si="39"/>
        <v>14.993895247901234</v>
      </c>
      <c r="X217" s="9"/>
      <c r="Y217" s="22">
        <v>0.72769200000000001</v>
      </c>
      <c r="Z217" s="22">
        <v>16.341200000000001</v>
      </c>
      <c r="AA217" s="22">
        <v>-1.3241599999999999E-2</v>
      </c>
      <c r="AB217" s="22">
        <v>207</v>
      </c>
      <c r="AC217" s="22">
        <v>0.72692900000000005</v>
      </c>
      <c r="AD217">
        <f t="shared" si="40"/>
        <v>16.347654320987651</v>
      </c>
      <c r="AE217">
        <f t="shared" si="41"/>
        <v>11.896057268148146</v>
      </c>
      <c r="AF217" s="9"/>
      <c r="AG217" s="22">
        <v>0.94238299999999997</v>
      </c>
      <c r="AH217" s="22">
        <v>20.100000000000001</v>
      </c>
      <c r="AI217" s="22">
        <v>-1.28662E-2</v>
      </c>
      <c r="AJ217" s="22">
        <v>207</v>
      </c>
      <c r="AK217" s="22">
        <v>0.94116200000000005</v>
      </c>
      <c r="AL217">
        <f t="shared" si="42"/>
        <v>15.884197530864196</v>
      </c>
      <c r="AM217">
        <f t="shared" si="43"/>
        <v>14.968997721728392</v>
      </c>
      <c r="AP217" s="9"/>
      <c r="AQ217" s="22">
        <v>0.72769200000000001</v>
      </c>
      <c r="AR217" s="22">
        <v>25.517499999999998</v>
      </c>
      <c r="AS217" s="22">
        <v>-1.3281299999999999E-2</v>
      </c>
      <c r="AT217" s="22">
        <v>207</v>
      </c>
      <c r="AU217" s="22">
        <v>0.72686799999999996</v>
      </c>
      <c r="AV217">
        <f t="shared" si="44"/>
        <v>16.396666666666665</v>
      </c>
      <c r="AW217">
        <f t="shared" si="45"/>
        <v>11.931723159999999</v>
      </c>
      <c r="AX217" s="9"/>
      <c r="AY217" s="22">
        <v>0.94238299999999997</v>
      </c>
      <c r="AZ217" s="22">
        <v>29.276199999999999</v>
      </c>
      <c r="BA217" s="22">
        <v>-1.29333E-2</v>
      </c>
      <c r="BB217" s="22">
        <v>207</v>
      </c>
      <c r="BC217" s="22">
        <v>0.94116200000000005</v>
      </c>
      <c r="BD217">
        <f t="shared" si="46"/>
        <v>15.967037037037036</v>
      </c>
      <c r="BE217">
        <f t="shared" si="47"/>
        <v>15.047064264074073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7.1240899999999998</v>
      </c>
      <c r="I218" s="22">
        <v>-1.3091999999999999E-2</v>
      </c>
      <c r="J218" s="22">
        <v>208</v>
      </c>
      <c r="K218" s="22">
        <v>0.72186300000000003</v>
      </c>
      <c r="L218">
        <f t="shared" si="36"/>
        <v>16.162962962962961</v>
      </c>
      <c r="M218">
        <f t="shared" si="37"/>
        <v>11.680262162962961</v>
      </c>
      <c r="N218" s="9"/>
      <c r="O218" s="22">
        <v>0.94741799999999998</v>
      </c>
      <c r="P218" s="22">
        <v>10.8828</v>
      </c>
      <c r="Q218" s="22">
        <v>-1.28754E-2</v>
      </c>
      <c r="R218" s="22">
        <v>208</v>
      </c>
      <c r="S218" s="22">
        <v>0.94604500000000002</v>
      </c>
      <c r="T218">
        <f t="shared" si="38"/>
        <v>15.895555555555555</v>
      </c>
      <c r="U218">
        <f t="shared" si="39"/>
        <v>15.059735453333333</v>
      </c>
      <c r="X218" s="9"/>
      <c r="Y218" s="22">
        <v>0.72265599999999997</v>
      </c>
      <c r="Z218" s="22">
        <v>16.351299999999998</v>
      </c>
      <c r="AA218" s="22">
        <v>-1.32446E-2</v>
      </c>
      <c r="AB218" s="22">
        <v>208</v>
      </c>
      <c r="AC218" s="22">
        <v>0.72192400000000001</v>
      </c>
      <c r="AD218">
        <f t="shared" si="40"/>
        <v>16.351358024691358</v>
      </c>
      <c r="AE218">
        <f t="shared" si="41"/>
        <v>11.816406984691357</v>
      </c>
      <c r="AF218" s="9"/>
      <c r="AG218" s="22">
        <v>0.94741799999999998</v>
      </c>
      <c r="AH218" s="22">
        <v>20.110099999999999</v>
      </c>
      <c r="AI218" s="22">
        <v>-1.2851E-2</v>
      </c>
      <c r="AJ218" s="22">
        <v>208</v>
      </c>
      <c r="AK218" s="22">
        <v>0.94635000000000002</v>
      </c>
      <c r="AL218">
        <f t="shared" si="42"/>
        <v>15.865432098765432</v>
      </c>
      <c r="AM218">
        <f t="shared" si="43"/>
        <v>15.031195948148147</v>
      </c>
      <c r="AP218" s="9"/>
      <c r="AQ218" s="22">
        <v>0.72265599999999997</v>
      </c>
      <c r="AR218" s="22">
        <v>25.5275</v>
      </c>
      <c r="AS218" s="22">
        <v>-1.32782E-2</v>
      </c>
      <c r="AT218" s="22">
        <v>208</v>
      </c>
      <c r="AU218" s="22">
        <v>0.72189300000000001</v>
      </c>
      <c r="AV218">
        <f t="shared" si="44"/>
        <v>16.392839506172837</v>
      </c>
      <c r="AW218">
        <f t="shared" si="45"/>
        <v>11.846383826172838</v>
      </c>
      <c r="AX218" s="9"/>
      <c r="AY218" s="22">
        <v>0.94741799999999998</v>
      </c>
      <c r="AZ218" s="22">
        <v>29.286300000000001</v>
      </c>
      <c r="BA218" s="22">
        <v>-1.29272E-2</v>
      </c>
      <c r="BB218" s="22">
        <v>208</v>
      </c>
      <c r="BC218" s="22">
        <v>0.94635000000000002</v>
      </c>
      <c r="BD218">
        <f t="shared" si="46"/>
        <v>15.959506172839506</v>
      </c>
      <c r="BE218">
        <f t="shared" si="47"/>
        <v>15.120323419259259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7.1341599999999996</v>
      </c>
      <c r="I219" s="22">
        <v>-1.3119499999999999E-2</v>
      </c>
      <c r="J219" s="22">
        <v>209</v>
      </c>
      <c r="K219" s="22">
        <v>0.716858</v>
      </c>
      <c r="L219">
        <f t="shared" si="36"/>
        <v>16.19691358024691</v>
      </c>
      <c r="M219">
        <f t="shared" si="37"/>
        <v>11.623245320370367</v>
      </c>
      <c r="N219" s="9"/>
      <c r="O219" s="22">
        <v>0.95245400000000002</v>
      </c>
      <c r="P219" s="22">
        <v>10.892899999999999</v>
      </c>
      <c r="Q219" s="22">
        <v>-1.28693E-2</v>
      </c>
      <c r="R219" s="22">
        <v>209</v>
      </c>
      <c r="S219" s="22">
        <v>0.95153799999999999</v>
      </c>
      <c r="T219">
        <f t="shared" si="38"/>
        <v>15.888024691358023</v>
      </c>
      <c r="U219">
        <f t="shared" si="39"/>
        <v>15.132612669382715</v>
      </c>
      <c r="X219" s="9"/>
      <c r="Y219" s="22">
        <v>0.71762099999999995</v>
      </c>
      <c r="Z219" s="22">
        <v>16.3614</v>
      </c>
      <c r="AA219" s="22">
        <v>-1.3247699999999999E-2</v>
      </c>
      <c r="AB219" s="22">
        <v>209</v>
      </c>
      <c r="AC219" s="22">
        <v>0.71682699999999999</v>
      </c>
      <c r="AD219">
        <f t="shared" si="40"/>
        <v>16.355185185185185</v>
      </c>
      <c r="AE219">
        <f t="shared" si="41"/>
        <v>11.736824347777777</v>
      </c>
      <c r="AF219" s="9"/>
      <c r="AG219" s="22">
        <v>0.95245400000000002</v>
      </c>
      <c r="AH219" s="22">
        <v>20.120100000000001</v>
      </c>
      <c r="AI219" s="22">
        <v>-1.28357E-2</v>
      </c>
      <c r="AJ219" s="22">
        <v>209</v>
      </c>
      <c r="AK219" s="22">
        <v>0.95153799999999999</v>
      </c>
      <c r="AL219">
        <f t="shared" si="42"/>
        <v>15.846543209876542</v>
      </c>
      <c r="AM219">
        <f t="shared" si="43"/>
        <v>15.093103466419752</v>
      </c>
      <c r="AP219" s="9"/>
      <c r="AQ219" s="22">
        <v>0.71762099999999995</v>
      </c>
      <c r="AR219" s="22">
        <v>25.537600000000001</v>
      </c>
      <c r="AS219" s="22">
        <v>-1.32782E-2</v>
      </c>
      <c r="AT219" s="22">
        <v>209</v>
      </c>
      <c r="AU219" s="22">
        <v>0.71691899999999997</v>
      </c>
      <c r="AV219">
        <f t="shared" si="44"/>
        <v>16.392839506172837</v>
      </c>
      <c r="AW219">
        <f t="shared" si="45"/>
        <v>11.763845879259257</v>
      </c>
      <c r="AX219" s="9"/>
      <c r="AY219" s="22">
        <v>0.95245400000000002</v>
      </c>
      <c r="AZ219" s="22">
        <v>29.296399999999998</v>
      </c>
      <c r="BA219" s="22">
        <v>-1.29181E-2</v>
      </c>
      <c r="BB219" s="22">
        <v>209</v>
      </c>
      <c r="BC219" s="22">
        <v>0.951233</v>
      </c>
      <c r="BD219">
        <f t="shared" si="46"/>
        <v>15.94827160493827</v>
      </c>
      <c r="BE219">
        <f t="shared" si="47"/>
        <v>15.189995083209876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7.1442300000000003</v>
      </c>
      <c r="I220" s="22">
        <v>-1.31317E-2</v>
      </c>
      <c r="J220" s="22">
        <v>210</v>
      </c>
      <c r="K220" s="22">
        <v>0.71185299999999996</v>
      </c>
      <c r="L220">
        <f t="shared" si="36"/>
        <v>16.211975308641971</v>
      </c>
      <c r="M220">
        <f t="shared" si="37"/>
        <v>11.55241042530864</v>
      </c>
      <c r="N220" s="9"/>
      <c r="O220" s="22">
        <v>0.95748900000000003</v>
      </c>
      <c r="P220" s="22">
        <v>10.903</v>
      </c>
      <c r="Q220" s="22">
        <v>-1.28571E-2</v>
      </c>
      <c r="R220" s="22">
        <v>210</v>
      </c>
      <c r="S220" s="22">
        <v>0.95642099999999997</v>
      </c>
      <c r="T220">
        <f t="shared" si="38"/>
        <v>15.87296296296296</v>
      </c>
      <c r="U220">
        <f t="shared" si="39"/>
        <v>15.198187434444442</v>
      </c>
      <c r="X220" s="9"/>
      <c r="Y220" s="22">
        <v>0.71258500000000002</v>
      </c>
      <c r="Z220" s="22">
        <v>16.371400000000001</v>
      </c>
      <c r="AA220" s="22">
        <v>-1.3256799999999999E-2</v>
      </c>
      <c r="AB220" s="22">
        <v>210</v>
      </c>
      <c r="AC220" s="22">
        <v>0.711731</v>
      </c>
      <c r="AD220">
        <f t="shared" si="40"/>
        <v>16.366419753086415</v>
      </c>
      <c r="AE220">
        <f t="shared" si="41"/>
        <v>11.662465219753084</v>
      </c>
      <c r="AF220" s="9"/>
      <c r="AG220" s="22">
        <v>0.95748900000000003</v>
      </c>
      <c r="AH220" s="22">
        <v>20.130199999999999</v>
      </c>
      <c r="AI220" s="22">
        <v>-1.2826499999999999E-2</v>
      </c>
      <c r="AJ220" s="22">
        <v>210</v>
      </c>
      <c r="AK220" s="22">
        <v>0.95642099999999997</v>
      </c>
      <c r="AL220">
        <f t="shared" si="42"/>
        <v>15.835185185185185</v>
      </c>
      <c r="AM220">
        <f t="shared" si="43"/>
        <v>15.162015627777778</v>
      </c>
      <c r="AP220" s="9"/>
      <c r="AQ220" s="22">
        <v>0.71258500000000002</v>
      </c>
      <c r="AR220" s="22">
        <v>25.547699999999999</v>
      </c>
      <c r="AS220" s="22">
        <v>-1.3281299999999999E-2</v>
      </c>
      <c r="AT220" s="22">
        <v>210</v>
      </c>
      <c r="AU220" s="22">
        <v>0.71182299999999998</v>
      </c>
      <c r="AV220">
        <f t="shared" si="44"/>
        <v>16.396666666666665</v>
      </c>
      <c r="AW220">
        <f t="shared" si="45"/>
        <v>11.684018716666666</v>
      </c>
      <c r="AX220" s="9"/>
      <c r="AY220" s="22">
        <v>0.95748900000000003</v>
      </c>
      <c r="AZ220" s="22">
        <v>29.3064</v>
      </c>
      <c r="BA220" s="22">
        <v>-1.2908899999999999E-2</v>
      </c>
      <c r="BB220" s="22">
        <v>210</v>
      </c>
      <c r="BC220" s="22">
        <v>0.95642099999999997</v>
      </c>
      <c r="BD220">
        <f t="shared" si="46"/>
        <v>15.936913580246911</v>
      </c>
      <c r="BE220">
        <f t="shared" si="47"/>
        <v>15.259419447037034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7.1543000000000001</v>
      </c>
      <c r="I221" s="22">
        <v>-1.31348E-2</v>
      </c>
      <c r="J221" s="22">
        <v>211</v>
      </c>
      <c r="K221" s="22">
        <v>0.70684800000000003</v>
      </c>
      <c r="L221">
        <f t="shared" si="36"/>
        <v>16.215802469135802</v>
      </c>
      <c r="M221">
        <f t="shared" si="37"/>
        <v>11.473491037037038</v>
      </c>
      <c r="N221" s="9"/>
      <c r="O221" s="22">
        <v>0.96252400000000005</v>
      </c>
      <c r="P221" s="22">
        <v>10.9131</v>
      </c>
      <c r="Q221" s="22">
        <v>-1.2847900000000001E-2</v>
      </c>
      <c r="R221" s="22">
        <v>211</v>
      </c>
      <c r="S221" s="22">
        <v>0.96099900000000005</v>
      </c>
      <c r="T221">
        <f t="shared" si="38"/>
        <v>15.861604938271604</v>
      </c>
      <c r="U221">
        <f t="shared" si="39"/>
        <v>15.267175431604938</v>
      </c>
      <c r="X221" s="9"/>
      <c r="Y221" s="22">
        <v>0.70755000000000001</v>
      </c>
      <c r="Z221" s="22">
        <v>16.381499999999999</v>
      </c>
      <c r="AA221" s="22">
        <v>-1.3262899999999999E-2</v>
      </c>
      <c r="AB221" s="22">
        <v>211</v>
      </c>
      <c r="AC221" s="22">
        <v>0.70681799999999995</v>
      </c>
      <c r="AD221">
        <f t="shared" si="40"/>
        <v>16.373950617283949</v>
      </c>
      <c r="AE221">
        <f t="shared" si="41"/>
        <v>11.585388759259258</v>
      </c>
      <c r="AF221" s="9"/>
      <c r="AG221" s="22">
        <v>0.96252400000000005</v>
      </c>
      <c r="AH221" s="22">
        <v>20.1403</v>
      </c>
      <c r="AI221" s="22">
        <v>-1.28174E-2</v>
      </c>
      <c r="AJ221" s="22">
        <v>211</v>
      </c>
      <c r="AK221" s="22">
        <v>0.96130400000000005</v>
      </c>
      <c r="AL221">
        <f t="shared" si="42"/>
        <v>15.82395061728395</v>
      </c>
      <c r="AM221">
        <f t="shared" si="43"/>
        <v>15.230932243950617</v>
      </c>
      <c r="AP221" s="9"/>
      <c r="AQ221" s="22">
        <v>0.70755000000000001</v>
      </c>
      <c r="AR221" s="22">
        <v>25.557700000000001</v>
      </c>
      <c r="AS221" s="22">
        <v>-1.3296499999999999E-2</v>
      </c>
      <c r="AT221" s="22">
        <v>211</v>
      </c>
      <c r="AU221" s="22">
        <v>0.70672599999999997</v>
      </c>
      <c r="AV221">
        <f t="shared" si="44"/>
        <v>16.415432098765429</v>
      </c>
      <c r="AW221">
        <f t="shared" si="45"/>
        <v>11.61473898148148</v>
      </c>
      <c r="AX221" s="9"/>
      <c r="AY221" s="22">
        <v>0.96252400000000005</v>
      </c>
      <c r="AZ221" s="22">
        <v>29.316500000000001</v>
      </c>
      <c r="BA221" s="22">
        <v>-1.2899799999999999E-2</v>
      </c>
      <c r="BB221" s="22">
        <v>211</v>
      </c>
      <c r="BC221" s="22">
        <v>0.96099900000000005</v>
      </c>
      <c r="BD221">
        <f t="shared" si="46"/>
        <v>15.925679012345679</v>
      </c>
      <c r="BE221">
        <f t="shared" si="47"/>
        <v>15.328848265679014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7.1643699999999999</v>
      </c>
      <c r="I222" s="22">
        <v>-1.31378E-2</v>
      </c>
      <c r="J222" s="22">
        <v>212</v>
      </c>
      <c r="K222" s="22">
        <v>0.70169099999999995</v>
      </c>
      <c r="L222">
        <f t="shared" si="36"/>
        <v>16.219506172839505</v>
      </c>
      <c r="M222">
        <f t="shared" si="37"/>
        <v>11.394446379012345</v>
      </c>
      <c r="N222" s="9"/>
      <c r="O222" s="22">
        <v>0.96755999999999998</v>
      </c>
      <c r="P222" s="22">
        <v>10.9231</v>
      </c>
      <c r="Q222" s="22">
        <v>-1.28357E-2</v>
      </c>
      <c r="R222" s="22">
        <v>212</v>
      </c>
      <c r="S222" s="22">
        <v>0.96649200000000002</v>
      </c>
      <c r="T222">
        <f t="shared" si="38"/>
        <v>15.846543209876542</v>
      </c>
      <c r="U222">
        <f t="shared" si="39"/>
        <v>15.332481348148146</v>
      </c>
      <c r="X222" s="9"/>
      <c r="Y222" s="22">
        <v>0.702515</v>
      </c>
      <c r="Z222" s="22">
        <v>16.3916</v>
      </c>
      <c r="AA222" s="22">
        <v>-1.3266E-2</v>
      </c>
      <c r="AB222" s="22">
        <v>212</v>
      </c>
      <c r="AC222" s="22">
        <v>0.70169099999999995</v>
      </c>
      <c r="AD222">
        <f t="shared" si="40"/>
        <v>16.377777777777776</v>
      </c>
      <c r="AE222">
        <f t="shared" si="41"/>
        <v>11.505634555555554</v>
      </c>
      <c r="AF222" s="9"/>
      <c r="AG222" s="22">
        <v>0.96755999999999998</v>
      </c>
      <c r="AH222" s="22">
        <v>20.150300000000001</v>
      </c>
      <c r="AI222" s="22">
        <v>-1.2814300000000001E-2</v>
      </c>
      <c r="AJ222" s="22">
        <v>212</v>
      </c>
      <c r="AK222" s="22">
        <v>0.96649200000000002</v>
      </c>
      <c r="AL222">
        <f t="shared" si="42"/>
        <v>15.820123456790125</v>
      </c>
      <c r="AM222">
        <f t="shared" si="43"/>
        <v>15.306918651851852</v>
      </c>
      <c r="AP222" s="9"/>
      <c r="AQ222" s="22">
        <v>0.702515</v>
      </c>
      <c r="AR222" s="22">
        <v>25.567799999999998</v>
      </c>
      <c r="AS222" s="22">
        <v>-1.33087E-2</v>
      </c>
      <c r="AT222" s="22">
        <v>212</v>
      </c>
      <c r="AU222" s="22">
        <v>0.70175200000000004</v>
      </c>
      <c r="AV222">
        <f t="shared" si="44"/>
        <v>16.430493827160493</v>
      </c>
      <c r="AW222">
        <f t="shared" si="45"/>
        <v>11.542668370987654</v>
      </c>
      <c r="AX222" s="9"/>
      <c r="AY222" s="22">
        <v>0.96755999999999998</v>
      </c>
      <c r="AZ222" s="22">
        <v>29.326599999999999</v>
      </c>
      <c r="BA222" s="22">
        <v>-1.28906E-2</v>
      </c>
      <c r="BB222" s="22">
        <v>212</v>
      </c>
      <c r="BC222" s="22">
        <v>0.96618700000000002</v>
      </c>
      <c r="BD222">
        <f t="shared" si="46"/>
        <v>15.914320987654323</v>
      </c>
      <c r="BE222">
        <f t="shared" si="47"/>
        <v>15.398060414814816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7.1744399999999997</v>
      </c>
      <c r="I223" s="22">
        <v>-1.315E-2</v>
      </c>
      <c r="J223" s="22">
        <v>213</v>
      </c>
      <c r="K223" s="22">
        <v>0.69674700000000001</v>
      </c>
      <c r="L223">
        <f t="shared" si="36"/>
        <v>16.234567901234566</v>
      </c>
      <c r="M223">
        <f t="shared" si="37"/>
        <v>11.323270185185184</v>
      </c>
      <c r="N223" s="9"/>
      <c r="O223" s="22">
        <v>0.97259499999999999</v>
      </c>
      <c r="P223" s="22">
        <v>10.933199999999999</v>
      </c>
      <c r="Q223" s="22">
        <v>-1.28296E-2</v>
      </c>
      <c r="R223" s="22">
        <v>213</v>
      </c>
      <c r="S223" s="22">
        <v>0.97137499999999999</v>
      </c>
      <c r="T223">
        <f t="shared" si="38"/>
        <v>15.839012345679013</v>
      </c>
      <c r="U223">
        <f t="shared" si="39"/>
        <v>15.404944212345679</v>
      </c>
      <c r="X223" s="9"/>
      <c r="Y223" s="22">
        <v>0.69747899999999996</v>
      </c>
      <c r="Z223" s="22">
        <v>16.401700000000002</v>
      </c>
      <c r="AA223" s="22">
        <v>-1.32782E-2</v>
      </c>
      <c r="AB223" s="22">
        <v>213</v>
      </c>
      <c r="AC223" s="22">
        <v>0.696716</v>
      </c>
      <c r="AD223">
        <f t="shared" si="40"/>
        <v>16.392839506172837</v>
      </c>
      <c r="AE223">
        <f t="shared" si="41"/>
        <v>11.433661305925924</v>
      </c>
      <c r="AF223" s="9"/>
      <c r="AG223" s="22">
        <v>0.97259499999999999</v>
      </c>
      <c r="AH223" s="22">
        <v>20.160399999999999</v>
      </c>
      <c r="AI223" s="22">
        <v>-1.28082E-2</v>
      </c>
      <c r="AJ223" s="22">
        <v>213</v>
      </c>
      <c r="AK223" s="22">
        <v>0.97137499999999999</v>
      </c>
      <c r="AL223">
        <f t="shared" si="42"/>
        <v>15.812592592592594</v>
      </c>
      <c r="AM223">
        <f t="shared" si="43"/>
        <v>15.379248492592593</v>
      </c>
      <c r="AP223" s="9"/>
      <c r="AQ223" s="22">
        <v>0.69747899999999996</v>
      </c>
      <c r="AR223" s="22">
        <v>25.5779</v>
      </c>
      <c r="AS223" s="22">
        <v>-1.32996E-2</v>
      </c>
      <c r="AT223" s="22">
        <v>213</v>
      </c>
      <c r="AU223" s="22">
        <v>0.69665500000000002</v>
      </c>
      <c r="AV223">
        <f t="shared" si="44"/>
        <v>16.41925925925926</v>
      </c>
      <c r="AW223">
        <f t="shared" si="45"/>
        <v>11.452088528888888</v>
      </c>
      <c r="AX223" s="9"/>
      <c r="AY223" s="22">
        <v>0.97259499999999999</v>
      </c>
      <c r="AZ223" s="22">
        <v>29.336600000000001</v>
      </c>
      <c r="BA223" s="22">
        <v>-1.28784E-2</v>
      </c>
      <c r="BB223" s="22">
        <v>213</v>
      </c>
      <c r="BC223" s="22">
        <v>0.97106899999999996</v>
      </c>
      <c r="BD223">
        <f t="shared" si="46"/>
        <v>15.899259259259258</v>
      </c>
      <c r="BE223">
        <f t="shared" si="47"/>
        <v>15.463540059259259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7.1845100000000004</v>
      </c>
      <c r="I224" s="22">
        <v>-1.3147000000000001E-2</v>
      </c>
      <c r="J224" s="22">
        <v>214</v>
      </c>
      <c r="K224" s="22">
        <v>0.69168099999999999</v>
      </c>
      <c r="L224">
        <f t="shared" si="36"/>
        <v>16.230864197530863</v>
      </c>
      <c r="M224">
        <f t="shared" si="37"/>
        <v>11.23896452839506</v>
      </c>
      <c r="N224" s="9"/>
      <c r="O224" s="22">
        <v>0.97763100000000003</v>
      </c>
      <c r="P224" s="22">
        <v>10.943300000000001</v>
      </c>
      <c r="Q224" s="22">
        <v>-1.28082E-2</v>
      </c>
      <c r="R224" s="22">
        <v>214</v>
      </c>
      <c r="S224" s="22">
        <v>0.97625700000000004</v>
      </c>
      <c r="T224">
        <f t="shared" si="38"/>
        <v>15.812592592592594</v>
      </c>
      <c r="U224">
        <f t="shared" si="39"/>
        <v>15.458880708888891</v>
      </c>
      <c r="X224" s="9"/>
      <c r="Y224" s="22">
        <v>0.69244399999999995</v>
      </c>
      <c r="Z224" s="22">
        <v>16.4117</v>
      </c>
      <c r="AA224" s="22">
        <v>-1.32874E-2</v>
      </c>
      <c r="AB224" s="22">
        <v>214</v>
      </c>
      <c r="AC224" s="22">
        <v>0.69171099999999996</v>
      </c>
      <c r="AD224">
        <f t="shared" si="40"/>
        <v>16.404197530864195</v>
      </c>
      <c r="AE224">
        <f t="shared" si="41"/>
        <v>11.358988155061725</v>
      </c>
      <c r="AF224" s="9"/>
      <c r="AG224" s="22">
        <v>0.97763100000000003</v>
      </c>
      <c r="AH224" s="22">
        <v>20.170500000000001</v>
      </c>
      <c r="AI224" s="22">
        <v>-1.2799100000000001E-2</v>
      </c>
      <c r="AJ224" s="22">
        <v>214</v>
      </c>
      <c r="AK224" s="22">
        <v>0.97686799999999996</v>
      </c>
      <c r="AL224">
        <f t="shared" si="42"/>
        <v>15.801358024691359</v>
      </c>
      <c r="AM224">
        <f t="shared" si="43"/>
        <v>15.447897447037038</v>
      </c>
      <c r="AP224" s="9"/>
      <c r="AQ224" s="22">
        <v>0.69244399999999995</v>
      </c>
      <c r="AR224" s="22">
        <v>25.588000000000001</v>
      </c>
      <c r="AS224" s="22">
        <v>-1.3296499999999999E-2</v>
      </c>
      <c r="AT224" s="22">
        <v>214</v>
      </c>
      <c r="AU224" s="22">
        <v>0.69164999999999999</v>
      </c>
      <c r="AV224">
        <f t="shared" si="44"/>
        <v>16.415432098765429</v>
      </c>
      <c r="AW224">
        <f t="shared" si="45"/>
        <v>11.366767464197528</v>
      </c>
      <c r="AX224" s="9"/>
      <c r="AY224" s="22">
        <v>0.97763100000000003</v>
      </c>
      <c r="AZ224" s="22">
        <v>29.346699999999998</v>
      </c>
      <c r="BA224" s="22">
        <v>-1.28784E-2</v>
      </c>
      <c r="BB224" s="22">
        <v>214</v>
      </c>
      <c r="BC224" s="22">
        <v>0.97656299999999996</v>
      </c>
      <c r="BD224">
        <f t="shared" si="46"/>
        <v>15.899259259259258</v>
      </c>
      <c r="BE224">
        <f t="shared" si="47"/>
        <v>15.543608728888888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7.1945800000000002</v>
      </c>
      <c r="I225" s="22">
        <v>-1.3153099999999999E-2</v>
      </c>
      <c r="J225" s="22">
        <v>215</v>
      </c>
      <c r="K225" s="22">
        <v>0.68661499999999998</v>
      </c>
      <c r="L225">
        <f t="shared" si="36"/>
        <v>16.238395061728394</v>
      </c>
      <c r="M225">
        <f t="shared" si="37"/>
        <v>11.162402672592592</v>
      </c>
      <c r="N225" s="9"/>
      <c r="O225" s="22">
        <v>0.98266600000000004</v>
      </c>
      <c r="P225" s="22">
        <v>10.9533</v>
      </c>
      <c r="Q225" s="22">
        <v>-1.2793000000000001E-2</v>
      </c>
      <c r="R225" s="22">
        <v>215</v>
      </c>
      <c r="S225" s="22">
        <v>0.98175000000000001</v>
      </c>
      <c r="T225">
        <f t="shared" si="38"/>
        <v>15.793827160493827</v>
      </c>
      <c r="U225">
        <f t="shared" si="39"/>
        <v>15.520056960493827</v>
      </c>
      <c r="X225" s="9"/>
      <c r="Y225" s="22">
        <v>0.68740800000000002</v>
      </c>
      <c r="Z225" s="22">
        <v>16.421800000000001</v>
      </c>
      <c r="AA225" s="22">
        <v>-1.32874E-2</v>
      </c>
      <c r="AB225" s="22">
        <v>215</v>
      </c>
      <c r="AC225" s="22">
        <v>0.68661499999999998</v>
      </c>
      <c r="AD225">
        <f t="shared" si="40"/>
        <v>16.404197530864195</v>
      </c>
      <c r="AE225">
        <f t="shared" si="41"/>
        <v>11.276376616296295</v>
      </c>
      <c r="AF225" s="9"/>
      <c r="AG225" s="22">
        <v>0.98266600000000004</v>
      </c>
      <c r="AH225" s="22">
        <v>20.180599999999998</v>
      </c>
      <c r="AI225" s="22">
        <v>-1.27838E-2</v>
      </c>
      <c r="AJ225" s="22">
        <v>215</v>
      </c>
      <c r="AK225" s="22">
        <v>0.98175000000000001</v>
      </c>
      <c r="AL225">
        <f t="shared" si="42"/>
        <v>15.782469135802467</v>
      </c>
      <c r="AM225">
        <f t="shared" si="43"/>
        <v>15.508895815802468</v>
      </c>
      <c r="AP225" s="9"/>
      <c r="AQ225" s="22">
        <v>0.68740800000000002</v>
      </c>
      <c r="AR225" s="22">
        <v>25.597999999999999</v>
      </c>
      <c r="AS225" s="22">
        <v>-1.3290400000000001E-2</v>
      </c>
      <c r="AT225" s="22">
        <v>215</v>
      </c>
      <c r="AU225" s="22">
        <v>0.68661499999999998</v>
      </c>
      <c r="AV225">
        <f t="shared" si="44"/>
        <v>16.407901234567902</v>
      </c>
      <c r="AW225">
        <f t="shared" si="45"/>
        <v>11.278922571851853</v>
      </c>
      <c r="AX225" s="9"/>
      <c r="AY225" s="22">
        <v>0.98266600000000004</v>
      </c>
      <c r="AZ225" s="22">
        <v>29.3568</v>
      </c>
      <c r="BA225" s="22">
        <v>-1.28754E-2</v>
      </c>
      <c r="BB225" s="22">
        <v>215</v>
      </c>
      <c r="BC225" s="22">
        <v>0.98175000000000001</v>
      </c>
      <c r="BD225">
        <f t="shared" si="46"/>
        <v>15.895555555555555</v>
      </c>
      <c r="BE225">
        <f t="shared" si="47"/>
        <v>15.620021995555556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7.2046599999999996</v>
      </c>
      <c r="I226" s="22">
        <v>-1.315E-2</v>
      </c>
      <c r="J226" s="22">
        <v>216</v>
      </c>
      <c r="K226" s="22">
        <v>0.68161000000000005</v>
      </c>
      <c r="L226">
        <f t="shared" si="36"/>
        <v>16.234567901234566</v>
      </c>
      <c r="M226">
        <f t="shared" si="37"/>
        <v>11.078030802469135</v>
      </c>
      <c r="N226" s="9"/>
      <c r="O226" s="22">
        <v>0.98770100000000005</v>
      </c>
      <c r="P226" s="22">
        <v>10.9634</v>
      </c>
      <c r="Q226" s="22">
        <v>-1.2796E-2</v>
      </c>
      <c r="R226" s="22">
        <v>216</v>
      </c>
      <c r="S226" s="22">
        <v>0.98632799999999998</v>
      </c>
      <c r="T226">
        <f t="shared" si="38"/>
        <v>15.79753086419753</v>
      </c>
      <c r="U226">
        <f t="shared" si="39"/>
        <v>15.603237032098765</v>
      </c>
      <c r="X226" s="9"/>
      <c r="Y226" s="22">
        <v>0.68237300000000001</v>
      </c>
      <c r="Z226" s="22">
        <v>16.431899999999999</v>
      </c>
      <c r="AA226" s="22">
        <v>-1.3284300000000001E-2</v>
      </c>
      <c r="AB226" s="22">
        <v>216</v>
      </c>
      <c r="AC226" s="22">
        <v>0.68151899999999999</v>
      </c>
      <c r="AD226">
        <f t="shared" si="40"/>
        <v>16.400370370370371</v>
      </c>
      <c r="AE226">
        <f t="shared" si="41"/>
        <v>11.191169930740742</v>
      </c>
      <c r="AF226" s="9"/>
      <c r="AG226" s="22">
        <v>0.98770100000000005</v>
      </c>
      <c r="AH226" s="22">
        <v>20.1906</v>
      </c>
      <c r="AI226" s="22">
        <v>-1.2771599999999999E-2</v>
      </c>
      <c r="AJ226" s="22">
        <v>216</v>
      </c>
      <c r="AK226" s="22">
        <v>0.98693799999999998</v>
      </c>
      <c r="AL226">
        <f t="shared" si="42"/>
        <v>15.767407407407408</v>
      </c>
      <c r="AM226">
        <f t="shared" si="43"/>
        <v>15.573484063703704</v>
      </c>
      <c r="AP226" s="9"/>
      <c r="AQ226" s="22">
        <v>0.68237300000000001</v>
      </c>
      <c r="AR226" s="22">
        <v>25.6081</v>
      </c>
      <c r="AS226" s="22">
        <v>-1.3302599999999999E-2</v>
      </c>
      <c r="AT226" s="22">
        <v>216</v>
      </c>
      <c r="AU226" s="22">
        <v>0.68154899999999996</v>
      </c>
      <c r="AV226">
        <f t="shared" si="44"/>
        <v>16.422962962962963</v>
      </c>
      <c r="AW226">
        <f t="shared" si="45"/>
        <v>11.206586505925927</v>
      </c>
      <c r="AX226" s="9"/>
      <c r="AY226" s="22">
        <v>0.98770100000000005</v>
      </c>
      <c r="AZ226" s="22">
        <v>29.366900000000001</v>
      </c>
      <c r="BA226" s="22">
        <v>-1.2860099999999999E-2</v>
      </c>
      <c r="BB226" s="22">
        <v>216</v>
      </c>
      <c r="BC226" s="22">
        <v>0.98663299999999998</v>
      </c>
      <c r="BD226">
        <f t="shared" si="46"/>
        <v>15.876666666666663</v>
      </c>
      <c r="BE226">
        <f t="shared" si="47"/>
        <v>15.681399543333331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7.2147300000000003</v>
      </c>
      <c r="I227" s="22">
        <v>-1.3159199999999999E-2</v>
      </c>
      <c r="J227" s="22">
        <v>217</v>
      </c>
      <c r="K227" s="22">
        <v>0.67654400000000003</v>
      </c>
      <c r="L227">
        <f t="shared" si="36"/>
        <v>16.245925925925924</v>
      </c>
      <c r="M227">
        <f t="shared" si="37"/>
        <v>11.003982974814814</v>
      </c>
      <c r="N227" s="9"/>
      <c r="O227" s="22">
        <v>0.99273699999999998</v>
      </c>
      <c r="P227" s="22">
        <v>10.9735</v>
      </c>
      <c r="Q227" s="22">
        <v>-1.27838E-2</v>
      </c>
      <c r="R227" s="22">
        <v>217</v>
      </c>
      <c r="S227" s="22">
        <v>0.99151599999999995</v>
      </c>
      <c r="T227">
        <f t="shared" si="38"/>
        <v>15.782469135802467</v>
      </c>
      <c r="U227">
        <f t="shared" si="39"/>
        <v>15.667841062469133</v>
      </c>
      <c r="X227" s="9"/>
      <c r="Y227" s="22">
        <v>0.677338</v>
      </c>
      <c r="Z227" s="22">
        <v>16.4419</v>
      </c>
      <c r="AA227" s="22">
        <v>-1.3281299999999999E-2</v>
      </c>
      <c r="AB227" s="22">
        <v>217</v>
      </c>
      <c r="AC227" s="22">
        <v>0.67657500000000004</v>
      </c>
      <c r="AD227">
        <f t="shared" si="40"/>
        <v>16.396666666666665</v>
      </c>
      <c r="AE227">
        <f t="shared" si="41"/>
        <v>11.106085406666665</v>
      </c>
      <c r="AF227" s="9"/>
      <c r="AG227" s="22">
        <v>0.99273699999999998</v>
      </c>
      <c r="AH227" s="22">
        <v>20.200700000000001</v>
      </c>
      <c r="AI227" s="22">
        <v>-1.27563E-2</v>
      </c>
      <c r="AJ227" s="22">
        <v>217</v>
      </c>
      <c r="AK227" s="22">
        <v>0.99151599999999995</v>
      </c>
      <c r="AL227">
        <f t="shared" si="42"/>
        <v>15.748518518518516</v>
      </c>
      <c r="AM227">
        <f t="shared" si="43"/>
        <v>15.634137028518516</v>
      </c>
      <c r="AP227" s="9"/>
      <c r="AQ227" s="22">
        <v>0.677338</v>
      </c>
      <c r="AR227" s="22">
        <v>25.618200000000002</v>
      </c>
      <c r="AS227" s="22">
        <v>-1.33087E-2</v>
      </c>
      <c r="AT227" s="22">
        <v>217</v>
      </c>
      <c r="AU227" s="22">
        <v>0.67663600000000002</v>
      </c>
      <c r="AV227">
        <f t="shared" si="44"/>
        <v>16.430493827160493</v>
      </c>
      <c r="AW227">
        <f t="shared" si="45"/>
        <v>11.128997827901234</v>
      </c>
      <c r="AX227" s="9"/>
      <c r="AY227" s="22">
        <v>0.99273699999999998</v>
      </c>
      <c r="AZ227" s="22">
        <v>29.376899999999999</v>
      </c>
      <c r="BA227" s="22">
        <v>-1.2851E-2</v>
      </c>
      <c r="BB227" s="22">
        <v>217</v>
      </c>
      <c r="BC227" s="22">
        <v>0.99212599999999995</v>
      </c>
      <c r="BD227">
        <f t="shared" si="46"/>
        <v>15.865432098765432</v>
      </c>
      <c r="BE227">
        <f t="shared" si="47"/>
        <v>15.750201465432099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7.2248000000000001</v>
      </c>
      <c r="I228" s="22">
        <v>-1.31653E-2</v>
      </c>
      <c r="J228" s="22">
        <v>218</v>
      </c>
      <c r="K228" s="22">
        <v>0.67147800000000002</v>
      </c>
      <c r="L228">
        <f t="shared" si="36"/>
        <v>16.253456790123455</v>
      </c>
      <c r="M228">
        <f t="shared" si="37"/>
        <v>10.927231506913579</v>
      </c>
      <c r="N228" s="9"/>
      <c r="O228" s="22">
        <v>0.99777199999999999</v>
      </c>
      <c r="P228" s="22">
        <v>10.983599999999999</v>
      </c>
      <c r="Q228" s="22">
        <v>-1.2771599999999999E-2</v>
      </c>
      <c r="R228" s="22">
        <v>218</v>
      </c>
      <c r="S228" s="22">
        <v>0.99639900000000003</v>
      </c>
      <c r="T228">
        <f t="shared" si="38"/>
        <v>15.767407407407408</v>
      </c>
      <c r="U228">
        <f t="shared" si="39"/>
        <v>15.732277623703704</v>
      </c>
      <c r="X228" s="9"/>
      <c r="Y228" s="22">
        <v>0.67230199999999996</v>
      </c>
      <c r="Z228" s="22">
        <v>16.452000000000002</v>
      </c>
      <c r="AA228" s="22">
        <v>-1.3290400000000001E-2</v>
      </c>
      <c r="AB228" s="22">
        <v>218</v>
      </c>
      <c r="AC228" s="22">
        <v>0.67141700000000004</v>
      </c>
      <c r="AD228">
        <f t="shared" si="40"/>
        <v>16.407901234567902</v>
      </c>
      <c r="AE228">
        <f t="shared" si="41"/>
        <v>11.031064815802468</v>
      </c>
      <c r="AF228" s="9"/>
      <c r="AG228" s="22">
        <v>0.99777199999999999</v>
      </c>
      <c r="AH228" s="22">
        <v>20.210799999999999</v>
      </c>
      <c r="AI228" s="22">
        <v>-1.27472E-2</v>
      </c>
      <c r="AJ228" s="22">
        <v>218</v>
      </c>
      <c r="AK228" s="22">
        <v>0.99670400000000003</v>
      </c>
      <c r="AL228">
        <f t="shared" si="42"/>
        <v>15.737283950617284</v>
      </c>
      <c r="AM228">
        <f t="shared" si="43"/>
        <v>15.702221281975309</v>
      </c>
      <c r="AP228" s="9"/>
      <c r="AQ228" s="22">
        <v>0.67230199999999996</v>
      </c>
      <c r="AR228" s="22">
        <v>25.6282</v>
      </c>
      <c r="AS228" s="22">
        <v>-1.33209E-2</v>
      </c>
      <c r="AT228" s="22">
        <v>218</v>
      </c>
      <c r="AU228" s="22">
        <v>0.67144800000000004</v>
      </c>
      <c r="AV228">
        <f t="shared" si="44"/>
        <v>16.445555555555554</v>
      </c>
      <c r="AW228">
        <f t="shared" si="45"/>
        <v>11.05637989111111</v>
      </c>
      <c r="AX228" s="9"/>
      <c r="AY228" s="22">
        <v>0.99777199999999999</v>
      </c>
      <c r="AZ228" s="22">
        <v>29.387</v>
      </c>
      <c r="BA228" s="22">
        <v>-1.28387E-2</v>
      </c>
      <c r="BB228" s="22">
        <v>218</v>
      </c>
      <c r="BC228" s="22">
        <v>0.99700900000000003</v>
      </c>
      <c r="BD228">
        <f t="shared" si="46"/>
        <v>15.850246913580245</v>
      </c>
      <c r="BE228">
        <f t="shared" si="47"/>
        <v>15.814932563456788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7.2348699999999999</v>
      </c>
      <c r="I229" s="22">
        <v>-1.3168300000000001E-2</v>
      </c>
      <c r="J229" s="22">
        <v>219</v>
      </c>
      <c r="K229" s="22">
        <v>0.66650399999999999</v>
      </c>
      <c r="L229">
        <f t="shared" si="36"/>
        <v>16.257160493827158</v>
      </c>
      <c r="M229">
        <f t="shared" si="37"/>
        <v>10.847866711234566</v>
      </c>
      <c r="N229" s="9"/>
      <c r="O229" s="22">
        <v>1.00281</v>
      </c>
      <c r="P229" s="22">
        <v>10.993600000000001</v>
      </c>
      <c r="Q229" s="22">
        <v>-1.2759400000000001E-2</v>
      </c>
      <c r="R229" s="22">
        <v>219</v>
      </c>
      <c r="S229" s="22">
        <v>1.00098</v>
      </c>
      <c r="T229">
        <f t="shared" si="38"/>
        <v>15.752345679012343</v>
      </c>
      <c r="U229">
        <f t="shared" si="39"/>
        <v>15.796609770370369</v>
      </c>
      <c r="X229" s="9"/>
      <c r="Y229" s="22">
        <v>0.66726700000000005</v>
      </c>
      <c r="Z229" s="22">
        <v>16.4621</v>
      </c>
      <c r="AA229" s="22">
        <v>-1.3302599999999999E-2</v>
      </c>
      <c r="AB229" s="22">
        <v>219</v>
      </c>
      <c r="AC229" s="22">
        <v>0.66653399999999996</v>
      </c>
      <c r="AD229">
        <f t="shared" si="40"/>
        <v>16.422962962962963</v>
      </c>
      <c r="AE229">
        <f t="shared" si="41"/>
        <v>10.958501227407409</v>
      </c>
      <c r="AF229" s="9"/>
      <c r="AG229" s="22">
        <v>1.00281</v>
      </c>
      <c r="AH229" s="22">
        <v>20.220800000000001</v>
      </c>
      <c r="AI229" s="22">
        <v>-1.2737999999999999E-2</v>
      </c>
      <c r="AJ229" s="22">
        <v>219</v>
      </c>
      <c r="AK229" s="22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2">
        <v>0.66726700000000005</v>
      </c>
      <c r="AR229" s="22">
        <v>25.638300000000001</v>
      </c>
      <c r="AS229" s="22">
        <v>-1.3333100000000001E-2</v>
      </c>
      <c r="AT229" s="22">
        <v>219</v>
      </c>
      <c r="AU229" s="22">
        <v>0.666412</v>
      </c>
      <c r="AV229">
        <f t="shared" si="44"/>
        <v>16.460617283950615</v>
      </c>
      <c r="AW229">
        <f t="shared" si="45"/>
        <v>10.983626713209876</v>
      </c>
      <c r="AX229" s="9"/>
      <c r="AY229" s="22">
        <v>1.00281</v>
      </c>
      <c r="AZ229" s="22">
        <v>29.397099999999998</v>
      </c>
      <c r="BA229" s="22">
        <v>-1.28235E-2</v>
      </c>
      <c r="BB229" s="22">
        <v>219</v>
      </c>
      <c r="BC229" s="22">
        <v>1.0018899999999999</v>
      </c>
      <c r="BD229">
        <f t="shared" si="46"/>
        <v>15.831481481481481</v>
      </c>
      <c r="BE229">
        <f t="shared" si="47"/>
        <v>15.875967944444444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7.2449399999999997</v>
      </c>
      <c r="I230" s="22">
        <v>-1.31775E-2</v>
      </c>
      <c r="J230" s="22">
        <v>220</v>
      </c>
      <c r="K230" s="22">
        <v>0.66146899999999997</v>
      </c>
      <c r="L230">
        <f t="shared" si="36"/>
        <v>16.268518518518519</v>
      </c>
      <c r="M230">
        <f t="shared" si="37"/>
        <v>10.773517287037038</v>
      </c>
      <c r="N230" s="9"/>
      <c r="O230" s="22">
        <v>1.0078400000000001</v>
      </c>
      <c r="P230" s="22">
        <v>11.0037</v>
      </c>
      <c r="Q230" s="22">
        <v>-1.27441E-2</v>
      </c>
      <c r="R230" s="22">
        <v>220</v>
      </c>
      <c r="S230" s="22">
        <v>1.00647</v>
      </c>
      <c r="T230">
        <f t="shared" si="38"/>
        <v>15.733456790123457</v>
      </c>
      <c r="U230">
        <f t="shared" si="39"/>
        <v>15.856807091358025</v>
      </c>
      <c r="X230" s="9"/>
      <c r="Y230" s="22">
        <v>0.66223100000000001</v>
      </c>
      <c r="Z230" s="22">
        <v>16.472100000000001</v>
      </c>
      <c r="AA230" s="22">
        <v>-1.33087E-2</v>
      </c>
      <c r="AB230" s="22">
        <v>220</v>
      </c>
      <c r="AC230" s="22">
        <v>0.66146899999999997</v>
      </c>
      <c r="AD230">
        <f t="shared" si="40"/>
        <v>16.430493827160493</v>
      </c>
      <c r="AE230">
        <f t="shared" si="41"/>
        <v>10.88078235765432</v>
      </c>
      <c r="AF230" s="9"/>
      <c r="AG230" s="22">
        <v>1.0078400000000001</v>
      </c>
      <c r="AH230" s="22">
        <v>20.230899999999998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0.66223100000000001</v>
      </c>
      <c r="AR230" s="22">
        <v>25.648399999999999</v>
      </c>
      <c r="AS230" s="22">
        <v>-1.3345299999999999E-2</v>
      </c>
      <c r="AT230" s="22">
        <v>220</v>
      </c>
      <c r="AU230" s="22">
        <v>0.66143799999999997</v>
      </c>
      <c r="AV230">
        <f t="shared" si="44"/>
        <v>16.475679012345676</v>
      </c>
      <c r="AW230">
        <f t="shared" si="45"/>
        <v>10.91070538802469</v>
      </c>
      <c r="AX230" s="9"/>
      <c r="AY230" s="22">
        <v>1.0078400000000001</v>
      </c>
      <c r="AZ230" s="22">
        <v>29.4071</v>
      </c>
      <c r="BA230" s="22">
        <v>-1.28021E-2</v>
      </c>
      <c r="BB230" s="22">
        <v>220</v>
      </c>
      <c r="BC230" s="22">
        <v>1.0067699999999999</v>
      </c>
      <c r="BD230">
        <f t="shared" si="46"/>
        <v>15.805061728395062</v>
      </c>
      <c r="BE230">
        <f t="shared" si="47"/>
        <v>15.92897341234568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7.2550100000000004</v>
      </c>
      <c r="I231" s="22">
        <v>-1.31897E-2</v>
      </c>
      <c r="J231" s="22">
        <v>221</v>
      </c>
      <c r="K231" s="22">
        <v>0.65640299999999996</v>
      </c>
      <c r="L231">
        <f t="shared" si="36"/>
        <v>16.28358024691358</v>
      </c>
      <c r="M231">
        <f t="shared" si="37"/>
        <v>10.701503803950617</v>
      </c>
      <c r="N231" s="9"/>
      <c r="O231" s="22">
        <v>1.01288</v>
      </c>
      <c r="P231" s="22">
        <v>11.0138</v>
      </c>
      <c r="Q231" s="22">
        <v>-1.2731900000000001E-2</v>
      </c>
      <c r="R231" s="22">
        <v>221</v>
      </c>
      <c r="S231" s="22">
        <v>1.01166</v>
      </c>
      <c r="T231">
        <f t="shared" si="38"/>
        <v>15.718395061728396</v>
      </c>
      <c r="U231">
        <f t="shared" si="39"/>
        <v>15.920847990123457</v>
      </c>
      <c r="X231" s="9"/>
      <c r="Y231" s="22">
        <v>0.657196</v>
      </c>
      <c r="Z231" s="22">
        <v>16.482199999999999</v>
      </c>
      <c r="AA231" s="22">
        <v>-1.33148E-2</v>
      </c>
      <c r="AB231" s="22">
        <v>221</v>
      </c>
      <c r="AC231" s="22">
        <v>0.65646400000000005</v>
      </c>
      <c r="AD231">
        <f t="shared" si="40"/>
        <v>16.438024691358024</v>
      </c>
      <c r="AE231">
        <f t="shared" si="41"/>
        <v>10.803004075061727</v>
      </c>
      <c r="AF231" s="9"/>
      <c r="AG231" s="22">
        <v>1.01288</v>
      </c>
      <c r="AH231" s="22">
        <v>20.241</v>
      </c>
      <c r="AI231" s="22">
        <v>-1.27197E-2</v>
      </c>
      <c r="AJ231" s="22">
        <v>221</v>
      </c>
      <c r="AK231" s="22">
        <v>1.01166</v>
      </c>
      <c r="AL231">
        <f t="shared" si="42"/>
        <v>15.703333333333333</v>
      </c>
      <c r="AM231">
        <f t="shared" si="43"/>
        <v>15.905592266666666</v>
      </c>
      <c r="AP231" s="9"/>
      <c r="AQ231" s="22">
        <v>0.657196</v>
      </c>
      <c r="AR231" s="22">
        <v>25.6584</v>
      </c>
      <c r="AS231" s="22">
        <v>-1.33575E-2</v>
      </c>
      <c r="AT231" s="22">
        <v>221</v>
      </c>
      <c r="AU231" s="22">
        <v>0.65640299999999996</v>
      </c>
      <c r="AV231">
        <f t="shared" si="44"/>
        <v>16.49074074074074</v>
      </c>
      <c r="AW231">
        <f t="shared" si="45"/>
        <v>10.837648851851851</v>
      </c>
      <c r="AX231" s="9"/>
      <c r="AY231" s="22">
        <v>1.01288</v>
      </c>
      <c r="AZ231" s="22">
        <v>29.417200000000001</v>
      </c>
      <c r="BA231" s="22">
        <v>-1.27869E-2</v>
      </c>
      <c r="BB231" s="22">
        <v>221</v>
      </c>
      <c r="BC231" s="22">
        <v>1.01135</v>
      </c>
      <c r="BD231">
        <f t="shared" si="46"/>
        <v>15.786296296296294</v>
      </c>
      <c r="BE231">
        <f t="shared" si="47"/>
        <v>15.989623792592591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7.2650800000000002</v>
      </c>
      <c r="I232" s="22">
        <v>-1.3195800000000001E-2</v>
      </c>
      <c r="J232" s="22">
        <v>222</v>
      </c>
      <c r="K232" s="22">
        <v>0.65136700000000003</v>
      </c>
      <c r="L232">
        <f t="shared" si="36"/>
        <v>16.29111111111111</v>
      </c>
      <c r="M232">
        <f t="shared" si="37"/>
        <v>10.624427313333333</v>
      </c>
      <c r="N232" s="9"/>
      <c r="O232" s="22">
        <v>1.0179100000000001</v>
      </c>
      <c r="P232" s="22">
        <v>11.0238</v>
      </c>
      <c r="Q232" s="22">
        <v>-1.27136E-2</v>
      </c>
      <c r="R232" s="22">
        <v>222</v>
      </c>
      <c r="S232" s="22">
        <v>1.01654</v>
      </c>
      <c r="T232">
        <f t="shared" si="38"/>
        <v>15.695802469135801</v>
      </c>
      <c r="U232">
        <f t="shared" si="39"/>
        <v>15.976914291358025</v>
      </c>
      <c r="X232" s="9"/>
      <c r="Y232" s="22">
        <v>0.65216099999999999</v>
      </c>
      <c r="Z232" s="22">
        <v>16.4923</v>
      </c>
      <c r="AA232" s="22">
        <v>-1.33087E-2</v>
      </c>
      <c r="AB232" s="22">
        <v>222</v>
      </c>
      <c r="AC232" s="22">
        <v>0.65139800000000003</v>
      </c>
      <c r="AD232">
        <f t="shared" si="40"/>
        <v>16.430493827160493</v>
      </c>
      <c r="AE232">
        <f t="shared" si="41"/>
        <v>10.715327284814814</v>
      </c>
      <c r="AF232" s="9"/>
      <c r="AG232" s="22">
        <v>1.0179100000000001</v>
      </c>
      <c r="AH232" s="22">
        <v>20.251100000000001</v>
      </c>
      <c r="AI232" s="22">
        <v>-1.2704500000000001E-2</v>
      </c>
      <c r="AJ232" s="22">
        <v>222</v>
      </c>
      <c r="AK232" s="22">
        <v>1.01685</v>
      </c>
      <c r="AL232">
        <f t="shared" si="42"/>
        <v>15.684567901234566</v>
      </c>
      <c r="AM232">
        <f t="shared" si="43"/>
        <v>15.965478512345678</v>
      </c>
      <c r="AP232" s="9"/>
      <c r="AQ232" s="22">
        <v>0.65216099999999999</v>
      </c>
      <c r="AR232" s="22">
        <v>25.668500000000002</v>
      </c>
      <c r="AS232" s="22">
        <v>-1.33667E-2</v>
      </c>
      <c r="AT232" s="22">
        <v>222</v>
      </c>
      <c r="AU232" s="22">
        <v>0.65139800000000003</v>
      </c>
      <c r="AV232">
        <f t="shared" si="44"/>
        <v>16.502098765432098</v>
      </c>
      <c r="AW232">
        <f t="shared" si="45"/>
        <v>10.762025232962962</v>
      </c>
      <c r="AX232" s="9"/>
      <c r="AY232" s="22">
        <v>1.0179100000000001</v>
      </c>
      <c r="AZ232" s="22">
        <v>29.427299999999999</v>
      </c>
      <c r="BA232" s="22">
        <v>-1.2777699999999999E-2</v>
      </c>
      <c r="BB232" s="22">
        <v>222</v>
      </c>
      <c r="BC232" s="22">
        <v>1.01715</v>
      </c>
      <c r="BD232">
        <f t="shared" si="46"/>
        <v>15.774938271604935</v>
      </c>
      <c r="BE232">
        <f t="shared" si="47"/>
        <v>16.057467416049381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7.27515</v>
      </c>
      <c r="I233" s="22">
        <v>-1.3205E-2</v>
      </c>
      <c r="J233" s="22">
        <v>223</v>
      </c>
      <c r="K233" s="22">
        <v>0.64636199999999999</v>
      </c>
      <c r="L233">
        <f t="shared" si="36"/>
        <v>16.302469135802468</v>
      </c>
      <c r="M233">
        <f t="shared" si="37"/>
        <v>10.549735339506171</v>
      </c>
      <c r="N233" s="9"/>
      <c r="O233" s="22">
        <v>1.02295</v>
      </c>
      <c r="P233" s="22">
        <v>11.033899999999999</v>
      </c>
      <c r="Q233" s="22">
        <v>-1.2704500000000001E-2</v>
      </c>
      <c r="R233" s="22">
        <v>223</v>
      </c>
      <c r="S233" s="22">
        <v>1.02203</v>
      </c>
      <c r="T233">
        <f t="shared" si="38"/>
        <v>15.684567901234566</v>
      </c>
      <c r="U233">
        <f t="shared" si="39"/>
        <v>16.044528734567898</v>
      </c>
      <c r="X233" s="9"/>
      <c r="Y233" s="22">
        <v>0.64712499999999995</v>
      </c>
      <c r="Z233" s="22">
        <v>16.502400000000002</v>
      </c>
      <c r="AA233" s="22">
        <v>-1.3302599999999999E-2</v>
      </c>
      <c r="AB233" s="22">
        <v>223</v>
      </c>
      <c r="AC233" s="22">
        <v>0.64633200000000002</v>
      </c>
      <c r="AD233">
        <f t="shared" si="40"/>
        <v>16.422962962962963</v>
      </c>
      <c r="AE233">
        <f t="shared" si="41"/>
        <v>10.627709907407407</v>
      </c>
      <c r="AF233" s="9"/>
      <c r="AG233" s="22">
        <v>1.02295</v>
      </c>
      <c r="AH233" s="22">
        <v>20.261099999999999</v>
      </c>
      <c r="AI233" s="22">
        <v>-1.26953E-2</v>
      </c>
      <c r="AJ233" s="22">
        <v>223</v>
      </c>
      <c r="AK233" s="22">
        <v>1.02142</v>
      </c>
      <c r="AL233">
        <f t="shared" si="42"/>
        <v>15.67320987654321</v>
      </c>
      <c r="AM233">
        <f t="shared" si="43"/>
        <v>16.032910043209878</v>
      </c>
      <c r="AP233" s="9"/>
      <c r="AQ233" s="22">
        <v>0.64712499999999995</v>
      </c>
      <c r="AR233" s="22">
        <v>25.678599999999999</v>
      </c>
      <c r="AS233" s="22">
        <v>-1.3369799999999999E-2</v>
      </c>
      <c r="AT233" s="22">
        <v>223</v>
      </c>
      <c r="AU233" s="22">
        <v>0.64636199999999999</v>
      </c>
      <c r="AV233">
        <f t="shared" si="44"/>
        <v>16.505925925925922</v>
      </c>
      <c r="AW233">
        <f t="shared" si="45"/>
        <v>10.681397314814811</v>
      </c>
      <c r="AX233" s="9"/>
      <c r="AY233" s="22">
        <v>1.02295</v>
      </c>
      <c r="AZ233" s="22">
        <v>29.4374</v>
      </c>
      <c r="BA233" s="22">
        <v>-1.27686E-2</v>
      </c>
      <c r="BB233" s="22">
        <v>223</v>
      </c>
      <c r="BC233" s="22">
        <v>1.02203</v>
      </c>
      <c r="BD233">
        <f t="shared" si="46"/>
        <v>15.763703703703703</v>
      </c>
      <c r="BE233">
        <f t="shared" si="47"/>
        <v>16.125480703703705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7.2852199999999998</v>
      </c>
      <c r="I234" s="22">
        <v>-1.3214099999999999E-2</v>
      </c>
      <c r="J234" s="22">
        <v>224</v>
      </c>
      <c r="K234" s="22">
        <v>0.64129599999999998</v>
      </c>
      <c r="L234">
        <f t="shared" si="36"/>
        <v>16.313703703703702</v>
      </c>
      <c r="M234">
        <f t="shared" si="37"/>
        <v>10.474866011111111</v>
      </c>
      <c r="N234" s="9"/>
      <c r="O234" s="22">
        <v>1.0279799999999999</v>
      </c>
      <c r="P234" s="22">
        <v>11.044</v>
      </c>
      <c r="Q234" s="22">
        <v>-1.26953E-2</v>
      </c>
      <c r="R234" s="22">
        <v>224</v>
      </c>
      <c r="S234" s="22">
        <v>1.02661</v>
      </c>
      <c r="T234">
        <f t="shared" si="38"/>
        <v>15.67320987654321</v>
      </c>
      <c r="U234">
        <f t="shared" si="39"/>
        <v>16.111746288888888</v>
      </c>
      <c r="X234" s="9"/>
      <c r="Y234" s="22">
        <v>0.64209000000000005</v>
      </c>
      <c r="Z234" s="22">
        <v>16.5124</v>
      </c>
      <c r="AA234" s="22">
        <v>-1.3302599999999999E-2</v>
      </c>
      <c r="AB234" s="22">
        <v>224</v>
      </c>
      <c r="AC234" s="22">
        <v>0.64138799999999996</v>
      </c>
      <c r="AD234">
        <f t="shared" si="40"/>
        <v>16.422962962962963</v>
      </c>
      <c r="AE234">
        <f t="shared" si="41"/>
        <v>10.545020288888889</v>
      </c>
      <c r="AF234" s="9"/>
      <c r="AG234" s="22">
        <v>1.0279799999999999</v>
      </c>
      <c r="AH234" s="22">
        <v>20.2712</v>
      </c>
      <c r="AI234" s="22">
        <v>-1.2683099999999999E-2</v>
      </c>
      <c r="AJ234" s="22">
        <v>224</v>
      </c>
      <c r="AK234" s="22">
        <v>1.0263100000000001</v>
      </c>
      <c r="AL234">
        <f t="shared" si="42"/>
        <v>15.658148148148147</v>
      </c>
      <c r="AM234">
        <f t="shared" si="43"/>
        <v>16.096263133333331</v>
      </c>
      <c r="AP234" s="9"/>
      <c r="AQ234" s="22">
        <v>0.64209000000000005</v>
      </c>
      <c r="AR234" s="22">
        <v>25.688700000000001</v>
      </c>
      <c r="AS234" s="22">
        <v>-1.3372800000000001E-2</v>
      </c>
      <c r="AT234" s="22">
        <v>224</v>
      </c>
      <c r="AU234" s="22">
        <v>0.64132699999999998</v>
      </c>
      <c r="AV234">
        <f t="shared" si="44"/>
        <v>16.509629629629632</v>
      </c>
      <c r="AW234">
        <f t="shared" si="45"/>
        <v>10.600668088888892</v>
      </c>
      <c r="AX234" s="9"/>
      <c r="AY234" s="22">
        <v>1.0279799999999999</v>
      </c>
      <c r="AZ234" s="22">
        <v>29.447399999999998</v>
      </c>
      <c r="BA234" s="22">
        <v>-1.2759400000000001E-2</v>
      </c>
      <c r="BB234" s="22">
        <v>224</v>
      </c>
      <c r="BC234" s="22">
        <v>1.0275300000000001</v>
      </c>
      <c r="BD234">
        <f t="shared" si="46"/>
        <v>15.752345679012343</v>
      </c>
      <c r="BE234">
        <f t="shared" si="47"/>
        <v>16.193096311111105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7.2952899999999996</v>
      </c>
      <c r="I235" s="22">
        <v>-1.32324E-2</v>
      </c>
      <c r="J235" s="22">
        <v>225</v>
      </c>
      <c r="K235" s="22">
        <v>0.63626099999999997</v>
      </c>
      <c r="L235">
        <f t="shared" si="36"/>
        <v>16.336296296296297</v>
      </c>
      <c r="M235">
        <f t="shared" si="37"/>
        <v>10.407102900740741</v>
      </c>
      <c r="N235" s="9"/>
      <c r="O235" s="22">
        <v>1.03302</v>
      </c>
      <c r="P235" s="22">
        <v>11.0541</v>
      </c>
      <c r="Q235" s="22">
        <v>-1.26862E-2</v>
      </c>
      <c r="R235" s="22">
        <v>225</v>
      </c>
      <c r="S235" s="22">
        <v>1.03149</v>
      </c>
      <c r="T235">
        <f t="shared" si="38"/>
        <v>15.661975308641974</v>
      </c>
      <c r="U235">
        <f t="shared" si="39"/>
        <v>16.179133733333334</v>
      </c>
      <c r="X235" s="9"/>
      <c r="Y235" s="22">
        <v>0.63705400000000001</v>
      </c>
      <c r="Z235" s="22">
        <v>16.522500000000001</v>
      </c>
      <c r="AA235" s="22">
        <v>-1.33148E-2</v>
      </c>
      <c r="AB235" s="22">
        <v>225</v>
      </c>
      <c r="AC235" s="22">
        <v>0.63629199999999997</v>
      </c>
      <c r="AD235">
        <f t="shared" si="40"/>
        <v>16.438024691358024</v>
      </c>
      <c r="AE235">
        <f t="shared" si="41"/>
        <v>10.471909381728395</v>
      </c>
      <c r="AF235" s="9"/>
      <c r="AG235" s="22">
        <v>1.03302</v>
      </c>
      <c r="AH235" s="22">
        <v>20.281300000000002</v>
      </c>
      <c r="AI235" s="22">
        <v>-1.2670900000000001E-2</v>
      </c>
      <c r="AJ235" s="22">
        <v>225</v>
      </c>
      <c r="AK235" s="22">
        <v>1.03149</v>
      </c>
      <c r="AL235">
        <f t="shared" si="42"/>
        <v>15.643086419753088</v>
      </c>
      <c r="AM235">
        <f t="shared" si="43"/>
        <v>16.159621133333335</v>
      </c>
      <c r="AP235" s="9"/>
      <c r="AQ235" s="22">
        <v>0.63705400000000001</v>
      </c>
      <c r="AR235" s="22">
        <v>25.698699999999999</v>
      </c>
      <c r="AS235" s="22">
        <v>-1.3372800000000001E-2</v>
      </c>
      <c r="AT235" s="22">
        <v>225</v>
      </c>
      <c r="AU235" s="22">
        <v>0.63626099999999997</v>
      </c>
      <c r="AV235">
        <f t="shared" si="44"/>
        <v>16.509629629629632</v>
      </c>
      <c r="AW235">
        <f t="shared" si="45"/>
        <v>10.517525594074076</v>
      </c>
      <c r="AX235" s="9"/>
      <c r="AY235" s="22">
        <v>1.03302</v>
      </c>
      <c r="AZ235" s="22">
        <v>29.4575</v>
      </c>
      <c r="BA235" s="22">
        <v>-1.27441E-2</v>
      </c>
      <c r="BB235" s="22">
        <v>225</v>
      </c>
      <c r="BC235" s="22">
        <v>1.0321</v>
      </c>
      <c r="BD235">
        <f t="shared" si="46"/>
        <v>15.733456790123457</v>
      </c>
      <c r="BE235">
        <f t="shared" si="47"/>
        <v>16.252975533333334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7.3053699999999999</v>
      </c>
      <c r="I236" s="22">
        <v>-1.3241599999999999E-2</v>
      </c>
      <c r="J236" s="22">
        <v>226</v>
      </c>
      <c r="K236" s="22">
        <v>0.63128700000000004</v>
      </c>
      <c r="L236">
        <f t="shared" si="36"/>
        <v>16.347654320987651</v>
      </c>
      <c r="M236">
        <f t="shared" si="37"/>
        <v>10.332028136296294</v>
      </c>
      <c r="N236" s="9"/>
      <c r="O236" s="22">
        <v>1.03806</v>
      </c>
      <c r="P236" s="22">
        <v>11.0641</v>
      </c>
      <c r="Q236" s="22">
        <v>-1.2674E-2</v>
      </c>
      <c r="R236" s="22">
        <v>226</v>
      </c>
      <c r="S236" s="22">
        <v>1.0369900000000001</v>
      </c>
      <c r="T236">
        <f t="shared" si="38"/>
        <v>15.646913580246911</v>
      </c>
      <c r="U236">
        <f t="shared" si="39"/>
        <v>16.24243511111111</v>
      </c>
      <c r="X236" s="9"/>
      <c r="Y236" s="22">
        <v>0.632019</v>
      </c>
      <c r="Z236" s="22">
        <v>16.532599999999999</v>
      </c>
      <c r="AA236" s="22">
        <v>-1.3327E-2</v>
      </c>
      <c r="AB236" s="22">
        <v>226</v>
      </c>
      <c r="AC236" s="22">
        <v>0.63128700000000004</v>
      </c>
      <c r="AD236">
        <f t="shared" si="40"/>
        <v>16.453086419753085</v>
      </c>
      <c r="AE236">
        <f t="shared" si="41"/>
        <v>10.398663225925924</v>
      </c>
      <c r="AF236" s="9"/>
      <c r="AG236" s="22">
        <v>1.03806</v>
      </c>
      <c r="AH236" s="22">
        <v>20.2913</v>
      </c>
      <c r="AI236" s="22">
        <v>-1.26587E-2</v>
      </c>
      <c r="AJ236" s="22">
        <v>226</v>
      </c>
      <c r="AK236" s="22">
        <v>1.0369900000000001</v>
      </c>
      <c r="AL236">
        <f t="shared" si="42"/>
        <v>15.628024691358023</v>
      </c>
      <c r="AM236">
        <f t="shared" si="43"/>
        <v>16.222827311111111</v>
      </c>
      <c r="AP236" s="9"/>
      <c r="AQ236" s="22">
        <v>0.632019</v>
      </c>
      <c r="AR236" s="22">
        <v>25.7088</v>
      </c>
      <c r="AS236" s="22">
        <v>-1.3369799999999999E-2</v>
      </c>
      <c r="AT236" s="22">
        <v>226</v>
      </c>
      <c r="AU236" s="22">
        <v>0.63125600000000004</v>
      </c>
      <c r="AV236">
        <f t="shared" si="44"/>
        <v>16.505925925925922</v>
      </c>
      <c r="AW236">
        <f t="shared" si="45"/>
        <v>10.432058797777776</v>
      </c>
      <c r="AX236" s="9"/>
      <c r="AY236" s="22">
        <v>1.03806</v>
      </c>
      <c r="AZ236" s="22">
        <v>29.467600000000001</v>
      </c>
      <c r="BA236" s="22">
        <v>-1.27289E-2</v>
      </c>
      <c r="BB236" s="22">
        <v>226</v>
      </c>
      <c r="BC236" s="22">
        <v>1.0363800000000001</v>
      </c>
      <c r="BD236">
        <f t="shared" si="46"/>
        <v>15.714691358024689</v>
      </c>
      <c r="BE236">
        <f t="shared" si="47"/>
        <v>16.312792511111109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7.3154399999999997</v>
      </c>
      <c r="I237" s="22">
        <v>-1.32599E-2</v>
      </c>
      <c r="J237" s="22">
        <v>227</v>
      </c>
      <c r="K237" s="22">
        <v>0.62616000000000005</v>
      </c>
      <c r="L237">
        <f t="shared" si="36"/>
        <v>16.370246913580246</v>
      </c>
      <c r="M237">
        <f t="shared" si="37"/>
        <v>10.263882890864197</v>
      </c>
      <c r="N237" s="9"/>
      <c r="O237" s="22">
        <v>1.0430900000000001</v>
      </c>
      <c r="P237" s="22">
        <v>11.074199999999999</v>
      </c>
      <c r="Q237" s="22">
        <v>-1.2655599999999999E-2</v>
      </c>
      <c r="R237" s="22">
        <v>227</v>
      </c>
      <c r="S237" s="22">
        <v>1.0421800000000001</v>
      </c>
      <c r="T237">
        <f t="shared" si="38"/>
        <v>15.624197530864196</v>
      </c>
      <c r="U237">
        <f t="shared" si="39"/>
        <v>16.297444202469134</v>
      </c>
      <c r="X237" s="9"/>
      <c r="Y237" s="22">
        <v>0.62698399999999999</v>
      </c>
      <c r="Z237" s="22">
        <v>16.5426</v>
      </c>
      <c r="AA237" s="22">
        <v>-1.3336199999999999E-2</v>
      </c>
      <c r="AB237" s="22">
        <v>227</v>
      </c>
      <c r="AC237" s="22">
        <v>0.62622100000000003</v>
      </c>
      <c r="AD237">
        <f t="shared" si="40"/>
        <v>16.464444444444442</v>
      </c>
      <c r="AE237">
        <f t="shared" si="41"/>
        <v>10.322943235555554</v>
      </c>
      <c r="AF237" s="9"/>
      <c r="AG237" s="22">
        <v>1.0430900000000001</v>
      </c>
      <c r="AH237" s="22">
        <v>20.301400000000001</v>
      </c>
      <c r="AI237" s="22">
        <v>-1.26404E-2</v>
      </c>
      <c r="AJ237" s="22">
        <v>227</v>
      </c>
      <c r="AK237" s="22">
        <v>1.04156</v>
      </c>
      <c r="AL237">
        <f t="shared" si="42"/>
        <v>15.60543209876543</v>
      </c>
      <c r="AM237">
        <f t="shared" si="43"/>
        <v>16.277870167901234</v>
      </c>
      <c r="AP237" s="9"/>
      <c r="AQ237" s="22">
        <v>0.62698399999999999</v>
      </c>
      <c r="AR237" s="22">
        <v>25.718900000000001</v>
      </c>
      <c r="AS237" s="22">
        <v>-1.33667E-2</v>
      </c>
      <c r="AT237" s="22">
        <v>227</v>
      </c>
      <c r="AU237" s="22">
        <v>0.626251</v>
      </c>
      <c r="AV237">
        <f t="shared" si="44"/>
        <v>16.502098765432098</v>
      </c>
      <c r="AW237">
        <f t="shared" si="45"/>
        <v>10.346551892345678</v>
      </c>
      <c r="AX237" s="9"/>
      <c r="AY237" s="22">
        <v>1.0430900000000001</v>
      </c>
      <c r="AZ237" s="22">
        <v>29.477599999999999</v>
      </c>
      <c r="BA237" s="22">
        <v>-1.27136E-2</v>
      </c>
      <c r="BB237" s="22">
        <v>227</v>
      </c>
      <c r="BC237" s="22">
        <v>1.0412600000000001</v>
      </c>
      <c r="BD237">
        <f t="shared" si="46"/>
        <v>15.695802469135801</v>
      </c>
      <c r="BE237">
        <f t="shared" si="47"/>
        <v>16.372134597530863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7.3255100000000004</v>
      </c>
      <c r="I238" s="22">
        <v>-1.3269E-2</v>
      </c>
      <c r="J238" s="22">
        <v>228</v>
      </c>
      <c r="K238" s="22">
        <v>0.62115500000000001</v>
      </c>
      <c r="L238">
        <f t="shared" si="36"/>
        <v>16.38148148148148</v>
      </c>
      <c r="M238">
        <f t="shared" si="37"/>
        <v>10.188429644444442</v>
      </c>
      <c r="N238" s="9"/>
      <c r="O238" s="22">
        <v>1.04813</v>
      </c>
      <c r="P238" s="22">
        <v>11.084300000000001</v>
      </c>
      <c r="Q238" s="22">
        <v>-1.2637300000000001E-2</v>
      </c>
      <c r="R238" s="22">
        <v>228</v>
      </c>
      <c r="S238" s="22">
        <v>1.0464500000000001</v>
      </c>
      <c r="T238">
        <f t="shared" si="38"/>
        <v>15.601604938271604</v>
      </c>
      <c r="U238">
        <f t="shared" si="39"/>
        <v>16.352510183950617</v>
      </c>
      <c r="X238" s="9"/>
      <c r="Y238" s="22">
        <v>0.62194799999999995</v>
      </c>
      <c r="Z238" s="22">
        <v>16.552700000000002</v>
      </c>
      <c r="AA238" s="22">
        <v>-1.33423E-2</v>
      </c>
      <c r="AB238" s="22">
        <v>228</v>
      </c>
      <c r="AC238" s="22">
        <v>0.62118499999999999</v>
      </c>
      <c r="AD238">
        <f t="shared" si="40"/>
        <v>16.471975308641973</v>
      </c>
      <c r="AE238">
        <f t="shared" si="41"/>
        <v>10.244712099259257</v>
      </c>
      <c r="AF238" s="9"/>
      <c r="AG238" s="22">
        <v>1.04813</v>
      </c>
      <c r="AH238" s="22">
        <v>20.311499999999999</v>
      </c>
      <c r="AI238" s="22">
        <v>-1.26251E-2</v>
      </c>
      <c r="AJ238" s="22">
        <v>228</v>
      </c>
      <c r="AK238" s="22">
        <v>1.0464500000000001</v>
      </c>
      <c r="AL238">
        <f t="shared" si="42"/>
        <v>15.586543209876544</v>
      </c>
      <c r="AM238">
        <f t="shared" si="43"/>
        <v>16.336723534567902</v>
      </c>
      <c r="AP238" s="9"/>
      <c r="AQ238" s="22">
        <v>0.62194799999999995</v>
      </c>
      <c r="AR238" s="22">
        <v>25.728899999999999</v>
      </c>
      <c r="AS238" s="22">
        <v>-1.3369799999999999E-2</v>
      </c>
      <c r="AT238" s="22">
        <v>228</v>
      </c>
      <c r="AU238" s="22">
        <v>0.62115500000000001</v>
      </c>
      <c r="AV238">
        <f t="shared" si="44"/>
        <v>16.505925925925922</v>
      </c>
      <c r="AW238">
        <f t="shared" si="45"/>
        <v>10.265827617777774</v>
      </c>
      <c r="AX238" s="9"/>
      <c r="AY238" s="22">
        <v>1.04813</v>
      </c>
      <c r="AZ238" s="22">
        <v>29.4877</v>
      </c>
      <c r="BA238" s="22">
        <v>-1.27014E-2</v>
      </c>
      <c r="BB238" s="22">
        <v>228</v>
      </c>
      <c r="BC238" s="22">
        <v>1.0476700000000001</v>
      </c>
      <c r="BD238">
        <f t="shared" si="46"/>
        <v>15.680740740740738</v>
      </c>
      <c r="BE238">
        <f t="shared" si="47"/>
        <v>16.435454792592591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7.3355800000000002</v>
      </c>
      <c r="I239" s="22">
        <v>-1.3269E-2</v>
      </c>
      <c r="J239" s="22">
        <v>229</v>
      </c>
      <c r="K239" s="22">
        <v>0.61614999999999998</v>
      </c>
      <c r="L239">
        <f t="shared" si="36"/>
        <v>16.38148148148148</v>
      </c>
      <c r="M239">
        <f t="shared" si="37"/>
        <v>10.105948885185185</v>
      </c>
      <c r="N239" s="9"/>
      <c r="O239" s="22">
        <v>1.0531600000000001</v>
      </c>
      <c r="P239" s="22">
        <v>11.0943</v>
      </c>
      <c r="Q239" s="22">
        <v>-1.2622100000000001E-2</v>
      </c>
      <c r="R239" s="22">
        <v>229</v>
      </c>
      <c r="S239" s="22">
        <v>1.0519400000000001</v>
      </c>
      <c r="T239">
        <f t="shared" si="38"/>
        <v>15.582839506172839</v>
      </c>
      <c r="U239">
        <f t="shared" si="39"/>
        <v>16.411223254320987</v>
      </c>
      <c r="X239" s="9"/>
      <c r="Y239" s="22">
        <v>0.61691300000000004</v>
      </c>
      <c r="Z239" s="22">
        <v>16.562799999999999</v>
      </c>
      <c r="AA239" s="22">
        <v>-1.33423E-2</v>
      </c>
      <c r="AB239" s="22">
        <v>229</v>
      </c>
      <c r="AC239" s="22">
        <v>0.61614999999999998</v>
      </c>
      <c r="AD239">
        <f t="shared" si="40"/>
        <v>16.471975308641973</v>
      </c>
      <c r="AE239">
        <f t="shared" si="41"/>
        <v>10.161775703580247</v>
      </c>
      <c r="AF239" s="9"/>
      <c r="AG239" s="22">
        <v>1.0531600000000001</v>
      </c>
      <c r="AH239" s="22">
        <v>20.3216</v>
      </c>
      <c r="AI239" s="22">
        <v>-1.2616E-2</v>
      </c>
      <c r="AJ239" s="22">
        <v>229</v>
      </c>
      <c r="AK239" s="22">
        <v>1.0516399999999999</v>
      </c>
      <c r="AL239">
        <f t="shared" si="42"/>
        <v>15.575308641975308</v>
      </c>
      <c r="AM239">
        <f t="shared" si="43"/>
        <v>16.403292049382717</v>
      </c>
      <c r="AP239" s="9"/>
      <c r="AQ239" s="22">
        <v>0.61691300000000004</v>
      </c>
      <c r="AR239" s="22">
        <v>25.739000000000001</v>
      </c>
      <c r="AS239" s="22">
        <v>-1.33759E-2</v>
      </c>
      <c r="AT239" s="22">
        <v>229</v>
      </c>
      <c r="AU239" s="22">
        <v>0.61611899999999997</v>
      </c>
      <c r="AV239">
        <f t="shared" si="44"/>
        <v>16.513456790123456</v>
      </c>
      <c r="AW239">
        <f t="shared" si="45"/>
        <v>10.187366168765433</v>
      </c>
      <c r="AX239" s="9"/>
      <c r="AY239" s="22">
        <v>1.0531600000000001</v>
      </c>
      <c r="AZ239" s="22">
        <v>29.497800000000002</v>
      </c>
      <c r="BA239" s="22">
        <v>-1.2689199999999999E-2</v>
      </c>
      <c r="BB239" s="22">
        <v>229</v>
      </c>
      <c r="BC239" s="22">
        <v>1.0519400000000001</v>
      </c>
      <c r="BD239">
        <f t="shared" si="46"/>
        <v>15.665679012345679</v>
      </c>
      <c r="BE239">
        <f t="shared" si="47"/>
        <v>16.498466508641975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7.34565</v>
      </c>
      <c r="I240" s="22">
        <v>-1.3266E-2</v>
      </c>
      <c r="J240" s="22">
        <v>230</v>
      </c>
      <c r="K240" s="22">
        <v>0.61111499999999996</v>
      </c>
      <c r="L240">
        <f t="shared" si="36"/>
        <v>16.377777777777776</v>
      </c>
      <c r="M240">
        <f t="shared" si="37"/>
        <v>10.021185533333332</v>
      </c>
      <c r="N240" s="9"/>
      <c r="O240" s="22">
        <v>1.0582</v>
      </c>
      <c r="P240" s="22">
        <v>11.1044</v>
      </c>
      <c r="Q240" s="22">
        <v>-1.26038E-2</v>
      </c>
      <c r="R240" s="22">
        <v>230</v>
      </c>
      <c r="S240" s="22">
        <v>1.0574300000000001</v>
      </c>
      <c r="T240">
        <f t="shared" si="38"/>
        <v>15.560246913580245</v>
      </c>
      <c r="U240">
        <f t="shared" si="39"/>
        <v>16.465853283950615</v>
      </c>
      <c r="X240" s="9"/>
      <c r="Y240" s="22">
        <v>0.611877</v>
      </c>
      <c r="Z240" s="22">
        <v>16.572900000000001</v>
      </c>
      <c r="AA240" s="22">
        <v>-1.3351399999999999E-2</v>
      </c>
      <c r="AB240" s="22">
        <v>230</v>
      </c>
      <c r="AC240" s="22">
        <v>0.61117600000000005</v>
      </c>
      <c r="AD240">
        <f t="shared" si="40"/>
        <v>16.483209876543206</v>
      </c>
      <c r="AE240">
        <f t="shared" si="41"/>
        <v>10.085697009629628</v>
      </c>
      <c r="AF240" s="9"/>
      <c r="AG240" s="22">
        <v>1.0582</v>
      </c>
      <c r="AH240" s="22">
        <v>20.331600000000002</v>
      </c>
      <c r="AI240" s="22">
        <v>-1.2616E-2</v>
      </c>
      <c r="AJ240" s="22">
        <v>230</v>
      </c>
      <c r="AK240" s="22">
        <v>1.0574300000000001</v>
      </c>
      <c r="AL240">
        <f t="shared" si="42"/>
        <v>15.575308641975308</v>
      </c>
      <c r="AM240">
        <f t="shared" si="43"/>
        <v>16.481791604938273</v>
      </c>
      <c r="AP240" s="9"/>
      <c r="AQ240" s="22">
        <v>0.611877</v>
      </c>
      <c r="AR240" s="22">
        <v>25.749099999999999</v>
      </c>
      <c r="AS240" s="22">
        <v>-1.33942E-2</v>
      </c>
      <c r="AT240" s="22">
        <v>230</v>
      </c>
      <c r="AU240" s="22">
        <v>0.61114500000000005</v>
      </c>
      <c r="AV240">
        <f t="shared" si="44"/>
        <v>16.536049382716048</v>
      </c>
      <c r="AW240">
        <f t="shared" si="45"/>
        <v>10.118028288148148</v>
      </c>
      <c r="AX240" s="9"/>
      <c r="AY240" s="22">
        <v>1.0582</v>
      </c>
      <c r="AZ240" s="22">
        <v>29.5078</v>
      </c>
      <c r="BA240" s="22">
        <v>-1.2677000000000001E-2</v>
      </c>
      <c r="BB240" s="22">
        <v>230</v>
      </c>
      <c r="BC240" s="22">
        <v>1.0571299999999999</v>
      </c>
      <c r="BD240">
        <f t="shared" si="46"/>
        <v>15.650617283950618</v>
      </c>
      <c r="BE240">
        <f t="shared" si="47"/>
        <v>16.561483209876545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7.3557199999999998</v>
      </c>
      <c r="I241" s="22">
        <v>-1.3262899999999999E-2</v>
      </c>
      <c r="J241" s="22">
        <v>231</v>
      </c>
      <c r="K241" s="22">
        <v>0.60611000000000004</v>
      </c>
      <c r="L241">
        <f t="shared" si="36"/>
        <v>16.373950617283949</v>
      </c>
      <c r="M241">
        <f t="shared" si="37"/>
        <v>9.9364009404938258</v>
      </c>
      <c r="N241" s="9"/>
      <c r="O241" s="22">
        <v>1.0632299999999999</v>
      </c>
      <c r="P241" s="22">
        <v>11.1145</v>
      </c>
      <c r="Q241" s="22">
        <v>-1.25916E-2</v>
      </c>
      <c r="R241" s="22">
        <v>231</v>
      </c>
      <c r="S241" s="22">
        <v>1.0623199999999999</v>
      </c>
      <c r="T241">
        <f t="shared" si="38"/>
        <v>15.545185185185185</v>
      </c>
      <c r="U241">
        <f t="shared" si="39"/>
        <v>16.528107244444442</v>
      </c>
      <c r="X241" s="9"/>
      <c r="Y241" s="22">
        <v>0.60684199999999999</v>
      </c>
      <c r="Z241" s="22">
        <v>16.582899999999999</v>
      </c>
      <c r="AA241" s="22">
        <v>-1.33575E-2</v>
      </c>
      <c r="AB241" s="22">
        <v>231</v>
      </c>
      <c r="AC241" s="22">
        <v>0.60607900000000003</v>
      </c>
      <c r="AD241">
        <f t="shared" si="40"/>
        <v>16.49074074074074</v>
      </c>
      <c r="AE241">
        <f t="shared" si="41"/>
        <v>10.007274092592592</v>
      </c>
      <c r="AF241" s="9"/>
      <c r="AG241" s="22">
        <v>1.0632299999999999</v>
      </c>
      <c r="AH241" s="22">
        <v>20.341699999999999</v>
      </c>
      <c r="AI241" s="22">
        <v>-1.26129E-2</v>
      </c>
      <c r="AJ241" s="22">
        <v>231</v>
      </c>
      <c r="AK241" s="22">
        <v>1.0623199999999999</v>
      </c>
      <c r="AL241">
        <f t="shared" si="42"/>
        <v>15.571481481481479</v>
      </c>
      <c r="AM241">
        <f t="shared" si="43"/>
        <v>16.556066255555553</v>
      </c>
      <c r="AP241" s="9"/>
      <c r="AQ241" s="22">
        <v>0.60684199999999999</v>
      </c>
      <c r="AR241" s="22">
        <v>25.7592</v>
      </c>
      <c r="AS241" s="22">
        <v>-1.3406400000000001E-2</v>
      </c>
      <c r="AT241" s="22">
        <v>231</v>
      </c>
      <c r="AU241" s="22">
        <v>0.60607900000000003</v>
      </c>
      <c r="AV241">
        <f t="shared" si="44"/>
        <v>16.551111111111108</v>
      </c>
      <c r="AW241">
        <f t="shared" si="45"/>
        <v>10.043909368888887</v>
      </c>
      <c r="AX241" s="9"/>
      <c r="AY241" s="22">
        <v>1.0632299999999999</v>
      </c>
      <c r="AZ241" s="22">
        <v>29.517900000000001</v>
      </c>
      <c r="BA241" s="22">
        <v>-1.26617E-2</v>
      </c>
      <c r="BB241" s="22">
        <v>231</v>
      </c>
      <c r="BC241" s="22">
        <v>1.0617099999999999</v>
      </c>
      <c r="BD241">
        <f t="shared" si="46"/>
        <v>15.631728395061728</v>
      </c>
      <c r="BE241">
        <f t="shared" si="47"/>
        <v>16.620122581481478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7.3657899999999996</v>
      </c>
      <c r="I242" s="22">
        <v>-1.32721E-2</v>
      </c>
      <c r="J242" s="22">
        <v>232</v>
      </c>
      <c r="K242" s="22">
        <v>0.60101300000000002</v>
      </c>
      <c r="L242">
        <f t="shared" si="36"/>
        <v>16.385308641975307</v>
      </c>
      <c r="M242">
        <f t="shared" si="37"/>
        <v>9.8607934379012327</v>
      </c>
      <c r="N242" s="9"/>
      <c r="O242" s="22">
        <v>1.0682700000000001</v>
      </c>
      <c r="P242" s="22">
        <v>11.124599999999999</v>
      </c>
      <c r="Q242" s="22">
        <v>-1.25732E-2</v>
      </c>
      <c r="R242" s="22">
        <v>232</v>
      </c>
      <c r="S242" s="22">
        <v>1.0671999999999999</v>
      </c>
      <c r="T242">
        <f t="shared" si="38"/>
        <v>15.522469135802467</v>
      </c>
      <c r="U242">
        <f t="shared" si="39"/>
        <v>16.582188103703704</v>
      </c>
      <c r="X242" s="9"/>
      <c r="Y242" s="22">
        <v>0.60180699999999998</v>
      </c>
      <c r="Z242" s="22">
        <v>16.593</v>
      </c>
      <c r="AA242" s="22">
        <v>-1.3372800000000001E-2</v>
      </c>
      <c r="AB242" s="22">
        <v>232</v>
      </c>
      <c r="AC242" s="22">
        <v>0.60101300000000002</v>
      </c>
      <c r="AD242">
        <f t="shared" si="40"/>
        <v>16.509629629629632</v>
      </c>
      <c r="AE242">
        <f t="shared" si="41"/>
        <v>9.9356106785185201</v>
      </c>
      <c r="AF242" s="9"/>
      <c r="AG242" s="22">
        <v>1.0682700000000001</v>
      </c>
      <c r="AH242" s="22">
        <v>20.351800000000001</v>
      </c>
      <c r="AI242" s="22">
        <v>-1.26038E-2</v>
      </c>
      <c r="AJ242" s="22">
        <v>232</v>
      </c>
      <c r="AK242" s="22">
        <v>1.0668899999999999</v>
      </c>
      <c r="AL242">
        <f t="shared" si="42"/>
        <v>15.560246913580245</v>
      </c>
      <c r="AM242">
        <f t="shared" si="43"/>
        <v>16.62254497037037</v>
      </c>
      <c r="AP242" s="9"/>
      <c r="AQ242" s="22">
        <v>0.60180699999999998</v>
      </c>
      <c r="AR242" s="22">
        <v>25.769200000000001</v>
      </c>
      <c r="AS242" s="22">
        <v>-1.34155E-2</v>
      </c>
      <c r="AT242" s="22">
        <v>232</v>
      </c>
      <c r="AU242" s="22">
        <v>0.60104400000000002</v>
      </c>
      <c r="AV242">
        <f t="shared" si="44"/>
        <v>16.562345679012346</v>
      </c>
      <c r="AW242">
        <f t="shared" si="45"/>
        <v>9.9673355660493819</v>
      </c>
      <c r="AX242" s="9"/>
      <c r="AY242" s="22">
        <v>1.0682700000000001</v>
      </c>
      <c r="AZ242" s="22">
        <v>29.527999999999999</v>
      </c>
      <c r="BA242" s="22">
        <v>-1.26404E-2</v>
      </c>
      <c r="BB242" s="22">
        <v>232</v>
      </c>
      <c r="BC242" s="22">
        <v>1.0671999999999999</v>
      </c>
      <c r="BD242">
        <f t="shared" si="46"/>
        <v>15.60543209876543</v>
      </c>
      <c r="BE242">
        <f t="shared" si="47"/>
        <v>16.670814948148148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7.3758600000000003</v>
      </c>
      <c r="I243" s="22">
        <v>-1.32782E-2</v>
      </c>
      <c r="J243" s="22">
        <v>233</v>
      </c>
      <c r="K243" s="22">
        <v>0.59597800000000001</v>
      </c>
      <c r="L243">
        <f t="shared" si="36"/>
        <v>16.392839506172837</v>
      </c>
      <c r="M243">
        <f t="shared" si="37"/>
        <v>9.782771224938271</v>
      </c>
      <c r="N243" s="9"/>
      <c r="O243" s="22">
        <v>1.0732999999999999</v>
      </c>
      <c r="P243" s="22">
        <v>11.134600000000001</v>
      </c>
      <c r="Q243" s="22">
        <v>-1.2554900000000001E-2</v>
      </c>
      <c r="R243" s="22">
        <v>233</v>
      </c>
      <c r="S243" s="22">
        <v>1.07239</v>
      </c>
      <c r="T243">
        <f t="shared" si="38"/>
        <v>15.499876543209876</v>
      </c>
      <c r="U243">
        <f t="shared" si="39"/>
        <v>16.636017493827158</v>
      </c>
      <c r="X243" s="9"/>
      <c r="Y243" s="22">
        <v>0.59677100000000005</v>
      </c>
      <c r="Z243" s="22">
        <v>16.603100000000001</v>
      </c>
      <c r="AA243" s="22">
        <v>-1.3382E-2</v>
      </c>
      <c r="AB243" s="22">
        <v>233</v>
      </c>
      <c r="AC243" s="22">
        <v>0.59603899999999999</v>
      </c>
      <c r="AD243">
        <f t="shared" si="40"/>
        <v>16.520987654320987</v>
      </c>
      <c r="AE243">
        <f t="shared" si="41"/>
        <v>9.8592463234567909</v>
      </c>
      <c r="AF243" s="9"/>
      <c r="AG243" s="22">
        <v>1.0732999999999999</v>
      </c>
      <c r="AH243" s="22">
        <v>20.361799999999999</v>
      </c>
      <c r="AI243" s="22">
        <v>-1.2594599999999999E-2</v>
      </c>
      <c r="AJ243" s="22">
        <v>233</v>
      </c>
      <c r="AK243" s="22">
        <v>1.07178</v>
      </c>
      <c r="AL243">
        <f t="shared" si="42"/>
        <v>15.548888888888886</v>
      </c>
      <c r="AM243">
        <f t="shared" si="43"/>
        <v>16.688622444444441</v>
      </c>
      <c r="AP243" s="9"/>
      <c r="AQ243" s="22">
        <v>0.59677100000000005</v>
      </c>
      <c r="AR243" s="22">
        <v>25.779299999999999</v>
      </c>
      <c r="AS243" s="22">
        <v>-1.34308E-2</v>
      </c>
      <c r="AT243" s="22">
        <v>233</v>
      </c>
      <c r="AU243" s="22">
        <v>0.595947</v>
      </c>
      <c r="AV243">
        <f t="shared" si="44"/>
        <v>16.581234567901234</v>
      </c>
      <c r="AW243">
        <f t="shared" si="45"/>
        <v>9.8951999343209884</v>
      </c>
      <c r="AX243" s="9"/>
      <c r="AY243" s="22">
        <v>1.0732999999999999</v>
      </c>
      <c r="AZ243" s="22">
        <v>29.5381</v>
      </c>
      <c r="BA243" s="22">
        <v>-1.26251E-2</v>
      </c>
      <c r="BB243" s="22">
        <v>233</v>
      </c>
      <c r="BC243" s="22">
        <v>1.0720799999999999</v>
      </c>
      <c r="BD243">
        <f t="shared" si="46"/>
        <v>15.586543209876544</v>
      </c>
      <c r="BE243">
        <f t="shared" si="47"/>
        <v>16.729036827160492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7.3859300000000001</v>
      </c>
      <c r="I244" s="22">
        <v>-1.32874E-2</v>
      </c>
      <c r="J244" s="22">
        <v>234</v>
      </c>
      <c r="K244" s="22">
        <v>0.59094199999999997</v>
      </c>
      <c r="L244">
        <f t="shared" si="36"/>
        <v>16.404197530864195</v>
      </c>
      <c r="M244">
        <f t="shared" si="37"/>
        <v>9.7069542301234559</v>
      </c>
      <c r="N244" s="9"/>
      <c r="O244" s="22">
        <v>1.0783400000000001</v>
      </c>
      <c r="P244" s="22">
        <v>11.1447</v>
      </c>
      <c r="Q244" s="22">
        <v>-1.2539700000000001E-2</v>
      </c>
      <c r="R244" s="22">
        <v>234</v>
      </c>
      <c r="S244" s="22">
        <v>1.07697</v>
      </c>
      <c r="T244">
        <f t="shared" si="38"/>
        <v>15.48111111111111</v>
      </c>
      <c r="U244">
        <f t="shared" si="39"/>
        <v>16.693901355555557</v>
      </c>
      <c r="X244" s="9"/>
      <c r="Y244" s="22">
        <v>0.59173600000000004</v>
      </c>
      <c r="Z244" s="22">
        <v>16.613099999999999</v>
      </c>
      <c r="AA244" s="22">
        <v>-1.33881E-2</v>
      </c>
      <c r="AB244" s="22">
        <v>234</v>
      </c>
      <c r="AC244" s="22">
        <v>0.59097299999999997</v>
      </c>
      <c r="AD244">
        <f t="shared" si="40"/>
        <v>16.528518518518517</v>
      </c>
      <c r="AE244">
        <f t="shared" si="41"/>
        <v>9.7805194340740744</v>
      </c>
      <c r="AF244" s="9"/>
      <c r="AG244" s="22">
        <v>1.0783400000000001</v>
      </c>
      <c r="AH244" s="22">
        <v>20.3719</v>
      </c>
      <c r="AI244" s="22">
        <v>-1.25763E-2</v>
      </c>
      <c r="AJ244" s="22">
        <v>234</v>
      </c>
      <c r="AK244" s="22">
        <v>1.0772699999999999</v>
      </c>
      <c r="AL244">
        <f t="shared" si="42"/>
        <v>15.526296296296294</v>
      </c>
      <c r="AM244">
        <f t="shared" si="43"/>
        <v>16.742626348148146</v>
      </c>
      <c r="AP244" s="9"/>
      <c r="AQ244" s="22">
        <v>0.59173600000000004</v>
      </c>
      <c r="AR244" s="22">
        <v>25.789400000000001</v>
      </c>
      <c r="AS244" s="22">
        <v>-1.34369E-2</v>
      </c>
      <c r="AT244" s="22">
        <v>234</v>
      </c>
      <c r="AU244" s="22">
        <v>0.59100299999999995</v>
      </c>
      <c r="AV244">
        <f t="shared" si="44"/>
        <v>16.588765432098764</v>
      </c>
      <c r="AW244">
        <f t="shared" si="45"/>
        <v>9.8161697017283949</v>
      </c>
      <c r="AX244" s="9"/>
      <c r="AY244" s="22">
        <v>1.0783400000000001</v>
      </c>
      <c r="AZ244" s="22">
        <v>29.548100000000002</v>
      </c>
      <c r="BA244" s="22">
        <v>-1.26068E-2</v>
      </c>
      <c r="BB244" s="22">
        <v>234</v>
      </c>
      <c r="BC244" s="22">
        <v>1.0772699999999999</v>
      </c>
      <c r="BD244">
        <f t="shared" si="46"/>
        <v>15.56395061728395</v>
      </c>
      <c r="BE244">
        <f t="shared" si="47"/>
        <v>16.783230508641978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7.3959999999999999</v>
      </c>
      <c r="I245" s="22">
        <v>-1.32996E-2</v>
      </c>
      <c r="J245" s="22">
        <v>235</v>
      </c>
      <c r="K245" s="22">
        <v>0.58590699999999996</v>
      </c>
      <c r="L245">
        <f t="shared" si="36"/>
        <v>16.41925925925926</v>
      </c>
      <c r="M245">
        <f t="shared" si="37"/>
        <v>9.6331794074074075</v>
      </c>
      <c r="N245" s="9"/>
      <c r="O245" s="22">
        <v>1.0833699999999999</v>
      </c>
      <c r="P245" s="22">
        <v>11.1548</v>
      </c>
      <c r="Q245" s="22">
        <v>-1.25244E-2</v>
      </c>
      <c r="R245" s="22">
        <v>235</v>
      </c>
      <c r="S245" s="22">
        <v>1.0821499999999999</v>
      </c>
      <c r="T245">
        <f t="shared" si="38"/>
        <v>15.462222222222222</v>
      </c>
      <c r="U245">
        <f t="shared" si="39"/>
        <v>16.751307688888886</v>
      </c>
      <c r="X245" s="9"/>
      <c r="Y245" s="22">
        <v>0.5867</v>
      </c>
      <c r="Z245" s="22">
        <v>16.623200000000001</v>
      </c>
      <c r="AA245" s="22">
        <v>-1.33942E-2</v>
      </c>
      <c r="AB245" s="22">
        <v>235</v>
      </c>
      <c r="AC245" s="22">
        <v>0.58590699999999996</v>
      </c>
      <c r="AD245">
        <f t="shared" si="40"/>
        <v>16.536049382716048</v>
      </c>
      <c r="AE245">
        <f t="shared" si="41"/>
        <v>9.7017001728395051</v>
      </c>
      <c r="AF245" s="9"/>
      <c r="AG245" s="22">
        <v>1.0833699999999999</v>
      </c>
      <c r="AH245" s="22">
        <v>20.382000000000001</v>
      </c>
      <c r="AI245" s="22">
        <v>-1.2560999999999999E-2</v>
      </c>
      <c r="AJ245" s="22">
        <v>235</v>
      </c>
      <c r="AK245" s="22">
        <v>1.08246</v>
      </c>
      <c r="AL245">
        <f t="shared" si="42"/>
        <v>15.507407407407406</v>
      </c>
      <c r="AM245">
        <f t="shared" si="43"/>
        <v>16.800259962962961</v>
      </c>
      <c r="AP245" s="9"/>
      <c r="AQ245" s="22">
        <v>0.5867</v>
      </c>
      <c r="AR245" s="22">
        <v>25.799399999999999</v>
      </c>
      <c r="AS245" s="22">
        <v>-1.34369E-2</v>
      </c>
      <c r="AT245" s="22">
        <v>235</v>
      </c>
      <c r="AU245" s="22">
        <v>0.58599900000000005</v>
      </c>
      <c r="AV245">
        <f t="shared" si="44"/>
        <v>16.588765432098764</v>
      </c>
      <c r="AW245">
        <f t="shared" si="45"/>
        <v>9.7326286790123451</v>
      </c>
      <c r="AX245" s="9"/>
      <c r="AY245" s="22">
        <v>1.0833699999999999</v>
      </c>
      <c r="AZ245" s="22">
        <v>29.558199999999999</v>
      </c>
      <c r="BA245" s="22">
        <v>-1.25854E-2</v>
      </c>
      <c r="BB245" s="22">
        <v>235</v>
      </c>
      <c r="BC245" s="22">
        <v>1.08246</v>
      </c>
      <c r="BD245">
        <f t="shared" si="46"/>
        <v>15.53753086419753</v>
      </c>
      <c r="BE245">
        <f t="shared" si="47"/>
        <v>16.832894812345678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7.4060800000000002</v>
      </c>
      <c r="I246" s="22">
        <v>-1.33057E-2</v>
      </c>
      <c r="J246" s="22">
        <v>236</v>
      </c>
      <c r="K246" s="22">
        <v>0.58084100000000005</v>
      </c>
      <c r="L246">
        <f t="shared" si="36"/>
        <v>16.42679012345679</v>
      </c>
      <c r="M246">
        <f t="shared" si="37"/>
        <v>9.5548888771604936</v>
      </c>
      <c r="N246" s="9"/>
      <c r="O246" s="22">
        <v>1.0884100000000001</v>
      </c>
      <c r="P246" s="22">
        <v>11.1648</v>
      </c>
      <c r="Q246" s="22">
        <v>-1.25092E-2</v>
      </c>
      <c r="R246" s="22">
        <v>236</v>
      </c>
      <c r="S246" s="22">
        <v>1.08765</v>
      </c>
      <c r="T246">
        <f t="shared" si="38"/>
        <v>15.443456790123456</v>
      </c>
      <c r="U246">
        <f t="shared" si="39"/>
        <v>16.80881280493827</v>
      </c>
      <c r="X246" s="9"/>
      <c r="Y246" s="22">
        <v>0.58166499999999999</v>
      </c>
      <c r="Z246" s="22">
        <v>16.633299999999998</v>
      </c>
      <c r="AA246" s="22">
        <v>-1.34033E-2</v>
      </c>
      <c r="AB246" s="22">
        <v>236</v>
      </c>
      <c r="AC246" s="22">
        <v>0.58087200000000005</v>
      </c>
      <c r="AD246">
        <f t="shared" si="40"/>
        <v>16.547283950617281</v>
      </c>
      <c r="AE246">
        <f t="shared" si="41"/>
        <v>9.6249759191358013</v>
      </c>
      <c r="AF246" s="9"/>
      <c r="AG246" s="22">
        <v>1.0884100000000001</v>
      </c>
      <c r="AH246" s="22">
        <v>20.391999999999999</v>
      </c>
      <c r="AI246" s="22">
        <v>-1.2539700000000001E-2</v>
      </c>
      <c r="AJ246" s="22">
        <v>236</v>
      </c>
      <c r="AK246" s="22">
        <v>1.08765</v>
      </c>
      <c r="AL246">
        <f t="shared" si="42"/>
        <v>15.48111111111111</v>
      </c>
      <c r="AM246">
        <f t="shared" si="43"/>
        <v>16.849796144444444</v>
      </c>
      <c r="AP246" s="9"/>
      <c r="AQ246" s="22">
        <v>0.58166499999999999</v>
      </c>
      <c r="AR246" s="22">
        <v>25.8095</v>
      </c>
      <c r="AS246" s="22">
        <v>-1.3427700000000001E-2</v>
      </c>
      <c r="AT246" s="22">
        <v>236</v>
      </c>
      <c r="AU246" s="22">
        <v>0.58084100000000005</v>
      </c>
      <c r="AV246">
        <f t="shared" si="44"/>
        <v>16.57740740740741</v>
      </c>
      <c r="AW246">
        <f t="shared" si="45"/>
        <v>9.6424976796296313</v>
      </c>
      <c r="AX246" s="9"/>
      <c r="AY246" s="22">
        <v>1.0884100000000001</v>
      </c>
      <c r="AZ246" s="22">
        <v>29.568300000000001</v>
      </c>
      <c r="BA246" s="22">
        <v>-1.25732E-2</v>
      </c>
      <c r="BB246" s="22">
        <v>236</v>
      </c>
      <c r="BC246" s="22">
        <v>1.08673</v>
      </c>
      <c r="BD246">
        <f t="shared" si="46"/>
        <v>15.522469135802467</v>
      </c>
      <c r="BE246">
        <f t="shared" si="47"/>
        <v>16.894810632098764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7.41615</v>
      </c>
      <c r="I247" s="22">
        <v>-1.33148E-2</v>
      </c>
      <c r="J247" s="22">
        <v>237</v>
      </c>
      <c r="K247" s="22">
        <v>0.57580600000000004</v>
      </c>
      <c r="L247">
        <f t="shared" si="36"/>
        <v>16.438024691358024</v>
      </c>
      <c r="M247">
        <f t="shared" si="37"/>
        <v>9.4786581777777776</v>
      </c>
      <c r="N247" s="9"/>
      <c r="O247" s="22">
        <v>1.09344</v>
      </c>
      <c r="P247" s="22">
        <v>11.174899999999999</v>
      </c>
      <c r="Q247" s="22">
        <v>-1.25153E-2</v>
      </c>
      <c r="R247" s="22">
        <v>237</v>
      </c>
      <c r="S247" s="22">
        <v>1.09192</v>
      </c>
      <c r="T247">
        <f t="shared" si="38"/>
        <v>15.450987654320988</v>
      </c>
      <c r="U247">
        <f t="shared" si="39"/>
        <v>16.89472794074074</v>
      </c>
      <c r="X247" s="9"/>
      <c r="Y247" s="22">
        <v>0.57662999999999998</v>
      </c>
      <c r="Z247" s="22">
        <v>16.6434</v>
      </c>
      <c r="AA247" s="22">
        <v>-1.3412500000000001E-2</v>
      </c>
      <c r="AB247" s="22">
        <v>237</v>
      </c>
      <c r="AC247" s="22">
        <v>0.57589699999999999</v>
      </c>
      <c r="AD247">
        <f t="shared" si="40"/>
        <v>16.558641975308642</v>
      </c>
      <c r="AE247">
        <f t="shared" si="41"/>
        <v>9.5482097222222215</v>
      </c>
      <c r="AF247" s="9"/>
      <c r="AG247" s="22">
        <v>1.09344</v>
      </c>
      <c r="AH247" s="22">
        <v>20.402100000000001</v>
      </c>
      <c r="AI247" s="22">
        <v>-1.25153E-2</v>
      </c>
      <c r="AJ247" s="22">
        <v>237</v>
      </c>
      <c r="AK247" s="22">
        <v>1.09253</v>
      </c>
      <c r="AL247">
        <f t="shared" si="42"/>
        <v>15.450987654320988</v>
      </c>
      <c r="AM247">
        <f t="shared" si="43"/>
        <v>16.89472794074074</v>
      </c>
      <c r="AP247" s="9"/>
      <c r="AQ247" s="22">
        <v>0.57662999999999998</v>
      </c>
      <c r="AR247" s="22">
        <v>25.819600000000001</v>
      </c>
      <c r="AS247" s="22">
        <v>-1.34308E-2</v>
      </c>
      <c r="AT247" s="22">
        <v>237</v>
      </c>
      <c r="AU247" s="22">
        <v>0.575928</v>
      </c>
      <c r="AV247">
        <f t="shared" si="44"/>
        <v>16.581234567901234</v>
      </c>
      <c r="AW247">
        <f t="shared" si="45"/>
        <v>9.5612372888888881</v>
      </c>
      <c r="AX247" s="9"/>
      <c r="AY247" s="22">
        <v>1.09344</v>
      </c>
      <c r="AZ247" s="22">
        <v>29.578299999999999</v>
      </c>
      <c r="BA247" s="22">
        <v>-1.2567099999999999E-2</v>
      </c>
      <c r="BB247" s="22">
        <v>237</v>
      </c>
      <c r="BC247" s="22">
        <v>1.09283</v>
      </c>
      <c r="BD247">
        <f t="shared" si="46"/>
        <v>15.514938271604937</v>
      </c>
      <c r="BE247">
        <f t="shared" si="47"/>
        <v>16.964654103703701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7.4262199999999998</v>
      </c>
      <c r="I248" s="22">
        <v>-1.33118E-2</v>
      </c>
      <c r="J248" s="22">
        <v>238</v>
      </c>
      <c r="K248" s="22">
        <v>0.57077</v>
      </c>
      <c r="L248">
        <f t="shared" si="36"/>
        <v>16.434320987654321</v>
      </c>
      <c r="M248">
        <f t="shared" si="37"/>
        <v>9.3937592706172843</v>
      </c>
      <c r="N248" s="9"/>
      <c r="O248" s="22">
        <v>1.0984799999999999</v>
      </c>
      <c r="P248" s="22">
        <v>11.185</v>
      </c>
      <c r="Q248" s="22">
        <v>-1.24908E-2</v>
      </c>
      <c r="R248" s="22">
        <v>238</v>
      </c>
      <c r="S248" s="22">
        <v>1.09741</v>
      </c>
      <c r="T248">
        <f t="shared" si="38"/>
        <v>15.42074074074074</v>
      </c>
      <c r="U248">
        <f t="shared" si="39"/>
        <v>16.939375288888886</v>
      </c>
      <c r="X248" s="9"/>
      <c r="Y248" s="22">
        <v>0.57159400000000005</v>
      </c>
      <c r="Z248" s="22">
        <v>16.653400000000001</v>
      </c>
      <c r="AA248" s="22">
        <v>-1.3412500000000001E-2</v>
      </c>
      <c r="AB248" s="22">
        <v>238</v>
      </c>
      <c r="AC248" s="22">
        <v>0.57083099999999998</v>
      </c>
      <c r="AD248">
        <f t="shared" si="40"/>
        <v>16.558641975308642</v>
      </c>
      <c r="AE248">
        <f t="shared" si="41"/>
        <v>9.4648204012345687</v>
      </c>
      <c r="AF248" s="9"/>
      <c r="AG248" s="22">
        <v>1.0984799999999999</v>
      </c>
      <c r="AH248" s="22">
        <v>20.412199999999999</v>
      </c>
      <c r="AI248" s="22">
        <v>-1.24969E-2</v>
      </c>
      <c r="AJ248" s="22">
        <v>238</v>
      </c>
      <c r="AK248" s="22">
        <v>1.0968</v>
      </c>
      <c r="AL248">
        <f t="shared" si="42"/>
        <v>15.428271604938271</v>
      </c>
      <c r="AM248">
        <f t="shared" si="43"/>
        <v>16.947647792592591</v>
      </c>
      <c r="AP248" s="9"/>
      <c r="AQ248" s="22">
        <v>0.57159400000000005</v>
      </c>
      <c r="AR248" s="22">
        <v>25.829699999999999</v>
      </c>
      <c r="AS248" s="22">
        <v>-1.34369E-2</v>
      </c>
      <c r="AT248" s="22">
        <v>238</v>
      </c>
      <c r="AU248" s="22">
        <v>0.570801</v>
      </c>
      <c r="AV248">
        <f t="shared" si="44"/>
        <v>16.588765432098764</v>
      </c>
      <c r="AW248">
        <f t="shared" si="45"/>
        <v>9.4820387883950623</v>
      </c>
      <c r="AX248" s="9"/>
      <c r="AY248" s="22">
        <v>1.0984799999999999</v>
      </c>
      <c r="AZ248" s="22">
        <v>29.5884</v>
      </c>
      <c r="BA248" s="22">
        <v>-1.2558E-2</v>
      </c>
      <c r="BB248" s="22">
        <v>238</v>
      </c>
      <c r="BC248" s="22">
        <v>1.09802</v>
      </c>
      <c r="BD248">
        <f t="shared" si="46"/>
        <v>15.503703703703701</v>
      </c>
      <c r="BE248">
        <f t="shared" si="47"/>
        <v>17.03050844444444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7.4362899999999996</v>
      </c>
      <c r="I249" s="22">
        <v>-1.3324000000000001E-2</v>
      </c>
      <c r="J249" s="22">
        <v>239</v>
      </c>
      <c r="K249" s="22">
        <v>0.56582600000000005</v>
      </c>
      <c r="L249">
        <f t="shared" si="36"/>
        <v>16.449382716049382</v>
      </c>
      <c r="M249">
        <f t="shared" si="37"/>
        <v>9.3195458222222225</v>
      </c>
      <c r="N249" s="9"/>
      <c r="O249" s="22">
        <v>1.1035200000000001</v>
      </c>
      <c r="P249" s="22">
        <v>11.1951</v>
      </c>
      <c r="Q249" s="22">
        <v>-1.2460300000000001E-2</v>
      </c>
      <c r="R249" s="22">
        <v>239</v>
      </c>
      <c r="S249" s="22">
        <v>1.10199</v>
      </c>
      <c r="T249">
        <f t="shared" si="38"/>
        <v>15.383086419753086</v>
      </c>
      <c r="U249">
        <f t="shared" si="39"/>
        <v>16.975543525925925</v>
      </c>
      <c r="X249" s="9"/>
      <c r="Y249" s="22">
        <v>0.56655900000000003</v>
      </c>
      <c r="Z249" s="22">
        <v>16.663499999999999</v>
      </c>
      <c r="AA249" s="22">
        <v>-1.3412500000000001E-2</v>
      </c>
      <c r="AB249" s="22">
        <v>239</v>
      </c>
      <c r="AC249" s="22">
        <v>0.56573499999999999</v>
      </c>
      <c r="AD249">
        <f t="shared" si="40"/>
        <v>16.558641975308642</v>
      </c>
      <c r="AE249">
        <f t="shared" si="41"/>
        <v>9.3814476388888899</v>
      </c>
      <c r="AF249" s="9"/>
      <c r="AG249" s="22">
        <v>1.1035200000000001</v>
      </c>
      <c r="AH249" s="22">
        <v>20.4223</v>
      </c>
      <c r="AI249" s="22">
        <v>-1.2478599999999999E-2</v>
      </c>
      <c r="AJ249" s="22">
        <v>239</v>
      </c>
      <c r="AK249" s="22">
        <v>1.10229</v>
      </c>
      <c r="AL249">
        <f t="shared" si="42"/>
        <v>15.405679012345677</v>
      </c>
      <c r="AM249">
        <f t="shared" si="43"/>
        <v>17.000474903703704</v>
      </c>
      <c r="AP249" s="9"/>
      <c r="AQ249" s="22">
        <v>0.56655900000000003</v>
      </c>
      <c r="AR249" s="22">
        <v>25.839700000000001</v>
      </c>
      <c r="AS249" s="22">
        <v>-1.3443E-2</v>
      </c>
      <c r="AT249" s="22">
        <v>239</v>
      </c>
      <c r="AU249" s="22">
        <v>0.56579599999999997</v>
      </c>
      <c r="AV249">
        <f t="shared" si="44"/>
        <v>16.596296296296295</v>
      </c>
      <c r="AW249">
        <f t="shared" si="45"/>
        <v>9.4027810333333335</v>
      </c>
      <c r="AX249" s="9"/>
      <c r="AY249" s="22">
        <v>1.1035200000000001</v>
      </c>
      <c r="AZ249" s="22">
        <v>29.598500000000001</v>
      </c>
      <c r="BA249" s="22">
        <v>-1.2539700000000001E-2</v>
      </c>
      <c r="BB249" s="22">
        <v>239</v>
      </c>
      <c r="BC249" s="22">
        <v>1.10199</v>
      </c>
      <c r="BD249">
        <f t="shared" si="46"/>
        <v>15.48111111111111</v>
      </c>
      <c r="BE249">
        <f t="shared" si="47"/>
        <v>17.083715733333332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7.4463600000000003</v>
      </c>
      <c r="I250" s="22">
        <v>-1.33209E-2</v>
      </c>
      <c r="J250" s="22">
        <v>240</v>
      </c>
      <c r="K250" s="22">
        <v>0.56072999999999995</v>
      </c>
      <c r="L250">
        <f t="shared" si="36"/>
        <v>16.445555555555554</v>
      </c>
      <c r="M250">
        <f t="shared" si="37"/>
        <v>9.2345576922222214</v>
      </c>
      <c r="N250" s="9"/>
      <c r="O250" s="22">
        <v>1.1085499999999999</v>
      </c>
      <c r="P250" s="22">
        <v>11.2051</v>
      </c>
      <c r="Q250" s="22">
        <v>-1.24359E-2</v>
      </c>
      <c r="R250" s="22">
        <v>240</v>
      </c>
      <c r="S250" s="22">
        <v>1.1077900000000001</v>
      </c>
      <c r="T250">
        <f t="shared" si="38"/>
        <v>15.352962962962962</v>
      </c>
      <c r="U250">
        <f t="shared" si="39"/>
        <v>17.01952709259259</v>
      </c>
      <c r="X250" s="9"/>
      <c r="Y250" s="22">
        <v>0.56152299999999999</v>
      </c>
      <c r="Z250" s="22">
        <v>16.6736</v>
      </c>
      <c r="AA250" s="22">
        <v>-1.3424699999999999E-2</v>
      </c>
      <c r="AB250" s="22">
        <v>240</v>
      </c>
      <c r="AC250" s="22">
        <v>0.56076000000000004</v>
      </c>
      <c r="AD250">
        <f t="shared" si="40"/>
        <v>16.5737037037037</v>
      </c>
      <c r="AE250">
        <f t="shared" si="41"/>
        <v>9.306515824814813</v>
      </c>
      <c r="AF250" s="9"/>
      <c r="AG250" s="22">
        <v>1.1085499999999999</v>
      </c>
      <c r="AH250" s="22">
        <v>20.432300000000001</v>
      </c>
      <c r="AI250" s="22">
        <v>-1.2457299999999999E-2</v>
      </c>
      <c r="AJ250" s="22">
        <v>240</v>
      </c>
      <c r="AK250" s="22">
        <v>1.1077900000000001</v>
      </c>
      <c r="AL250">
        <f t="shared" si="42"/>
        <v>15.379382716049379</v>
      </c>
      <c r="AM250">
        <f t="shared" si="43"/>
        <v>17.048814709876538</v>
      </c>
      <c r="AP250" s="9"/>
      <c r="AQ250" s="22">
        <v>0.56152299999999999</v>
      </c>
      <c r="AR250" s="22">
        <v>25.849799999999998</v>
      </c>
      <c r="AS250" s="22">
        <v>-1.34552E-2</v>
      </c>
      <c r="AT250" s="22">
        <v>240</v>
      </c>
      <c r="AU250" s="22">
        <v>0.56072999999999995</v>
      </c>
      <c r="AV250">
        <f t="shared" si="44"/>
        <v>16.611358024691356</v>
      </c>
      <c r="AW250">
        <f t="shared" si="45"/>
        <v>9.3276595920987635</v>
      </c>
      <c r="AX250" s="9"/>
      <c r="AY250" s="22">
        <v>1.1085499999999999</v>
      </c>
      <c r="AZ250" s="22">
        <v>29.608599999999999</v>
      </c>
      <c r="BA250" s="22">
        <v>-1.25214E-2</v>
      </c>
      <c r="BB250" s="22">
        <v>240</v>
      </c>
      <c r="BC250" s="22">
        <v>1.10748</v>
      </c>
      <c r="BD250">
        <f t="shared" si="46"/>
        <v>15.458518518518517</v>
      </c>
      <c r="BE250">
        <f t="shared" si="47"/>
        <v>17.136540703703702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7.4564300000000001</v>
      </c>
      <c r="I251" s="22">
        <v>-1.33148E-2</v>
      </c>
      <c r="J251" s="22">
        <v>241</v>
      </c>
      <c r="K251" s="22">
        <v>0.55572500000000002</v>
      </c>
      <c r="L251">
        <f t="shared" si="36"/>
        <v>16.438024691358024</v>
      </c>
      <c r="M251">
        <f t="shared" si="37"/>
        <v>9.1475634844444436</v>
      </c>
      <c r="N251" s="9"/>
      <c r="O251" s="22">
        <v>1.1135900000000001</v>
      </c>
      <c r="P251" s="22">
        <v>11.215199999999999</v>
      </c>
      <c r="Q251" s="22">
        <v>-1.24146E-2</v>
      </c>
      <c r="R251" s="22">
        <v>241</v>
      </c>
      <c r="S251" s="22">
        <v>1.11267</v>
      </c>
      <c r="T251">
        <f t="shared" si="38"/>
        <v>15.326666666666666</v>
      </c>
      <c r="U251">
        <f t="shared" si="39"/>
        <v>17.067622733333334</v>
      </c>
      <c r="X251" s="9"/>
      <c r="Y251" s="22">
        <v>0.55648799999999998</v>
      </c>
      <c r="Z251" s="22">
        <v>16.683599999999998</v>
      </c>
      <c r="AA251" s="22">
        <v>-1.34369E-2</v>
      </c>
      <c r="AB251" s="22">
        <v>241</v>
      </c>
      <c r="AC251" s="22">
        <v>0.55569500000000005</v>
      </c>
      <c r="AD251">
        <f t="shared" si="40"/>
        <v>16.588765432098764</v>
      </c>
      <c r="AE251">
        <f t="shared" si="41"/>
        <v>9.231448897777776</v>
      </c>
      <c r="AF251" s="9"/>
      <c r="AG251" s="22">
        <v>1.1135900000000001</v>
      </c>
      <c r="AH251" s="22">
        <v>20.442399999999999</v>
      </c>
      <c r="AI251" s="22">
        <v>-1.2439E-2</v>
      </c>
      <c r="AJ251" s="22">
        <v>241</v>
      </c>
      <c r="AK251" s="22">
        <v>1.1123700000000001</v>
      </c>
      <c r="AL251">
        <f t="shared" si="42"/>
        <v>15.35679012345679</v>
      </c>
      <c r="AM251">
        <f t="shared" si="43"/>
        <v>17.101167913580248</v>
      </c>
      <c r="AP251" s="9"/>
      <c r="AQ251" s="22">
        <v>0.55648799999999998</v>
      </c>
      <c r="AR251" s="22">
        <v>25.8599</v>
      </c>
      <c r="AS251" s="22">
        <v>-1.3458299999999999E-2</v>
      </c>
      <c r="AT251" s="22">
        <v>241</v>
      </c>
      <c r="AU251" s="22">
        <v>0.55572500000000002</v>
      </c>
      <c r="AV251">
        <f t="shared" si="44"/>
        <v>16.615185185185183</v>
      </c>
      <c r="AW251">
        <f t="shared" si="45"/>
        <v>9.246151173333331</v>
      </c>
      <c r="AX251" s="9"/>
      <c r="AY251" s="22">
        <v>1.1135900000000001</v>
      </c>
      <c r="AZ251" s="22">
        <v>29.618600000000001</v>
      </c>
      <c r="BA251" s="22">
        <v>-1.24939E-2</v>
      </c>
      <c r="BB251" s="22">
        <v>241</v>
      </c>
      <c r="BC251" s="22">
        <v>1.11267</v>
      </c>
      <c r="BD251">
        <f t="shared" si="46"/>
        <v>15.424567901234568</v>
      </c>
      <c r="BE251">
        <f t="shared" si="47"/>
        <v>17.176644569135803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7.4664999999999999</v>
      </c>
      <c r="I252" s="22">
        <v>-1.33118E-2</v>
      </c>
      <c r="J252" s="22">
        <v>242</v>
      </c>
      <c r="K252" s="22">
        <v>0.55069000000000001</v>
      </c>
      <c r="L252">
        <f t="shared" si="36"/>
        <v>16.434320987654321</v>
      </c>
      <c r="M252">
        <f t="shared" si="37"/>
        <v>9.0627556116049384</v>
      </c>
      <c r="N252" s="9"/>
      <c r="O252" s="22">
        <v>1.1186199999999999</v>
      </c>
      <c r="P252" s="22">
        <v>11.225300000000001</v>
      </c>
      <c r="Q252" s="22">
        <v>-1.23993E-2</v>
      </c>
      <c r="R252" s="22">
        <v>242</v>
      </c>
      <c r="S252" s="22">
        <v>1.1172500000000001</v>
      </c>
      <c r="T252">
        <f t="shared" si="38"/>
        <v>15.307777777777778</v>
      </c>
      <c r="U252">
        <f t="shared" si="39"/>
        <v>17.123586377777777</v>
      </c>
      <c r="X252" s="9"/>
      <c r="Y252" s="22">
        <v>0.55145299999999997</v>
      </c>
      <c r="Z252" s="22">
        <v>16.6937</v>
      </c>
      <c r="AA252" s="22">
        <v>-1.34491E-2</v>
      </c>
      <c r="AB252" s="22">
        <v>242</v>
      </c>
      <c r="AC252" s="22">
        <v>0.55071999999999999</v>
      </c>
      <c r="AD252">
        <f t="shared" si="40"/>
        <v>16.603827160493829</v>
      </c>
      <c r="AE252">
        <f t="shared" si="41"/>
        <v>9.1562302991358031</v>
      </c>
      <c r="AF252" s="9"/>
      <c r="AG252" s="22">
        <v>1.1186199999999999</v>
      </c>
      <c r="AH252" s="22">
        <v>20.452500000000001</v>
      </c>
      <c r="AI252" s="22">
        <v>-1.2411500000000001E-2</v>
      </c>
      <c r="AJ252" s="22">
        <v>242</v>
      </c>
      <c r="AK252" s="22">
        <v>1.1172500000000001</v>
      </c>
      <c r="AL252">
        <f t="shared" si="42"/>
        <v>15.322839506172839</v>
      </c>
      <c r="AM252">
        <f t="shared" si="43"/>
        <v>17.140434728395061</v>
      </c>
      <c r="AP252" s="9"/>
      <c r="AQ252" s="22">
        <v>0.55145299999999997</v>
      </c>
      <c r="AR252" s="22">
        <v>25.869900000000001</v>
      </c>
      <c r="AS252" s="22">
        <v>-1.3467399999999999E-2</v>
      </c>
      <c r="AT252" s="22">
        <v>242</v>
      </c>
      <c r="AU252" s="22">
        <v>0.55069000000000001</v>
      </c>
      <c r="AV252">
        <f t="shared" si="44"/>
        <v>16.626419753086417</v>
      </c>
      <c r="AW252">
        <f t="shared" si="45"/>
        <v>9.1686890520987632</v>
      </c>
      <c r="AX252" s="9"/>
      <c r="AY252" s="22">
        <v>1.1186199999999999</v>
      </c>
      <c r="AZ252" s="22">
        <v>29.628699999999998</v>
      </c>
      <c r="BA252" s="22">
        <v>-1.24695E-2</v>
      </c>
      <c r="BB252" s="22">
        <v>242</v>
      </c>
      <c r="BC252" s="22">
        <v>1.11755</v>
      </c>
      <c r="BD252">
        <f t="shared" si="46"/>
        <v>15.394444444444444</v>
      </c>
      <c r="BE252">
        <f t="shared" si="47"/>
        <v>17.220533444444442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7.4765699999999997</v>
      </c>
      <c r="I253" s="22">
        <v>-1.3317900000000001E-2</v>
      </c>
      <c r="J253" s="22">
        <v>243</v>
      </c>
      <c r="K253" s="22">
        <v>0.545624</v>
      </c>
      <c r="L253">
        <f t="shared" si="36"/>
        <v>16.441851851851851</v>
      </c>
      <c r="M253">
        <f t="shared" si="37"/>
        <v>8.984107363333333</v>
      </c>
      <c r="N253" s="9"/>
      <c r="O253" s="22">
        <v>1.1236600000000001</v>
      </c>
      <c r="P253" s="22">
        <v>11.235300000000001</v>
      </c>
      <c r="Q253" s="22">
        <v>-1.2377900000000001E-2</v>
      </c>
      <c r="R253" s="22">
        <v>243</v>
      </c>
      <c r="S253" s="22">
        <v>1.1224400000000001</v>
      </c>
      <c r="T253">
        <f t="shared" si="38"/>
        <v>15.281358024691359</v>
      </c>
      <c r="U253">
        <f t="shared" si="39"/>
        <v>17.171050758024695</v>
      </c>
      <c r="X253" s="9"/>
      <c r="Y253" s="22">
        <v>0.54641700000000004</v>
      </c>
      <c r="Z253" s="22">
        <v>16.703800000000001</v>
      </c>
      <c r="AA253" s="22">
        <v>-1.3446E-2</v>
      </c>
      <c r="AB253" s="22">
        <v>243</v>
      </c>
      <c r="AC253" s="22">
        <v>0.54571499999999995</v>
      </c>
      <c r="AD253">
        <f t="shared" si="40"/>
        <v>16.599999999999998</v>
      </c>
      <c r="AE253">
        <f t="shared" si="41"/>
        <v>9.0705221999999992</v>
      </c>
      <c r="AF253" s="9"/>
      <c r="AG253" s="22">
        <v>1.1236600000000001</v>
      </c>
      <c r="AH253" s="22">
        <v>20.462499999999999</v>
      </c>
      <c r="AI253" s="22">
        <v>-1.24023E-2</v>
      </c>
      <c r="AJ253" s="22">
        <v>243</v>
      </c>
      <c r="AK253" s="22">
        <v>1.1227400000000001</v>
      </c>
      <c r="AL253">
        <f t="shared" si="42"/>
        <v>15.311481481481479</v>
      </c>
      <c r="AM253">
        <f t="shared" si="43"/>
        <v>17.204899281481481</v>
      </c>
      <c r="AP253" s="9"/>
      <c r="AQ253" s="22">
        <v>0.54641700000000004</v>
      </c>
      <c r="AR253" s="22">
        <v>25.88</v>
      </c>
      <c r="AS253" s="22">
        <v>-1.34705E-2</v>
      </c>
      <c r="AT253" s="22">
        <v>243</v>
      </c>
      <c r="AU253" s="22">
        <v>0.54559299999999999</v>
      </c>
      <c r="AV253">
        <f t="shared" si="44"/>
        <v>16.630246913580244</v>
      </c>
      <c r="AW253">
        <f t="shared" si="45"/>
        <v>9.0870496277777768</v>
      </c>
      <c r="AX253" s="9"/>
      <c r="AY253" s="22">
        <v>1.1236600000000001</v>
      </c>
      <c r="AZ253" s="22">
        <v>29.6388</v>
      </c>
      <c r="BA253" s="22">
        <v>-1.24542E-2</v>
      </c>
      <c r="BB253" s="22">
        <v>243</v>
      </c>
      <c r="BC253" s="22">
        <v>1.1227400000000001</v>
      </c>
      <c r="BD253">
        <f t="shared" si="46"/>
        <v>15.375555555555556</v>
      </c>
      <c r="BE253">
        <f t="shared" si="47"/>
        <v>17.276896755555558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7.4866400000000004</v>
      </c>
      <c r="I254" s="22">
        <v>-1.3324000000000001E-2</v>
      </c>
      <c r="J254" s="22">
        <v>244</v>
      </c>
      <c r="K254" s="22">
        <v>0.54061899999999996</v>
      </c>
      <c r="L254">
        <f t="shared" si="36"/>
        <v>16.449382716049382</v>
      </c>
      <c r="M254">
        <f t="shared" si="37"/>
        <v>8.9053997135802465</v>
      </c>
      <c r="N254" s="9"/>
      <c r="O254" s="22">
        <v>1.12869</v>
      </c>
      <c r="P254" s="22">
        <v>11.2454</v>
      </c>
      <c r="Q254" s="22">
        <v>-1.23444E-2</v>
      </c>
      <c r="R254" s="22">
        <v>244</v>
      </c>
      <c r="S254" s="22">
        <v>1.1279300000000001</v>
      </c>
      <c r="T254">
        <f t="shared" si="38"/>
        <v>15.239999999999998</v>
      </c>
      <c r="U254">
        <f t="shared" si="39"/>
        <v>17.201235599999997</v>
      </c>
      <c r="X254" s="9"/>
      <c r="Y254" s="22">
        <v>0.54138200000000003</v>
      </c>
      <c r="Z254" s="22">
        <v>16.713899999999999</v>
      </c>
      <c r="AA254" s="22">
        <v>-1.34521E-2</v>
      </c>
      <c r="AB254" s="22">
        <v>244</v>
      </c>
      <c r="AC254" s="22">
        <v>0.54055799999999998</v>
      </c>
      <c r="AD254">
        <f t="shared" si="40"/>
        <v>16.607530864197528</v>
      </c>
      <c r="AE254">
        <f t="shared" si="41"/>
        <v>8.9910182743209877</v>
      </c>
      <c r="AF254" s="9"/>
      <c r="AG254" s="22">
        <v>1.12869</v>
      </c>
      <c r="AH254" s="22">
        <v>20.4726</v>
      </c>
      <c r="AI254" s="22">
        <v>-1.2383999999999999E-2</v>
      </c>
      <c r="AJ254" s="22">
        <v>244</v>
      </c>
      <c r="AK254" s="22">
        <v>1.1276200000000001</v>
      </c>
      <c r="AL254">
        <f t="shared" si="42"/>
        <v>15.288888888888886</v>
      </c>
      <c r="AM254">
        <f t="shared" si="43"/>
        <v>17.256415999999998</v>
      </c>
      <c r="AP254" s="9"/>
      <c r="AQ254" s="22">
        <v>0.54138200000000003</v>
      </c>
      <c r="AR254" s="22">
        <v>25.8901</v>
      </c>
      <c r="AS254" s="22">
        <v>-1.34766E-2</v>
      </c>
      <c r="AT254" s="22">
        <v>244</v>
      </c>
      <c r="AU254" s="22">
        <v>0.54064900000000005</v>
      </c>
      <c r="AV254">
        <f t="shared" si="44"/>
        <v>16.637777777777774</v>
      </c>
      <c r="AW254">
        <f t="shared" si="45"/>
        <v>9.0073934088888876</v>
      </c>
      <c r="AX254" s="9"/>
      <c r="AY254" s="22">
        <v>1.12869</v>
      </c>
      <c r="AZ254" s="22">
        <v>29.648800000000001</v>
      </c>
      <c r="BA254" s="22">
        <v>-1.2439E-2</v>
      </c>
      <c r="BB254" s="22">
        <v>244</v>
      </c>
      <c r="BC254" s="22">
        <v>1.1273200000000001</v>
      </c>
      <c r="BD254">
        <f t="shared" si="46"/>
        <v>15.35679012345679</v>
      </c>
      <c r="BE254">
        <f t="shared" si="47"/>
        <v>17.333055444444444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7.4967100000000002</v>
      </c>
      <c r="I255" s="22">
        <v>-1.3333100000000001E-2</v>
      </c>
      <c r="J255" s="22">
        <v>245</v>
      </c>
      <c r="K255" s="22">
        <v>0.53555299999999995</v>
      </c>
      <c r="L255">
        <f t="shared" si="36"/>
        <v>16.460617283950615</v>
      </c>
      <c r="M255">
        <f t="shared" si="37"/>
        <v>8.8285862377777757</v>
      </c>
      <c r="N255" s="9"/>
      <c r="O255" s="22">
        <v>1.1337299999999999</v>
      </c>
      <c r="P255" s="22">
        <v>11.2555</v>
      </c>
      <c r="Q255" s="22">
        <v>-1.2323000000000001E-2</v>
      </c>
      <c r="R255" s="22">
        <v>245</v>
      </c>
      <c r="S255" s="22">
        <v>1.1325099999999999</v>
      </c>
      <c r="T255">
        <f t="shared" si="38"/>
        <v>15.213580246913581</v>
      </c>
      <c r="U255">
        <f t="shared" si="39"/>
        <v>17.248092333333332</v>
      </c>
      <c r="X255" s="9"/>
      <c r="Y255" s="22">
        <v>0.53634599999999999</v>
      </c>
      <c r="Z255" s="22">
        <v>16.7239</v>
      </c>
      <c r="AA255" s="22">
        <v>-1.3458299999999999E-2</v>
      </c>
      <c r="AB255" s="22">
        <v>245</v>
      </c>
      <c r="AC255" s="22">
        <v>0.53555299999999995</v>
      </c>
      <c r="AD255">
        <f t="shared" si="40"/>
        <v>16.615185185185183</v>
      </c>
      <c r="AE255">
        <f t="shared" si="41"/>
        <v>8.9114881133333324</v>
      </c>
      <c r="AF255" s="9"/>
      <c r="AG255" s="22">
        <v>1.1337299999999999</v>
      </c>
      <c r="AH255" s="22">
        <v>20.482700000000001</v>
      </c>
      <c r="AI255" s="22">
        <v>-1.2362700000000001E-2</v>
      </c>
      <c r="AJ255" s="22">
        <v>245</v>
      </c>
      <c r="AK255" s="22">
        <v>1.1325099999999999</v>
      </c>
      <c r="AL255">
        <f t="shared" si="42"/>
        <v>15.262592592592593</v>
      </c>
      <c r="AM255">
        <f t="shared" si="43"/>
        <v>17.303659100000001</v>
      </c>
      <c r="AP255" s="9"/>
      <c r="AQ255" s="22">
        <v>0.53634599999999999</v>
      </c>
      <c r="AR255" s="22">
        <v>25.900200000000002</v>
      </c>
      <c r="AS255" s="22">
        <v>-1.34796E-2</v>
      </c>
      <c r="AT255" s="22">
        <v>245</v>
      </c>
      <c r="AU255" s="22">
        <v>0.53561400000000003</v>
      </c>
      <c r="AV255">
        <f t="shared" si="44"/>
        <v>16.641481481481478</v>
      </c>
      <c r="AW255">
        <f t="shared" si="45"/>
        <v>8.9255920266666635</v>
      </c>
      <c r="AX255" s="9"/>
      <c r="AY255" s="22">
        <v>1.1337299999999999</v>
      </c>
      <c r="AZ255" s="22">
        <v>29.658899999999999</v>
      </c>
      <c r="BA255" s="22">
        <v>-1.24146E-2</v>
      </c>
      <c r="BB255" s="22">
        <v>245</v>
      </c>
      <c r="BC255" s="22">
        <v>1.1328100000000001</v>
      </c>
      <c r="BD255">
        <f t="shared" si="46"/>
        <v>15.326666666666666</v>
      </c>
      <c r="BE255">
        <f t="shared" si="47"/>
        <v>17.376301799999997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7.5067899999999996</v>
      </c>
      <c r="I256" s="22">
        <v>-1.3336199999999999E-2</v>
      </c>
      <c r="J256" s="22">
        <v>246</v>
      </c>
      <c r="K256" s="22">
        <v>0.53054800000000002</v>
      </c>
      <c r="L256">
        <f t="shared" si="36"/>
        <v>16.464444444444442</v>
      </c>
      <c r="M256">
        <f t="shared" si="37"/>
        <v>8.74774044222222</v>
      </c>
      <c r="N256" s="9"/>
      <c r="O256" s="22">
        <v>1.13876</v>
      </c>
      <c r="P256" s="22">
        <v>11.265499999999999</v>
      </c>
      <c r="Q256" s="22">
        <v>-1.23047E-2</v>
      </c>
      <c r="R256" s="22">
        <v>246</v>
      </c>
      <c r="S256" s="22">
        <v>1.1383099999999999</v>
      </c>
      <c r="T256">
        <f t="shared" si="38"/>
        <v>15.190987654320987</v>
      </c>
      <c r="U256">
        <f t="shared" si="39"/>
        <v>17.298889101234568</v>
      </c>
      <c r="X256" s="9"/>
      <c r="Y256" s="22">
        <v>0.53131099999999998</v>
      </c>
      <c r="Z256" s="22">
        <v>16.734000000000002</v>
      </c>
      <c r="AA256" s="22">
        <v>-1.34644E-2</v>
      </c>
      <c r="AB256" s="22">
        <v>246</v>
      </c>
      <c r="AC256" s="22">
        <v>0.53054800000000002</v>
      </c>
      <c r="AD256">
        <f t="shared" si="40"/>
        <v>16.622716049382717</v>
      </c>
      <c r="AE256">
        <f t="shared" si="41"/>
        <v>8.8318318869135801</v>
      </c>
      <c r="AF256" s="9"/>
      <c r="AG256" s="22">
        <v>1.13876</v>
      </c>
      <c r="AH256" s="22">
        <v>20.492799999999999</v>
      </c>
      <c r="AI256" s="22">
        <v>-1.23444E-2</v>
      </c>
      <c r="AJ256" s="22">
        <v>246</v>
      </c>
      <c r="AK256" s="22">
        <v>1.1373899999999999</v>
      </c>
      <c r="AL256">
        <f t="shared" si="42"/>
        <v>15.239999999999998</v>
      </c>
      <c r="AM256">
        <f t="shared" si="43"/>
        <v>17.354702399999997</v>
      </c>
      <c r="AP256" s="9"/>
      <c r="AQ256" s="22">
        <v>0.53131099999999998</v>
      </c>
      <c r="AR256" s="22">
        <v>25.9102</v>
      </c>
      <c r="AS256" s="22">
        <v>-1.34857E-2</v>
      </c>
      <c r="AT256" s="22">
        <v>246</v>
      </c>
      <c r="AU256" s="22">
        <v>0.53048700000000004</v>
      </c>
      <c r="AV256">
        <f t="shared" si="44"/>
        <v>16.649012345679012</v>
      </c>
      <c r="AW256">
        <f t="shared" si="45"/>
        <v>8.845803398395061</v>
      </c>
      <c r="AX256" s="9"/>
      <c r="AY256" s="22">
        <v>1.13876</v>
      </c>
      <c r="AZ256" s="22">
        <v>29.669</v>
      </c>
      <c r="BA256" s="22">
        <v>-1.23993E-2</v>
      </c>
      <c r="BB256" s="22">
        <v>246</v>
      </c>
      <c r="BC256" s="22">
        <v>1.1376999999999999</v>
      </c>
      <c r="BD256">
        <f t="shared" si="46"/>
        <v>15.307777777777778</v>
      </c>
      <c r="BE256">
        <f t="shared" si="47"/>
        <v>17.431885022222222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7.5168600000000003</v>
      </c>
      <c r="I257" s="22">
        <v>-1.3336199999999999E-2</v>
      </c>
      <c r="J257" s="22">
        <v>247</v>
      </c>
      <c r="K257" s="22">
        <v>0.525482</v>
      </c>
      <c r="L257">
        <f t="shared" si="36"/>
        <v>16.464444444444442</v>
      </c>
      <c r="M257">
        <f t="shared" si="37"/>
        <v>8.6648419644444434</v>
      </c>
      <c r="N257" s="9"/>
      <c r="O257" s="22">
        <v>1.1437999999999999</v>
      </c>
      <c r="P257" s="22">
        <v>11.275600000000001</v>
      </c>
      <c r="Q257" s="22">
        <v>-1.22833E-2</v>
      </c>
      <c r="R257" s="22">
        <v>247</v>
      </c>
      <c r="S257" s="22">
        <v>1.1428799999999999</v>
      </c>
      <c r="T257">
        <f t="shared" si="38"/>
        <v>15.164567901234568</v>
      </c>
      <c r="U257">
        <f t="shared" si="39"/>
        <v>17.345232765432097</v>
      </c>
      <c r="X257" s="9"/>
      <c r="Y257" s="22">
        <v>0.52627599999999997</v>
      </c>
      <c r="Z257" s="22">
        <v>16.7441</v>
      </c>
      <c r="AA257" s="22">
        <v>-1.3467399999999999E-2</v>
      </c>
      <c r="AB257" s="22">
        <v>247</v>
      </c>
      <c r="AC257" s="22">
        <v>0.525482</v>
      </c>
      <c r="AD257">
        <f t="shared" si="40"/>
        <v>16.626419753086417</v>
      </c>
      <c r="AE257">
        <f t="shared" si="41"/>
        <v>8.7500856819753068</v>
      </c>
      <c r="AF257" s="9"/>
      <c r="AG257" s="22">
        <v>1.1437999999999999</v>
      </c>
      <c r="AH257" s="22">
        <v>20.502800000000001</v>
      </c>
      <c r="AI257" s="22">
        <v>-1.2323000000000001E-2</v>
      </c>
      <c r="AJ257" s="22">
        <v>247</v>
      </c>
      <c r="AK257" s="22">
        <v>1.1425799999999999</v>
      </c>
      <c r="AL257">
        <f t="shared" si="42"/>
        <v>15.213580246913581</v>
      </c>
      <c r="AM257">
        <f t="shared" si="43"/>
        <v>17.401293086419752</v>
      </c>
      <c r="AP257" s="9"/>
      <c r="AQ257" s="22">
        <v>0.52627599999999997</v>
      </c>
      <c r="AR257" s="22">
        <v>25.920300000000001</v>
      </c>
      <c r="AS257" s="22">
        <v>-1.34979E-2</v>
      </c>
      <c r="AT257" s="22">
        <v>247</v>
      </c>
      <c r="AU257" s="22">
        <v>0.52551300000000001</v>
      </c>
      <c r="AV257">
        <f t="shared" si="44"/>
        <v>16.664074074074072</v>
      </c>
      <c r="AW257">
        <f t="shared" si="45"/>
        <v>8.7699022474074066</v>
      </c>
      <c r="AX257" s="9"/>
      <c r="AY257" s="22">
        <v>1.1437999999999999</v>
      </c>
      <c r="AZ257" s="22">
        <v>29.679099999999998</v>
      </c>
      <c r="BA257" s="22">
        <v>-1.2374899999999999E-2</v>
      </c>
      <c r="BB257" s="22">
        <v>247</v>
      </c>
      <c r="BC257" s="22">
        <v>1.1428799999999999</v>
      </c>
      <c r="BD257">
        <f t="shared" si="46"/>
        <v>15.277654320987653</v>
      </c>
      <c r="BE257">
        <f t="shared" si="47"/>
        <v>17.474581012345677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7.5269300000000001</v>
      </c>
      <c r="I258" s="22">
        <v>-1.3339200000000001E-2</v>
      </c>
      <c r="J258" s="22">
        <v>248</v>
      </c>
      <c r="K258" s="22">
        <v>0.52047699999999997</v>
      </c>
      <c r="L258">
        <f t="shared" si="36"/>
        <v>16.468148148148149</v>
      </c>
      <c r="M258">
        <f t="shared" si="37"/>
        <v>8.5838575407407411</v>
      </c>
      <c r="N258" s="9"/>
      <c r="O258" s="22">
        <v>1.14883</v>
      </c>
      <c r="P258" s="22">
        <v>11.2857</v>
      </c>
      <c r="Q258" s="22">
        <v>-1.22589E-2</v>
      </c>
      <c r="R258" s="22">
        <v>248</v>
      </c>
      <c r="S258" s="22">
        <v>1.1474599999999999</v>
      </c>
      <c r="T258">
        <f t="shared" si="38"/>
        <v>15.134444444444444</v>
      </c>
      <c r="U258">
        <f t="shared" si="39"/>
        <v>17.386903811111111</v>
      </c>
      <c r="X258" s="9"/>
      <c r="Y258" s="22">
        <v>0.52124000000000004</v>
      </c>
      <c r="Z258" s="22">
        <v>16.754100000000001</v>
      </c>
      <c r="AA258" s="22">
        <v>-1.34644E-2</v>
      </c>
      <c r="AB258" s="22">
        <v>248</v>
      </c>
      <c r="AC258" s="22">
        <v>0.52053799999999995</v>
      </c>
      <c r="AD258">
        <f t="shared" si="40"/>
        <v>16.622716049382717</v>
      </c>
      <c r="AE258">
        <f t="shared" si="41"/>
        <v>8.6644245135802489</v>
      </c>
      <c r="AF258" s="9"/>
      <c r="AG258" s="22">
        <v>1.14883</v>
      </c>
      <c r="AH258" s="22">
        <v>20.512899999999998</v>
      </c>
      <c r="AI258" s="22">
        <v>-1.22925E-2</v>
      </c>
      <c r="AJ258" s="22">
        <v>248</v>
      </c>
      <c r="AK258" s="22">
        <v>1.14777</v>
      </c>
      <c r="AL258">
        <f t="shared" si="42"/>
        <v>15.175925925925924</v>
      </c>
      <c r="AM258">
        <f t="shared" si="43"/>
        <v>17.43455898148148</v>
      </c>
      <c r="AP258" s="9"/>
      <c r="AQ258" s="22">
        <v>0.52124000000000004</v>
      </c>
      <c r="AR258" s="22">
        <v>25.930399999999999</v>
      </c>
      <c r="AS258" s="22">
        <v>-1.34979E-2</v>
      </c>
      <c r="AT258" s="22">
        <v>248</v>
      </c>
      <c r="AU258" s="22">
        <v>0.52050799999999997</v>
      </c>
      <c r="AV258">
        <f t="shared" si="44"/>
        <v>16.664074074074072</v>
      </c>
      <c r="AW258">
        <f t="shared" si="45"/>
        <v>8.6859819703703707</v>
      </c>
      <c r="AX258" s="9"/>
      <c r="AY258" s="22">
        <v>1.14883</v>
      </c>
      <c r="AZ258" s="22">
        <v>29.6891</v>
      </c>
      <c r="BA258" s="22">
        <v>-1.2356600000000001E-2</v>
      </c>
      <c r="BB258" s="22">
        <v>248</v>
      </c>
      <c r="BC258" s="22">
        <v>1.14777</v>
      </c>
      <c r="BD258">
        <f t="shared" si="46"/>
        <v>15.255061728395061</v>
      </c>
      <c r="BE258">
        <f t="shared" si="47"/>
        <v>17.5254725654321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7.5369999999999999</v>
      </c>
      <c r="I259" s="22">
        <v>-1.33484E-2</v>
      </c>
      <c r="J259" s="22">
        <v>249</v>
      </c>
      <c r="K259" s="22">
        <v>0.51541099999999995</v>
      </c>
      <c r="L259">
        <f t="shared" si="36"/>
        <v>16.479506172839503</v>
      </c>
      <c r="M259">
        <f t="shared" si="37"/>
        <v>8.5068034839506161</v>
      </c>
      <c r="N259" s="9"/>
      <c r="O259" s="22">
        <v>1.15387</v>
      </c>
      <c r="P259" s="22">
        <v>11.2958</v>
      </c>
      <c r="Q259" s="22">
        <v>-1.22314E-2</v>
      </c>
      <c r="R259" s="22">
        <v>249</v>
      </c>
      <c r="S259" s="22">
        <v>1.15265</v>
      </c>
      <c r="T259">
        <f t="shared" si="38"/>
        <v>15.100493827160493</v>
      </c>
      <c r="U259">
        <f t="shared" si="39"/>
        <v>17.424006812345677</v>
      </c>
      <c r="X259" s="9"/>
      <c r="Y259" s="22">
        <v>0.51620500000000002</v>
      </c>
      <c r="Z259" s="22">
        <v>16.764199999999999</v>
      </c>
      <c r="AA259" s="22">
        <v>-1.34644E-2</v>
      </c>
      <c r="AB259" s="22">
        <v>249</v>
      </c>
      <c r="AC259" s="22">
        <v>0.51544199999999996</v>
      </c>
      <c r="AD259">
        <f t="shared" si="40"/>
        <v>16.622716049382717</v>
      </c>
      <c r="AE259">
        <f t="shared" si="41"/>
        <v>8.5807291382716055</v>
      </c>
      <c r="AF259" s="9"/>
      <c r="AG259" s="22">
        <v>1.15387</v>
      </c>
      <c r="AH259" s="22">
        <v>20.523</v>
      </c>
      <c r="AI259" s="22">
        <v>-1.22772E-2</v>
      </c>
      <c r="AJ259" s="22">
        <v>249</v>
      </c>
      <c r="AK259" s="22">
        <v>1.15265</v>
      </c>
      <c r="AL259">
        <f t="shared" si="42"/>
        <v>15.157037037037037</v>
      </c>
      <c r="AM259">
        <f t="shared" si="43"/>
        <v>17.489250325925926</v>
      </c>
      <c r="AP259" s="9"/>
      <c r="AQ259" s="22">
        <v>0.51620500000000002</v>
      </c>
      <c r="AR259" s="22">
        <v>25.9404</v>
      </c>
      <c r="AS259" s="22">
        <v>-1.3494900000000001E-2</v>
      </c>
      <c r="AT259" s="22">
        <v>249</v>
      </c>
      <c r="AU259" s="22">
        <v>0.51544199999999996</v>
      </c>
      <c r="AV259">
        <f t="shared" si="44"/>
        <v>16.660370370370369</v>
      </c>
      <c r="AW259">
        <f t="shared" si="45"/>
        <v>8.6001664870370362</v>
      </c>
      <c r="AX259" s="9"/>
      <c r="AY259" s="22">
        <v>1.15387</v>
      </c>
      <c r="AZ259" s="22">
        <v>29.699200000000001</v>
      </c>
      <c r="BA259" s="22">
        <v>-1.2329100000000001E-2</v>
      </c>
      <c r="BB259" s="22">
        <v>249</v>
      </c>
      <c r="BC259" s="22">
        <v>1.1529499999999999</v>
      </c>
      <c r="BD259">
        <f t="shared" si="46"/>
        <v>15.22111111111111</v>
      </c>
      <c r="BE259">
        <f t="shared" si="47"/>
        <v>17.563183477777777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7.5470699999999997</v>
      </c>
      <c r="I260" s="22">
        <v>-1.33545E-2</v>
      </c>
      <c r="J260" s="22">
        <v>250</v>
      </c>
      <c r="K260" s="22">
        <v>0.51043700000000003</v>
      </c>
      <c r="L260">
        <f t="shared" si="36"/>
        <v>16.487037037037037</v>
      </c>
      <c r="M260">
        <f t="shared" si="37"/>
        <v>8.4276622351851849</v>
      </c>
      <c r="N260" s="9"/>
      <c r="O260" s="22">
        <v>1.1589100000000001</v>
      </c>
      <c r="P260" s="22">
        <v>11.3058</v>
      </c>
      <c r="Q260" s="22">
        <v>-1.2204E-2</v>
      </c>
      <c r="R260" s="22">
        <v>250</v>
      </c>
      <c r="S260" s="22">
        <v>1.1575299999999999</v>
      </c>
      <c r="T260">
        <f t="shared" si="38"/>
        <v>15.066666666666666</v>
      </c>
      <c r="U260">
        <f t="shared" si="39"/>
        <v>17.460910666666667</v>
      </c>
      <c r="X260" s="9"/>
      <c r="Y260" s="22">
        <v>0.51116899999999998</v>
      </c>
      <c r="Z260" s="22">
        <v>16.7743</v>
      </c>
      <c r="AA260" s="22">
        <v>-1.34705E-2</v>
      </c>
      <c r="AB260" s="22">
        <v>250</v>
      </c>
      <c r="AC260" s="22">
        <v>0.51040600000000003</v>
      </c>
      <c r="AD260">
        <f t="shared" si="40"/>
        <v>16.630246913580244</v>
      </c>
      <c r="AE260">
        <f t="shared" si="41"/>
        <v>8.5008666845678995</v>
      </c>
      <c r="AF260" s="9"/>
      <c r="AG260" s="22">
        <v>1.1589100000000001</v>
      </c>
      <c r="AH260" s="22">
        <v>20.533000000000001</v>
      </c>
      <c r="AI260" s="22">
        <v>-1.2265E-2</v>
      </c>
      <c r="AJ260" s="22">
        <v>250</v>
      </c>
      <c r="AK260" s="22">
        <v>1.15845</v>
      </c>
      <c r="AL260">
        <f t="shared" si="42"/>
        <v>15.141975308641973</v>
      </c>
      <c r="AM260">
        <f t="shared" si="43"/>
        <v>17.54818660493827</v>
      </c>
      <c r="AP260" s="9"/>
      <c r="AQ260" s="22">
        <v>0.51116899999999998</v>
      </c>
      <c r="AR260" s="22">
        <v>25.950500000000002</v>
      </c>
      <c r="AS260" s="22">
        <v>-1.3501000000000001E-2</v>
      </c>
      <c r="AT260" s="22">
        <v>250</v>
      </c>
      <c r="AU260" s="22">
        <v>0.51043700000000003</v>
      </c>
      <c r="AV260">
        <f t="shared" si="44"/>
        <v>16.667901234567903</v>
      </c>
      <c r="AW260">
        <f t="shared" si="45"/>
        <v>8.5201144061728407</v>
      </c>
      <c r="AX260" s="9"/>
      <c r="AY260" s="22">
        <v>1.1589100000000001</v>
      </c>
      <c r="AZ260" s="22">
        <v>29.709299999999999</v>
      </c>
      <c r="BA260" s="22">
        <v>-1.22986E-2</v>
      </c>
      <c r="BB260" s="22">
        <v>250</v>
      </c>
      <c r="BC260" s="22">
        <v>1.15784</v>
      </c>
      <c r="BD260">
        <f t="shared" si="46"/>
        <v>15.183456790123456</v>
      </c>
      <c r="BE260">
        <f t="shared" si="47"/>
        <v>17.596259908641976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7.5571400000000004</v>
      </c>
      <c r="I261" s="22">
        <v>-1.33606E-2</v>
      </c>
      <c r="J261" s="22">
        <v>251</v>
      </c>
      <c r="K261" s="22">
        <v>0.50534100000000004</v>
      </c>
      <c r="L261">
        <f t="shared" si="36"/>
        <v>16.494567901234568</v>
      </c>
      <c r="M261">
        <f t="shared" si="37"/>
        <v>8.348461630123456</v>
      </c>
      <c r="N261" s="9"/>
      <c r="O261" s="22">
        <v>1.16394</v>
      </c>
      <c r="P261" s="22">
        <v>11.315899999999999</v>
      </c>
      <c r="Q261" s="22">
        <v>-1.2185700000000001E-2</v>
      </c>
      <c r="R261" s="22">
        <v>251</v>
      </c>
      <c r="S261" s="22">
        <v>1.1630199999999999</v>
      </c>
      <c r="T261">
        <f t="shared" si="38"/>
        <v>15.044074074074075</v>
      </c>
      <c r="U261">
        <f t="shared" si="39"/>
        <v>17.510399577777779</v>
      </c>
      <c r="X261" s="9"/>
      <c r="Y261" s="22">
        <v>0.50613399999999997</v>
      </c>
      <c r="Z261" s="22">
        <v>16.784400000000002</v>
      </c>
      <c r="AA261" s="22">
        <v>-1.34827E-2</v>
      </c>
      <c r="AB261" s="22">
        <v>251</v>
      </c>
      <c r="AC261" s="22">
        <v>0.50537100000000001</v>
      </c>
      <c r="AD261">
        <f t="shared" si="40"/>
        <v>16.645308641975308</v>
      </c>
      <c r="AE261">
        <f t="shared" si="41"/>
        <v>8.4247566441975295</v>
      </c>
      <c r="AF261" s="9"/>
      <c r="AG261" s="22">
        <v>1.16394</v>
      </c>
      <c r="AH261" s="22">
        <v>20.543099999999999</v>
      </c>
      <c r="AI261" s="22">
        <v>-1.22375E-2</v>
      </c>
      <c r="AJ261" s="22">
        <v>251</v>
      </c>
      <c r="AK261" s="22">
        <v>1.1630199999999999</v>
      </c>
      <c r="AL261">
        <f t="shared" si="42"/>
        <v>15.108024691358024</v>
      </c>
      <c r="AM261">
        <f t="shared" si="43"/>
        <v>17.584834259259257</v>
      </c>
      <c r="AP261" s="9"/>
      <c r="AQ261" s="22">
        <v>0.50613399999999997</v>
      </c>
      <c r="AR261" s="22">
        <v>25.960599999999999</v>
      </c>
      <c r="AS261" s="22">
        <v>-1.3510100000000001E-2</v>
      </c>
      <c r="AT261" s="22">
        <v>251</v>
      </c>
      <c r="AU261" s="22">
        <v>0.50531000000000004</v>
      </c>
      <c r="AV261">
        <f t="shared" si="44"/>
        <v>16.679135802469133</v>
      </c>
      <c r="AW261">
        <f t="shared" si="45"/>
        <v>8.4418777202469126</v>
      </c>
      <c r="AX261" s="9"/>
      <c r="AY261" s="22">
        <v>1.16394</v>
      </c>
      <c r="AZ261" s="22">
        <v>29.7193</v>
      </c>
      <c r="BA261" s="22">
        <v>-1.2274200000000001E-2</v>
      </c>
      <c r="BB261" s="22">
        <v>251</v>
      </c>
      <c r="BC261" s="22">
        <v>1.16272</v>
      </c>
      <c r="BD261">
        <f t="shared" si="46"/>
        <v>15.153333333333332</v>
      </c>
      <c r="BE261">
        <f t="shared" si="47"/>
        <v>17.637570799999999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7.5672100000000002</v>
      </c>
      <c r="I262" s="22">
        <v>-1.33636E-2</v>
      </c>
      <c r="J262" s="22">
        <v>252</v>
      </c>
      <c r="K262" s="22">
        <v>0.50039699999999998</v>
      </c>
      <c r="L262">
        <f t="shared" si="36"/>
        <v>16.498271604938271</v>
      </c>
      <c r="M262">
        <f t="shared" si="37"/>
        <v>8.2672674029629611</v>
      </c>
      <c r="N262" s="9"/>
      <c r="O262" s="22">
        <v>1.1689799999999999</v>
      </c>
      <c r="P262" s="22">
        <v>11.326000000000001</v>
      </c>
      <c r="Q262" s="22">
        <v>-1.21613E-2</v>
      </c>
      <c r="R262" s="22">
        <v>252</v>
      </c>
      <c r="S262" s="22">
        <v>1.16821</v>
      </c>
      <c r="T262">
        <f t="shared" si="38"/>
        <v>15.01395061728395</v>
      </c>
      <c r="U262">
        <f t="shared" si="39"/>
        <v>17.551007992592591</v>
      </c>
      <c r="X262" s="9"/>
      <c r="Y262" s="22">
        <v>0.50109899999999996</v>
      </c>
      <c r="Z262" s="22">
        <v>16.7944</v>
      </c>
      <c r="AA262" s="22">
        <v>-1.34979E-2</v>
      </c>
      <c r="AB262" s="22">
        <v>252</v>
      </c>
      <c r="AC262" s="22">
        <v>0.500336</v>
      </c>
      <c r="AD262">
        <f t="shared" si="40"/>
        <v>16.664074074074072</v>
      </c>
      <c r="AE262">
        <f t="shared" si="41"/>
        <v>8.3503508544444429</v>
      </c>
      <c r="AF262" s="9"/>
      <c r="AG262" s="22">
        <v>1.1689799999999999</v>
      </c>
      <c r="AH262" s="22">
        <v>20.5532</v>
      </c>
      <c r="AI262" s="22">
        <v>-1.22162E-2</v>
      </c>
      <c r="AJ262" s="22">
        <v>252</v>
      </c>
      <c r="AK262" s="22">
        <v>1.16852</v>
      </c>
      <c r="AL262">
        <f t="shared" si="42"/>
        <v>15.081728395061727</v>
      </c>
      <c r="AM262">
        <f t="shared" si="43"/>
        <v>17.630238859259258</v>
      </c>
      <c r="AP262" s="9"/>
      <c r="AQ262" s="22">
        <v>0.50109899999999996</v>
      </c>
      <c r="AR262" s="22">
        <v>25.970600000000001</v>
      </c>
      <c r="AS262" s="22">
        <v>-1.35193E-2</v>
      </c>
      <c r="AT262" s="22">
        <v>252</v>
      </c>
      <c r="AU262" s="22">
        <v>0.50036599999999998</v>
      </c>
      <c r="AV262">
        <f t="shared" si="44"/>
        <v>16.690493827160495</v>
      </c>
      <c r="AW262">
        <f t="shared" si="45"/>
        <v>8.3635897662962968</v>
      </c>
      <c r="AX262" s="9"/>
      <c r="AY262" s="22">
        <v>1.1689799999999999</v>
      </c>
      <c r="AZ262" s="22">
        <v>29.729399999999998</v>
      </c>
      <c r="BA262" s="22">
        <v>-1.22559E-2</v>
      </c>
      <c r="BB262" s="22">
        <v>252</v>
      </c>
      <c r="BC262" s="22">
        <v>1.16913</v>
      </c>
      <c r="BD262">
        <f t="shared" si="46"/>
        <v>15.130740740740739</v>
      </c>
      <c r="BE262">
        <f t="shared" si="47"/>
        <v>17.687533311111107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7.57728</v>
      </c>
      <c r="I263" s="22">
        <v>-1.3369799999999999E-2</v>
      </c>
      <c r="J263" s="22">
        <v>253</v>
      </c>
      <c r="K263" s="22">
        <v>0.49533100000000002</v>
      </c>
      <c r="L263">
        <f t="shared" si="36"/>
        <v>16.505925925925922</v>
      </c>
      <c r="M263">
        <f t="shared" si="37"/>
        <v>8.1879791325925897</v>
      </c>
      <c r="N263" s="9"/>
      <c r="O263" s="22">
        <v>1.17401</v>
      </c>
      <c r="P263" s="22">
        <v>11.336</v>
      </c>
      <c r="Q263" s="22">
        <v>-1.21429E-2</v>
      </c>
      <c r="R263" s="22">
        <v>253</v>
      </c>
      <c r="S263" s="22">
        <v>1.1731</v>
      </c>
      <c r="T263">
        <f t="shared" si="38"/>
        <v>14.991234567901234</v>
      </c>
      <c r="U263">
        <f t="shared" si="39"/>
        <v>17.599859295061727</v>
      </c>
      <c r="X263" s="9"/>
      <c r="Y263" s="22">
        <v>0.49606299999999998</v>
      </c>
      <c r="Z263" s="22">
        <v>16.804500000000001</v>
      </c>
      <c r="AA263" s="22">
        <v>-1.3510100000000001E-2</v>
      </c>
      <c r="AB263" s="22">
        <v>253</v>
      </c>
      <c r="AC263" s="22">
        <v>0.49533100000000002</v>
      </c>
      <c r="AD263">
        <f t="shared" si="40"/>
        <v>16.679135802469133</v>
      </c>
      <c r="AE263">
        <f t="shared" si="41"/>
        <v>8.273902143580246</v>
      </c>
      <c r="AF263" s="9"/>
      <c r="AG263" s="22">
        <v>1.17401</v>
      </c>
      <c r="AH263" s="22">
        <v>20.563300000000002</v>
      </c>
      <c r="AI263" s="22">
        <v>-1.21887E-2</v>
      </c>
      <c r="AJ263" s="22">
        <v>253</v>
      </c>
      <c r="AK263" s="22">
        <v>1.17279</v>
      </c>
      <c r="AL263">
        <f t="shared" si="42"/>
        <v>15.047777777777776</v>
      </c>
      <c r="AM263">
        <f t="shared" si="43"/>
        <v>17.666241588888887</v>
      </c>
      <c r="AP263" s="9"/>
      <c r="AQ263" s="22">
        <v>0.49606299999999998</v>
      </c>
      <c r="AR263" s="22">
        <v>25.980699999999999</v>
      </c>
      <c r="AS263" s="22">
        <v>-1.3516200000000001E-2</v>
      </c>
      <c r="AT263" s="22">
        <v>253</v>
      </c>
      <c r="AU263" s="22">
        <v>0.49530000000000002</v>
      </c>
      <c r="AV263">
        <f t="shared" si="44"/>
        <v>16.686666666666664</v>
      </c>
      <c r="AW263">
        <f t="shared" si="45"/>
        <v>8.2776379266666655</v>
      </c>
      <c r="AX263" s="9"/>
      <c r="AY263" s="22">
        <v>1.17401</v>
      </c>
      <c r="AZ263" s="22">
        <v>29.7395</v>
      </c>
      <c r="BA263" s="22">
        <v>-1.22314E-2</v>
      </c>
      <c r="BB263" s="22">
        <v>253</v>
      </c>
      <c r="BC263" s="22">
        <v>1.1731</v>
      </c>
      <c r="BD263">
        <f t="shared" si="46"/>
        <v>15.100493827160493</v>
      </c>
      <c r="BE263">
        <f t="shared" si="47"/>
        <v>17.72813075802469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7.5873499999999998</v>
      </c>
      <c r="I264" s="22">
        <v>-1.3372800000000001E-2</v>
      </c>
      <c r="J264" s="22">
        <v>254</v>
      </c>
      <c r="K264" s="22">
        <v>0.49032599999999998</v>
      </c>
      <c r="L264">
        <f t="shared" si="36"/>
        <v>16.509629629629632</v>
      </c>
      <c r="M264">
        <f t="shared" si="37"/>
        <v>8.106690417777779</v>
      </c>
      <c r="N264" s="9"/>
      <c r="O264" s="22">
        <v>1.1790499999999999</v>
      </c>
      <c r="P264" s="22">
        <v>11.3461</v>
      </c>
      <c r="Q264" s="22">
        <v>-1.21277E-2</v>
      </c>
      <c r="R264" s="22">
        <v>254</v>
      </c>
      <c r="S264" s="22">
        <v>1.17798</v>
      </c>
      <c r="T264">
        <f t="shared" si="38"/>
        <v>14.972469135802468</v>
      </c>
      <c r="U264">
        <f t="shared" si="39"/>
        <v>17.653289734567899</v>
      </c>
      <c r="X264" s="9"/>
      <c r="Y264" s="22">
        <v>0.49102800000000002</v>
      </c>
      <c r="Z264" s="22">
        <v>16.814599999999999</v>
      </c>
      <c r="AA264" s="22">
        <v>-1.3516200000000001E-2</v>
      </c>
      <c r="AB264" s="22">
        <v>254</v>
      </c>
      <c r="AC264" s="22">
        <v>0.49020399999999997</v>
      </c>
      <c r="AD264">
        <f t="shared" si="40"/>
        <v>16.686666666666664</v>
      </c>
      <c r="AE264">
        <f t="shared" si="41"/>
        <v>8.1936205599999994</v>
      </c>
      <c r="AF264" s="9"/>
      <c r="AG264" s="22">
        <v>1.1790499999999999</v>
      </c>
      <c r="AH264" s="22">
        <v>20.5733</v>
      </c>
      <c r="AI264" s="22">
        <v>-1.2152100000000001E-2</v>
      </c>
      <c r="AJ264" s="22">
        <v>254</v>
      </c>
      <c r="AK264" s="22">
        <v>1.17828</v>
      </c>
      <c r="AL264">
        <f t="shared" si="42"/>
        <v>15.002592592592592</v>
      </c>
      <c r="AM264">
        <f t="shared" si="43"/>
        <v>17.688806796296294</v>
      </c>
      <c r="AP264" s="9"/>
      <c r="AQ264" s="22">
        <v>0.49102800000000002</v>
      </c>
      <c r="AR264" s="22">
        <v>25.9908</v>
      </c>
      <c r="AS264" s="22">
        <v>-1.3522299999999999E-2</v>
      </c>
      <c r="AT264" s="22">
        <v>254</v>
      </c>
      <c r="AU264" s="22">
        <v>0.49029499999999998</v>
      </c>
      <c r="AV264">
        <f t="shared" si="44"/>
        <v>16.694197530864194</v>
      </c>
      <c r="AW264">
        <f t="shared" si="45"/>
        <v>8.1973184251851841</v>
      </c>
      <c r="AX264" s="9"/>
      <c r="AY264" s="22">
        <v>1.1790499999999999</v>
      </c>
      <c r="AZ264" s="22">
        <v>29.749600000000001</v>
      </c>
      <c r="BA264" s="22">
        <v>-1.2207000000000001E-2</v>
      </c>
      <c r="BB264" s="22">
        <v>254</v>
      </c>
      <c r="BC264" s="22">
        <v>1.17828</v>
      </c>
      <c r="BD264">
        <f t="shared" si="46"/>
        <v>15.070370370370371</v>
      </c>
      <c r="BE264">
        <f t="shared" si="47"/>
        <v>17.768720185185185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7.5974199999999996</v>
      </c>
      <c r="I265" s="22">
        <v>-1.3372800000000001E-2</v>
      </c>
      <c r="J265" s="22">
        <v>255</v>
      </c>
      <c r="K265" s="22">
        <v>0.48522900000000002</v>
      </c>
      <c r="L265">
        <f t="shared" si="36"/>
        <v>16.509629629629632</v>
      </c>
      <c r="M265">
        <f t="shared" si="37"/>
        <v>8.0235479229629636</v>
      </c>
      <c r="N265" s="9"/>
      <c r="O265" s="22">
        <v>1.18408</v>
      </c>
      <c r="P265" s="22">
        <v>11.356199999999999</v>
      </c>
      <c r="Q265" s="22">
        <v>-1.21063E-2</v>
      </c>
      <c r="R265" s="22">
        <v>255</v>
      </c>
      <c r="S265" s="22">
        <v>1.18286</v>
      </c>
      <c r="T265">
        <f t="shared" si="38"/>
        <v>14.946049382716049</v>
      </c>
      <c r="U265">
        <f t="shared" si="39"/>
        <v>17.697318153086421</v>
      </c>
      <c r="X265" s="9"/>
      <c r="Y265" s="22">
        <v>0.48599199999999998</v>
      </c>
      <c r="Z265" s="22">
        <v>16.8246</v>
      </c>
      <c r="AA265" s="22">
        <v>-1.35132E-2</v>
      </c>
      <c r="AB265" s="22">
        <v>255</v>
      </c>
      <c r="AC265" s="22">
        <v>0.48522900000000002</v>
      </c>
      <c r="AD265">
        <f t="shared" si="40"/>
        <v>16.682962962962961</v>
      </c>
      <c r="AE265">
        <f t="shared" si="41"/>
        <v>8.1077865362962953</v>
      </c>
      <c r="AF265" s="9"/>
      <c r="AG265" s="22">
        <v>1.18408</v>
      </c>
      <c r="AH265" s="22">
        <v>20.583400000000001</v>
      </c>
      <c r="AI265" s="22">
        <v>-1.21216E-2</v>
      </c>
      <c r="AJ265" s="22">
        <v>255</v>
      </c>
      <c r="AK265" s="22">
        <v>1.1831700000000001</v>
      </c>
      <c r="AL265">
        <f t="shared" si="42"/>
        <v>14.964938271604938</v>
      </c>
      <c r="AM265">
        <f t="shared" si="43"/>
        <v>17.719684108641975</v>
      </c>
      <c r="AP265" s="9"/>
      <c r="AQ265" s="22">
        <v>0.48599199999999998</v>
      </c>
      <c r="AR265" s="22">
        <v>26.000900000000001</v>
      </c>
      <c r="AS265" s="22">
        <v>-1.35193E-2</v>
      </c>
      <c r="AT265" s="22">
        <v>255</v>
      </c>
      <c r="AU265" s="22">
        <v>0.48526000000000002</v>
      </c>
      <c r="AV265">
        <f t="shared" si="44"/>
        <v>16.690493827160495</v>
      </c>
      <c r="AW265">
        <f t="shared" si="45"/>
        <v>8.1114464760493821</v>
      </c>
      <c r="AX265" s="9"/>
      <c r="AY265" s="22">
        <v>1.18408</v>
      </c>
      <c r="AZ265" s="22">
        <v>29.759599999999999</v>
      </c>
      <c r="BA265" s="22">
        <v>-1.21735E-2</v>
      </c>
      <c r="BB265" s="22">
        <v>255</v>
      </c>
      <c r="BC265" s="22">
        <v>1.1831700000000001</v>
      </c>
      <c r="BD265">
        <f t="shared" si="46"/>
        <v>15.029012345679011</v>
      </c>
      <c r="BE265">
        <f t="shared" si="47"/>
        <v>17.795552938271602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7.6074999999999999</v>
      </c>
      <c r="I266" s="22">
        <v>-1.3382E-2</v>
      </c>
      <c r="J266" s="22">
        <v>256</v>
      </c>
      <c r="K266" s="22">
        <v>0.48028599999999999</v>
      </c>
      <c r="L266">
        <f t="shared" si="36"/>
        <v>16.520987654320987</v>
      </c>
      <c r="M266">
        <f t="shared" si="37"/>
        <v>7.9458846592592591</v>
      </c>
      <c r="N266" s="9"/>
      <c r="O266" s="22">
        <v>1.18912</v>
      </c>
      <c r="P266" s="22">
        <v>11.366300000000001</v>
      </c>
      <c r="Q266" s="22">
        <v>-1.20789E-2</v>
      </c>
      <c r="R266" s="22">
        <v>256</v>
      </c>
      <c r="S266" s="22">
        <v>1.18835</v>
      </c>
      <c r="T266">
        <f t="shared" si="38"/>
        <v>14.912222222222221</v>
      </c>
      <c r="U266">
        <f t="shared" si="39"/>
        <v>17.732421688888888</v>
      </c>
      <c r="X266" s="9"/>
      <c r="Y266" s="22">
        <v>0.48095700000000002</v>
      </c>
      <c r="Z266" s="22">
        <v>16.834700000000002</v>
      </c>
      <c r="AA266" s="22">
        <v>-1.3516200000000001E-2</v>
      </c>
      <c r="AB266" s="22">
        <v>256</v>
      </c>
      <c r="AC266" s="22">
        <v>0.48019400000000001</v>
      </c>
      <c r="AD266">
        <f t="shared" si="40"/>
        <v>16.686666666666664</v>
      </c>
      <c r="AE266">
        <f t="shared" si="41"/>
        <v>8.0255691399999982</v>
      </c>
      <c r="AF266" s="9"/>
      <c r="AG266" s="22">
        <v>1.18912</v>
      </c>
      <c r="AH266" s="22">
        <v>20.593499999999999</v>
      </c>
      <c r="AI266" s="22">
        <v>-1.20941E-2</v>
      </c>
      <c r="AJ266" s="22">
        <v>256</v>
      </c>
      <c r="AK266" s="22">
        <v>1.1880500000000001</v>
      </c>
      <c r="AL266">
        <f t="shared" si="42"/>
        <v>14.930987654320987</v>
      </c>
      <c r="AM266">
        <f t="shared" si="43"/>
        <v>17.75473603950617</v>
      </c>
      <c r="AP266" s="9"/>
      <c r="AQ266" s="22">
        <v>0.48095700000000002</v>
      </c>
      <c r="AR266" s="22">
        <v>26.010899999999999</v>
      </c>
      <c r="AS266" s="22">
        <v>-1.35132E-2</v>
      </c>
      <c r="AT266" s="22">
        <v>256</v>
      </c>
      <c r="AU266" s="22">
        <v>0.48016399999999998</v>
      </c>
      <c r="AV266">
        <f t="shared" si="44"/>
        <v>16.682962962962961</v>
      </c>
      <c r="AW266">
        <f t="shared" si="45"/>
        <v>8.0237878177777766</v>
      </c>
      <c r="AX266" s="9"/>
      <c r="AY266" s="22">
        <v>1.18912</v>
      </c>
      <c r="AZ266" s="22">
        <v>29.7697</v>
      </c>
      <c r="BA266" s="22">
        <v>-1.21399E-2</v>
      </c>
      <c r="BB266" s="22">
        <v>256</v>
      </c>
      <c r="BC266" s="22">
        <v>1.18835</v>
      </c>
      <c r="BD266">
        <f t="shared" si="46"/>
        <v>14.987530864197531</v>
      </c>
      <c r="BE266">
        <f t="shared" si="47"/>
        <v>17.821972701234568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7.6175699999999997</v>
      </c>
      <c r="I267" s="22">
        <v>-1.3384999999999999E-2</v>
      </c>
      <c r="J267" s="22">
        <v>257</v>
      </c>
      <c r="K267" s="22">
        <v>0.475159</v>
      </c>
      <c r="L267">
        <f t="shared" si="36"/>
        <v>16.52469135802469</v>
      </c>
      <c r="M267">
        <f t="shared" si="37"/>
        <v>7.8644641604938261</v>
      </c>
      <c r="N267" s="9"/>
      <c r="O267" s="22">
        <v>1.19415</v>
      </c>
      <c r="P267" s="22">
        <v>11.376300000000001</v>
      </c>
      <c r="Q267" s="22">
        <v>-1.20514E-2</v>
      </c>
      <c r="R267" s="22">
        <v>257</v>
      </c>
      <c r="S267" s="22">
        <v>1.1932400000000001</v>
      </c>
      <c r="T267">
        <f t="shared" si="38"/>
        <v>14.878271604938272</v>
      </c>
      <c r="U267">
        <f t="shared" si="39"/>
        <v>17.766888037037038</v>
      </c>
      <c r="X267" s="9"/>
      <c r="Y267" s="22">
        <v>0.47592200000000001</v>
      </c>
      <c r="Z267" s="22">
        <v>16.844799999999999</v>
      </c>
      <c r="AA267" s="22">
        <v>-1.3516200000000001E-2</v>
      </c>
      <c r="AB267" s="22">
        <v>257</v>
      </c>
      <c r="AC267" s="22">
        <v>0.475159</v>
      </c>
      <c r="AD267">
        <f t="shared" si="40"/>
        <v>16.686666666666664</v>
      </c>
      <c r="AE267">
        <f t="shared" si="41"/>
        <v>7.9415517733333321</v>
      </c>
      <c r="AF267" s="9"/>
      <c r="AG267" s="22">
        <v>1.19415</v>
      </c>
      <c r="AH267" s="22">
        <v>20.6035</v>
      </c>
      <c r="AI267" s="22">
        <v>-1.2069699999999999E-2</v>
      </c>
      <c r="AJ267" s="22">
        <v>257</v>
      </c>
      <c r="AK267" s="22">
        <v>1.1926300000000001</v>
      </c>
      <c r="AL267">
        <f t="shared" si="42"/>
        <v>14.900864197530863</v>
      </c>
      <c r="AM267">
        <f t="shared" si="43"/>
        <v>17.793866981481482</v>
      </c>
      <c r="AP267" s="9"/>
      <c r="AQ267" s="22">
        <v>0.47592200000000001</v>
      </c>
      <c r="AR267" s="22">
        <v>26.021000000000001</v>
      </c>
      <c r="AS267" s="22">
        <v>-1.35132E-2</v>
      </c>
      <c r="AT267" s="22">
        <v>257</v>
      </c>
      <c r="AU267" s="22">
        <v>0.475159</v>
      </c>
      <c r="AV267">
        <f t="shared" si="44"/>
        <v>16.682962962962961</v>
      </c>
      <c r="AW267">
        <f t="shared" si="45"/>
        <v>7.9397890992592588</v>
      </c>
      <c r="AX267" s="9"/>
      <c r="AY267" s="22">
        <v>1.19415</v>
      </c>
      <c r="AZ267" s="22">
        <v>29.779800000000002</v>
      </c>
      <c r="BA267" s="22">
        <v>-1.21063E-2</v>
      </c>
      <c r="BB267" s="22">
        <v>257</v>
      </c>
      <c r="BC267" s="22">
        <v>1.19293</v>
      </c>
      <c r="BD267">
        <f t="shared" si="46"/>
        <v>14.946049382716049</v>
      </c>
      <c r="BE267">
        <f t="shared" si="47"/>
        <v>17.847824870370371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7.6276400000000004</v>
      </c>
      <c r="I268" s="22">
        <v>-1.33911E-2</v>
      </c>
      <c r="J268" s="22">
        <v>258</v>
      </c>
      <c r="K268" s="22">
        <v>0.47015400000000002</v>
      </c>
      <c r="L268">
        <f t="shared" ref="L268:L331" si="48">-I268/$F$2*1000</f>
        <v>16.53222222222222</v>
      </c>
      <c r="M268">
        <f t="shared" ref="M268:M331" si="49">L268*G268</f>
        <v>7.7847919933333332</v>
      </c>
      <c r="N268" s="9"/>
      <c r="O268" s="22">
        <v>1.19919</v>
      </c>
      <c r="P268" s="22">
        <v>11.3864</v>
      </c>
      <c r="Q268" s="22">
        <v>-1.2026999999999999E-2</v>
      </c>
      <c r="R268" s="22">
        <v>258</v>
      </c>
      <c r="S268" s="22">
        <v>1.1981200000000001</v>
      </c>
      <c r="T268">
        <f t="shared" ref="T268:T331" si="50">-Q268/$F$2*1000</f>
        <v>14.848148148148146</v>
      </c>
      <c r="U268">
        <f t="shared" ref="U268:U331" si="51">T268*O268</f>
        <v>17.805750777777774</v>
      </c>
      <c r="X268" s="9"/>
      <c r="Y268" s="22">
        <v>0.47088600000000003</v>
      </c>
      <c r="Z268" s="22">
        <v>16.854800000000001</v>
      </c>
      <c r="AA268" s="22">
        <v>-1.3516200000000001E-2</v>
      </c>
      <c r="AB268" s="22">
        <v>258</v>
      </c>
      <c r="AC268" s="22">
        <v>0.47012300000000001</v>
      </c>
      <c r="AD268">
        <f t="shared" ref="AD268:AD331" si="52">-AA268/$F$2*1000</f>
        <v>16.686666666666664</v>
      </c>
      <c r="AE268">
        <f t="shared" ref="AE268:AE331" si="53">AD268*Y268</f>
        <v>7.8575177199999988</v>
      </c>
      <c r="AF268" s="9"/>
      <c r="AG268" s="22">
        <v>1.19919</v>
      </c>
      <c r="AH268" s="22">
        <v>20.613600000000002</v>
      </c>
      <c r="AI268" s="22">
        <v>-1.20392E-2</v>
      </c>
      <c r="AJ268" s="22">
        <v>258</v>
      </c>
      <c r="AK268" s="22">
        <v>1.1981200000000001</v>
      </c>
      <c r="AL268">
        <f t="shared" ref="AL268:AL331" si="54">-AI268/$F$2*1000</f>
        <v>14.863209876543209</v>
      </c>
      <c r="AM268">
        <f t="shared" ref="AM268:AM331" si="55">AL268*AG268</f>
        <v>17.823812651851849</v>
      </c>
      <c r="AP268" s="9"/>
      <c r="AQ268" s="22">
        <v>0.47088600000000003</v>
      </c>
      <c r="AR268" s="22">
        <v>26.031099999999999</v>
      </c>
      <c r="AS268" s="22">
        <v>-1.35193E-2</v>
      </c>
      <c r="AT268" s="22">
        <v>258</v>
      </c>
      <c r="AU268" s="22">
        <v>0.47015400000000002</v>
      </c>
      <c r="AV268">
        <f t="shared" ref="AV268:AV331" si="56">-AS268/$F$2*1000</f>
        <v>16.690493827160495</v>
      </c>
      <c r="AW268">
        <f t="shared" ref="AW268:AW331" si="57">AV268*AQ268</f>
        <v>7.859319876296297</v>
      </c>
      <c r="AX268" s="9"/>
      <c r="AY268" s="22">
        <v>1.19919</v>
      </c>
      <c r="AZ268" s="22">
        <v>29.7898</v>
      </c>
      <c r="BA268" s="22">
        <v>-1.20789E-2</v>
      </c>
      <c r="BB268" s="22">
        <v>258</v>
      </c>
      <c r="BC268" s="22">
        <v>1.1981200000000001</v>
      </c>
      <c r="BD268">
        <f t="shared" ref="BD268:BD331" si="58">-BA268/$F$2*1000</f>
        <v>14.912222222222221</v>
      </c>
      <c r="BE268">
        <f t="shared" ref="BE268:BE331" si="59">BD268*AY268</f>
        <v>17.882587766666663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7.6377100000000002</v>
      </c>
      <c r="I269" s="22">
        <v>-1.33942E-2</v>
      </c>
      <c r="J269" s="22">
        <v>259</v>
      </c>
      <c r="K269" s="22">
        <v>0.46514899999999998</v>
      </c>
      <c r="L269">
        <f t="shared" si="48"/>
        <v>16.536049382716048</v>
      </c>
      <c r="M269">
        <f t="shared" si="49"/>
        <v>7.7033351409876536</v>
      </c>
      <c r="N269" s="9"/>
      <c r="O269" s="22">
        <v>1.2042200000000001</v>
      </c>
      <c r="P269" s="22">
        <v>11.3965</v>
      </c>
      <c r="Q269" s="22">
        <v>-1.19965E-2</v>
      </c>
      <c r="R269" s="22">
        <v>259</v>
      </c>
      <c r="S269" s="22">
        <v>1.2030000000000001</v>
      </c>
      <c r="T269">
        <f t="shared" si="50"/>
        <v>14.810493827160494</v>
      </c>
      <c r="U269">
        <f t="shared" si="51"/>
        <v>17.835092876543211</v>
      </c>
      <c r="X269" s="9"/>
      <c r="Y269" s="22">
        <v>0.46585100000000002</v>
      </c>
      <c r="Z269" s="22">
        <v>16.864899999999999</v>
      </c>
      <c r="AA269" s="22">
        <v>-1.3516200000000001E-2</v>
      </c>
      <c r="AB269" s="22">
        <v>259</v>
      </c>
      <c r="AC269" s="22">
        <v>0.465057</v>
      </c>
      <c r="AD269">
        <f t="shared" si="52"/>
        <v>16.686666666666664</v>
      </c>
      <c r="AE269">
        <f t="shared" si="53"/>
        <v>7.7735003533333327</v>
      </c>
      <c r="AF269" s="9"/>
      <c r="AG269" s="22">
        <v>1.2042200000000001</v>
      </c>
      <c r="AH269" s="22">
        <v>20.623699999999999</v>
      </c>
      <c r="AI269" s="22">
        <v>-1.20117E-2</v>
      </c>
      <c r="AJ269" s="22">
        <v>259</v>
      </c>
      <c r="AK269" s="22">
        <v>1.2033100000000001</v>
      </c>
      <c r="AL269">
        <f t="shared" si="54"/>
        <v>14.82925925925926</v>
      </c>
      <c r="AM269">
        <f t="shared" si="55"/>
        <v>17.857690585185185</v>
      </c>
      <c r="AP269" s="9"/>
      <c r="AQ269" s="22">
        <v>0.46585100000000002</v>
      </c>
      <c r="AR269" s="22">
        <v>26.0411</v>
      </c>
      <c r="AS269" s="22">
        <v>-1.35345E-2</v>
      </c>
      <c r="AT269" s="22">
        <v>259</v>
      </c>
      <c r="AU269" s="22">
        <v>0.465088</v>
      </c>
      <c r="AV269">
        <f t="shared" si="56"/>
        <v>16.709259259259255</v>
      </c>
      <c r="AW269">
        <f t="shared" si="57"/>
        <v>7.7840251351851837</v>
      </c>
      <c r="AX269" s="9"/>
      <c r="AY269" s="22">
        <v>1.2042200000000001</v>
      </c>
      <c r="AZ269" s="22">
        <v>29.799900000000001</v>
      </c>
      <c r="BA269" s="22">
        <v>-1.20514E-2</v>
      </c>
      <c r="BB269" s="22">
        <v>259</v>
      </c>
      <c r="BC269" s="22">
        <v>1.2033100000000001</v>
      </c>
      <c r="BD269">
        <f t="shared" si="58"/>
        <v>14.878271604938272</v>
      </c>
      <c r="BE269">
        <f t="shared" si="59"/>
        <v>17.916712232098767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7.64778</v>
      </c>
      <c r="I270" s="22">
        <v>-1.33911E-2</v>
      </c>
      <c r="J270" s="22">
        <v>260</v>
      </c>
      <c r="K270" s="22">
        <v>0.46008300000000002</v>
      </c>
      <c r="L270">
        <f t="shared" si="48"/>
        <v>16.53222222222222</v>
      </c>
      <c r="M270">
        <f t="shared" si="49"/>
        <v>7.6182959833333319</v>
      </c>
      <c r="N270" s="9"/>
      <c r="O270" s="22">
        <v>1.20926</v>
      </c>
      <c r="P270" s="22">
        <v>11.406499999999999</v>
      </c>
      <c r="Q270" s="22">
        <v>-1.19659E-2</v>
      </c>
      <c r="R270" s="22">
        <v>260</v>
      </c>
      <c r="S270" s="22">
        <v>1.2081900000000001</v>
      </c>
      <c r="T270">
        <f t="shared" si="50"/>
        <v>14.772716049382716</v>
      </c>
      <c r="U270">
        <f t="shared" si="51"/>
        <v>17.864054609876543</v>
      </c>
      <c r="X270" s="9"/>
      <c r="Y270" s="22">
        <v>0.46081499999999997</v>
      </c>
      <c r="Z270" s="22">
        <v>16.875</v>
      </c>
      <c r="AA270" s="22">
        <v>-1.3510100000000001E-2</v>
      </c>
      <c r="AB270" s="22">
        <v>260</v>
      </c>
      <c r="AC270" s="22">
        <v>0.46008300000000002</v>
      </c>
      <c r="AD270">
        <f t="shared" si="52"/>
        <v>16.679135802469133</v>
      </c>
      <c r="AE270">
        <f t="shared" si="53"/>
        <v>7.6859959648148131</v>
      </c>
      <c r="AF270" s="9"/>
      <c r="AG270" s="22">
        <v>1.20926</v>
      </c>
      <c r="AH270" s="22">
        <v>20.633800000000001</v>
      </c>
      <c r="AI270" s="22">
        <v>-1.1987299999999999E-2</v>
      </c>
      <c r="AJ270" s="22">
        <v>260</v>
      </c>
      <c r="AK270" s="22">
        <v>1.2078899999999999</v>
      </c>
      <c r="AL270">
        <f t="shared" si="54"/>
        <v>14.799135802469134</v>
      </c>
      <c r="AM270">
        <f t="shared" si="55"/>
        <v>17.896002960493824</v>
      </c>
      <c r="AP270" s="9"/>
      <c r="AQ270" s="22">
        <v>0.46081499999999997</v>
      </c>
      <c r="AR270" s="22">
        <v>26.051200000000001</v>
      </c>
      <c r="AS270" s="22">
        <v>-1.3543700000000001E-2</v>
      </c>
      <c r="AT270" s="22">
        <v>260</v>
      </c>
      <c r="AU270" s="22">
        <v>0.46011400000000002</v>
      </c>
      <c r="AV270">
        <f t="shared" si="56"/>
        <v>16.720617283950617</v>
      </c>
      <c r="AW270">
        <f t="shared" si="57"/>
        <v>7.705111253703703</v>
      </c>
      <c r="AX270" s="9"/>
      <c r="AY270" s="22">
        <v>1.20926</v>
      </c>
      <c r="AZ270" s="22">
        <v>29.81</v>
      </c>
      <c r="BA270" s="22">
        <v>-1.2023900000000001E-2</v>
      </c>
      <c r="BB270" s="22">
        <v>260</v>
      </c>
      <c r="BC270" s="22">
        <v>1.2078899999999999</v>
      </c>
      <c r="BD270">
        <f t="shared" si="58"/>
        <v>14.844320987654321</v>
      </c>
      <c r="BE270">
        <f t="shared" si="59"/>
        <v>17.950643597530863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7.6578499999999998</v>
      </c>
      <c r="I271" s="22">
        <v>-1.34033E-2</v>
      </c>
      <c r="J271" s="22">
        <v>261</v>
      </c>
      <c r="K271" s="22">
        <v>0.45504800000000001</v>
      </c>
      <c r="L271">
        <f t="shared" si="48"/>
        <v>16.547283950617281</v>
      </c>
      <c r="M271">
        <f t="shared" si="49"/>
        <v>7.5419210790123445</v>
      </c>
      <c r="N271" s="9"/>
      <c r="O271" s="22">
        <v>1.2142900000000001</v>
      </c>
      <c r="P271" s="22">
        <v>11.416600000000001</v>
      </c>
      <c r="Q271" s="22">
        <v>-1.1932399999999999E-2</v>
      </c>
      <c r="R271" s="22">
        <v>261</v>
      </c>
      <c r="S271" s="22">
        <v>1.2133799999999999</v>
      </c>
      <c r="T271">
        <f t="shared" si="50"/>
        <v>14.731358024691357</v>
      </c>
      <c r="U271">
        <f t="shared" si="51"/>
        <v>17.88814073580247</v>
      </c>
      <c r="X271" s="9"/>
      <c r="Y271" s="22">
        <v>0.45578000000000002</v>
      </c>
      <c r="Z271" s="22">
        <v>16.885100000000001</v>
      </c>
      <c r="AA271" s="22">
        <v>-1.35132E-2</v>
      </c>
      <c r="AB271" s="22">
        <v>261</v>
      </c>
      <c r="AC271" s="22">
        <v>0.45498699999999997</v>
      </c>
      <c r="AD271">
        <f t="shared" si="52"/>
        <v>16.682962962962961</v>
      </c>
      <c r="AE271">
        <f t="shared" si="53"/>
        <v>7.6037608592592587</v>
      </c>
      <c r="AF271" s="9"/>
      <c r="AG271" s="22">
        <v>1.2142900000000001</v>
      </c>
      <c r="AH271" s="22">
        <v>20.643799999999999</v>
      </c>
      <c r="AI271" s="22">
        <v>-1.19507E-2</v>
      </c>
      <c r="AJ271" s="22">
        <v>261</v>
      </c>
      <c r="AK271" s="22">
        <v>1.2127699999999999</v>
      </c>
      <c r="AL271">
        <f t="shared" si="54"/>
        <v>14.75395061728395</v>
      </c>
      <c r="AM271">
        <f t="shared" si="55"/>
        <v>17.915574695061729</v>
      </c>
      <c r="AP271" s="9"/>
      <c r="AQ271" s="22">
        <v>0.45578000000000002</v>
      </c>
      <c r="AR271" s="22">
        <v>26.061299999999999</v>
      </c>
      <c r="AS271" s="22">
        <v>-1.3546799999999999E-2</v>
      </c>
      <c r="AT271" s="22">
        <v>261</v>
      </c>
      <c r="AU271" s="22">
        <v>0.45504800000000001</v>
      </c>
      <c r="AV271">
        <f t="shared" si="56"/>
        <v>16.72444444444444</v>
      </c>
      <c r="AW271">
        <f t="shared" si="57"/>
        <v>7.6226672888888878</v>
      </c>
      <c r="AX271" s="9"/>
      <c r="AY271" s="22">
        <v>1.2142900000000001</v>
      </c>
      <c r="AZ271" s="22">
        <v>29.8201</v>
      </c>
      <c r="BA271" s="22">
        <v>-1.19965E-2</v>
      </c>
      <c r="BB271" s="22">
        <v>261</v>
      </c>
      <c r="BC271" s="22">
        <v>1.2133799999999999</v>
      </c>
      <c r="BD271">
        <f t="shared" si="58"/>
        <v>14.810493827160494</v>
      </c>
      <c r="BE271">
        <f t="shared" si="59"/>
        <v>17.984234549382716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7.6679199999999996</v>
      </c>
      <c r="I272" s="22">
        <v>-1.3406400000000001E-2</v>
      </c>
      <c r="J272" s="22">
        <v>262</v>
      </c>
      <c r="K272" s="22">
        <v>0.45004300000000003</v>
      </c>
      <c r="L272">
        <f t="shared" si="48"/>
        <v>16.551111111111108</v>
      </c>
      <c r="M272">
        <f t="shared" si="49"/>
        <v>7.4603305777777766</v>
      </c>
      <c r="N272" s="9"/>
      <c r="O272" s="22">
        <v>1.21933</v>
      </c>
      <c r="P272" s="22">
        <v>11.4267</v>
      </c>
      <c r="Q272" s="22">
        <v>-1.1892700000000001E-2</v>
      </c>
      <c r="R272" s="22">
        <v>262</v>
      </c>
      <c r="S272" s="22">
        <v>1.2185699999999999</v>
      </c>
      <c r="T272">
        <f t="shared" si="50"/>
        <v>14.682345679012347</v>
      </c>
      <c r="U272">
        <f t="shared" si="51"/>
        <v>17.902624556790126</v>
      </c>
      <c r="X272" s="9"/>
      <c r="Y272" s="22">
        <v>0.45074500000000001</v>
      </c>
      <c r="Z272" s="22">
        <v>16.895099999999999</v>
      </c>
      <c r="AA272" s="22">
        <v>-1.3522299999999999E-2</v>
      </c>
      <c r="AB272" s="22">
        <v>262</v>
      </c>
      <c r="AC272" s="22">
        <v>0.45004300000000003</v>
      </c>
      <c r="AD272">
        <f t="shared" si="52"/>
        <v>16.694197530864194</v>
      </c>
      <c r="AE272">
        <f t="shared" si="53"/>
        <v>7.5248260660493811</v>
      </c>
      <c r="AF272" s="9"/>
      <c r="AG272" s="22">
        <v>1.21933</v>
      </c>
      <c r="AH272" s="22">
        <v>20.6539</v>
      </c>
      <c r="AI272" s="22">
        <v>-1.1920200000000001E-2</v>
      </c>
      <c r="AJ272" s="22">
        <v>262</v>
      </c>
      <c r="AK272" s="22">
        <v>1.2182599999999999</v>
      </c>
      <c r="AL272">
        <f t="shared" si="54"/>
        <v>14.716296296296298</v>
      </c>
      <c r="AM272">
        <f t="shared" si="55"/>
        <v>17.944021562962966</v>
      </c>
      <c r="AP272" s="9"/>
      <c r="AQ272" s="22">
        <v>0.45074500000000001</v>
      </c>
      <c r="AR272" s="22">
        <v>26.071400000000001</v>
      </c>
      <c r="AS272" s="22">
        <v>-1.3543700000000001E-2</v>
      </c>
      <c r="AT272" s="22">
        <v>262</v>
      </c>
      <c r="AU272" s="22">
        <v>0.45004300000000003</v>
      </c>
      <c r="AV272">
        <f t="shared" si="56"/>
        <v>16.720617283950617</v>
      </c>
      <c r="AW272">
        <f t="shared" si="57"/>
        <v>7.5367346376543205</v>
      </c>
      <c r="AX272" s="9"/>
      <c r="AY272" s="22">
        <v>1.21933</v>
      </c>
      <c r="AZ272" s="22">
        <v>29.830100000000002</v>
      </c>
      <c r="BA272" s="22">
        <v>-1.19659E-2</v>
      </c>
      <c r="BB272" s="22">
        <v>262</v>
      </c>
      <c r="BC272" s="22">
        <v>1.2188699999999999</v>
      </c>
      <c r="BD272">
        <f t="shared" si="58"/>
        <v>14.772716049382716</v>
      </c>
      <c r="BE272">
        <f t="shared" si="59"/>
        <v>18.012815860493827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7.6779900000000003</v>
      </c>
      <c r="I273" s="22">
        <v>-1.3412500000000001E-2</v>
      </c>
      <c r="J273" s="22">
        <v>263</v>
      </c>
      <c r="K273" s="22">
        <v>0.44503799999999999</v>
      </c>
      <c r="L273">
        <f t="shared" si="48"/>
        <v>16.558641975308642</v>
      </c>
      <c r="M273">
        <f t="shared" si="49"/>
        <v>7.3803357561728404</v>
      </c>
      <c r="N273" s="9"/>
      <c r="O273" s="22">
        <v>1.22437</v>
      </c>
      <c r="P273" s="22">
        <v>11.4368</v>
      </c>
      <c r="Q273" s="22">
        <v>-1.18469E-2</v>
      </c>
      <c r="R273" s="22">
        <v>263</v>
      </c>
      <c r="S273" s="22">
        <v>1.2231399999999999</v>
      </c>
      <c r="T273">
        <f t="shared" si="50"/>
        <v>14.625802469135802</v>
      </c>
      <c r="U273">
        <f t="shared" si="51"/>
        <v>17.907393769135801</v>
      </c>
      <c r="X273" s="9"/>
      <c r="Y273" s="22">
        <v>0.44570900000000002</v>
      </c>
      <c r="Z273" s="22">
        <v>16.905200000000001</v>
      </c>
      <c r="AA273" s="22">
        <v>-1.3528399999999999E-2</v>
      </c>
      <c r="AB273" s="22">
        <v>263</v>
      </c>
      <c r="AC273" s="22">
        <v>0.44497700000000001</v>
      </c>
      <c r="AD273">
        <f t="shared" si="52"/>
        <v>16.701728395061725</v>
      </c>
      <c r="AE273">
        <f t="shared" si="53"/>
        <v>7.4441106612345669</v>
      </c>
      <c r="AF273" s="9"/>
      <c r="AG273" s="22">
        <v>1.22437</v>
      </c>
      <c r="AH273" s="22">
        <v>20.664000000000001</v>
      </c>
      <c r="AI273" s="22">
        <v>-1.1886600000000001E-2</v>
      </c>
      <c r="AJ273" s="22">
        <v>263</v>
      </c>
      <c r="AK273" s="22">
        <v>1.2228399999999999</v>
      </c>
      <c r="AL273">
        <f t="shared" si="54"/>
        <v>14.674814814814814</v>
      </c>
      <c r="AM273">
        <f t="shared" si="55"/>
        <v>17.967403014814813</v>
      </c>
      <c r="AP273" s="9"/>
      <c r="AQ273" s="22">
        <v>0.44570900000000002</v>
      </c>
      <c r="AR273" s="22">
        <v>26.081399999999999</v>
      </c>
      <c r="AS273" s="22">
        <v>-1.3543700000000001E-2</v>
      </c>
      <c r="AT273" s="22">
        <v>263</v>
      </c>
      <c r="AU273" s="22">
        <v>0.44500699999999999</v>
      </c>
      <c r="AV273">
        <f t="shared" si="56"/>
        <v>16.720617283950617</v>
      </c>
      <c r="AW273">
        <f t="shared" si="57"/>
        <v>7.4525296090123456</v>
      </c>
      <c r="AX273" s="9"/>
      <c r="AY273" s="22">
        <v>1.22437</v>
      </c>
      <c r="AZ273" s="22">
        <v>29.840199999999999</v>
      </c>
      <c r="BA273" s="22">
        <v>-1.19293E-2</v>
      </c>
      <c r="BB273" s="22">
        <v>263</v>
      </c>
      <c r="BC273" s="22">
        <v>1.2231399999999999</v>
      </c>
      <c r="BD273">
        <f t="shared" si="58"/>
        <v>14.727530864197531</v>
      </c>
      <c r="BE273">
        <f t="shared" si="59"/>
        <v>18.03194696419753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7.6880600000000001</v>
      </c>
      <c r="I274" s="22">
        <v>-1.3427700000000001E-2</v>
      </c>
      <c r="J274" s="22">
        <v>264</v>
      </c>
      <c r="K274" s="22">
        <v>0.43994100000000003</v>
      </c>
      <c r="L274">
        <f t="shared" si="48"/>
        <v>16.57740740740741</v>
      </c>
      <c r="M274">
        <f t="shared" si="49"/>
        <v>7.3052324318518531</v>
      </c>
      <c r="N274" s="9"/>
      <c r="O274" s="22">
        <v>1.2294</v>
      </c>
      <c r="P274" s="22">
        <v>11.4468</v>
      </c>
      <c r="Q274" s="22">
        <v>-1.18195E-2</v>
      </c>
      <c r="R274" s="22">
        <v>264</v>
      </c>
      <c r="S274" s="22">
        <v>1.2283299999999999</v>
      </c>
      <c r="T274">
        <f t="shared" si="50"/>
        <v>14.591975308641976</v>
      </c>
      <c r="U274">
        <f t="shared" si="51"/>
        <v>17.939374444444447</v>
      </c>
      <c r="X274" s="9"/>
      <c r="Y274" s="22">
        <v>0.44067400000000001</v>
      </c>
      <c r="Z274" s="22">
        <v>16.915299999999998</v>
      </c>
      <c r="AA274" s="22">
        <v>-1.35406E-2</v>
      </c>
      <c r="AB274" s="22">
        <v>264</v>
      </c>
      <c r="AC274" s="22">
        <v>0.43997199999999997</v>
      </c>
      <c r="AD274">
        <f t="shared" si="52"/>
        <v>16.716790123456789</v>
      </c>
      <c r="AE274">
        <f t="shared" si="53"/>
        <v>7.366654770864197</v>
      </c>
      <c r="AF274" s="9"/>
      <c r="AG274" s="22">
        <v>1.2294</v>
      </c>
      <c r="AH274" s="22">
        <v>20.673999999999999</v>
      </c>
      <c r="AI274" s="22">
        <v>-1.1849999999999999E-2</v>
      </c>
      <c r="AJ274" s="22">
        <v>264</v>
      </c>
      <c r="AK274" s="22">
        <v>1.2283299999999999</v>
      </c>
      <c r="AL274">
        <f t="shared" si="54"/>
        <v>14.629629629629628</v>
      </c>
      <c r="AM274">
        <f t="shared" si="55"/>
        <v>17.985666666666667</v>
      </c>
      <c r="AP274" s="9"/>
      <c r="AQ274" s="22">
        <v>0.44067400000000001</v>
      </c>
      <c r="AR274" s="22">
        <v>26.0915</v>
      </c>
      <c r="AS274" s="22">
        <v>-1.35529E-2</v>
      </c>
      <c r="AT274" s="22">
        <v>264</v>
      </c>
      <c r="AU274" s="22">
        <v>0.43997199999999997</v>
      </c>
      <c r="AV274">
        <f t="shared" si="56"/>
        <v>16.731975308641974</v>
      </c>
      <c r="AW274">
        <f t="shared" si="57"/>
        <v>7.3733464871604939</v>
      </c>
      <c r="AX274" s="9"/>
      <c r="AY274" s="22">
        <v>1.2294</v>
      </c>
      <c r="AZ274" s="22">
        <v>29.850300000000001</v>
      </c>
      <c r="BA274" s="22">
        <v>-1.18958E-2</v>
      </c>
      <c r="BB274" s="22">
        <v>264</v>
      </c>
      <c r="BC274" s="22">
        <v>1.2283299999999999</v>
      </c>
      <c r="BD274">
        <f t="shared" si="58"/>
        <v>14.686172839506172</v>
      </c>
      <c r="BE274">
        <f t="shared" si="59"/>
        <v>18.055180888888888</v>
      </c>
    </row>
    <row r="275" spans="6:101">
      <c r="F275" s="9"/>
      <c r="G275" s="22">
        <v>0.43563800000000003</v>
      </c>
      <c r="H275" s="22">
        <v>7.6981299999999999</v>
      </c>
      <c r="I275" s="22">
        <v>-1.3433799999999999E-2</v>
      </c>
      <c r="J275" s="22">
        <v>265</v>
      </c>
      <c r="K275" s="22">
        <v>0.43493700000000002</v>
      </c>
      <c r="L275">
        <f t="shared" si="48"/>
        <v>16.584938271604937</v>
      </c>
      <c r="M275">
        <f t="shared" si="49"/>
        <v>7.2250293387654319</v>
      </c>
      <c r="N275" s="9"/>
      <c r="O275" s="22">
        <v>1.23444</v>
      </c>
      <c r="P275" s="22">
        <v>11.456899999999999</v>
      </c>
      <c r="Q275" s="22">
        <v>-1.17859E-2</v>
      </c>
      <c r="R275" s="22">
        <v>265</v>
      </c>
      <c r="S275" s="22">
        <v>1.2335199999999999</v>
      </c>
      <c r="T275">
        <f t="shared" si="50"/>
        <v>14.550493827160492</v>
      </c>
      <c r="U275">
        <f t="shared" si="51"/>
        <v>17.961711599999997</v>
      </c>
      <c r="X275" s="9"/>
      <c r="Y275" s="22">
        <v>0.43563800000000003</v>
      </c>
      <c r="Z275" s="22">
        <v>16.9253</v>
      </c>
      <c r="AA275" s="22">
        <v>-1.3546799999999999E-2</v>
      </c>
      <c r="AB275" s="22">
        <v>265</v>
      </c>
      <c r="AC275" s="22">
        <v>0.43493700000000002</v>
      </c>
      <c r="AD275">
        <f t="shared" si="52"/>
        <v>16.72444444444444</v>
      </c>
      <c r="AE275">
        <f t="shared" si="53"/>
        <v>7.2858035288888878</v>
      </c>
      <c r="AF275" s="9"/>
      <c r="AG275" s="22">
        <v>1.23444</v>
      </c>
      <c r="AH275" s="22">
        <v>20.684100000000001</v>
      </c>
      <c r="AI275" s="22">
        <v>-1.1810299999999999E-2</v>
      </c>
      <c r="AJ275" s="22">
        <v>265</v>
      </c>
      <c r="AK275" s="22">
        <v>1.23322</v>
      </c>
      <c r="AL275">
        <f t="shared" si="54"/>
        <v>14.580617283950616</v>
      </c>
      <c r="AM275">
        <f t="shared" si="55"/>
        <v>17.998897199999998</v>
      </c>
      <c r="AP275" s="9"/>
      <c r="AQ275" s="22">
        <v>0.43563800000000003</v>
      </c>
      <c r="AR275" s="22">
        <v>26.101600000000001</v>
      </c>
      <c r="AS275" s="22">
        <v>-1.35529E-2</v>
      </c>
      <c r="AT275" s="22">
        <v>265</v>
      </c>
      <c r="AU275" s="22">
        <v>0.43484499999999998</v>
      </c>
      <c r="AV275">
        <f t="shared" si="56"/>
        <v>16.731975308641974</v>
      </c>
      <c r="AW275">
        <f t="shared" si="57"/>
        <v>7.2890842595061729</v>
      </c>
      <c r="AX275" s="9"/>
      <c r="AY275" s="22">
        <v>1.23444</v>
      </c>
      <c r="AZ275" s="22">
        <v>29.860299999999999</v>
      </c>
      <c r="BA275" s="22">
        <v>-1.1865199999999999E-2</v>
      </c>
      <c r="BB275" s="22">
        <v>265</v>
      </c>
      <c r="BC275" s="22">
        <v>1.2335199999999999</v>
      </c>
      <c r="BD275">
        <f t="shared" si="58"/>
        <v>14.648395061728394</v>
      </c>
      <c r="BE275">
        <f t="shared" si="59"/>
        <v>18.082564799999997</v>
      </c>
    </row>
    <row r="276" spans="6:101">
      <c r="F276" s="9"/>
      <c r="G276" s="22">
        <v>0.43060300000000001</v>
      </c>
      <c r="H276" s="22">
        <v>7.7082100000000002</v>
      </c>
      <c r="I276" s="22">
        <v>-1.3439899999999999E-2</v>
      </c>
      <c r="J276" s="22">
        <v>266</v>
      </c>
      <c r="K276" s="22">
        <v>0.42984</v>
      </c>
      <c r="L276">
        <f t="shared" si="48"/>
        <v>16.592469135802467</v>
      </c>
      <c r="M276">
        <f t="shared" si="49"/>
        <v>7.1447669872839503</v>
      </c>
      <c r="N276" s="9"/>
      <c r="O276" s="22">
        <v>1.2394700000000001</v>
      </c>
      <c r="P276" s="22">
        <v>11.467000000000001</v>
      </c>
      <c r="Q276" s="22">
        <v>-1.1761499999999999E-2</v>
      </c>
      <c r="R276" s="22">
        <v>266</v>
      </c>
      <c r="S276" s="22">
        <v>1.2383999999999999</v>
      </c>
      <c r="T276">
        <f t="shared" si="50"/>
        <v>14.520370370370369</v>
      </c>
      <c r="U276">
        <f t="shared" si="51"/>
        <v>17.997563462962962</v>
      </c>
      <c r="X276" s="9"/>
      <c r="Y276" s="22">
        <v>0.43060300000000001</v>
      </c>
      <c r="Z276" s="22">
        <v>16.935400000000001</v>
      </c>
      <c r="AA276" s="22">
        <v>-1.3546799999999999E-2</v>
      </c>
      <c r="AB276" s="22">
        <v>266</v>
      </c>
      <c r="AC276" s="22">
        <v>0.42981000000000003</v>
      </c>
      <c r="AD276">
        <f t="shared" si="52"/>
        <v>16.72444444444444</v>
      </c>
      <c r="AE276">
        <f t="shared" si="53"/>
        <v>7.2015959511111092</v>
      </c>
      <c r="AF276" s="9"/>
      <c r="AG276" s="22">
        <v>1.2394700000000001</v>
      </c>
      <c r="AH276" s="22">
        <v>20.694199999999999</v>
      </c>
      <c r="AI276" s="22">
        <v>-1.1770600000000001E-2</v>
      </c>
      <c r="AJ276" s="22">
        <v>266</v>
      </c>
      <c r="AK276" s="22">
        <v>1.2381</v>
      </c>
      <c r="AL276">
        <f t="shared" si="54"/>
        <v>14.531604938271604</v>
      </c>
      <c r="AM276">
        <f t="shared" si="55"/>
        <v>18.011488372839505</v>
      </c>
      <c r="AP276" s="9"/>
      <c r="AQ276" s="22">
        <v>0.43060300000000001</v>
      </c>
      <c r="AR276" s="22">
        <v>26.111599999999999</v>
      </c>
      <c r="AS276" s="22">
        <v>-1.35529E-2</v>
      </c>
      <c r="AT276" s="22">
        <v>266</v>
      </c>
      <c r="AU276" s="22">
        <v>0.429871</v>
      </c>
      <c r="AV276">
        <f t="shared" si="56"/>
        <v>16.731975308641974</v>
      </c>
      <c r="AW276">
        <f t="shared" si="57"/>
        <v>7.2048387638271603</v>
      </c>
      <c r="AX276" s="9"/>
      <c r="AY276" s="22">
        <v>1.2394700000000001</v>
      </c>
      <c r="AZ276" s="22">
        <v>29.8704</v>
      </c>
      <c r="BA276" s="22">
        <v>-1.18347E-2</v>
      </c>
      <c r="BB276" s="22">
        <v>266</v>
      </c>
      <c r="BC276" s="22">
        <v>1.2383999999999999</v>
      </c>
      <c r="BD276">
        <f t="shared" si="58"/>
        <v>14.61074074074074</v>
      </c>
      <c r="BE276">
        <f t="shared" si="59"/>
        <v>18.109574825925925</v>
      </c>
    </row>
    <row r="277" spans="6:101">
      <c r="F277" s="9"/>
      <c r="G277" s="22">
        <v>0.425568</v>
      </c>
      <c r="H277" s="22">
        <v>7.71828</v>
      </c>
      <c r="I277" s="22">
        <v>-1.34491E-2</v>
      </c>
      <c r="J277" s="22">
        <v>267</v>
      </c>
      <c r="K277" s="22">
        <v>0.42486600000000002</v>
      </c>
      <c r="L277">
        <f t="shared" si="48"/>
        <v>16.603827160493829</v>
      </c>
      <c r="M277">
        <f t="shared" si="49"/>
        <v>7.0660575170370379</v>
      </c>
      <c r="N277" s="9"/>
      <c r="O277" s="22">
        <v>1.24451</v>
      </c>
      <c r="P277" s="22">
        <v>11.477</v>
      </c>
      <c r="Q277" s="22">
        <v>-1.1731E-2</v>
      </c>
      <c r="R277" s="22">
        <v>267</v>
      </c>
      <c r="S277" s="22">
        <v>1.24329</v>
      </c>
      <c r="T277">
        <f t="shared" si="50"/>
        <v>14.482716049382715</v>
      </c>
      <c r="U277">
        <f t="shared" si="51"/>
        <v>18.023884950617283</v>
      </c>
      <c r="X277" s="9"/>
      <c r="Y277" s="22">
        <v>0.425568</v>
      </c>
      <c r="Z277" s="22">
        <v>16.945499999999999</v>
      </c>
      <c r="AA277" s="22">
        <v>-1.35406E-2</v>
      </c>
      <c r="AB277" s="22">
        <v>267</v>
      </c>
      <c r="AC277" s="22">
        <v>0.42483500000000002</v>
      </c>
      <c r="AD277">
        <f t="shared" si="52"/>
        <v>16.716790123456789</v>
      </c>
      <c r="AE277">
        <f t="shared" si="53"/>
        <v>7.1141309392592591</v>
      </c>
      <c r="AF277" s="9"/>
      <c r="AG277" s="22">
        <v>1.24451</v>
      </c>
      <c r="AH277" s="22">
        <v>20.7042</v>
      </c>
      <c r="AI277" s="22">
        <v>-1.17462E-2</v>
      </c>
      <c r="AJ277" s="22">
        <v>267</v>
      </c>
      <c r="AK277" s="22">
        <v>1.2439</v>
      </c>
      <c r="AL277">
        <f t="shared" si="54"/>
        <v>14.501481481481481</v>
      </c>
      <c r="AM277">
        <f t="shared" si="55"/>
        <v>18.047238718518518</v>
      </c>
      <c r="AP277" s="9"/>
      <c r="AQ277" s="22">
        <v>0.425568</v>
      </c>
      <c r="AR277" s="22">
        <v>26.121700000000001</v>
      </c>
      <c r="AS277" s="22">
        <v>-1.3549800000000001E-2</v>
      </c>
      <c r="AT277" s="22">
        <v>267</v>
      </c>
      <c r="AU277" s="22">
        <v>0.42483500000000002</v>
      </c>
      <c r="AV277">
        <f t="shared" si="56"/>
        <v>16.728148148148147</v>
      </c>
      <c r="AW277">
        <f t="shared" si="57"/>
        <v>7.1189645511111106</v>
      </c>
      <c r="AX277" s="9"/>
      <c r="AY277" s="22">
        <v>1.24451</v>
      </c>
      <c r="AZ277" s="22">
        <v>29.880500000000001</v>
      </c>
      <c r="BA277" s="22">
        <v>-1.18073E-2</v>
      </c>
      <c r="BB277" s="22">
        <v>267</v>
      </c>
      <c r="BC277" s="22">
        <v>1.24298</v>
      </c>
      <c r="BD277">
        <f t="shared" si="58"/>
        <v>14.576913580246911</v>
      </c>
      <c r="BE277">
        <f t="shared" si="59"/>
        <v>18.141114719753084</v>
      </c>
    </row>
    <row r="278" spans="6:101">
      <c r="F278" s="9"/>
      <c r="G278" s="22">
        <v>0.42053200000000002</v>
      </c>
      <c r="H278" s="22">
        <v>7.7283499999999998</v>
      </c>
      <c r="I278" s="22">
        <v>-1.34644E-2</v>
      </c>
      <c r="J278" s="22">
        <v>268</v>
      </c>
      <c r="K278" s="22">
        <v>0.419769</v>
      </c>
      <c r="L278">
        <f t="shared" si="48"/>
        <v>16.622716049382717</v>
      </c>
      <c r="M278">
        <f t="shared" si="49"/>
        <v>6.9903840256790133</v>
      </c>
      <c r="N278" s="9"/>
      <c r="O278" s="22">
        <v>1.2495400000000001</v>
      </c>
      <c r="P278" s="22">
        <v>11.4871</v>
      </c>
      <c r="Q278" s="22">
        <v>-1.17004E-2</v>
      </c>
      <c r="R278" s="22">
        <v>268</v>
      </c>
      <c r="S278" s="22">
        <v>1.24908</v>
      </c>
      <c r="T278">
        <f t="shared" si="50"/>
        <v>14.444938271604938</v>
      </c>
      <c r="U278">
        <f t="shared" si="51"/>
        <v>18.049528167901236</v>
      </c>
      <c r="X278" s="9"/>
      <c r="Y278" s="22">
        <v>0.42053200000000002</v>
      </c>
      <c r="Z278" s="22">
        <v>16.9556</v>
      </c>
      <c r="AA278" s="22">
        <v>-1.35406E-2</v>
      </c>
      <c r="AB278" s="22">
        <v>268</v>
      </c>
      <c r="AC278" s="22">
        <v>0.41989100000000001</v>
      </c>
      <c r="AD278">
        <f t="shared" si="52"/>
        <v>16.716790123456789</v>
      </c>
      <c r="AE278">
        <f t="shared" si="53"/>
        <v>7.0299451841975307</v>
      </c>
      <c r="AF278" s="9"/>
      <c r="AG278" s="22">
        <v>1.2495400000000001</v>
      </c>
      <c r="AH278" s="22">
        <v>20.714300000000001</v>
      </c>
      <c r="AI278" s="22">
        <v>-1.1721799999999999E-2</v>
      </c>
      <c r="AJ278" s="22">
        <v>268</v>
      </c>
      <c r="AK278" s="22">
        <v>1.24878</v>
      </c>
      <c r="AL278">
        <f t="shared" si="54"/>
        <v>14.471358024691357</v>
      </c>
      <c r="AM278">
        <f t="shared" si="55"/>
        <v>18.082540706172839</v>
      </c>
      <c r="AP278" s="9"/>
      <c r="AQ278" s="22">
        <v>0.42053200000000002</v>
      </c>
      <c r="AR278" s="22">
        <v>26.131799999999998</v>
      </c>
      <c r="AS278" s="22">
        <v>-1.3546799999999999E-2</v>
      </c>
      <c r="AT278" s="22">
        <v>268</v>
      </c>
      <c r="AU278" s="22">
        <v>0.41973899999999997</v>
      </c>
      <c r="AV278">
        <f t="shared" si="56"/>
        <v>16.72444444444444</v>
      </c>
      <c r="AW278">
        <f t="shared" si="57"/>
        <v>7.0331640711111101</v>
      </c>
      <c r="AX278" s="9"/>
      <c r="AY278" s="22">
        <v>1.2495400000000001</v>
      </c>
      <c r="AZ278" s="22">
        <v>29.890499999999999</v>
      </c>
      <c r="BA278" s="22">
        <v>-1.17737E-2</v>
      </c>
      <c r="BB278" s="22">
        <v>268</v>
      </c>
      <c r="BC278" s="22">
        <v>1.24847</v>
      </c>
      <c r="BD278">
        <f t="shared" si="58"/>
        <v>14.535432098765432</v>
      </c>
      <c r="BE278">
        <f t="shared" si="59"/>
        <v>18.162603824691359</v>
      </c>
    </row>
    <row r="279" spans="6:101">
      <c r="F279" s="9"/>
      <c r="G279" s="22">
        <v>0.41549700000000001</v>
      </c>
      <c r="H279" s="22">
        <v>7.7384199999999996</v>
      </c>
      <c r="I279" s="22">
        <v>-1.34644E-2</v>
      </c>
      <c r="J279" s="22">
        <v>269</v>
      </c>
      <c r="K279" s="22">
        <v>0.41476400000000002</v>
      </c>
      <c r="L279">
        <f t="shared" si="48"/>
        <v>16.622716049382717</v>
      </c>
      <c r="M279">
        <f t="shared" si="49"/>
        <v>6.9066886503703708</v>
      </c>
      <c r="N279" s="9"/>
      <c r="O279" s="22">
        <v>1.25458</v>
      </c>
      <c r="P279" s="22">
        <v>11.497199999999999</v>
      </c>
      <c r="Q279" s="22">
        <v>-1.16699E-2</v>
      </c>
      <c r="R279" s="22">
        <v>269</v>
      </c>
      <c r="S279" s="22">
        <v>1.25397</v>
      </c>
      <c r="T279">
        <f t="shared" si="50"/>
        <v>14.407283950617282</v>
      </c>
      <c r="U279">
        <f t="shared" si="51"/>
        <v>18.075090298765431</v>
      </c>
      <c r="X279" s="9"/>
      <c r="Y279" s="22">
        <v>0.41549700000000001</v>
      </c>
      <c r="Z279" s="22">
        <v>16.965599999999998</v>
      </c>
      <c r="AA279" s="22">
        <v>-1.35345E-2</v>
      </c>
      <c r="AB279" s="22">
        <v>269</v>
      </c>
      <c r="AC279" s="22">
        <v>0.41476400000000002</v>
      </c>
      <c r="AD279">
        <f t="shared" si="52"/>
        <v>16.709259259259255</v>
      </c>
      <c r="AE279">
        <f t="shared" si="53"/>
        <v>6.9426470944444425</v>
      </c>
      <c r="AF279" s="9"/>
      <c r="AG279" s="22">
        <v>1.25458</v>
      </c>
      <c r="AH279" s="22">
        <v>20.724399999999999</v>
      </c>
      <c r="AI279" s="22">
        <v>-1.16974E-2</v>
      </c>
      <c r="AJ279" s="22">
        <v>269</v>
      </c>
      <c r="AK279" s="22">
        <v>1.25366</v>
      </c>
      <c r="AL279">
        <f t="shared" si="54"/>
        <v>14.441234567901233</v>
      </c>
      <c r="AM279">
        <f t="shared" si="55"/>
        <v>18.11768406419753</v>
      </c>
      <c r="AP279" s="9"/>
      <c r="AQ279" s="22">
        <v>0.41549700000000001</v>
      </c>
      <c r="AR279" s="22">
        <v>26.1419</v>
      </c>
      <c r="AS279" s="22">
        <v>-1.35529E-2</v>
      </c>
      <c r="AT279" s="22">
        <v>269</v>
      </c>
      <c r="AU279" s="22">
        <v>0.41476400000000002</v>
      </c>
      <c r="AV279">
        <f t="shared" si="56"/>
        <v>16.731975308641974</v>
      </c>
      <c r="AW279">
        <f t="shared" si="57"/>
        <v>6.9520855448148149</v>
      </c>
      <c r="AX279" s="9"/>
      <c r="AY279" s="22">
        <v>1.25458</v>
      </c>
      <c r="AZ279" s="22">
        <v>29.900600000000001</v>
      </c>
      <c r="BA279" s="22">
        <v>-1.1731E-2</v>
      </c>
      <c r="BB279" s="22">
        <v>269</v>
      </c>
      <c r="BC279" s="22">
        <v>1.25366</v>
      </c>
      <c r="BD279">
        <f t="shared" si="58"/>
        <v>14.482716049382715</v>
      </c>
      <c r="BE279">
        <f t="shared" si="59"/>
        <v>18.169725901234568</v>
      </c>
    </row>
    <row r="280" spans="6:101">
      <c r="F280" s="9"/>
      <c r="G280" s="22">
        <v>0.41046100000000002</v>
      </c>
      <c r="H280" s="22">
        <v>7.7484900000000003</v>
      </c>
      <c r="I280" s="22">
        <v>-1.3461300000000001E-2</v>
      </c>
      <c r="J280" s="22">
        <v>270</v>
      </c>
      <c r="K280" s="22">
        <v>0.40972900000000001</v>
      </c>
      <c r="L280">
        <f t="shared" si="48"/>
        <v>16.618888888888886</v>
      </c>
      <c r="M280">
        <f t="shared" si="49"/>
        <v>6.8214057522222218</v>
      </c>
      <c r="N280" s="9"/>
      <c r="O280" s="22">
        <v>1.2596099999999999</v>
      </c>
      <c r="P280" s="22">
        <v>11.507300000000001</v>
      </c>
      <c r="Q280" s="22">
        <v>-1.1639399999999999E-2</v>
      </c>
      <c r="R280" s="22">
        <v>270</v>
      </c>
      <c r="S280" s="22">
        <v>1.25885</v>
      </c>
      <c r="T280">
        <f t="shared" si="50"/>
        <v>14.369629629629628</v>
      </c>
      <c r="U280">
        <f t="shared" si="51"/>
        <v>18.100129177777774</v>
      </c>
      <c r="X280" s="9"/>
      <c r="Y280" s="22">
        <v>0.41046100000000002</v>
      </c>
      <c r="Z280" s="22">
        <v>16.9757</v>
      </c>
      <c r="AA280" s="22">
        <v>-1.35406E-2</v>
      </c>
      <c r="AB280" s="22">
        <v>270</v>
      </c>
      <c r="AC280" s="22">
        <v>0.40978999999999999</v>
      </c>
      <c r="AD280">
        <f t="shared" si="52"/>
        <v>16.716790123456789</v>
      </c>
      <c r="AE280">
        <f t="shared" si="53"/>
        <v>6.8615903908641975</v>
      </c>
      <c r="AF280" s="9"/>
      <c r="AG280" s="22">
        <v>1.2596099999999999</v>
      </c>
      <c r="AH280" s="22">
        <v>20.734500000000001</v>
      </c>
      <c r="AI280" s="22">
        <v>-1.16638E-2</v>
      </c>
      <c r="AJ280" s="22">
        <v>270</v>
      </c>
      <c r="AK280" s="22">
        <v>1.25854</v>
      </c>
      <c r="AL280">
        <f t="shared" si="54"/>
        <v>14.399753086419754</v>
      </c>
      <c r="AM280">
        <f t="shared" si="55"/>
        <v>18.138072985185186</v>
      </c>
      <c r="AP280" s="9"/>
      <c r="AQ280" s="22">
        <v>0.41046100000000002</v>
      </c>
      <c r="AR280" s="22">
        <v>26.151900000000001</v>
      </c>
      <c r="AS280" s="22">
        <v>-1.3559E-2</v>
      </c>
      <c r="AT280" s="22">
        <v>270</v>
      </c>
      <c r="AU280" s="22">
        <v>0.40969800000000001</v>
      </c>
      <c r="AV280">
        <f t="shared" si="56"/>
        <v>16.739506172839505</v>
      </c>
      <c r="AW280">
        <f t="shared" si="57"/>
        <v>6.8709144432098768</v>
      </c>
      <c r="AX280" s="9"/>
      <c r="AY280" s="22">
        <v>1.2596099999999999</v>
      </c>
      <c r="AZ280" s="22">
        <v>29.910699999999999</v>
      </c>
      <c r="BA280" s="22">
        <v>-1.1694299999999999E-2</v>
      </c>
      <c r="BB280" s="22">
        <v>270</v>
      </c>
      <c r="BC280" s="22">
        <v>1.25946</v>
      </c>
      <c r="BD280">
        <f t="shared" si="58"/>
        <v>14.437407407407406</v>
      </c>
      <c r="BE280">
        <f t="shared" si="59"/>
        <v>18.185502744444442</v>
      </c>
    </row>
    <row r="281" spans="6:101">
      <c r="F281" s="9"/>
      <c r="G281" s="22">
        <v>0.40542600000000001</v>
      </c>
      <c r="H281" s="22">
        <v>7.7585600000000001</v>
      </c>
      <c r="I281" s="22">
        <v>-1.34521E-2</v>
      </c>
      <c r="J281" s="22">
        <v>271</v>
      </c>
      <c r="K281" s="22">
        <v>0.404694</v>
      </c>
      <c r="L281">
        <f t="shared" si="48"/>
        <v>16.607530864197528</v>
      </c>
      <c r="M281">
        <f t="shared" si="49"/>
        <v>6.7331248081481476</v>
      </c>
      <c r="N281" s="9"/>
      <c r="O281" s="22">
        <v>1.2646500000000001</v>
      </c>
      <c r="P281" s="22">
        <v>11.517300000000001</v>
      </c>
      <c r="Q281" s="22">
        <v>-1.1593600000000001E-2</v>
      </c>
      <c r="R281" s="22">
        <v>271</v>
      </c>
      <c r="S281" s="22">
        <v>1.26373</v>
      </c>
      <c r="T281">
        <f t="shared" si="50"/>
        <v>14.313086419753086</v>
      </c>
      <c r="U281">
        <f t="shared" si="51"/>
        <v>18.10104474074074</v>
      </c>
      <c r="X281" s="9"/>
      <c r="Y281" s="22">
        <v>0.40542600000000001</v>
      </c>
      <c r="Z281" s="22">
        <v>16.985800000000001</v>
      </c>
      <c r="AA281" s="22">
        <v>-1.35529E-2</v>
      </c>
      <c r="AB281" s="22">
        <v>271</v>
      </c>
      <c r="AC281" s="22">
        <v>0.40472399999999997</v>
      </c>
      <c r="AD281">
        <f t="shared" si="52"/>
        <v>16.731975308641974</v>
      </c>
      <c r="AE281">
        <f t="shared" si="53"/>
        <v>6.7835778214814813</v>
      </c>
      <c r="AF281" s="9"/>
      <c r="AG281" s="22">
        <v>1.2646500000000001</v>
      </c>
      <c r="AH281" s="22">
        <v>20.744499999999999</v>
      </c>
      <c r="AI281" s="22">
        <v>-1.16241E-2</v>
      </c>
      <c r="AJ281" s="22">
        <v>271</v>
      </c>
      <c r="AK281" s="22">
        <v>1.26373</v>
      </c>
      <c r="AL281">
        <f t="shared" si="54"/>
        <v>14.35074074074074</v>
      </c>
      <c r="AM281">
        <f t="shared" si="55"/>
        <v>18.148664277777776</v>
      </c>
      <c r="AP281" s="9"/>
      <c r="AQ281" s="22">
        <v>0.40542600000000001</v>
      </c>
      <c r="AR281" s="22">
        <v>26.161999999999999</v>
      </c>
      <c r="AS281" s="22">
        <v>-1.3561999999999999E-2</v>
      </c>
      <c r="AT281" s="22">
        <v>271</v>
      </c>
      <c r="AU281" s="22">
        <v>0.404694</v>
      </c>
      <c r="AV281">
        <f t="shared" si="56"/>
        <v>16.743209876543208</v>
      </c>
      <c r="AW281">
        <f t="shared" si="57"/>
        <v>6.7881326074074071</v>
      </c>
      <c r="AX281" s="9"/>
      <c r="AY281" s="22">
        <v>1.2646500000000001</v>
      </c>
      <c r="AZ281" s="22">
        <v>29.9208</v>
      </c>
      <c r="BA281" s="22">
        <v>-1.16516E-2</v>
      </c>
      <c r="BB281" s="22">
        <v>271</v>
      </c>
      <c r="BC281" s="22">
        <v>1.26312</v>
      </c>
      <c r="BD281">
        <f t="shared" si="58"/>
        <v>14.384691358024689</v>
      </c>
      <c r="BE281">
        <f t="shared" si="59"/>
        <v>18.191599925925924</v>
      </c>
    </row>
    <row r="282" spans="6:101">
      <c r="F282" s="9"/>
      <c r="G282" s="22">
        <v>0.400391</v>
      </c>
      <c r="H282" s="22">
        <v>7.7686299999999999</v>
      </c>
      <c r="I282" s="22">
        <v>-1.3443E-2</v>
      </c>
      <c r="J282" s="22">
        <v>272</v>
      </c>
      <c r="K282" s="22">
        <v>0.39971899999999999</v>
      </c>
      <c r="L282">
        <f t="shared" si="48"/>
        <v>16.596296296296295</v>
      </c>
      <c r="M282">
        <f t="shared" si="49"/>
        <v>6.6450076703703695</v>
      </c>
      <c r="N282" s="9"/>
      <c r="O282" s="22">
        <v>1.2696799999999999</v>
      </c>
      <c r="P282" s="22">
        <v>11.5274</v>
      </c>
      <c r="Q282" s="22">
        <v>-1.15601E-2</v>
      </c>
      <c r="R282" s="22">
        <v>272</v>
      </c>
      <c r="S282" s="22">
        <v>1.26831</v>
      </c>
      <c r="T282">
        <f t="shared" si="50"/>
        <v>14.271728395061727</v>
      </c>
      <c r="U282">
        <f t="shared" si="51"/>
        <v>18.120528108641974</v>
      </c>
      <c r="X282" s="9"/>
      <c r="Y282" s="22">
        <v>0.400391</v>
      </c>
      <c r="Z282" s="22">
        <v>16.995799999999999</v>
      </c>
      <c r="AA282" s="22">
        <v>-1.3561999999999999E-2</v>
      </c>
      <c r="AB282" s="22">
        <v>272</v>
      </c>
      <c r="AC282" s="22">
        <v>0.39971899999999999</v>
      </c>
      <c r="AD282">
        <f t="shared" si="52"/>
        <v>16.743209876543208</v>
      </c>
      <c r="AE282">
        <f t="shared" si="53"/>
        <v>6.7038305456790113</v>
      </c>
      <c r="AF282" s="9"/>
      <c r="AG282" s="22">
        <v>1.2696799999999999</v>
      </c>
      <c r="AH282" s="22">
        <v>20.7546</v>
      </c>
      <c r="AI282" s="22">
        <v>-1.1584499999999999E-2</v>
      </c>
      <c r="AJ282" s="22">
        <v>272</v>
      </c>
      <c r="AK282" s="22">
        <v>1.2692300000000001</v>
      </c>
      <c r="AL282">
        <f t="shared" si="54"/>
        <v>14.30185185185185</v>
      </c>
      <c r="AM282">
        <f t="shared" si="55"/>
        <v>18.158775259259258</v>
      </c>
      <c r="AP282" s="9"/>
      <c r="AQ282" s="22">
        <v>0.400391</v>
      </c>
      <c r="AR282" s="22">
        <v>26.1721</v>
      </c>
      <c r="AS282" s="22">
        <v>-1.3559E-2</v>
      </c>
      <c r="AT282" s="22">
        <v>272</v>
      </c>
      <c r="AU282" s="22">
        <v>0.39965800000000001</v>
      </c>
      <c r="AV282">
        <f t="shared" si="56"/>
        <v>16.739506172839505</v>
      </c>
      <c r="AW282">
        <f t="shared" si="57"/>
        <v>6.7023476160493818</v>
      </c>
      <c r="AX282" s="9"/>
      <c r="AY282" s="22">
        <v>1.2696799999999999</v>
      </c>
      <c r="AZ282" s="22">
        <v>29.930800000000001</v>
      </c>
      <c r="BA282" s="22">
        <v>-1.16119E-2</v>
      </c>
      <c r="BB282" s="22">
        <v>272</v>
      </c>
      <c r="BC282" s="22">
        <v>1.2686200000000001</v>
      </c>
      <c r="BD282">
        <f t="shared" si="58"/>
        <v>14.335679012345677</v>
      </c>
      <c r="BE282">
        <f t="shared" si="59"/>
        <v>18.201724928395059</v>
      </c>
    </row>
    <row r="283" spans="6:101">
      <c r="F283" s="9"/>
      <c r="G283" s="22">
        <v>0.39535500000000001</v>
      </c>
      <c r="H283" s="22">
        <v>7.7786999999999997</v>
      </c>
      <c r="I283" s="22">
        <v>-1.34521E-2</v>
      </c>
      <c r="J283" s="22">
        <v>273</v>
      </c>
      <c r="K283" s="22">
        <v>0.39471400000000001</v>
      </c>
      <c r="L283">
        <f t="shared" si="48"/>
        <v>16.607530864197528</v>
      </c>
      <c r="M283">
        <f t="shared" si="49"/>
        <v>6.5658703648148142</v>
      </c>
      <c r="N283" s="9"/>
      <c r="O283" s="22">
        <v>1.2747200000000001</v>
      </c>
      <c r="P283" s="22">
        <v>11.5375</v>
      </c>
      <c r="Q283" s="22">
        <v>-1.1557E-2</v>
      </c>
      <c r="R283" s="22">
        <v>273</v>
      </c>
      <c r="S283" s="22">
        <v>1.2741100000000001</v>
      </c>
      <c r="T283">
        <f t="shared" si="50"/>
        <v>14.267901234567899</v>
      </c>
      <c r="U283">
        <f t="shared" si="51"/>
        <v>18.187579061728393</v>
      </c>
      <c r="X283" s="9"/>
      <c r="Y283" s="22">
        <v>0.39535500000000001</v>
      </c>
      <c r="Z283" s="22">
        <v>17.0059</v>
      </c>
      <c r="AA283" s="22">
        <v>-1.35742E-2</v>
      </c>
      <c r="AB283" s="22">
        <v>273</v>
      </c>
      <c r="AC283" s="22">
        <v>0.39465299999999998</v>
      </c>
      <c r="AD283">
        <f t="shared" si="52"/>
        <v>16.758271604938273</v>
      </c>
      <c r="AE283">
        <f t="shared" si="53"/>
        <v>6.6254664703703705</v>
      </c>
      <c r="AF283" s="9"/>
      <c r="AG283" s="22">
        <v>1.2747200000000001</v>
      </c>
      <c r="AH283" s="22">
        <v>20.764700000000001</v>
      </c>
      <c r="AI283" s="22">
        <v>-1.1544799999999999E-2</v>
      </c>
      <c r="AJ283" s="22">
        <v>273</v>
      </c>
      <c r="AK283" s="22">
        <v>1.2735000000000001</v>
      </c>
      <c r="AL283">
        <f t="shared" si="54"/>
        <v>14.252839506172839</v>
      </c>
      <c r="AM283">
        <f t="shared" si="55"/>
        <v>18.168379575308641</v>
      </c>
      <c r="AP283" s="9"/>
      <c r="AQ283" s="22">
        <v>0.39535500000000001</v>
      </c>
      <c r="AR283" s="22">
        <v>26.182099999999998</v>
      </c>
      <c r="AS283" s="22">
        <v>-1.3555899999999999E-2</v>
      </c>
      <c r="AT283" s="22">
        <v>273</v>
      </c>
      <c r="AU283" s="22">
        <v>0.394623</v>
      </c>
      <c r="AV283">
        <f t="shared" si="56"/>
        <v>16.735679012345678</v>
      </c>
      <c r="AW283">
        <f t="shared" si="57"/>
        <v>6.6165343759259256</v>
      </c>
      <c r="AX283" s="9"/>
      <c r="AY283" s="22">
        <v>1.2747200000000001</v>
      </c>
      <c r="AZ283" s="22">
        <v>29.940899999999999</v>
      </c>
      <c r="BA283" s="22">
        <v>-1.15662E-2</v>
      </c>
      <c r="BB283" s="22">
        <v>273</v>
      </c>
      <c r="BC283" s="22">
        <v>1.2741100000000001</v>
      </c>
      <c r="BD283">
        <f t="shared" si="58"/>
        <v>14.279259259259259</v>
      </c>
      <c r="BE283">
        <f t="shared" si="59"/>
        <v>18.202057362962965</v>
      </c>
    </row>
    <row r="284" spans="6:101">
      <c r="F284" s="9"/>
      <c r="G284" s="22">
        <v>0.39032</v>
      </c>
      <c r="H284" s="22">
        <v>7.7887700000000004</v>
      </c>
      <c r="I284" s="22">
        <v>-1.3458299999999999E-2</v>
      </c>
      <c r="J284" s="22">
        <v>274</v>
      </c>
      <c r="K284" s="22">
        <v>0.38961800000000002</v>
      </c>
      <c r="L284">
        <f t="shared" si="48"/>
        <v>16.615185185185183</v>
      </c>
      <c r="M284">
        <f t="shared" si="49"/>
        <v>6.4852390814814811</v>
      </c>
      <c r="N284" s="9"/>
      <c r="O284" s="22">
        <v>1.2797499999999999</v>
      </c>
      <c r="P284" s="22">
        <v>11.547499999999999</v>
      </c>
      <c r="Q284" s="22">
        <v>-1.15204E-2</v>
      </c>
      <c r="R284" s="22">
        <v>274</v>
      </c>
      <c r="S284" s="22">
        <v>1.2789900000000001</v>
      </c>
      <c r="T284">
        <f t="shared" si="50"/>
        <v>14.222716049382715</v>
      </c>
      <c r="U284">
        <f t="shared" si="51"/>
        <v>18.20152086419753</v>
      </c>
      <c r="X284" s="9"/>
      <c r="Y284" s="22">
        <v>0.39032</v>
      </c>
      <c r="Z284" s="22">
        <v>17.015999999999998</v>
      </c>
      <c r="AA284" s="22">
        <v>-1.35742E-2</v>
      </c>
      <c r="AB284" s="22">
        <v>274</v>
      </c>
      <c r="AC284" s="22">
        <v>0.38958700000000002</v>
      </c>
      <c r="AD284">
        <f t="shared" si="52"/>
        <v>16.758271604938273</v>
      </c>
      <c r="AE284">
        <f t="shared" si="53"/>
        <v>6.5410885728395067</v>
      </c>
      <c r="AF284" s="9"/>
      <c r="AG284" s="22">
        <v>1.2797499999999999</v>
      </c>
      <c r="AH284" s="22">
        <v>20.774699999999999</v>
      </c>
      <c r="AI284" s="22">
        <v>-1.1505100000000001E-2</v>
      </c>
      <c r="AJ284" s="22">
        <v>274</v>
      </c>
      <c r="AK284" s="22">
        <v>1.2789900000000001</v>
      </c>
      <c r="AL284">
        <f t="shared" si="54"/>
        <v>14.203827160493827</v>
      </c>
      <c r="AM284">
        <f t="shared" si="55"/>
        <v>18.177347808641972</v>
      </c>
      <c r="AP284" s="9"/>
      <c r="AQ284" s="22">
        <v>0.39032</v>
      </c>
      <c r="AR284" s="22">
        <v>26.1922</v>
      </c>
      <c r="AS284" s="22">
        <v>-1.35681E-2</v>
      </c>
      <c r="AT284" s="22">
        <v>274</v>
      </c>
      <c r="AU284" s="22">
        <v>0.38958700000000002</v>
      </c>
      <c r="AV284">
        <f t="shared" si="56"/>
        <v>16.750740740740738</v>
      </c>
      <c r="AW284">
        <f t="shared" si="57"/>
        <v>6.5381491259259255</v>
      </c>
      <c r="AX284" s="9"/>
      <c r="AY284" s="22">
        <v>1.2797499999999999</v>
      </c>
      <c r="AZ284" s="22">
        <v>29.951000000000001</v>
      </c>
      <c r="BA284" s="22">
        <v>-1.15265E-2</v>
      </c>
      <c r="BB284" s="22">
        <v>274</v>
      </c>
      <c r="BC284" s="22">
        <v>1.2786900000000001</v>
      </c>
      <c r="BD284">
        <f t="shared" si="58"/>
        <v>14.230246913580247</v>
      </c>
      <c r="BE284">
        <f t="shared" si="59"/>
        <v>18.21115848765432</v>
      </c>
    </row>
    <row r="285" spans="6:101">
      <c r="F285" s="9"/>
      <c r="G285" s="22">
        <v>0.38528400000000002</v>
      </c>
      <c r="H285" s="22">
        <v>7.7988400000000002</v>
      </c>
      <c r="I285" s="22">
        <v>-1.3467399999999999E-2</v>
      </c>
      <c r="J285" s="22">
        <v>275</v>
      </c>
      <c r="K285" s="22">
        <v>0.38458300000000001</v>
      </c>
      <c r="L285">
        <f t="shared" si="48"/>
        <v>16.626419753086417</v>
      </c>
      <c r="M285">
        <f t="shared" si="49"/>
        <v>6.4058935081481474</v>
      </c>
      <c r="N285" s="9"/>
      <c r="O285" s="22">
        <v>1.2847900000000001</v>
      </c>
      <c r="P285" s="22">
        <v>11.557600000000001</v>
      </c>
      <c r="Q285" s="22">
        <v>-1.1483800000000001E-2</v>
      </c>
      <c r="R285" s="22">
        <v>275</v>
      </c>
      <c r="S285" s="22">
        <v>1.2835700000000001</v>
      </c>
      <c r="T285">
        <f t="shared" si="50"/>
        <v>14.17753086419753</v>
      </c>
      <c r="U285">
        <f t="shared" si="51"/>
        <v>18.215149879012348</v>
      </c>
      <c r="X285" s="9"/>
      <c r="Y285" s="22">
        <v>0.38528400000000002</v>
      </c>
      <c r="Z285" s="22">
        <v>17.0261</v>
      </c>
      <c r="AA285" s="22">
        <v>-1.35773E-2</v>
      </c>
      <c r="AB285" s="22">
        <v>275</v>
      </c>
      <c r="AC285" s="22">
        <v>0.38461299999999998</v>
      </c>
      <c r="AD285">
        <f t="shared" si="52"/>
        <v>16.7620987654321</v>
      </c>
      <c r="AE285">
        <f t="shared" si="53"/>
        <v>6.4581684607407412</v>
      </c>
      <c r="AF285" s="9"/>
      <c r="AG285" s="22">
        <v>1.2847900000000001</v>
      </c>
      <c r="AH285" s="22">
        <v>20.784800000000001</v>
      </c>
      <c r="AI285" s="22">
        <v>-1.1462399999999999E-2</v>
      </c>
      <c r="AJ285" s="22">
        <v>275</v>
      </c>
      <c r="AK285" s="22">
        <v>1.2838700000000001</v>
      </c>
      <c r="AL285">
        <f t="shared" si="54"/>
        <v>14.15111111111111</v>
      </c>
      <c r="AM285">
        <f t="shared" si="55"/>
        <v>18.181206044444444</v>
      </c>
      <c r="AP285" s="9"/>
      <c r="AQ285" s="22">
        <v>0.38528400000000002</v>
      </c>
      <c r="AR285" s="22">
        <v>26.202300000000001</v>
      </c>
      <c r="AS285" s="22">
        <v>-1.35803E-2</v>
      </c>
      <c r="AT285" s="22">
        <v>275</v>
      </c>
      <c r="AU285" s="22">
        <v>0.38446000000000002</v>
      </c>
      <c r="AV285">
        <f t="shared" si="56"/>
        <v>16.765802469135803</v>
      </c>
      <c r="AW285">
        <f t="shared" si="57"/>
        <v>6.4595954385185186</v>
      </c>
      <c r="AX285" s="9"/>
      <c r="AY285" s="22">
        <v>1.2847900000000001</v>
      </c>
      <c r="AZ285" s="22">
        <v>29.960999999999999</v>
      </c>
      <c r="BA285" s="22">
        <v>-1.14868E-2</v>
      </c>
      <c r="BB285" s="22">
        <v>275</v>
      </c>
      <c r="BC285" s="22">
        <v>1.2835700000000001</v>
      </c>
      <c r="BD285">
        <f t="shared" si="58"/>
        <v>14.181234567901233</v>
      </c>
      <c r="BE285">
        <f t="shared" si="59"/>
        <v>18.219908360493829</v>
      </c>
    </row>
    <row r="286" spans="6:101">
      <c r="F286" s="9"/>
      <c r="G286" s="22">
        <v>0.380249</v>
      </c>
      <c r="H286" s="22">
        <v>7.8089199999999996</v>
      </c>
      <c r="I286" s="22">
        <v>-1.3473499999999999E-2</v>
      </c>
      <c r="J286" s="22">
        <v>276</v>
      </c>
      <c r="K286" s="22">
        <v>0.37954700000000002</v>
      </c>
      <c r="L286">
        <f t="shared" si="48"/>
        <v>16.633950617283947</v>
      </c>
      <c r="M286">
        <f t="shared" si="49"/>
        <v>6.3250430882716033</v>
      </c>
      <c r="N286" s="9"/>
      <c r="O286" s="22">
        <v>1.28983</v>
      </c>
      <c r="P286" s="22">
        <v>11.5677</v>
      </c>
      <c r="Q286" s="22">
        <v>-1.1438E-2</v>
      </c>
      <c r="R286" s="22">
        <v>276</v>
      </c>
      <c r="S286" s="22">
        <v>1.2890600000000001</v>
      </c>
      <c r="T286">
        <f t="shared" si="50"/>
        <v>14.120987654320988</v>
      </c>
      <c r="U286">
        <f t="shared" si="51"/>
        <v>18.213673506172839</v>
      </c>
      <c r="X286" s="9"/>
      <c r="Y286" s="22">
        <v>0.380249</v>
      </c>
      <c r="Z286" s="22">
        <v>17.036100000000001</v>
      </c>
      <c r="AA286" s="22">
        <v>-1.35773E-2</v>
      </c>
      <c r="AB286" s="22">
        <v>276</v>
      </c>
      <c r="AC286" s="22">
        <v>0.37951699999999999</v>
      </c>
      <c r="AD286">
        <f t="shared" si="52"/>
        <v>16.7620987654321</v>
      </c>
      <c r="AE286">
        <f t="shared" si="53"/>
        <v>6.3737712934567909</v>
      </c>
      <c r="AF286" s="9"/>
      <c r="AG286" s="22">
        <v>1.28983</v>
      </c>
      <c r="AH286" s="22">
        <v>20.794899999999998</v>
      </c>
      <c r="AI286" s="22">
        <v>-1.1416600000000001E-2</v>
      </c>
      <c r="AJ286" s="22">
        <v>276</v>
      </c>
      <c r="AK286" s="22">
        <v>1.2893699999999999</v>
      </c>
      <c r="AL286">
        <f t="shared" si="54"/>
        <v>14.094567901234569</v>
      </c>
      <c r="AM286">
        <f t="shared" si="55"/>
        <v>18.179596516049386</v>
      </c>
      <c r="AP286" s="9"/>
      <c r="AQ286" s="22">
        <v>0.380249</v>
      </c>
      <c r="AR286" s="22">
        <v>26.212399999999999</v>
      </c>
      <c r="AS286" s="22">
        <v>-1.35925E-2</v>
      </c>
      <c r="AT286" s="22">
        <v>276</v>
      </c>
      <c r="AU286" s="22">
        <v>0.37951699999999999</v>
      </c>
      <c r="AV286">
        <f t="shared" si="56"/>
        <v>16.780864197530864</v>
      </c>
      <c r="AW286">
        <f t="shared" si="57"/>
        <v>6.3809068302469134</v>
      </c>
      <c r="AX286" s="9"/>
      <c r="AY286" s="22">
        <v>1.28983</v>
      </c>
      <c r="AZ286" s="22">
        <v>29.9711</v>
      </c>
      <c r="BA286" s="22">
        <v>-1.1450200000000001E-2</v>
      </c>
      <c r="BB286" s="22">
        <v>276</v>
      </c>
      <c r="BC286" s="22">
        <v>1.2887599999999999</v>
      </c>
      <c r="BD286">
        <f t="shared" si="58"/>
        <v>14.136049382716049</v>
      </c>
      <c r="BE286">
        <f t="shared" si="59"/>
        <v>18.23310057530864</v>
      </c>
    </row>
    <row r="287" spans="6:101">
      <c r="F287" s="9"/>
      <c r="G287" s="22">
        <v>0.37521399999999999</v>
      </c>
      <c r="H287" s="22">
        <v>7.8189900000000003</v>
      </c>
      <c r="I287" s="22">
        <v>-1.34796E-2</v>
      </c>
      <c r="J287" s="22">
        <v>277</v>
      </c>
      <c r="K287" s="22">
        <v>0.37451200000000001</v>
      </c>
      <c r="L287">
        <f t="shared" si="48"/>
        <v>16.641481481481478</v>
      </c>
      <c r="M287">
        <f t="shared" si="49"/>
        <v>6.2441168325925913</v>
      </c>
      <c r="N287" s="9"/>
      <c r="O287" s="22">
        <v>1.2948599999999999</v>
      </c>
      <c r="P287" s="22">
        <v>11.5777</v>
      </c>
      <c r="Q287" s="22">
        <v>-1.13861E-2</v>
      </c>
      <c r="R287" s="22">
        <v>277</v>
      </c>
      <c r="S287" s="22">
        <v>1.2939499999999999</v>
      </c>
      <c r="T287">
        <f t="shared" si="50"/>
        <v>14.056913580246912</v>
      </c>
      <c r="U287">
        <f t="shared" si="51"/>
        <v>18.201735118518513</v>
      </c>
      <c r="X287" s="9"/>
      <c r="Y287" s="22">
        <v>0.37521399999999999</v>
      </c>
      <c r="Z287" s="22">
        <v>17.046199999999999</v>
      </c>
      <c r="AA287" s="22">
        <v>-1.35712E-2</v>
      </c>
      <c r="AB287" s="22">
        <v>277</v>
      </c>
      <c r="AC287" s="22">
        <v>0.37454199999999999</v>
      </c>
      <c r="AD287">
        <f t="shared" si="52"/>
        <v>16.754567901234566</v>
      </c>
      <c r="AE287">
        <f t="shared" si="53"/>
        <v>6.2865484404938261</v>
      </c>
      <c r="AF287" s="9"/>
      <c r="AG287" s="22">
        <v>1.2948599999999999</v>
      </c>
      <c r="AH287" s="22">
        <v>20.805</v>
      </c>
      <c r="AI287" s="22">
        <v>-1.1373899999999999E-2</v>
      </c>
      <c r="AJ287" s="22">
        <v>277</v>
      </c>
      <c r="AK287" s="22">
        <v>1.2933300000000001</v>
      </c>
      <c r="AL287">
        <f t="shared" si="54"/>
        <v>14.041851851851851</v>
      </c>
      <c r="AM287">
        <f t="shared" si="55"/>
        <v>18.182232288888887</v>
      </c>
      <c r="AP287" s="9"/>
      <c r="AQ287" s="22">
        <v>0.37521399999999999</v>
      </c>
      <c r="AR287" s="22">
        <v>26.2224</v>
      </c>
      <c r="AS287" s="22">
        <v>-1.36078E-2</v>
      </c>
      <c r="AT287" s="22">
        <v>277</v>
      </c>
      <c r="AU287" s="22">
        <v>0.37448100000000001</v>
      </c>
      <c r="AV287">
        <f t="shared" si="56"/>
        <v>16.799753086419752</v>
      </c>
      <c r="AW287">
        <f t="shared" si="57"/>
        <v>6.3035025545679009</v>
      </c>
      <c r="AX287" s="9"/>
      <c r="AY287" s="22">
        <v>1.2948599999999999</v>
      </c>
      <c r="AZ287" s="22">
        <v>29.981200000000001</v>
      </c>
      <c r="BA287" s="22">
        <v>-1.1410500000000001E-2</v>
      </c>
      <c r="BB287" s="22">
        <v>277</v>
      </c>
      <c r="BC287" s="22">
        <v>1.2939499999999999</v>
      </c>
      <c r="BD287">
        <f t="shared" si="58"/>
        <v>14.087037037037037</v>
      </c>
      <c r="BE287">
        <f t="shared" si="59"/>
        <v>18.240740777777777</v>
      </c>
    </row>
    <row r="288" spans="6:101">
      <c r="F288" s="9"/>
      <c r="G288" s="22">
        <v>0.37017800000000001</v>
      </c>
      <c r="H288" s="22">
        <v>7.8290600000000001</v>
      </c>
      <c r="I288" s="22">
        <v>-1.34857E-2</v>
      </c>
      <c r="J288" s="22">
        <v>278</v>
      </c>
      <c r="K288" s="22">
        <v>0.36941499999999999</v>
      </c>
      <c r="L288">
        <f t="shared" si="48"/>
        <v>16.649012345679012</v>
      </c>
      <c r="M288">
        <f t="shared" si="49"/>
        <v>6.1630980920987657</v>
      </c>
      <c r="N288" s="9"/>
      <c r="O288" s="22">
        <v>1.2999000000000001</v>
      </c>
      <c r="P288" s="22">
        <v>11.5878</v>
      </c>
      <c r="Q288" s="22">
        <v>-1.1340299999999999E-2</v>
      </c>
      <c r="R288" s="22">
        <v>278</v>
      </c>
      <c r="S288" s="22">
        <v>1.2991299999999999</v>
      </c>
      <c r="T288">
        <f t="shared" si="50"/>
        <v>14.000370370370367</v>
      </c>
      <c r="U288">
        <f t="shared" si="51"/>
        <v>18.199081444444442</v>
      </c>
      <c r="X288" s="9"/>
      <c r="Y288" s="22">
        <v>0.37017800000000001</v>
      </c>
      <c r="Z288" s="22">
        <v>17.0563</v>
      </c>
      <c r="AA288" s="22">
        <v>-1.35651E-2</v>
      </c>
      <c r="AB288" s="22">
        <v>278</v>
      </c>
      <c r="AC288" s="22">
        <v>0.369446</v>
      </c>
      <c r="AD288">
        <f t="shared" si="52"/>
        <v>16.747037037037035</v>
      </c>
      <c r="AE288">
        <f t="shared" si="53"/>
        <v>6.1993846762962956</v>
      </c>
      <c r="AF288" s="9"/>
      <c r="AG288" s="22">
        <v>1.2999000000000001</v>
      </c>
      <c r="AH288" s="22">
        <v>20.815000000000001</v>
      </c>
      <c r="AI288" s="22">
        <v>-1.13312E-2</v>
      </c>
      <c r="AJ288" s="22">
        <v>278</v>
      </c>
      <c r="AK288" s="22">
        <v>1.2988299999999999</v>
      </c>
      <c r="AL288">
        <f t="shared" si="54"/>
        <v>13.989135802469134</v>
      </c>
      <c r="AM288">
        <f t="shared" si="55"/>
        <v>18.18447762962963</v>
      </c>
      <c r="AP288" s="9"/>
      <c r="AQ288" s="22">
        <v>0.37017800000000001</v>
      </c>
      <c r="AR288" s="22">
        <v>26.232500000000002</v>
      </c>
      <c r="AS288" s="22">
        <v>-1.3616899999999999E-2</v>
      </c>
      <c r="AT288" s="22">
        <v>278</v>
      </c>
      <c r="AU288" s="22">
        <v>0.36941499999999999</v>
      </c>
      <c r="AV288">
        <f t="shared" si="56"/>
        <v>16.810987654320986</v>
      </c>
      <c r="AW288">
        <f t="shared" si="57"/>
        <v>6.2230577879012339</v>
      </c>
      <c r="AX288" s="9"/>
      <c r="AY288" s="22">
        <v>1.2999000000000001</v>
      </c>
      <c r="AZ288" s="22">
        <v>29.991299999999999</v>
      </c>
      <c r="BA288" s="22">
        <v>-1.1367800000000001E-2</v>
      </c>
      <c r="BB288" s="22">
        <v>278</v>
      </c>
      <c r="BC288" s="22">
        <v>1.2988299999999999</v>
      </c>
      <c r="BD288">
        <f t="shared" si="58"/>
        <v>14.03432098765432</v>
      </c>
      <c r="BE288">
        <f t="shared" si="59"/>
        <v>18.243213851851852</v>
      </c>
    </row>
    <row r="289" spans="6:57">
      <c r="F289" s="9"/>
      <c r="G289" s="22">
        <v>0.365143</v>
      </c>
      <c r="H289" s="22">
        <v>7.8391299999999999</v>
      </c>
      <c r="I289" s="22">
        <v>-1.34918E-2</v>
      </c>
      <c r="J289" s="22">
        <v>279</v>
      </c>
      <c r="K289" s="22">
        <v>0.36447099999999999</v>
      </c>
      <c r="L289">
        <f t="shared" si="48"/>
        <v>16.656543209876542</v>
      </c>
      <c r="M289">
        <f t="shared" si="49"/>
        <v>6.0820201572839503</v>
      </c>
      <c r="N289" s="9"/>
      <c r="O289" s="22">
        <v>1.3049299999999999</v>
      </c>
      <c r="P289" s="22">
        <v>11.597899999999999</v>
      </c>
      <c r="Q289" s="22">
        <v>-1.1291499999999999E-2</v>
      </c>
      <c r="R289" s="22">
        <v>279</v>
      </c>
      <c r="S289" s="22">
        <v>1.3037099999999999</v>
      </c>
      <c r="T289">
        <f t="shared" si="50"/>
        <v>13.940123456790122</v>
      </c>
      <c r="U289">
        <f t="shared" si="51"/>
        <v>18.190885302469134</v>
      </c>
      <c r="X289" s="9"/>
      <c r="Y289" s="22">
        <v>0.365143</v>
      </c>
      <c r="Z289" s="22">
        <v>17.066299999999998</v>
      </c>
      <c r="AA289" s="22">
        <v>-1.35681E-2</v>
      </c>
      <c r="AB289" s="22">
        <v>279</v>
      </c>
      <c r="AC289" s="22">
        <v>0.36444100000000001</v>
      </c>
      <c r="AD289">
        <f t="shared" si="52"/>
        <v>16.750740740740738</v>
      </c>
      <c r="AE289">
        <f t="shared" si="53"/>
        <v>6.116415726296295</v>
      </c>
      <c r="AF289" s="9"/>
      <c r="AG289" s="22">
        <v>1.3049299999999999</v>
      </c>
      <c r="AH289" s="22">
        <v>20.825099999999999</v>
      </c>
      <c r="AI289" s="22">
        <v>-1.12823E-2</v>
      </c>
      <c r="AJ289" s="22">
        <v>279</v>
      </c>
      <c r="AK289" s="22">
        <v>1.30402</v>
      </c>
      <c r="AL289">
        <f t="shared" si="54"/>
        <v>13.928765432098766</v>
      </c>
      <c r="AM289">
        <f t="shared" si="55"/>
        <v>18.176063875308643</v>
      </c>
      <c r="AP289" s="9"/>
      <c r="AQ289" s="22">
        <v>0.365143</v>
      </c>
      <c r="AR289" s="22">
        <v>26.242599999999999</v>
      </c>
      <c r="AS289" s="22">
        <v>-1.3616899999999999E-2</v>
      </c>
      <c r="AT289" s="22">
        <v>279</v>
      </c>
      <c r="AU289" s="22">
        <v>0.36447099999999999</v>
      </c>
      <c r="AV289">
        <f t="shared" si="56"/>
        <v>16.810987654320986</v>
      </c>
      <c r="AW289">
        <f t="shared" si="57"/>
        <v>6.1384144650617278</v>
      </c>
      <c r="AX289" s="9"/>
      <c r="AY289" s="22">
        <v>1.3049299999999999</v>
      </c>
      <c r="AZ289" s="22">
        <v>30.001300000000001</v>
      </c>
      <c r="BA289" s="22">
        <v>-1.13159E-2</v>
      </c>
      <c r="BB289" s="22">
        <v>279</v>
      </c>
      <c r="BC289" s="22">
        <v>1.3043199999999999</v>
      </c>
      <c r="BD289">
        <f t="shared" si="58"/>
        <v>13.970246913580247</v>
      </c>
      <c r="BE289">
        <f t="shared" si="59"/>
        <v>18.230194304938273</v>
      </c>
    </row>
    <row r="290" spans="6:57">
      <c r="F290" s="9"/>
      <c r="G290" s="22">
        <v>0.36010700000000001</v>
      </c>
      <c r="H290" s="22">
        <v>7.8491999999999997</v>
      </c>
      <c r="I290" s="22">
        <v>-1.3501000000000001E-2</v>
      </c>
      <c r="J290" s="22">
        <v>280</v>
      </c>
      <c r="K290" s="22">
        <v>0.359406</v>
      </c>
      <c r="L290">
        <f t="shared" si="48"/>
        <v>16.667901234567903</v>
      </c>
      <c r="M290">
        <f t="shared" si="49"/>
        <v>6.0022279098765443</v>
      </c>
      <c r="N290" s="9"/>
      <c r="O290" s="22">
        <v>1.3099700000000001</v>
      </c>
      <c r="P290" s="22">
        <v>11.608000000000001</v>
      </c>
      <c r="Q290" s="22">
        <v>-1.1236599999999999E-2</v>
      </c>
      <c r="R290" s="22">
        <v>280</v>
      </c>
      <c r="S290" s="22">
        <v>1.3089</v>
      </c>
      <c r="T290">
        <f t="shared" si="50"/>
        <v>13.872345679012344</v>
      </c>
      <c r="U290">
        <f t="shared" si="51"/>
        <v>18.172356669135802</v>
      </c>
      <c r="X290" s="9"/>
      <c r="Y290" s="22">
        <v>0.36010700000000001</v>
      </c>
      <c r="Z290" s="22">
        <v>17.0764</v>
      </c>
      <c r="AA290" s="22">
        <v>-1.35681E-2</v>
      </c>
      <c r="AB290" s="22">
        <v>280</v>
      </c>
      <c r="AC290" s="22">
        <v>0.359375</v>
      </c>
      <c r="AD290">
        <f t="shared" si="52"/>
        <v>16.750740740740738</v>
      </c>
      <c r="AE290">
        <f t="shared" si="53"/>
        <v>6.032058995925925</v>
      </c>
      <c r="AF290" s="9"/>
      <c r="AG290" s="22">
        <v>1.3099700000000001</v>
      </c>
      <c r="AH290" s="22">
        <v>20.8352</v>
      </c>
      <c r="AI290" s="22">
        <v>-1.1230499999999999E-2</v>
      </c>
      <c r="AJ290" s="22">
        <v>280</v>
      </c>
      <c r="AK290" s="22">
        <v>1.30951</v>
      </c>
      <c r="AL290">
        <f t="shared" si="54"/>
        <v>13.864814814814812</v>
      </c>
      <c r="AM290">
        <f t="shared" si="55"/>
        <v>18.162491462962961</v>
      </c>
      <c r="AP290" s="9"/>
      <c r="AQ290" s="22">
        <v>0.36010700000000001</v>
      </c>
      <c r="AR290" s="22">
        <v>26.252600000000001</v>
      </c>
      <c r="AS290" s="22">
        <v>-1.3623E-2</v>
      </c>
      <c r="AT290" s="22">
        <v>280</v>
      </c>
      <c r="AU290" s="22">
        <v>0.359344</v>
      </c>
      <c r="AV290">
        <f t="shared" si="56"/>
        <v>16.818518518518516</v>
      </c>
      <c r="AW290">
        <f t="shared" si="57"/>
        <v>6.0564662481481477</v>
      </c>
      <c r="AX290" s="9"/>
      <c r="AY290" s="22">
        <v>1.3099700000000001</v>
      </c>
      <c r="AZ290" s="22">
        <v>30.011399999999998</v>
      </c>
      <c r="BA290" s="22">
        <v>-1.1261E-2</v>
      </c>
      <c r="BB290" s="22">
        <v>280</v>
      </c>
      <c r="BC290" s="22">
        <v>1.3089</v>
      </c>
      <c r="BD290">
        <f t="shared" si="58"/>
        <v>13.90246913580247</v>
      </c>
      <c r="BE290">
        <f t="shared" si="59"/>
        <v>18.211817493827162</v>
      </c>
    </row>
    <row r="291" spans="6:57">
      <c r="F291" s="9"/>
      <c r="G291" s="22">
        <v>0.355072</v>
      </c>
      <c r="H291" s="22">
        <v>7.8592700000000004</v>
      </c>
      <c r="I291" s="22">
        <v>-1.3510100000000001E-2</v>
      </c>
      <c r="J291" s="22">
        <v>281</v>
      </c>
      <c r="K291" s="22">
        <v>0.35440100000000002</v>
      </c>
      <c r="L291">
        <f t="shared" si="48"/>
        <v>16.679135802469133</v>
      </c>
      <c r="M291">
        <f t="shared" si="49"/>
        <v>5.9222941076543201</v>
      </c>
      <c r="N291" s="9"/>
      <c r="O291" s="22">
        <v>1.3149999999999999</v>
      </c>
      <c r="P291" s="22">
        <v>11.618</v>
      </c>
      <c r="Q291" s="22">
        <v>-1.1190800000000001E-2</v>
      </c>
      <c r="R291" s="22">
        <v>281</v>
      </c>
      <c r="S291" s="22">
        <v>1.3143899999999999</v>
      </c>
      <c r="T291">
        <f t="shared" si="50"/>
        <v>13.815802469135802</v>
      </c>
      <c r="U291">
        <f t="shared" si="51"/>
        <v>18.16778024691358</v>
      </c>
      <c r="X291" s="9"/>
      <c r="Y291" s="22">
        <v>0.355072</v>
      </c>
      <c r="Z291" s="22">
        <v>17.086500000000001</v>
      </c>
      <c r="AA291" s="22">
        <v>-1.3561999999999999E-2</v>
      </c>
      <c r="AB291" s="22">
        <v>281</v>
      </c>
      <c r="AC291" s="22">
        <v>0.35440100000000002</v>
      </c>
      <c r="AD291">
        <f t="shared" si="52"/>
        <v>16.743209876543208</v>
      </c>
      <c r="AE291">
        <f t="shared" si="53"/>
        <v>5.9450450172839497</v>
      </c>
      <c r="AF291" s="9"/>
      <c r="AG291" s="22">
        <v>1.3149999999999999</v>
      </c>
      <c r="AH291" s="22">
        <v>20.845199999999998</v>
      </c>
      <c r="AI291" s="22">
        <v>-1.11877E-2</v>
      </c>
      <c r="AJ291" s="22">
        <v>281</v>
      </c>
      <c r="AK291" s="22">
        <v>1.3143899999999999</v>
      </c>
      <c r="AL291">
        <f t="shared" si="54"/>
        <v>13.811975308641975</v>
      </c>
      <c r="AM291">
        <f t="shared" si="55"/>
        <v>18.162747530864195</v>
      </c>
      <c r="AP291" s="9"/>
      <c r="AQ291" s="22">
        <v>0.355072</v>
      </c>
      <c r="AR291" s="22">
        <v>26.262699999999999</v>
      </c>
      <c r="AS291" s="22">
        <v>-1.36261E-2</v>
      </c>
      <c r="AT291" s="22">
        <v>281</v>
      </c>
      <c r="AU291" s="22">
        <v>0.35433999999999999</v>
      </c>
      <c r="AV291">
        <f t="shared" si="56"/>
        <v>16.822345679012344</v>
      </c>
      <c r="AW291">
        <f t="shared" si="57"/>
        <v>5.9731439249382712</v>
      </c>
      <c r="AX291" s="9"/>
      <c r="AY291" s="22">
        <v>1.3149999999999999</v>
      </c>
      <c r="AZ291" s="22">
        <v>30.0215</v>
      </c>
      <c r="BA291" s="22">
        <v>-1.12091E-2</v>
      </c>
      <c r="BB291" s="22">
        <v>281</v>
      </c>
      <c r="BC291" s="22">
        <v>1.31409</v>
      </c>
      <c r="BD291">
        <f t="shared" si="58"/>
        <v>13.838395061728393</v>
      </c>
      <c r="BE291">
        <f t="shared" si="59"/>
        <v>18.197489506172836</v>
      </c>
    </row>
    <row r="292" spans="6:57">
      <c r="F292" s="9"/>
      <c r="G292" s="22">
        <v>0.35003699999999999</v>
      </c>
      <c r="H292" s="22">
        <v>7.8693400000000002</v>
      </c>
      <c r="I292" s="22">
        <v>-1.35132E-2</v>
      </c>
      <c r="J292" s="22">
        <v>282</v>
      </c>
      <c r="K292" s="22">
        <v>0.34939599999999998</v>
      </c>
      <c r="L292">
        <f t="shared" si="48"/>
        <v>16.682962962962961</v>
      </c>
      <c r="M292">
        <f t="shared" si="49"/>
        <v>5.8396543066666657</v>
      </c>
      <c r="N292" s="9"/>
      <c r="O292" s="22">
        <v>1.3200400000000001</v>
      </c>
      <c r="P292" s="22">
        <v>11.6281</v>
      </c>
      <c r="Q292" s="22">
        <v>-1.11389E-2</v>
      </c>
      <c r="R292" s="22">
        <v>282</v>
      </c>
      <c r="S292" s="22">
        <v>1.31958</v>
      </c>
      <c r="T292">
        <f t="shared" si="50"/>
        <v>13.751728395061727</v>
      </c>
      <c r="U292">
        <f t="shared" si="51"/>
        <v>18.152831550617282</v>
      </c>
      <c r="X292" s="9"/>
      <c r="Y292" s="22">
        <v>0.35003699999999999</v>
      </c>
      <c r="Z292" s="22">
        <v>17.096599999999999</v>
      </c>
      <c r="AA292" s="22">
        <v>-1.3559E-2</v>
      </c>
      <c r="AB292" s="22">
        <v>282</v>
      </c>
      <c r="AC292" s="22">
        <v>0.34933500000000001</v>
      </c>
      <c r="AD292">
        <f t="shared" si="52"/>
        <v>16.739506172839505</v>
      </c>
      <c r="AE292">
        <f t="shared" si="53"/>
        <v>5.8594465222222212</v>
      </c>
      <c r="AF292" s="9"/>
      <c r="AG292" s="22">
        <v>1.3200400000000001</v>
      </c>
      <c r="AH292" s="22">
        <v>20.8553</v>
      </c>
      <c r="AI292" s="22">
        <v>-1.1142000000000001E-2</v>
      </c>
      <c r="AJ292" s="22">
        <v>282</v>
      </c>
      <c r="AK292" s="22">
        <v>1.3192699999999999</v>
      </c>
      <c r="AL292">
        <f t="shared" si="54"/>
        <v>13.755555555555556</v>
      </c>
      <c r="AM292">
        <f t="shared" si="55"/>
        <v>18.157883555555557</v>
      </c>
      <c r="AP292" s="9"/>
      <c r="AQ292" s="22">
        <v>0.35003699999999999</v>
      </c>
      <c r="AR292" s="22">
        <v>26.2728</v>
      </c>
      <c r="AS292" s="22">
        <v>-1.3632200000000001E-2</v>
      </c>
      <c r="AT292" s="22">
        <v>282</v>
      </c>
      <c r="AU292" s="22">
        <v>0.34936499999999998</v>
      </c>
      <c r="AV292">
        <f t="shared" si="56"/>
        <v>16.829876543209878</v>
      </c>
      <c r="AW292">
        <f t="shared" si="57"/>
        <v>5.8910794955555561</v>
      </c>
      <c r="AX292" s="9"/>
      <c r="AY292" s="22">
        <v>1.3200400000000001</v>
      </c>
      <c r="AZ292" s="22">
        <v>30.031500000000001</v>
      </c>
      <c r="BA292" s="22">
        <v>-1.1157200000000001E-2</v>
      </c>
      <c r="BB292" s="22">
        <v>282</v>
      </c>
      <c r="BC292" s="22">
        <v>1.3192699999999999</v>
      </c>
      <c r="BD292">
        <f t="shared" si="58"/>
        <v>13.77432098765432</v>
      </c>
      <c r="BE292">
        <f t="shared" si="59"/>
        <v>18.182654676543212</v>
      </c>
    </row>
    <row r="293" spans="6:57">
      <c r="F293" s="9"/>
      <c r="G293" s="22">
        <v>0.345001</v>
      </c>
      <c r="H293" s="22">
        <v>7.87941</v>
      </c>
      <c r="I293" s="22">
        <v>-1.35132E-2</v>
      </c>
      <c r="J293" s="22">
        <v>283</v>
      </c>
      <c r="K293" s="22">
        <v>0.34429900000000002</v>
      </c>
      <c r="L293">
        <f t="shared" si="48"/>
        <v>16.682962962962961</v>
      </c>
      <c r="M293">
        <f t="shared" si="49"/>
        <v>5.7556389051851848</v>
      </c>
      <c r="N293" s="9"/>
      <c r="O293" s="22">
        <v>1.32507</v>
      </c>
      <c r="P293" s="22">
        <v>11.638199999999999</v>
      </c>
      <c r="Q293" s="22">
        <v>-1.1087E-2</v>
      </c>
      <c r="R293" s="22">
        <v>283</v>
      </c>
      <c r="S293" s="22">
        <v>1.32446</v>
      </c>
      <c r="T293">
        <f t="shared" si="50"/>
        <v>13.687654320987654</v>
      </c>
      <c r="U293">
        <f t="shared" si="51"/>
        <v>18.13710011111111</v>
      </c>
      <c r="X293" s="9"/>
      <c r="Y293" s="22">
        <v>0.345001</v>
      </c>
      <c r="Z293" s="22">
        <v>17.1066</v>
      </c>
      <c r="AA293" s="22">
        <v>-1.3555899999999999E-2</v>
      </c>
      <c r="AB293" s="22">
        <v>283</v>
      </c>
      <c r="AC293" s="22">
        <v>0.34420800000000001</v>
      </c>
      <c r="AD293">
        <f t="shared" si="52"/>
        <v>16.735679012345678</v>
      </c>
      <c r="AE293">
        <f t="shared" si="53"/>
        <v>5.7738259949382709</v>
      </c>
      <c r="AF293" s="9"/>
      <c r="AG293" s="22">
        <v>1.32507</v>
      </c>
      <c r="AH293" s="22">
        <v>20.865400000000001</v>
      </c>
      <c r="AI293" s="22">
        <v>-1.1087E-2</v>
      </c>
      <c r="AJ293" s="22">
        <v>283</v>
      </c>
      <c r="AK293" s="22">
        <v>1.32385</v>
      </c>
      <c r="AL293">
        <f t="shared" si="54"/>
        <v>13.687654320987654</v>
      </c>
      <c r="AM293">
        <f t="shared" si="55"/>
        <v>18.13710011111111</v>
      </c>
      <c r="AP293" s="9"/>
      <c r="AQ293" s="22">
        <v>0.345001</v>
      </c>
      <c r="AR293" s="22">
        <v>26.282900000000001</v>
      </c>
      <c r="AS293" s="22">
        <v>-1.3644399999999999E-2</v>
      </c>
      <c r="AT293" s="22">
        <v>283</v>
      </c>
      <c r="AU293" s="22">
        <v>0.34429900000000002</v>
      </c>
      <c r="AV293">
        <f t="shared" si="56"/>
        <v>16.844938271604939</v>
      </c>
      <c r="AW293">
        <f t="shared" si="57"/>
        <v>5.8115205486419752</v>
      </c>
      <c r="AX293" s="9"/>
      <c r="AY293" s="22">
        <v>1.32507</v>
      </c>
      <c r="AZ293" s="22">
        <v>30.041599999999999</v>
      </c>
      <c r="BA293" s="22">
        <v>-1.10992E-2</v>
      </c>
      <c r="BB293" s="22">
        <v>283</v>
      </c>
      <c r="BC293" s="22">
        <v>1.32507</v>
      </c>
      <c r="BD293">
        <f t="shared" si="58"/>
        <v>13.702716049382715</v>
      </c>
      <c r="BE293">
        <f t="shared" si="59"/>
        <v>18.157057955555555</v>
      </c>
    </row>
    <row r="294" spans="6:57">
      <c r="F294" s="9"/>
      <c r="G294" s="22">
        <v>0.33996599999999999</v>
      </c>
      <c r="H294" s="22">
        <v>7.8894799999999998</v>
      </c>
      <c r="I294" s="22">
        <v>-1.3510100000000001E-2</v>
      </c>
      <c r="J294" s="22">
        <v>284</v>
      </c>
      <c r="K294" s="22">
        <v>0.33929399999999998</v>
      </c>
      <c r="L294">
        <f t="shared" si="48"/>
        <v>16.679135802469133</v>
      </c>
      <c r="M294">
        <f t="shared" si="49"/>
        <v>5.6703390822222213</v>
      </c>
      <c r="N294" s="9"/>
      <c r="O294" s="22">
        <v>1.3301099999999999</v>
      </c>
      <c r="P294" s="22">
        <v>11.648199999999999</v>
      </c>
      <c r="Q294" s="22">
        <v>-1.10382E-2</v>
      </c>
      <c r="R294" s="22">
        <v>284</v>
      </c>
      <c r="S294" s="22">
        <v>1.32935</v>
      </c>
      <c r="T294">
        <f t="shared" si="50"/>
        <v>13.627407407407405</v>
      </c>
      <c r="U294">
        <f t="shared" si="51"/>
        <v>18.125950866666663</v>
      </c>
      <c r="X294" s="9"/>
      <c r="Y294" s="22">
        <v>0.33996599999999999</v>
      </c>
      <c r="Z294" s="22">
        <v>17.116700000000002</v>
      </c>
      <c r="AA294" s="22">
        <v>-1.35681E-2</v>
      </c>
      <c r="AB294" s="22">
        <v>284</v>
      </c>
      <c r="AC294" s="22">
        <v>0.33929399999999998</v>
      </c>
      <c r="AD294">
        <f t="shared" si="52"/>
        <v>16.750740740740738</v>
      </c>
      <c r="AE294">
        <f t="shared" si="53"/>
        <v>5.6946823266666655</v>
      </c>
      <c r="AF294" s="9"/>
      <c r="AG294" s="22">
        <v>1.3301099999999999</v>
      </c>
      <c r="AH294" s="22">
        <v>20.875499999999999</v>
      </c>
      <c r="AI294" s="22">
        <v>-1.10352E-2</v>
      </c>
      <c r="AJ294" s="22">
        <v>284</v>
      </c>
      <c r="AK294" s="22">
        <v>1.32965</v>
      </c>
      <c r="AL294">
        <f t="shared" si="54"/>
        <v>13.623703703703704</v>
      </c>
      <c r="AM294">
        <f t="shared" si="55"/>
        <v>18.121024533333333</v>
      </c>
      <c r="AP294" s="9"/>
      <c r="AQ294" s="22">
        <v>0.33996599999999999</v>
      </c>
      <c r="AR294" s="22">
        <v>26.292899999999999</v>
      </c>
      <c r="AS294" s="22">
        <v>-1.36536E-2</v>
      </c>
      <c r="AT294" s="22">
        <v>284</v>
      </c>
      <c r="AU294" s="22">
        <v>0.33926400000000001</v>
      </c>
      <c r="AV294">
        <f t="shared" si="56"/>
        <v>16.856296296296296</v>
      </c>
      <c r="AW294">
        <f t="shared" si="57"/>
        <v>5.7305676266666667</v>
      </c>
      <c r="AX294" s="9"/>
      <c r="AY294" s="22">
        <v>1.3301099999999999</v>
      </c>
      <c r="AZ294" s="22">
        <v>30.0517</v>
      </c>
      <c r="BA294" s="22">
        <v>-1.1047400000000001E-2</v>
      </c>
      <c r="BB294" s="22">
        <v>284</v>
      </c>
      <c r="BC294" s="22">
        <v>1.32935</v>
      </c>
      <c r="BD294">
        <f t="shared" si="58"/>
        <v>13.638765432098765</v>
      </c>
      <c r="BE294">
        <f t="shared" si="59"/>
        <v>18.141058288888885</v>
      </c>
    </row>
    <row r="295" spans="6:57">
      <c r="F295" s="9"/>
      <c r="G295" s="22">
        <v>0.33493000000000001</v>
      </c>
      <c r="H295" s="22">
        <v>7.8995499999999996</v>
      </c>
      <c r="I295" s="22">
        <v>-1.3507099999999999E-2</v>
      </c>
      <c r="J295" s="22">
        <v>285</v>
      </c>
      <c r="K295" s="22">
        <v>0.33425899999999997</v>
      </c>
      <c r="L295">
        <f t="shared" si="48"/>
        <v>16.67543209876543</v>
      </c>
      <c r="M295">
        <f t="shared" si="49"/>
        <v>5.5851024728395053</v>
      </c>
      <c r="N295" s="9"/>
      <c r="O295" s="22">
        <v>1.33514</v>
      </c>
      <c r="P295" s="22">
        <v>11.658300000000001</v>
      </c>
      <c r="Q295" s="22">
        <v>-1.0986299999999999E-2</v>
      </c>
      <c r="R295" s="22">
        <v>285</v>
      </c>
      <c r="S295" s="22">
        <v>1.33392</v>
      </c>
      <c r="T295">
        <f t="shared" si="50"/>
        <v>13.563333333333333</v>
      </c>
      <c r="U295">
        <f t="shared" si="51"/>
        <v>18.108948866666665</v>
      </c>
      <c r="X295" s="9"/>
      <c r="Y295" s="22">
        <v>0.33493000000000001</v>
      </c>
      <c r="Z295" s="22">
        <v>17.126799999999999</v>
      </c>
      <c r="AA295" s="22">
        <v>-1.3583400000000001E-2</v>
      </c>
      <c r="AB295" s="22">
        <v>285</v>
      </c>
      <c r="AC295" s="22">
        <v>0.33416699999999999</v>
      </c>
      <c r="AD295">
        <f t="shared" si="52"/>
        <v>16.76962962962963</v>
      </c>
      <c r="AE295">
        <f t="shared" si="53"/>
        <v>5.6166520518518519</v>
      </c>
      <c r="AF295" s="9"/>
      <c r="AG295" s="22">
        <v>1.33514</v>
      </c>
      <c r="AH295" s="22">
        <v>20.8855</v>
      </c>
      <c r="AI295" s="22">
        <v>-1.0977199999999999E-2</v>
      </c>
      <c r="AJ295" s="22">
        <v>285</v>
      </c>
      <c r="AK295" s="22">
        <v>1.33453</v>
      </c>
      <c r="AL295">
        <f t="shared" si="54"/>
        <v>13.552098765432097</v>
      </c>
      <c r="AM295">
        <f t="shared" si="55"/>
        <v>18.093949145679009</v>
      </c>
      <c r="AP295" s="9"/>
      <c r="AQ295" s="22">
        <v>0.33493000000000001</v>
      </c>
      <c r="AR295" s="22">
        <v>26.303000000000001</v>
      </c>
      <c r="AS295" s="22">
        <v>-1.36597E-2</v>
      </c>
      <c r="AT295" s="22">
        <v>285</v>
      </c>
      <c r="AU295" s="22">
        <v>0.33425899999999997</v>
      </c>
      <c r="AV295">
        <f t="shared" si="56"/>
        <v>16.863827160493827</v>
      </c>
      <c r="AW295">
        <f t="shared" si="57"/>
        <v>5.6482016308641976</v>
      </c>
      <c r="AX295" s="9"/>
      <c r="AY295" s="22">
        <v>1.33514</v>
      </c>
      <c r="AZ295" s="22">
        <v>30.061800000000002</v>
      </c>
      <c r="BA295" s="22">
        <v>-1.09955E-2</v>
      </c>
      <c r="BB295" s="22">
        <v>285</v>
      </c>
      <c r="BC295" s="22">
        <v>1.33392</v>
      </c>
      <c r="BD295">
        <f t="shared" si="58"/>
        <v>13.574691358024692</v>
      </c>
      <c r="BE295">
        <f t="shared" si="59"/>
        <v>18.124113419753087</v>
      </c>
    </row>
    <row r="296" spans="6:57">
      <c r="F296" s="9"/>
      <c r="G296" s="22">
        <v>0.32989499999999999</v>
      </c>
      <c r="H296" s="22">
        <v>7.9096299999999999</v>
      </c>
      <c r="I296" s="22">
        <v>-1.3501000000000001E-2</v>
      </c>
      <c r="J296" s="22">
        <v>286</v>
      </c>
      <c r="K296" s="22">
        <v>0.32922400000000002</v>
      </c>
      <c r="L296">
        <f t="shared" si="48"/>
        <v>16.667901234567903</v>
      </c>
      <c r="M296">
        <f t="shared" si="49"/>
        <v>5.4986572777777782</v>
      </c>
      <c r="N296" s="9"/>
      <c r="O296" s="22">
        <v>1.3401799999999999</v>
      </c>
      <c r="P296" s="22">
        <v>11.6684</v>
      </c>
      <c r="Q296" s="22">
        <v>-1.0937499999999999E-2</v>
      </c>
      <c r="R296" s="22">
        <v>286</v>
      </c>
      <c r="S296" s="22">
        <v>1.3388100000000001</v>
      </c>
      <c r="T296">
        <f t="shared" si="50"/>
        <v>13.503086419753084</v>
      </c>
      <c r="U296">
        <f t="shared" si="51"/>
        <v>18.096566358024688</v>
      </c>
      <c r="X296" s="9"/>
      <c r="Y296" s="22">
        <v>0.32989499999999999</v>
      </c>
      <c r="Z296" s="22">
        <v>17.136800000000001</v>
      </c>
      <c r="AA296" s="22">
        <v>-1.35925E-2</v>
      </c>
      <c r="AB296" s="22">
        <v>286</v>
      </c>
      <c r="AC296" s="22">
        <v>0.32925399999999999</v>
      </c>
      <c r="AD296">
        <f t="shared" si="52"/>
        <v>16.780864197530864</v>
      </c>
      <c r="AE296">
        <f t="shared" si="53"/>
        <v>5.535923194444444</v>
      </c>
      <c r="AF296" s="9"/>
      <c r="AG296" s="22">
        <v>1.3401799999999999</v>
      </c>
      <c r="AH296" s="22">
        <v>20.895600000000002</v>
      </c>
      <c r="AI296" s="22">
        <v>-1.09222E-2</v>
      </c>
      <c r="AJ296" s="22">
        <v>286</v>
      </c>
      <c r="AK296" s="22">
        <v>1.33911</v>
      </c>
      <c r="AL296">
        <f t="shared" si="54"/>
        <v>13.484197530864197</v>
      </c>
      <c r="AM296">
        <f t="shared" si="55"/>
        <v>18.071251846913579</v>
      </c>
      <c r="AP296" s="9"/>
      <c r="AQ296" s="22">
        <v>0.32989499999999999</v>
      </c>
      <c r="AR296" s="22">
        <v>26.313099999999999</v>
      </c>
      <c r="AS296" s="22">
        <v>-1.36597E-2</v>
      </c>
      <c r="AT296" s="22">
        <v>286</v>
      </c>
      <c r="AU296" s="22">
        <v>0.32916299999999998</v>
      </c>
      <c r="AV296">
        <f t="shared" si="56"/>
        <v>16.863827160493827</v>
      </c>
      <c r="AW296">
        <f t="shared" si="57"/>
        <v>5.5632922611111111</v>
      </c>
      <c r="AX296" s="9"/>
      <c r="AY296" s="22">
        <v>1.3401799999999999</v>
      </c>
      <c r="AZ296" s="22">
        <v>30.0718</v>
      </c>
      <c r="BA296" s="22">
        <v>-1.09467E-2</v>
      </c>
      <c r="BB296" s="22">
        <v>286</v>
      </c>
      <c r="BC296" s="22">
        <v>1.33911</v>
      </c>
      <c r="BD296">
        <f t="shared" si="58"/>
        <v>13.514444444444443</v>
      </c>
      <c r="BE296">
        <f t="shared" si="59"/>
        <v>18.111788155555551</v>
      </c>
    </row>
    <row r="297" spans="6:57">
      <c r="F297" s="9"/>
      <c r="G297" s="22">
        <v>0.32485999999999998</v>
      </c>
      <c r="H297" s="22">
        <v>7.9196999999999997</v>
      </c>
      <c r="I297" s="22">
        <v>-1.3510100000000001E-2</v>
      </c>
      <c r="J297" s="22">
        <v>287</v>
      </c>
      <c r="K297" s="22">
        <v>0.32418799999999998</v>
      </c>
      <c r="L297">
        <f t="shared" si="48"/>
        <v>16.679135802469133</v>
      </c>
      <c r="M297">
        <f t="shared" si="49"/>
        <v>5.4183840567901225</v>
      </c>
      <c r="N297" s="9"/>
      <c r="O297" s="22">
        <v>1.34521</v>
      </c>
      <c r="P297" s="22">
        <v>11.6785</v>
      </c>
      <c r="Q297" s="22">
        <v>-1.0855099999999999E-2</v>
      </c>
      <c r="R297" s="22">
        <v>287</v>
      </c>
      <c r="S297" s="22">
        <v>1.34399</v>
      </c>
      <c r="T297">
        <f t="shared" si="50"/>
        <v>13.401358024691357</v>
      </c>
      <c r="U297">
        <f t="shared" si="51"/>
        <v>18.027640828395061</v>
      </c>
      <c r="X297" s="9"/>
      <c r="Y297" s="22">
        <v>0.32485999999999998</v>
      </c>
      <c r="Z297" s="22">
        <v>17.146899999999999</v>
      </c>
      <c r="AA297" s="22">
        <v>-1.3604700000000001E-2</v>
      </c>
      <c r="AB297" s="22">
        <v>287</v>
      </c>
      <c r="AC297" s="22">
        <v>0.32418799999999998</v>
      </c>
      <c r="AD297">
        <f t="shared" si="52"/>
        <v>16.795925925925925</v>
      </c>
      <c r="AE297">
        <f t="shared" si="53"/>
        <v>5.456324496296296</v>
      </c>
      <c r="AF297" s="9"/>
      <c r="AG297" s="22">
        <v>1.34521</v>
      </c>
      <c r="AH297" s="22">
        <v>20.9057</v>
      </c>
      <c r="AI297" s="22">
        <v>-1.0870400000000001E-2</v>
      </c>
      <c r="AJ297" s="22">
        <v>287</v>
      </c>
      <c r="AK297" s="22">
        <v>1.34399</v>
      </c>
      <c r="AL297">
        <f t="shared" si="54"/>
        <v>13.420246913580247</v>
      </c>
      <c r="AM297">
        <f t="shared" si="55"/>
        <v>18.053050350617283</v>
      </c>
      <c r="AP297" s="9"/>
      <c r="AQ297" s="22">
        <v>0.32485999999999998</v>
      </c>
      <c r="AR297" s="22">
        <v>26.3231</v>
      </c>
      <c r="AS297" s="22">
        <v>-1.36627E-2</v>
      </c>
      <c r="AT297" s="22">
        <v>287</v>
      </c>
      <c r="AU297" s="22">
        <v>0.324158</v>
      </c>
      <c r="AV297">
        <f t="shared" si="56"/>
        <v>16.86753086419753</v>
      </c>
      <c r="AW297">
        <f t="shared" si="57"/>
        <v>5.4795860765432094</v>
      </c>
      <c r="AX297" s="9"/>
      <c r="AY297" s="22">
        <v>1.34521</v>
      </c>
      <c r="AZ297" s="22">
        <v>30.081900000000001</v>
      </c>
      <c r="BA297" s="22">
        <v>-1.0891700000000001E-2</v>
      </c>
      <c r="BB297" s="22">
        <v>287</v>
      </c>
      <c r="BC297" s="22">
        <v>1.3443000000000001</v>
      </c>
      <c r="BD297">
        <f t="shared" si="58"/>
        <v>13.446543209876543</v>
      </c>
      <c r="BE297">
        <f t="shared" si="59"/>
        <v>18.088424391358025</v>
      </c>
    </row>
    <row r="298" spans="6:57">
      <c r="F298" s="9"/>
      <c r="G298" s="22">
        <v>0.319824</v>
      </c>
      <c r="H298" s="22">
        <v>7.9297700000000004</v>
      </c>
      <c r="I298" s="22">
        <v>-1.3516200000000001E-2</v>
      </c>
      <c r="J298" s="22">
        <v>288</v>
      </c>
      <c r="K298" s="22">
        <v>0.31909199999999999</v>
      </c>
      <c r="L298">
        <f t="shared" si="48"/>
        <v>16.686666666666664</v>
      </c>
      <c r="M298">
        <f t="shared" si="49"/>
        <v>5.3367964799999994</v>
      </c>
      <c r="N298" s="9"/>
      <c r="O298" s="22">
        <v>1.35025</v>
      </c>
      <c r="P298" s="22">
        <v>11.688499999999999</v>
      </c>
      <c r="Q298" s="22">
        <v>-1.0803200000000001E-2</v>
      </c>
      <c r="R298" s="22">
        <v>288</v>
      </c>
      <c r="S298" s="22">
        <v>1.3494900000000001</v>
      </c>
      <c r="T298">
        <f t="shared" si="50"/>
        <v>13.337283950617284</v>
      </c>
      <c r="U298">
        <f t="shared" si="51"/>
        <v>18.008667654320988</v>
      </c>
      <c r="X298" s="9"/>
      <c r="Y298" s="22">
        <v>0.319824</v>
      </c>
      <c r="Z298" s="22">
        <v>17.157</v>
      </c>
      <c r="AA298" s="22">
        <v>-1.3623E-2</v>
      </c>
      <c r="AB298" s="22">
        <v>288</v>
      </c>
      <c r="AC298" s="22">
        <v>0.31909199999999999</v>
      </c>
      <c r="AD298">
        <f t="shared" si="52"/>
        <v>16.818518518518516</v>
      </c>
      <c r="AE298">
        <f t="shared" si="53"/>
        <v>5.3789658666666655</v>
      </c>
      <c r="AF298" s="9"/>
      <c r="AG298" s="22">
        <v>1.35025</v>
      </c>
      <c r="AH298" s="22">
        <v>20.915700000000001</v>
      </c>
      <c r="AI298" s="22">
        <v>-1.0803200000000001E-2</v>
      </c>
      <c r="AJ298" s="22">
        <v>288</v>
      </c>
      <c r="AK298" s="22">
        <v>1.34979</v>
      </c>
      <c r="AL298">
        <f t="shared" si="54"/>
        <v>13.337283950617284</v>
      </c>
      <c r="AM298">
        <f t="shared" si="55"/>
        <v>18.008667654320988</v>
      </c>
      <c r="AP298" s="9"/>
      <c r="AQ298" s="22">
        <v>0.319824</v>
      </c>
      <c r="AR298" s="22">
        <v>26.333200000000001</v>
      </c>
      <c r="AS298" s="22">
        <v>-1.3665800000000001E-2</v>
      </c>
      <c r="AT298" s="22">
        <v>288</v>
      </c>
      <c r="AU298" s="22">
        <v>0.31912200000000002</v>
      </c>
      <c r="AV298">
        <f t="shared" si="56"/>
        <v>16.871358024691357</v>
      </c>
      <c r="AW298">
        <f t="shared" si="57"/>
        <v>5.395865208888889</v>
      </c>
      <c r="AX298" s="9"/>
      <c r="AY298" s="22">
        <v>1.35025</v>
      </c>
      <c r="AZ298" s="22">
        <v>30.091999999999999</v>
      </c>
      <c r="BA298" s="22">
        <v>-1.08307E-2</v>
      </c>
      <c r="BB298" s="22">
        <v>288</v>
      </c>
      <c r="BC298" s="22">
        <v>1.34918</v>
      </c>
      <c r="BD298">
        <f t="shared" si="58"/>
        <v>13.371234567901235</v>
      </c>
      <c r="BE298">
        <f t="shared" si="59"/>
        <v>18.054509475308642</v>
      </c>
    </row>
    <row r="299" spans="6:57">
      <c r="F299" s="9"/>
      <c r="G299" s="22">
        <v>0.31478899999999999</v>
      </c>
      <c r="H299" s="22">
        <v>7.9398400000000002</v>
      </c>
      <c r="I299" s="22">
        <v>-1.3528399999999999E-2</v>
      </c>
      <c r="J299" s="22">
        <v>289</v>
      </c>
      <c r="K299" s="22">
        <v>0.31411699999999998</v>
      </c>
      <c r="L299">
        <f t="shared" si="48"/>
        <v>16.701728395061725</v>
      </c>
      <c r="M299">
        <f t="shared" si="49"/>
        <v>5.2575203797530854</v>
      </c>
      <c r="N299" s="9"/>
      <c r="O299" s="22">
        <v>1.3552900000000001</v>
      </c>
      <c r="P299" s="22">
        <v>11.698600000000001</v>
      </c>
      <c r="Q299" s="22">
        <v>-1.0726899999999999E-2</v>
      </c>
      <c r="R299" s="22">
        <v>289</v>
      </c>
      <c r="S299" s="22">
        <v>1.3537600000000001</v>
      </c>
      <c r="T299">
        <f t="shared" si="50"/>
        <v>13.243086419753084</v>
      </c>
      <c r="U299">
        <f t="shared" si="51"/>
        <v>17.948222593827158</v>
      </c>
      <c r="X299" s="9"/>
      <c r="Y299" s="22">
        <v>0.31478899999999999</v>
      </c>
      <c r="Z299" s="22">
        <v>17.167000000000002</v>
      </c>
      <c r="AA299" s="22">
        <v>-1.3638300000000001E-2</v>
      </c>
      <c r="AB299" s="22">
        <v>289</v>
      </c>
      <c r="AC299" s="22">
        <v>0.31408700000000001</v>
      </c>
      <c r="AD299">
        <f t="shared" si="52"/>
        <v>16.837407407407408</v>
      </c>
      <c r="AE299">
        <f t="shared" si="53"/>
        <v>5.3002306403703701</v>
      </c>
      <c r="AF299" s="9"/>
      <c r="AG299" s="22">
        <v>1.3552900000000001</v>
      </c>
      <c r="AH299" s="22">
        <v>20.925799999999999</v>
      </c>
      <c r="AI299" s="22">
        <v>-1.07391E-2</v>
      </c>
      <c r="AJ299" s="22">
        <v>289</v>
      </c>
      <c r="AK299" s="22">
        <v>1.3543700000000001</v>
      </c>
      <c r="AL299">
        <f t="shared" si="54"/>
        <v>13.258148148148148</v>
      </c>
      <c r="AM299">
        <f t="shared" si="55"/>
        <v>17.968635603703706</v>
      </c>
      <c r="AP299" s="9"/>
      <c r="AQ299" s="22">
        <v>0.31478899999999999</v>
      </c>
      <c r="AR299" s="22">
        <v>26.343299999999999</v>
      </c>
      <c r="AS299" s="22">
        <v>-1.36597E-2</v>
      </c>
      <c r="AT299" s="22">
        <v>289</v>
      </c>
      <c r="AU299" s="22">
        <v>0.31402600000000003</v>
      </c>
      <c r="AV299">
        <f t="shared" si="56"/>
        <v>16.863827160493827</v>
      </c>
      <c r="AW299">
        <f t="shared" si="57"/>
        <v>5.3085472880246911</v>
      </c>
      <c r="AX299" s="9"/>
      <c r="AY299" s="22">
        <v>1.3552900000000001</v>
      </c>
      <c r="AZ299" s="22">
        <v>30.102</v>
      </c>
      <c r="BA299" s="22">
        <v>-1.0760499999999999E-2</v>
      </c>
      <c r="BB299" s="22">
        <v>289</v>
      </c>
      <c r="BC299" s="22">
        <v>1.3543700000000001</v>
      </c>
      <c r="BD299">
        <f t="shared" si="58"/>
        <v>13.284567901234567</v>
      </c>
      <c r="BE299">
        <f t="shared" si="59"/>
        <v>18.004442030864197</v>
      </c>
    </row>
    <row r="300" spans="6:57">
      <c r="F300" s="9"/>
      <c r="G300" s="22">
        <v>0.309753</v>
      </c>
      <c r="H300" s="22">
        <v>7.94991</v>
      </c>
      <c r="I300" s="22">
        <v>-1.35376E-2</v>
      </c>
      <c r="J300" s="22">
        <v>290</v>
      </c>
      <c r="K300" s="22">
        <v>0.30905199999999999</v>
      </c>
      <c r="L300">
        <f t="shared" si="48"/>
        <v>16.713086419753086</v>
      </c>
      <c r="M300">
        <f t="shared" si="49"/>
        <v>5.1769286577777773</v>
      </c>
      <c r="N300" s="9"/>
      <c r="O300" s="22">
        <v>1.36032</v>
      </c>
      <c r="P300" s="22">
        <v>11.7087</v>
      </c>
      <c r="Q300" s="22">
        <v>-1.06628E-2</v>
      </c>
      <c r="R300" s="22">
        <v>290</v>
      </c>
      <c r="S300" s="22">
        <v>1.3595600000000001</v>
      </c>
      <c r="T300">
        <f t="shared" si="50"/>
        <v>13.16395061728395</v>
      </c>
      <c r="U300">
        <f t="shared" si="51"/>
        <v>17.907185303703702</v>
      </c>
      <c r="X300" s="9"/>
      <c r="Y300" s="22">
        <v>0.309753</v>
      </c>
      <c r="Z300" s="22">
        <v>17.177099999999999</v>
      </c>
      <c r="AA300" s="22">
        <v>-1.36536E-2</v>
      </c>
      <c r="AB300" s="22">
        <v>290</v>
      </c>
      <c r="AC300" s="22">
        <v>0.30905199999999999</v>
      </c>
      <c r="AD300">
        <f t="shared" si="52"/>
        <v>16.856296296296296</v>
      </c>
      <c r="AE300">
        <f t="shared" si="53"/>
        <v>5.2212883466666664</v>
      </c>
      <c r="AF300" s="9"/>
      <c r="AG300" s="22">
        <v>1.36032</v>
      </c>
      <c r="AH300" s="22">
        <v>20.9359</v>
      </c>
      <c r="AI300" s="22">
        <v>-1.0671999999999999E-2</v>
      </c>
      <c r="AJ300" s="22">
        <v>290</v>
      </c>
      <c r="AK300" s="22">
        <v>1.3592500000000001</v>
      </c>
      <c r="AL300">
        <f t="shared" si="54"/>
        <v>13.175308641975306</v>
      </c>
      <c r="AM300">
        <f t="shared" si="55"/>
        <v>17.922635851851847</v>
      </c>
      <c r="AP300" s="9"/>
      <c r="AQ300" s="22">
        <v>0.309753</v>
      </c>
      <c r="AR300" s="22">
        <v>26.353300000000001</v>
      </c>
      <c r="AS300" s="22">
        <v>-1.36566E-2</v>
      </c>
      <c r="AT300" s="22">
        <v>290</v>
      </c>
      <c r="AU300" s="22">
        <v>0.30902099999999999</v>
      </c>
      <c r="AV300">
        <f t="shared" si="56"/>
        <v>16.86</v>
      </c>
      <c r="AW300">
        <f t="shared" si="57"/>
        <v>5.22243558</v>
      </c>
      <c r="AX300" s="9"/>
      <c r="AY300" s="22">
        <v>1.36032</v>
      </c>
      <c r="AZ300" s="22">
        <v>30.112100000000002</v>
      </c>
      <c r="BA300" s="22">
        <v>-1.0699500000000001E-2</v>
      </c>
      <c r="BB300" s="22">
        <v>290</v>
      </c>
      <c r="BC300" s="22">
        <v>1.3592500000000001</v>
      </c>
      <c r="BD300">
        <f t="shared" si="58"/>
        <v>13.209259259259259</v>
      </c>
      <c r="BE300">
        <f t="shared" si="59"/>
        <v>17.968819555555555</v>
      </c>
    </row>
    <row r="301" spans="6:57">
      <c r="F301" s="9"/>
      <c r="G301" s="22">
        <v>0.30471799999999999</v>
      </c>
      <c r="H301" s="22">
        <v>7.9599799999999998</v>
      </c>
      <c r="I301" s="22">
        <v>-1.3549800000000001E-2</v>
      </c>
      <c r="J301" s="22">
        <v>291</v>
      </c>
      <c r="K301" s="22">
        <v>0.30404700000000001</v>
      </c>
      <c r="L301">
        <f t="shared" si="48"/>
        <v>16.728148148148147</v>
      </c>
      <c r="M301">
        <f t="shared" si="49"/>
        <v>5.0973678474074067</v>
      </c>
      <c r="N301" s="9"/>
      <c r="O301" s="22">
        <v>1.3653599999999999</v>
      </c>
      <c r="P301" s="22">
        <v>11.7187</v>
      </c>
      <c r="Q301" s="22">
        <v>-1.06201E-2</v>
      </c>
      <c r="R301" s="22">
        <v>291</v>
      </c>
      <c r="S301" s="22">
        <v>1.3647499999999999</v>
      </c>
      <c r="T301">
        <f t="shared" si="50"/>
        <v>13.111234567901235</v>
      </c>
      <c r="U301">
        <f t="shared" si="51"/>
        <v>17.901555229629629</v>
      </c>
      <c r="X301" s="9"/>
      <c r="Y301" s="22">
        <v>0.30471799999999999</v>
      </c>
      <c r="Z301" s="22">
        <v>17.187200000000001</v>
      </c>
      <c r="AA301" s="22">
        <v>-1.36566E-2</v>
      </c>
      <c r="AB301" s="22">
        <v>291</v>
      </c>
      <c r="AC301" s="22">
        <v>0.30404700000000001</v>
      </c>
      <c r="AD301">
        <f t="shared" si="52"/>
        <v>16.86</v>
      </c>
      <c r="AE301">
        <f t="shared" si="53"/>
        <v>5.13754548</v>
      </c>
      <c r="AF301" s="9"/>
      <c r="AG301" s="22">
        <v>1.3653599999999999</v>
      </c>
      <c r="AH301" s="22">
        <v>20.946000000000002</v>
      </c>
      <c r="AI301" s="22">
        <v>-1.06079E-2</v>
      </c>
      <c r="AJ301" s="22">
        <v>291</v>
      </c>
      <c r="AK301" s="22">
        <v>1.3638300000000001</v>
      </c>
      <c r="AL301">
        <f t="shared" si="54"/>
        <v>13.096172839506172</v>
      </c>
      <c r="AM301">
        <f t="shared" si="55"/>
        <v>17.880990548148148</v>
      </c>
      <c r="AP301" s="9"/>
      <c r="AQ301" s="22">
        <v>0.30471799999999999</v>
      </c>
      <c r="AR301" s="22">
        <v>26.363399999999999</v>
      </c>
      <c r="AS301" s="22">
        <v>-1.36566E-2</v>
      </c>
      <c r="AT301" s="22">
        <v>291</v>
      </c>
      <c r="AU301" s="22">
        <v>0.30401600000000001</v>
      </c>
      <c r="AV301">
        <f t="shared" si="56"/>
        <v>16.86</v>
      </c>
      <c r="AW301">
        <f t="shared" si="57"/>
        <v>5.13754548</v>
      </c>
      <c r="AX301" s="9"/>
      <c r="AY301" s="22">
        <v>1.3653599999999999</v>
      </c>
      <c r="AZ301" s="22">
        <v>30.122199999999999</v>
      </c>
      <c r="BA301" s="22">
        <v>-1.06415E-2</v>
      </c>
      <c r="BB301" s="22">
        <v>291</v>
      </c>
      <c r="BC301" s="22">
        <v>1.3644400000000001</v>
      </c>
      <c r="BD301">
        <f t="shared" si="58"/>
        <v>13.137654320987654</v>
      </c>
      <c r="BE301">
        <f t="shared" si="59"/>
        <v>17.937627703703701</v>
      </c>
    </row>
    <row r="302" spans="6:57">
      <c r="F302" s="9"/>
      <c r="G302" s="22">
        <v>0.29968299999999998</v>
      </c>
      <c r="H302" s="22">
        <v>7.9700499999999996</v>
      </c>
      <c r="I302" s="22">
        <v>-1.35681E-2</v>
      </c>
      <c r="J302" s="22">
        <v>292</v>
      </c>
      <c r="K302" s="22">
        <v>0.29901100000000003</v>
      </c>
      <c r="L302">
        <f t="shared" si="48"/>
        <v>16.750740740740738</v>
      </c>
      <c r="M302">
        <f t="shared" si="49"/>
        <v>5.0199122374074063</v>
      </c>
      <c r="N302" s="9"/>
      <c r="O302" s="22">
        <v>1.37039</v>
      </c>
      <c r="P302" s="22">
        <v>11.7288</v>
      </c>
      <c r="Q302" s="22">
        <v>-1.05103E-2</v>
      </c>
      <c r="R302" s="22">
        <v>292</v>
      </c>
      <c r="S302" s="22">
        <v>1.3690199999999999</v>
      </c>
      <c r="T302">
        <f t="shared" si="50"/>
        <v>12.97567901234568</v>
      </c>
      <c r="U302">
        <f t="shared" si="51"/>
        <v>17.781740761728397</v>
      </c>
      <c r="X302" s="9"/>
      <c r="Y302" s="22">
        <v>0.29968299999999998</v>
      </c>
      <c r="Z302" s="22">
        <v>17.197299999999998</v>
      </c>
      <c r="AA302" s="22">
        <v>-1.36597E-2</v>
      </c>
      <c r="AB302" s="22">
        <v>292</v>
      </c>
      <c r="AC302" s="22">
        <v>0.298981</v>
      </c>
      <c r="AD302">
        <f t="shared" si="52"/>
        <v>16.863827160493827</v>
      </c>
      <c r="AE302">
        <f t="shared" si="53"/>
        <v>5.0538023149382711</v>
      </c>
      <c r="AF302" s="9"/>
      <c r="AG302" s="22">
        <v>1.37039</v>
      </c>
      <c r="AH302" s="22">
        <v>20.956</v>
      </c>
      <c r="AI302" s="22">
        <v>-1.05469E-2</v>
      </c>
      <c r="AJ302" s="22">
        <v>292</v>
      </c>
      <c r="AK302" s="22">
        <v>1.3696299999999999</v>
      </c>
      <c r="AL302">
        <f t="shared" si="54"/>
        <v>13.020864197530864</v>
      </c>
      <c r="AM302">
        <f t="shared" si="55"/>
        <v>17.843662087654319</v>
      </c>
      <c r="AP302" s="9"/>
      <c r="AQ302" s="22">
        <v>0.29968299999999998</v>
      </c>
      <c r="AR302" s="22">
        <v>26.3735</v>
      </c>
      <c r="AS302" s="22">
        <v>-1.3665800000000001E-2</v>
      </c>
      <c r="AT302" s="22">
        <v>292</v>
      </c>
      <c r="AU302" s="22">
        <v>0.298981</v>
      </c>
      <c r="AV302">
        <f t="shared" si="56"/>
        <v>16.871358024691357</v>
      </c>
      <c r="AW302">
        <f t="shared" si="57"/>
        <v>5.05605918691358</v>
      </c>
      <c r="AX302" s="9"/>
      <c r="AY302" s="22">
        <v>1.37039</v>
      </c>
      <c r="AZ302" s="22">
        <v>30.132300000000001</v>
      </c>
      <c r="BA302" s="22">
        <v>-1.0577400000000001E-2</v>
      </c>
      <c r="BB302" s="22">
        <v>292</v>
      </c>
      <c r="BC302" s="22">
        <v>1.3696299999999999</v>
      </c>
      <c r="BD302">
        <f t="shared" si="58"/>
        <v>13.058518518518518</v>
      </c>
      <c r="BE302">
        <f t="shared" si="59"/>
        <v>17.895263192592591</v>
      </c>
    </row>
    <row r="303" spans="6:57">
      <c r="F303" s="9"/>
      <c r="G303" s="22">
        <v>0.29464699999999999</v>
      </c>
      <c r="H303" s="22">
        <v>7.9801200000000003</v>
      </c>
      <c r="I303" s="22">
        <v>-1.35712E-2</v>
      </c>
      <c r="J303" s="22">
        <v>293</v>
      </c>
      <c r="K303" s="22">
        <v>0.29394500000000001</v>
      </c>
      <c r="L303">
        <f t="shared" si="48"/>
        <v>16.754567901234566</v>
      </c>
      <c r="M303">
        <f t="shared" si="49"/>
        <v>4.9366831683950609</v>
      </c>
      <c r="N303" s="9"/>
      <c r="O303" s="22">
        <v>1.3754299999999999</v>
      </c>
      <c r="P303" s="22">
        <v>11.738899999999999</v>
      </c>
      <c r="Q303" s="22">
        <v>-1.0495000000000001E-2</v>
      </c>
      <c r="R303" s="22">
        <v>293</v>
      </c>
      <c r="S303" s="22">
        <v>1.3745099999999999</v>
      </c>
      <c r="T303">
        <f t="shared" si="50"/>
        <v>12.956790123456791</v>
      </c>
      <c r="U303">
        <f t="shared" si="51"/>
        <v>17.821157839506174</v>
      </c>
      <c r="X303" s="9"/>
      <c r="Y303" s="22">
        <v>0.29464699999999999</v>
      </c>
      <c r="Z303" s="22">
        <v>17.2073</v>
      </c>
      <c r="AA303" s="22">
        <v>-1.36597E-2</v>
      </c>
      <c r="AB303" s="22">
        <v>293</v>
      </c>
      <c r="AC303" s="22">
        <v>0.29391499999999998</v>
      </c>
      <c r="AD303">
        <f t="shared" si="52"/>
        <v>16.863827160493827</v>
      </c>
      <c r="AE303">
        <f t="shared" si="53"/>
        <v>4.9688760813580242</v>
      </c>
      <c r="AF303" s="9"/>
      <c r="AG303" s="22">
        <v>1.3754299999999999</v>
      </c>
      <c r="AH303" s="22">
        <v>20.966100000000001</v>
      </c>
      <c r="AI303" s="22">
        <v>-1.04858E-2</v>
      </c>
      <c r="AJ303" s="22">
        <v>293</v>
      </c>
      <c r="AK303" s="22">
        <v>1.3745099999999999</v>
      </c>
      <c r="AL303">
        <f t="shared" si="54"/>
        <v>12.945432098765432</v>
      </c>
      <c r="AM303">
        <f t="shared" si="55"/>
        <v>17.805535671604936</v>
      </c>
      <c r="AP303" s="9"/>
      <c r="AQ303" s="22">
        <v>0.29464699999999999</v>
      </c>
      <c r="AR303" s="22">
        <v>26.383600000000001</v>
      </c>
      <c r="AS303" s="22">
        <v>-1.36688E-2</v>
      </c>
      <c r="AT303" s="22">
        <v>293</v>
      </c>
      <c r="AU303" s="22">
        <v>0.29397600000000002</v>
      </c>
      <c r="AV303">
        <f t="shared" si="56"/>
        <v>16.87506172839506</v>
      </c>
      <c r="AW303">
        <f t="shared" si="57"/>
        <v>4.9721863130864188</v>
      </c>
      <c r="AX303" s="9"/>
      <c r="AY303" s="22">
        <v>1.3754299999999999</v>
      </c>
      <c r="AZ303" s="22">
        <v>30.142299999999999</v>
      </c>
      <c r="BA303" s="22">
        <v>-1.05164E-2</v>
      </c>
      <c r="BB303" s="22">
        <v>293</v>
      </c>
      <c r="BC303" s="22">
        <v>1.3745099999999999</v>
      </c>
      <c r="BD303">
        <f t="shared" si="58"/>
        <v>12.98320987654321</v>
      </c>
      <c r="BE303">
        <f t="shared" si="59"/>
        <v>17.857496360493826</v>
      </c>
    </row>
    <row r="304" spans="6:57">
      <c r="F304" s="9"/>
      <c r="G304" s="22">
        <v>0.28961199999999998</v>
      </c>
      <c r="H304" s="22">
        <v>7.9901900000000001</v>
      </c>
      <c r="I304" s="22">
        <v>-1.35803E-2</v>
      </c>
      <c r="J304" s="22">
        <v>294</v>
      </c>
      <c r="K304" s="22">
        <v>0.28893999999999997</v>
      </c>
      <c r="L304">
        <f t="shared" si="48"/>
        <v>16.765802469135803</v>
      </c>
      <c r="M304">
        <f t="shared" si="49"/>
        <v>4.8555775846913578</v>
      </c>
      <c r="N304" s="9"/>
      <c r="O304" s="22">
        <v>1.38046</v>
      </c>
      <c r="P304" s="22">
        <v>11.749000000000001</v>
      </c>
      <c r="Q304" s="22">
        <v>-1.04279E-2</v>
      </c>
      <c r="R304" s="22">
        <v>294</v>
      </c>
      <c r="S304" s="22">
        <v>1.3803099999999999</v>
      </c>
      <c r="T304">
        <f t="shared" si="50"/>
        <v>12.873950617283951</v>
      </c>
      <c r="U304">
        <f t="shared" si="51"/>
        <v>17.771973869135802</v>
      </c>
      <c r="X304" s="9"/>
      <c r="Y304" s="22">
        <v>0.28961199999999998</v>
      </c>
      <c r="Z304" s="22">
        <v>17.217400000000001</v>
      </c>
      <c r="AA304" s="22">
        <v>-1.36597E-2</v>
      </c>
      <c r="AB304" s="22">
        <v>294</v>
      </c>
      <c r="AC304" s="22">
        <v>0.288879</v>
      </c>
      <c r="AD304">
        <f t="shared" si="52"/>
        <v>16.863827160493827</v>
      </c>
      <c r="AE304">
        <f t="shared" si="53"/>
        <v>4.8839667116049377</v>
      </c>
      <c r="AF304" s="9"/>
      <c r="AG304" s="22">
        <v>1.38046</v>
      </c>
      <c r="AH304" s="22">
        <v>20.976199999999999</v>
      </c>
      <c r="AI304" s="22">
        <v>-1.0418699999999999E-2</v>
      </c>
      <c r="AJ304" s="22">
        <v>294</v>
      </c>
      <c r="AK304" s="22">
        <v>1.3796999999999999</v>
      </c>
      <c r="AL304">
        <f t="shared" si="54"/>
        <v>12.862592592592591</v>
      </c>
      <c r="AM304">
        <f t="shared" si="55"/>
        <v>17.756294570370368</v>
      </c>
      <c r="AP304" s="9"/>
      <c r="AQ304" s="22">
        <v>0.28961199999999998</v>
      </c>
      <c r="AR304" s="22">
        <v>26.393599999999999</v>
      </c>
      <c r="AS304" s="22">
        <v>-1.3671900000000001E-2</v>
      </c>
      <c r="AT304" s="22">
        <v>294</v>
      </c>
      <c r="AU304" s="22">
        <v>0.288879</v>
      </c>
      <c r="AV304">
        <f t="shared" si="56"/>
        <v>16.878888888888888</v>
      </c>
      <c r="AW304">
        <f t="shared" si="57"/>
        <v>4.8883287688888881</v>
      </c>
      <c r="AX304" s="9"/>
      <c r="AY304" s="22">
        <v>1.38046</v>
      </c>
      <c r="AZ304" s="22">
        <v>30.1524</v>
      </c>
      <c r="BA304" s="22">
        <v>-1.0446199999999999E-2</v>
      </c>
      <c r="BB304" s="22">
        <v>294</v>
      </c>
      <c r="BC304" s="22">
        <v>1.38</v>
      </c>
      <c r="BD304">
        <f t="shared" si="58"/>
        <v>12.896543209876542</v>
      </c>
      <c r="BE304">
        <f t="shared" si="59"/>
        <v>17.803162039506173</v>
      </c>
    </row>
    <row r="305" spans="6:57">
      <c r="F305" s="9"/>
      <c r="G305" s="22">
        <v>0.284576</v>
      </c>
      <c r="H305" s="22">
        <v>8.0002600000000008</v>
      </c>
      <c r="I305" s="22">
        <v>-1.35803E-2</v>
      </c>
      <c r="J305" s="22">
        <v>295</v>
      </c>
      <c r="K305" s="22">
        <v>0.283966</v>
      </c>
      <c r="L305">
        <f t="shared" si="48"/>
        <v>16.765802469135803</v>
      </c>
      <c r="M305">
        <f t="shared" si="49"/>
        <v>4.7711450034567902</v>
      </c>
      <c r="N305" s="9"/>
      <c r="O305" s="22">
        <v>1.3855</v>
      </c>
      <c r="P305" s="22">
        <v>11.759</v>
      </c>
      <c r="Q305" s="22">
        <v>-1.03607E-2</v>
      </c>
      <c r="R305" s="22">
        <v>295</v>
      </c>
      <c r="S305" s="22">
        <v>1.3845799999999999</v>
      </c>
      <c r="T305">
        <f t="shared" si="50"/>
        <v>12.790987654320988</v>
      </c>
      <c r="U305">
        <f t="shared" si="51"/>
        <v>17.72191339506173</v>
      </c>
      <c r="X305" s="9"/>
      <c r="Y305" s="22">
        <v>0.284576</v>
      </c>
      <c r="Z305" s="22">
        <v>17.227499999999999</v>
      </c>
      <c r="AA305" s="22">
        <v>-1.36627E-2</v>
      </c>
      <c r="AB305" s="22">
        <v>295</v>
      </c>
      <c r="AC305" s="22">
        <v>0.28384399999999999</v>
      </c>
      <c r="AD305">
        <f t="shared" si="52"/>
        <v>16.86753086419753</v>
      </c>
      <c r="AE305">
        <f t="shared" si="53"/>
        <v>4.8000944632098763</v>
      </c>
      <c r="AF305" s="9"/>
      <c r="AG305" s="22">
        <v>1.3855</v>
      </c>
      <c r="AH305" s="22">
        <v>20.9862</v>
      </c>
      <c r="AI305" s="22">
        <v>-1.0351600000000001E-2</v>
      </c>
      <c r="AJ305" s="22">
        <v>295</v>
      </c>
      <c r="AK305" s="22">
        <v>1.38489</v>
      </c>
      <c r="AL305">
        <f t="shared" si="54"/>
        <v>12.779753086419753</v>
      </c>
      <c r="AM305">
        <f t="shared" si="55"/>
        <v>17.706347901234565</v>
      </c>
      <c r="AP305" s="9"/>
      <c r="AQ305" s="22">
        <v>0.284576</v>
      </c>
      <c r="AR305" s="22">
        <v>26.403700000000001</v>
      </c>
      <c r="AS305" s="22">
        <v>-1.36749E-2</v>
      </c>
      <c r="AT305" s="22">
        <v>295</v>
      </c>
      <c r="AU305" s="22">
        <v>0.28387499999999999</v>
      </c>
      <c r="AV305">
        <f t="shared" si="56"/>
        <v>16.882592592592591</v>
      </c>
      <c r="AW305">
        <f t="shared" si="57"/>
        <v>4.8043806696296292</v>
      </c>
      <c r="AX305" s="9"/>
      <c r="AY305" s="22">
        <v>1.3855</v>
      </c>
      <c r="AZ305" s="22">
        <v>30.162500000000001</v>
      </c>
      <c r="BA305" s="22">
        <v>-1.0376E-2</v>
      </c>
      <c r="BB305" s="22">
        <v>295</v>
      </c>
      <c r="BC305" s="22">
        <v>1.3845799999999999</v>
      </c>
      <c r="BD305">
        <f t="shared" si="58"/>
        <v>12.809876543209876</v>
      </c>
      <c r="BE305">
        <f t="shared" si="59"/>
        <v>17.748083950617282</v>
      </c>
    </row>
    <row r="306" spans="6:57">
      <c r="F306" s="9"/>
      <c r="G306" s="22">
        <v>0.27954099999999998</v>
      </c>
      <c r="H306" s="22">
        <v>8.0103399999999993</v>
      </c>
      <c r="I306" s="22">
        <v>-1.3583400000000001E-2</v>
      </c>
      <c r="J306" s="22">
        <v>296</v>
      </c>
      <c r="K306" s="22">
        <v>0.27887000000000001</v>
      </c>
      <c r="L306">
        <f t="shared" si="48"/>
        <v>16.76962962962963</v>
      </c>
      <c r="M306">
        <f t="shared" si="49"/>
        <v>4.6877990362962958</v>
      </c>
      <c r="N306" s="9"/>
      <c r="O306" s="22">
        <v>1.39053</v>
      </c>
      <c r="P306" s="22">
        <v>11.7691</v>
      </c>
      <c r="Q306" s="22">
        <v>-1.02875E-2</v>
      </c>
      <c r="R306" s="22">
        <v>296</v>
      </c>
      <c r="S306" s="22">
        <v>1.3897699999999999</v>
      </c>
      <c r="T306">
        <f t="shared" si="50"/>
        <v>12.700617283950615</v>
      </c>
      <c r="U306">
        <f t="shared" si="51"/>
        <v>17.660589351851851</v>
      </c>
      <c r="X306" s="9"/>
      <c r="Y306" s="22">
        <v>0.27954099999999998</v>
      </c>
      <c r="Z306" s="22">
        <v>17.237500000000001</v>
      </c>
      <c r="AA306" s="22">
        <v>-1.36597E-2</v>
      </c>
      <c r="AB306" s="22">
        <v>296</v>
      </c>
      <c r="AC306" s="22">
        <v>0.27893099999999998</v>
      </c>
      <c r="AD306">
        <f t="shared" si="52"/>
        <v>16.863827160493827</v>
      </c>
      <c r="AE306">
        <f t="shared" si="53"/>
        <v>4.7141311082716042</v>
      </c>
      <c r="AF306" s="9"/>
      <c r="AG306" s="22">
        <v>1.39053</v>
      </c>
      <c r="AH306" s="22">
        <v>20.996300000000002</v>
      </c>
      <c r="AI306" s="22">
        <v>-1.02814E-2</v>
      </c>
      <c r="AJ306" s="22">
        <v>296</v>
      </c>
      <c r="AK306" s="22">
        <v>1.39008</v>
      </c>
      <c r="AL306">
        <f t="shared" si="54"/>
        <v>12.693086419753087</v>
      </c>
      <c r="AM306">
        <f t="shared" si="55"/>
        <v>17.65011745925926</v>
      </c>
      <c r="AP306" s="9"/>
      <c r="AQ306" s="22">
        <v>0.27954099999999998</v>
      </c>
      <c r="AR306" s="22">
        <v>26.413799999999998</v>
      </c>
      <c r="AS306" s="22">
        <v>-1.36688E-2</v>
      </c>
      <c r="AT306" s="22">
        <v>296</v>
      </c>
      <c r="AU306" s="22">
        <v>0.27889999999999998</v>
      </c>
      <c r="AV306">
        <f t="shared" si="56"/>
        <v>16.87506172839506</v>
      </c>
      <c r="AW306">
        <f t="shared" si="57"/>
        <v>4.7172716306172831</v>
      </c>
      <c r="AX306" s="9"/>
      <c r="AY306" s="22">
        <v>1.39053</v>
      </c>
      <c r="AZ306" s="22">
        <v>30.172499999999999</v>
      </c>
      <c r="BA306" s="22">
        <v>-1.02997E-2</v>
      </c>
      <c r="BB306" s="22">
        <v>296</v>
      </c>
      <c r="BC306" s="22">
        <v>1.39008</v>
      </c>
      <c r="BD306">
        <f t="shared" si="58"/>
        <v>12.715679012345678</v>
      </c>
      <c r="BE306">
        <f t="shared" si="59"/>
        <v>17.681533137037036</v>
      </c>
    </row>
    <row r="307" spans="6:57">
      <c r="F307" s="9"/>
      <c r="G307" s="22">
        <v>0.27450600000000003</v>
      </c>
      <c r="H307" s="22">
        <v>8.02041</v>
      </c>
      <c r="I307" s="22">
        <v>-1.3598600000000001E-2</v>
      </c>
      <c r="J307" s="22">
        <v>297</v>
      </c>
      <c r="K307" s="22">
        <v>0.27380399999999999</v>
      </c>
      <c r="L307">
        <f t="shared" si="48"/>
        <v>16.788395061728394</v>
      </c>
      <c r="M307">
        <f t="shared" si="49"/>
        <v>4.6085151748148148</v>
      </c>
      <c r="N307" s="9"/>
      <c r="O307" s="22">
        <v>1.39557</v>
      </c>
      <c r="P307" s="22">
        <v>11.779199999999999</v>
      </c>
      <c r="Q307" s="22">
        <v>-1.0223400000000001E-2</v>
      </c>
      <c r="R307" s="22">
        <v>297</v>
      </c>
      <c r="S307" s="22">
        <v>1.39435</v>
      </c>
      <c r="T307">
        <f t="shared" si="50"/>
        <v>12.621481481481482</v>
      </c>
      <c r="U307">
        <f t="shared" si="51"/>
        <v>17.61416091111111</v>
      </c>
      <c r="X307" s="9"/>
      <c r="Y307" s="22">
        <v>0.27450600000000003</v>
      </c>
      <c r="Z307" s="22">
        <v>17.247599999999998</v>
      </c>
      <c r="AA307" s="22">
        <v>-1.36566E-2</v>
      </c>
      <c r="AB307" s="22">
        <v>297</v>
      </c>
      <c r="AC307" s="22">
        <v>0.27386500000000003</v>
      </c>
      <c r="AD307">
        <f t="shared" si="52"/>
        <v>16.86</v>
      </c>
      <c r="AE307">
        <f t="shared" si="53"/>
        <v>4.62817116</v>
      </c>
      <c r="AF307" s="9"/>
      <c r="AG307" s="22">
        <v>1.39557</v>
      </c>
      <c r="AH307" s="22">
        <v>21.006399999999999</v>
      </c>
      <c r="AI307" s="22">
        <v>-1.0208099999999999E-2</v>
      </c>
      <c r="AJ307" s="22">
        <v>297</v>
      </c>
      <c r="AK307" s="22">
        <v>1.39496</v>
      </c>
      <c r="AL307">
        <f t="shared" si="54"/>
        <v>12.602592592592591</v>
      </c>
      <c r="AM307">
        <f t="shared" si="55"/>
        <v>17.587800144444444</v>
      </c>
      <c r="AP307" s="9"/>
      <c r="AQ307" s="22">
        <v>0.27450600000000003</v>
      </c>
      <c r="AR307" s="22">
        <v>26.4238</v>
      </c>
      <c r="AS307" s="22">
        <v>-1.3665800000000001E-2</v>
      </c>
      <c r="AT307" s="22">
        <v>297</v>
      </c>
      <c r="AU307" s="22">
        <v>0.27383400000000002</v>
      </c>
      <c r="AV307">
        <f t="shared" si="56"/>
        <v>16.871358024691357</v>
      </c>
      <c r="AW307">
        <f t="shared" si="57"/>
        <v>4.6312890059259262</v>
      </c>
      <c r="AX307" s="9"/>
      <c r="AY307" s="22">
        <v>1.39557</v>
      </c>
      <c r="AZ307" s="22">
        <v>30.182600000000001</v>
      </c>
      <c r="BA307" s="22">
        <v>-1.02264E-2</v>
      </c>
      <c r="BB307" s="22">
        <v>297</v>
      </c>
      <c r="BC307" s="22">
        <v>1.3946499999999999</v>
      </c>
      <c r="BD307">
        <f t="shared" si="58"/>
        <v>12.625185185185185</v>
      </c>
      <c r="BE307">
        <f t="shared" si="59"/>
        <v>17.61932968888889</v>
      </c>
    </row>
    <row r="308" spans="6:57">
      <c r="F308" s="9"/>
      <c r="G308" s="22">
        <v>0.26946999999999999</v>
      </c>
      <c r="H308" s="22">
        <v>8.0304800000000007</v>
      </c>
      <c r="I308" s="22">
        <v>-1.36017E-2</v>
      </c>
      <c r="J308" s="22">
        <v>298</v>
      </c>
      <c r="K308" s="22">
        <v>0.26882899999999998</v>
      </c>
      <c r="L308">
        <f t="shared" si="48"/>
        <v>16.792222222222222</v>
      </c>
      <c r="M308">
        <f t="shared" si="49"/>
        <v>4.525000122222222</v>
      </c>
      <c r="N308" s="9"/>
      <c r="O308" s="22">
        <v>1.4006000000000001</v>
      </c>
      <c r="P308" s="22">
        <v>11.789199999999999</v>
      </c>
      <c r="Q308" s="22">
        <v>-1.0153199999999999E-2</v>
      </c>
      <c r="R308" s="22">
        <v>298</v>
      </c>
      <c r="S308" s="22">
        <v>1.39984</v>
      </c>
      <c r="T308">
        <f t="shared" si="50"/>
        <v>12.534814814814814</v>
      </c>
      <c r="U308">
        <f t="shared" si="51"/>
        <v>17.556261629629628</v>
      </c>
      <c r="X308" s="9"/>
      <c r="Y308" s="22">
        <v>0.26946999999999999</v>
      </c>
      <c r="Z308" s="22">
        <v>17.2577</v>
      </c>
      <c r="AA308" s="22">
        <v>-1.36566E-2</v>
      </c>
      <c r="AB308" s="22">
        <v>298</v>
      </c>
      <c r="AC308" s="22">
        <v>0.26876800000000001</v>
      </c>
      <c r="AD308">
        <f t="shared" si="52"/>
        <v>16.86</v>
      </c>
      <c r="AE308">
        <f t="shared" si="53"/>
        <v>4.5432641999999994</v>
      </c>
      <c r="AF308" s="9"/>
      <c r="AG308" s="22">
        <v>1.4006000000000001</v>
      </c>
      <c r="AH308" s="22">
        <v>21.016400000000001</v>
      </c>
      <c r="AI308" s="22">
        <v>-1.01379E-2</v>
      </c>
      <c r="AJ308" s="22">
        <v>298</v>
      </c>
      <c r="AK308" s="22">
        <v>1.40015</v>
      </c>
      <c r="AL308">
        <f t="shared" si="54"/>
        <v>12.515925925925925</v>
      </c>
      <c r="AM308">
        <f t="shared" si="55"/>
        <v>17.529805851851851</v>
      </c>
      <c r="AP308" s="9"/>
      <c r="AQ308" s="22">
        <v>0.26946999999999999</v>
      </c>
      <c r="AR308" s="22">
        <v>26.433900000000001</v>
      </c>
      <c r="AS308" s="22">
        <v>-1.36627E-2</v>
      </c>
      <c r="AT308" s="22">
        <v>298</v>
      </c>
      <c r="AU308" s="22">
        <v>0.26873799999999998</v>
      </c>
      <c r="AV308">
        <f t="shared" si="56"/>
        <v>16.86753086419753</v>
      </c>
      <c r="AW308">
        <f t="shared" si="57"/>
        <v>4.5452935419753082</v>
      </c>
      <c r="AX308" s="9"/>
      <c r="AY308" s="22">
        <v>1.4006000000000001</v>
      </c>
      <c r="AZ308" s="22">
        <v>30.192699999999999</v>
      </c>
      <c r="BA308" s="22">
        <v>-1.01501E-2</v>
      </c>
      <c r="BB308" s="22">
        <v>298</v>
      </c>
      <c r="BC308" s="22">
        <v>1.39984</v>
      </c>
      <c r="BD308">
        <f t="shared" si="58"/>
        <v>12.530987654320986</v>
      </c>
      <c r="BE308">
        <f t="shared" si="59"/>
        <v>17.550901308641976</v>
      </c>
    </row>
    <row r="309" spans="6:57">
      <c r="F309" s="9"/>
      <c r="G309" s="22">
        <v>0.26443499999999998</v>
      </c>
      <c r="H309" s="22">
        <v>8.0405499999999996</v>
      </c>
      <c r="I309" s="22">
        <v>-1.3610799999999999E-2</v>
      </c>
      <c r="J309" s="22">
        <v>299</v>
      </c>
      <c r="K309" s="22">
        <v>0.26379399999999997</v>
      </c>
      <c r="L309">
        <f t="shared" si="48"/>
        <v>16.803456790123455</v>
      </c>
      <c r="M309">
        <f t="shared" si="49"/>
        <v>4.4434220962962954</v>
      </c>
      <c r="N309" s="9"/>
      <c r="O309" s="22">
        <v>1.40564</v>
      </c>
      <c r="P309" s="22">
        <v>11.799300000000001</v>
      </c>
      <c r="Q309" s="22">
        <v>-1.008E-2</v>
      </c>
      <c r="R309" s="22">
        <v>299</v>
      </c>
      <c r="S309" s="22">
        <v>1.40472</v>
      </c>
      <c r="T309">
        <f t="shared" si="50"/>
        <v>12.444444444444443</v>
      </c>
      <c r="U309">
        <f t="shared" si="51"/>
        <v>17.492408888888885</v>
      </c>
      <c r="X309" s="9"/>
      <c r="Y309" s="22">
        <v>0.26443499999999998</v>
      </c>
      <c r="Z309" s="22">
        <v>17.267800000000001</v>
      </c>
      <c r="AA309" s="22">
        <v>-1.36475E-2</v>
      </c>
      <c r="AB309" s="22">
        <v>299</v>
      </c>
      <c r="AC309" s="22">
        <v>0.263733</v>
      </c>
      <c r="AD309">
        <f t="shared" si="52"/>
        <v>16.848765432098766</v>
      </c>
      <c r="AE309">
        <f t="shared" si="53"/>
        <v>4.4554032870370364</v>
      </c>
      <c r="AF309" s="9"/>
      <c r="AG309" s="22">
        <v>1.40564</v>
      </c>
      <c r="AH309" s="22">
        <v>21.026499999999999</v>
      </c>
      <c r="AI309" s="22">
        <v>-1.00616E-2</v>
      </c>
      <c r="AJ309" s="22">
        <v>299</v>
      </c>
      <c r="AK309" s="22">
        <v>1.40442</v>
      </c>
      <c r="AL309">
        <f t="shared" si="54"/>
        <v>12.421728395061727</v>
      </c>
      <c r="AM309">
        <f t="shared" si="55"/>
        <v>17.460478301234566</v>
      </c>
      <c r="AP309" s="9"/>
      <c r="AQ309" s="22">
        <v>0.26443499999999998</v>
      </c>
      <c r="AR309" s="22">
        <v>26.443999999999999</v>
      </c>
      <c r="AS309" s="22">
        <v>-1.3665800000000001E-2</v>
      </c>
      <c r="AT309" s="22">
        <v>299</v>
      </c>
      <c r="AU309" s="22">
        <v>0.26370199999999999</v>
      </c>
      <c r="AV309">
        <f t="shared" si="56"/>
        <v>16.871358024691357</v>
      </c>
      <c r="AW309">
        <f t="shared" si="57"/>
        <v>4.4613775592592591</v>
      </c>
      <c r="AX309" s="9"/>
      <c r="AY309" s="22">
        <v>1.40564</v>
      </c>
      <c r="AZ309" s="22">
        <v>30.2027</v>
      </c>
      <c r="BA309" s="22">
        <v>-1.00739E-2</v>
      </c>
      <c r="BB309" s="22">
        <v>299</v>
      </c>
      <c r="BC309" s="22">
        <v>1.40442</v>
      </c>
      <c r="BD309">
        <f t="shared" si="58"/>
        <v>12.436913580246914</v>
      </c>
      <c r="BE309">
        <f t="shared" si="59"/>
        <v>17.481823204938273</v>
      </c>
    </row>
    <row r="310" spans="6:57">
      <c r="F310" s="9"/>
      <c r="G310" s="22">
        <v>0.25939899999999999</v>
      </c>
      <c r="H310" s="22">
        <v>8.0506200000000003</v>
      </c>
      <c r="I310" s="22">
        <v>-1.36139E-2</v>
      </c>
      <c r="J310" s="22">
        <v>300</v>
      </c>
      <c r="K310" s="22">
        <v>0.25872800000000001</v>
      </c>
      <c r="L310">
        <f t="shared" si="48"/>
        <v>16.807283950617283</v>
      </c>
      <c r="M310">
        <f t="shared" si="49"/>
        <v>4.3597926495061721</v>
      </c>
      <c r="N310" s="9"/>
      <c r="O310" s="22">
        <v>1.4106799999999999</v>
      </c>
      <c r="P310" s="22">
        <v>11.8094</v>
      </c>
      <c r="Q310" s="22">
        <v>-1.00006E-2</v>
      </c>
      <c r="R310" s="22">
        <v>300</v>
      </c>
      <c r="S310" s="22">
        <v>1.40991</v>
      </c>
      <c r="T310">
        <f t="shared" si="50"/>
        <v>12.346419753086419</v>
      </c>
      <c r="U310">
        <f t="shared" si="51"/>
        <v>17.41684741728395</v>
      </c>
      <c r="X310" s="9"/>
      <c r="Y310" s="22">
        <v>0.25939899999999999</v>
      </c>
      <c r="Z310" s="22">
        <v>17.277799999999999</v>
      </c>
      <c r="AA310" s="22">
        <v>-1.3650499999999999E-2</v>
      </c>
      <c r="AB310" s="22">
        <v>300</v>
      </c>
      <c r="AC310" s="22">
        <v>0.25866699999999998</v>
      </c>
      <c r="AD310">
        <f t="shared" si="52"/>
        <v>16.852469135802469</v>
      </c>
      <c r="AE310">
        <f t="shared" si="53"/>
        <v>4.3715136413580247</v>
      </c>
      <c r="AF310" s="9"/>
      <c r="AG310" s="22">
        <v>1.4106799999999999</v>
      </c>
      <c r="AH310" s="22">
        <v>21.0366</v>
      </c>
      <c r="AI310" s="22">
        <v>-9.9853500000000005E-3</v>
      </c>
      <c r="AJ310" s="22">
        <v>300</v>
      </c>
      <c r="AK310" s="22">
        <v>1.4093</v>
      </c>
      <c r="AL310">
        <f t="shared" si="54"/>
        <v>12.327592592592593</v>
      </c>
      <c r="AM310">
        <f t="shared" si="55"/>
        <v>17.390288318518518</v>
      </c>
      <c r="AP310" s="9"/>
      <c r="AQ310" s="22">
        <v>0.25939899999999999</v>
      </c>
      <c r="AR310" s="22">
        <v>26.4541</v>
      </c>
      <c r="AS310" s="22">
        <v>-1.36749E-2</v>
      </c>
      <c r="AT310" s="22">
        <v>300</v>
      </c>
      <c r="AU310" s="22">
        <v>0.25869799999999998</v>
      </c>
      <c r="AV310">
        <f t="shared" si="56"/>
        <v>16.882592592592591</v>
      </c>
      <c r="AW310">
        <f t="shared" si="57"/>
        <v>4.3793276359259252</v>
      </c>
      <c r="AX310" s="9"/>
      <c r="AY310" s="22">
        <v>1.4106799999999999</v>
      </c>
      <c r="AZ310" s="22">
        <v>30.212800000000001</v>
      </c>
      <c r="BA310" s="22">
        <v>-9.9914600000000006E-3</v>
      </c>
      <c r="BB310" s="22">
        <v>300</v>
      </c>
      <c r="BC310" s="22">
        <v>1.41022</v>
      </c>
      <c r="BD310">
        <f t="shared" si="58"/>
        <v>12.335135802469136</v>
      </c>
      <c r="BE310">
        <f t="shared" si="59"/>
        <v>17.400929373827161</v>
      </c>
    </row>
    <row r="311" spans="6:57">
      <c r="F311" s="9"/>
      <c r="G311" s="22">
        <v>0.25436399999999998</v>
      </c>
      <c r="H311" s="22">
        <v>8.0606899999999992</v>
      </c>
      <c r="I311" s="22">
        <v>-1.3623E-2</v>
      </c>
      <c r="J311" s="22">
        <v>301</v>
      </c>
      <c r="K311" s="22">
        <v>0.253662</v>
      </c>
      <c r="L311">
        <f t="shared" si="48"/>
        <v>16.818518518518516</v>
      </c>
      <c r="M311">
        <f t="shared" si="49"/>
        <v>4.2780256444444431</v>
      </c>
      <c r="N311" s="9"/>
      <c r="O311" s="22">
        <v>1.41571</v>
      </c>
      <c r="P311" s="22">
        <v>11.8195</v>
      </c>
      <c r="Q311" s="22">
        <v>-9.9243200000000004E-3</v>
      </c>
      <c r="R311" s="22">
        <v>301</v>
      </c>
      <c r="S311" s="22">
        <v>1.41449</v>
      </c>
      <c r="T311">
        <f t="shared" si="50"/>
        <v>12.252246913580246</v>
      </c>
      <c r="U311">
        <f t="shared" si="51"/>
        <v>17.34562847802469</v>
      </c>
      <c r="X311" s="9"/>
      <c r="Y311" s="22">
        <v>0.25436399999999998</v>
      </c>
      <c r="Z311" s="22">
        <v>17.2879</v>
      </c>
      <c r="AA311" s="22">
        <v>-1.3644399999999999E-2</v>
      </c>
      <c r="AB311" s="22">
        <v>301</v>
      </c>
      <c r="AC311" s="22">
        <v>0.253693</v>
      </c>
      <c r="AD311">
        <f t="shared" si="52"/>
        <v>16.844938271604939</v>
      </c>
      <c r="AE311">
        <f t="shared" si="53"/>
        <v>4.2847458785185184</v>
      </c>
      <c r="AF311" s="9"/>
      <c r="AG311" s="22">
        <v>1.41571</v>
      </c>
      <c r="AH311" s="22">
        <v>21.046700000000001</v>
      </c>
      <c r="AI311" s="22">
        <v>-9.9090600000000008E-3</v>
      </c>
      <c r="AJ311" s="22">
        <v>301</v>
      </c>
      <c r="AK311" s="22">
        <v>1.41479</v>
      </c>
      <c r="AL311">
        <f t="shared" si="54"/>
        <v>12.233407407407409</v>
      </c>
      <c r="AM311">
        <f t="shared" si="55"/>
        <v>17.318957200740744</v>
      </c>
      <c r="AP311" s="9"/>
      <c r="AQ311" s="22">
        <v>0.25436399999999998</v>
      </c>
      <c r="AR311" s="22">
        <v>26.464099999999998</v>
      </c>
      <c r="AS311" s="22">
        <v>-1.3677999999999999E-2</v>
      </c>
      <c r="AT311" s="22">
        <v>301</v>
      </c>
      <c r="AU311" s="22">
        <v>0.253662</v>
      </c>
      <c r="AV311">
        <f t="shared" si="56"/>
        <v>16.886419753086418</v>
      </c>
      <c r="AW311">
        <f t="shared" si="57"/>
        <v>4.2952972740740734</v>
      </c>
      <c r="AX311" s="9"/>
      <c r="AY311" s="22">
        <v>1.41571</v>
      </c>
      <c r="AZ311" s="22">
        <v>30.222899999999999</v>
      </c>
      <c r="BA311" s="22">
        <v>-9.9090600000000008E-3</v>
      </c>
      <c r="BB311" s="22">
        <v>301</v>
      </c>
      <c r="BC311" s="22">
        <v>1.41418</v>
      </c>
      <c r="BD311">
        <f t="shared" si="58"/>
        <v>12.233407407407409</v>
      </c>
      <c r="BE311">
        <f t="shared" si="59"/>
        <v>17.318957200740744</v>
      </c>
    </row>
    <row r="312" spans="6:57">
      <c r="F312" s="9"/>
      <c r="G312" s="22">
        <v>0.249329</v>
      </c>
      <c r="H312" s="22">
        <v>8.0707599999999999</v>
      </c>
      <c r="I312" s="22">
        <v>-1.3623E-2</v>
      </c>
      <c r="J312" s="22">
        <v>302</v>
      </c>
      <c r="K312" s="22">
        <v>0.24859600000000001</v>
      </c>
      <c r="L312">
        <f t="shared" si="48"/>
        <v>16.818518518518516</v>
      </c>
      <c r="M312">
        <f t="shared" si="49"/>
        <v>4.1933444037037031</v>
      </c>
      <c r="N312" s="9"/>
      <c r="O312" s="22">
        <v>1.42075</v>
      </c>
      <c r="P312" s="22">
        <v>11.829499999999999</v>
      </c>
      <c r="Q312" s="22">
        <v>-9.8388699999999996E-3</v>
      </c>
      <c r="R312" s="22">
        <v>302</v>
      </c>
      <c r="S312" s="22">
        <v>1.4196800000000001</v>
      </c>
      <c r="T312">
        <f t="shared" si="50"/>
        <v>12.146753086419752</v>
      </c>
      <c r="U312">
        <f t="shared" si="51"/>
        <v>17.257499447530861</v>
      </c>
      <c r="X312" s="9"/>
      <c r="Y312" s="22">
        <v>0.249329</v>
      </c>
      <c r="Z312" s="22">
        <v>17.297999999999998</v>
      </c>
      <c r="AA312" s="22">
        <v>-1.36475E-2</v>
      </c>
      <c r="AB312" s="22">
        <v>302</v>
      </c>
      <c r="AC312" s="22">
        <v>0.24862699999999999</v>
      </c>
      <c r="AD312">
        <f t="shared" si="52"/>
        <v>16.848765432098766</v>
      </c>
      <c r="AE312">
        <f t="shared" si="53"/>
        <v>4.2008858364197534</v>
      </c>
      <c r="AF312" s="9"/>
      <c r="AG312" s="22">
        <v>1.42075</v>
      </c>
      <c r="AH312" s="22">
        <v>21.056699999999999</v>
      </c>
      <c r="AI312" s="22">
        <v>-9.8266599999999992E-3</v>
      </c>
      <c r="AJ312" s="22">
        <v>302</v>
      </c>
      <c r="AK312" s="22">
        <v>1.41998</v>
      </c>
      <c r="AL312">
        <f t="shared" si="54"/>
        <v>12.131679012345678</v>
      </c>
      <c r="AM312">
        <f t="shared" si="55"/>
        <v>17.236082956790121</v>
      </c>
      <c r="AP312" s="9"/>
      <c r="AQ312" s="22">
        <v>0.249329</v>
      </c>
      <c r="AR312" s="22">
        <v>26.4742</v>
      </c>
      <c r="AS312" s="22">
        <v>-1.36902E-2</v>
      </c>
      <c r="AT312" s="22">
        <v>302</v>
      </c>
      <c r="AU312" s="22">
        <v>0.24865699999999999</v>
      </c>
      <c r="AV312">
        <f t="shared" si="56"/>
        <v>16.901481481481479</v>
      </c>
      <c r="AW312">
        <f t="shared" si="57"/>
        <v>4.2140294762962958</v>
      </c>
      <c r="AX312" s="9"/>
      <c r="AY312" s="22">
        <v>1.42075</v>
      </c>
      <c r="AZ312" s="22">
        <v>30.233000000000001</v>
      </c>
      <c r="BA312" s="22">
        <v>-9.82361E-3</v>
      </c>
      <c r="BB312" s="22">
        <v>302</v>
      </c>
      <c r="BC312" s="22">
        <v>1.4196800000000001</v>
      </c>
      <c r="BD312">
        <f t="shared" si="58"/>
        <v>12.127913580246913</v>
      </c>
      <c r="BE312">
        <f t="shared" si="59"/>
        <v>17.2307332191358</v>
      </c>
    </row>
    <row r="313" spans="6:57">
      <c r="F313" s="9"/>
      <c r="G313" s="22">
        <v>0.24429300000000001</v>
      </c>
      <c r="H313" s="22">
        <v>8.0808300000000006</v>
      </c>
      <c r="I313" s="22">
        <v>-1.3623E-2</v>
      </c>
      <c r="J313" s="22">
        <v>303</v>
      </c>
      <c r="K313" s="22">
        <v>0.24365200000000001</v>
      </c>
      <c r="L313">
        <f t="shared" si="48"/>
        <v>16.818518518518516</v>
      </c>
      <c r="M313">
        <f t="shared" si="49"/>
        <v>4.1086463444444439</v>
      </c>
      <c r="N313" s="9"/>
      <c r="O313" s="22">
        <v>1.42578</v>
      </c>
      <c r="P313" s="22">
        <v>11.839600000000001</v>
      </c>
      <c r="Q313" s="22">
        <v>-9.7534200000000005E-3</v>
      </c>
      <c r="R313" s="22">
        <v>303</v>
      </c>
      <c r="S313" s="22">
        <v>1.4248700000000001</v>
      </c>
      <c r="T313">
        <f t="shared" si="50"/>
        <v>12.041259259259258</v>
      </c>
      <c r="U313">
        <f t="shared" si="51"/>
        <v>17.168186626666664</v>
      </c>
      <c r="X313" s="9"/>
      <c r="Y313" s="22">
        <v>0.24429300000000001</v>
      </c>
      <c r="Z313" s="22">
        <v>17.308</v>
      </c>
      <c r="AA313" s="22">
        <v>-1.36475E-2</v>
      </c>
      <c r="AB313" s="22">
        <v>303</v>
      </c>
      <c r="AC313" s="22">
        <v>0.243591</v>
      </c>
      <c r="AD313">
        <f t="shared" si="52"/>
        <v>16.848765432098766</v>
      </c>
      <c r="AE313">
        <f t="shared" si="53"/>
        <v>4.1160354537037041</v>
      </c>
      <c r="AF313" s="9"/>
      <c r="AG313" s="22">
        <v>1.42578</v>
      </c>
      <c r="AH313" s="22">
        <v>21.066800000000001</v>
      </c>
      <c r="AI313" s="22">
        <v>-9.7442599999999994E-3</v>
      </c>
      <c r="AJ313" s="22">
        <v>303</v>
      </c>
      <c r="AK313" s="22">
        <v>1.4248700000000001</v>
      </c>
      <c r="AL313">
        <f t="shared" si="54"/>
        <v>12.02995061728395</v>
      </c>
      <c r="AM313">
        <f t="shared" si="55"/>
        <v>17.152062991111109</v>
      </c>
      <c r="AP313" s="9"/>
      <c r="AQ313" s="22">
        <v>0.24429300000000001</v>
      </c>
      <c r="AR313" s="22">
        <v>26.484300000000001</v>
      </c>
      <c r="AS313" s="22">
        <v>-1.3699299999999999E-2</v>
      </c>
      <c r="AT313" s="22">
        <v>303</v>
      </c>
      <c r="AU313" s="22">
        <v>0.24365200000000001</v>
      </c>
      <c r="AV313">
        <f t="shared" si="56"/>
        <v>16.912716049382716</v>
      </c>
      <c r="AW313">
        <f t="shared" si="57"/>
        <v>4.1316581418518519</v>
      </c>
      <c r="AX313" s="9"/>
      <c r="AY313" s="22">
        <v>1.42578</v>
      </c>
      <c r="AZ313" s="22">
        <v>30.242999999999999</v>
      </c>
      <c r="BA313" s="22">
        <v>-9.7412100000000001E-3</v>
      </c>
      <c r="BB313" s="22">
        <v>303</v>
      </c>
      <c r="BC313" s="22">
        <v>1.42517</v>
      </c>
      <c r="BD313">
        <f t="shared" si="58"/>
        <v>12.026185185185184</v>
      </c>
      <c r="BE313">
        <f t="shared" si="59"/>
        <v>17.146694313333334</v>
      </c>
    </row>
    <row r="314" spans="6:57">
      <c r="F314" s="9"/>
      <c r="G314" s="22">
        <v>0.239258</v>
      </c>
      <c r="H314" s="22">
        <v>8.0908999999999995</v>
      </c>
      <c r="I314" s="22">
        <v>-1.36353E-2</v>
      </c>
      <c r="J314" s="22">
        <v>304</v>
      </c>
      <c r="K314" s="22">
        <v>0.238617</v>
      </c>
      <c r="L314">
        <f t="shared" si="48"/>
        <v>16.833703703703701</v>
      </c>
      <c r="M314">
        <f t="shared" si="49"/>
        <v>4.0275982807407402</v>
      </c>
      <c r="N314" s="9"/>
      <c r="O314" s="22">
        <v>1.43082</v>
      </c>
      <c r="P314" s="22">
        <v>11.8497</v>
      </c>
      <c r="Q314" s="22">
        <v>-9.6679699999999997E-3</v>
      </c>
      <c r="R314" s="22">
        <v>304</v>
      </c>
      <c r="S314" s="22">
        <v>1.43005</v>
      </c>
      <c r="T314">
        <f t="shared" si="50"/>
        <v>11.935765432098764</v>
      </c>
      <c r="U314">
        <f t="shared" si="51"/>
        <v>17.077931895555555</v>
      </c>
      <c r="X314" s="9"/>
      <c r="Y314" s="22">
        <v>0.239258</v>
      </c>
      <c r="Z314" s="22">
        <v>17.318100000000001</v>
      </c>
      <c r="AA314" s="22">
        <v>-1.36475E-2</v>
      </c>
      <c r="AB314" s="22">
        <v>304</v>
      </c>
      <c r="AC314" s="22">
        <v>0.238617</v>
      </c>
      <c r="AD314">
        <f t="shared" si="52"/>
        <v>16.848765432098766</v>
      </c>
      <c r="AE314">
        <f t="shared" si="53"/>
        <v>4.0312019197530864</v>
      </c>
      <c r="AF314" s="9"/>
      <c r="AG314" s="22">
        <v>1.43082</v>
      </c>
      <c r="AH314" s="22">
        <v>21.076899999999998</v>
      </c>
      <c r="AI314" s="22">
        <v>-9.6557599999999993E-3</v>
      </c>
      <c r="AJ314" s="22">
        <v>304</v>
      </c>
      <c r="AK314" s="22">
        <v>1.4297500000000001</v>
      </c>
      <c r="AL314">
        <f t="shared" si="54"/>
        <v>11.92069135802469</v>
      </c>
      <c r="AM314">
        <f t="shared" si="55"/>
        <v>17.056363608888887</v>
      </c>
      <c r="AP314" s="9"/>
      <c r="AQ314" s="22">
        <v>0.239258</v>
      </c>
      <c r="AR314" s="22">
        <v>26.494299999999999</v>
      </c>
      <c r="AS314" s="22">
        <v>-1.37115E-2</v>
      </c>
      <c r="AT314" s="22">
        <v>304</v>
      </c>
      <c r="AU314" s="22">
        <v>0.238617</v>
      </c>
      <c r="AV314">
        <f t="shared" si="56"/>
        <v>16.927777777777777</v>
      </c>
      <c r="AW314">
        <f t="shared" si="57"/>
        <v>4.0501062555555558</v>
      </c>
      <c r="AX314" s="9"/>
      <c r="AY314" s="22">
        <v>1.43082</v>
      </c>
      <c r="AZ314" s="22">
        <v>30.2531</v>
      </c>
      <c r="BA314" s="22">
        <v>-9.6588100000000003E-3</v>
      </c>
      <c r="BB314" s="22">
        <v>304</v>
      </c>
      <c r="BC314" s="22">
        <v>1.42944</v>
      </c>
      <c r="BD314">
        <f t="shared" si="58"/>
        <v>11.924456790123456</v>
      </c>
      <c r="BE314">
        <f t="shared" si="59"/>
        <v>17.061751264444442</v>
      </c>
    </row>
    <row r="315" spans="6:57">
      <c r="F315" s="9"/>
      <c r="G315" s="22">
        <v>0.23422200000000001</v>
      </c>
      <c r="H315" s="22">
        <v>8.1009700000000002</v>
      </c>
      <c r="I315" s="22">
        <v>-1.3644399999999999E-2</v>
      </c>
      <c r="J315" s="22">
        <v>305</v>
      </c>
      <c r="K315" s="22">
        <v>0.23355100000000001</v>
      </c>
      <c r="L315">
        <f t="shared" si="48"/>
        <v>16.844938271604939</v>
      </c>
      <c r="M315">
        <f t="shared" si="49"/>
        <v>3.945455131851852</v>
      </c>
      <c r="N315" s="9"/>
      <c r="O315" s="22">
        <v>1.4358500000000001</v>
      </c>
      <c r="P315" s="22">
        <v>11.8597</v>
      </c>
      <c r="Q315" s="22">
        <v>-9.5794699999999997E-3</v>
      </c>
      <c r="R315" s="22">
        <v>305</v>
      </c>
      <c r="S315" s="22">
        <v>1.4340200000000001</v>
      </c>
      <c r="T315">
        <f t="shared" si="50"/>
        <v>11.826506172839505</v>
      </c>
      <c r="U315">
        <f t="shared" si="51"/>
        <v>16.981088888271604</v>
      </c>
      <c r="X315" s="9"/>
      <c r="Y315" s="22">
        <v>0.23422200000000001</v>
      </c>
      <c r="Z315" s="22">
        <v>17.328199999999999</v>
      </c>
      <c r="AA315" s="22">
        <v>-1.3644399999999999E-2</v>
      </c>
      <c r="AB315" s="22">
        <v>305</v>
      </c>
      <c r="AC315" s="22">
        <v>0.23352100000000001</v>
      </c>
      <c r="AD315">
        <f t="shared" si="52"/>
        <v>16.844938271604939</v>
      </c>
      <c r="AE315">
        <f t="shared" si="53"/>
        <v>3.945455131851852</v>
      </c>
      <c r="AF315" s="9"/>
      <c r="AG315" s="22">
        <v>1.4358500000000001</v>
      </c>
      <c r="AH315" s="22">
        <v>21.0869</v>
      </c>
      <c r="AI315" s="22">
        <v>-9.5703100000000003E-3</v>
      </c>
      <c r="AJ315" s="22">
        <v>305</v>
      </c>
      <c r="AK315" s="22">
        <v>1.4346300000000001</v>
      </c>
      <c r="AL315">
        <f t="shared" si="54"/>
        <v>11.815197530864198</v>
      </c>
      <c r="AM315">
        <f t="shared" si="55"/>
        <v>16.96485137469136</v>
      </c>
      <c r="AP315" s="9"/>
      <c r="AQ315" s="22">
        <v>0.23422200000000001</v>
      </c>
      <c r="AR315" s="22">
        <v>26.5044</v>
      </c>
      <c r="AS315" s="22">
        <v>-1.3726800000000001E-2</v>
      </c>
      <c r="AT315" s="22">
        <v>305</v>
      </c>
      <c r="AU315" s="22">
        <v>0.23361199999999999</v>
      </c>
      <c r="AV315">
        <f t="shared" si="56"/>
        <v>16.946666666666665</v>
      </c>
      <c r="AW315">
        <f t="shared" si="57"/>
        <v>3.9692821600000001</v>
      </c>
      <c r="AX315" s="9"/>
      <c r="AY315" s="22">
        <v>1.4358500000000001</v>
      </c>
      <c r="AZ315" s="22">
        <v>30.263200000000001</v>
      </c>
      <c r="BA315" s="22">
        <v>-9.5733599999999995E-3</v>
      </c>
      <c r="BB315" s="22">
        <v>305</v>
      </c>
      <c r="BC315" s="22">
        <v>1.4352400000000001</v>
      </c>
      <c r="BD315">
        <f t="shared" si="58"/>
        <v>11.818962962962962</v>
      </c>
      <c r="BE315">
        <f t="shared" si="59"/>
        <v>16.970257970370369</v>
      </c>
    </row>
    <row r="316" spans="6:57">
      <c r="F316" s="9"/>
      <c r="G316" s="22">
        <v>0.229187</v>
      </c>
      <c r="H316" s="22">
        <v>8.1110500000000005</v>
      </c>
      <c r="I316" s="22">
        <v>-1.3650499999999999E-2</v>
      </c>
      <c r="J316" s="22">
        <v>306</v>
      </c>
      <c r="K316" s="22">
        <v>0.228546</v>
      </c>
      <c r="L316">
        <f t="shared" si="48"/>
        <v>16.852469135802469</v>
      </c>
      <c r="M316">
        <f t="shared" si="49"/>
        <v>3.8623668438271603</v>
      </c>
      <c r="N316" s="9"/>
      <c r="O316" s="22">
        <v>1.44089</v>
      </c>
      <c r="P316" s="22">
        <v>11.8698</v>
      </c>
      <c r="Q316" s="22">
        <v>-9.4909699999999996E-3</v>
      </c>
      <c r="R316" s="22">
        <v>306</v>
      </c>
      <c r="S316" s="22">
        <v>1.4398200000000001</v>
      </c>
      <c r="T316">
        <f t="shared" si="50"/>
        <v>11.717246913580246</v>
      </c>
      <c r="U316">
        <f t="shared" si="51"/>
        <v>16.883263905308642</v>
      </c>
      <c r="X316" s="9"/>
      <c r="Y316" s="22">
        <v>0.229187</v>
      </c>
      <c r="Z316" s="22">
        <v>17.3383</v>
      </c>
      <c r="AA316" s="22">
        <v>-1.3644399999999999E-2</v>
      </c>
      <c r="AB316" s="22">
        <v>306</v>
      </c>
      <c r="AC316" s="22">
        <v>0.228516</v>
      </c>
      <c r="AD316">
        <f t="shared" si="52"/>
        <v>16.844938271604939</v>
      </c>
      <c r="AE316">
        <f t="shared" si="53"/>
        <v>3.8606408676543209</v>
      </c>
      <c r="AF316" s="9"/>
      <c r="AG316" s="22">
        <v>1.44089</v>
      </c>
      <c r="AH316" s="22">
        <v>21.097000000000001</v>
      </c>
      <c r="AI316" s="22">
        <v>-9.4787599999999993E-3</v>
      </c>
      <c r="AJ316" s="22">
        <v>306</v>
      </c>
      <c r="AK316" s="22">
        <v>1.4398200000000001</v>
      </c>
      <c r="AL316">
        <f t="shared" si="54"/>
        <v>11.702172839506172</v>
      </c>
      <c r="AM316">
        <f t="shared" si="55"/>
        <v>16.861543822716047</v>
      </c>
      <c r="AP316" s="9"/>
      <c r="AQ316" s="22">
        <v>0.229187</v>
      </c>
      <c r="AR316" s="22">
        <v>26.514500000000002</v>
      </c>
      <c r="AS316" s="22">
        <v>-1.3726800000000001E-2</v>
      </c>
      <c r="AT316" s="22">
        <v>306</v>
      </c>
      <c r="AU316" s="22">
        <v>0.228546</v>
      </c>
      <c r="AV316">
        <f t="shared" si="56"/>
        <v>16.946666666666665</v>
      </c>
      <c r="AW316">
        <f t="shared" si="57"/>
        <v>3.8839556933333332</v>
      </c>
      <c r="AX316" s="9"/>
      <c r="AY316" s="22">
        <v>1.44089</v>
      </c>
      <c r="AZ316" s="22">
        <v>30.273199999999999</v>
      </c>
      <c r="BA316" s="22">
        <v>-9.4940200000000006E-3</v>
      </c>
      <c r="BB316" s="22">
        <v>306</v>
      </c>
      <c r="BC316" s="22">
        <v>1.4398200000000001</v>
      </c>
      <c r="BD316">
        <f t="shared" si="58"/>
        <v>11.721012345679013</v>
      </c>
      <c r="BE316">
        <f t="shared" si="59"/>
        <v>16.888689478765432</v>
      </c>
    </row>
    <row r="317" spans="6:57">
      <c r="F317" s="9"/>
      <c r="G317" s="22">
        <v>0.22415199999999999</v>
      </c>
      <c r="H317" s="22">
        <v>8.1211199999999995</v>
      </c>
      <c r="I317" s="22">
        <v>-1.36627E-2</v>
      </c>
      <c r="J317" s="22">
        <v>307</v>
      </c>
      <c r="K317" s="22">
        <v>0.22345000000000001</v>
      </c>
      <c r="L317">
        <f t="shared" si="48"/>
        <v>16.86753086419753</v>
      </c>
      <c r="M317">
        <f t="shared" si="49"/>
        <v>3.7808907782716044</v>
      </c>
      <c r="N317" s="9"/>
      <c r="O317" s="22">
        <v>1.4459200000000001</v>
      </c>
      <c r="P317" s="22">
        <v>11.879899999999999</v>
      </c>
      <c r="Q317" s="22">
        <v>-9.4024699999999996E-3</v>
      </c>
      <c r="R317" s="22">
        <v>307</v>
      </c>
      <c r="S317" s="22">
        <v>1.4450099999999999</v>
      </c>
      <c r="T317">
        <f t="shared" si="50"/>
        <v>11.607987654320986</v>
      </c>
      <c r="U317">
        <f t="shared" si="51"/>
        <v>16.784221509135801</v>
      </c>
      <c r="X317" s="9"/>
      <c r="Y317" s="22">
        <v>0.22415199999999999</v>
      </c>
      <c r="Z317" s="22">
        <v>17.348299999999998</v>
      </c>
      <c r="AA317" s="22">
        <v>-1.36536E-2</v>
      </c>
      <c r="AB317" s="22">
        <v>307</v>
      </c>
      <c r="AC317" s="22">
        <v>0.22348000000000001</v>
      </c>
      <c r="AD317">
        <f t="shared" si="52"/>
        <v>16.856296296296296</v>
      </c>
      <c r="AE317">
        <f t="shared" si="53"/>
        <v>3.7783725274074071</v>
      </c>
      <c r="AF317" s="9"/>
      <c r="AG317" s="22">
        <v>1.4459200000000001</v>
      </c>
      <c r="AH317" s="22">
        <v>21.107099999999999</v>
      </c>
      <c r="AI317" s="22">
        <v>-9.38721E-3</v>
      </c>
      <c r="AJ317" s="22">
        <v>307</v>
      </c>
      <c r="AK317" s="22">
        <v>1.4447000000000001</v>
      </c>
      <c r="AL317">
        <f t="shared" si="54"/>
        <v>11.589148148148148</v>
      </c>
      <c r="AM317">
        <f t="shared" si="55"/>
        <v>16.75698109037037</v>
      </c>
      <c r="AP317" s="9"/>
      <c r="AQ317" s="22">
        <v>0.22415199999999999</v>
      </c>
      <c r="AR317" s="22">
        <v>26.5246</v>
      </c>
      <c r="AS317" s="22">
        <v>-1.37299E-2</v>
      </c>
      <c r="AT317" s="22">
        <v>307</v>
      </c>
      <c r="AU317" s="22">
        <v>0.22357199999999999</v>
      </c>
      <c r="AV317">
        <f t="shared" si="56"/>
        <v>16.950493827160493</v>
      </c>
      <c r="AW317">
        <f t="shared" si="57"/>
        <v>3.7994870923456787</v>
      </c>
      <c r="AX317" s="9"/>
      <c r="AY317" s="22">
        <v>1.4459200000000001</v>
      </c>
      <c r="AZ317" s="22">
        <v>30.283300000000001</v>
      </c>
      <c r="BA317" s="22">
        <v>-9.4024699999999996E-3</v>
      </c>
      <c r="BB317" s="22">
        <v>307</v>
      </c>
      <c r="BC317" s="22">
        <v>1.4453100000000001</v>
      </c>
      <c r="BD317">
        <f t="shared" si="58"/>
        <v>11.607987654320986</v>
      </c>
      <c r="BE317">
        <f t="shared" si="59"/>
        <v>16.784221509135801</v>
      </c>
    </row>
    <row r="318" spans="6:57">
      <c r="F318" s="9"/>
      <c r="G318" s="22">
        <v>0.21911600000000001</v>
      </c>
      <c r="H318" s="22">
        <v>8.1311900000000001</v>
      </c>
      <c r="I318" s="22">
        <v>-1.36688E-2</v>
      </c>
      <c r="J318" s="22">
        <v>308</v>
      </c>
      <c r="K318" s="22">
        <v>0.218445</v>
      </c>
      <c r="L318">
        <f t="shared" si="48"/>
        <v>16.87506172839506</v>
      </c>
      <c r="M318">
        <f t="shared" si="49"/>
        <v>3.6975960256790121</v>
      </c>
      <c r="N318" s="9"/>
      <c r="O318" s="22">
        <v>1.45096</v>
      </c>
      <c r="P318" s="22">
        <v>11.889900000000001</v>
      </c>
      <c r="Q318" s="22">
        <v>-9.3109100000000004E-3</v>
      </c>
      <c r="R318" s="22">
        <v>308</v>
      </c>
      <c r="S318" s="22">
        <v>1.4501999999999999</v>
      </c>
      <c r="T318">
        <f t="shared" si="50"/>
        <v>11.49495061728395</v>
      </c>
      <c r="U318">
        <f t="shared" si="51"/>
        <v>16.678713547654318</v>
      </c>
      <c r="X318" s="9"/>
      <c r="Y318" s="22">
        <v>0.21911600000000001</v>
      </c>
      <c r="Z318" s="22">
        <v>17.3584</v>
      </c>
      <c r="AA318" s="22">
        <v>-1.36566E-2</v>
      </c>
      <c r="AB318" s="22">
        <v>308</v>
      </c>
      <c r="AC318" s="22">
        <v>0.218475</v>
      </c>
      <c r="AD318">
        <f t="shared" si="52"/>
        <v>16.86</v>
      </c>
      <c r="AE318">
        <f t="shared" si="53"/>
        <v>3.6942957600000002</v>
      </c>
      <c r="AF318" s="9"/>
      <c r="AG318" s="22">
        <v>1.45096</v>
      </c>
      <c r="AH318" s="22">
        <v>21.1172</v>
      </c>
      <c r="AI318" s="22">
        <v>-9.2925999999999998E-3</v>
      </c>
      <c r="AJ318" s="22">
        <v>308</v>
      </c>
      <c r="AK318" s="22">
        <v>1.4498899999999999</v>
      </c>
      <c r="AL318">
        <f t="shared" si="54"/>
        <v>11.472345679012344</v>
      </c>
      <c r="AM318">
        <f t="shared" si="55"/>
        <v>16.645914686419751</v>
      </c>
      <c r="AP318" s="9"/>
      <c r="AQ318" s="22">
        <v>0.21911600000000001</v>
      </c>
      <c r="AR318" s="22">
        <v>26.534600000000001</v>
      </c>
      <c r="AS318" s="22">
        <v>-1.37238E-2</v>
      </c>
      <c r="AT318" s="22">
        <v>308</v>
      </c>
      <c r="AU318" s="22">
        <v>0.218475</v>
      </c>
      <c r="AV318">
        <f t="shared" si="56"/>
        <v>16.942962962962962</v>
      </c>
      <c r="AW318">
        <f t="shared" si="57"/>
        <v>3.7124742725925923</v>
      </c>
      <c r="AX318" s="9"/>
      <c r="AY318" s="22">
        <v>1.45096</v>
      </c>
      <c r="AZ318" s="22">
        <v>30.293399999999998</v>
      </c>
      <c r="BA318" s="22">
        <v>-9.3170200000000005E-3</v>
      </c>
      <c r="BB318" s="22">
        <v>308</v>
      </c>
      <c r="BC318" s="22">
        <v>1.4495800000000001</v>
      </c>
      <c r="BD318">
        <f t="shared" si="58"/>
        <v>11.502493827160494</v>
      </c>
      <c r="BE318">
        <f t="shared" si="59"/>
        <v>16.689658443456793</v>
      </c>
    </row>
    <row r="319" spans="6:57">
      <c r="F319" s="9"/>
      <c r="G319" s="22">
        <v>0.21408099999999999</v>
      </c>
      <c r="H319" s="22">
        <v>8.1412600000000008</v>
      </c>
      <c r="I319" s="22">
        <v>-1.3677999999999999E-2</v>
      </c>
      <c r="J319" s="22">
        <v>309</v>
      </c>
      <c r="K319" s="22">
        <v>0.21343999999999999</v>
      </c>
      <c r="L319">
        <f t="shared" si="48"/>
        <v>16.886419753086418</v>
      </c>
      <c r="M319">
        <f t="shared" si="49"/>
        <v>3.6150616271604932</v>
      </c>
      <c r="N319" s="9"/>
      <c r="O319" s="22">
        <v>1.4559899999999999</v>
      </c>
      <c r="P319" s="22">
        <v>11.9</v>
      </c>
      <c r="Q319" s="22">
        <v>-9.2132599999999992E-3</v>
      </c>
      <c r="R319" s="22">
        <v>309</v>
      </c>
      <c r="S319" s="22">
        <v>1.4550799999999999</v>
      </c>
      <c r="T319">
        <f t="shared" si="50"/>
        <v>11.374395061728395</v>
      </c>
      <c r="U319">
        <f t="shared" si="51"/>
        <v>16.561005465925923</v>
      </c>
      <c r="X319" s="9"/>
      <c r="Y319" s="22">
        <v>0.21408099999999999</v>
      </c>
      <c r="Z319" s="22">
        <v>17.368500000000001</v>
      </c>
      <c r="AA319" s="22">
        <v>-1.36566E-2</v>
      </c>
      <c r="AB319" s="22">
        <v>309</v>
      </c>
      <c r="AC319" s="22">
        <v>0.21340899999999999</v>
      </c>
      <c r="AD319">
        <f t="shared" si="52"/>
        <v>16.86</v>
      </c>
      <c r="AE319">
        <f t="shared" si="53"/>
        <v>3.6094056599999997</v>
      </c>
      <c r="AF319" s="9"/>
      <c r="AG319" s="22">
        <v>1.4559899999999999</v>
      </c>
      <c r="AH319" s="22">
        <v>21.127199999999998</v>
      </c>
      <c r="AI319" s="22">
        <v>-9.1918899999999994E-3</v>
      </c>
      <c r="AJ319" s="22">
        <v>309</v>
      </c>
      <c r="AK319" s="22">
        <v>1.4550799999999999</v>
      </c>
      <c r="AL319">
        <f t="shared" si="54"/>
        <v>11.348012345679011</v>
      </c>
      <c r="AM319">
        <f t="shared" si="55"/>
        <v>16.522592495185183</v>
      </c>
      <c r="AP319" s="9"/>
      <c r="AQ319" s="22">
        <v>0.21408099999999999</v>
      </c>
      <c r="AR319" s="22">
        <v>26.544699999999999</v>
      </c>
      <c r="AS319" s="22">
        <v>-1.3717699999999999E-2</v>
      </c>
      <c r="AT319" s="22">
        <v>309</v>
      </c>
      <c r="AU319" s="22">
        <v>0.21346999999999999</v>
      </c>
      <c r="AV319">
        <f t="shared" si="56"/>
        <v>16.935432098765432</v>
      </c>
      <c r="AW319">
        <f t="shared" si="57"/>
        <v>3.6255542391358024</v>
      </c>
      <c r="AX319" s="9"/>
      <c r="AY319" s="22">
        <v>1.4559899999999999</v>
      </c>
      <c r="AZ319" s="22">
        <v>30.3035</v>
      </c>
      <c r="BA319" s="22">
        <v>-9.2224100000000003E-3</v>
      </c>
      <c r="BB319" s="22">
        <v>309</v>
      </c>
      <c r="BC319" s="22">
        <v>1.4553799999999999</v>
      </c>
      <c r="BD319">
        <f t="shared" si="58"/>
        <v>11.385691358024692</v>
      </c>
      <c r="BE319">
        <f t="shared" si="59"/>
        <v>16.57745276037037</v>
      </c>
    </row>
    <row r="320" spans="6:57">
      <c r="F320" s="9"/>
      <c r="G320" s="22">
        <v>0.20904500000000001</v>
      </c>
      <c r="H320" s="22">
        <v>8.1513299999999997</v>
      </c>
      <c r="I320" s="22">
        <v>-1.3684099999999999E-2</v>
      </c>
      <c r="J320" s="22">
        <v>310</v>
      </c>
      <c r="K320" s="22">
        <v>0.20846600000000001</v>
      </c>
      <c r="L320">
        <f t="shared" si="48"/>
        <v>16.893950617283949</v>
      </c>
      <c r="M320">
        <f t="shared" si="49"/>
        <v>3.5315959067901233</v>
      </c>
      <c r="N320" s="9"/>
      <c r="O320" s="22">
        <v>1.4610300000000001</v>
      </c>
      <c r="P320" s="22">
        <v>11.9101</v>
      </c>
      <c r="Q320" s="22">
        <v>-9.1094999999999995E-3</v>
      </c>
      <c r="R320" s="22">
        <v>310</v>
      </c>
      <c r="S320" s="22">
        <v>1.4599599999999999</v>
      </c>
      <c r="T320">
        <f t="shared" si="50"/>
        <v>11.246296296296293</v>
      </c>
      <c r="U320">
        <f t="shared" si="51"/>
        <v>16.431176277777773</v>
      </c>
      <c r="X320" s="9"/>
      <c r="Y320" s="22">
        <v>0.20904500000000001</v>
      </c>
      <c r="Z320" s="22">
        <v>17.378499999999999</v>
      </c>
      <c r="AA320" s="22">
        <v>-1.36597E-2</v>
      </c>
      <c r="AB320" s="22">
        <v>310</v>
      </c>
      <c r="AC320" s="22">
        <v>0.20846600000000001</v>
      </c>
      <c r="AD320">
        <f t="shared" si="52"/>
        <v>16.863827160493827</v>
      </c>
      <c r="AE320">
        <f t="shared" si="53"/>
        <v>3.5252987487654321</v>
      </c>
      <c r="AF320" s="9"/>
      <c r="AG320" s="22">
        <v>1.4610300000000001</v>
      </c>
      <c r="AH320" s="22">
        <v>21.1373</v>
      </c>
      <c r="AI320" s="22">
        <v>-9.09424E-3</v>
      </c>
      <c r="AJ320" s="22">
        <v>310</v>
      </c>
      <c r="AK320" s="22">
        <v>1.4599599999999999</v>
      </c>
      <c r="AL320">
        <f t="shared" si="54"/>
        <v>11.227456790123457</v>
      </c>
      <c r="AM320">
        <f t="shared" si="55"/>
        <v>16.403651194074076</v>
      </c>
      <c r="AP320" s="9"/>
      <c r="AQ320" s="22">
        <v>0.20904500000000001</v>
      </c>
      <c r="AR320" s="22">
        <v>26.5548</v>
      </c>
      <c r="AS320" s="22">
        <v>-1.37115E-2</v>
      </c>
      <c r="AT320" s="22">
        <v>310</v>
      </c>
      <c r="AU320" s="22">
        <v>0.20843500000000001</v>
      </c>
      <c r="AV320">
        <f t="shared" si="56"/>
        <v>16.927777777777777</v>
      </c>
      <c r="AW320">
        <f t="shared" si="57"/>
        <v>3.5386673055555558</v>
      </c>
      <c r="AX320" s="9"/>
      <c r="AY320" s="22">
        <v>1.4610300000000001</v>
      </c>
      <c r="AZ320" s="22">
        <v>30.313500000000001</v>
      </c>
      <c r="BA320" s="22">
        <v>-9.1186500000000007E-3</v>
      </c>
      <c r="BB320" s="22">
        <v>310</v>
      </c>
      <c r="BC320" s="22">
        <v>1.46027</v>
      </c>
      <c r="BD320">
        <f t="shared" si="58"/>
        <v>11.257592592592593</v>
      </c>
      <c r="BE320">
        <f t="shared" si="59"/>
        <v>16.447680505555557</v>
      </c>
    </row>
    <row r="321" spans="6:57">
      <c r="F321" s="9"/>
      <c r="G321" s="22">
        <v>0.20401</v>
      </c>
      <c r="H321" s="22">
        <v>8.1614000000000004</v>
      </c>
      <c r="I321" s="22">
        <v>-1.3684099999999999E-2</v>
      </c>
      <c r="J321" s="22">
        <v>311</v>
      </c>
      <c r="K321" s="22">
        <v>0.20336899999999999</v>
      </c>
      <c r="L321">
        <f t="shared" si="48"/>
        <v>16.893950617283949</v>
      </c>
      <c r="M321">
        <f t="shared" si="49"/>
        <v>3.4465348654320982</v>
      </c>
      <c r="N321" s="9"/>
      <c r="O321" s="22">
        <v>1.4660599999999999</v>
      </c>
      <c r="P321" s="22">
        <v>11.920199999999999</v>
      </c>
      <c r="Q321" s="22">
        <v>-9.0087899999999992E-3</v>
      </c>
      <c r="R321" s="22">
        <v>311</v>
      </c>
      <c r="S321" s="22">
        <v>1.4654499999999999</v>
      </c>
      <c r="T321">
        <f t="shared" si="50"/>
        <v>11.121962962962963</v>
      </c>
      <c r="U321">
        <f t="shared" si="51"/>
        <v>16.305465021481481</v>
      </c>
      <c r="X321" s="9"/>
      <c r="Y321" s="22">
        <v>0.20401</v>
      </c>
      <c r="Z321" s="22">
        <v>17.3886</v>
      </c>
      <c r="AA321" s="22">
        <v>-1.36597E-2</v>
      </c>
      <c r="AB321" s="22">
        <v>311</v>
      </c>
      <c r="AC321" s="22">
        <v>0.20336899999999999</v>
      </c>
      <c r="AD321">
        <f t="shared" si="52"/>
        <v>16.863827160493827</v>
      </c>
      <c r="AE321">
        <f t="shared" si="53"/>
        <v>3.4403893790123456</v>
      </c>
      <c r="AF321" s="9"/>
      <c r="AG321" s="22">
        <v>1.4660599999999999</v>
      </c>
      <c r="AH321" s="22">
        <v>21.147400000000001</v>
      </c>
      <c r="AI321" s="22">
        <v>-8.9935299999999996E-3</v>
      </c>
      <c r="AJ321" s="22">
        <v>311</v>
      </c>
      <c r="AK321" s="22">
        <v>1.4648399999999999</v>
      </c>
      <c r="AL321">
        <f t="shared" si="54"/>
        <v>11.103123456790122</v>
      </c>
      <c r="AM321">
        <f t="shared" si="55"/>
        <v>16.277845175061724</v>
      </c>
      <c r="AP321" s="9"/>
      <c r="AQ321" s="22">
        <v>0.20401</v>
      </c>
      <c r="AR321" s="22">
        <v>26.564800000000002</v>
      </c>
      <c r="AS321" s="22">
        <v>-1.37024E-2</v>
      </c>
      <c r="AT321" s="22">
        <v>311</v>
      </c>
      <c r="AU321" s="22">
        <v>0.2034</v>
      </c>
      <c r="AV321">
        <f t="shared" si="56"/>
        <v>16.916543209876544</v>
      </c>
      <c r="AW321">
        <f t="shared" si="57"/>
        <v>3.4511439802469135</v>
      </c>
      <c r="AX321" s="9"/>
      <c r="AY321" s="22">
        <v>1.4660599999999999</v>
      </c>
      <c r="AZ321" s="22">
        <v>30.323599999999999</v>
      </c>
      <c r="BA321" s="22">
        <v>-9.0118400000000001E-3</v>
      </c>
      <c r="BB321" s="22">
        <v>311</v>
      </c>
      <c r="BC321" s="22">
        <v>1.46515</v>
      </c>
      <c r="BD321">
        <f t="shared" si="58"/>
        <v>11.125728395061728</v>
      </c>
      <c r="BE321">
        <f t="shared" si="59"/>
        <v>16.310985370864195</v>
      </c>
    </row>
    <row r="322" spans="6:57">
      <c r="F322" s="9"/>
      <c r="G322" s="22">
        <v>0.19897500000000001</v>
      </c>
      <c r="H322" s="22">
        <v>8.1714699999999993</v>
      </c>
      <c r="I322" s="22">
        <v>-1.3677999999999999E-2</v>
      </c>
      <c r="J322" s="22">
        <v>312</v>
      </c>
      <c r="K322" s="22">
        <v>0.19836400000000001</v>
      </c>
      <c r="L322">
        <f t="shared" si="48"/>
        <v>16.886419753086418</v>
      </c>
      <c r="M322">
        <f t="shared" si="49"/>
        <v>3.3599753703703703</v>
      </c>
      <c r="N322" s="9"/>
      <c r="O322" s="22">
        <v>1.4711000000000001</v>
      </c>
      <c r="P322" s="22">
        <v>11.930199999999999</v>
      </c>
      <c r="Q322" s="22">
        <v>-8.9050299999999995E-3</v>
      </c>
      <c r="R322" s="22">
        <v>312</v>
      </c>
      <c r="S322" s="22">
        <v>1.47034</v>
      </c>
      <c r="T322">
        <f t="shared" si="50"/>
        <v>10.993864197530863</v>
      </c>
      <c r="U322">
        <f t="shared" si="51"/>
        <v>16.173073620987655</v>
      </c>
      <c r="X322" s="9"/>
      <c r="Y322" s="22">
        <v>0.19897500000000001</v>
      </c>
      <c r="Z322" s="22">
        <v>17.398700000000002</v>
      </c>
      <c r="AA322" s="22">
        <v>-1.36627E-2</v>
      </c>
      <c r="AB322" s="22">
        <v>312</v>
      </c>
      <c r="AC322" s="22">
        <v>0.19830300000000001</v>
      </c>
      <c r="AD322">
        <f t="shared" si="52"/>
        <v>16.86753086419753</v>
      </c>
      <c r="AE322">
        <f t="shared" si="53"/>
        <v>3.3562169537037039</v>
      </c>
      <c r="AF322" s="9"/>
      <c r="AG322" s="22">
        <v>1.4711000000000001</v>
      </c>
      <c r="AH322" s="22">
        <v>21.157399999999999</v>
      </c>
      <c r="AI322" s="22">
        <v>-8.8928199999999992E-3</v>
      </c>
      <c r="AJ322" s="22">
        <v>312</v>
      </c>
      <c r="AK322" s="22">
        <v>1.46973</v>
      </c>
      <c r="AL322">
        <f t="shared" si="54"/>
        <v>10.978790123456788</v>
      </c>
      <c r="AM322">
        <f t="shared" si="55"/>
        <v>16.15089815061728</v>
      </c>
      <c r="AP322" s="9"/>
      <c r="AQ322" s="22">
        <v>0.19897500000000001</v>
      </c>
      <c r="AR322" s="22">
        <v>26.5749</v>
      </c>
      <c r="AS322" s="22">
        <v>-1.3699299999999999E-2</v>
      </c>
      <c r="AT322" s="22">
        <v>312</v>
      </c>
      <c r="AU322" s="22">
        <v>0.19839499999999999</v>
      </c>
      <c r="AV322">
        <f t="shared" si="56"/>
        <v>16.912716049382716</v>
      </c>
      <c r="AW322">
        <f t="shared" si="57"/>
        <v>3.3652076759259262</v>
      </c>
      <c r="AX322" s="9"/>
      <c r="AY322" s="22">
        <v>1.4711000000000001</v>
      </c>
      <c r="AZ322" s="22">
        <v>30.3337</v>
      </c>
      <c r="BA322" s="22">
        <v>-8.9050299999999995E-3</v>
      </c>
      <c r="BB322" s="22">
        <v>312</v>
      </c>
      <c r="BC322" s="22">
        <v>1.4700299999999999</v>
      </c>
      <c r="BD322">
        <f t="shared" si="58"/>
        <v>10.993864197530863</v>
      </c>
      <c r="BE322">
        <f t="shared" si="59"/>
        <v>16.173073620987655</v>
      </c>
    </row>
    <row r="323" spans="6:57">
      <c r="F323" s="9"/>
      <c r="G323" s="22">
        <v>0.193939</v>
      </c>
      <c r="H323" s="22">
        <v>8.18154</v>
      </c>
      <c r="I323" s="22">
        <v>-1.36353E-2</v>
      </c>
      <c r="J323" s="22">
        <v>313</v>
      </c>
      <c r="K323" s="22">
        <v>0.19339000000000001</v>
      </c>
      <c r="L323">
        <f t="shared" si="48"/>
        <v>16.833703703703701</v>
      </c>
      <c r="M323">
        <f t="shared" si="49"/>
        <v>3.264711662592592</v>
      </c>
      <c r="N323" s="9"/>
      <c r="O323" s="22">
        <v>1.47614</v>
      </c>
      <c r="P323" s="22">
        <v>11.940300000000001</v>
      </c>
      <c r="Q323" s="22">
        <v>-8.8012699999999999E-3</v>
      </c>
      <c r="R323" s="22">
        <v>313</v>
      </c>
      <c r="S323" s="22">
        <v>1.4755199999999999</v>
      </c>
      <c r="T323">
        <f t="shared" si="50"/>
        <v>10.865765432098764</v>
      </c>
      <c r="U323">
        <f t="shared" si="51"/>
        <v>16.039390984938269</v>
      </c>
      <c r="X323" s="9"/>
      <c r="Y323" s="22">
        <v>0.193939</v>
      </c>
      <c r="Z323" s="22">
        <v>17.408799999999999</v>
      </c>
      <c r="AA323" s="22">
        <v>-1.36597E-2</v>
      </c>
      <c r="AB323" s="22">
        <v>313</v>
      </c>
      <c r="AC323" s="22">
        <v>0.193298</v>
      </c>
      <c r="AD323">
        <f t="shared" si="52"/>
        <v>16.863827160493827</v>
      </c>
      <c r="AE323">
        <f t="shared" si="53"/>
        <v>3.2705537756790122</v>
      </c>
      <c r="AF323" s="9"/>
      <c r="AG323" s="22">
        <v>1.47614</v>
      </c>
      <c r="AH323" s="22">
        <v>21.1675</v>
      </c>
      <c r="AI323" s="22">
        <v>-8.7951699999999997E-3</v>
      </c>
      <c r="AJ323" s="22">
        <v>313</v>
      </c>
      <c r="AK323" s="22">
        <v>1.47522</v>
      </c>
      <c r="AL323">
        <f t="shared" si="54"/>
        <v>10.858234567901235</v>
      </c>
      <c r="AM323">
        <f t="shared" si="55"/>
        <v>16.028274375061731</v>
      </c>
      <c r="AP323" s="9"/>
      <c r="AQ323" s="22">
        <v>0.193939</v>
      </c>
      <c r="AR323" s="22">
        <v>26.585000000000001</v>
      </c>
      <c r="AS323" s="22">
        <v>-1.36963E-2</v>
      </c>
      <c r="AT323" s="22">
        <v>313</v>
      </c>
      <c r="AU323" s="22">
        <v>0.193298</v>
      </c>
      <c r="AV323">
        <f t="shared" si="56"/>
        <v>16.90901234567901</v>
      </c>
      <c r="AW323">
        <f t="shared" si="57"/>
        <v>3.2793169453086413</v>
      </c>
      <c r="AX323" s="9"/>
      <c r="AY323" s="22">
        <v>1.47614</v>
      </c>
      <c r="AZ323" s="22">
        <v>30.343699999999998</v>
      </c>
      <c r="BA323" s="22">
        <v>-8.8012699999999999E-3</v>
      </c>
      <c r="BB323" s="22">
        <v>313</v>
      </c>
      <c r="BC323" s="22">
        <v>1.47522</v>
      </c>
      <c r="BD323">
        <f t="shared" si="58"/>
        <v>10.865765432098764</v>
      </c>
      <c r="BE323">
        <f t="shared" si="59"/>
        <v>16.039390984938269</v>
      </c>
    </row>
    <row r="324" spans="6:57">
      <c r="F324" s="9"/>
      <c r="G324" s="22">
        <v>0.18890399999999999</v>
      </c>
      <c r="H324" s="22">
        <v>8.1916100000000007</v>
      </c>
      <c r="I324" s="22">
        <v>-1.36261E-2</v>
      </c>
      <c r="J324" s="22">
        <v>314</v>
      </c>
      <c r="K324" s="22">
        <v>0.18829299999999999</v>
      </c>
      <c r="L324">
        <f t="shared" si="48"/>
        <v>16.822345679012344</v>
      </c>
      <c r="M324">
        <f t="shared" si="49"/>
        <v>3.1778083881481476</v>
      </c>
      <c r="N324" s="9"/>
      <c r="O324" s="22">
        <v>1.4811700000000001</v>
      </c>
      <c r="P324" s="22">
        <v>11.9504</v>
      </c>
      <c r="Q324" s="22">
        <v>-8.6944599999999993E-3</v>
      </c>
      <c r="R324" s="22">
        <v>314</v>
      </c>
      <c r="S324" s="22">
        <v>1.4801</v>
      </c>
      <c r="T324">
        <f t="shared" si="50"/>
        <v>10.733901234567901</v>
      </c>
      <c r="U324">
        <f t="shared" si="51"/>
        <v>15.898732491604939</v>
      </c>
      <c r="X324" s="9"/>
      <c r="Y324" s="22">
        <v>0.18890399999999999</v>
      </c>
      <c r="Z324" s="22">
        <v>17.418800000000001</v>
      </c>
      <c r="AA324" s="22">
        <v>-1.36566E-2</v>
      </c>
      <c r="AB324" s="22">
        <v>314</v>
      </c>
      <c r="AC324" s="22">
        <v>0.18823200000000001</v>
      </c>
      <c r="AD324">
        <f t="shared" si="52"/>
        <v>16.86</v>
      </c>
      <c r="AE324">
        <f t="shared" si="53"/>
        <v>3.1849214399999997</v>
      </c>
      <c r="AF324" s="9"/>
      <c r="AG324" s="22">
        <v>1.4811700000000001</v>
      </c>
      <c r="AH324" s="22">
        <v>21.177600000000002</v>
      </c>
      <c r="AI324" s="22">
        <v>-8.6914100000000001E-3</v>
      </c>
      <c r="AJ324" s="22">
        <v>314</v>
      </c>
      <c r="AK324" s="22">
        <v>1.48041</v>
      </c>
      <c r="AL324">
        <f t="shared" si="54"/>
        <v>10.730135802469135</v>
      </c>
      <c r="AM324">
        <f t="shared" si="55"/>
        <v>15.893155246543211</v>
      </c>
      <c r="AP324" s="9"/>
      <c r="AQ324" s="22">
        <v>0.18890399999999999</v>
      </c>
      <c r="AR324" s="22">
        <v>26.595099999999999</v>
      </c>
      <c r="AS324" s="22">
        <v>-1.36963E-2</v>
      </c>
      <c r="AT324" s="22">
        <v>314</v>
      </c>
      <c r="AU324" s="22">
        <v>0.18826300000000001</v>
      </c>
      <c r="AV324">
        <f t="shared" si="56"/>
        <v>16.90901234567901</v>
      </c>
      <c r="AW324">
        <f t="shared" si="57"/>
        <v>3.1941800681481474</v>
      </c>
      <c r="AX324" s="9"/>
      <c r="AY324" s="22">
        <v>1.4811700000000001</v>
      </c>
      <c r="AZ324" s="22">
        <v>30.3538</v>
      </c>
      <c r="BA324" s="22">
        <v>-8.6914100000000001E-3</v>
      </c>
      <c r="BB324" s="22">
        <v>314</v>
      </c>
      <c r="BC324" s="22">
        <v>1.48071</v>
      </c>
      <c r="BD324">
        <f t="shared" si="58"/>
        <v>10.730135802469135</v>
      </c>
      <c r="BE324">
        <f t="shared" si="59"/>
        <v>15.893155246543211</v>
      </c>
    </row>
    <row r="325" spans="6:57">
      <c r="F325" s="9"/>
      <c r="G325" s="22">
        <v>0.183868</v>
      </c>
      <c r="H325" s="22">
        <v>8.2016799999999996</v>
      </c>
      <c r="I325" s="22">
        <v>-1.3623E-2</v>
      </c>
      <c r="J325" s="22">
        <v>315</v>
      </c>
      <c r="K325" s="22">
        <v>0.183228</v>
      </c>
      <c r="L325">
        <f t="shared" si="48"/>
        <v>16.818518518518516</v>
      </c>
      <c r="M325">
        <f t="shared" si="49"/>
        <v>3.0923873629629628</v>
      </c>
      <c r="N325" s="9"/>
      <c r="O325" s="22">
        <v>1.48621</v>
      </c>
      <c r="P325" s="22">
        <v>11.9604</v>
      </c>
      <c r="Q325" s="22">
        <v>-8.5845899999999996E-3</v>
      </c>
      <c r="R325" s="22">
        <v>315</v>
      </c>
      <c r="S325" s="22">
        <v>1.48468</v>
      </c>
      <c r="T325">
        <f t="shared" si="50"/>
        <v>10.598259259259258</v>
      </c>
      <c r="U325">
        <f t="shared" si="51"/>
        <v>15.751238893703702</v>
      </c>
      <c r="X325" s="9"/>
      <c r="Y325" s="22">
        <v>0.183868</v>
      </c>
      <c r="Z325" s="22">
        <v>17.428899999999999</v>
      </c>
      <c r="AA325" s="22">
        <v>-1.36597E-2</v>
      </c>
      <c r="AB325" s="22">
        <v>315</v>
      </c>
      <c r="AC325" s="22">
        <v>0.183197</v>
      </c>
      <c r="AD325">
        <f t="shared" si="52"/>
        <v>16.863827160493827</v>
      </c>
      <c r="AE325">
        <f t="shared" si="53"/>
        <v>3.1007181723456791</v>
      </c>
      <c r="AF325" s="9"/>
      <c r="AG325" s="22">
        <v>1.48621</v>
      </c>
      <c r="AH325" s="22">
        <v>21.1877</v>
      </c>
      <c r="AI325" s="22">
        <v>-8.5845899999999996E-3</v>
      </c>
      <c r="AJ325" s="22">
        <v>315</v>
      </c>
      <c r="AK325" s="22">
        <v>1.48529</v>
      </c>
      <c r="AL325">
        <f t="shared" si="54"/>
        <v>10.598259259259258</v>
      </c>
      <c r="AM325">
        <f t="shared" si="55"/>
        <v>15.751238893703702</v>
      </c>
      <c r="AP325" s="9"/>
      <c r="AQ325" s="22">
        <v>0.183868</v>
      </c>
      <c r="AR325" s="22">
        <v>26.6051</v>
      </c>
      <c r="AS325" s="22">
        <v>-1.36963E-2</v>
      </c>
      <c r="AT325" s="22">
        <v>315</v>
      </c>
      <c r="AU325" s="22">
        <v>0.183197</v>
      </c>
      <c r="AV325">
        <f t="shared" si="56"/>
        <v>16.90901234567901</v>
      </c>
      <c r="AW325">
        <f t="shared" si="57"/>
        <v>3.1090262819753081</v>
      </c>
      <c r="AX325" s="9"/>
      <c r="AY325" s="22">
        <v>1.48621</v>
      </c>
      <c r="AZ325" s="22">
        <v>30.363900000000001</v>
      </c>
      <c r="BA325" s="22">
        <v>-8.5845899999999996E-3</v>
      </c>
      <c r="BB325" s="22">
        <v>315</v>
      </c>
      <c r="BC325" s="22">
        <v>1.48499</v>
      </c>
      <c r="BD325">
        <f t="shared" si="58"/>
        <v>10.598259259259258</v>
      </c>
      <c r="BE325">
        <f t="shared" si="59"/>
        <v>15.751238893703702</v>
      </c>
    </row>
    <row r="326" spans="6:57">
      <c r="F326" s="9"/>
      <c r="G326" s="22">
        <v>0.17883299999999999</v>
      </c>
      <c r="H326" s="22">
        <v>8.2117599999999999</v>
      </c>
      <c r="I326" s="22">
        <v>-1.3632200000000001E-2</v>
      </c>
      <c r="J326" s="22">
        <v>316</v>
      </c>
      <c r="K326" s="22">
        <v>0.17819199999999999</v>
      </c>
      <c r="L326">
        <f t="shared" si="48"/>
        <v>16.829876543209878</v>
      </c>
      <c r="M326">
        <f t="shared" si="49"/>
        <v>3.0097373118518518</v>
      </c>
      <c r="N326" s="9"/>
      <c r="O326" s="22">
        <v>1.4912399999999999</v>
      </c>
      <c r="P326" s="22">
        <v>11.970499999999999</v>
      </c>
      <c r="Q326" s="22">
        <v>-8.4747299999999998E-3</v>
      </c>
      <c r="R326" s="22">
        <v>316</v>
      </c>
      <c r="S326" s="22">
        <v>1.48956</v>
      </c>
      <c r="T326">
        <f t="shared" si="50"/>
        <v>10.462629629629628</v>
      </c>
      <c r="U326">
        <f t="shared" si="51"/>
        <v>15.602291808888886</v>
      </c>
      <c r="X326" s="9"/>
      <c r="Y326" s="22">
        <v>0.17883299999999999</v>
      </c>
      <c r="Z326" s="22">
        <v>17.439</v>
      </c>
      <c r="AA326" s="22">
        <v>-1.3671900000000001E-2</v>
      </c>
      <c r="AB326" s="22">
        <v>316</v>
      </c>
      <c r="AC326" s="22">
        <v>0.17822299999999999</v>
      </c>
      <c r="AD326">
        <f t="shared" si="52"/>
        <v>16.878888888888888</v>
      </c>
      <c r="AE326">
        <f t="shared" si="53"/>
        <v>3.0185023366666663</v>
      </c>
      <c r="AF326" s="9"/>
      <c r="AG326" s="22">
        <v>1.4912399999999999</v>
      </c>
      <c r="AH326" s="22">
        <v>21.197700000000001</v>
      </c>
      <c r="AI326" s="22">
        <v>-8.4747299999999998E-3</v>
      </c>
      <c r="AJ326" s="22">
        <v>316</v>
      </c>
      <c r="AK326" s="22">
        <v>1.49017</v>
      </c>
      <c r="AL326">
        <f t="shared" si="54"/>
        <v>10.462629629629628</v>
      </c>
      <c r="AM326">
        <f t="shared" si="55"/>
        <v>15.602291808888886</v>
      </c>
      <c r="AP326" s="9"/>
      <c r="AQ326" s="22">
        <v>0.17883299999999999</v>
      </c>
      <c r="AR326" s="22">
        <v>26.615200000000002</v>
      </c>
      <c r="AS326" s="22">
        <v>-1.36963E-2</v>
      </c>
      <c r="AT326" s="22">
        <v>316</v>
      </c>
      <c r="AU326" s="22">
        <v>0.17819199999999999</v>
      </c>
      <c r="AV326">
        <f t="shared" si="56"/>
        <v>16.90901234567901</v>
      </c>
      <c r="AW326">
        <f t="shared" si="57"/>
        <v>3.0238894048148142</v>
      </c>
      <c r="AX326" s="9"/>
      <c r="AY326" s="22">
        <v>1.4912399999999999</v>
      </c>
      <c r="AZ326" s="22">
        <v>30.373999999999999</v>
      </c>
      <c r="BA326" s="22">
        <v>-8.48083E-3</v>
      </c>
      <c r="BB326" s="22">
        <v>316</v>
      </c>
      <c r="BC326" s="22">
        <v>1.49109</v>
      </c>
      <c r="BD326">
        <f t="shared" si="58"/>
        <v>10.470160493827159</v>
      </c>
      <c r="BE326">
        <f t="shared" si="59"/>
        <v>15.613522134814811</v>
      </c>
    </row>
    <row r="327" spans="6:57">
      <c r="F327" s="9"/>
      <c r="G327" s="22">
        <v>0.17379800000000001</v>
      </c>
      <c r="H327" s="22">
        <v>8.2218300000000006</v>
      </c>
      <c r="I327" s="22">
        <v>-1.3632200000000001E-2</v>
      </c>
      <c r="J327" s="22">
        <v>317</v>
      </c>
      <c r="K327" s="22">
        <v>0.17318700000000001</v>
      </c>
      <c r="L327">
        <f t="shared" si="48"/>
        <v>16.829876543209878</v>
      </c>
      <c r="M327">
        <f t="shared" si="49"/>
        <v>2.9249988834567904</v>
      </c>
      <c r="N327" s="9"/>
      <c r="O327" s="22">
        <v>1.4962800000000001</v>
      </c>
      <c r="P327" s="22">
        <v>11.980600000000001</v>
      </c>
      <c r="Q327" s="22">
        <v>-8.3679199999999992E-3</v>
      </c>
      <c r="R327" s="22">
        <v>317</v>
      </c>
      <c r="S327" s="22">
        <v>1.4956700000000001</v>
      </c>
      <c r="T327">
        <f t="shared" si="50"/>
        <v>10.330765432098763</v>
      </c>
      <c r="U327">
        <f t="shared" si="51"/>
        <v>15.457717700740739</v>
      </c>
      <c r="X327" s="9"/>
      <c r="Y327" s="22">
        <v>0.17379800000000001</v>
      </c>
      <c r="Z327" s="22">
        <v>17.449000000000002</v>
      </c>
      <c r="AA327" s="22">
        <v>-1.3681E-2</v>
      </c>
      <c r="AB327" s="22">
        <v>317</v>
      </c>
      <c r="AC327" s="22">
        <v>0.173126</v>
      </c>
      <c r="AD327">
        <f t="shared" si="52"/>
        <v>16.890123456790121</v>
      </c>
      <c r="AE327">
        <f t="shared" si="53"/>
        <v>2.9354696765432098</v>
      </c>
      <c r="AF327" s="9"/>
      <c r="AG327" s="22">
        <v>1.4962800000000001</v>
      </c>
      <c r="AH327" s="22">
        <v>21.207799999999999</v>
      </c>
      <c r="AI327" s="22">
        <v>-8.3618200000000007E-3</v>
      </c>
      <c r="AJ327" s="22">
        <v>317</v>
      </c>
      <c r="AK327" s="22">
        <v>1.4950600000000001</v>
      </c>
      <c r="AL327">
        <f t="shared" si="54"/>
        <v>10.323234567901235</v>
      </c>
      <c r="AM327">
        <f t="shared" si="55"/>
        <v>15.44644941925926</v>
      </c>
      <c r="AP327" s="9"/>
      <c r="AQ327" s="22">
        <v>0.17379800000000001</v>
      </c>
      <c r="AR327" s="22">
        <v>26.625299999999999</v>
      </c>
      <c r="AS327" s="22">
        <v>-1.36963E-2</v>
      </c>
      <c r="AT327" s="22">
        <v>317</v>
      </c>
      <c r="AU327" s="22">
        <v>0.17318700000000001</v>
      </c>
      <c r="AV327">
        <f t="shared" si="56"/>
        <v>16.90901234567901</v>
      </c>
      <c r="AW327">
        <f t="shared" si="57"/>
        <v>2.9387525276543207</v>
      </c>
      <c r="AX327" s="9"/>
      <c r="AY327" s="22">
        <v>1.4962800000000001</v>
      </c>
      <c r="AZ327" s="22">
        <v>30.384</v>
      </c>
      <c r="BA327" s="22">
        <v>-8.3709700000000001E-3</v>
      </c>
      <c r="BB327" s="22">
        <v>317</v>
      </c>
      <c r="BC327" s="22">
        <v>1.49536</v>
      </c>
      <c r="BD327">
        <f t="shared" si="58"/>
        <v>10.33453086419753</v>
      </c>
      <c r="BE327">
        <f t="shared" si="59"/>
        <v>15.463351841481481</v>
      </c>
    </row>
    <row r="328" spans="6:57">
      <c r="F328" s="9"/>
      <c r="G328" s="22">
        <v>0.168762</v>
      </c>
      <c r="H328" s="22">
        <v>8.2318999999999996</v>
      </c>
      <c r="I328" s="22">
        <v>-1.3638300000000001E-2</v>
      </c>
      <c r="J328" s="22">
        <v>318</v>
      </c>
      <c r="K328" s="22">
        <v>0.16812099999999999</v>
      </c>
      <c r="L328">
        <f t="shared" si="48"/>
        <v>16.837407407407408</v>
      </c>
      <c r="M328">
        <f t="shared" si="49"/>
        <v>2.8415145488888891</v>
      </c>
      <c r="N328" s="9"/>
      <c r="O328" s="22">
        <v>1.5013099999999999</v>
      </c>
      <c r="P328" s="22">
        <v>11.9907</v>
      </c>
      <c r="Q328" s="22">
        <v>-8.2550000000000002E-3</v>
      </c>
      <c r="R328" s="22">
        <v>318</v>
      </c>
      <c r="S328" s="22">
        <v>1.50024</v>
      </c>
      <c r="T328">
        <f t="shared" si="50"/>
        <v>10.191358024691358</v>
      </c>
      <c r="U328">
        <f t="shared" si="51"/>
        <v>15.30038771604938</v>
      </c>
      <c r="X328" s="9"/>
      <c r="Y328" s="22">
        <v>0.168762</v>
      </c>
      <c r="Z328" s="22">
        <v>17.459099999999999</v>
      </c>
      <c r="AA328" s="22">
        <v>-1.3684099999999999E-2</v>
      </c>
      <c r="AB328" s="22">
        <v>318</v>
      </c>
      <c r="AC328" s="22">
        <v>0.16812099999999999</v>
      </c>
      <c r="AD328">
        <f t="shared" si="52"/>
        <v>16.893950617283949</v>
      </c>
      <c r="AE328">
        <f t="shared" si="53"/>
        <v>2.8510568940740737</v>
      </c>
      <c r="AF328" s="9"/>
      <c r="AG328" s="22">
        <v>1.5013099999999999</v>
      </c>
      <c r="AH328" s="22">
        <v>21.2179</v>
      </c>
      <c r="AI328" s="22">
        <v>-8.2458500000000007E-3</v>
      </c>
      <c r="AJ328" s="22">
        <v>318</v>
      </c>
      <c r="AK328" s="22">
        <v>1.50085</v>
      </c>
      <c r="AL328">
        <f t="shared" si="54"/>
        <v>10.180061728395062</v>
      </c>
      <c r="AM328">
        <f t="shared" si="55"/>
        <v>15.283428473456789</v>
      </c>
      <c r="AP328" s="9"/>
      <c r="AQ328" s="22">
        <v>0.168762</v>
      </c>
      <c r="AR328" s="22">
        <v>26.635300000000001</v>
      </c>
      <c r="AS328" s="22">
        <v>-1.37054E-2</v>
      </c>
      <c r="AT328" s="22">
        <v>318</v>
      </c>
      <c r="AU328" s="22">
        <v>0.16812099999999999</v>
      </c>
      <c r="AV328">
        <f t="shared" si="56"/>
        <v>16.920246913580247</v>
      </c>
      <c r="AW328">
        <f t="shared" si="57"/>
        <v>2.8554947096296295</v>
      </c>
      <c r="AX328" s="9"/>
      <c r="AY328" s="22">
        <v>1.5013099999999999</v>
      </c>
      <c r="AZ328" s="22">
        <v>30.394100000000002</v>
      </c>
      <c r="BA328" s="22">
        <v>-8.2519499999999992E-3</v>
      </c>
      <c r="BB328" s="22">
        <v>318</v>
      </c>
      <c r="BC328" s="22">
        <v>1.5005500000000001</v>
      </c>
      <c r="BD328">
        <f t="shared" si="58"/>
        <v>10.187592592592591</v>
      </c>
      <c r="BE328">
        <f t="shared" si="59"/>
        <v>15.294734635185181</v>
      </c>
    </row>
    <row r="329" spans="6:57">
      <c r="F329" s="9"/>
      <c r="G329" s="22">
        <v>0.16372700000000001</v>
      </c>
      <c r="H329" s="22">
        <v>8.2419700000000002</v>
      </c>
      <c r="I329" s="22">
        <v>-1.36414E-2</v>
      </c>
      <c r="J329" s="22">
        <v>319</v>
      </c>
      <c r="K329" s="22">
        <v>0.16311600000000001</v>
      </c>
      <c r="L329">
        <f t="shared" si="48"/>
        <v>16.841234567901232</v>
      </c>
      <c r="M329">
        <f t="shared" si="49"/>
        <v>2.7573648120987651</v>
      </c>
      <c r="N329" s="9"/>
      <c r="O329" s="22">
        <v>1.5063500000000001</v>
      </c>
      <c r="P329" s="22">
        <v>12.0007</v>
      </c>
      <c r="Q329" s="22">
        <v>-8.1390400000000002E-3</v>
      </c>
      <c r="R329" s="22">
        <v>319</v>
      </c>
      <c r="S329" s="22">
        <v>1.50543</v>
      </c>
      <c r="T329">
        <f t="shared" si="50"/>
        <v>10.048197530864197</v>
      </c>
      <c r="U329">
        <f t="shared" si="51"/>
        <v>15.136102350617284</v>
      </c>
      <c r="X329" s="9"/>
      <c r="Y329" s="22">
        <v>0.16372700000000001</v>
      </c>
      <c r="Z329" s="22">
        <v>17.469200000000001</v>
      </c>
      <c r="AA329" s="22">
        <v>-1.36902E-2</v>
      </c>
      <c r="AB329" s="22">
        <v>319</v>
      </c>
      <c r="AC329" s="22">
        <v>0.16305500000000001</v>
      </c>
      <c r="AD329">
        <f t="shared" si="52"/>
        <v>16.901481481481479</v>
      </c>
      <c r="AE329">
        <f t="shared" si="53"/>
        <v>2.7672288585185183</v>
      </c>
      <c r="AF329" s="9"/>
      <c r="AG329" s="22">
        <v>1.5063500000000001</v>
      </c>
      <c r="AH329" s="22">
        <v>21.227900000000002</v>
      </c>
      <c r="AI329" s="22">
        <v>-8.1298800000000008E-3</v>
      </c>
      <c r="AJ329" s="22">
        <v>319</v>
      </c>
      <c r="AK329" s="22">
        <v>1.50543</v>
      </c>
      <c r="AL329">
        <f t="shared" si="54"/>
        <v>10.036888888888889</v>
      </c>
      <c r="AM329">
        <f t="shared" si="55"/>
        <v>15.119067577777779</v>
      </c>
      <c r="AP329" s="9"/>
      <c r="AQ329" s="22">
        <v>0.16372700000000001</v>
      </c>
      <c r="AR329" s="22">
        <v>26.645399999999999</v>
      </c>
      <c r="AS329" s="22">
        <v>-1.3720700000000001E-2</v>
      </c>
      <c r="AT329" s="22">
        <v>319</v>
      </c>
      <c r="AU329" s="22">
        <v>0.16308600000000001</v>
      </c>
      <c r="AV329">
        <f t="shared" si="56"/>
        <v>16.939135802469135</v>
      </c>
      <c r="AW329">
        <f t="shared" si="57"/>
        <v>2.7733938875308644</v>
      </c>
      <c r="AX329" s="9"/>
      <c r="AY329" s="22">
        <v>1.5063500000000001</v>
      </c>
      <c r="AZ329" s="22">
        <v>30.404199999999999</v>
      </c>
      <c r="BA329" s="22">
        <v>-8.1359899999999992E-3</v>
      </c>
      <c r="BB329" s="22">
        <v>319</v>
      </c>
      <c r="BC329" s="22">
        <v>1.50543</v>
      </c>
      <c r="BD329">
        <f t="shared" si="58"/>
        <v>10.04443209876543</v>
      </c>
      <c r="BE329">
        <f t="shared" si="59"/>
        <v>15.130430291975307</v>
      </c>
    </row>
    <row r="330" spans="6:57">
      <c r="F330" s="9"/>
      <c r="G330" s="22">
        <v>0.158691</v>
      </c>
      <c r="H330" s="22">
        <v>8.2520399999999992</v>
      </c>
      <c r="I330" s="22">
        <v>-1.3644399999999999E-2</v>
      </c>
      <c r="J330" s="22">
        <v>320</v>
      </c>
      <c r="K330" s="22">
        <v>0.158112</v>
      </c>
      <c r="L330">
        <f t="shared" si="48"/>
        <v>16.844938271604939</v>
      </c>
      <c r="M330">
        <f t="shared" si="49"/>
        <v>2.6731400992592591</v>
      </c>
      <c r="N330" s="9"/>
      <c r="O330" s="22">
        <v>1.5113799999999999</v>
      </c>
      <c r="P330" s="22">
        <v>12.0108</v>
      </c>
      <c r="Q330" s="22">
        <v>-8.0139200000000008E-3</v>
      </c>
      <c r="R330" s="22">
        <v>320</v>
      </c>
      <c r="S330" s="22">
        <v>1.5106200000000001</v>
      </c>
      <c r="T330">
        <f t="shared" si="50"/>
        <v>9.8937283950617285</v>
      </c>
      <c r="U330">
        <f t="shared" si="51"/>
        <v>14.953183221728395</v>
      </c>
      <c r="X330" s="9"/>
      <c r="Y330" s="22">
        <v>0.158691</v>
      </c>
      <c r="Z330" s="22">
        <v>17.479199999999999</v>
      </c>
      <c r="AA330" s="22">
        <v>-1.3699299999999999E-2</v>
      </c>
      <c r="AB330" s="22">
        <v>320</v>
      </c>
      <c r="AC330" s="22">
        <v>0.158081</v>
      </c>
      <c r="AD330">
        <f t="shared" si="52"/>
        <v>16.912716049382716</v>
      </c>
      <c r="AE330">
        <f t="shared" si="53"/>
        <v>2.6838958225925924</v>
      </c>
      <c r="AF330" s="9"/>
      <c r="AG330" s="22">
        <v>1.5113799999999999</v>
      </c>
      <c r="AH330" s="22">
        <v>21.238</v>
      </c>
      <c r="AI330" s="22">
        <v>-8.0108599999999999E-3</v>
      </c>
      <c r="AJ330" s="22">
        <v>320</v>
      </c>
      <c r="AK330" s="22">
        <v>1.5100100000000001</v>
      </c>
      <c r="AL330">
        <f t="shared" si="54"/>
        <v>9.8899506172839491</v>
      </c>
      <c r="AM330">
        <f t="shared" si="55"/>
        <v>14.947473563950615</v>
      </c>
      <c r="AP330" s="9"/>
      <c r="AQ330" s="22">
        <v>0.158691</v>
      </c>
      <c r="AR330" s="22">
        <v>26.6555</v>
      </c>
      <c r="AS330" s="22">
        <v>-1.3720700000000001E-2</v>
      </c>
      <c r="AT330" s="22">
        <v>320</v>
      </c>
      <c r="AU330" s="22">
        <v>0.158112</v>
      </c>
      <c r="AV330">
        <f t="shared" si="56"/>
        <v>16.939135802469135</v>
      </c>
      <c r="AW330">
        <f t="shared" si="57"/>
        <v>2.6880883996296294</v>
      </c>
      <c r="AX330" s="9"/>
      <c r="AY330" s="22">
        <v>1.5113799999999999</v>
      </c>
      <c r="AZ330" s="22">
        <v>30.414200000000001</v>
      </c>
      <c r="BA330" s="22">
        <v>-8.0108599999999999E-3</v>
      </c>
      <c r="BB330" s="22">
        <v>320</v>
      </c>
      <c r="BC330" s="22">
        <v>1.51031</v>
      </c>
      <c r="BD330">
        <f t="shared" si="58"/>
        <v>9.8899506172839491</v>
      </c>
      <c r="BE330">
        <f t="shared" si="59"/>
        <v>14.947473563950615</v>
      </c>
    </row>
    <row r="331" spans="6:57">
      <c r="F331" s="9"/>
      <c r="G331" s="22">
        <v>0.15365599999999999</v>
      </c>
      <c r="H331" s="22">
        <v>8.2621099999999998</v>
      </c>
      <c r="I331" s="22">
        <v>-1.3650499999999999E-2</v>
      </c>
      <c r="J331" s="22">
        <v>321</v>
      </c>
      <c r="K331" s="22">
        <v>0.15301500000000001</v>
      </c>
      <c r="L331">
        <f t="shared" si="48"/>
        <v>16.852469135802469</v>
      </c>
      <c r="M331">
        <f t="shared" si="49"/>
        <v>2.589482997530864</v>
      </c>
      <c r="N331" s="9"/>
      <c r="O331" s="22">
        <v>1.5164200000000001</v>
      </c>
      <c r="P331" s="22">
        <v>12.020899999999999</v>
      </c>
      <c r="Q331" s="22">
        <v>-7.8857400000000005E-3</v>
      </c>
      <c r="R331" s="22">
        <v>321</v>
      </c>
      <c r="S331" s="22">
        <v>1.5158100000000001</v>
      </c>
      <c r="T331">
        <f t="shared" si="50"/>
        <v>9.7354814814814823</v>
      </c>
      <c r="U331">
        <f t="shared" si="51"/>
        <v>14.763078828148151</v>
      </c>
      <c r="X331" s="9"/>
      <c r="Y331" s="22">
        <v>0.15365599999999999</v>
      </c>
      <c r="Z331" s="22">
        <v>17.4893</v>
      </c>
      <c r="AA331" s="22">
        <v>-1.37146E-2</v>
      </c>
      <c r="AB331" s="22">
        <v>321</v>
      </c>
      <c r="AC331" s="22">
        <v>0.153137</v>
      </c>
      <c r="AD331">
        <f t="shared" si="52"/>
        <v>16.931604938271605</v>
      </c>
      <c r="AE331">
        <f t="shared" si="53"/>
        <v>2.6016426883950614</v>
      </c>
      <c r="AF331" s="9"/>
      <c r="AG331" s="22">
        <v>1.5164200000000001</v>
      </c>
      <c r="AH331" s="22">
        <v>21.248100000000001</v>
      </c>
      <c r="AI331" s="22">
        <v>-7.8887899999999997E-3</v>
      </c>
      <c r="AJ331" s="22">
        <v>321</v>
      </c>
      <c r="AK331" s="22">
        <v>1.5155000000000001</v>
      </c>
      <c r="AL331">
        <f t="shared" si="54"/>
        <v>9.7392469135802457</v>
      </c>
      <c r="AM331">
        <f t="shared" si="55"/>
        <v>14.768788804691358</v>
      </c>
      <c r="AP331" s="9"/>
      <c r="AQ331" s="22">
        <v>0.15365599999999999</v>
      </c>
      <c r="AR331" s="22">
        <v>26.665500000000002</v>
      </c>
      <c r="AS331" s="22">
        <v>-1.3717699999999999E-2</v>
      </c>
      <c r="AT331" s="22">
        <v>321</v>
      </c>
      <c r="AU331" s="22">
        <v>0.15301500000000001</v>
      </c>
      <c r="AV331">
        <f t="shared" si="56"/>
        <v>16.935432098765432</v>
      </c>
      <c r="AW331">
        <f t="shared" si="57"/>
        <v>2.6022307545679011</v>
      </c>
      <c r="AX331" s="9"/>
      <c r="AY331" s="22">
        <v>1.5164200000000001</v>
      </c>
      <c r="AZ331" s="22">
        <v>30.424299999999999</v>
      </c>
      <c r="BA331" s="22">
        <v>-7.8887899999999997E-3</v>
      </c>
      <c r="BB331" s="22">
        <v>321</v>
      </c>
      <c r="BC331" s="22">
        <v>1.5152000000000001</v>
      </c>
      <c r="BD331">
        <f t="shared" si="58"/>
        <v>9.7392469135802457</v>
      </c>
      <c r="BE331">
        <f t="shared" si="59"/>
        <v>14.768788804691358</v>
      </c>
    </row>
    <row r="332" spans="6:57">
      <c r="F332" s="9"/>
      <c r="G332" s="22">
        <v>0.148621</v>
      </c>
      <c r="H332" s="22">
        <v>8.2721800000000005</v>
      </c>
      <c r="I332" s="22">
        <v>-1.36536E-2</v>
      </c>
      <c r="J332" s="22">
        <v>322</v>
      </c>
      <c r="K332" s="22">
        <v>0.14804100000000001</v>
      </c>
      <c r="L332">
        <f t="shared" ref="L332:L382" si="60">-I332/$F$2*1000</f>
        <v>16.856296296296296</v>
      </c>
      <c r="M332">
        <f t="shared" ref="M332:M382" si="61">L332*G332</f>
        <v>2.505199611851852</v>
      </c>
      <c r="N332" s="9"/>
      <c r="O332" s="22">
        <v>1.52145</v>
      </c>
      <c r="P332" s="22">
        <v>12.030900000000001</v>
      </c>
      <c r="Q332" s="22">
        <v>-7.7606200000000002E-3</v>
      </c>
      <c r="R332" s="22">
        <v>322</v>
      </c>
      <c r="S332" s="22">
        <v>1.5209999999999999</v>
      </c>
      <c r="T332">
        <f t="shared" ref="T332:T382" si="62">-Q332/$F$2*1000</f>
        <v>9.5810123456790119</v>
      </c>
      <c r="U332">
        <f t="shared" ref="U332:U382" si="63">T332*O332</f>
        <v>14.577031233333333</v>
      </c>
      <c r="X332" s="9"/>
      <c r="Y332" s="22">
        <v>0.148621</v>
      </c>
      <c r="Z332" s="22">
        <v>17.499400000000001</v>
      </c>
      <c r="AA332" s="22">
        <v>-1.3726800000000001E-2</v>
      </c>
      <c r="AB332" s="22">
        <v>322</v>
      </c>
      <c r="AC332" s="22">
        <v>0.14804100000000001</v>
      </c>
      <c r="AD332">
        <f t="shared" ref="AD332:AD382" si="64">-AA332/$F$2*1000</f>
        <v>16.946666666666665</v>
      </c>
      <c r="AE332">
        <f t="shared" ref="AE332:AE382" si="65">AD332*Y332</f>
        <v>2.5186305466666665</v>
      </c>
      <c r="AF332" s="9"/>
      <c r="AG332" s="22">
        <v>1.52145</v>
      </c>
      <c r="AH332" s="22">
        <v>21.258199999999999</v>
      </c>
      <c r="AI332" s="22">
        <v>-7.7636700000000003E-3</v>
      </c>
      <c r="AJ332" s="22">
        <v>322</v>
      </c>
      <c r="AK332" s="22">
        <v>1.5206900000000001</v>
      </c>
      <c r="AL332">
        <f t="shared" ref="AL332:AL382" si="66">-AI332/$F$2*1000</f>
        <v>9.5847777777777772</v>
      </c>
      <c r="AM332">
        <f t="shared" ref="AM332:AM382" si="67">AL332*AG332</f>
        <v>14.582760149999999</v>
      </c>
      <c r="AP332" s="9"/>
      <c r="AQ332" s="22">
        <v>0.148621</v>
      </c>
      <c r="AR332" s="22">
        <v>26.675599999999999</v>
      </c>
      <c r="AS332" s="22">
        <v>-1.37238E-2</v>
      </c>
      <c r="AT332" s="22">
        <v>322</v>
      </c>
      <c r="AU332" s="22">
        <v>0.14801</v>
      </c>
      <c r="AV332">
        <f t="shared" ref="AV332:AV382" si="68">-AS332/$F$2*1000</f>
        <v>16.942962962962962</v>
      </c>
      <c r="AW332">
        <f t="shared" ref="AW332:AW382" si="69">AV332*AQ332</f>
        <v>2.5180800985185186</v>
      </c>
      <c r="AX332" s="9"/>
      <c r="AY332" s="22">
        <v>1.52145</v>
      </c>
      <c r="AZ332" s="22">
        <v>30.4344</v>
      </c>
      <c r="BA332" s="22">
        <v>-7.7606200000000002E-3</v>
      </c>
      <c r="BB332" s="22">
        <v>322</v>
      </c>
      <c r="BC332" s="22">
        <v>1.5200800000000001</v>
      </c>
      <c r="BD332">
        <f t="shared" ref="BD332:BD382" si="70">-BA332/$F$2*1000</f>
        <v>9.5810123456790119</v>
      </c>
      <c r="BE332">
        <f t="shared" ref="BE332:BE382" si="71">BD332*AY332</f>
        <v>14.577031233333333</v>
      </c>
    </row>
    <row r="333" spans="6:57">
      <c r="F333" s="9"/>
      <c r="G333" s="22">
        <v>0.14358499999999999</v>
      </c>
      <c r="H333" s="22">
        <v>8.2822499999999994</v>
      </c>
      <c r="I333" s="22">
        <v>-1.36597E-2</v>
      </c>
      <c r="J333" s="22">
        <v>323</v>
      </c>
      <c r="K333" s="22">
        <v>0.14291400000000001</v>
      </c>
      <c r="L333">
        <f t="shared" si="60"/>
        <v>16.863827160493827</v>
      </c>
      <c r="M333">
        <f t="shared" si="61"/>
        <v>2.4213926228395057</v>
      </c>
      <c r="N333" s="9"/>
      <c r="O333" s="22">
        <v>1.5264899999999999</v>
      </c>
      <c r="P333" s="22">
        <v>12.041</v>
      </c>
      <c r="Q333" s="22">
        <v>-7.6324499999999998E-3</v>
      </c>
      <c r="R333" s="22">
        <v>323</v>
      </c>
      <c r="S333" s="22">
        <v>1.5255700000000001</v>
      </c>
      <c r="T333">
        <f t="shared" si="62"/>
        <v>9.4227777777777764</v>
      </c>
      <c r="U333">
        <f t="shared" si="63"/>
        <v>14.383776049999996</v>
      </c>
      <c r="X333" s="9"/>
      <c r="Y333" s="22">
        <v>0.14358499999999999</v>
      </c>
      <c r="Z333" s="22">
        <v>17.509499999999999</v>
      </c>
      <c r="AA333" s="22">
        <v>-1.3732899999999999E-2</v>
      </c>
      <c r="AB333" s="22">
        <v>323</v>
      </c>
      <c r="AC333" s="22">
        <v>0.14297499999999999</v>
      </c>
      <c r="AD333">
        <f t="shared" si="64"/>
        <v>16.954197530864196</v>
      </c>
      <c r="AE333">
        <f t="shared" si="65"/>
        <v>2.4343684524691356</v>
      </c>
      <c r="AF333" s="9"/>
      <c r="AG333" s="22">
        <v>1.5264899999999999</v>
      </c>
      <c r="AH333" s="22">
        <v>21.2682</v>
      </c>
      <c r="AI333" s="22">
        <v>-7.6354999999999999E-3</v>
      </c>
      <c r="AJ333" s="22">
        <v>323</v>
      </c>
      <c r="AK333" s="22">
        <v>1.5252699999999999</v>
      </c>
      <c r="AL333">
        <f t="shared" si="66"/>
        <v>9.4265432098765416</v>
      </c>
      <c r="AM333">
        <f t="shared" si="67"/>
        <v>14.389523944444441</v>
      </c>
      <c r="AP333" s="9"/>
      <c r="AQ333" s="22">
        <v>0.14358499999999999</v>
      </c>
      <c r="AR333" s="22">
        <v>26.685700000000001</v>
      </c>
      <c r="AS333" s="22">
        <v>-1.37299E-2</v>
      </c>
      <c r="AT333" s="22">
        <v>323</v>
      </c>
      <c r="AU333" s="22">
        <v>0.14297499999999999</v>
      </c>
      <c r="AV333">
        <f t="shared" si="68"/>
        <v>16.950493827160493</v>
      </c>
      <c r="AW333">
        <f t="shared" si="69"/>
        <v>2.4338366561728391</v>
      </c>
      <c r="AX333" s="9"/>
      <c r="AY333" s="22">
        <v>1.5264899999999999</v>
      </c>
      <c r="AZ333" s="22">
        <v>30.444500000000001</v>
      </c>
      <c r="BA333" s="22">
        <v>-7.6263399999999997E-3</v>
      </c>
      <c r="BB333" s="22">
        <v>323</v>
      </c>
      <c r="BC333" s="22">
        <v>1.5255700000000001</v>
      </c>
      <c r="BD333">
        <f t="shared" si="70"/>
        <v>9.4152345679012335</v>
      </c>
      <c r="BE333">
        <f t="shared" si="71"/>
        <v>14.372261415555553</v>
      </c>
    </row>
    <row r="334" spans="6:57">
      <c r="F334" s="9"/>
      <c r="G334" s="22">
        <v>0.13855000000000001</v>
      </c>
      <c r="H334" s="22">
        <v>8.2923200000000001</v>
      </c>
      <c r="I334" s="22">
        <v>-1.36688E-2</v>
      </c>
      <c r="J334" s="22">
        <v>324</v>
      </c>
      <c r="K334" s="22">
        <v>0.13793900000000001</v>
      </c>
      <c r="L334">
        <f t="shared" si="60"/>
        <v>16.87506172839506</v>
      </c>
      <c r="M334">
        <f t="shared" si="61"/>
        <v>2.3380398024691358</v>
      </c>
      <c r="N334" s="9"/>
      <c r="O334" s="22">
        <v>1.53152</v>
      </c>
      <c r="P334" s="22">
        <v>12.0511</v>
      </c>
      <c r="Q334" s="22">
        <v>-7.5042700000000004E-3</v>
      </c>
      <c r="R334" s="22">
        <v>324</v>
      </c>
      <c r="S334" s="22">
        <v>1.5307599999999999</v>
      </c>
      <c r="T334">
        <f t="shared" si="62"/>
        <v>9.2645308641975319</v>
      </c>
      <c r="U334">
        <f t="shared" si="63"/>
        <v>14.188814309135804</v>
      </c>
      <c r="X334" s="9"/>
      <c r="Y334" s="22">
        <v>0.13855000000000001</v>
      </c>
      <c r="Z334" s="22">
        <v>17.519500000000001</v>
      </c>
      <c r="AA334" s="22">
        <v>-1.37238E-2</v>
      </c>
      <c r="AB334" s="22">
        <v>324</v>
      </c>
      <c r="AC334" s="22">
        <v>0.13793900000000001</v>
      </c>
      <c r="AD334">
        <f t="shared" si="64"/>
        <v>16.942962962962962</v>
      </c>
      <c r="AE334">
        <f t="shared" si="65"/>
        <v>2.3474475185185186</v>
      </c>
      <c r="AF334" s="9"/>
      <c r="AG334" s="22">
        <v>1.53152</v>
      </c>
      <c r="AH334" s="22">
        <v>21.278300000000002</v>
      </c>
      <c r="AI334" s="22">
        <v>-7.5073199999999996E-3</v>
      </c>
      <c r="AJ334" s="22">
        <v>324</v>
      </c>
      <c r="AK334" s="22">
        <v>1.5304599999999999</v>
      </c>
      <c r="AL334">
        <f t="shared" si="66"/>
        <v>9.2682962962962954</v>
      </c>
      <c r="AM334">
        <f t="shared" si="67"/>
        <v>14.194581143703703</v>
      </c>
      <c r="AP334" s="9"/>
      <c r="AQ334" s="22">
        <v>0.13855000000000001</v>
      </c>
      <c r="AR334" s="22">
        <v>26.695799999999998</v>
      </c>
      <c r="AS334" s="22">
        <v>-1.37451E-2</v>
      </c>
      <c r="AT334" s="22">
        <v>324</v>
      </c>
      <c r="AU334" s="22">
        <v>0.13797000000000001</v>
      </c>
      <c r="AV334">
        <f t="shared" si="68"/>
        <v>16.969259259259257</v>
      </c>
      <c r="AW334">
        <f t="shared" si="69"/>
        <v>2.3510908703703701</v>
      </c>
      <c r="AX334" s="9"/>
      <c r="AY334" s="22">
        <v>1.53152</v>
      </c>
      <c r="AZ334" s="22">
        <v>30.454499999999999</v>
      </c>
      <c r="BA334" s="22">
        <v>-7.4951200000000001E-3</v>
      </c>
      <c r="BB334" s="22">
        <v>324</v>
      </c>
      <c r="BC334" s="22">
        <v>1.5301499999999999</v>
      </c>
      <c r="BD334">
        <f t="shared" si="70"/>
        <v>9.2532345679012344</v>
      </c>
      <c r="BE334">
        <f t="shared" si="71"/>
        <v>14.171513805432099</v>
      </c>
    </row>
    <row r="335" spans="6:57">
      <c r="F335" s="9"/>
      <c r="G335" s="22">
        <v>0.13351399999999999</v>
      </c>
      <c r="H335" s="22">
        <v>8.3023900000000008</v>
      </c>
      <c r="I335" s="22">
        <v>-1.3684099999999999E-2</v>
      </c>
      <c r="J335" s="22">
        <v>325</v>
      </c>
      <c r="K335" s="22">
        <v>0.132935</v>
      </c>
      <c r="L335">
        <f t="shared" si="60"/>
        <v>16.893950617283949</v>
      </c>
      <c r="M335">
        <f t="shared" si="61"/>
        <v>2.2555789227160492</v>
      </c>
      <c r="N335" s="9"/>
      <c r="O335" s="22">
        <v>1.5365599999999999</v>
      </c>
      <c r="P335" s="22">
        <v>12.061199999999999</v>
      </c>
      <c r="Q335" s="22">
        <v>-7.3699999999999998E-3</v>
      </c>
      <c r="R335" s="22">
        <v>325</v>
      </c>
      <c r="S335" s="22">
        <v>1.5350299999999999</v>
      </c>
      <c r="T335">
        <f t="shared" si="62"/>
        <v>9.0987654320987641</v>
      </c>
      <c r="U335">
        <f t="shared" si="63"/>
        <v>13.980799012345676</v>
      </c>
      <c r="X335" s="9"/>
      <c r="Y335" s="22">
        <v>0.13351399999999999</v>
      </c>
      <c r="Z335" s="22">
        <v>17.529599999999999</v>
      </c>
      <c r="AA335" s="22">
        <v>-1.37146E-2</v>
      </c>
      <c r="AB335" s="22">
        <v>325</v>
      </c>
      <c r="AC335" s="22">
        <v>0.13287399999999999</v>
      </c>
      <c r="AD335">
        <f t="shared" si="64"/>
        <v>16.931604938271605</v>
      </c>
      <c r="AE335">
        <f t="shared" si="65"/>
        <v>2.2606063017283948</v>
      </c>
      <c r="AF335" s="9"/>
      <c r="AG335" s="22">
        <v>1.5365599999999999</v>
      </c>
      <c r="AH335" s="22">
        <v>21.288399999999999</v>
      </c>
      <c r="AI335" s="22">
        <v>-7.3730499999999999E-3</v>
      </c>
      <c r="AJ335" s="22">
        <v>325</v>
      </c>
      <c r="AK335" s="22">
        <v>1.5359499999999999</v>
      </c>
      <c r="AL335">
        <f t="shared" si="66"/>
        <v>9.1025308641975311</v>
      </c>
      <c r="AM335">
        <f t="shared" si="67"/>
        <v>13.986584824691358</v>
      </c>
      <c r="AP335" s="9"/>
      <c r="AQ335" s="22">
        <v>0.13351399999999999</v>
      </c>
      <c r="AR335" s="22">
        <v>26.7058</v>
      </c>
      <c r="AS335" s="22">
        <v>-1.37512E-2</v>
      </c>
      <c r="AT335" s="22">
        <v>325</v>
      </c>
      <c r="AU335" s="22">
        <v>0.132965</v>
      </c>
      <c r="AV335">
        <f t="shared" si="68"/>
        <v>16.976790123456787</v>
      </c>
      <c r="AW335">
        <f t="shared" si="69"/>
        <v>2.2666391565432096</v>
      </c>
      <c r="AX335" s="9"/>
      <c r="AY335" s="22">
        <v>1.5365599999999999</v>
      </c>
      <c r="AZ335" s="22">
        <v>30.464600000000001</v>
      </c>
      <c r="BA335" s="22">
        <v>-7.3608399999999996E-3</v>
      </c>
      <c r="BB335" s="22">
        <v>325</v>
      </c>
      <c r="BC335" s="22">
        <v>1.5359499999999999</v>
      </c>
      <c r="BD335">
        <f t="shared" si="70"/>
        <v>9.087456790123456</v>
      </c>
      <c r="BE335">
        <f t="shared" si="71"/>
        <v>13.963422605432097</v>
      </c>
    </row>
    <row r="336" spans="6:57">
      <c r="F336" s="9"/>
      <c r="G336" s="22">
        <v>0.12847900000000001</v>
      </c>
      <c r="H336" s="22">
        <v>8.3124699999999994</v>
      </c>
      <c r="I336" s="22">
        <v>-1.3699299999999999E-2</v>
      </c>
      <c r="J336" s="22">
        <v>326</v>
      </c>
      <c r="K336" s="22">
        <v>0.127808</v>
      </c>
      <c r="L336">
        <f t="shared" si="60"/>
        <v>16.912716049382716</v>
      </c>
      <c r="M336">
        <f t="shared" si="61"/>
        <v>2.1729288453086419</v>
      </c>
      <c r="N336" s="9"/>
      <c r="O336" s="22">
        <v>1.5416000000000001</v>
      </c>
      <c r="P336" s="22">
        <v>12.071199999999999</v>
      </c>
      <c r="Q336" s="22">
        <v>-7.2357200000000002E-3</v>
      </c>
      <c r="R336" s="22">
        <v>326</v>
      </c>
      <c r="S336" s="22">
        <v>1.5414399999999999</v>
      </c>
      <c r="T336">
        <f t="shared" si="62"/>
        <v>8.9329876543209874</v>
      </c>
      <c r="U336">
        <f t="shared" si="63"/>
        <v>13.771093767901235</v>
      </c>
      <c r="X336" s="9"/>
      <c r="Y336" s="22">
        <v>0.12847900000000001</v>
      </c>
      <c r="Z336" s="22">
        <v>17.5397</v>
      </c>
      <c r="AA336" s="22">
        <v>-1.3717699999999999E-2</v>
      </c>
      <c r="AB336" s="22">
        <v>326</v>
      </c>
      <c r="AC336" s="22">
        <v>0.12786900000000001</v>
      </c>
      <c r="AD336">
        <f t="shared" si="64"/>
        <v>16.935432098765432</v>
      </c>
      <c r="AE336">
        <f t="shared" si="65"/>
        <v>2.175847380617284</v>
      </c>
      <c r="AF336" s="9"/>
      <c r="AG336" s="22">
        <v>1.5416000000000001</v>
      </c>
      <c r="AH336" s="22">
        <v>21.298400000000001</v>
      </c>
      <c r="AI336" s="22">
        <v>-7.2357200000000002E-3</v>
      </c>
      <c r="AJ336" s="22">
        <v>326</v>
      </c>
      <c r="AK336" s="22">
        <v>1.5408299999999999</v>
      </c>
      <c r="AL336">
        <f t="shared" si="66"/>
        <v>8.9329876543209874</v>
      </c>
      <c r="AM336">
        <f t="shared" si="67"/>
        <v>13.771093767901235</v>
      </c>
      <c r="AP336" s="9"/>
      <c r="AQ336" s="22">
        <v>0.12847900000000001</v>
      </c>
      <c r="AR336" s="22">
        <v>26.715900000000001</v>
      </c>
      <c r="AS336" s="22">
        <v>-1.37634E-2</v>
      </c>
      <c r="AT336" s="22">
        <v>326</v>
      </c>
      <c r="AU336" s="22">
        <v>0.12786900000000001</v>
      </c>
      <c r="AV336">
        <f t="shared" si="68"/>
        <v>16.991851851851852</v>
      </c>
      <c r="AW336">
        <f t="shared" si="69"/>
        <v>2.1830961340740744</v>
      </c>
      <c r="AX336" s="9"/>
      <c r="AY336" s="22">
        <v>1.5416000000000001</v>
      </c>
      <c r="AZ336" s="22">
        <v>30.474699999999999</v>
      </c>
      <c r="BA336" s="22">
        <v>-7.2265599999999999E-3</v>
      </c>
      <c r="BB336" s="22">
        <v>326</v>
      </c>
      <c r="BC336" s="22">
        <v>1.5402199999999999</v>
      </c>
      <c r="BD336">
        <f t="shared" si="70"/>
        <v>8.9216790123456775</v>
      </c>
      <c r="BE336">
        <f t="shared" si="71"/>
        <v>13.753660365432097</v>
      </c>
    </row>
    <row r="337" spans="6:57">
      <c r="F337" s="9"/>
      <c r="G337" s="22">
        <v>0.123444</v>
      </c>
      <c r="H337" s="22">
        <v>8.32254</v>
      </c>
      <c r="I337" s="22">
        <v>-1.37085E-2</v>
      </c>
      <c r="J337" s="22">
        <v>327</v>
      </c>
      <c r="K337" s="22">
        <v>0.122833</v>
      </c>
      <c r="L337">
        <f t="shared" si="60"/>
        <v>16.924074074074074</v>
      </c>
      <c r="M337">
        <f t="shared" si="61"/>
        <v>2.0891753999999998</v>
      </c>
      <c r="N337" s="9"/>
      <c r="O337" s="22">
        <v>1.5466299999999999</v>
      </c>
      <c r="P337" s="22">
        <v>12.081300000000001</v>
      </c>
      <c r="Q337" s="22">
        <v>-7.1014399999999997E-3</v>
      </c>
      <c r="R337" s="22">
        <v>327</v>
      </c>
      <c r="S337" s="22">
        <v>1.54572</v>
      </c>
      <c r="T337">
        <f t="shared" si="62"/>
        <v>8.7672098765432089</v>
      </c>
      <c r="U337">
        <f t="shared" si="63"/>
        <v>13.559629811358024</v>
      </c>
      <c r="X337" s="9"/>
      <c r="Y337" s="22">
        <v>0.123444</v>
      </c>
      <c r="Z337" s="22">
        <v>17.549700000000001</v>
      </c>
      <c r="AA337" s="22">
        <v>-1.37299E-2</v>
      </c>
      <c r="AB337" s="22">
        <v>327</v>
      </c>
      <c r="AC337" s="22">
        <v>0.122803</v>
      </c>
      <c r="AD337">
        <f t="shared" si="64"/>
        <v>16.950493827160493</v>
      </c>
      <c r="AE337">
        <f t="shared" si="65"/>
        <v>2.09243676</v>
      </c>
      <c r="AF337" s="9"/>
      <c r="AG337" s="22">
        <v>1.5466299999999999</v>
      </c>
      <c r="AH337" s="22">
        <v>21.308499999999999</v>
      </c>
      <c r="AI337" s="22">
        <v>-7.0983900000000004E-3</v>
      </c>
      <c r="AJ337" s="22">
        <v>327</v>
      </c>
      <c r="AK337" s="22">
        <v>1.54572</v>
      </c>
      <c r="AL337">
        <f t="shared" si="66"/>
        <v>8.7634444444444455</v>
      </c>
      <c r="AM337">
        <f t="shared" si="67"/>
        <v>13.553806081111112</v>
      </c>
      <c r="AP337" s="9"/>
      <c r="AQ337" s="22">
        <v>0.123444</v>
      </c>
      <c r="AR337" s="22">
        <v>26.725999999999999</v>
      </c>
      <c r="AS337" s="22">
        <v>-1.3772599999999999E-2</v>
      </c>
      <c r="AT337" s="22">
        <v>327</v>
      </c>
      <c r="AU337" s="22">
        <v>0.122803</v>
      </c>
      <c r="AV337">
        <f t="shared" si="68"/>
        <v>17.00320987654321</v>
      </c>
      <c r="AW337">
        <f t="shared" si="69"/>
        <v>2.0989442399999998</v>
      </c>
      <c r="AX337" s="9"/>
      <c r="AY337" s="22">
        <v>1.5466299999999999</v>
      </c>
      <c r="AZ337" s="22">
        <v>30.4847</v>
      </c>
      <c r="BA337" s="22">
        <v>-7.0861800000000001E-3</v>
      </c>
      <c r="BB337" s="22">
        <v>327</v>
      </c>
      <c r="BC337" s="22">
        <v>1.5450999999999999</v>
      </c>
      <c r="BD337">
        <f t="shared" si="70"/>
        <v>8.7483703703703704</v>
      </c>
      <c r="BE337">
        <f t="shared" si="71"/>
        <v>13.530492065925925</v>
      </c>
    </row>
    <row r="338" spans="6:57">
      <c r="F338" s="9"/>
      <c r="G338" s="22">
        <v>0.118408</v>
      </c>
      <c r="H338" s="22">
        <v>8.3326100000000007</v>
      </c>
      <c r="I338" s="22">
        <v>-1.3717699999999999E-2</v>
      </c>
      <c r="J338" s="22">
        <v>328</v>
      </c>
      <c r="K338" s="22">
        <v>0.117798</v>
      </c>
      <c r="L338">
        <f t="shared" si="60"/>
        <v>16.935432098765432</v>
      </c>
      <c r="M338">
        <f t="shared" si="61"/>
        <v>2.0052906439506173</v>
      </c>
      <c r="N338" s="9"/>
      <c r="O338" s="22">
        <v>1.5516700000000001</v>
      </c>
      <c r="P338" s="22">
        <v>12.0914</v>
      </c>
      <c r="Q338" s="22">
        <v>-6.9641099999999999E-3</v>
      </c>
      <c r="R338" s="22">
        <v>328</v>
      </c>
      <c r="S338" s="22">
        <v>1.54999</v>
      </c>
      <c r="T338">
        <f t="shared" si="62"/>
        <v>8.597666666666667</v>
      </c>
      <c r="U338">
        <f t="shared" si="63"/>
        <v>13.340741436666669</v>
      </c>
      <c r="X338" s="9"/>
      <c r="Y338" s="22">
        <v>0.118408</v>
      </c>
      <c r="Z338" s="22">
        <v>17.559799999999999</v>
      </c>
      <c r="AA338" s="22">
        <v>-1.37451E-2</v>
      </c>
      <c r="AB338" s="22">
        <v>328</v>
      </c>
      <c r="AC338" s="22">
        <v>0.117798</v>
      </c>
      <c r="AD338">
        <f t="shared" si="64"/>
        <v>16.969259259259257</v>
      </c>
      <c r="AE338">
        <f t="shared" si="65"/>
        <v>2.0092960503703701</v>
      </c>
      <c r="AF338" s="9"/>
      <c r="AG338" s="22">
        <v>1.5516700000000001</v>
      </c>
      <c r="AH338" s="22">
        <v>21.3186</v>
      </c>
      <c r="AI338" s="22">
        <v>-6.9580099999999997E-3</v>
      </c>
      <c r="AJ338" s="22">
        <v>328</v>
      </c>
      <c r="AK338" s="22">
        <v>1.5506</v>
      </c>
      <c r="AL338">
        <f t="shared" si="66"/>
        <v>8.5901358024691348</v>
      </c>
      <c r="AM338">
        <f t="shared" si="67"/>
        <v>13.329056020617283</v>
      </c>
      <c r="AP338" s="9"/>
      <c r="AQ338" s="22">
        <v>0.118408</v>
      </c>
      <c r="AR338" s="22">
        <v>26.736000000000001</v>
      </c>
      <c r="AS338" s="22">
        <v>-1.3787799999999999E-2</v>
      </c>
      <c r="AT338" s="22">
        <v>328</v>
      </c>
      <c r="AU338" s="22">
        <v>0.11770600000000001</v>
      </c>
      <c r="AV338">
        <f t="shared" si="68"/>
        <v>17.021975308641974</v>
      </c>
      <c r="AW338">
        <f t="shared" si="69"/>
        <v>2.0155380523456787</v>
      </c>
      <c r="AX338" s="9"/>
      <c r="AY338" s="22">
        <v>1.5516700000000001</v>
      </c>
      <c r="AZ338" s="22">
        <v>30.494800000000001</v>
      </c>
      <c r="BA338" s="22">
        <v>-6.9397E-3</v>
      </c>
      <c r="BB338" s="22">
        <v>328</v>
      </c>
      <c r="BC338" s="22">
        <v>1.5506</v>
      </c>
      <c r="BD338">
        <f t="shared" si="70"/>
        <v>8.5675308641975292</v>
      </c>
      <c r="BE338">
        <f t="shared" si="71"/>
        <v>13.293980616049382</v>
      </c>
    </row>
    <row r="339" spans="6:57">
      <c r="F339" s="9"/>
      <c r="G339" s="22">
        <v>0.113373</v>
      </c>
      <c r="H339" s="22">
        <v>8.3426799999999997</v>
      </c>
      <c r="I339" s="22">
        <v>-1.37238E-2</v>
      </c>
      <c r="J339" s="22">
        <v>329</v>
      </c>
      <c r="K339" s="22">
        <v>0.11282300000000001</v>
      </c>
      <c r="L339">
        <f t="shared" si="60"/>
        <v>16.942962962962962</v>
      </c>
      <c r="M339">
        <f t="shared" si="61"/>
        <v>1.92087454</v>
      </c>
      <c r="N339" s="9"/>
      <c r="O339" s="22">
        <v>1.5567</v>
      </c>
      <c r="P339" s="22">
        <v>12.1014</v>
      </c>
      <c r="Q339" s="22">
        <v>-6.82068E-3</v>
      </c>
      <c r="R339" s="22">
        <v>329</v>
      </c>
      <c r="S339" s="22">
        <v>1.55548</v>
      </c>
      <c r="T339">
        <f t="shared" si="62"/>
        <v>8.4205925925925929</v>
      </c>
      <c r="U339">
        <f t="shared" si="63"/>
        <v>13.10833648888889</v>
      </c>
      <c r="X339" s="9"/>
      <c r="Y339" s="22">
        <v>0.113373</v>
      </c>
      <c r="Z339" s="22">
        <v>17.569900000000001</v>
      </c>
      <c r="AA339" s="22">
        <v>-1.3754300000000001E-2</v>
      </c>
      <c r="AB339" s="22">
        <v>329</v>
      </c>
      <c r="AC339" s="22">
        <v>0.112732</v>
      </c>
      <c r="AD339">
        <f t="shared" si="64"/>
        <v>16.980617283950615</v>
      </c>
      <c r="AE339">
        <f t="shared" si="65"/>
        <v>1.9251435233333332</v>
      </c>
      <c r="AF339" s="9"/>
      <c r="AG339" s="22">
        <v>1.5567</v>
      </c>
      <c r="AH339" s="22">
        <v>21.328700000000001</v>
      </c>
      <c r="AI339" s="22">
        <v>-6.82068E-3</v>
      </c>
      <c r="AJ339" s="22">
        <v>329</v>
      </c>
      <c r="AK339" s="22">
        <v>1.55579</v>
      </c>
      <c r="AL339">
        <f t="shared" si="66"/>
        <v>8.4205925925925929</v>
      </c>
      <c r="AM339">
        <f t="shared" si="67"/>
        <v>13.10833648888889</v>
      </c>
      <c r="AP339" s="9"/>
      <c r="AQ339" s="22">
        <v>0.113373</v>
      </c>
      <c r="AR339" s="22">
        <v>26.746099999999998</v>
      </c>
      <c r="AS339" s="22">
        <v>-1.37909E-2</v>
      </c>
      <c r="AT339" s="22">
        <v>329</v>
      </c>
      <c r="AU339" s="22">
        <v>0.112732</v>
      </c>
      <c r="AV339">
        <f t="shared" si="68"/>
        <v>17.025802469135801</v>
      </c>
      <c r="AW339">
        <f t="shared" si="69"/>
        <v>1.9302663033333332</v>
      </c>
      <c r="AX339" s="9"/>
      <c r="AY339" s="22">
        <v>1.5567</v>
      </c>
      <c r="AZ339" s="22">
        <v>30.504899999999999</v>
      </c>
      <c r="BA339" s="22">
        <v>-6.7962600000000001E-3</v>
      </c>
      <c r="BB339" s="22">
        <v>329</v>
      </c>
      <c r="BC339" s="22">
        <v>1.55579</v>
      </c>
      <c r="BD339">
        <f t="shared" si="70"/>
        <v>8.3904444444444426</v>
      </c>
      <c r="BE339">
        <f t="shared" si="71"/>
        <v>13.061404866666663</v>
      </c>
    </row>
    <row r="340" spans="6:57">
      <c r="F340" s="9"/>
      <c r="G340" s="22">
        <v>0.108337</v>
      </c>
      <c r="H340" s="22">
        <v>8.3527500000000003</v>
      </c>
      <c r="I340" s="22">
        <v>-1.3717699999999999E-2</v>
      </c>
      <c r="J340" s="22">
        <v>330</v>
      </c>
      <c r="K340" s="22">
        <v>0.107697</v>
      </c>
      <c r="L340">
        <f t="shared" si="60"/>
        <v>16.935432098765432</v>
      </c>
      <c r="M340">
        <f t="shared" si="61"/>
        <v>1.8347339072839506</v>
      </c>
      <c r="N340" s="9"/>
      <c r="O340" s="22">
        <v>1.5617399999999999</v>
      </c>
      <c r="P340" s="22">
        <v>12.111499999999999</v>
      </c>
      <c r="Q340" s="22">
        <v>-6.67725E-3</v>
      </c>
      <c r="R340" s="22">
        <v>330</v>
      </c>
      <c r="S340" s="22">
        <v>1.56036</v>
      </c>
      <c r="T340">
        <f t="shared" si="62"/>
        <v>8.2435185185185187</v>
      </c>
      <c r="U340">
        <f t="shared" si="63"/>
        <v>12.874232611111111</v>
      </c>
      <c r="X340" s="9"/>
      <c r="Y340" s="22">
        <v>0.108337</v>
      </c>
      <c r="Z340" s="22">
        <v>17.579999999999998</v>
      </c>
      <c r="AA340" s="22">
        <v>-1.3760400000000001E-2</v>
      </c>
      <c r="AB340" s="22">
        <v>330</v>
      </c>
      <c r="AC340" s="22">
        <v>0.107727</v>
      </c>
      <c r="AD340">
        <f t="shared" si="64"/>
        <v>16.988148148148149</v>
      </c>
      <c r="AE340">
        <f t="shared" si="65"/>
        <v>1.8404450059259261</v>
      </c>
      <c r="AF340" s="9"/>
      <c r="AG340" s="22">
        <v>1.5617399999999999</v>
      </c>
      <c r="AH340" s="22">
        <v>21.338699999999999</v>
      </c>
      <c r="AI340" s="22">
        <v>-6.67725E-3</v>
      </c>
      <c r="AJ340" s="22">
        <v>330</v>
      </c>
      <c r="AK340" s="22">
        <v>1.56097</v>
      </c>
      <c r="AL340">
        <f t="shared" si="66"/>
        <v>8.2435185185185187</v>
      </c>
      <c r="AM340">
        <f t="shared" si="67"/>
        <v>12.874232611111111</v>
      </c>
      <c r="AP340" s="9"/>
      <c r="AQ340" s="22">
        <v>0.108337</v>
      </c>
      <c r="AR340" s="22">
        <v>26.7562</v>
      </c>
      <c r="AS340" s="22">
        <v>-1.3797E-2</v>
      </c>
      <c r="AT340" s="22">
        <v>330</v>
      </c>
      <c r="AU340" s="22">
        <v>0.107697</v>
      </c>
      <c r="AV340">
        <f t="shared" si="68"/>
        <v>17.033333333333331</v>
      </c>
      <c r="AW340">
        <f t="shared" si="69"/>
        <v>1.8453402333333331</v>
      </c>
      <c r="AX340" s="9"/>
      <c r="AY340" s="22">
        <v>1.5617399999999999</v>
      </c>
      <c r="AZ340" s="22">
        <v>30.514900000000001</v>
      </c>
      <c r="BA340" s="22">
        <v>-6.6497800000000001E-3</v>
      </c>
      <c r="BB340" s="22">
        <v>330</v>
      </c>
      <c r="BC340" s="22">
        <v>1.56128</v>
      </c>
      <c r="BD340">
        <f t="shared" si="70"/>
        <v>8.209604938271605</v>
      </c>
      <c r="BE340">
        <f t="shared" si="71"/>
        <v>12.821268416296295</v>
      </c>
    </row>
    <row r="341" spans="6:57">
      <c r="F341" s="9"/>
      <c r="G341" s="22">
        <v>0.103302</v>
      </c>
      <c r="H341" s="22">
        <v>8.3628199999999993</v>
      </c>
      <c r="I341" s="22">
        <v>-1.37146E-2</v>
      </c>
      <c r="J341" s="22">
        <v>331</v>
      </c>
      <c r="K341" s="22">
        <v>0.10272199999999999</v>
      </c>
      <c r="L341">
        <f t="shared" si="60"/>
        <v>16.931604938271605</v>
      </c>
      <c r="M341">
        <f t="shared" si="61"/>
        <v>1.7490686533333333</v>
      </c>
      <c r="N341" s="9"/>
      <c r="O341" s="22">
        <v>1.56677</v>
      </c>
      <c r="P341" s="22">
        <v>12.121600000000001</v>
      </c>
      <c r="Q341" s="22">
        <v>-6.5277099999999999E-3</v>
      </c>
      <c r="R341" s="22">
        <v>331</v>
      </c>
      <c r="S341" s="22">
        <v>1.56616</v>
      </c>
      <c r="T341">
        <f t="shared" si="62"/>
        <v>8.0589012345678999</v>
      </c>
      <c r="U341">
        <f t="shared" si="63"/>
        <v>12.626444687283948</v>
      </c>
      <c r="X341" s="9"/>
      <c r="Y341" s="22">
        <v>0.103302</v>
      </c>
      <c r="Z341" s="22">
        <v>17.59</v>
      </c>
      <c r="AA341" s="22">
        <v>-1.37695E-2</v>
      </c>
      <c r="AB341" s="22">
        <v>331</v>
      </c>
      <c r="AC341" s="22">
        <v>0.102631</v>
      </c>
      <c r="AD341">
        <f t="shared" si="64"/>
        <v>16.999382716049382</v>
      </c>
      <c r="AE341">
        <f t="shared" si="65"/>
        <v>1.7560702333333333</v>
      </c>
      <c r="AF341" s="9"/>
      <c r="AG341" s="22">
        <v>1.56677</v>
      </c>
      <c r="AH341" s="22">
        <v>21.348800000000001</v>
      </c>
      <c r="AI341" s="22">
        <v>-6.5277099999999999E-3</v>
      </c>
      <c r="AJ341" s="22">
        <v>331</v>
      </c>
      <c r="AK341" s="22">
        <v>1.56647</v>
      </c>
      <c r="AL341">
        <f t="shared" si="66"/>
        <v>8.0589012345678999</v>
      </c>
      <c r="AM341">
        <f t="shared" si="67"/>
        <v>12.626444687283948</v>
      </c>
      <c r="AP341" s="9"/>
      <c r="AQ341" s="22">
        <v>0.103302</v>
      </c>
      <c r="AR341" s="22">
        <v>26.766300000000001</v>
      </c>
      <c r="AS341" s="22">
        <v>-1.3809200000000001E-2</v>
      </c>
      <c r="AT341" s="22">
        <v>331</v>
      </c>
      <c r="AU341" s="22">
        <v>0.10269200000000001</v>
      </c>
      <c r="AV341">
        <f t="shared" si="68"/>
        <v>17.048395061728392</v>
      </c>
      <c r="AW341">
        <f t="shared" si="69"/>
        <v>1.7611333066666666</v>
      </c>
      <c r="AX341" s="9"/>
      <c r="AY341" s="22">
        <v>1.56677</v>
      </c>
      <c r="AZ341" s="22">
        <v>30.524999999999999</v>
      </c>
      <c r="BA341" s="22">
        <v>-6.5033000000000001E-3</v>
      </c>
      <c r="BB341" s="22">
        <v>331</v>
      </c>
      <c r="BC341" s="22">
        <v>1.56586</v>
      </c>
      <c r="BD341">
        <f t="shared" si="70"/>
        <v>8.0287654320987656</v>
      </c>
      <c r="BE341">
        <f t="shared" si="71"/>
        <v>12.579228816049383</v>
      </c>
    </row>
    <row r="342" spans="6:57">
      <c r="F342" s="9"/>
      <c r="G342" s="22">
        <v>9.8266599999999996E-2</v>
      </c>
      <c r="H342" s="22">
        <v>8.3728899999999999</v>
      </c>
      <c r="I342" s="22">
        <v>-1.3717699999999999E-2</v>
      </c>
      <c r="J342" s="22">
        <v>332</v>
      </c>
      <c r="K342" s="22">
        <v>9.7656300000000001E-2</v>
      </c>
      <c r="L342">
        <f t="shared" si="60"/>
        <v>16.935432098765432</v>
      </c>
      <c r="M342">
        <f t="shared" si="61"/>
        <v>1.6641873318765432</v>
      </c>
      <c r="N342" s="9"/>
      <c r="O342" s="22">
        <v>1.5718099999999999</v>
      </c>
      <c r="P342" s="22">
        <v>12.1317</v>
      </c>
      <c r="Q342" s="22">
        <v>-6.3812299999999999E-3</v>
      </c>
      <c r="R342" s="22">
        <v>332</v>
      </c>
      <c r="S342" s="22">
        <v>1.57104</v>
      </c>
      <c r="T342">
        <f t="shared" si="62"/>
        <v>7.8780617283950614</v>
      </c>
      <c r="U342">
        <f t="shared" si="63"/>
        <v>12.382816205308641</v>
      </c>
      <c r="X342" s="9"/>
      <c r="Y342" s="22">
        <v>9.8266599999999996E-2</v>
      </c>
      <c r="Z342" s="22">
        <v>17.600100000000001</v>
      </c>
      <c r="AA342" s="22">
        <v>-1.3775600000000001E-2</v>
      </c>
      <c r="AB342" s="22">
        <v>332</v>
      </c>
      <c r="AC342" s="22">
        <v>9.7625699999999996E-2</v>
      </c>
      <c r="AD342">
        <f t="shared" si="64"/>
        <v>17.006913580246916</v>
      </c>
      <c r="AE342">
        <f t="shared" si="65"/>
        <v>1.6712115740246916</v>
      </c>
      <c r="AF342" s="9"/>
      <c r="AG342" s="22">
        <v>1.5718099999999999</v>
      </c>
      <c r="AH342" s="22">
        <v>21.358899999999998</v>
      </c>
      <c r="AI342" s="22">
        <v>-6.3781699999999998E-3</v>
      </c>
      <c r="AJ342" s="22">
        <v>332</v>
      </c>
      <c r="AK342" s="22">
        <v>1.57104</v>
      </c>
      <c r="AL342">
        <f t="shared" si="66"/>
        <v>7.8742839506172837</v>
      </c>
      <c r="AM342">
        <f t="shared" si="67"/>
        <v>12.376878256419753</v>
      </c>
      <c r="AP342" s="9"/>
      <c r="AQ342" s="22">
        <v>9.8266599999999996E-2</v>
      </c>
      <c r="AR342" s="22">
        <v>26.776299999999999</v>
      </c>
      <c r="AS342" s="22">
        <v>-1.38031E-2</v>
      </c>
      <c r="AT342" s="22">
        <v>332</v>
      </c>
      <c r="AU342" s="22">
        <v>9.7625699999999996E-2</v>
      </c>
      <c r="AV342">
        <f t="shared" si="68"/>
        <v>17.040864197530862</v>
      </c>
      <c r="AW342">
        <f t="shared" si="69"/>
        <v>1.6745477857530862</v>
      </c>
      <c r="AX342" s="9"/>
      <c r="AY342" s="22">
        <v>1.5718099999999999</v>
      </c>
      <c r="AZ342" s="22">
        <v>30.5351</v>
      </c>
      <c r="BA342" s="22">
        <v>-6.35376E-3</v>
      </c>
      <c r="BB342" s="22">
        <v>332</v>
      </c>
      <c r="BC342" s="22">
        <v>1.57074</v>
      </c>
      <c r="BD342">
        <f t="shared" si="70"/>
        <v>7.8441481481481468</v>
      </c>
      <c r="BE342">
        <f t="shared" si="71"/>
        <v>12.329510500740739</v>
      </c>
    </row>
    <row r="343" spans="6:57">
      <c r="F343" s="9"/>
      <c r="G343" s="22">
        <v>9.32312E-2</v>
      </c>
      <c r="H343" s="22">
        <v>8.3829600000000006</v>
      </c>
      <c r="I343" s="22">
        <v>-1.37238E-2</v>
      </c>
      <c r="J343" s="22">
        <v>333</v>
      </c>
      <c r="K343" s="22">
        <v>9.25903E-2</v>
      </c>
      <c r="L343">
        <f t="shared" si="60"/>
        <v>16.942962962962962</v>
      </c>
      <c r="M343">
        <f t="shared" si="61"/>
        <v>1.5796127685925925</v>
      </c>
      <c r="N343" s="9"/>
      <c r="O343" s="22">
        <v>1.57684</v>
      </c>
      <c r="P343" s="22">
        <v>12.1417</v>
      </c>
      <c r="Q343" s="22">
        <v>-6.2255899999999996E-3</v>
      </c>
      <c r="R343" s="22">
        <v>333</v>
      </c>
      <c r="S343" s="22">
        <v>1.57623</v>
      </c>
      <c r="T343">
        <f t="shared" si="62"/>
        <v>7.685913580246913</v>
      </c>
      <c r="U343">
        <f t="shared" si="63"/>
        <v>12.119455969876542</v>
      </c>
      <c r="X343" s="9"/>
      <c r="Y343" s="22">
        <v>9.32312E-2</v>
      </c>
      <c r="Z343" s="22">
        <v>17.610199999999999</v>
      </c>
      <c r="AA343" s="22">
        <v>-1.3781699999999999E-2</v>
      </c>
      <c r="AB343" s="22">
        <v>333</v>
      </c>
      <c r="AC343" s="22">
        <v>9.2681899999999998E-2</v>
      </c>
      <c r="AD343">
        <f t="shared" si="64"/>
        <v>17.014444444444443</v>
      </c>
      <c r="AE343">
        <f t="shared" si="65"/>
        <v>1.5862770728888889</v>
      </c>
      <c r="AF343" s="9"/>
      <c r="AG343" s="22">
        <v>1.57684</v>
      </c>
      <c r="AH343" s="22">
        <v>21.3689</v>
      </c>
      <c r="AI343" s="22">
        <v>-6.2194800000000003E-3</v>
      </c>
      <c r="AJ343" s="22">
        <v>333</v>
      </c>
      <c r="AK343" s="22">
        <v>1.5759300000000001</v>
      </c>
      <c r="AL343">
        <f t="shared" si="66"/>
        <v>7.6783703703703701</v>
      </c>
      <c r="AM343">
        <f t="shared" si="67"/>
        <v>12.107561534814815</v>
      </c>
      <c r="AP343" s="9"/>
      <c r="AQ343" s="22">
        <v>9.32312E-2</v>
      </c>
      <c r="AR343" s="22">
        <v>26.7864</v>
      </c>
      <c r="AS343" s="22">
        <v>-1.3815300000000001E-2</v>
      </c>
      <c r="AT343" s="22">
        <v>333</v>
      </c>
      <c r="AU343" s="22">
        <v>9.2620800000000003E-2</v>
      </c>
      <c r="AV343">
        <f t="shared" si="68"/>
        <v>17.055925925925926</v>
      </c>
      <c r="AW343">
        <f t="shared" si="69"/>
        <v>1.5901444411851853</v>
      </c>
      <c r="AX343" s="9"/>
      <c r="AY343" s="22">
        <v>1.57684</v>
      </c>
      <c r="AZ343" s="22">
        <v>30.545200000000001</v>
      </c>
      <c r="BA343" s="22">
        <v>-6.2011699999999998E-3</v>
      </c>
      <c r="BB343" s="22">
        <v>333</v>
      </c>
      <c r="BC343" s="22">
        <v>1.57562</v>
      </c>
      <c r="BD343">
        <f t="shared" si="70"/>
        <v>7.6557654320987645</v>
      </c>
      <c r="BE343">
        <f t="shared" si="71"/>
        <v>12.071917163950616</v>
      </c>
    </row>
    <row r="344" spans="6:57">
      <c r="F344" s="9"/>
      <c r="G344" s="22">
        <v>8.8195800000000005E-2</v>
      </c>
      <c r="H344" s="22">
        <v>8.3930299999999995</v>
      </c>
      <c r="I344" s="22">
        <v>-1.37299E-2</v>
      </c>
      <c r="J344" s="22">
        <v>334</v>
      </c>
      <c r="K344" s="22">
        <v>8.7554900000000005E-2</v>
      </c>
      <c r="L344">
        <f t="shared" si="60"/>
        <v>16.950493827160493</v>
      </c>
      <c r="M344">
        <f t="shared" si="61"/>
        <v>1.4949623634814815</v>
      </c>
      <c r="N344" s="9"/>
      <c r="O344" s="22">
        <v>1.58188</v>
      </c>
      <c r="P344" s="22">
        <v>12.1518</v>
      </c>
      <c r="Q344" s="22">
        <v>-6.0760500000000004E-3</v>
      </c>
      <c r="R344" s="22">
        <v>334</v>
      </c>
      <c r="S344" s="22">
        <v>1.5811200000000001</v>
      </c>
      <c r="T344">
        <f t="shared" si="62"/>
        <v>7.5012962962962959</v>
      </c>
      <c r="U344">
        <f t="shared" si="63"/>
        <v>11.866150585185185</v>
      </c>
      <c r="X344" s="9"/>
      <c r="Y344" s="22">
        <v>8.8195800000000005E-2</v>
      </c>
      <c r="Z344" s="22">
        <v>17.620200000000001</v>
      </c>
      <c r="AA344" s="22">
        <v>-1.3781699999999999E-2</v>
      </c>
      <c r="AB344" s="22">
        <v>334</v>
      </c>
      <c r="AC344" s="22">
        <v>8.7554900000000005E-2</v>
      </c>
      <c r="AD344">
        <f t="shared" si="64"/>
        <v>17.014444444444443</v>
      </c>
      <c r="AE344">
        <f t="shared" si="65"/>
        <v>1.5006025393333333</v>
      </c>
      <c r="AF344" s="9"/>
      <c r="AG344" s="22">
        <v>1.58188</v>
      </c>
      <c r="AH344" s="22">
        <v>21.379000000000001</v>
      </c>
      <c r="AI344" s="22">
        <v>-6.0668900000000001E-3</v>
      </c>
      <c r="AJ344" s="22">
        <v>334</v>
      </c>
      <c r="AK344" s="22">
        <v>1.58081</v>
      </c>
      <c r="AL344">
        <f t="shared" si="66"/>
        <v>7.4899876543209869</v>
      </c>
      <c r="AM344">
        <f t="shared" si="67"/>
        <v>11.848261670617282</v>
      </c>
      <c r="AP344" s="9"/>
      <c r="AQ344" s="22">
        <v>8.8195800000000005E-2</v>
      </c>
      <c r="AR344" s="22">
        <v>26.796500000000002</v>
      </c>
      <c r="AS344" s="22">
        <v>-1.38275E-2</v>
      </c>
      <c r="AT344" s="22">
        <v>334</v>
      </c>
      <c r="AU344" s="22">
        <v>8.7554900000000005E-2</v>
      </c>
      <c r="AV344">
        <f t="shared" si="68"/>
        <v>17.070987654320987</v>
      </c>
      <c r="AW344">
        <f t="shared" si="69"/>
        <v>1.505589412962963</v>
      </c>
      <c r="AX344" s="9"/>
      <c r="AY344" s="22">
        <v>1.58188</v>
      </c>
      <c r="AZ344" s="22">
        <v>30.555199999999999</v>
      </c>
      <c r="BA344" s="22">
        <v>-6.0455300000000003E-3</v>
      </c>
      <c r="BB344" s="22">
        <v>334</v>
      </c>
      <c r="BC344" s="22">
        <v>1.58081</v>
      </c>
      <c r="BD344">
        <f t="shared" si="70"/>
        <v>7.463617283950617</v>
      </c>
      <c r="BE344">
        <f t="shared" si="71"/>
        <v>11.806546909135802</v>
      </c>
    </row>
    <row r="345" spans="6:57">
      <c r="F345" s="9"/>
      <c r="G345" s="22">
        <v>8.3160399999999995E-2</v>
      </c>
      <c r="H345" s="22">
        <v>8.4031000000000002</v>
      </c>
      <c r="I345" s="22">
        <v>-1.3736E-2</v>
      </c>
      <c r="J345" s="22">
        <v>335</v>
      </c>
      <c r="K345" s="22">
        <v>8.2549999999999998E-2</v>
      </c>
      <c r="L345">
        <f t="shared" si="60"/>
        <v>16.958024691358023</v>
      </c>
      <c r="M345">
        <f t="shared" si="61"/>
        <v>1.4102361165432096</v>
      </c>
      <c r="N345" s="9"/>
      <c r="O345" s="22">
        <v>1.58691</v>
      </c>
      <c r="P345" s="22">
        <v>12.161899999999999</v>
      </c>
      <c r="Q345" s="22">
        <v>-5.91736E-3</v>
      </c>
      <c r="R345" s="22">
        <v>335</v>
      </c>
      <c r="S345" s="22">
        <v>1.5860000000000001</v>
      </c>
      <c r="T345">
        <f t="shared" si="62"/>
        <v>7.3053827160493823</v>
      </c>
      <c r="U345">
        <f t="shared" si="63"/>
        <v>11.592984885925926</v>
      </c>
      <c r="X345" s="9"/>
      <c r="Y345" s="22">
        <v>8.3160399999999995E-2</v>
      </c>
      <c r="Z345" s="22">
        <v>17.630299999999998</v>
      </c>
      <c r="AA345" s="22">
        <v>-1.37848E-2</v>
      </c>
      <c r="AB345" s="22">
        <v>335</v>
      </c>
      <c r="AC345" s="22">
        <v>8.2489000000000007E-2</v>
      </c>
      <c r="AD345">
        <f t="shared" si="64"/>
        <v>17.018271604938271</v>
      </c>
      <c r="AE345">
        <f t="shared" si="65"/>
        <v>1.4152462739753084</v>
      </c>
      <c r="AF345" s="9"/>
      <c r="AG345" s="22">
        <v>1.58691</v>
      </c>
      <c r="AH345" s="22">
        <v>21.389099999999999</v>
      </c>
      <c r="AI345" s="22">
        <v>-5.9081999999999997E-3</v>
      </c>
      <c r="AJ345" s="22">
        <v>335</v>
      </c>
      <c r="AK345" s="22">
        <v>1.5860000000000001</v>
      </c>
      <c r="AL345">
        <f t="shared" si="66"/>
        <v>7.2940740740740733</v>
      </c>
      <c r="AM345">
        <f t="shared" si="67"/>
        <v>11.575039088888888</v>
      </c>
      <c r="AP345" s="9"/>
      <c r="AQ345" s="22">
        <v>8.3160399999999995E-2</v>
      </c>
      <c r="AR345" s="22">
        <v>26.8065</v>
      </c>
      <c r="AS345" s="22">
        <v>-1.38367E-2</v>
      </c>
      <c r="AT345" s="22">
        <v>335</v>
      </c>
      <c r="AU345" s="22">
        <v>8.2549999999999998E-2</v>
      </c>
      <c r="AV345">
        <f t="shared" si="68"/>
        <v>17.082345679012345</v>
      </c>
      <c r="AW345">
        <f t="shared" si="69"/>
        <v>1.4205746996049382</v>
      </c>
      <c r="AX345" s="9"/>
      <c r="AY345" s="22">
        <v>1.58691</v>
      </c>
      <c r="AZ345" s="22">
        <v>30.565300000000001</v>
      </c>
      <c r="BA345" s="22">
        <v>-5.88684E-3</v>
      </c>
      <c r="BB345" s="22">
        <v>335</v>
      </c>
      <c r="BC345" s="22">
        <v>1.5866100000000001</v>
      </c>
      <c r="BD345">
        <f t="shared" si="70"/>
        <v>7.2677037037037033</v>
      </c>
      <c r="BE345">
        <f t="shared" si="71"/>
        <v>11.533191684444445</v>
      </c>
    </row>
    <row r="346" spans="6:57">
      <c r="F346" s="9"/>
      <c r="G346" s="22">
        <v>7.8125E-2</v>
      </c>
      <c r="H346" s="22">
        <v>8.4131800000000005</v>
      </c>
      <c r="I346" s="22">
        <v>-1.3738999999999999E-2</v>
      </c>
      <c r="J346" s="22">
        <v>336</v>
      </c>
      <c r="K346" s="22">
        <v>7.7545199999999995E-2</v>
      </c>
      <c r="L346">
        <f t="shared" si="60"/>
        <v>16.961728395061726</v>
      </c>
      <c r="M346">
        <f t="shared" si="61"/>
        <v>1.3251350308641974</v>
      </c>
      <c r="N346" s="9"/>
      <c r="O346" s="22">
        <v>1.59195</v>
      </c>
      <c r="P346" s="22">
        <v>12.171900000000001</v>
      </c>
      <c r="Q346" s="22">
        <v>-5.7556200000000004E-3</v>
      </c>
      <c r="R346" s="22">
        <v>336</v>
      </c>
      <c r="S346" s="22">
        <v>1.5908800000000001</v>
      </c>
      <c r="T346">
        <f t="shared" si="62"/>
        <v>7.1057037037037034</v>
      </c>
      <c r="U346">
        <f t="shared" si="63"/>
        <v>11.311925011111111</v>
      </c>
      <c r="X346" s="9"/>
      <c r="Y346" s="22">
        <v>7.8125E-2</v>
      </c>
      <c r="Z346" s="22">
        <v>17.6404</v>
      </c>
      <c r="AA346" s="22">
        <v>-1.3781699999999999E-2</v>
      </c>
      <c r="AB346" s="22">
        <v>336</v>
      </c>
      <c r="AC346" s="22">
        <v>7.76062E-2</v>
      </c>
      <c r="AD346">
        <f t="shared" si="64"/>
        <v>17.014444444444443</v>
      </c>
      <c r="AE346">
        <f t="shared" si="65"/>
        <v>1.3292534722222222</v>
      </c>
      <c r="AF346" s="9"/>
      <c r="AG346" s="22">
        <v>1.59195</v>
      </c>
      <c r="AH346" s="22">
        <v>21.399100000000001</v>
      </c>
      <c r="AI346" s="22">
        <v>-5.74341E-3</v>
      </c>
      <c r="AJ346" s="22">
        <v>336</v>
      </c>
      <c r="AK346" s="22">
        <v>1.5914900000000001</v>
      </c>
      <c r="AL346">
        <f t="shared" si="66"/>
        <v>7.0906296296296292</v>
      </c>
      <c r="AM346">
        <f t="shared" si="67"/>
        <v>11.287927838888889</v>
      </c>
      <c r="AP346" s="9"/>
      <c r="AQ346" s="22">
        <v>7.8125E-2</v>
      </c>
      <c r="AR346" s="22">
        <v>26.816600000000001</v>
      </c>
      <c r="AS346" s="22">
        <v>-1.38397E-2</v>
      </c>
      <c r="AT346" s="22">
        <v>336</v>
      </c>
      <c r="AU346" s="22">
        <v>7.7514600000000003E-2</v>
      </c>
      <c r="AV346">
        <f t="shared" si="68"/>
        <v>17.086049382716048</v>
      </c>
      <c r="AW346">
        <f t="shared" si="69"/>
        <v>1.3348476080246914</v>
      </c>
      <c r="AX346" s="9"/>
      <c r="AY346" s="22">
        <v>1.59195</v>
      </c>
      <c r="AZ346" s="22">
        <v>30.575399999999998</v>
      </c>
      <c r="BA346" s="22">
        <v>-5.7220500000000002E-3</v>
      </c>
      <c r="BB346" s="22">
        <v>336</v>
      </c>
      <c r="BC346" s="22">
        <v>1.5911900000000001</v>
      </c>
      <c r="BD346">
        <f t="shared" si="70"/>
        <v>7.0642592592592592</v>
      </c>
      <c r="BE346">
        <f t="shared" si="71"/>
        <v>11.245947527777778</v>
      </c>
    </row>
    <row r="347" spans="6:57">
      <c r="F347" s="9"/>
      <c r="G347" s="22">
        <v>7.3089600000000005E-2</v>
      </c>
      <c r="H347" s="22">
        <v>8.4232499999999995</v>
      </c>
      <c r="I347" s="22">
        <v>-1.37421E-2</v>
      </c>
      <c r="J347" s="22">
        <v>337</v>
      </c>
      <c r="K347" s="22">
        <v>7.2448700000000005E-2</v>
      </c>
      <c r="L347">
        <f t="shared" si="60"/>
        <v>16.965555555555554</v>
      </c>
      <c r="M347">
        <f t="shared" si="61"/>
        <v>1.2400056693333332</v>
      </c>
      <c r="N347" s="9"/>
      <c r="O347" s="22">
        <v>1.5969800000000001</v>
      </c>
      <c r="P347" s="22">
        <v>12.182</v>
      </c>
      <c r="Q347" s="22">
        <v>-5.5877699999999997E-3</v>
      </c>
      <c r="R347" s="22">
        <v>337</v>
      </c>
      <c r="S347" s="22">
        <v>1.5966800000000001</v>
      </c>
      <c r="T347">
        <f t="shared" si="62"/>
        <v>6.8984814814814799</v>
      </c>
      <c r="U347">
        <f t="shared" si="63"/>
        <v>11.016736956296294</v>
      </c>
      <c r="X347" s="9"/>
      <c r="Y347" s="22">
        <v>7.3089600000000005E-2</v>
      </c>
      <c r="Z347" s="22">
        <v>17.650500000000001</v>
      </c>
      <c r="AA347" s="22">
        <v>-1.37848E-2</v>
      </c>
      <c r="AB347" s="22">
        <v>337</v>
      </c>
      <c r="AC347" s="22">
        <v>7.2540300000000002E-2</v>
      </c>
      <c r="AD347">
        <f t="shared" si="64"/>
        <v>17.018271604938271</v>
      </c>
      <c r="AE347">
        <f t="shared" si="65"/>
        <v>1.2438586642962963</v>
      </c>
      <c r="AF347" s="9"/>
      <c r="AG347" s="22">
        <v>1.5969800000000001</v>
      </c>
      <c r="AH347" s="22">
        <v>21.409199999999998</v>
      </c>
      <c r="AI347" s="22">
        <v>-5.5816700000000004E-3</v>
      </c>
      <c r="AJ347" s="22">
        <v>337</v>
      </c>
      <c r="AK347" s="22">
        <v>1.5960700000000001</v>
      </c>
      <c r="AL347">
        <f t="shared" si="66"/>
        <v>6.8909506172839503</v>
      </c>
      <c r="AM347">
        <f t="shared" si="67"/>
        <v>11.004710316790124</v>
      </c>
      <c r="AP347" s="9"/>
      <c r="AQ347" s="22">
        <v>7.3089600000000005E-2</v>
      </c>
      <c r="AR347" s="22">
        <v>26.826699999999999</v>
      </c>
      <c r="AS347" s="22">
        <v>-1.38397E-2</v>
      </c>
      <c r="AT347" s="22">
        <v>337</v>
      </c>
      <c r="AU347" s="22">
        <v>7.2418200000000002E-2</v>
      </c>
      <c r="AV347">
        <f t="shared" si="68"/>
        <v>17.086049382716048</v>
      </c>
      <c r="AW347">
        <f t="shared" si="69"/>
        <v>1.248812514962963</v>
      </c>
      <c r="AX347" s="9"/>
      <c r="AY347" s="22">
        <v>1.5969800000000001</v>
      </c>
      <c r="AZ347" s="22">
        <v>30.5854</v>
      </c>
      <c r="BA347" s="22">
        <v>-5.5572499999999997E-3</v>
      </c>
      <c r="BB347" s="22">
        <v>337</v>
      </c>
      <c r="BC347" s="22">
        <v>1.5960700000000001</v>
      </c>
      <c r="BD347">
        <f t="shared" si="70"/>
        <v>6.8608024691358018</v>
      </c>
      <c r="BE347">
        <f t="shared" si="71"/>
        <v>10.956564327160493</v>
      </c>
    </row>
    <row r="348" spans="6:57">
      <c r="F348" s="9"/>
      <c r="G348" s="22">
        <v>6.8054199999999995E-2</v>
      </c>
      <c r="H348" s="22">
        <v>8.4333200000000001</v>
      </c>
      <c r="I348" s="22">
        <v>-1.37482E-2</v>
      </c>
      <c r="J348" s="22">
        <v>338</v>
      </c>
      <c r="K348" s="22">
        <v>6.7474400000000004E-2</v>
      </c>
      <c r="L348">
        <f t="shared" si="60"/>
        <v>16.973086419753084</v>
      </c>
      <c r="M348">
        <f t="shared" si="61"/>
        <v>1.1550898178271602</v>
      </c>
      <c r="N348" s="9"/>
      <c r="O348" s="22">
        <v>1.60202</v>
      </c>
      <c r="P348" s="22">
        <v>12.1921</v>
      </c>
      <c r="Q348" s="22">
        <v>-5.4168699999999998E-3</v>
      </c>
      <c r="R348" s="22">
        <v>338</v>
      </c>
      <c r="S348" s="22">
        <v>1.6015600000000001</v>
      </c>
      <c r="T348">
        <f t="shared" si="62"/>
        <v>6.6874938271604929</v>
      </c>
      <c r="U348">
        <f t="shared" si="63"/>
        <v>10.713498860987652</v>
      </c>
      <c r="X348" s="9"/>
      <c r="Y348" s="22">
        <v>6.8054199999999995E-2</v>
      </c>
      <c r="Z348" s="22">
        <v>17.660499999999999</v>
      </c>
      <c r="AA348" s="22">
        <v>-1.3787799999999999E-2</v>
      </c>
      <c r="AB348" s="22">
        <v>338</v>
      </c>
      <c r="AC348" s="22">
        <v>6.7413299999999995E-2</v>
      </c>
      <c r="AD348">
        <f t="shared" si="64"/>
        <v>17.021975308641974</v>
      </c>
      <c r="AE348">
        <f t="shared" si="65"/>
        <v>1.1584169120493826</v>
      </c>
      <c r="AF348" s="9"/>
      <c r="AG348" s="22">
        <v>1.60202</v>
      </c>
      <c r="AH348" s="22">
        <v>21.4193</v>
      </c>
      <c r="AI348" s="22">
        <v>-5.4107699999999996E-3</v>
      </c>
      <c r="AJ348" s="22">
        <v>338</v>
      </c>
      <c r="AK348" s="22">
        <v>1.6009500000000001</v>
      </c>
      <c r="AL348">
        <f t="shared" si="66"/>
        <v>6.6799629629629624</v>
      </c>
      <c r="AM348">
        <f t="shared" si="67"/>
        <v>10.701434265925926</v>
      </c>
      <c r="AP348" s="9"/>
      <c r="AQ348" s="22">
        <v>6.8054199999999995E-2</v>
      </c>
      <c r="AR348" s="22">
        <v>26.8368</v>
      </c>
      <c r="AS348" s="22">
        <v>-1.38458E-2</v>
      </c>
      <c r="AT348" s="22">
        <v>338</v>
      </c>
      <c r="AU348" s="22">
        <v>6.7474400000000004E-2</v>
      </c>
      <c r="AV348">
        <f t="shared" si="68"/>
        <v>17.093580246913579</v>
      </c>
      <c r="AW348">
        <f t="shared" si="69"/>
        <v>1.163289928839506</v>
      </c>
      <c r="AX348" s="9"/>
      <c r="AY348" s="22">
        <v>1.60202</v>
      </c>
      <c r="AZ348" s="22">
        <v>30.595500000000001</v>
      </c>
      <c r="BA348" s="22">
        <v>-5.3893999999999999E-3</v>
      </c>
      <c r="BB348" s="22">
        <v>338</v>
      </c>
      <c r="BC348" s="22">
        <v>1.6012599999999999</v>
      </c>
      <c r="BD348">
        <f t="shared" si="70"/>
        <v>6.6535802469135801</v>
      </c>
      <c r="BE348">
        <f t="shared" si="71"/>
        <v>10.659168627160494</v>
      </c>
    </row>
    <row r="349" spans="6:57">
      <c r="F349" s="9"/>
      <c r="G349" s="22">
        <v>6.30188E-2</v>
      </c>
      <c r="H349" s="22">
        <v>8.4433900000000008</v>
      </c>
      <c r="I349" s="22">
        <v>-1.37421E-2</v>
      </c>
      <c r="J349" s="22">
        <v>339</v>
      </c>
      <c r="K349" s="22">
        <v>6.23779E-2</v>
      </c>
      <c r="L349">
        <f t="shared" si="60"/>
        <v>16.965555555555554</v>
      </c>
      <c r="M349">
        <f t="shared" si="61"/>
        <v>1.0691489524444444</v>
      </c>
      <c r="N349" s="9"/>
      <c r="O349" s="22">
        <v>1.6070599999999999</v>
      </c>
      <c r="P349" s="22">
        <v>12.202199999999999</v>
      </c>
      <c r="Q349" s="22">
        <v>-5.24597E-3</v>
      </c>
      <c r="R349" s="22">
        <v>339</v>
      </c>
      <c r="S349" s="22">
        <v>1.6061399999999999</v>
      </c>
      <c r="T349">
        <f t="shared" si="62"/>
        <v>6.4765061728395059</v>
      </c>
      <c r="U349">
        <f t="shared" si="63"/>
        <v>10.408134010123456</v>
      </c>
      <c r="X349" s="9"/>
      <c r="Y349" s="22">
        <v>6.30188E-2</v>
      </c>
      <c r="Z349" s="22">
        <v>17.6706</v>
      </c>
      <c r="AA349" s="22">
        <v>-1.3806199999999999E-2</v>
      </c>
      <c r="AB349" s="22">
        <v>339</v>
      </c>
      <c r="AC349" s="22">
        <v>6.2439000000000001E-2</v>
      </c>
      <c r="AD349">
        <f t="shared" si="64"/>
        <v>17.044691358024689</v>
      </c>
      <c r="AE349">
        <f t="shared" si="65"/>
        <v>1.0741359957530863</v>
      </c>
      <c r="AF349" s="9"/>
      <c r="AG349" s="22">
        <v>1.6070599999999999</v>
      </c>
      <c r="AH349" s="22">
        <v>21.429400000000001</v>
      </c>
      <c r="AI349" s="22">
        <v>-5.2398699999999998E-3</v>
      </c>
      <c r="AJ349" s="22">
        <v>339</v>
      </c>
      <c r="AK349" s="22">
        <v>1.6064499999999999</v>
      </c>
      <c r="AL349">
        <f t="shared" si="66"/>
        <v>6.4689753086419746</v>
      </c>
      <c r="AM349">
        <f t="shared" si="67"/>
        <v>10.396031459506171</v>
      </c>
      <c r="AP349" s="9"/>
      <c r="AQ349" s="22">
        <v>6.30188E-2</v>
      </c>
      <c r="AR349" s="22">
        <v>26.846800000000002</v>
      </c>
      <c r="AS349" s="22">
        <v>-1.3842800000000001E-2</v>
      </c>
      <c r="AT349" s="22">
        <v>339</v>
      </c>
      <c r="AU349" s="22">
        <v>6.2408400000000003E-2</v>
      </c>
      <c r="AV349">
        <f t="shared" si="68"/>
        <v>17.089876543209876</v>
      </c>
      <c r="AW349">
        <f t="shared" si="69"/>
        <v>1.0769835119012345</v>
      </c>
      <c r="AX349" s="9"/>
      <c r="AY349" s="22">
        <v>1.6070599999999999</v>
      </c>
      <c r="AZ349" s="22">
        <v>30.605599999999999</v>
      </c>
      <c r="BA349" s="22">
        <v>-5.2246100000000002E-3</v>
      </c>
      <c r="BB349" s="22">
        <v>339</v>
      </c>
      <c r="BC349" s="22">
        <v>1.6061399999999999</v>
      </c>
      <c r="BD349">
        <f t="shared" si="70"/>
        <v>6.4501358024691351</v>
      </c>
      <c r="BE349">
        <f t="shared" si="71"/>
        <v>10.365755242716048</v>
      </c>
    </row>
    <row r="350" spans="6:57">
      <c r="F350" s="9"/>
      <c r="G350" s="22">
        <v>5.7983399999999997E-2</v>
      </c>
      <c r="H350" s="22">
        <v>8.4534599999999998</v>
      </c>
      <c r="I350" s="22">
        <v>-1.37421E-2</v>
      </c>
      <c r="J350" s="22">
        <v>340</v>
      </c>
      <c r="K350" s="22">
        <v>5.7373E-2</v>
      </c>
      <c r="L350">
        <f t="shared" si="60"/>
        <v>16.965555555555554</v>
      </c>
      <c r="M350">
        <f t="shared" si="61"/>
        <v>0.98372059399999989</v>
      </c>
      <c r="N350" s="9"/>
      <c r="O350" s="22">
        <v>1.61209</v>
      </c>
      <c r="P350" s="22">
        <v>12.212199999999999</v>
      </c>
      <c r="Q350" s="22">
        <v>-5.07202E-3</v>
      </c>
      <c r="R350" s="22">
        <v>340</v>
      </c>
      <c r="S350" s="22">
        <v>1.6113299999999999</v>
      </c>
      <c r="T350">
        <f t="shared" si="62"/>
        <v>6.2617530864197528</v>
      </c>
      <c r="U350">
        <f t="shared" si="63"/>
        <v>10.09450953308642</v>
      </c>
      <c r="X350" s="9"/>
      <c r="Y350" s="22">
        <v>5.7983399999999997E-2</v>
      </c>
      <c r="Z350" s="22">
        <v>17.680700000000002</v>
      </c>
      <c r="AA350" s="22">
        <v>-1.3821399999999999E-2</v>
      </c>
      <c r="AB350" s="22">
        <v>340</v>
      </c>
      <c r="AC350" s="22">
        <v>5.7342499999999998E-2</v>
      </c>
      <c r="AD350">
        <f t="shared" si="64"/>
        <v>17.063456790123453</v>
      </c>
      <c r="AE350">
        <f t="shared" si="65"/>
        <v>0.98939724044444421</v>
      </c>
      <c r="AF350" s="9"/>
      <c r="AG350" s="22">
        <v>1.61209</v>
      </c>
      <c r="AH350" s="22">
        <v>21.439399999999999</v>
      </c>
      <c r="AI350" s="22">
        <v>-5.0598099999999997E-3</v>
      </c>
      <c r="AJ350" s="22">
        <v>340</v>
      </c>
      <c r="AK350" s="22">
        <v>1.6110199999999999</v>
      </c>
      <c r="AL350">
        <f t="shared" si="66"/>
        <v>6.2466790123456777</v>
      </c>
      <c r="AM350">
        <f t="shared" si="67"/>
        <v>10.070208769012345</v>
      </c>
      <c r="AP350" s="9"/>
      <c r="AQ350" s="22">
        <v>5.7983399999999997E-2</v>
      </c>
      <c r="AR350" s="22">
        <v>26.8569</v>
      </c>
      <c r="AS350" s="22">
        <v>-1.38397E-2</v>
      </c>
      <c r="AT350" s="22">
        <v>340</v>
      </c>
      <c r="AU350" s="22">
        <v>5.7373E-2</v>
      </c>
      <c r="AV350">
        <f t="shared" si="68"/>
        <v>17.086049382716048</v>
      </c>
      <c r="AW350">
        <f t="shared" si="69"/>
        <v>0.99070723577777764</v>
      </c>
      <c r="AX350" s="9"/>
      <c r="AY350" s="22">
        <v>1.61209</v>
      </c>
      <c r="AZ350" s="22">
        <v>30.6157</v>
      </c>
      <c r="BA350" s="22">
        <v>-5.0537100000000003E-3</v>
      </c>
      <c r="BB350" s="22">
        <v>340</v>
      </c>
      <c r="BC350" s="22">
        <v>1.6110199999999999</v>
      </c>
      <c r="BD350">
        <f t="shared" si="70"/>
        <v>6.2391481481481481</v>
      </c>
      <c r="BE350">
        <f t="shared" si="71"/>
        <v>10.058068338148148</v>
      </c>
    </row>
    <row r="351" spans="6:57">
      <c r="F351" s="9"/>
      <c r="G351" s="22">
        <v>5.2948000000000002E-2</v>
      </c>
      <c r="H351" s="22">
        <v>8.4635300000000004</v>
      </c>
      <c r="I351" s="22">
        <v>-1.3736E-2</v>
      </c>
      <c r="J351" s="22">
        <v>341</v>
      </c>
      <c r="K351" s="22">
        <v>5.2398699999999999E-2</v>
      </c>
      <c r="L351">
        <f t="shared" si="60"/>
        <v>16.958024691358023</v>
      </c>
      <c r="M351">
        <f t="shared" si="61"/>
        <v>0.89789349135802465</v>
      </c>
      <c r="N351" s="9"/>
      <c r="O351" s="22">
        <v>1.61713</v>
      </c>
      <c r="P351" s="22">
        <v>12.222300000000001</v>
      </c>
      <c r="Q351" s="22">
        <v>-4.89471E-3</v>
      </c>
      <c r="R351" s="22">
        <v>341</v>
      </c>
      <c r="S351" s="22">
        <v>1.6162099999999999</v>
      </c>
      <c r="T351">
        <f t="shared" si="62"/>
        <v>6.042851851851851</v>
      </c>
      <c r="U351">
        <f t="shared" si="63"/>
        <v>9.7720770151851841</v>
      </c>
      <c r="X351" s="9"/>
      <c r="Y351" s="22">
        <v>5.2948000000000002E-2</v>
      </c>
      <c r="Z351" s="22">
        <v>17.6907</v>
      </c>
      <c r="AA351" s="22">
        <v>-1.38275E-2</v>
      </c>
      <c r="AB351" s="22">
        <v>341</v>
      </c>
      <c r="AC351" s="22">
        <v>5.2337599999999998E-2</v>
      </c>
      <c r="AD351">
        <f t="shared" si="64"/>
        <v>17.070987654320987</v>
      </c>
      <c r="AE351">
        <f t="shared" si="65"/>
        <v>0.90387465432098768</v>
      </c>
      <c r="AF351" s="9"/>
      <c r="AG351" s="22">
        <v>1.61713</v>
      </c>
      <c r="AH351" s="22">
        <v>21.4495</v>
      </c>
      <c r="AI351" s="22">
        <v>-4.8855599999999997E-3</v>
      </c>
      <c r="AJ351" s="22">
        <v>341</v>
      </c>
      <c r="AK351" s="22">
        <v>1.6162099999999999</v>
      </c>
      <c r="AL351">
        <f t="shared" si="66"/>
        <v>6.0315555555555544</v>
      </c>
      <c r="AM351">
        <f t="shared" si="67"/>
        <v>9.7538094355555529</v>
      </c>
      <c r="AP351" s="9"/>
      <c r="AQ351" s="22">
        <v>5.2948000000000002E-2</v>
      </c>
      <c r="AR351" s="22">
        <v>26.867000000000001</v>
      </c>
      <c r="AS351" s="22">
        <v>-1.3848900000000001E-2</v>
      </c>
      <c r="AT351" s="22">
        <v>341</v>
      </c>
      <c r="AU351" s="22">
        <v>5.2337599999999998E-2</v>
      </c>
      <c r="AV351">
        <f t="shared" si="68"/>
        <v>17.09740740740741</v>
      </c>
      <c r="AW351">
        <f t="shared" si="69"/>
        <v>0.90527352740740752</v>
      </c>
      <c r="AX351" s="9"/>
      <c r="AY351" s="22">
        <v>1.61713</v>
      </c>
      <c r="AZ351" s="22">
        <v>30.625699999999998</v>
      </c>
      <c r="BA351" s="22">
        <v>-4.8782299999999999E-3</v>
      </c>
      <c r="BB351" s="22">
        <v>341</v>
      </c>
      <c r="BC351" s="22">
        <v>1.61591</v>
      </c>
      <c r="BD351">
        <f t="shared" si="70"/>
        <v>6.0225061728395053</v>
      </c>
      <c r="BE351">
        <f t="shared" si="71"/>
        <v>9.7391754072839483</v>
      </c>
    </row>
    <row r="352" spans="6:57">
      <c r="F352" s="9"/>
      <c r="G352" s="22">
        <v>4.79126E-2</v>
      </c>
      <c r="H352" s="22">
        <v>8.4735999999999994</v>
      </c>
      <c r="I352" s="22">
        <v>-1.37421E-2</v>
      </c>
      <c r="J352" s="22">
        <v>342</v>
      </c>
      <c r="K352" s="22">
        <v>4.7772200000000001E-2</v>
      </c>
      <c r="L352">
        <f t="shared" si="60"/>
        <v>16.965555555555554</v>
      </c>
      <c r="M352">
        <f t="shared" si="61"/>
        <v>0.81286387711111097</v>
      </c>
      <c r="N352" s="9"/>
      <c r="O352" s="22">
        <v>1.62216</v>
      </c>
      <c r="P352" s="22">
        <v>12.2324</v>
      </c>
      <c r="Q352" s="22">
        <v>-4.7164900000000003E-3</v>
      </c>
      <c r="R352" s="22">
        <v>342</v>
      </c>
      <c r="S352" s="22">
        <v>1.6210899999999999</v>
      </c>
      <c r="T352">
        <f t="shared" si="62"/>
        <v>5.8228271604938273</v>
      </c>
      <c r="U352">
        <f t="shared" si="63"/>
        <v>9.445557306666668</v>
      </c>
      <c r="X352" s="9"/>
      <c r="Y352" s="22">
        <v>4.79126E-2</v>
      </c>
      <c r="Z352" s="22">
        <v>17.700800000000001</v>
      </c>
      <c r="AA352" s="22">
        <v>-1.38336E-2</v>
      </c>
      <c r="AB352" s="22">
        <v>342</v>
      </c>
      <c r="AC352" s="22">
        <v>4.7769199999999998E-2</v>
      </c>
      <c r="AD352">
        <f t="shared" si="64"/>
        <v>17.078518518518518</v>
      </c>
      <c r="AE352">
        <f t="shared" si="65"/>
        <v>0.81827622637037034</v>
      </c>
      <c r="AF352" s="9"/>
      <c r="AG352" s="22">
        <v>1.62216</v>
      </c>
      <c r="AH352" s="22">
        <v>21.459599999999998</v>
      </c>
      <c r="AI352" s="22">
        <v>-4.7085599999999997E-3</v>
      </c>
      <c r="AJ352" s="22">
        <v>342</v>
      </c>
      <c r="AK352" s="22">
        <v>1.6216999999999999</v>
      </c>
      <c r="AL352">
        <f t="shared" si="66"/>
        <v>5.8130370370370361</v>
      </c>
      <c r="AM352">
        <f t="shared" si="67"/>
        <v>9.4296761599999996</v>
      </c>
      <c r="AP352" s="9"/>
      <c r="AQ352" s="22">
        <v>4.79126E-2</v>
      </c>
      <c r="AR352" s="22">
        <v>26.876999999999999</v>
      </c>
      <c r="AS352" s="22">
        <v>-1.38458E-2</v>
      </c>
      <c r="AT352" s="22">
        <v>342</v>
      </c>
      <c r="AU352" s="22">
        <v>4.7750899999999999E-2</v>
      </c>
      <c r="AV352">
        <f t="shared" si="68"/>
        <v>17.093580246913579</v>
      </c>
      <c r="AW352">
        <f t="shared" si="69"/>
        <v>0.81899787293827153</v>
      </c>
      <c r="AX352" s="9"/>
      <c r="AY352" s="22">
        <v>1.62216</v>
      </c>
      <c r="AZ352" s="22">
        <v>30.6358</v>
      </c>
      <c r="BA352" s="22">
        <v>-4.6972699999999999E-3</v>
      </c>
      <c r="BB352" s="22">
        <v>342</v>
      </c>
      <c r="BC352" s="22">
        <v>1.62079</v>
      </c>
      <c r="BD352">
        <f t="shared" si="70"/>
        <v>5.7990987654320989</v>
      </c>
      <c r="BE352">
        <f t="shared" si="71"/>
        <v>9.4070660533333346</v>
      </c>
    </row>
    <row r="353" spans="6:57">
      <c r="F353" s="9"/>
      <c r="G353" s="22">
        <v>4.2877199999999997E-2</v>
      </c>
      <c r="H353" s="22">
        <v>8.48367</v>
      </c>
      <c r="I353" s="22">
        <v>-1.37482E-2</v>
      </c>
      <c r="J353" s="22">
        <v>343</v>
      </c>
      <c r="K353" s="22">
        <v>4.2752100000000001E-2</v>
      </c>
      <c r="L353">
        <f t="shared" si="60"/>
        <v>16.973086419753084</v>
      </c>
      <c r="M353">
        <f t="shared" si="61"/>
        <v>0.72775842103703692</v>
      </c>
      <c r="N353" s="9"/>
      <c r="O353" s="22">
        <v>1.6272</v>
      </c>
      <c r="P353" s="22">
        <v>12.2424</v>
      </c>
      <c r="Q353" s="22">
        <v>-4.5336899999999999E-3</v>
      </c>
      <c r="R353" s="22">
        <v>343</v>
      </c>
      <c r="S353" s="22">
        <v>1.62598</v>
      </c>
      <c r="T353">
        <f t="shared" si="62"/>
        <v>5.5971481481481478</v>
      </c>
      <c r="U353">
        <f t="shared" si="63"/>
        <v>9.1076794666666654</v>
      </c>
      <c r="X353" s="9"/>
      <c r="Y353" s="22">
        <v>4.2877199999999997E-2</v>
      </c>
      <c r="Z353" s="22">
        <v>17.710899999999999</v>
      </c>
      <c r="AA353" s="22">
        <v>-1.38458E-2</v>
      </c>
      <c r="AB353" s="22">
        <v>343</v>
      </c>
      <c r="AC353" s="22">
        <v>4.2730700000000003E-2</v>
      </c>
      <c r="AD353">
        <f t="shared" si="64"/>
        <v>17.093580246913579</v>
      </c>
      <c r="AE353">
        <f t="shared" si="65"/>
        <v>0.73292485896296289</v>
      </c>
      <c r="AF353" s="9"/>
      <c r="AG353" s="22">
        <v>1.6272</v>
      </c>
      <c r="AH353" s="22">
        <v>21.4696</v>
      </c>
      <c r="AI353" s="22">
        <v>-4.5269799999999999E-3</v>
      </c>
      <c r="AJ353" s="22">
        <v>343</v>
      </c>
      <c r="AK353" s="22">
        <v>1.6262799999999999</v>
      </c>
      <c r="AL353">
        <f t="shared" si="66"/>
        <v>5.5888641975308637</v>
      </c>
      <c r="AM353">
        <f t="shared" si="67"/>
        <v>9.0941998222222207</v>
      </c>
      <c r="AP353" s="9"/>
      <c r="AQ353" s="22">
        <v>4.2877199999999997E-2</v>
      </c>
      <c r="AR353" s="22">
        <v>26.8871</v>
      </c>
      <c r="AS353" s="22">
        <v>-1.3848900000000001E-2</v>
      </c>
      <c r="AT353" s="22">
        <v>343</v>
      </c>
      <c r="AU353" s="22">
        <v>4.2724600000000001E-2</v>
      </c>
      <c r="AV353">
        <f t="shared" si="68"/>
        <v>17.09740740740741</v>
      </c>
      <c r="AW353">
        <f t="shared" si="69"/>
        <v>0.73308895688888898</v>
      </c>
      <c r="AX353" s="9"/>
      <c r="AY353" s="22">
        <v>1.6272</v>
      </c>
      <c r="AZ353" s="22">
        <v>30.645900000000001</v>
      </c>
      <c r="BA353" s="22">
        <v>-4.5159900000000001E-3</v>
      </c>
      <c r="BB353" s="22">
        <v>343</v>
      </c>
      <c r="BC353" s="22">
        <v>1.6262799999999999</v>
      </c>
      <c r="BD353">
        <f t="shared" si="70"/>
        <v>5.5752962962962958</v>
      </c>
      <c r="BE353">
        <f t="shared" si="71"/>
        <v>9.0721221333333322</v>
      </c>
    </row>
    <row r="354" spans="6:57">
      <c r="F354" s="9"/>
      <c r="G354" s="22">
        <v>3.7841800000000002E-2</v>
      </c>
      <c r="H354" s="22">
        <v>8.4937400000000007</v>
      </c>
      <c r="I354" s="22">
        <v>-1.3760400000000001E-2</v>
      </c>
      <c r="J354" s="22">
        <v>344</v>
      </c>
      <c r="K354" s="22">
        <v>3.7646499999999999E-2</v>
      </c>
      <c r="L354">
        <f t="shared" si="60"/>
        <v>16.988148148148149</v>
      </c>
      <c r="M354">
        <f t="shared" si="61"/>
        <v>0.64286210459259263</v>
      </c>
      <c r="N354" s="9"/>
      <c r="O354" s="22">
        <v>1.6322300000000001</v>
      </c>
      <c r="P354" s="22">
        <v>12.2525</v>
      </c>
      <c r="Q354" s="22">
        <v>-4.3490600000000001E-3</v>
      </c>
      <c r="R354" s="22">
        <v>344</v>
      </c>
      <c r="S354" s="22">
        <v>1.6317699999999999</v>
      </c>
      <c r="T354">
        <f t="shared" si="62"/>
        <v>5.3692098765432092</v>
      </c>
      <c r="U354">
        <f t="shared" si="63"/>
        <v>8.7637854367901227</v>
      </c>
      <c r="X354" s="9"/>
      <c r="Y354" s="22">
        <v>3.7841800000000002E-2</v>
      </c>
      <c r="Z354" s="22">
        <v>17.721</v>
      </c>
      <c r="AA354" s="22">
        <v>-1.38519E-2</v>
      </c>
      <c r="AB354" s="22">
        <v>344</v>
      </c>
      <c r="AC354" s="22">
        <v>3.7649500000000002E-2</v>
      </c>
      <c r="AD354">
        <f t="shared" si="64"/>
        <v>17.101111111111113</v>
      </c>
      <c r="AE354">
        <f t="shared" si="65"/>
        <v>0.64713682644444459</v>
      </c>
      <c r="AF354" s="9"/>
      <c r="AG354" s="22">
        <v>1.6322300000000001</v>
      </c>
      <c r="AH354" s="22">
        <v>21.479700000000001</v>
      </c>
      <c r="AI354" s="22">
        <v>-4.3417400000000002E-3</v>
      </c>
      <c r="AJ354" s="22">
        <v>344</v>
      </c>
      <c r="AK354" s="22">
        <v>1.6317699999999999</v>
      </c>
      <c r="AL354">
        <f t="shared" si="66"/>
        <v>5.3601728395061725</v>
      </c>
      <c r="AM354">
        <f t="shared" si="67"/>
        <v>8.7490349138271597</v>
      </c>
      <c r="AP354" s="9"/>
      <c r="AQ354" s="22">
        <v>3.7841800000000002E-2</v>
      </c>
      <c r="AR354" s="22">
        <v>26.897200000000002</v>
      </c>
      <c r="AS354" s="22">
        <v>-1.3861099999999999E-2</v>
      </c>
      <c r="AT354" s="22">
        <v>344</v>
      </c>
      <c r="AU354" s="22">
        <v>3.7689199999999999E-2</v>
      </c>
      <c r="AV354">
        <f t="shared" si="68"/>
        <v>17.112469135802467</v>
      </c>
      <c r="AW354">
        <f t="shared" si="69"/>
        <v>0.64756663454320984</v>
      </c>
      <c r="AX354" s="9"/>
      <c r="AY354" s="22">
        <v>1.6322300000000001</v>
      </c>
      <c r="AZ354" s="22">
        <v>30.655899999999999</v>
      </c>
      <c r="BA354" s="22">
        <v>-4.32556E-3</v>
      </c>
      <c r="BB354" s="22">
        <v>344</v>
      </c>
      <c r="BC354" s="22">
        <v>1.6311599999999999</v>
      </c>
      <c r="BD354">
        <f t="shared" si="70"/>
        <v>5.3401975308641969</v>
      </c>
      <c r="BE354">
        <f t="shared" si="71"/>
        <v>8.7164306158024694</v>
      </c>
    </row>
    <row r="355" spans="6:57">
      <c r="F355" s="9"/>
      <c r="G355" s="22">
        <v>3.2806399999999999E-2</v>
      </c>
      <c r="H355" s="22">
        <v>8.5038099999999996</v>
      </c>
      <c r="I355" s="22">
        <v>-1.37695E-2</v>
      </c>
      <c r="J355" s="22">
        <v>345</v>
      </c>
      <c r="K355" s="22">
        <v>3.2617199999999999E-2</v>
      </c>
      <c r="L355">
        <f t="shared" si="60"/>
        <v>16.999382716049382</v>
      </c>
      <c r="M355">
        <f t="shared" si="61"/>
        <v>0.55768854913580246</v>
      </c>
      <c r="N355" s="9"/>
      <c r="O355" s="22">
        <v>1.63727</v>
      </c>
      <c r="P355" s="22">
        <v>12.262600000000001</v>
      </c>
      <c r="Q355" s="22">
        <v>-4.1613800000000001E-3</v>
      </c>
      <c r="R355" s="22">
        <v>345</v>
      </c>
      <c r="S355" s="22">
        <v>1.63635</v>
      </c>
      <c r="T355">
        <f t="shared" si="62"/>
        <v>5.1375061728395055</v>
      </c>
      <c r="U355">
        <f t="shared" si="63"/>
        <v>8.4114847316049364</v>
      </c>
      <c r="X355" s="9"/>
      <c r="Y355" s="22">
        <v>3.2806399999999999E-2</v>
      </c>
      <c r="Z355" s="22">
        <v>17.731000000000002</v>
      </c>
      <c r="AA355" s="22">
        <v>-1.38519E-2</v>
      </c>
      <c r="AB355" s="22">
        <v>345</v>
      </c>
      <c r="AC355" s="22">
        <v>3.2620200000000002E-2</v>
      </c>
      <c r="AD355">
        <f t="shared" si="64"/>
        <v>17.101111111111113</v>
      </c>
      <c r="AE355">
        <f t="shared" si="65"/>
        <v>0.5610258915555556</v>
      </c>
      <c r="AF355" s="9"/>
      <c r="AG355" s="22">
        <v>1.63727</v>
      </c>
      <c r="AH355" s="22">
        <v>21.489799999999999</v>
      </c>
      <c r="AI355" s="22">
        <v>-4.1528299999999997E-3</v>
      </c>
      <c r="AJ355" s="22">
        <v>345</v>
      </c>
      <c r="AK355" s="22">
        <v>1.63635</v>
      </c>
      <c r="AL355">
        <f t="shared" si="66"/>
        <v>5.1269506172839492</v>
      </c>
      <c r="AM355">
        <f t="shared" si="67"/>
        <v>8.3942024371604909</v>
      </c>
      <c r="AP355" s="9"/>
      <c r="AQ355" s="22">
        <v>3.2806399999999999E-2</v>
      </c>
      <c r="AR355" s="22">
        <v>26.907299999999999</v>
      </c>
      <c r="AS355" s="22">
        <v>-1.38733E-2</v>
      </c>
      <c r="AT355" s="22">
        <v>345</v>
      </c>
      <c r="AU355" s="22">
        <v>3.2607999999999998E-2</v>
      </c>
      <c r="AV355">
        <f t="shared" si="68"/>
        <v>17.127530864197528</v>
      </c>
      <c r="AW355">
        <f t="shared" si="69"/>
        <v>0.56189262854320976</v>
      </c>
      <c r="AX355" s="9"/>
      <c r="AY355" s="22">
        <v>1.63727</v>
      </c>
      <c r="AZ355" s="22">
        <v>30.666</v>
      </c>
      <c r="BA355" s="22">
        <v>-4.1351299999999999E-3</v>
      </c>
      <c r="BB355" s="22">
        <v>345</v>
      </c>
      <c r="BC355" s="22">
        <v>1.63635</v>
      </c>
      <c r="BD355">
        <f t="shared" si="70"/>
        <v>5.105098765432099</v>
      </c>
      <c r="BE355">
        <f t="shared" si="71"/>
        <v>8.3584250556790121</v>
      </c>
    </row>
    <row r="356" spans="6:57">
      <c r="F356" s="9"/>
      <c r="G356" s="22">
        <v>2.7771000000000001E-2</v>
      </c>
      <c r="H356" s="22">
        <v>8.51389</v>
      </c>
      <c r="I356" s="22">
        <v>-1.3766499999999999E-2</v>
      </c>
      <c r="J356" s="22">
        <v>346</v>
      </c>
      <c r="K356" s="22">
        <v>2.75818E-2</v>
      </c>
      <c r="L356">
        <f t="shared" si="60"/>
        <v>16.995679012345676</v>
      </c>
      <c r="M356">
        <f t="shared" si="61"/>
        <v>0.47198700185185177</v>
      </c>
      <c r="N356" s="9"/>
      <c r="O356" s="22">
        <v>1.6423000000000001</v>
      </c>
      <c r="P356" s="22">
        <v>12.272600000000001</v>
      </c>
      <c r="Q356" s="22">
        <v>-3.9730800000000004E-3</v>
      </c>
      <c r="R356" s="22">
        <v>346</v>
      </c>
      <c r="S356" s="22">
        <v>1.64124</v>
      </c>
      <c r="T356">
        <f t="shared" si="62"/>
        <v>4.9050370370370366</v>
      </c>
      <c r="U356">
        <f t="shared" si="63"/>
        <v>8.0555423259259253</v>
      </c>
      <c r="X356" s="9"/>
      <c r="Y356" s="22">
        <v>2.7771000000000001E-2</v>
      </c>
      <c r="Z356" s="22">
        <v>17.741099999999999</v>
      </c>
      <c r="AA356" s="22">
        <v>-1.3848900000000001E-2</v>
      </c>
      <c r="AB356" s="22">
        <v>346</v>
      </c>
      <c r="AC356" s="22">
        <v>2.7578700000000001E-2</v>
      </c>
      <c r="AD356">
        <f t="shared" si="64"/>
        <v>17.09740740740741</v>
      </c>
      <c r="AE356">
        <f t="shared" si="65"/>
        <v>0.47481210111111116</v>
      </c>
      <c r="AF356" s="9"/>
      <c r="AG356" s="22">
        <v>1.6423000000000001</v>
      </c>
      <c r="AH356" s="22">
        <v>21.4999</v>
      </c>
      <c r="AI356" s="22">
        <v>-3.9636200000000002E-3</v>
      </c>
      <c r="AJ356" s="22">
        <v>346</v>
      </c>
      <c r="AK356" s="22">
        <v>1.64154</v>
      </c>
      <c r="AL356">
        <f t="shared" si="66"/>
        <v>4.8933580246913575</v>
      </c>
      <c r="AM356">
        <f t="shared" si="67"/>
        <v>8.036361883950617</v>
      </c>
      <c r="AP356" s="9"/>
      <c r="AQ356" s="22">
        <v>2.7771000000000001E-2</v>
      </c>
      <c r="AR356" s="22">
        <v>26.917300000000001</v>
      </c>
      <c r="AS356" s="22">
        <v>-1.38794E-2</v>
      </c>
      <c r="AT356" s="22">
        <v>346</v>
      </c>
      <c r="AU356" s="22">
        <v>2.75696E-2</v>
      </c>
      <c r="AV356">
        <f t="shared" si="68"/>
        <v>17.135061728395058</v>
      </c>
      <c r="AW356">
        <f t="shared" si="69"/>
        <v>0.4758577992592592</v>
      </c>
      <c r="AX356" s="9"/>
      <c r="AY356" s="22">
        <v>1.6423000000000001</v>
      </c>
      <c r="AZ356" s="22">
        <v>30.676100000000002</v>
      </c>
      <c r="BA356" s="22">
        <v>-3.9392100000000003E-3</v>
      </c>
      <c r="BB356" s="22">
        <v>346</v>
      </c>
      <c r="BC356" s="22">
        <v>1.64124</v>
      </c>
      <c r="BD356">
        <f t="shared" si="70"/>
        <v>4.8632222222222223</v>
      </c>
      <c r="BE356">
        <f t="shared" si="71"/>
        <v>7.9868698555555566</v>
      </c>
    </row>
    <row r="357" spans="6:57">
      <c r="F357" s="9"/>
      <c r="G357" s="22">
        <v>2.2735600000000002E-2</v>
      </c>
      <c r="H357" s="22">
        <v>8.5239600000000006</v>
      </c>
      <c r="I357" s="22">
        <v>-1.3766499999999999E-2</v>
      </c>
      <c r="J357" s="22">
        <v>347</v>
      </c>
      <c r="K357" s="22">
        <v>2.24976E-2</v>
      </c>
      <c r="L357">
        <f t="shared" si="60"/>
        <v>16.995679012345676</v>
      </c>
      <c r="M357">
        <f t="shared" si="61"/>
        <v>0.38640695975308637</v>
      </c>
      <c r="N357" s="9"/>
      <c r="O357" s="22">
        <v>1.64734</v>
      </c>
      <c r="P357" s="22">
        <v>12.2827</v>
      </c>
      <c r="Q357" s="22">
        <v>-3.7753299999999999E-3</v>
      </c>
      <c r="R357" s="22">
        <v>347</v>
      </c>
      <c r="S357" s="22">
        <v>1.64612</v>
      </c>
      <c r="T357">
        <f t="shared" si="62"/>
        <v>4.6609012345679011</v>
      </c>
      <c r="U357">
        <f t="shared" si="63"/>
        <v>7.6780890397530861</v>
      </c>
      <c r="X357" s="9"/>
      <c r="Y357" s="22">
        <v>2.2735600000000002E-2</v>
      </c>
      <c r="Z357" s="22">
        <v>17.751200000000001</v>
      </c>
      <c r="AA357" s="22">
        <v>-1.3848900000000001E-2</v>
      </c>
      <c r="AB357" s="22">
        <v>347</v>
      </c>
      <c r="AC357" s="22">
        <v>2.2512799999999999E-2</v>
      </c>
      <c r="AD357">
        <f t="shared" si="64"/>
        <v>17.09740740740741</v>
      </c>
      <c r="AE357">
        <f t="shared" si="65"/>
        <v>0.38871981585185195</v>
      </c>
      <c r="AF357" s="9"/>
      <c r="AG357" s="22">
        <v>1.64734</v>
      </c>
      <c r="AH357" s="22">
        <v>21.509899999999998</v>
      </c>
      <c r="AI357" s="22">
        <v>-3.77167E-3</v>
      </c>
      <c r="AJ357" s="22">
        <v>347</v>
      </c>
      <c r="AK357" s="22">
        <v>1.64642</v>
      </c>
      <c r="AL357">
        <f t="shared" si="66"/>
        <v>4.6563827160493823</v>
      </c>
      <c r="AM357">
        <f t="shared" si="67"/>
        <v>7.6706455034567895</v>
      </c>
      <c r="AP357" s="9"/>
      <c r="AQ357" s="22">
        <v>2.2735600000000002E-2</v>
      </c>
      <c r="AR357" s="22">
        <v>26.927399999999999</v>
      </c>
      <c r="AS357" s="22">
        <v>-1.38824E-2</v>
      </c>
      <c r="AT357" s="22">
        <v>347</v>
      </c>
      <c r="AU357" s="22">
        <v>2.2512799999999999E-2</v>
      </c>
      <c r="AV357">
        <f t="shared" si="68"/>
        <v>17.138765432098765</v>
      </c>
      <c r="AW357">
        <f t="shared" si="69"/>
        <v>0.38966011535802469</v>
      </c>
      <c r="AX357" s="9"/>
      <c r="AY357" s="22">
        <v>1.64734</v>
      </c>
      <c r="AZ357" s="22">
        <v>30.686199999999999</v>
      </c>
      <c r="BA357" s="22">
        <v>-3.7469500000000002E-3</v>
      </c>
      <c r="BB357" s="22">
        <v>347</v>
      </c>
      <c r="BC357" s="22">
        <v>1.64642</v>
      </c>
      <c r="BD357">
        <f t="shared" si="70"/>
        <v>4.6258641975308645</v>
      </c>
      <c r="BE357">
        <f t="shared" si="71"/>
        <v>7.6203711271604941</v>
      </c>
    </row>
    <row r="358" spans="6:57">
      <c r="F358" s="9"/>
      <c r="G358" s="22">
        <v>1.7700199999999999E-2</v>
      </c>
      <c r="H358" s="22">
        <v>8.5340299999999996</v>
      </c>
      <c r="I358" s="22">
        <v>-1.3766499999999999E-2</v>
      </c>
      <c r="J358" s="22">
        <v>348</v>
      </c>
      <c r="K358" s="22">
        <v>1.7471299999999999E-2</v>
      </c>
      <c r="L358">
        <f t="shared" si="60"/>
        <v>16.995679012345676</v>
      </c>
      <c r="M358">
        <f t="shared" si="61"/>
        <v>0.3008269176543209</v>
      </c>
      <c r="N358" s="9"/>
      <c r="O358" s="22">
        <v>1.6523699999999999</v>
      </c>
      <c r="P358" s="22">
        <v>12.2928</v>
      </c>
      <c r="Q358" s="22">
        <v>-3.5766600000000002E-3</v>
      </c>
      <c r="R358" s="22">
        <v>348</v>
      </c>
      <c r="S358" s="22">
        <v>1.6513100000000001</v>
      </c>
      <c r="T358">
        <f t="shared" si="62"/>
        <v>4.4156296296296293</v>
      </c>
      <c r="U358">
        <f t="shared" si="63"/>
        <v>7.2962539311111101</v>
      </c>
      <c r="X358" s="9"/>
      <c r="Y358" s="22">
        <v>1.7700199999999999E-2</v>
      </c>
      <c r="Z358" s="22">
        <v>17.761199999999999</v>
      </c>
      <c r="AA358" s="22">
        <v>-1.3854999999999999E-2</v>
      </c>
      <c r="AB358" s="22">
        <v>348</v>
      </c>
      <c r="AC358" s="22">
        <v>1.7456099999999999E-2</v>
      </c>
      <c r="AD358">
        <f t="shared" si="64"/>
        <v>17.104938271604937</v>
      </c>
      <c r="AE358">
        <f t="shared" si="65"/>
        <v>0.30276082839506169</v>
      </c>
      <c r="AF358" s="9"/>
      <c r="AG358" s="22">
        <v>1.6523699999999999</v>
      </c>
      <c r="AH358" s="22">
        <v>21.52</v>
      </c>
      <c r="AI358" s="22">
        <v>-3.5748300000000002E-3</v>
      </c>
      <c r="AJ358" s="22">
        <v>348</v>
      </c>
      <c r="AK358" s="22">
        <v>1.6519200000000001</v>
      </c>
      <c r="AL358">
        <f t="shared" si="66"/>
        <v>4.4133703703703704</v>
      </c>
      <c r="AM358">
        <f t="shared" si="67"/>
        <v>7.292520798888888</v>
      </c>
      <c r="AP358" s="9"/>
      <c r="AQ358" s="22">
        <v>1.7700199999999999E-2</v>
      </c>
      <c r="AR358" s="22">
        <v>26.9375</v>
      </c>
      <c r="AS358" s="22">
        <v>-1.3876299999999999E-2</v>
      </c>
      <c r="AT358" s="22">
        <v>348</v>
      </c>
      <c r="AU358" s="22">
        <v>1.7468299999999999E-2</v>
      </c>
      <c r="AV358">
        <f t="shared" si="68"/>
        <v>17.131234567901231</v>
      </c>
      <c r="AW358">
        <f t="shared" si="69"/>
        <v>0.30322627809876534</v>
      </c>
      <c r="AX358" s="9"/>
      <c r="AY358" s="22">
        <v>1.6523699999999999</v>
      </c>
      <c r="AZ358" s="22">
        <v>30.696200000000001</v>
      </c>
      <c r="BA358" s="22">
        <v>-3.54828E-3</v>
      </c>
      <c r="BB358" s="22">
        <v>348</v>
      </c>
      <c r="BC358" s="22">
        <v>1.6513100000000001</v>
      </c>
      <c r="BD358">
        <f t="shared" si="70"/>
        <v>4.3805925925925919</v>
      </c>
      <c r="BE358">
        <f t="shared" si="71"/>
        <v>7.2383597822222203</v>
      </c>
    </row>
    <row r="359" spans="6:57">
      <c r="F359" s="9"/>
      <c r="G359" s="22">
        <v>1.26648E-2</v>
      </c>
      <c r="H359" s="22">
        <v>8.5441000000000003</v>
      </c>
      <c r="I359" s="22">
        <v>-1.37634E-2</v>
      </c>
      <c r="J359" s="22">
        <v>349</v>
      </c>
      <c r="K359" s="22">
        <v>1.24756E-2</v>
      </c>
      <c r="L359">
        <f t="shared" si="60"/>
        <v>16.991851851851852</v>
      </c>
      <c r="M359">
        <f t="shared" si="61"/>
        <v>0.21519840533333334</v>
      </c>
      <c r="N359" s="9"/>
      <c r="O359" s="22">
        <v>1.65741</v>
      </c>
      <c r="P359" s="22">
        <v>12.302899999999999</v>
      </c>
      <c r="Q359" s="22">
        <v>-3.3770800000000002E-3</v>
      </c>
      <c r="R359" s="22">
        <v>349</v>
      </c>
      <c r="S359" s="22">
        <v>1.6568000000000001</v>
      </c>
      <c r="T359">
        <f t="shared" si="62"/>
        <v>4.1692345679012348</v>
      </c>
      <c r="U359">
        <f t="shared" si="63"/>
        <v>6.9101310651851859</v>
      </c>
      <c r="X359" s="9"/>
      <c r="Y359" s="22">
        <v>1.26648E-2</v>
      </c>
      <c r="Z359" s="22">
        <v>17.7713</v>
      </c>
      <c r="AA359" s="22">
        <v>-1.3870199999999999E-2</v>
      </c>
      <c r="AB359" s="22">
        <v>349</v>
      </c>
      <c r="AC359" s="22">
        <v>1.2472499999999999E-2</v>
      </c>
      <c r="AD359">
        <f t="shared" si="64"/>
        <v>17.123703703703701</v>
      </c>
      <c r="AE359">
        <f t="shared" si="65"/>
        <v>0.21686828266666663</v>
      </c>
      <c r="AF359" s="9"/>
      <c r="AG359" s="22">
        <v>1.65741</v>
      </c>
      <c r="AH359" s="22">
        <v>21.530100000000001</v>
      </c>
      <c r="AI359" s="22">
        <v>-3.37433E-3</v>
      </c>
      <c r="AJ359" s="22">
        <v>349</v>
      </c>
      <c r="AK359" s="22">
        <v>1.6561900000000001</v>
      </c>
      <c r="AL359">
        <f t="shared" si="66"/>
        <v>4.1658395061728388</v>
      </c>
      <c r="AM359">
        <f t="shared" si="67"/>
        <v>6.9045040559259254</v>
      </c>
      <c r="AP359" s="9"/>
      <c r="AQ359" s="22">
        <v>1.26648E-2</v>
      </c>
      <c r="AR359" s="22">
        <v>26.947500000000002</v>
      </c>
      <c r="AS359" s="22">
        <v>-1.38733E-2</v>
      </c>
      <c r="AT359" s="22">
        <v>349</v>
      </c>
      <c r="AU359" s="22">
        <v>1.24817E-2</v>
      </c>
      <c r="AV359">
        <f t="shared" si="68"/>
        <v>17.127530864197528</v>
      </c>
      <c r="AW359">
        <f t="shared" si="69"/>
        <v>0.21691675288888887</v>
      </c>
      <c r="AX359" s="9"/>
      <c r="AY359" s="22">
        <v>1.65741</v>
      </c>
      <c r="AZ359" s="22">
        <v>30.706299999999999</v>
      </c>
      <c r="BA359" s="22">
        <v>-3.3483900000000001E-3</v>
      </c>
      <c r="BB359" s="22">
        <v>349</v>
      </c>
      <c r="BC359" s="22">
        <v>1.6568000000000001</v>
      </c>
      <c r="BD359">
        <f t="shared" si="70"/>
        <v>4.1338148148148148</v>
      </c>
      <c r="BE359">
        <f t="shared" si="71"/>
        <v>6.8514260122222224</v>
      </c>
    </row>
    <row r="360" spans="6:57">
      <c r="F360" s="9"/>
      <c r="G360" s="22">
        <v>7.6293899999999998E-3</v>
      </c>
      <c r="H360" s="22">
        <v>8.5541699999999992</v>
      </c>
      <c r="I360" s="22">
        <v>-1.3772599999999999E-2</v>
      </c>
      <c r="J360" s="22">
        <v>350</v>
      </c>
      <c r="K360" s="22">
        <v>7.4127200000000002E-3</v>
      </c>
      <c r="L360">
        <f t="shared" si="60"/>
        <v>17.00320987654321</v>
      </c>
      <c r="M360">
        <f t="shared" si="61"/>
        <v>0.1297241194</v>
      </c>
      <c r="N360" s="9"/>
      <c r="O360" s="22">
        <v>1.66245</v>
      </c>
      <c r="P360" s="22">
        <v>12.312900000000001</v>
      </c>
      <c r="Q360" s="22">
        <v>-3.1771899999999999E-3</v>
      </c>
      <c r="R360" s="22">
        <v>350</v>
      </c>
      <c r="S360" s="22">
        <v>1.6613800000000001</v>
      </c>
      <c r="T360">
        <f t="shared" si="62"/>
        <v>3.9224567901234568</v>
      </c>
      <c r="U360">
        <f t="shared" si="63"/>
        <v>6.5208882907407411</v>
      </c>
      <c r="X360" s="9"/>
      <c r="Y360" s="22">
        <v>7.6293899999999998E-3</v>
      </c>
      <c r="Z360" s="22">
        <v>17.781400000000001</v>
      </c>
      <c r="AA360" s="22">
        <v>-1.38824E-2</v>
      </c>
      <c r="AB360" s="22">
        <v>350</v>
      </c>
      <c r="AC360" s="22">
        <v>7.3577900000000003E-3</v>
      </c>
      <c r="AD360">
        <f t="shared" si="64"/>
        <v>17.138765432098765</v>
      </c>
      <c r="AE360">
        <f t="shared" si="65"/>
        <v>0.1307583256</v>
      </c>
      <c r="AF360" s="9"/>
      <c r="AG360" s="22">
        <v>1.66245</v>
      </c>
      <c r="AH360" s="22">
        <v>21.540099999999999</v>
      </c>
      <c r="AI360" s="22">
        <v>-3.1701699999999999E-3</v>
      </c>
      <c r="AJ360" s="22">
        <v>350</v>
      </c>
      <c r="AK360" s="22">
        <v>1.6613800000000001</v>
      </c>
      <c r="AL360">
        <f t="shared" si="66"/>
        <v>3.9137901234567893</v>
      </c>
      <c r="AM360">
        <f t="shared" si="67"/>
        <v>6.5064803907407391</v>
      </c>
      <c r="AP360" s="9"/>
      <c r="AQ360" s="22">
        <v>7.6293899999999998E-3</v>
      </c>
      <c r="AR360" s="22">
        <v>26.957599999999999</v>
      </c>
      <c r="AS360" s="22">
        <v>-1.38733E-2</v>
      </c>
      <c r="AT360" s="22">
        <v>350</v>
      </c>
      <c r="AU360" s="22">
        <v>7.3547400000000002E-3</v>
      </c>
      <c r="AV360">
        <f t="shared" si="68"/>
        <v>17.127530864197528</v>
      </c>
      <c r="AW360">
        <f t="shared" si="69"/>
        <v>0.13067261269999997</v>
      </c>
      <c r="AX360" s="9"/>
      <c r="AY360" s="22">
        <v>1.66245</v>
      </c>
      <c r="AZ360" s="22">
        <v>30.7164</v>
      </c>
      <c r="BA360" s="22">
        <v>-3.1427E-3</v>
      </c>
      <c r="BB360" s="22">
        <v>350</v>
      </c>
      <c r="BC360" s="22">
        <v>1.6613800000000001</v>
      </c>
      <c r="BD360">
        <f t="shared" si="70"/>
        <v>3.8798765432098765</v>
      </c>
      <c r="BE360">
        <f t="shared" si="71"/>
        <v>6.450100759259259</v>
      </c>
    </row>
    <row r="361" spans="6:57">
      <c r="F361" s="9"/>
      <c r="G361" s="22">
        <v>2.59399E-3</v>
      </c>
      <c r="H361" s="22">
        <v>8.5642399999999999</v>
      </c>
      <c r="I361" s="22">
        <v>-1.37695E-2</v>
      </c>
      <c r="J361" s="22">
        <v>351</v>
      </c>
      <c r="K361" s="22">
        <v>2.3681599999999998E-3</v>
      </c>
      <c r="L361">
        <f t="shared" si="60"/>
        <v>16.999382716049382</v>
      </c>
      <c r="M361">
        <f t="shared" si="61"/>
        <v>4.4096228771604934E-2</v>
      </c>
      <c r="N361" s="9"/>
      <c r="O361" s="22">
        <v>1.6674800000000001</v>
      </c>
      <c r="P361" s="22">
        <v>12.323</v>
      </c>
      <c r="Q361" s="22">
        <v>-2.97058E-3</v>
      </c>
      <c r="R361" s="22">
        <v>351</v>
      </c>
      <c r="S361" s="22">
        <v>1.6662600000000001</v>
      </c>
      <c r="T361">
        <f t="shared" si="62"/>
        <v>3.6673827160493824</v>
      </c>
      <c r="U361">
        <f t="shared" si="63"/>
        <v>6.115287331358024</v>
      </c>
      <c r="X361" s="9"/>
      <c r="Y361" s="22">
        <v>2.59399E-3</v>
      </c>
      <c r="Z361" s="22">
        <v>17.791499999999999</v>
      </c>
      <c r="AA361" s="22">
        <v>-1.38824E-2</v>
      </c>
      <c r="AB361" s="22">
        <v>351</v>
      </c>
      <c r="AC361" s="22">
        <v>2.3742699999999999E-3</v>
      </c>
      <c r="AD361">
        <f t="shared" si="64"/>
        <v>17.138765432098765</v>
      </c>
      <c r="AE361">
        <f t="shared" si="65"/>
        <v>4.4457786143209874E-2</v>
      </c>
      <c r="AF361" s="9"/>
      <c r="AG361" s="22">
        <v>1.6674800000000001</v>
      </c>
      <c r="AH361" s="22">
        <v>21.5502</v>
      </c>
      <c r="AI361" s="22">
        <v>-2.9629499999999998E-3</v>
      </c>
      <c r="AJ361" s="22">
        <v>351</v>
      </c>
      <c r="AK361" s="22">
        <v>1.6662600000000001</v>
      </c>
      <c r="AL361">
        <f t="shared" si="66"/>
        <v>3.6579629629629622</v>
      </c>
      <c r="AM361">
        <f t="shared" si="67"/>
        <v>6.0995800814814807</v>
      </c>
      <c r="AP361" s="9"/>
      <c r="AQ361" s="22">
        <v>2.59399E-3</v>
      </c>
      <c r="AR361" s="22">
        <v>26.967700000000001</v>
      </c>
      <c r="AS361" s="22">
        <v>-1.38794E-2</v>
      </c>
      <c r="AT361" s="22">
        <v>351</v>
      </c>
      <c r="AU361" s="22">
        <v>2.36206E-3</v>
      </c>
      <c r="AV361">
        <f t="shared" si="68"/>
        <v>17.135061728395058</v>
      </c>
      <c r="AW361">
        <f t="shared" si="69"/>
        <v>4.4448178772839499E-2</v>
      </c>
      <c r="AX361" s="9"/>
      <c r="AY361" s="22">
        <v>1.6674800000000001</v>
      </c>
      <c r="AZ361" s="22">
        <v>30.726400000000002</v>
      </c>
      <c r="BA361" s="22">
        <v>-2.9336499999999999E-3</v>
      </c>
      <c r="BB361" s="22">
        <v>351</v>
      </c>
      <c r="BC361" s="22">
        <v>1.6662600000000001</v>
      </c>
      <c r="BD361">
        <f t="shared" si="70"/>
        <v>3.6217901234567895</v>
      </c>
      <c r="BE361">
        <f t="shared" si="71"/>
        <v>6.0392625950617278</v>
      </c>
    </row>
    <row r="362" spans="6:57">
      <c r="F362" s="9"/>
      <c r="G362" s="22">
        <v>-2.4414100000000002E-3</v>
      </c>
      <c r="H362" s="22">
        <v>8.5743100000000005</v>
      </c>
      <c r="I362" s="22">
        <v>-1.3775600000000001E-2</v>
      </c>
      <c r="J362" s="22">
        <v>352</v>
      </c>
      <c r="K362" s="22">
        <v>-2.7465800000000002E-3</v>
      </c>
      <c r="L362">
        <f t="shared" si="60"/>
        <v>17.006913580246916</v>
      </c>
      <c r="M362">
        <f t="shared" si="61"/>
        <v>-4.1520848883950627E-2</v>
      </c>
      <c r="N362" s="9"/>
      <c r="O362" s="22">
        <v>1.67252</v>
      </c>
      <c r="P362" s="22">
        <v>12.3331</v>
      </c>
      <c r="Q362" s="22">
        <v>-2.7581799999999998E-3</v>
      </c>
      <c r="R362" s="22">
        <v>352</v>
      </c>
      <c r="S362" s="22">
        <v>1.6714500000000001</v>
      </c>
      <c r="T362">
        <f t="shared" si="62"/>
        <v>3.40516049382716</v>
      </c>
      <c r="U362">
        <f t="shared" si="63"/>
        <v>5.6951990291358019</v>
      </c>
      <c r="X362" s="9"/>
      <c r="Y362" s="22">
        <v>-2.4414100000000002E-3</v>
      </c>
      <c r="Z362" s="22">
        <v>17.801500000000001</v>
      </c>
      <c r="AA362" s="22">
        <v>-1.38855E-2</v>
      </c>
      <c r="AB362" s="22">
        <v>352</v>
      </c>
      <c r="AC362" s="22">
        <v>-2.7496299999999999E-3</v>
      </c>
      <c r="AD362">
        <f t="shared" si="64"/>
        <v>17.142592592592592</v>
      </c>
      <c r="AE362">
        <f t="shared" si="65"/>
        <v>-4.1852096981481485E-2</v>
      </c>
      <c r="AF362" s="9"/>
      <c r="AG362" s="22">
        <v>1.67252</v>
      </c>
      <c r="AH362" s="22">
        <v>21.560300000000002</v>
      </c>
      <c r="AI362" s="22">
        <v>-2.7499400000000002E-3</v>
      </c>
      <c r="AJ362" s="22">
        <v>352</v>
      </c>
      <c r="AK362" s="22">
        <v>1.6717500000000001</v>
      </c>
      <c r="AL362">
        <f t="shared" si="66"/>
        <v>3.3949876543209876</v>
      </c>
      <c r="AM362">
        <f t="shared" si="67"/>
        <v>5.6781847516049382</v>
      </c>
      <c r="AP362" s="9"/>
      <c r="AQ362" s="22">
        <v>-2.4414100000000002E-3</v>
      </c>
      <c r="AR362" s="22">
        <v>26.977699999999999</v>
      </c>
      <c r="AS362" s="22">
        <v>-1.38855E-2</v>
      </c>
      <c r="AT362" s="22">
        <v>352</v>
      </c>
      <c r="AU362" s="22">
        <v>-2.7435300000000001E-3</v>
      </c>
      <c r="AV362">
        <f t="shared" si="68"/>
        <v>17.142592592592592</v>
      </c>
      <c r="AW362">
        <f t="shared" si="69"/>
        <v>-4.1852096981481485E-2</v>
      </c>
      <c r="AX362" s="9"/>
      <c r="AY362" s="22">
        <v>1.67252</v>
      </c>
      <c r="AZ362" s="22">
        <v>30.736499999999999</v>
      </c>
      <c r="BA362" s="22">
        <v>-2.7188099999999999E-3</v>
      </c>
      <c r="BB362" s="22">
        <v>352</v>
      </c>
      <c r="BC362" s="22">
        <v>1.6711400000000001</v>
      </c>
      <c r="BD362">
        <f t="shared" si="70"/>
        <v>3.3565555555555555</v>
      </c>
      <c r="BE362">
        <f t="shared" si="71"/>
        <v>5.6139062977777776</v>
      </c>
    </row>
    <row r="363" spans="6:57">
      <c r="F363" s="9"/>
      <c r="G363" s="22">
        <v>-7.4768100000000004E-3</v>
      </c>
      <c r="H363" s="22">
        <v>8.5843799999999995</v>
      </c>
      <c r="I363" s="22">
        <v>-1.37787E-2</v>
      </c>
      <c r="J363" s="22">
        <v>353</v>
      </c>
      <c r="K363" s="22">
        <v>-7.75452E-3</v>
      </c>
      <c r="L363">
        <f t="shared" si="60"/>
        <v>17.01074074074074</v>
      </c>
      <c r="M363">
        <f t="shared" si="61"/>
        <v>-0.12718607647777777</v>
      </c>
      <c r="N363" s="9"/>
      <c r="O363" s="22">
        <v>1.6775500000000001</v>
      </c>
      <c r="P363" s="22">
        <v>12.3431</v>
      </c>
      <c r="Q363" s="22">
        <v>-2.5451699999999998E-3</v>
      </c>
      <c r="R363" s="22">
        <v>353</v>
      </c>
      <c r="S363" s="22">
        <v>1.6763300000000001</v>
      </c>
      <c r="T363">
        <f t="shared" si="62"/>
        <v>3.142185185185185</v>
      </c>
      <c r="U363">
        <f t="shared" si="63"/>
        <v>5.271172757407407</v>
      </c>
      <c r="X363" s="9"/>
      <c r="Y363" s="22">
        <v>-7.4768100000000004E-3</v>
      </c>
      <c r="Z363" s="22">
        <v>17.811599999999999</v>
      </c>
      <c r="AA363" s="22">
        <v>-1.38824E-2</v>
      </c>
      <c r="AB363" s="22">
        <v>353</v>
      </c>
      <c r="AC363" s="22">
        <v>-7.7941900000000003E-3</v>
      </c>
      <c r="AD363">
        <f t="shared" si="64"/>
        <v>17.138765432098765</v>
      </c>
      <c r="AE363">
        <f t="shared" si="65"/>
        <v>-0.12814329277037037</v>
      </c>
      <c r="AF363" s="9"/>
      <c r="AG363" s="22">
        <v>1.6775500000000001</v>
      </c>
      <c r="AH363" s="22">
        <v>21.570399999999999</v>
      </c>
      <c r="AI363" s="22">
        <v>-2.5338700000000001E-3</v>
      </c>
      <c r="AJ363" s="22">
        <v>353</v>
      </c>
      <c r="AK363" s="22">
        <v>1.6772499999999999</v>
      </c>
      <c r="AL363">
        <f t="shared" si="66"/>
        <v>3.1282345679012344</v>
      </c>
      <c r="AM363">
        <f t="shared" si="67"/>
        <v>5.2477698993827158</v>
      </c>
      <c r="AP363" s="9"/>
      <c r="AQ363" s="22">
        <v>-7.4768100000000004E-3</v>
      </c>
      <c r="AR363" s="22">
        <v>26.9878</v>
      </c>
      <c r="AS363" s="22">
        <v>-1.38916E-2</v>
      </c>
      <c r="AT363" s="22">
        <v>353</v>
      </c>
      <c r="AU363" s="22">
        <v>-7.7911400000000002E-3</v>
      </c>
      <c r="AV363">
        <f t="shared" si="68"/>
        <v>17.150123456790123</v>
      </c>
      <c r="AW363">
        <f t="shared" si="69"/>
        <v>-0.12822821456296296</v>
      </c>
      <c r="AX363" s="9"/>
      <c r="AY363" s="22">
        <v>1.6775500000000001</v>
      </c>
      <c r="AZ363" s="22">
        <v>30.746600000000001</v>
      </c>
      <c r="BA363" s="22">
        <v>-2.5027500000000002E-3</v>
      </c>
      <c r="BB363" s="22">
        <v>353</v>
      </c>
      <c r="BC363" s="22">
        <v>1.6766399999999999</v>
      </c>
      <c r="BD363">
        <f t="shared" si="70"/>
        <v>3.0898148148148148</v>
      </c>
      <c r="BE363">
        <f t="shared" si="71"/>
        <v>5.1833188425925929</v>
      </c>
    </row>
    <row r="364" spans="6:57">
      <c r="F364" s="9"/>
      <c r="G364" s="22">
        <v>-1.2512199999999999E-2</v>
      </c>
      <c r="H364" s="22">
        <v>8.5944500000000001</v>
      </c>
      <c r="I364" s="22">
        <v>-1.3787799999999999E-2</v>
      </c>
      <c r="J364" s="22">
        <v>354</v>
      </c>
      <c r="K364" s="22">
        <v>-1.28418E-2</v>
      </c>
      <c r="L364">
        <f t="shared" si="60"/>
        <v>17.021975308641974</v>
      </c>
      <c r="M364">
        <f t="shared" si="61"/>
        <v>-0.21298235945679009</v>
      </c>
      <c r="N364" s="9"/>
      <c r="O364" s="22">
        <v>1.68259</v>
      </c>
      <c r="P364" s="22">
        <v>12.353199999999999</v>
      </c>
      <c r="Q364" s="22">
        <v>-2.3278800000000001E-3</v>
      </c>
      <c r="R364" s="22">
        <v>354</v>
      </c>
      <c r="S364" s="22">
        <v>1.6812100000000001</v>
      </c>
      <c r="T364">
        <f t="shared" si="62"/>
        <v>2.8739259259259256</v>
      </c>
      <c r="U364">
        <f t="shared" si="63"/>
        <v>4.8356390237037035</v>
      </c>
      <c r="X364" s="9"/>
      <c r="Y364" s="22">
        <v>-1.2512199999999999E-2</v>
      </c>
      <c r="Z364" s="22">
        <v>17.8217</v>
      </c>
      <c r="AA364" s="22">
        <v>-1.38824E-2</v>
      </c>
      <c r="AB364" s="22">
        <v>354</v>
      </c>
      <c r="AC364" s="22">
        <v>-1.28296E-2</v>
      </c>
      <c r="AD364">
        <f t="shared" si="64"/>
        <v>17.138765432098765</v>
      </c>
      <c r="AE364">
        <f t="shared" si="65"/>
        <v>-0.21444366083950617</v>
      </c>
      <c r="AF364" s="9"/>
      <c r="AG364" s="22">
        <v>1.68259</v>
      </c>
      <c r="AH364" s="22">
        <v>21.580400000000001</v>
      </c>
      <c r="AI364" s="22">
        <v>-2.3150599999999999E-3</v>
      </c>
      <c r="AJ364" s="22">
        <v>354</v>
      </c>
      <c r="AK364" s="22">
        <v>1.6818200000000001</v>
      </c>
      <c r="AL364">
        <f t="shared" si="66"/>
        <v>2.8580987654320982</v>
      </c>
      <c r="AM364">
        <f t="shared" si="67"/>
        <v>4.8090084017283941</v>
      </c>
      <c r="AP364" s="9"/>
      <c r="AQ364" s="22">
        <v>-1.2512199999999999E-2</v>
      </c>
      <c r="AR364" s="22">
        <v>26.997900000000001</v>
      </c>
      <c r="AS364" s="22">
        <v>-1.3897700000000001E-2</v>
      </c>
      <c r="AT364" s="22">
        <v>354</v>
      </c>
      <c r="AU364" s="22">
        <v>-1.28326E-2</v>
      </c>
      <c r="AV364">
        <f t="shared" si="68"/>
        <v>17.157654320987653</v>
      </c>
      <c r="AW364">
        <f t="shared" si="69"/>
        <v>-0.21468000239506171</v>
      </c>
      <c r="AX364" s="9"/>
      <c r="AY364" s="22">
        <v>1.68259</v>
      </c>
      <c r="AZ364" s="22">
        <v>30.756699999999999</v>
      </c>
      <c r="BA364" s="22">
        <v>-2.2808799999999999E-3</v>
      </c>
      <c r="BB364" s="22">
        <v>354</v>
      </c>
      <c r="BC364" s="22">
        <v>1.6818200000000001</v>
      </c>
      <c r="BD364">
        <f t="shared" si="70"/>
        <v>2.8159012345679013</v>
      </c>
      <c r="BE364">
        <f t="shared" si="71"/>
        <v>4.7380072582716055</v>
      </c>
    </row>
    <row r="365" spans="6:57">
      <c r="F365" s="9"/>
      <c r="G365" s="22">
        <v>-1.75476E-2</v>
      </c>
      <c r="H365" s="22">
        <v>8.6045200000000008</v>
      </c>
      <c r="I365" s="22">
        <v>-1.37848E-2</v>
      </c>
      <c r="J365" s="22">
        <v>355</v>
      </c>
      <c r="K365" s="22">
        <v>-1.7883300000000001E-2</v>
      </c>
      <c r="L365">
        <f t="shared" si="60"/>
        <v>17.018271604938271</v>
      </c>
      <c r="M365">
        <f t="shared" si="61"/>
        <v>-0.29862982281481482</v>
      </c>
      <c r="N365" s="9"/>
      <c r="O365" s="22">
        <v>1.6876199999999999</v>
      </c>
      <c r="P365" s="22">
        <v>12.363300000000001</v>
      </c>
      <c r="Q365" s="22">
        <v>-2.1127300000000002E-3</v>
      </c>
      <c r="R365" s="22">
        <v>355</v>
      </c>
      <c r="S365" s="22">
        <v>1.6863999999999999</v>
      </c>
      <c r="T365">
        <f t="shared" si="62"/>
        <v>2.6083086419753085</v>
      </c>
      <c r="U365">
        <f t="shared" si="63"/>
        <v>4.4018338303703697</v>
      </c>
      <c r="X365" s="9"/>
      <c r="Y365" s="22">
        <v>-1.75476E-2</v>
      </c>
      <c r="Z365" s="22">
        <v>17.831700000000001</v>
      </c>
      <c r="AA365" s="22">
        <v>-1.38885E-2</v>
      </c>
      <c r="AB365" s="22">
        <v>355</v>
      </c>
      <c r="AC365" s="22">
        <v>-1.7880199999999999E-2</v>
      </c>
      <c r="AD365">
        <f t="shared" si="64"/>
        <v>17.146296296296295</v>
      </c>
      <c r="AE365">
        <f t="shared" si="65"/>
        <v>-0.30087634888888887</v>
      </c>
      <c r="AF365" s="9"/>
      <c r="AG365" s="22">
        <v>1.6876199999999999</v>
      </c>
      <c r="AH365" s="22">
        <v>21.590499999999999</v>
      </c>
      <c r="AI365" s="22">
        <v>-2.0947299999999999E-3</v>
      </c>
      <c r="AJ365" s="22">
        <v>355</v>
      </c>
      <c r="AK365" s="22">
        <v>1.6867099999999999</v>
      </c>
      <c r="AL365">
        <f t="shared" si="66"/>
        <v>2.586086419753086</v>
      </c>
      <c r="AM365">
        <f t="shared" si="67"/>
        <v>4.364331163703703</v>
      </c>
      <c r="AP365" s="9"/>
      <c r="AQ365" s="22">
        <v>-1.75476E-2</v>
      </c>
      <c r="AR365" s="22">
        <v>27.007999999999999</v>
      </c>
      <c r="AS365" s="22">
        <v>-1.3909899999999999E-2</v>
      </c>
      <c r="AT365" s="22">
        <v>355</v>
      </c>
      <c r="AU365" s="22">
        <v>-1.7852799999999999E-2</v>
      </c>
      <c r="AV365">
        <f t="shared" si="68"/>
        <v>17.172716049382714</v>
      </c>
      <c r="AW365">
        <f t="shared" si="69"/>
        <v>-0.30133995214814813</v>
      </c>
      <c r="AX365" s="9"/>
      <c r="AY365" s="22">
        <v>1.6876199999999999</v>
      </c>
      <c r="AZ365" s="22">
        <v>30.7667</v>
      </c>
      <c r="BA365" s="22">
        <v>-2.0599400000000001E-3</v>
      </c>
      <c r="BB365" s="22">
        <v>355</v>
      </c>
      <c r="BC365" s="22">
        <v>1.6867099999999999</v>
      </c>
      <c r="BD365">
        <f t="shared" si="70"/>
        <v>2.5431358024691355</v>
      </c>
      <c r="BE365">
        <f t="shared" si="71"/>
        <v>4.2918468429629621</v>
      </c>
    </row>
    <row r="366" spans="6:57">
      <c r="F366" s="9"/>
      <c r="G366" s="22">
        <v>-2.2582999999999999E-2</v>
      </c>
      <c r="H366" s="22">
        <v>8.6145999999999994</v>
      </c>
      <c r="I366" s="22">
        <v>-1.37848E-2</v>
      </c>
      <c r="J366" s="22">
        <v>356</v>
      </c>
      <c r="K366" s="22">
        <v>-2.2930900000000001E-2</v>
      </c>
      <c r="L366">
        <f t="shared" si="60"/>
        <v>17.018271604938271</v>
      </c>
      <c r="M366">
        <f t="shared" si="61"/>
        <v>-0.38432362765432093</v>
      </c>
      <c r="N366" s="9"/>
      <c r="O366" s="22">
        <v>1.6926600000000001</v>
      </c>
      <c r="P366" s="22">
        <v>12.3734</v>
      </c>
      <c r="Q366" s="22">
        <v>-1.88934E-3</v>
      </c>
      <c r="R366" s="22">
        <v>356</v>
      </c>
      <c r="S366" s="22">
        <v>1.6915899999999999</v>
      </c>
      <c r="T366">
        <f t="shared" si="62"/>
        <v>2.3325185185185187</v>
      </c>
      <c r="U366">
        <f t="shared" si="63"/>
        <v>3.9481607955555558</v>
      </c>
      <c r="X366" s="9"/>
      <c r="Y366" s="22">
        <v>-2.2582999999999999E-2</v>
      </c>
      <c r="Z366" s="22">
        <v>17.841799999999999</v>
      </c>
      <c r="AA366" s="22">
        <v>-1.38824E-2</v>
      </c>
      <c r="AB366" s="22">
        <v>356</v>
      </c>
      <c r="AC366" s="22">
        <v>-2.2934E-2</v>
      </c>
      <c r="AD366">
        <f t="shared" si="64"/>
        <v>17.138765432098765</v>
      </c>
      <c r="AE366">
        <f t="shared" si="65"/>
        <v>-0.3870447397530864</v>
      </c>
      <c r="AF366" s="9"/>
      <c r="AG366" s="22">
        <v>1.6926600000000001</v>
      </c>
      <c r="AH366" s="22">
        <v>21.6006</v>
      </c>
      <c r="AI366" s="22">
        <v>-1.8682900000000001E-3</v>
      </c>
      <c r="AJ366" s="22">
        <v>356</v>
      </c>
      <c r="AK366" s="22">
        <v>1.6915899999999999</v>
      </c>
      <c r="AL366">
        <f t="shared" si="66"/>
        <v>2.3065308641975308</v>
      </c>
      <c r="AM366">
        <f t="shared" si="67"/>
        <v>3.9041725325925927</v>
      </c>
      <c r="AP366" s="9"/>
      <c r="AQ366" s="22">
        <v>-2.2582999999999999E-2</v>
      </c>
      <c r="AR366" s="22">
        <v>27.018000000000001</v>
      </c>
      <c r="AS366" s="22">
        <v>-1.3913E-2</v>
      </c>
      <c r="AT366" s="22">
        <v>356</v>
      </c>
      <c r="AU366" s="22">
        <v>-2.2909499999999999E-2</v>
      </c>
      <c r="AV366">
        <f t="shared" si="68"/>
        <v>17.176543209876542</v>
      </c>
      <c r="AW366">
        <f t="shared" si="69"/>
        <v>-0.38789787530864189</v>
      </c>
      <c r="AX366" s="9"/>
      <c r="AY366" s="22">
        <v>1.6926600000000001</v>
      </c>
      <c r="AZ366" s="22">
        <v>30.776800000000001</v>
      </c>
      <c r="BA366" s="22">
        <v>-1.8292200000000001E-3</v>
      </c>
      <c r="BB366" s="22">
        <v>356</v>
      </c>
      <c r="BC366" s="22">
        <v>1.6918899999999999</v>
      </c>
      <c r="BD366">
        <f t="shared" si="70"/>
        <v>2.2582962962962965</v>
      </c>
      <c r="BE366">
        <f t="shared" si="71"/>
        <v>3.8225278088888892</v>
      </c>
    </row>
    <row r="367" spans="6:57">
      <c r="F367" s="9"/>
      <c r="G367" s="22">
        <v>-2.7618400000000001E-2</v>
      </c>
      <c r="H367" s="22">
        <v>8.6246700000000001</v>
      </c>
      <c r="I367" s="22">
        <v>-1.37909E-2</v>
      </c>
      <c r="J367" s="22">
        <v>357</v>
      </c>
      <c r="K367" s="22">
        <v>-2.8002900000000001E-2</v>
      </c>
      <c r="L367">
        <f t="shared" si="60"/>
        <v>17.025802469135801</v>
      </c>
      <c r="M367">
        <f t="shared" si="61"/>
        <v>-0.47022542291358022</v>
      </c>
      <c r="N367" s="9"/>
      <c r="O367" s="22">
        <v>1.6976899999999999</v>
      </c>
      <c r="P367" s="22">
        <v>12.3834</v>
      </c>
      <c r="Q367" s="22">
        <v>-1.66351E-3</v>
      </c>
      <c r="R367" s="22">
        <v>357</v>
      </c>
      <c r="S367" s="22">
        <v>1.6970799999999999</v>
      </c>
      <c r="T367">
        <f t="shared" si="62"/>
        <v>2.0537160493827158</v>
      </c>
      <c r="U367">
        <f t="shared" si="63"/>
        <v>3.4865731998765428</v>
      </c>
      <c r="X367" s="9"/>
      <c r="Y367" s="22">
        <v>-2.7618400000000001E-2</v>
      </c>
      <c r="Z367" s="22">
        <v>17.851900000000001</v>
      </c>
      <c r="AA367" s="22">
        <v>-1.38794E-2</v>
      </c>
      <c r="AB367" s="22">
        <v>357</v>
      </c>
      <c r="AC367" s="22">
        <v>-2.7960200000000001E-2</v>
      </c>
      <c r="AD367">
        <f t="shared" si="64"/>
        <v>17.135061728395058</v>
      </c>
      <c r="AE367">
        <f t="shared" si="65"/>
        <v>-0.47324298883950611</v>
      </c>
      <c r="AF367" s="9"/>
      <c r="AG367" s="22">
        <v>1.6976899999999999</v>
      </c>
      <c r="AH367" s="22">
        <v>21.610600000000002</v>
      </c>
      <c r="AI367" s="22">
        <v>-1.6406299999999999E-3</v>
      </c>
      <c r="AJ367" s="22">
        <v>357</v>
      </c>
      <c r="AK367" s="22">
        <v>1.6964699999999999</v>
      </c>
      <c r="AL367">
        <f t="shared" si="66"/>
        <v>2.025469135802469</v>
      </c>
      <c r="AM367">
        <f t="shared" si="67"/>
        <v>3.4386186971604933</v>
      </c>
      <c r="AP367" s="9"/>
      <c r="AQ367" s="22">
        <v>-2.7618400000000001E-2</v>
      </c>
      <c r="AR367" s="22">
        <v>27.028099999999998</v>
      </c>
      <c r="AS367" s="22">
        <v>-1.39191E-2</v>
      </c>
      <c r="AT367" s="22">
        <v>357</v>
      </c>
      <c r="AU367" s="22">
        <v>-2.79633E-2</v>
      </c>
      <c r="AV367">
        <f t="shared" si="68"/>
        <v>17.184074074074076</v>
      </c>
      <c r="AW367">
        <f t="shared" si="69"/>
        <v>-0.47459663140740749</v>
      </c>
      <c r="AX367" s="9"/>
      <c r="AY367" s="22">
        <v>1.6976899999999999</v>
      </c>
      <c r="AZ367" s="22">
        <v>30.786899999999999</v>
      </c>
      <c r="BA367" s="22">
        <v>-1.6006499999999999E-3</v>
      </c>
      <c r="BB367" s="22">
        <v>357</v>
      </c>
      <c r="BC367" s="22">
        <v>1.69678</v>
      </c>
      <c r="BD367">
        <f t="shared" si="70"/>
        <v>1.9761111111111107</v>
      </c>
      <c r="BE367">
        <f t="shared" si="71"/>
        <v>3.3548240722222213</v>
      </c>
    </row>
    <row r="368" spans="6:57">
      <c r="F368" s="9"/>
      <c r="G368" s="22">
        <v>-3.2653799999999997E-2</v>
      </c>
      <c r="H368" s="22">
        <v>8.6347400000000007</v>
      </c>
      <c r="I368" s="22">
        <v>-1.37909E-2</v>
      </c>
      <c r="J368" s="22">
        <v>358</v>
      </c>
      <c r="K368" s="22">
        <v>-3.3041399999999999E-2</v>
      </c>
      <c r="L368">
        <f t="shared" si="60"/>
        <v>17.025802469135801</v>
      </c>
      <c r="M368">
        <f t="shared" si="61"/>
        <v>-0.55595714866666657</v>
      </c>
      <c r="N368" s="9"/>
      <c r="O368" s="22">
        <v>1.7027300000000001</v>
      </c>
      <c r="P368" s="22">
        <v>12.3935</v>
      </c>
      <c r="Q368" s="22">
        <v>-1.43341E-3</v>
      </c>
      <c r="R368" s="22">
        <v>358</v>
      </c>
      <c r="S368" s="22">
        <v>1.70197</v>
      </c>
      <c r="T368">
        <f t="shared" si="62"/>
        <v>1.7696419753086419</v>
      </c>
      <c r="U368">
        <f t="shared" si="63"/>
        <v>3.013222480617284</v>
      </c>
      <c r="X368" s="9"/>
      <c r="Y368" s="22">
        <v>-3.2653799999999997E-2</v>
      </c>
      <c r="Z368" s="22">
        <v>17.861899999999999</v>
      </c>
      <c r="AA368" s="22">
        <v>-1.38794E-2</v>
      </c>
      <c r="AB368" s="22">
        <v>358</v>
      </c>
      <c r="AC368" s="22">
        <v>-3.3001700000000002E-2</v>
      </c>
      <c r="AD368">
        <f t="shared" si="64"/>
        <v>17.135061728395058</v>
      </c>
      <c r="AE368">
        <f t="shared" si="65"/>
        <v>-0.55952487866666645</v>
      </c>
      <c r="AF368" s="9"/>
      <c r="AG368" s="22">
        <v>1.7027300000000001</v>
      </c>
      <c r="AH368" s="22">
        <v>21.620699999999999</v>
      </c>
      <c r="AI368" s="22">
        <v>-1.4093E-3</v>
      </c>
      <c r="AJ368" s="22">
        <v>358</v>
      </c>
      <c r="AK368" s="22">
        <v>1.70197</v>
      </c>
      <c r="AL368">
        <f t="shared" si="66"/>
        <v>1.7398765432098764</v>
      </c>
      <c r="AM368">
        <f t="shared" si="67"/>
        <v>2.962539986419753</v>
      </c>
      <c r="AP368" s="9"/>
      <c r="AQ368" s="22">
        <v>-3.2653799999999997E-2</v>
      </c>
      <c r="AR368" s="22">
        <v>27.0382</v>
      </c>
      <c r="AS368" s="22">
        <v>-1.39191E-2</v>
      </c>
      <c r="AT368" s="22">
        <v>358</v>
      </c>
      <c r="AU368" s="22">
        <v>-3.3013899999999999E-2</v>
      </c>
      <c r="AV368">
        <f t="shared" si="68"/>
        <v>17.184074074074076</v>
      </c>
      <c r="AW368">
        <f t="shared" si="69"/>
        <v>-0.56112531799999998</v>
      </c>
      <c r="AX368" s="9"/>
      <c r="AY368" s="22">
        <v>1.7027300000000001</v>
      </c>
      <c r="AZ368" s="22">
        <v>30.796900000000001</v>
      </c>
      <c r="BA368" s="22">
        <v>-1.3662699999999999E-3</v>
      </c>
      <c r="BB368" s="22">
        <v>358</v>
      </c>
      <c r="BC368" s="22">
        <v>1.70197</v>
      </c>
      <c r="BD368">
        <f t="shared" si="70"/>
        <v>1.6867530864197529</v>
      </c>
      <c r="BE368">
        <f t="shared" si="71"/>
        <v>2.8720850828395057</v>
      </c>
    </row>
    <row r="369" spans="6:57">
      <c r="F369" s="9"/>
      <c r="G369" s="22">
        <v>-3.7689199999999999E-2</v>
      </c>
      <c r="H369" s="22">
        <v>8.6448099999999997</v>
      </c>
      <c r="I369" s="22">
        <v>-1.3806199999999999E-2</v>
      </c>
      <c r="J369" s="22">
        <v>359</v>
      </c>
      <c r="K369" s="22">
        <v>-3.80676E-2</v>
      </c>
      <c r="L369">
        <f t="shared" si="60"/>
        <v>17.044691358024689</v>
      </c>
      <c r="M369">
        <f t="shared" si="61"/>
        <v>-0.64240078153086411</v>
      </c>
      <c r="N369" s="9"/>
      <c r="O369" s="22">
        <v>1.7077599999999999</v>
      </c>
      <c r="P369" s="22">
        <v>12.403600000000001</v>
      </c>
      <c r="Q369" s="22">
        <v>-1.1944600000000001E-3</v>
      </c>
      <c r="R369" s="22">
        <v>359</v>
      </c>
      <c r="S369" s="22">
        <v>1.70624</v>
      </c>
      <c r="T369">
        <f t="shared" si="62"/>
        <v>1.4746419753086419</v>
      </c>
      <c r="U369">
        <f t="shared" si="63"/>
        <v>2.5183345797530863</v>
      </c>
      <c r="X369" s="9"/>
      <c r="Y369" s="22">
        <v>-3.7689199999999999E-2</v>
      </c>
      <c r="Z369" s="22">
        <v>17.872</v>
      </c>
      <c r="AA369" s="22">
        <v>-1.3876299999999999E-2</v>
      </c>
      <c r="AB369" s="22">
        <v>359</v>
      </c>
      <c r="AC369" s="22">
        <v>-3.80524E-2</v>
      </c>
      <c r="AD369">
        <f t="shared" si="64"/>
        <v>17.131234567901231</v>
      </c>
      <c r="AE369">
        <f t="shared" si="65"/>
        <v>-0.64566252587654305</v>
      </c>
      <c r="AF369" s="9"/>
      <c r="AG369" s="22">
        <v>1.7077599999999999</v>
      </c>
      <c r="AH369" s="22">
        <v>21.630800000000001</v>
      </c>
      <c r="AI369" s="22">
        <v>-1.1697400000000001E-3</v>
      </c>
      <c r="AJ369" s="22">
        <v>359</v>
      </c>
      <c r="AK369" s="22">
        <v>1.7065399999999999</v>
      </c>
      <c r="AL369">
        <f t="shared" si="66"/>
        <v>1.4441234567901233</v>
      </c>
      <c r="AM369">
        <f t="shared" si="67"/>
        <v>2.466216274567901</v>
      </c>
      <c r="AP369" s="9"/>
      <c r="AQ369" s="22">
        <v>-3.7689199999999999E-2</v>
      </c>
      <c r="AR369" s="22">
        <v>27.048200000000001</v>
      </c>
      <c r="AS369" s="22">
        <v>-1.3916E-2</v>
      </c>
      <c r="AT369" s="22">
        <v>359</v>
      </c>
      <c r="AU369" s="22">
        <v>-3.8046299999999998E-2</v>
      </c>
      <c r="AV369">
        <f t="shared" si="68"/>
        <v>17.180246913580245</v>
      </c>
      <c r="AW369">
        <f t="shared" si="69"/>
        <v>-0.64750976197530852</v>
      </c>
      <c r="AX369" s="9"/>
      <c r="AY369" s="22">
        <v>1.7077599999999999</v>
      </c>
      <c r="AZ369" s="22">
        <v>30.806999999999999</v>
      </c>
      <c r="BA369" s="22">
        <v>-1.12762E-3</v>
      </c>
      <c r="BB369" s="22">
        <v>359</v>
      </c>
      <c r="BC369" s="22">
        <v>1.70685</v>
      </c>
      <c r="BD369">
        <f t="shared" si="70"/>
        <v>1.3921234567901235</v>
      </c>
      <c r="BE369">
        <f t="shared" si="71"/>
        <v>2.3774127545679011</v>
      </c>
    </row>
    <row r="370" spans="6:57">
      <c r="F370" s="9"/>
      <c r="G370" s="22">
        <v>-4.2724600000000001E-2</v>
      </c>
      <c r="H370" s="22">
        <v>8.6548800000000004</v>
      </c>
      <c r="I370" s="22">
        <v>-1.3821399999999999E-2</v>
      </c>
      <c r="J370" s="22">
        <v>360</v>
      </c>
      <c r="K370" s="22">
        <v>-4.3121300000000001E-2</v>
      </c>
      <c r="L370">
        <f t="shared" si="60"/>
        <v>17.063456790123453</v>
      </c>
      <c r="M370">
        <f t="shared" si="61"/>
        <v>-0.72902936597530854</v>
      </c>
      <c r="N370" s="9"/>
      <c r="O370" s="22">
        <v>1.7128000000000001</v>
      </c>
      <c r="P370" s="22">
        <v>12.413600000000001</v>
      </c>
      <c r="Q370" s="22">
        <v>-9.17664E-4</v>
      </c>
      <c r="R370" s="22">
        <v>360</v>
      </c>
      <c r="S370" s="22">
        <v>1.71112</v>
      </c>
      <c r="T370">
        <f t="shared" si="62"/>
        <v>1.1329185185185184</v>
      </c>
      <c r="U370">
        <f t="shared" si="63"/>
        <v>1.9404628385185185</v>
      </c>
      <c r="X370" s="9"/>
      <c r="Y370" s="22">
        <v>-4.2724600000000001E-2</v>
      </c>
      <c r="Z370" s="22">
        <v>17.882100000000001</v>
      </c>
      <c r="AA370" s="22">
        <v>-1.38733E-2</v>
      </c>
      <c r="AB370" s="22">
        <v>360</v>
      </c>
      <c r="AC370" s="22">
        <v>-4.31244E-2</v>
      </c>
      <c r="AD370">
        <f t="shared" si="64"/>
        <v>17.127530864197528</v>
      </c>
      <c r="AE370">
        <f t="shared" si="65"/>
        <v>-0.7317669051604937</v>
      </c>
      <c r="AF370" s="9"/>
      <c r="AG370" s="22">
        <v>1.7128000000000001</v>
      </c>
      <c r="AH370" s="22">
        <v>21.640899999999998</v>
      </c>
      <c r="AI370" s="22">
        <v>-9.3017600000000001E-4</v>
      </c>
      <c r="AJ370" s="22">
        <v>360</v>
      </c>
      <c r="AK370" s="22">
        <v>1.71265</v>
      </c>
      <c r="AL370">
        <f t="shared" si="66"/>
        <v>1.1483654320987653</v>
      </c>
      <c r="AM370">
        <f t="shared" si="67"/>
        <v>1.9669203120987653</v>
      </c>
      <c r="AP370" s="9"/>
      <c r="AQ370" s="22">
        <v>-4.2724600000000001E-2</v>
      </c>
      <c r="AR370" s="22">
        <v>27.058299999999999</v>
      </c>
      <c r="AS370" s="22">
        <v>-1.3916E-2</v>
      </c>
      <c r="AT370" s="22">
        <v>360</v>
      </c>
      <c r="AU370" s="22">
        <v>-4.3106100000000001E-2</v>
      </c>
      <c r="AV370">
        <f t="shared" si="68"/>
        <v>17.180246913580245</v>
      </c>
      <c r="AW370">
        <f t="shared" si="69"/>
        <v>-0.7340191772839505</v>
      </c>
      <c r="AX370" s="9"/>
      <c r="AY370" s="22">
        <v>1.7128000000000001</v>
      </c>
      <c r="AZ370" s="22">
        <v>30.8171</v>
      </c>
      <c r="BA370" s="22">
        <v>-8.8378899999999995E-4</v>
      </c>
      <c r="BB370" s="22">
        <v>360</v>
      </c>
      <c r="BC370" s="22">
        <v>1.71173</v>
      </c>
      <c r="BD370">
        <f t="shared" si="70"/>
        <v>1.0910975308641973</v>
      </c>
      <c r="BE370">
        <f t="shared" si="71"/>
        <v>1.8688318508641972</v>
      </c>
    </row>
    <row r="371" spans="6:57">
      <c r="F371" s="9"/>
      <c r="G371" s="22">
        <v>-4.7759999999999997E-2</v>
      </c>
      <c r="H371" s="22">
        <v>8.6649499999999993</v>
      </c>
      <c r="I371" s="22">
        <v>-1.38306E-2</v>
      </c>
      <c r="J371" s="22">
        <v>361</v>
      </c>
      <c r="K371" s="22">
        <v>-4.8199499999999999E-2</v>
      </c>
      <c r="L371">
        <f t="shared" si="60"/>
        <v>17.074814814814815</v>
      </c>
      <c r="M371">
        <f t="shared" si="61"/>
        <v>-0.81549315555555546</v>
      </c>
      <c r="N371" s="9"/>
      <c r="O371" s="22">
        <v>1.71783</v>
      </c>
      <c r="P371" s="22">
        <v>12.4237</v>
      </c>
      <c r="Q371" s="22">
        <v>-7.1716300000000005E-4</v>
      </c>
      <c r="R371" s="22">
        <v>361</v>
      </c>
      <c r="S371" s="22">
        <v>1.71631</v>
      </c>
      <c r="T371">
        <f t="shared" si="62"/>
        <v>0.88538641975308641</v>
      </c>
      <c r="U371">
        <f t="shared" si="63"/>
        <v>1.5209433534444443</v>
      </c>
      <c r="X371" s="9"/>
      <c r="Y371" s="22">
        <v>-4.7759999999999997E-2</v>
      </c>
      <c r="Z371" s="22">
        <v>17.892199999999999</v>
      </c>
      <c r="AA371" s="22">
        <v>-1.38824E-2</v>
      </c>
      <c r="AB371" s="22">
        <v>361</v>
      </c>
      <c r="AC371" s="22">
        <v>-4.81445E-2</v>
      </c>
      <c r="AD371">
        <f t="shared" si="64"/>
        <v>17.138765432098765</v>
      </c>
      <c r="AE371">
        <f t="shared" si="65"/>
        <v>-0.81854743703703692</v>
      </c>
      <c r="AF371" s="9"/>
      <c r="AG371" s="22">
        <v>1.71783</v>
      </c>
      <c r="AH371" s="22">
        <v>21.6509</v>
      </c>
      <c r="AI371" s="22">
        <v>-6.8206799999999998E-4</v>
      </c>
      <c r="AJ371" s="22">
        <v>361</v>
      </c>
      <c r="AK371" s="22">
        <v>1.71661</v>
      </c>
      <c r="AL371">
        <f t="shared" si="66"/>
        <v>0.84205925925925917</v>
      </c>
      <c r="AM371">
        <f t="shared" si="67"/>
        <v>1.4465146573333332</v>
      </c>
      <c r="AP371" s="9"/>
      <c r="AQ371" s="22">
        <v>-4.7759999999999997E-2</v>
      </c>
      <c r="AR371" s="22">
        <v>27.0684</v>
      </c>
      <c r="AS371" s="22">
        <v>-1.3913E-2</v>
      </c>
      <c r="AT371" s="22">
        <v>361</v>
      </c>
      <c r="AU371" s="22">
        <v>-4.81812E-2</v>
      </c>
      <c r="AV371">
        <f t="shared" si="68"/>
        <v>17.176543209876542</v>
      </c>
      <c r="AW371">
        <f t="shared" si="69"/>
        <v>-0.82035170370370358</v>
      </c>
      <c r="AX371" s="9"/>
      <c r="AY371" s="22">
        <v>1.71783</v>
      </c>
      <c r="AZ371" s="22">
        <v>30.827200000000001</v>
      </c>
      <c r="BA371" s="22">
        <v>-6.3354500000000001E-4</v>
      </c>
      <c r="BB371" s="22">
        <v>361</v>
      </c>
      <c r="BC371" s="22">
        <v>1.71692</v>
      </c>
      <c r="BD371">
        <f t="shared" si="70"/>
        <v>0.78215432098765425</v>
      </c>
      <c r="BE371">
        <f t="shared" si="71"/>
        <v>1.343608157222222</v>
      </c>
    </row>
    <row r="372" spans="6:57">
      <c r="F372" s="9"/>
      <c r="G372" s="22">
        <v>-5.2795399999999999E-2</v>
      </c>
      <c r="H372" s="22">
        <v>8.67502</v>
      </c>
      <c r="I372" s="22">
        <v>-1.38245E-2</v>
      </c>
      <c r="J372" s="22">
        <v>362</v>
      </c>
      <c r="K372" s="22">
        <v>-5.3405800000000003E-2</v>
      </c>
      <c r="L372">
        <f t="shared" si="60"/>
        <v>17.067283950617281</v>
      </c>
      <c r="M372">
        <f t="shared" si="61"/>
        <v>-0.90107408308641956</v>
      </c>
      <c r="N372" s="9"/>
      <c r="O372" s="22">
        <v>1.7228699999999999</v>
      </c>
      <c r="P372" s="22">
        <v>12.4338</v>
      </c>
      <c r="Q372" s="22">
        <v>-4.6939099999999999E-4</v>
      </c>
      <c r="R372" s="22">
        <v>362</v>
      </c>
      <c r="S372" s="22">
        <v>1.72211</v>
      </c>
      <c r="T372">
        <f t="shared" si="62"/>
        <v>0.57949506172839504</v>
      </c>
      <c r="U372">
        <f t="shared" si="63"/>
        <v>0.99839465699999996</v>
      </c>
      <c r="X372" s="9"/>
      <c r="Y372" s="22">
        <v>-5.2795399999999999E-2</v>
      </c>
      <c r="Z372" s="22">
        <v>17.902200000000001</v>
      </c>
      <c r="AA372" s="22">
        <v>-1.38916E-2</v>
      </c>
      <c r="AB372" s="22">
        <v>362</v>
      </c>
      <c r="AC372" s="22">
        <v>-5.3375199999999998E-2</v>
      </c>
      <c r="AD372">
        <f t="shared" si="64"/>
        <v>17.150123456790123</v>
      </c>
      <c r="AE372">
        <f t="shared" si="65"/>
        <v>-0.90544762795061728</v>
      </c>
      <c r="AF372" s="9"/>
      <c r="AG372" s="22">
        <v>1.7228699999999999</v>
      </c>
      <c r="AH372" s="22">
        <v>21.661000000000001</v>
      </c>
      <c r="AI372" s="22">
        <v>-4.3450900000000002E-4</v>
      </c>
      <c r="AJ372" s="22">
        <v>362</v>
      </c>
      <c r="AK372" s="22">
        <v>1.7218</v>
      </c>
      <c r="AL372">
        <f t="shared" si="66"/>
        <v>0.53643086419753083</v>
      </c>
      <c r="AM372">
        <f t="shared" si="67"/>
        <v>0.92420064299999993</v>
      </c>
      <c r="AP372" s="9"/>
      <c r="AQ372" s="22">
        <v>-5.2795399999999999E-2</v>
      </c>
      <c r="AR372" s="22">
        <v>27.078499999999998</v>
      </c>
      <c r="AS372" s="22">
        <v>-1.3916E-2</v>
      </c>
      <c r="AT372" s="22">
        <v>362</v>
      </c>
      <c r="AU372" s="22">
        <v>-5.3314199999999999E-2</v>
      </c>
      <c r="AV372">
        <f t="shared" si="68"/>
        <v>17.180246913580245</v>
      </c>
      <c r="AW372">
        <f t="shared" si="69"/>
        <v>-0.90703800790123446</v>
      </c>
      <c r="AX372" s="9"/>
      <c r="AY372" s="22">
        <v>1.7228699999999999</v>
      </c>
      <c r="AZ372" s="22">
        <v>30.837199999999999</v>
      </c>
      <c r="BA372" s="22">
        <v>-3.8317899999999998E-4</v>
      </c>
      <c r="BB372" s="22">
        <v>362</v>
      </c>
      <c r="BC372" s="22">
        <v>1.72211</v>
      </c>
      <c r="BD372">
        <f t="shared" si="70"/>
        <v>0.47306049382716048</v>
      </c>
      <c r="BE372">
        <f t="shared" si="71"/>
        <v>0.81502173299999991</v>
      </c>
    </row>
    <row r="373" spans="6:57">
      <c r="F373" s="9"/>
      <c r="G373" s="22">
        <v>-5.7830800000000002E-2</v>
      </c>
      <c r="H373" s="22">
        <v>8.6850900000000006</v>
      </c>
      <c r="I373" s="22">
        <v>-1.3821399999999999E-2</v>
      </c>
      <c r="J373" s="22">
        <v>363</v>
      </c>
      <c r="K373" s="22">
        <v>-5.8319099999999999E-2</v>
      </c>
      <c r="L373">
        <f t="shared" si="60"/>
        <v>17.063456790123453</v>
      </c>
      <c r="M373">
        <f t="shared" si="61"/>
        <v>-0.98679335693827142</v>
      </c>
      <c r="N373" s="9"/>
      <c r="O373" s="22">
        <v>1.7279100000000001</v>
      </c>
      <c r="P373" s="22">
        <v>12.443899999999999</v>
      </c>
      <c r="Q373" s="22">
        <v>-2.20795E-4</v>
      </c>
      <c r="R373" s="22">
        <v>363</v>
      </c>
      <c r="S373" s="22">
        <v>1.72699</v>
      </c>
      <c r="T373">
        <f t="shared" si="62"/>
        <v>0.2725864197530864</v>
      </c>
      <c r="U373">
        <f t="shared" si="63"/>
        <v>0.47100480055555555</v>
      </c>
      <c r="X373" s="9"/>
      <c r="Y373" s="22">
        <v>-5.7830800000000002E-2</v>
      </c>
      <c r="Z373" s="22">
        <v>17.912299999999998</v>
      </c>
      <c r="AA373" s="22">
        <v>-1.38916E-2</v>
      </c>
      <c r="AB373" s="22">
        <v>363</v>
      </c>
      <c r="AC373" s="22">
        <v>-5.8349600000000001E-2</v>
      </c>
      <c r="AD373">
        <f t="shared" si="64"/>
        <v>17.150123456790123</v>
      </c>
      <c r="AE373">
        <f t="shared" si="65"/>
        <v>-0.99180535960493832</v>
      </c>
      <c r="AF373" s="9"/>
      <c r="AG373" s="22">
        <v>1.7279100000000001</v>
      </c>
      <c r="AH373" s="22">
        <v>21.671099999999999</v>
      </c>
      <c r="AI373" s="22">
        <v>-1.8539399999999999E-4</v>
      </c>
      <c r="AJ373" s="22">
        <v>363</v>
      </c>
      <c r="AK373" s="22">
        <v>1.72699</v>
      </c>
      <c r="AL373">
        <f t="shared" si="66"/>
        <v>0.22888148148148146</v>
      </c>
      <c r="AM373">
        <f t="shared" si="67"/>
        <v>0.39548660066666663</v>
      </c>
      <c r="AP373" s="9"/>
      <c r="AQ373" s="22">
        <v>-5.7830800000000002E-2</v>
      </c>
      <c r="AR373" s="22">
        <v>27.0885</v>
      </c>
      <c r="AS373" s="22">
        <v>-1.39252E-2</v>
      </c>
      <c r="AT373" s="22">
        <v>363</v>
      </c>
      <c r="AU373" s="22">
        <v>-5.8380099999999997E-2</v>
      </c>
      <c r="AV373">
        <f t="shared" si="68"/>
        <v>17.191604938271606</v>
      </c>
      <c r="AW373">
        <f t="shared" si="69"/>
        <v>-0.99420426686419761</v>
      </c>
      <c r="AX373" s="9"/>
      <c r="AY373" s="22">
        <v>1.7279100000000001</v>
      </c>
      <c r="AZ373" s="22">
        <v>30.847300000000001</v>
      </c>
      <c r="BA373" s="22">
        <v>-1.30951E-4</v>
      </c>
      <c r="BB373" s="22">
        <v>363</v>
      </c>
      <c r="BC373" s="22">
        <v>1.72699</v>
      </c>
      <c r="BD373">
        <f t="shared" si="70"/>
        <v>0.1616679012345679</v>
      </c>
      <c r="BE373">
        <f t="shared" si="71"/>
        <v>0.2793475832222222</v>
      </c>
    </row>
    <row r="374" spans="6:57">
      <c r="F374" s="9"/>
      <c r="G374" s="22">
        <v>-6.2866199999999997E-2</v>
      </c>
      <c r="H374" s="22">
        <v>8.6951599999999996</v>
      </c>
      <c r="I374" s="22">
        <v>-1.38306E-2</v>
      </c>
      <c r="J374" s="22">
        <v>364</v>
      </c>
      <c r="K374" s="22">
        <v>-6.3446000000000002E-2</v>
      </c>
      <c r="L374">
        <f t="shared" si="60"/>
        <v>17.074814814814815</v>
      </c>
      <c r="M374">
        <f t="shared" si="61"/>
        <v>-1.073428723111111</v>
      </c>
      <c r="N374" s="9"/>
      <c r="O374" s="22">
        <v>1.7329399999999999</v>
      </c>
      <c r="P374" s="22">
        <v>12.453900000000001</v>
      </c>
      <c r="Q374" s="25">
        <v>3.7384E-5</v>
      </c>
      <c r="R374" s="22">
        <v>364</v>
      </c>
      <c r="S374" s="22">
        <v>1.7321800000000001</v>
      </c>
      <c r="T374">
        <f t="shared" si="62"/>
        <v>-4.6153086419753082E-2</v>
      </c>
      <c r="U374">
        <f t="shared" si="63"/>
        <v>-7.9980529580246901E-2</v>
      </c>
      <c r="X374" s="9"/>
      <c r="Y374" s="22">
        <v>-6.2866199999999997E-2</v>
      </c>
      <c r="Z374" s="22">
        <v>17.9224</v>
      </c>
      <c r="AA374" s="22">
        <v>-1.3897700000000001E-2</v>
      </c>
      <c r="AB374" s="22">
        <v>364</v>
      </c>
      <c r="AC374" s="22">
        <v>-6.3384999999999997E-2</v>
      </c>
      <c r="AD374">
        <f t="shared" si="64"/>
        <v>17.157654320987653</v>
      </c>
      <c r="AE374">
        <f t="shared" si="65"/>
        <v>-1.078636528074074</v>
      </c>
      <c r="AF374" s="9"/>
      <c r="AG374" s="22">
        <v>1.7329399999999999</v>
      </c>
      <c r="AH374" s="22">
        <v>21.681100000000001</v>
      </c>
      <c r="AI374" s="25">
        <v>6.9488500000000004E-5</v>
      </c>
      <c r="AJ374" s="22">
        <v>364</v>
      </c>
      <c r="AK374" s="22">
        <v>1.7321800000000001</v>
      </c>
      <c r="AL374">
        <f t="shared" si="66"/>
        <v>-8.5788271604938279E-2</v>
      </c>
      <c r="AM374">
        <f t="shared" si="67"/>
        <v>-0.14866592739506174</v>
      </c>
      <c r="AP374" s="9"/>
      <c r="AQ374" s="22">
        <v>-6.2866199999999997E-2</v>
      </c>
      <c r="AR374" s="22">
        <v>27.098600000000001</v>
      </c>
      <c r="AS374" s="22">
        <v>-1.3931300000000001E-2</v>
      </c>
      <c r="AT374" s="22">
        <v>364</v>
      </c>
      <c r="AU374" s="22">
        <v>-6.3384999999999997E-2</v>
      </c>
      <c r="AV374">
        <f t="shared" si="68"/>
        <v>17.199135802469137</v>
      </c>
      <c r="AW374">
        <f t="shared" si="69"/>
        <v>-1.0812443111851853</v>
      </c>
      <c r="AX374" s="9"/>
      <c r="AY374" s="22">
        <v>1.7329399999999999</v>
      </c>
      <c r="AZ374" s="22">
        <v>30.857399999999998</v>
      </c>
      <c r="BA374" s="22">
        <v>1.2387100000000001E-4</v>
      </c>
      <c r="BB374" s="22">
        <v>364</v>
      </c>
      <c r="BC374" s="22">
        <v>1.73187</v>
      </c>
      <c r="BD374">
        <f t="shared" si="70"/>
        <v>-0.15292716049382715</v>
      </c>
      <c r="BE374">
        <f t="shared" si="71"/>
        <v>-0.26501359350617282</v>
      </c>
    </row>
    <row r="375" spans="6:57">
      <c r="F375" s="9"/>
      <c r="G375" s="22">
        <v>-6.7901600000000006E-2</v>
      </c>
      <c r="H375" s="22">
        <v>8.7052300000000002</v>
      </c>
      <c r="I375" s="22">
        <v>-1.3842800000000001E-2</v>
      </c>
      <c r="J375" s="22">
        <v>365</v>
      </c>
      <c r="K375" s="22">
        <v>-6.8481399999999998E-2</v>
      </c>
      <c r="L375">
        <f t="shared" si="60"/>
        <v>17.089876543209876</v>
      </c>
      <c r="M375">
        <f t="shared" si="61"/>
        <v>-1.1604299610864197</v>
      </c>
      <c r="N375" s="9"/>
      <c r="O375" s="22">
        <v>1.7379800000000001</v>
      </c>
      <c r="P375" s="22">
        <v>12.464</v>
      </c>
      <c r="Q375" s="22">
        <v>2.9357899999999998E-4</v>
      </c>
      <c r="R375" s="22">
        <v>365</v>
      </c>
      <c r="S375" s="22">
        <v>1.7373700000000001</v>
      </c>
      <c r="T375">
        <f t="shared" si="62"/>
        <v>-0.36244320987654316</v>
      </c>
      <c r="U375">
        <f t="shared" si="63"/>
        <v>-0.62991904990123448</v>
      </c>
      <c r="X375" s="9"/>
      <c r="Y375" s="22">
        <v>-6.7901600000000006E-2</v>
      </c>
      <c r="Z375" s="22">
        <v>17.932400000000001</v>
      </c>
      <c r="AA375" s="22">
        <v>-1.39069E-2</v>
      </c>
      <c r="AB375" s="22">
        <v>365</v>
      </c>
      <c r="AC375" s="22">
        <v>-6.8450899999999995E-2</v>
      </c>
      <c r="AD375">
        <f t="shared" si="64"/>
        <v>17.169012345679011</v>
      </c>
      <c r="AE375">
        <f t="shared" si="65"/>
        <v>-1.165803408691358</v>
      </c>
      <c r="AF375" s="9"/>
      <c r="AG375" s="22">
        <v>1.7379800000000001</v>
      </c>
      <c r="AH375" s="22">
        <v>21.691199999999998</v>
      </c>
      <c r="AI375" s="22">
        <v>3.2791100000000001E-4</v>
      </c>
      <c r="AJ375" s="22">
        <v>365</v>
      </c>
      <c r="AK375" s="22">
        <v>1.73706</v>
      </c>
      <c r="AL375">
        <f t="shared" si="66"/>
        <v>-0.40482839506172835</v>
      </c>
      <c r="AM375">
        <f t="shared" si="67"/>
        <v>-0.70358365404938272</v>
      </c>
      <c r="AP375" s="9"/>
      <c r="AQ375" s="22">
        <v>-6.7901600000000006E-2</v>
      </c>
      <c r="AR375" s="22">
        <v>27.108699999999999</v>
      </c>
      <c r="AS375" s="22">
        <v>-1.3931300000000001E-2</v>
      </c>
      <c r="AT375" s="22">
        <v>365</v>
      </c>
      <c r="AU375" s="22">
        <v>-6.8450899999999995E-2</v>
      </c>
      <c r="AV375">
        <f t="shared" si="68"/>
        <v>17.199135802469137</v>
      </c>
      <c r="AW375">
        <f t="shared" si="69"/>
        <v>-1.1678488396049385</v>
      </c>
      <c r="AX375" s="9"/>
      <c r="AY375" s="22">
        <v>1.7379800000000001</v>
      </c>
      <c r="AZ375" s="22">
        <v>30.8674</v>
      </c>
      <c r="BA375" s="22">
        <v>3.8034100000000002E-4</v>
      </c>
      <c r="BB375" s="22">
        <v>365</v>
      </c>
      <c r="BC375" s="22">
        <v>1.7373700000000001</v>
      </c>
      <c r="BD375">
        <f t="shared" si="70"/>
        <v>-0.4695567901234568</v>
      </c>
      <c r="BE375">
        <f t="shared" si="71"/>
        <v>-0.81608031009876547</v>
      </c>
    </row>
    <row r="376" spans="6:57">
      <c r="F376" s="9"/>
      <c r="G376" s="22">
        <v>-7.2937000000000002E-2</v>
      </c>
      <c r="H376" s="22">
        <v>8.7153100000000006</v>
      </c>
      <c r="I376" s="22">
        <v>-1.3903799999999999E-2</v>
      </c>
      <c r="J376" s="22">
        <v>366</v>
      </c>
      <c r="K376" s="22">
        <v>-7.3516799999999993E-2</v>
      </c>
      <c r="L376">
        <f t="shared" si="60"/>
        <v>17.165185185185184</v>
      </c>
      <c r="M376">
        <f t="shared" si="61"/>
        <v>-1.2519771118518517</v>
      </c>
      <c r="N376" s="9"/>
      <c r="O376" s="22">
        <v>1.7430099999999999</v>
      </c>
      <c r="P376" s="22">
        <v>12.4741</v>
      </c>
      <c r="Q376" s="22">
        <v>5.5633500000000003E-4</v>
      </c>
      <c r="R376" s="22">
        <v>366</v>
      </c>
      <c r="S376" s="22">
        <v>1.74194</v>
      </c>
      <c r="T376">
        <f t="shared" si="62"/>
        <v>-0.6868333333333333</v>
      </c>
      <c r="U376">
        <f t="shared" si="63"/>
        <v>-1.1971573683333332</v>
      </c>
      <c r="X376" s="9"/>
      <c r="Y376" s="22">
        <v>-7.2937000000000002E-2</v>
      </c>
      <c r="Z376" s="22">
        <v>17.942499999999999</v>
      </c>
      <c r="AA376" s="22">
        <v>-1.3913E-2</v>
      </c>
      <c r="AB376" s="22">
        <v>366</v>
      </c>
      <c r="AC376" s="22">
        <v>-7.3486300000000004E-2</v>
      </c>
      <c r="AD376">
        <f t="shared" si="64"/>
        <v>17.176543209876542</v>
      </c>
      <c r="AE376">
        <f t="shared" si="65"/>
        <v>-1.2528055320987654</v>
      </c>
      <c r="AF376" s="9"/>
      <c r="AG376" s="22">
        <v>1.7430099999999999</v>
      </c>
      <c r="AH376" s="22">
        <v>21.7013</v>
      </c>
      <c r="AI376" s="22">
        <v>5.8593800000000004E-4</v>
      </c>
      <c r="AJ376" s="22">
        <v>366</v>
      </c>
      <c r="AK376" s="22">
        <v>1.7422500000000001</v>
      </c>
      <c r="AL376">
        <f t="shared" si="66"/>
        <v>-0.72338024691358016</v>
      </c>
      <c r="AM376">
        <f t="shared" si="67"/>
        <v>-1.2608590041728394</v>
      </c>
      <c r="AP376" s="9"/>
      <c r="AQ376" s="22">
        <v>-7.2937000000000002E-2</v>
      </c>
      <c r="AR376" s="22">
        <v>27.1187</v>
      </c>
      <c r="AS376" s="22">
        <v>-1.39282E-2</v>
      </c>
      <c r="AT376" s="22">
        <v>366</v>
      </c>
      <c r="AU376" s="22">
        <v>-7.3486300000000004E-2</v>
      </c>
      <c r="AV376">
        <f t="shared" si="68"/>
        <v>17.195308641975309</v>
      </c>
      <c r="AW376">
        <f t="shared" si="69"/>
        <v>-1.2541742264197531</v>
      </c>
      <c r="AX376" s="9"/>
      <c r="AY376" s="22">
        <v>1.7430099999999999</v>
      </c>
      <c r="AZ376" s="22">
        <v>30.877500000000001</v>
      </c>
      <c r="BA376" s="22">
        <v>6.4544699999999995E-4</v>
      </c>
      <c r="BB376" s="22">
        <v>366</v>
      </c>
      <c r="BC376" s="22">
        <v>1.7422500000000001</v>
      </c>
      <c r="BD376">
        <f t="shared" si="70"/>
        <v>-0.79684814814814797</v>
      </c>
      <c r="BE376">
        <f t="shared" si="71"/>
        <v>-1.3889142907037033</v>
      </c>
    </row>
    <row r="377" spans="6:57">
      <c r="F377" s="9"/>
      <c r="G377" s="22">
        <v>-7.7972399999999997E-2</v>
      </c>
      <c r="H377" s="22">
        <v>8.7253799999999995</v>
      </c>
      <c r="I377" s="22">
        <v>-1.38855E-2</v>
      </c>
      <c r="J377" s="22">
        <v>367</v>
      </c>
      <c r="K377" s="22">
        <v>-7.8491199999999997E-2</v>
      </c>
      <c r="L377">
        <f t="shared" si="60"/>
        <v>17.142592592592592</v>
      </c>
      <c r="M377">
        <f t="shared" si="61"/>
        <v>-1.3366490866666667</v>
      </c>
      <c r="N377" s="9"/>
      <c r="O377" s="22">
        <v>1.7480500000000001</v>
      </c>
      <c r="P377" s="22">
        <v>12.4841</v>
      </c>
      <c r="Q377" s="22">
        <v>8.2031300000000003E-4</v>
      </c>
      <c r="R377" s="22">
        <v>367</v>
      </c>
      <c r="S377" s="22">
        <v>1.7474400000000001</v>
      </c>
      <c r="T377">
        <f t="shared" si="62"/>
        <v>-1.0127320987654322</v>
      </c>
      <c r="U377">
        <f t="shared" si="63"/>
        <v>-1.7703063452469139</v>
      </c>
      <c r="X377" s="9"/>
      <c r="Y377" s="22">
        <v>-7.7972399999999997E-2</v>
      </c>
      <c r="Z377" s="22">
        <v>17.9526</v>
      </c>
      <c r="AA377" s="22">
        <v>-1.3909899999999999E-2</v>
      </c>
      <c r="AB377" s="22">
        <v>367</v>
      </c>
      <c r="AC377" s="22">
        <v>-7.8552200000000003E-2</v>
      </c>
      <c r="AD377">
        <f t="shared" si="64"/>
        <v>17.172716049382714</v>
      </c>
      <c r="AE377">
        <f t="shared" si="65"/>
        <v>-1.3389978848888886</v>
      </c>
      <c r="AF377" s="9"/>
      <c r="AG377" s="22">
        <v>1.7480500000000001</v>
      </c>
      <c r="AH377" s="22">
        <v>21.711300000000001</v>
      </c>
      <c r="AI377" s="22">
        <v>8.5510299999999996E-4</v>
      </c>
      <c r="AJ377" s="22">
        <v>367</v>
      </c>
      <c r="AK377" s="22">
        <v>1.7474400000000001</v>
      </c>
      <c r="AL377">
        <f t="shared" si="66"/>
        <v>-1.0556827160493827</v>
      </c>
      <c r="AM377">
        <f t="shared" si="67"/>
        <v>-1.8453861717901234</v>
      </c>
      <c r="AP377" s="9"/>
      <c r="AQ377" s="22">
        <v>-7.7972399999999997E-2</v>
      </c>
      <c r="AR377" s="22">
        <v>27.128799999999998</v>
      </c>
      <c r="AS377" s="22">
        <v>-1.39252E-2</v>
      </c>
      <c r="AT377" s="22">
        <v>367</v>
      </c>
      <c r="AU377" s="22">
        <v>-7.85217E-2</v>
      </c>
      <c r="AV377">
        <f t="shared" si="68"/>
        <v>17.191604938271606</v>
      </c>
      <c r="AW377">
        <f t="shared" si="69"/>
        <v>-1.3404706968888889</v>
      </c>
      <c r="AX377" s="9"/>
      <c r="AY377" s="22">
        <v>1.7480500000000001</v>
      </c>
      <c r="AZ377" s="22">
        <v>30.887599999999999</v>
      </c>
      <c r="BA377" s="22">
        <v>9.1369599999999997E-4</v>
      </c>
      <c r="BB377" s="22">
        <v>367</v>
      </c>
      <c r="BC377" s="22">
        <v>1.7471300000000001</v>
      </c>
      <c r="BD377">
        <f t="shared" si="70"/>
        <v>-1.1280197530864198</v>
      </c>
      <c r="BE377">
        <f t="shared" si="71"/>
        <v>-1.9718349293827162</v>
      </c>
    </row>
    <row r="378" spans="6:57">
      <c r="F378" s="9"/>
      <c r="G378" s="22">
        <v>-8.3007800000000007E-2</v>
      </c>
      <c r="H378" s="22">
        <v>8.7354500000000002</v>
      </c>
      <c r="I378" s="22">
        <v>-1.38733E-2</v>
      </c>
      <c r="J378" s="22">
        <v>368</v>
      </c>
      <c r="K378" s="22">
        <v>-8.3587599999999998E-2</v>
      </c>
      <c r="L378">
        <f t="shared" si="60"/>
        <v>17.127530864197528</v>
      </c>
      <c r="M378">
        <f t="shared" si="61"/>
        <v>-1.4217186564691358</v>
      </c>
      <c r="N378" s="9"/>
      <c r="O378" s="22">
        <v>1.75308</v>
      </c>
      <c r="P378" s="22">
        <v>12.494199999999999</v>
      </c>
      <c r="Q378" s="22">
        <v>1.09344E-3</v>
      </c>
      <c r="R378" s="22">
        <v>368</v>
      </c>
      <c r="S378" s="22">
        <v>1.7520100000000001</v>
      </c>
      <c r="T378">
        <f t="shared" si="62"/>
        <v>-1.3499259259259258</v>
      </c>
      <c r="U378">
        <f t="shared" si="63"/>
        <v>-2.3665281422222217</v>
      </c>
      <c r="X378" s="9"/>
      <c r="Y378" s="22">
        <v>-8.3007800000000007E-2</v>
      </c>
      <c r="Z378" s="22">
        <v>17.962700000000002</v>
      </c>
      <c r="AA378" s="22">
        <v>-1.39221E-2</v>
      </c>
      <c r="AB378" s="22">
        <v>368</v>
      </c>
      <c r="AC378" s="22">
        <v>-8.3526600000000006E-2</v>
      </c>
      <c r="AD378">
        <f t="shared" si="64"/>
        <v>17.187777777777779</v>
      </c>
      <c r="AE378">
        <f t="shared" si="65"/>
        <v>-1.4267196202222223</v>
      </c>
      <c r="AF378" s="9"/>
      <c r="AG378" s="22">
        <v>1.75308</v>
      </c>
      <c r="AH378" s="22">
        <v>21.721399999999999</v>
      </c>
      <c r="AI378" s="22">
        <v>1.12488E-3</v>
      </c>
      <c r="AJ378" s="22">
        <v>368</v>
      </c>
      <c r="AK378" s="22">
        <v>1.7523200000000001</v>
      </c>
      <c r="AL378">
        <f t="shared" si="66"/>
        <v>-1.3887407407407406</v>
      </c>
      <c r="AM378">
        <f t="shared" si="67"/>
        <v>-2.4345736177777777</v>
      </c>
      <c r="AP378" s="9"/>
      <c r="AQ378" s="22">
        <v>-8.3007800000000007E-2</v>
      </c>
      <c r="AR378" s="22">
        <v>27.1389</v>
      </c>
      <c r="AS378" s="22">
        <v>-1.39252E-2</v>
      </c>
      <c r="AT378" s="22">
        <v>368</v>
      </c>
      <c r="AU378" s="22">
        <v>-8.3587599999999998E-2</v>
      </c>
      <c r="AV378">
        <f t="shared" si="68"/>
        <v>17.191604938271606</v>
      </c>
      <c r="AW378">
        <f t="shared" si="69"/>
        <v>-1.4270373043950619</v>
      </c>
      <c r="AX378" s="9"/>
      <c r="AY378" s="22">
        <v>1.75308</v>
      </c>
      <c r="AZ378" s="22">
        <v>30.897600000000001</v>
      </c>
      <c r="BA378" s="22">
        <v>1.1850000000000001E-3</v>
      </c>
      <c r="BB378" s="22">
        <v>368</v>
      </c>
      <c r="BC378" s="22">
        <v>1.7523200000000001</v>
      </c>
      <c r="BD378">
        <f t="shared" si="70"/>
        <v>-1.462962962962963</v>
      </c>
      <c r="BE378">
        <f t="shared" si="71"/>
        <v>-2.5646911111111113</v>
      </c>
    </row>
    <row r="379" spans="6:57">
      <c r="F379" s="9"/>
      <c r="G379" s="22">
        <v>-8.8043200000000002E-2</v>
      </c>
      <c r="H379" s="22">
        <v>8.7455200000000008</v>
      </c>
      <c r="I379" s="22">
        <v>-1.3861099999999999E-2</v>
      </c>
      <c r="J379" s="22">
        <v>369</v>
      </c>
      <c r="K379" s="22">
        <v>-8.8531499999999999E-2</v>
      </c>
      <c r="L379">
        <f t="shared" si="60"/>
        <v>17.112469135802467</v>
      </c>
      <c r="M379">
        <f t="shared" si="61"/>
        <v>-1.5066365426172839</v>
      </c>
      <c r="N379" s="9"/>
      <c r="O379" s="22">
        <v>1.7581199999999999</v>
      </c>
      <c r="P379" s="22">
        <v>12.504300000000001</v>
      </c>
      <c r="Q379" s="22">
        <v>1.36597E-3</v>
      </c>
      <c r="R379" s="22">
        <v>369</v>
      </c>
      <c r="S379" s="22">
        <v>1.7565900000000001</v>
      </c>
      <c r="T379">
        <f t="shared" si="62"/>
        <v>-1.6863827160493825</v>
      </c>
      <c r="U379">
        <f t="shared" si="63"/>
        <v>-2.9648631807407404</v>
      </c>
      <c r="X379" s="9"/>
      <c r="Y379" s="22">
        <v>-8.8043200000000002E-2</v>
      </c>
      <c r="Z379" s="22">
        <v>17.9727</v>
      </c>
      <c r="AA379" s="22">
        <v>-1.39343E-2</v>
      </c>
      <c r="AB379" s="22">
        <v>369</v>
      </c>
      <c r="AC379" s="22">
        <v>-8.8562000000000002E-2</v>
      </c>
      <c r="AD379">
        <f t="shared" si="64"/>
        <v>17.202839506172836</v>
      </c>
      <c r="AE379">
        <f t="shared" si="65"/>
        <v>-1.5145930392098763</v>
      </c>
      <c r="AF379" s="9"/>
      <c r="AG379" s="22">
        <v>1.7581199999999999</v>
      </c>
      <c r="AH379" s="22">
        <v>21.7315</v>
      </c>
      <c r="AI379" s="22">
        <v>1.4041100000000001E-3</v>
      </c>
      <c r="AJ379" s="22">
        <v>369</v>
      </c>
      <c r="AK379" s="22">
        <v>1.7572000000000001</v>
      </c>
      <c r="AL379">
        <f t="shared" si="66"/>
        <v>-1.7334691358024692</v>
      </c>
      <c r="AM379">
        <f t="shared" si="67"/>
        <v>-3.0476467570370369</v>
      </c>
      <c r="AP379" s="9"/>
      <c r="AQ379" s="22">
        <v>-8.8043200000000002E-2</v>
      </c>
      <c r="AR379" s="22">
        <v>27.149000000000001</v>
      </c>
      <c r="AS379" s="22">
        <v>-1.3931300000000001E-2</v>
      </c>
      <c r="AT379" s="22">
        <v>369</v>
      </c>
      <c r="AU379" s="22">
        <v>-8.8531499999999999E-2</v>
      </c>
      <c r="AV379">
        <f t="shared" si="68"/>
        <v>17.199135802469137</v>
      </c>
      <c r="AW379">
        <f t="shared" si="69"/>
        <v>-1.5142669532839508</v>
      </c>
      <c r="AX379" s="9"/>
      <c r="AY379" s="22">
        <v>1.7581199999999999</v>
      </c>
      <c r="AZ379" s="22">
        <v>30.907699999999998</v>
      </c>
      <c r="BA379" s="22">
        <v>1.4685099999999999E-3</v>
      </c>
      <c r="BB379" s="22">
        <v>369</v>
      </c>
      <c r="BC379" s="22">
        <v>1.7572000000000001</v>
      </c>
      <c r="BD379">
        <f t="shared" si="70"/>
        <v>-1.8129753086419751</v>
      </c>
      <c r="BE379">
        <f t="shared" si="71"/>
        <v>-3.1874281496296293</v>
      </c>
    </row>
    <row r="380" spans="6:57">
      <c r="F380" s="9"/>
      <c r="G380" s="22">
        <v>-9.3078599999999997E-2</v>
      </c>
      <c r="H380" s="22">
        <v>8.7555899999999998</v>
      </c>
      <c r="I380" s="22">
        <v>-1.38184E-2</v>
      </c>
      <c r="J380" s="22">
        <v>370</v>
      </c>
      <c r="K380" s="22">
        <v>-9.3597399999999997E-2</v>
      </c>
      <c r="L380">
        <f t="shared" si="60"/>
        <v>17.05975308641975</v>
      </c>
      <c r="M380">
        <f t="shared" si="61"/>
        <v>-1.5878979336296293</v>
      </c>
      <c r="N380" s="9"/>
      <c r="O380" s="22">
        <v>1.76315</v>
      </c>
      <c r="P380" s="22">
        <v>12.5144</v>
      </c>
      <c r="Q380" s="22">
        <v>1.64398E-3</v>
      </c>
      <c r="R380" s="22">
        <v>370</v>
      </c>
      <c r="S380" s="22">
        <v>1.7623899999999999</v>
      </c>
      <c r="T380">
        <f t="shared" si="62"/>
        <v>-2.0296049382716048</v>
      </c>
      <c r="U380">
        <f t="shared" si="63"/>
        <v>-3.57849794691358</v>
      </c>
      <c r="X380" s="9"/>
      <c r="Y380" s="22">
        <v>-9.3078599999999997E-2</v>
      </c>
      <c r="Z380" s="22">
        <v>17.982800000000001</v>
      </c>
      <c r="AA380" s="22">
        <v>-1.3946500000000001E-2</v>
      </c>
      <c r="AB380" s="22">
        <v>370</v>
      </c>
      <c r="AC380" s="22">
        <v>-9.36279E-2</v>
      </c>
      <c r="AD380">
        <f t="shared" si="64"/>
        <v>17.217901234567901</v>
      </c>
      <c r="AE380">
        <f t="shared" si="65"/>
        <v>-1.6026181418518517</v>
      </c>
      <c r="AF380" s="9"/>
      <c r="AG380" s="22">
        <v>1.76315</v>
      </c>
      <c r="AH380" s="22">
        <v>21.741599999999998</v>
      </c>
      <c r="AI380" s="22">
        <v>1.67877E-3</v>
      </c>
      <c r="AJ380" s="22">
        <v>370</v>
      </c>
      <c r="AK380" s="22">
        <v>1.7620800000000001</v>
      </c>
      <c r="AL380">
        <f t="shared" si="66"/>
        <v>-2.0725555555555553</v>
      </c>
      <c r="AM380">
        <f t="shared" si="67"/>
        <v>-3.6542263277777773</v>
      </c>
      <c r="AP380" s="9"/>
      <c r="AQ380" s="22">
        <v>-9.3078599999999997E-2</v>
      </c>
      <c r="AR380" s="22">
        <v>27.158999999999999</v>
      </c>
      <c r="AS380" s="22">
        <v>-1.39343E-2</v>
      </c>
      <c r="AT380" s="22">
        <v>370</v>
      </c>
      <c r="AU380" s="22">
        <v>-9.3597399999999997E-2</v>
      </c>
      <c r="AV380">
        <f t="shared" si="68"/>
        <v>17.202839506172836</v>
      </c>
      <c r="AW380">
        <f t="shared" si="69"/>
        <v>-1.601216217259259</v>
      </c>
      <c r="AX380" s="9"/>
      <c r="AY380" s="22">
        <v>1.76315</v>
      </c>
      <c r="AZ380" s="22">
        <v>30.9178</v>
      </c>
      <c r="BA380" s="22">
        <v>1.74683E-3</v>
      </c>
      <c r="BB380" s="22">
        <v>370</v>
      </c>
      <c r="BC380" s="22">
        <v>1.7623899999999999</v>
      </c>
      <c r="BD380">
        <f t="shared" si="70"/>
        <v>-2.1565802469135802</v>
      </c>
      <c r="BE380">
        <f t="shared" si="71"/>
        <v>-3.802374462345679</v>
      </c>
    </row>
    <row r="381" spans="6:57">
      <c r="F381" s="9"/>
      <c r="G381" s="22">
        <v>-9.8114000000000007E-2</v>
      </c>
      <c r="H381" s="22">
        <v>8.7656600000000005</v>
      </c>
      <c r="I381" s="22">
        <v>-1.3815300000000001E-2</v>
      </c>
      <c r="J381" s="22">
        <v>371</v>
      </c>
      <c r="K381" s="22">
        <v>-9.8693799999999998E-2</v>
      </c>
      <c r="L381">
        <f t="shared" si="60"/>
        <v>17.055925925925926</v>
      </c>
      <c r="M381">
        <f t="shared" si="61"/>
        <v>-1.6734251162962965</v>
      </c>
      <c r="N381" s="9"/>
      <c r="O381" s="22">
        <v>1.7681899999999999</v>
      </c>
      <c r="P381" s="22">
        <v>12.5244</v>
      </c>
      <c r="Q381" s="22">
        <v>1.9265700000000001E-3</v>
      </c>
      <c r="R381" s="22">
        <v>371</v>
      </c>
      <c r="S381" s="22">
        <v>1.7672699999999999</v>
      </c>
      <c r="T381">
        <f t="shared" si="62"/>
        <v>-2.3784814814814812</v>
      </c>
      <c r="U381">
        <f t="shared" si="63"/>
        <v>-4.2056071707407403</v>
      </c>
      <c r="X381" s="9"/>
      <c r="Y381" s="22">
        <v>-9.8114000000000007E-2</v>
      </c>
      <c r="Z381" s="22">
        <v>17.992899999999999</v>
      </c>
      <c r="AA381" s="22">
        <v>-1.39496E-2</v>
      </c>
      <c r="AB381" s="22">
        <v>371</v>
      </c>
      <c r="AC381" s="22">
        <v>-9.8663299999999995E-2</v>
      </c>
      <c r="AD381">
        <f t="shared" si="64"/>
        <v>17.221728395061724</v>
      </c>
      <c r="AE381">
        <f t="shared" si="65"/>
        <v>-1.6896926597530861</v>
      </c>
      <c r="AF381" s="9"/>
      <c r="AG381" s="22">
        <v>1.7681899999999999</v>
      </c>
      <c r="AH381" s="22">
        <v>21.7516</v>
      </c>
      <c r="AI381" s="22">
        <v>1.9653299999999999E-3</v>
      </c>
      <c r="AJ381" s="22">
        <v>371</v>
      </c>
      <c r="AK381" s="22">
        <v>1.7672699999999999</v>
      </c>
      <c r="AL381">
        <f t="shared" si="66"/>
        <v>-2.4263333333333335</v>
      </c>
      <c r="AM381">
        <f t="shared" si="67"/>
        <v>-4.2902183366666664</v>
      </c>
      <c r="AP381" s="9"/>
      <c r="AQ381" s="22">
        <v>-9.8114000000000007E-2</v>
      </c>
      <c r="AR381" s="22">
        <v>27.1691</v>
      </c>
      <c r="AS381" s="22">
        <v>-1.39404E-2</v>
      </c>
      <c r="AT381" s="22">
        <v>371</v>
      </c>
      <c r="AU381" s="22">
        <v>-9.8724400000000004E-2</v>
      </c>
      <c r="AV381">
        <f t="shared" si="68"/>
        <v>17.21037037037037</v>
      </c>
      <c r="AW381">
        <f t="shared" si="69"/>
        <v>-1.6885782785185186</v>
      </c>
      <c r="AX381" s="9"/>
      <c r="AY381" s="22">
        <v>1.7681899999999999</v>
      </c>
      <c r="AZ381" s="22">
        <v>30.927900000000001</v>
      </c>
      <c r="BA381" s="22">
        <v>2.0352199999999999E-3</v>
      </c>
      <c r="BB381" s="22">
        <v>371</v>
      </c>
      <c r="BC381" s="22">
        <v>1.7678799999999999</v>
      </c>
      <c r="BD381">
        <f t="shared" si="70"/>
        <v>-2.5126172839506169</v>
      </c>
      <c r="BE381">
        <f t="shared" si="71"/>
        <v>-4.442784755308641</v>
      </c>
    </row>
    <row r="382" spans="6:57">
      <c r="F382" s="9"/>
      <c r="G382" s="22">
        <v>-0.103149</v>
      </c>
      <c r="H382" s="22">
        <v>8.7757299999999994</v>
      </c>
      <c r="I382" s="22">
        <v>-1.38123E-2</v>
      </c>
      <c r="J382" s="22">
        <v>372</v>
      </c>
      <c r="K382" s="22">
        <v>-0.103577</v>
      </c>
      <c r="L382">
        <f t="shared" si="60"/>
        <v>17.052222222222223</v>
      </c>
      <c r="M382">
        <f t="shared" si="61"/>
        <v>-1.7589196700000003</v>
      </c>
      <c r="N382" s="9"/>
      <c r="O382" s="22">
        <v>1.77322</v>
      </c>
      <c r="P382" s="22">
        <v>12.5345</v>
      </c>
      <c r="Q382" s="22">
        <v>2.21405E-3</v>
      </c>
      <c r="R382" s="22">
        <v>372</v>
      </c>
      <c r="S382" s="22">
        <v>1.7724599999999999</v>
      </c>
      <c r="T382">
        <f t="shared" si="62"/>
        <v>-2.7333950617283951</v>
      </c>
      <c r="U382">
        <f t="shared" si="63"/>
        <v>-4.8469107913580247</v>
      </c>
      <c r="X382" s="9"/>
      <c r="Y382" s="22">
        <v>-0.103149</v>
      </c>
      <c r="Z382" s="22">
        <v>18.0029</v>
      </c>
      <c r="AA382" s="22">
        <v>-1.39496E-2</v>
      </c>
      <c r="AB382" s="22">
        <v>372</v>
      </c>
      <c r="AC382" s="22">
        <v>-0.103668</v>
      </c>
      <c r="AD382">
        <f t="shared" si="64"/>
        <v>17.221728395061724</v>
      </c>
      <c r="AE382">
        <f t="shared" si="65"/>
        <v>-1.7764040622222219</v>
      </c>
      <c r="AF382" s="9"/>
      <c r="AG382" s="22">
        <v>1.77322</v>
      </c>
      <c r="AH382" s="22">
        <v>21.761700000000001</v>
      </c>
      <c r="AI382" s="22">
        <v>2.2522000000000002E-3</v>
      </c>
      <c r="AJ382" s="22">
        <v>372</v>
      </c>
      <c r="AK382" s="22">
        <v>1.7724599999999999</v>
      </c>
      <c r="AL382">
        <f t="shared" si="66"/>
        <v>-2.7804938271604938</v>
      </c>
      <c r="AM382">
        <f t="shared" si="67"/>
        <v>-4.9304272641975304</v>
      </c>
      <c r="AP382" s="9"/>
      <c r="AQ382" s="22">
        <v>-0.103149</v>
      </c>
      <c r="AR382" s="22">
        <v>27.179200000000002</v>
      </c>
      <c r="AS382" s="22">
        <v>-1.39496E-2</v>
      </c>
      <c r="AT382" s="22">
        <v>372</v>
      </c>
      <c r="AU382" s="22">
        <v>-0.103699</v>
      </c>
      <c r="AV382">
        <f t="shared" si="68"/>
        <v>17.221728395061724</v>
      </c>
      <c r="AW382">
        <f t="shared" si="69"/>
        <v>-1.7764040622222219</v>
      </c>
      <c r="AX382" s="9"/>
      <c r="AY382" s="22">
        <v>1.77322</v>
      </c>
      <c r="AZ382" s="22">
        <v>30.937899999999999</v>
      </c>
      <c r="BA382" s="22">
        <v>2.3245200000000001E-3</v>
      </c>
      <c r="BB382" s="22">
        <v>372</v>
      </c>
      <c r="BC382" s="22">
        <v>1.77277</v>
      </c>
      <c r="BD382">
        <f t="shared" si="70"/>
        <v>-2.8697777777777773</v>
      </c>
      <c r="BE382">
        <f t="shared" si="71"/>
        <v>-5.0887473511111105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3659.2560000001949</v>
      </c>
      <c r="H2" s="2"/>
      <c r="I2" s="6" t="s">
        <v>12</v>
      </c>
      <c r="J2" s="2"/>
      <c r="K2" s="7" t="s">
        <v>13</v>
      </c>
      <c r="L2" s="3">
        <f>L4*I6*L9/100*100</f>
        <v>17.322956172839504</v>
      </c>
      <c r="M2" s="8" t="s">
        <v>14</v>
      </c>
      <c r="N2" s="9"/>
      <c r="O2" s="2">
        <f>ABS(S7-S6)/ABS(T7-T6)*1000</f>
        <v>886.6682608695811</v>
      </c>
      <c r="P2" s="2"/>
      <c r="Q2" s="6" t="s">
        <v>15</v>
      </c>
      <c r="R2" s="2"/>
      <c r="S2" s="7" t="s">
        <v>13</v>
      </c>
      <c r="T2" s="3">
        <f>T4*Q6*T9/100*100</f>
        <v>17.66386685432099</v>
      </c>
      <c r="U2" s="8" t="s">
        <v>14</v>
      </c>
      <c r="X2" s="9"/>
      <c r="Y2" s="2">
        <f>ABS(AC7-AC6)/ABS(AD7-AD6)*1000</f>
        <v>14359.49709677343</v>
      </c>
      <c r="Z2" s="2"/>
      <c r="AA2" s="6" t="s">
        <v>12</v>
      </c>
      <c r="AB2" s="2"/>
      <c r="AC2" s="7" t="s">
        <v>13</v>
      </c>
      <c r="AD2" s="3">
        <f>AD4*AA6*AD9/100*100</f>
        <v>18.370235688888886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21007.389193557017</v>
      </c>
      <c r="AR2" s="2"/>
      <c r="AS2" s="6" t="s">
        <v>12</v>
      </c>
      <c r="AT2" s="2"/>
      <c r="AU2" s="7" t="s">
        <v>13</v>
      </c>
      <c r="AV2" s="3">
        <f>AV4*AS6*AV9/100*100</f>
        <v>18.526707832098761</v>
      </c>
      <c r="AW2" s="8" t="s">
        <v>14</v>
      </c>
      <c r="AX2" s="9"/>
      <c r="AY2" s="2">
        <f>ABS(BC7-BC6)/ABS(BD7-BD6)*1000</f>
        <v>3999.6604918034923</v>
      </c>
      <c r="AZ2" s="2"/>
      <c r="BA2" s="6" t="s">
        <v>15</v>
      </c>
      <c r="BB2" s="2"/>
      <c r="BC2" s="7" t="s">
        <v>13</v>
      </c>
      <c r="BD2" s="3">
        <f>BD4*BA6*BD9/100*100</f>
        <v>17.785890654320987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-0.26945925925925923</v>
      </c>
      <c r="L3" s="33" t="s">
        <v>16</v>
      </c>
      <c r="M3" s="11">
        <f>M9</f>
        <v>17.322956172839504</v>
      </c>
      <c r="N3" s="9"/>
      <c r="O3" s="2" t="s">
        <v>44</v>
      </c>
      <c r="P3" s="2"/>
      <c r="Q3" s="2">
        <f>INDEX(S11:S1056,MATCH(0,T11:T1056,-1))</f>
        <v>1.6867099999999999</v>
      </c>
      <c r="R3" s="2"/>
      <c r="S3" s="10">
        <f>INDEX(T11:T1056,MATCH(Q3,S11:S1056,0))</f>
        <v>0.23826296296296293</v>
      </c>
      <c r="T3" s="33" t="s">
        <v>16</v>
      </c>
      <c r="U3" s="11">
        <f>U9</f>
        <v>17.663866854320986</v>
      </c>
      <c r="X3" s="9"/>
      <c r="Y3" s="2" t="s">
        <v>44</v>
      </c>
      <c r="Z3" s="2"/>
      <c r="AA3" s="2">
        <f>INDEX(AC11:AC856,MATCH(0,AD11:AD856,1))</f>
        <v>1.6989099999999999</v>
      </c>
      <c r="AB3" s="2"/>
      <c r="AC3" s="10">
        <f>INDEX(AD11:AD1056,MATCH(AA3,AC11:AC1056,0))</f>
        <v>-0.24832222222222222</v>
      </c>
      <c r="AD3" s="33" t="s">
        <v>16</v>
      </c>
      <c r="AE3" s="11">
        <f>AE9</f>
        <v>18.370235688888886</v>
      </c>
      <c r="AF3" s="9"/>
      <c r="AG3" s="2" t="s">
        <v>44</v>
      </c>
      <c r="AH3" s="2"/>
      <c r="AI3" s="2">
        <f>INDEX(AK11:AK1056,MATCH(0,AL11:AL1056,-1))</f>
        <v>1.6867099999999999</v>
      </c>
      <c r="AJ3" s="2"/>
      <c r="AK3" s="10">
        <f>INDEX(AL11:AL1056,MATCH(AI3,AK11:AK1056,0))</f>
        <v>0.20375185185185182</v>
      </c>
      <c r="AL3" s="33" t="s">
        <v>16</v>
      </c>
      <c r="AM3" s="11">
        <f>AM9</f>
        <v>17.739507499999998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-4.9920740740740738E-2</v>
      </c>
      <c r="AV3" s="33" t="s">
        <v>16</v>
      </c>
      <c r="AW3" s="11">
        <f>AW9</f>
        <v>18.526707832098761</v>
      </c>
      <c r="AX3" s="9"/>
      <c r="AY3" s="2" t="s">
        <v>44</v>
      </c>
      <c r="AZ3" s="2"/>
      <c r="BA3" s="2">
        <f>INDEX(BC11:BC1056,MATCH(0,BD11:BD1056,-1))</f>
        <v>1.6867099999999999</v>
      </c>
      <c r="BB3" s="2"/>
      <c r="BC3" s="10">
        <f>INDEX(BD11:BD1056,MATCH(BA3,BC11:BC1056,0))</f>
        <v>9.3059753086419741E-2</v>
      </c>
      <c r="BD3" s="33" t="s">
        <v>16</v>
      </c>
      <c r="BE3" s="11">
        <f>BE9</f>
        <v>17.785890654320987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14.379643052017611</v>
      </c>
      <c r="H4" s="2"/>
      <c r="I4" s="2">
        <f>INDEX(K11:K1000,1+MATCH(0,L11:L856,1))</f>
        <v>1.6989099999999999</v>
      </c>
      <c r="J4" s="2"/>
      <c r="K4" s="10">
        <f>INDEX(L11:L1056,MATCH(I4,K11:K1056,0))</f>
        <v>7.0604814814814815E-2</v>
      </c>
      <c r="L4" s="32">
        <f>M3/(I6*L9)</f>
        <v>0.62052202870049555</v>
      </c>
      <c r="M4" s="8" t="s">
        <v>17</v>
      </c>
      <c r="N4" s="9"/>
      <c r="O4" s="2">
        <f>ABS(Q3-Q4)/ABS(S3-S4)*1000</f>
        <v>15.066349798654123</v>
      </c>
      <c r="P4" s="2"/>
      <c r="Q4" s="2">
        <f>INDEX(S11:S856,1+MATCH(0,T11:T856,-1))</f>
        <v>1.6915899999999999</v>
      </c>
      <c r="R4" s="2"/>
      <c r="S4" s="10">
        <f>INDEX(T11:T856,MATCH(Q4,S11:S856,0))</f>
        <v>-8.5637654320987647E-2</v>
      </c>
      <c r="T4" s="32">
        <f>U3/(Q6*T9)</f>
        <v>0.63362441174565221</v>
      </c>
      <c r="U4" s="8" t="s">
        <v>17</v>
      </c>
      <c r="X4" s="9"/>
      <c r="Y4" s="2">
        <f>ABS(AA3-AA4)/ABS(AC3-AC4)*1000</f>
        <v>14.726662777743744</v>
      </c>
      <c r="Z4" s="2"/>
      <c r="AA4" s="2">
        <f>INDEX(AC11:AC1000,1+MATCH(0,AD11:AD856,1))</f>
        <v>1.69373</v>
      </c>
      <c r="AB4" s="2"/>
      <c r="AC4" s="10">
        <f>INDEX(AD11:AD1056,MATCH(AA4,AC11:AC1056,0))</f>
        <v>0.10342074074074073</v>
      </c>
      <c r="AD4" s="32">
        <f>AE3/(AA6*AD9)</f>
        <v>0.65175822135835981</v>
      </c>
      <c r="AE4" s="8" t="s">
        <v>17</v>
      </c>
      <c r="AF4" s="9"/>
      <c r="AG4" s="2">
        <f>ABS(AI3-AI4)/ABS(AK3-AK4)*1000</f>
        <v>14.1174720735906</v>
      </c>
      <c r="AH4" s="2"/>
      <c r="AI4" s="2">
        <f>INDEX(AK11:AK856,1+MATCH(0,AL11:AL856,-1))</f>
        <v>1.6912799999999999</v>
      </c>
      <c r="AJ4" s="2"/>
      <c r="AK4" s="10">
        <f>INDEX(AL11:AL856,MATCH(AI4,AK11:AK856,0))</f>
        <v>-0.11996049382716049</v>
      </c>
      <c r="AL4" s="32" t="e">
        <f>AM3/(AI6*AL9)</f>
        <v>#DIV/0!</v>
      </c>
      <c r="AM4" s="8" t="s">
        <v>17</v>
      </c>
      <c r="AP4" s="9"/>
      <c r="AQ4" s="2">
        <f>ABS(AS3-AS4)/ABS(AU3-AU4)*1000</f>
        <v>14.961786744623639</v>
      </c>
      <c r="AR4" s="2"/>
      <c r="AS4" s="2">
        <f>INDEX(AU11:AU1000,1+MATCH(0,AV11:AV856,1))</f>
        <v>1.6885399999999999</v>
      </c>
      <c r="AT4" s="2"/>
      <c r="AU4" s="10">
        <f>INDEX(AV11:AV1056,MATCH(AS4,AU11:AU1056,0))</f>
        <v>0.29696296296296298</v>
      </c>
      <c r="AV4" s="32">
        <f>AW3/(AS6*AV9)</f>
        <v>0.65438627708513664</v>
      </c>
      <c r="AW4" s="8" t="s">
        <v>17</v>
      </c>
      <c r="AX4" s="9"/>
      <c r="AY4" s="2">
        <f>ABS(BA3-BA4)/ABS(BC3-BC4)*1000</f>
        <v>14.643883340915577</v>
      </c>
      <c r="AZ4" s="2"/>
      <c r="BA4" s="2">
        <f>INDEX(BC11:BC856,1+MATCH(0,BD11:BD856,-1))</f>
        <v>1.6915899999999999</v>
      </c>
      <c r="BB4" s="2"/>
      <c r="BC4" s="10">
        <f>INDEX(BD11:BD856,MATCH(BA4,BC11:BC856,0))</f>
        <v>-0.2401851851851852</v>
      </c>
      <c r="BD4" s="32">
        <f>BE3/(BA6*BD9)</f>
        <v>0.6308466987750796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13.356172839506172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14.079506172839505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14.218888888888888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14.083333333333332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14.396049382716049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14.23395061728395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1.6999252720347908</v>
      </c>
      <c r="J6" s="32"/>
      <c r="K6" s="13">
        <f>INDEX(K11:K1056,MATCH(L6,L11:L1056,0))</f>
        <v>5.2825900000000002E-2</v>
      </c>
      <c r="L6" s="10">
        <f>INDEX(L11:L1056,MATCH(0,K11:K1056,-1))</f>
        <v>16.407901234567902</v>
      </c>
      <c r="M6" s="8" t="s">
        <v>22</v>
      </c>
      <c r="N6" s="9"/>
      <c r="O6" s="2"/>
      <c r="P6" s="2"/>
      <c r="Q6" s="36">
        <f>(Q3-Q4)/(S3-S4)*(-S4)+Q4</f>
        <v>1.6902997531440638</v>
      </c>
      <c r="R6" s="36"/>
      <c r="S6" s="13">
        <f>INDEX(S11:S1056,MATCH(T6,T11:T1056,0))</f>
        <v>-6.5063499999999996E-2</v>
      </c>
      <c r="T6" s="10">
        <f>INDEX(T11:T1056,MATCH(0,S11:S1056,1))</f>
        <v>16.41925925925926</v>
      </c>
      <c r="U6" s="8" t="s">
        <v>22</v>
      </c>
      <c r="X6" s="9"/>
      <c r="Y6" s="2"/>
      <c r="Z6" s="2"/>
      <c r="AA6" s="32">
        <f>(AA3-AA4)/(AC3-AC4)*(-AC4)+AA4</f>
        <v>1.6952530423731134</v>
      </c>
      <c r="AB6" s="32"/>
      <c r="AC6" s="13">
        <f>INDEX(AC11:AC1056,MATCH(AD6,AD11:AD1056,0))</f>
        <v>2.7832E-3</v>
      </c>
      <c r="AD6" s="10">
        <f>INDEX(AD11:AD1056,MATCH(0,AC11:AC1056,-1))</f>
        <v>16.626419753086417</v>
      </c>
      <c r="AE6" s="8" t="s">
        <v>22</v>
      </c>
      <c r="AF6" s="9"/>
      <c r="AG6" s="2"/>
      <c r="AH6" s="2"/>
      <c r="AI6" s="36">
        <f>(AI3-AI4)/(AK3-AK4)*(-AK4)+AI4</f>
        <v>1.6895864610784608</v>
      </c>
      <c r="AJ6" s="36"/>
      <c r="AK6" s="13">
        <f>INDEX(AK11:AK1056,MATCH(AL6,AL11:AL1056,0))</f>
        <v>-5.5053699999999997E-2</v>
      </c>
      <c r="AL6" s="10">
        <f>INDEX(AL11:AL1056,MATCH(0,AK11:AK1056,1))</f>
        <v>16.618888888888886</v>
      </c>
      <c r="AM6" s="8" t="s">
        <v>22</v>
      </c>
      <c r="AP6" s="9"/>
      <c r="AQ6" s="2"/>
      <c r="AR6" s="2"/>
      <c r="AS6" s="32">
        <f>(AS3-AS4)/(AU3-AU4)*(-AU4)+AS4</f>
        <v>1.6929830965229034</v>
      </c>
      <c r="AT6" s="32"/>
      <c r="AU6" s="13">
        <f>INDEX(AU11:AU1056,MATCH(AV6,AV11:AV1056,0))</f>
        <v>0.12823499999999999</v>
      </c>
      <c r="AV6" s="10">
        <f>INDEX(AV11:AV1056,MATCH(0,AU11:AU1056,-1))</f>
        <v>16.716790123456789</v>
      </c>
      <c r="AW6" s="8" t="s">
        <v>22</v>
      </c>
      <c r="AX6" s="9"/>
      <c r="AY6" s="2"/>
      <c r="AZ6" s="2"/>
      <c r="BA6" s="36">
        <f>(BA3-BA4)/(BC3-BC4)*(-BC4)+BA4</f>
        <v>1.6880727561679318</v>
      </c>
      <c r="BB6" s="36"/>
      <c r="BC6" s="13">
        <f>INDEX(BC11:BC1056,MATCH(BD6,BD11:BD1056,0))</f>
        <v>-6.0119600000000002E-2</v>
      </c>
      <c r="BD6" s="10">
        <f>INDEX(BD11:BD1056,MATCH(0,BC11:BC1056,1))</f>
        <v>16.686666666666664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-2.28882E-3</v>
      </c>
      <c r="L7" s="10">
        <f>INDEX(L11:L856,1+MATCH(0,K11:K856,-1))</f>
        <v>16.422962962962963</v>
      </c>
      <c r="M7" s="12">
        <f>INDEX(K11:K1056,MATCH(M9,M11:M1056,0))</f>
        <v>1.2963899999999999</v>
      </c>
      <c r="N7" s="9"/>
      <c r="O7" s="2"/>
      <c r="P7" s="2"/>
      <c r="Q7" s="2"/>
      <c r="R7" s="2"/>
      <c r="S7" s="13">
        <f>INDEX(S11:S1056,MATCH(T7,T11:T1056,0))</f>
        <v>-7.5134300000000001E-2</v>
      </c>
      <c r="T7" s="10">
        <f>INDEX(T11:T1056,1+MATCH(0,S11:S1056,1))</f>
        <v>16.407901234567902</v>
      </c>
      <c r="U7" s="12">
        <f>INDEX(S11:S1056,MATCH(U9,U11:U1056,0))</f>
        <v>1.25427</v>
      </c>
      <c r="X7" s="9"/>
      <c r="Y7" s="2"/>
      <c r="Z7" s="2"/>
      <c r="AA7" s="2"/>
      <c r="AB7" s="2"/>
      <c r="AC7" s="13">
        <f>INDEX(AC11:AC856,MATCH(AD7,AD11:AD856,1))</f>
        <v>5.77393E-2</v>
      </c>
      <c r="AD7" s="10">
        <f>INDEX(AD11:AD856,1+MATCH(0,AC11:AC856,-1))</f>
        <v>16.630246913580244</v>
      </c>
      <c r="AE7" s="12">
        <f>INDEX(AC11:AC1056,MATCH(AE9,AE11:AE1056,0))</f>
        <v>1.2911999999999999</v>
      </c>
      <c r="AF7" s="9"/>
      <c r="AG7" s="2"/>
      <c r="AH7" s="2"/>
      <c r="AI7" s="2"/>
      <c r="AJ7" s="2"/>
      <c r="AK7" s="13">
        <f>INDEX(AK11:AK1056,MATCH(AL7,AL11:AL1056,0))</f>
        <v>-5.5053699999999997E-2</v>
      </c>
      <c r="AL7" s="10">
        <f>INDEX(AL11:AL1056,1+MATCH(0,AK11:AK1056,1))</f>
        <v>16.618888888888886</v>
      </c>
      <c r="AM7" s="12">
        <f>INDEX(AK11:AK1056,MATCH(AM9,AM11:AM1056,0))</f>
        <v>1.25885</v>
      </c>
      <c r="AP7" s="9"/>
      <c r="AQ7" s="2"/>
      <c r="AR7" s="2"/>
      <c r="AS7" s="2"/>
      <c r="AT7" s="2"/>
      <c r="AU7" s="13">
        <f>INDEX(AU11:AU856,MATCH(AV7,AV11:AV856,1))</f>
        <v>-3.2562300000000002E-2</v>
      </c>
      <c r="AV7" s="10">
        <f>INDEX(AV11:AV856,1+MATCH(0,AU11:AU856,-1))</f>
        <v>16.72444444444444</v>
      </c>
      <c r="AW7" s="12">
        <f>INDEX(AU11:AU1056,MATCH(AW9,AW11:AW1056,0))</f>
        <v>1.2863199999999999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16.679135802469133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1.9299889672690262</v>
      </c>
      <c r="J9" s="2"/>
      <c r="K9" s="2"/>
      <c r="L9" s="3">
        <f>(L6-L7)/(K6-K7)*(-K7)+L7</f>
        <v>16.422337475158884</v>
      </c>
      <c r="M9" s="16">
        <f>MAX(M11:M1056)</f>
        <v>17.322956172839504</v>
      </c>
      <c r="N9" s="9"/>
      <c r="O9" s="2"/>
      <c r="P9" s="2"/>
      <c r="Q9" s="2"/>
      <c r="R9" s="2"/>
      <c r="S9" s="2"/>
      <c r="T9" s="3">
        <f>(T6-T7)/(S6-S7)*(-S7)+T7</f>
        <v>16.492639014542469</v>
      </c>
      <c r="U9" s="16">
        <f>MAX(U11:U1056)</f>
        <v>17.663866854320986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16.626225930142532</v>
      </c>
      <c r="AE9" s="16">
        <f>MAX(AE11:AE1056)</f>
        <v>18.370235688888886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17.739507499999998</v>
      </c>
      <c r="AP9" s="9"/>
      <c r="AQ9" s="2"/>
      <c r="AR9" s="2"/>
      <c r="AS9" s="15">
        <f>(MAX(AV2,BD2)-MIN(AV2,BD2))/MAX(AV2,BD2)%</f>
        <v>3.9986444677141137</v>
      </c>
      <c r="AT9" s="2"/>
      <c r="AU9" s="2"/>
      <c r="AV9" s="3">
        <f>(AV6-AV7)/(AU6-AU7)*(-AU7)+AV7</f>
        <v>16.722894404137197</v>
      </c>
      <c r="AW9" s="16">
        <f>MAX(AW11:AW1056)</f>
        <v>18.526707832098761</v>
      </c>
      <c r="AX9" s="9"/>
      <c r="AY9" s="2"/>
      <c r="AZ9" s="2"/>
      <c r="BA9" s="2"/>
      <c r="BB9" s="2"/>
      <c r="BC9" s="2"/>
      <c r="BD9" s="3">
        <f>(BD6-BD7)/(BC6-BC7)*(-BC7)+BD7</f>
        <v>16.701697842468512</v>
      </c>
      <c r="BE9" s="16">
        <f>MAX(BE11:BE1056)</f>
        <v>17.785890654320987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1.6999252720347908</v>
      </c>
      <c r="B11" s="19">
        <f>IFERROR(L9,0)</f>
        <v>16.422337475158884</v>
      </c>
      <c r="C11" s="20">
        <f>IFERROR(L4,0)</f>
        <v>0.62052202870049555</v>
      </c>
      <c r="D11" s="21">
        <f>IFERROR(L2,0)</f>
        <v>17.322956172839504</v>
      </c>
      <c r="E11" s="21">
        <f>IFERROR(I9,0)</f>
        <v>1.9299889672690262</v>
      </c>
      <c r="F11" s="9"/>
      <c r="G11" s="22">
        <v>1.7149399999999999</v>
      </c>
      <c r="H11" s="22">
        <v>6.0704099999999999</v>
      </c>
      <c r="I11" s="22">
        <v>8.1512499999999999E-4</v>
      </c>
      <c r="J11" s="22">
        <v>1</v>
      </c>
      <c r="K11" s="22">
        <v>1.71387</v>
      </c>
      <c r="L11">
        <f>-I11/$F$2*1000</f>
        <v>-1.0063271604938271</v>
      </c>
      <c r="M11">
        <f>L11*G11</f>
        <v>-1.7257907006172837</v>
      </c>
      <c r="N11" s="9"/>
      <c r="O11" s="22">
        <v>-9.49097E-2</v>
      </c>
      <c r="P11" s="22">
        <v>9.7284699999999997</v>
      </c>
      <c r="Q11" s="22">
        <v>-1.3269E-2</v>
      </c>
      <c r="R11" s="22">
        <v>1</v>
      </c>
      <c r="S11" s="22">
        <v>-9.5367400000000005E-2</v>
      </c>
      <c r="T11">
        <f>-Q11/$F$2*1000</f>
        <v>16.38148148148148</v>
      </c>
      <c r="U11">
        <f>T11*O11</f>
        <v>-1.5547614929629627</v>
      </c>
      <c r="V11" s="23"/>
      <c r="W11" s="24"/>
      <c r="X11" s="9"/>
      <c r="Y11" s="22">
        <v>1.7149399999999999</v>
      </c>
      <c r="Z11" s="22">
        <v>15.0806</v>
      </c>
      <c r="AA11" s="22">
        <v>1.1047400000000001E-3</v>
      </c>
      <c r="AB11" s="22">
        <v>1</v>
      </c>
      <c r="AC11" s="22">
        <v>1.71448</v>
      </c>
      <c r="AD11">
        <f>-AA11/$F$2*1000</f>
        <v>-1.3638765432098765</v>
      </c>
      <c r="AE11">
        <f>AD11*Y11</f>
        <v>-2.3389664390123457</v>
      </c>
      <c r="AF11" s="9"/>
      <c r="AG11" s="22">
        <v>-9.49097E-2</v>
      </c>
      <c r="AH11" s="22">
        <v>18.738700000000001</v>
      </c>
      <c r="AI11" s="22">
        <v>-1.3418599999999999E-2</v>
      </c>
      <c r="AJ11" s="22">
        <v>1</v>
      </c>
      <c r="AK11" s="22">
        <v>-9.5367400000000005E-2</v>
      </c>
      <c r="AL11">
        <f>-AI11/$F$2*1000</f>
        <v>16.566172839506169</v>
      </c>
      <c r="AM11">
        <f>AL11*AG11</f>
        <v>-1.5722904943456786</v>
      </c>
      <c r="AP11" s="9"/>
      <c r="AQ11" s="22">
        <v>1.7149399999999999</v>
      </c>
      <c r="AR11" s="22">
        <v>24.0748</v>
      </c>
      <c r="AS11" s="22">
        <v>1.2393199999999999E-3</v>
      </c>
      <c r="AT11" s="22">
        <v>1</v>
      </c>
      <c r="AU11" s="22">
        <v>1.71356</v>
      </c>
      <c r="AV11">
        <f>-AS11/$F$2*1000</f>
        <v>-1.5300246913580244</v>
      </c>
      <c r="AW11">
        <f>AV11*AQ11</f>
        <v>-2.6239005441975305</v>
      </c>
      <c r="AX11" s="9"/>
      <c r="AY11" s="22">
        <v>-9.49097E-2</v>
      </c>
      <c r="AZ11" s="22">
        <v>27.732900000000001</v>
      </c>
      <c r="BA11" s="22">
        <v>-1.34918E-2</v>
      </c>
      <c r="BB11" s="22">
        <v>1</v>
      </c>
      <c r="BC11" s="22">
        <v>-9.5306399999999999E-2</v>
      </c>
      <c r="BD11">
        <f>-BA11/$F$2*1000</f>
        <v>16.656543209876542</v>
      </c>
      <c r="BE11">
        <f>BD11*AY11</f>
        <v>-1.5808675190864196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1.6902997531440638</v>
      </c>
      <c r="B12" s="19">
        <f>IFERROR(T9,0)</f>
        <v>16.492639014542469</v>
      </c>
      <c r="C12" s="20">
        <f>IFERROR(T4,0)</f>
        <v>0.63362441174565221</v>
      </c>
      <c r="D12" s="21">
        <f>IFERROR(T2,0)</f>
        <v>17.66386685432099</v>
      </c>
      <c r="E12" s="21"/>
      <c r="F12" s="9"/>
      <c r="G12" s="22">
        <v>1.7099</v>
      </c>
      <c r="H12" s="22">
        <v>6.0804799999999997</v>
      </c>
      <c r="I12" s="22">
        <v>5.1757799999999998E-4</v>
      </c>
      <c r="J12" s="22">
        <v>2</v>
      </c>
      <c r="K12" s="22">
        <v>1.7089799999999999</v>
      </c>
      <c r="L12">
        <f t="shared" ref="L12:L75" si="0">-I12/$F$2*1000</f>
        <v>-0.6389851851851851</v>
      </c>
      <c r="M12">
        <f t="shared" ref="M12:M75" si="1">L12*G12</f>
        <v>-1.092600768148148</v>
      </c>
      <c r="N12" s="9"/>
      <c r="O12" s="22">
        <v>-8.9874300000000004E-2</v>
      </c>
      <c r="P12" s="22">
        <v>9.7385400000000004</v>
      </c>
      <c r="Q12" s="22">
        <v>-1.3281299999999999E-2</v>
      </c>
      <c r="R12" s="22">
        <v>2</v>
      </c>
      <c r="S12" s="22">
        <v>-9.0301500000000007E-2</v>
      </c>
      <c r="T12">
        <f t="shared" ref="T12:T75" si="2">-Q12/$F$2*1000</f>
        <v>16.396666666666665</v>
      </c>
      <c r="U12">
        <f t="shared" ref="U12:U75" si="3">T12*O12</f>
        <v>-1.473638939</v>
      </c>
      <c r="V12" s="23"/>
      <c r="W12" s="24"/>
      <c r="X12" s="9"/>
      <c r="Y12" s="22">
        <v>1.7099</v>
      </c>
      <c r="Z12" s="22">
        <v>15.0907</v>
      </c>
      <c r="AA12" s="22">
        <v>7.9101599999999996E-4</v>
      </c>
      <c r="AB12" s="22">
        <v>2</v>
      </c>
      <c r="AC12" s="22">
        <v>1.70868</v>
      </c>
      <c r="AD12">
        <f t="shared" ref="AD12:AD75" si="4">-AA12/$F$2*1000</f>
        <v>-0.97656296296296285</v>
      </c>
      <c r="AE12">
        <f t="shared" ref="AE12:AE75" si="5">AD12*Y12</f>
        <v>-1.6698250103703702</v>
      </c>
      <c r="AF12" s="9"/>
      <c r="AG12" s="22">
        <v>-8.9874300000000004E-2</v>
      </c>
      <c r="AH12" s="22">
        <v>18.748699999999999</v>
      </c>
      <c r="AI12" s="22">
        <v>-1.3427700000000001E-2</v>
      </c>
      <c r="AJ12" s="22">
        <v>2</v>
      </c>
      <c r="AK12" s="22">
        <v>-9.0331999999999996E-2</v>
      </c>
      <c r="AL12">
        <f t="shared" ref="AL12:AL75" si="6">-AI12/$F$2*1000</f>
        <v>16.57740740740741</v>
      </c>
      <c r="AM12">
        <f t="shared" ref="AM12:AM75" si="7">AL12*AG12</f>
        <v>-1.4898828865555558</v>
      </c>
      <c r="AP12" s="9"/>
      <c r="AQ12" s="22">
        <v>1.7099</v>
      </c>
      <c r="AR12" s="22">
        <v>24.084900000000001</v>
      </c>
      <c r="AS12" s="22">
        <v>9.22546E-4</v>
      </c>
      <c r="AT12" s="22">
        <v>2</v>
      </c>
      <c r="AU12" s="22">
        <v>1.7089799999999999</v>
      </c>
      <c r="AV12">
        <f t="shared" ref="AV12:AV75" si="8">-AS12/$F$2*1000</f>
        <v>-1.1389456790123456</v>
      </c>
      <c r="AW12">
        <f t="shared" ref="AW12:AW75" si="9">AV12*AQ12</f>
        <v>-1.9474832165432097</v>
      </c>
      <c r="AX12" s="9"/>
      <c r="AY12" s="22">
        <v>-8.9874300000000004E-2</v>
      </c>
      <c r="AZ12" s="22">
        <v>27.742999999999999</v>
      </c>
      <c r="BA12" s="22">
        <v>-1.3510100000000001E-2</v>
      </c>
      <c r="BB12" s="22">
        <v>2</v>
      </c>
      <c r="BC12" s="22">
        <v>-9.0240500000000001E-2</v>
      </c>
      <c r="BD12">
        <f t="shared" ref="BD12:BD75" si="10">-BA12/$F$2*1000</f>
        <v>16.679135802469133</v>
      </c>
      <c r="BE12">
        <f t="shared" ref="BE12:BE75" si="11">BD12*AY12</f>
        <v>-1.4990256548518517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1.6952530423731134</v>
      </c>
      <c r="B13" s="19">
        <f>IFERROR(AD9,0)</f>
        <v>16.626225930142532</v>
      </c>
      <c r="C13" s="20">
        <f>IFERROR(AD4,0)</f>
        <v>0.65175822135835981</v>
      </c>
      <c r="D13" s="21">
        <f>IFERROR(AD2,0)</f>
        <v>18.370235688888886</v>
      </c>
      <c r="E13" s="21">
        <f>IFERROR(AA9,0)</f>
        <v>0</v>
      </c>
      <c r="F13" s="9"/>
      <c r="G13" s="22">
        <v>1.70486</v>
      </c>
      <c r="H13" s="22">
        <v>6.0905500000000004</v>
      </c>
      <c r="I13" s="22">
        <v>2.1826199999999999E-4</v>
      </c>
      <c r="J13" s="22">
        <v>3</v>
      </c>
      <c r="K13" s="22">
        <v>1.7038</v>
      </c>
      <c r="L13">
        <f t="shared" si="0"/>
        <v>-0.26945925925925923</v>
      </c>
      <c r="M13">
        <f t="shared" si="1"/>
        <v>-0.45939031274074071</v>
      </c>
      <c r="N13" s="9"/>
      <c r="O13" s="22">
        <v>-8.4838899999999995E-2</v>
      </c>
      <c r="P13" s="22">
        <v>9.7486099999999993</v>
      </c>
      <c r="Q13" s="22">
        <v>-1.3284300000000001E-2</v>
      </c>
      <c r="R13" s="22">
        <v>3</v>
      </c>
      <c r="S13" s="22">
        <v>-8.5235599999999995E-2</v>
      </c>
      <c r="T13">
        <f t="shared" si="2"/>
        <v>16.400370370370371</v>
      </c>
      <c r="U13">
        <f t="shared" si="3"/>
        <v>-1.3913893818148149</v>
      </c>
      <c r="V13" s="23"/>
      <c r="W13" s="24"/>
      <c r="X13" s="9"/>
      <c r="Y13" s="22">
        <v>1.70486</v>
      </c>
      <c r="Z13" s="22">
        <v>15.1008</v>
      </c>
      <c r="AA13" s="22">
        <v>4.9011200000000001E-4</v>
      </c>
      <c r="AB13" s="22">
        <v>3</v>
      </c>
      <c r="AC13" s="22">
        <v>1.7038</v>
      </c>
      <c r="AD13">
        <f t="shared" si="4"/>
        <v>-0.60507654320987658</v>
      </c>
      <c r="AE13">
        <f t="shared" si="5"/>
        <v>-1.0315707954567903</v>
      </c>
      <c r="AF13" s="9"/>
      <c r="AG13" s="22">
        <v>-8.4838899999999995E-2</v>
      </c>
      <c r="AH13" s="22">
        <v>18.758800000000001</v>
      </c>
      <c r="AI13" s="22">
        <v>-1.3427700000000001E-2</v>
      </c>
      <c r="AJ13" s="22">
        <v>3</v>
      </c>
      <c r="AK13" s="22">
        <v>-8.5235599999999995E-2</v>
      </c>
      <c r="AL13">
        <f t="shared" si="6"/>
        <v>16.57740740740741</v>
      </c>
      <c r="AM13">
        <f t="shared" si="7"/>
        <v>-1.4064090092962964</v>
      </c>
      <c r="AP13" s="9"/>
      <c r="AQ13" s="22">
        <v>1.70486</v>
      </c>
      <c r="AR13" s="22">
        <v>24.094999999999999</v>
      </c>
      <c r="AS13" s="22">
        <v>6.2072799999999997E-4</v>
      </c>
      <c r="AT13" s="22">
        <v>3</v>
      </c>
      <c r="AU13" s="22">
        <v>1.70441</v>
      </c>
      <c r="AV13">
        <f t="shared" si="8"/>
        <v>-0.76633086419753083</v>
      </c>
      <c r="AW13">
        <f t="shared" si="9"/>
        <v>-1.3064868371358025</v>
      </c>
      <c r="AX13" s="9"/>
      <c r="AY13" s="22">
        <v>-8.4838899999999995E-2</v>
      </c>
      <c r="AZ13" s="22">
        <v>27.753</v>
      </c>
      <c r="BA13" s="22">
        <v>-1.35193E-2</v>
      </c>
      <c r="BB13" s="22">
        <v>3</v>
      </c>
      <c r="BC13" s="22">
        <v>-8.5357699999999995E-2</v>
      </c>
      <c r="BD13">
        <f t="shared" si="10"/>
        <v>16.690493827160495</v>
      </c>
      <c r="BE13">
        <f t="shared" si="11"/>
        <v>-1.4160031367530863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1.6895864610784608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1.69983</v>
      </c>
      <c r="H14" s="22">
        <v>6.1006200000000002</v>
      </c>
      <c r="I14" s="25">
        <v>-5.7189899999999999E-5</v>
      </c>
      <c r="J14" s="22">
        <v>4</v>
      </c>
      <c r="K14" s="22">
        <v>1.6989099999999999</v>
      </c>
      <c r="L14">
        <f t="shared" si="0"/>
        <v>7.0604814814814815E-2</v>
      </c>
      <c r="M14">
        <f t="shared" si="1"/>
        <v>0.12001618236666667</v>
      </c>
      <c r="N14" s="9"/>
      <c r="O14" s="22">
        <v>-7.9803499999999999E-2</v>
      </c>
      <c r="P14" s="22">
        <v>9.75868</v>
      </c>
      <c r="Q14" s="22">
        <v>-1.3284300000000001E-2</v>
      </c>
      <c r="R14" s="22">
        <v>4</v>
      </c>
      <c r="S14" s="22">
        <v>-8.0230700000000002E-2</v>
      </c>
      <c r="T14">
        <f t="shared" si="2"/>
        <v>16.400370370370371</v>
      </c>
      <c r="U14">
        <f t="shared" si="3"/>
        <v>-1.3088069568518519</v>
      </c>
      <c r="V14" s="23"/>
      <c r="W14" s="24"/>
      <c r="X14" s="9"/>
      <c r="Y14" s="22">
        <v>1.69983</v>
      </c>
      <c r="Z14" s="22">
        <v>15.110799999999999</v>
      </c>
      <c r="AA14" s="22">
        <v>2.01141E-4</v>
      </c>
      <c r="AB14" s="22">
        <v>4</v>
      </c>
      <c r="AC14" s="22">
        <v>1.6989099999999999</v>
      </c>
      <c r="AD14">
        <f t="shared" si="4"/>
        <v>-0.24832222222222222</v>
      </c>
      <c r="AE14">
        <f t="shared" si="5"/>
        <v>-0.42210556299999996</v>
      </c>
      <c r="AF14" s="9"/>
      <c r="AG14" s="22">
        <v>-7.9803499999999999E-2</v>
      </c>
      <c r="AH14" s="22">
        <v>18.768899999999999</v>
      </c>
      <c r="AI14" s="22">
        <v>-1.34308E-2</v>
      </c>
      <c r="AJ14" s="22">
        <v>4</v>
      </c>
      <c r="AK14" s="22">
        <v>-8.0169699999999997E-2</v>
      </c>
      <c r="AL14">
        <f t="shared" si="6"/>
        <v>16.581234567901234</v>
      </c>
      <c r="AM14">
        <f t="shared" si="7"/>
        <v>-1.3232405528395061</v>
      </c>
      <c r="AP14" s="9"/>
      <c r="AQ14" s="22">
        <v>1.69983</v>
      </c>
      <c r="AR14" s="22">
        <v>24.1051</v>
      </c>
      <c r="AS14" s="22">
        <v>3.2745400000000003E-4</v>
      </c>
      <c r="AT14" s="22">
        <v>4</v>
      </c>
      <c r="AU14" s="22">
        <v>1.6989099999999999</v>
      </c>
      <c r="AV14">
        <f t="shared" si="8"/>
        <v>-0.40426419753086423</v>
      </c>
      <c r="AW14">
        <f t="shared" si="9"/>
        <v>-0.68718041088888893</v>
      </c>
      <c r="AX14" s="9"/>
      <c r="AY14" s="22">
        <v>-7.9803499999999999E-2</v>
      </c>
      <c r="AZ14" s="22">
        <v>27.763100000000001</v>
      </c>
      <c r="BA14" s="22">
        <v>-1.35254E-2</v>
      </c>
      <c r="BB14" s="22">
        <v>4</v>
      </c>
      <c r="BC14" s="22">
        <v>-8.0200199999999999E-2</v>
      </c>
      <c r="BD14">
        <f t="shared" si="10"/>
        <v>16.698024691358025</v>
      </c>
      <c r="BE14">
        <f t="shared" si="11"/>
        <v>-1.3325608134567901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1.6929830965229034</v>
      </c>
      <c r="B15" s="19">
        <f>IFERROR(AV9,0)</f>
        <v>16.722894404137197</v>
      </c>
      <c r="C15" s="20">
        <f>IFERROR(AV4,0)</f>
        <v>0.65438627708513664</v>
      </c>
      <c r="D15" s="21">
        <f>IFERROR(AV2,0)</f>
        <v>18.526707832098761</v>
      </c>
      <c r="E15" s="21">
        <f>IFERROR(AS9,0)</f>
        <v>3.9986444677141137</v>
      </c>
      <c r="F15" s="9"/>
      <c r="G15" s="22">
        <v>1.69479</v>
      </c>
      <c r="H15" s="22">
        <v>6.11069</v>
      </c>
      <c r="I15" s="22">
        <v>-3.3901999999999999E-4</v>
      </c>
      <c r="J15" s="22">
        <v>5</v>
      </c>
      <c r="K15" s="22">
        <v>1.6934199999999999</v>
      </c>
      <c r="L15">
        <f t="shared" si="0"/>
        <v>0.4185432098765432</v>
      </c>
      <c r="M15">
        <f t="shared" si="1"/>
        <v>0.70934284666666669</v>
      </c>
      <c r="N15" s="9"/>
      <c r="O15" s="22">
        <v>-7.4768100000000004E-2</v>
      </c>
      <c r="P15" s="22">
        <v>9.7687500000000007</v>
      </c>
      <c r="Q15" s="22">
        <v>-1.3290400000000001E-2</v>
      </c>
      <c r="R15" s="22">
        <v>5</v>
      </c>
      <c r="S15" s="22">
        <v>-7.5134300000000001E-2</v>
      </c>
      <c r="T15">
        <f t="shared" si="2"/>
        <v>16.407901234567902</v>
      </c>
      <c r="U15">
        <f t="shared" si="3"/>
        <v>-1.2267876002962963</v>
      </c>
      <c r="V15" s="23"/>
      <c r="W15" s="24"/>
      <c r="X15" s="9"/>
      <c r="Y15" s="22">
        <v>1.69479</v>
      </c>
      <c r="Z15" s="22">
        <v>15.120900000000001</v>
      </c>
      <c r="AA15" s="25">
        <v>-8.3770799999999994E-5</v>
      </c>
      <c r="AB15" s="22">
        <v>5</v>
      </c>
      <c r="AC15" s="22">
        <v>1.69373</v>
      </c>
      <c r="AD15">
        <f t="shared" si="4"/>
        <v>0.10342074074074073</v>
      </c>
      <c r="AE15">
        <f t="shared" si="5"/>
        <v>0.1752764372</v>
      </c>
      <c r="AF15" s="9"/>
      <c r="AG15" s="22">
        <v>-7.4768100000000004E-2</v>
      </c>
      <c r="AH15" s="22">
        <v>18.779</v>
      </c>
      <c r="AI15" s="22">
        <v>-1.3433799999999999E-2</v>
      </c>
      <c r="AJ15" s="22">
        <v>5</v>
      </c>
      <c r="AK15" s="22">
        <v>-7.5164800000000004E-2</v>
      </c>
      <c r="AL15">
        <f t="shared" si="6"/>
        <v>16.584938271604937</v>
      </c>
      <c r="AM15">
        <f t="shared" si="7"/>
        <v>-1.2400243231851851</v>
      </c>
      <c r="AP15" s="9"/>
      <c r="AQ15" s="22">
        <v>1.69479</v>
      </c>
      <c r="AR15" s="22">
        <v>24.115100000000002</v>
      </c>
      <c r="AS15" s="25">
        <v>4.0435799999999997E-5</v>
      </c>
      <c r="AT15" s="22">
        <v>5</v>
      </c>
      <c r="AU15" s="22">
        <v>1.69373</v>
      </c>
      <c r="AV15">
        <f t="shared" si="8"/>
        <v>-4.9920740740740738E-2</v>
      </c>
      <c r="AW15">
        <f t="shared" si="9"/>
        <v>-8.4605172199999995E-2</v>
      </c>
      <c r="AX15" s="9"/>
      <c r="AY15" s="22">
        <v>-7.4768100000000004E-2</v>
      </c>
      <c r="AZ15" s="22">
        <v>27.773199999999999</v>
      </c>
      <c r="BA15" s="22">
        <v>-1.35254E-2</v>
      </c>
      <c r="BB15" s="22">
        <v>5</v>
      </c>
      <c r="BC15" s="22">
        <v>-7.5134300000000001E-2</v>
      </c>
      <c r="BD15">
        <f t="shared" si="10"/>
        <v>16.698024691358025</v>
      </c>
      <c r="BE15">
        <f t="shared" si="11"/>
        <v>-1.2484795799259261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1.6880727561679318</v>
      </c>
      <c r="B16" s="19">
        <f>IFERROR(BD9,0)</f>
        <v>16.701697842468512</v>
      </c>
      <c r="C16" s="20">
        <f>IFERROR(BD4,0)</f>
        <v>0.6308466987750796</v>
      </c>
      <c r="D16" s="21">
        <f>IFERROR(BD2,0)</f>
        <v>17.785890654320987</v>
      </c>
      <c r="E16" s="21"/>
      <c r="F16" s="9"/>
      <c r="G16" s="22">
        <v>1.6897599999999999</v>
      </c>
      <c r="H16" s="22">
        <v>6.1207599999999998</v>
      </c>
      <c r="I16" s="22">
        <v>-5.9478799999999996E-4</v>
      </c>
      <c r="J16" s="22">
        <v>6</v>
      </c>
      <c r="K16" s="22">
        <v>1.6888399999999999</v>
      </c>
      <c r="L16">
        <f t="shared" si="0"/>
        <v>0.73430617283950606</v>
      </c>
      <c r="M16">
        <f t="shared" si="1"/>
        <v>1.2408011986172838</v>
      </c>
      <c r="N16" s="9"/>
      <c r="O16" s="22">
        <v>-6.9732699999999995E-2</v>
      </c>
      <c r="P16" s="22">
        <v>9.7788199999999996</v>
      </c>
      <c r="Q16" s="22">
        <v>-1.3290400000000001E-2</v>
      </c>
      <c r="R16" s="22">
        <v>6</v>
      </c>
      <c r="S16" s="22">
        <v>-7.0220900000000003E-2</v>
      </c>
      <c r="T16">
        <f t="shared" si="2"/>
        <v>16.407901234567902</v>
      </c>
      <c r="U16">
        <f t="shared" si="3"/>
        <v>-1.144167254419753</v>
      </c>
      <c r="V16" s="23"/>
      <c r="W16" s="24"/>
      <c r="X16" s="9"/>
      <c r="Y16" s="22">
        <v>1.6897599999999999</v>
      </c>
      <c r="Z16" s="22">
        <v>15.131</v>
      </c>
      <c r="AA16" s="22">
        <v>-3.5952800000000002E-4</v>
      </c>
      <c r="AB16" s="22">
        <v>6</v>
      </c>
      <c r="AC16" s="22">
        <v>1.6891499999999999</v>
      </c>
      <c r="AD16">
        <f t="shared" si="4"/>
        <v>0.44386172839506172</v>
      </c>
      <c r="AE16">
        <f t="shared" si="5"/>
        <v>0.75001979417283948</v>
      </c>
      <c r="AF16" s="9"/>
      <c r="AG16" s="22">
        <v>-6.9732699999999995E-2</v>
      </c>
      <c r="AH16" s="22">
        <v>18.789000000000001</v>
      </c>
      <c r="AI16" s="22">
        <v>-1.3433799999999999E-2</v>
      </c>
      <c r="AJ16" s="22">
        <v>6</v>
      </c>
      <c r="AK16" s="22">
        <v>-7.0129399999999995E-2</v>
      </c>
      <c r="AL16">
        <f t="shared" si="6"/>
        <v>16.584938271604937</v>
      </c>
      <c r="AM16">
        <f t="shared" si="7"/>
        <v>-1.1565125250123456</v>
      </c>
      <c r="AP16" s="9"/>
      <c r="AQ16" s="22">
        <v>1.6897599999999999</v>
      </c>
      <c r="AR16" s="22">
        <v>24.1252</v>
      </c>
      <c r="AS16" s="22">
        <v>-2.4054E-4</v>
      </c>
      <c r="AT16" s="22">
        <v>6</v>
      </c>
      <c r="AU16" s="22">
        <v>1.6885399999999999</v>
      </c>
      <c r="AV16">
        <f t="shared" si="8"/>
        <v>0.29696296296296298</v>
      </c>
      <c r="AW16">
        <f t="shared" si="9"/>
        <v>0.50179613629629627</v>
      </c>
      <c r="AX16" s="9"/>
      <c r="AY16" s="22">
        <v>-6.9732699999999995E-2</v>
      </c>
      <c r="AZ16" s="22">
        <v>27.783200000000001</v>
      </c>
      <c r="BA16" s="22">
        <v>-1.3528399999999999E-2</v>
      </c>
      <c r="BB16" s="22">
        <v>6</v>
      </c>
      <c r="BC16" s="22">
        <v>-7.0129399999999995E-2</v>
      </c>
      <c r="BD16">
        <f t="shared" si="10"/>
        <v>16.701728395061725</v>
      </c>
      <c r="BE16">
        <f t="shared" si="11"/>
        <v>-1.1646566156543205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6.1308400000000001</v>
      </c>
      <c r="I17" s="22">
        <v>-8.6303699999999998E-4</v>
      </c>
      <c r="J17" s="22">
        <v>7</v>
      </c>
      <c r="K17" s="22">
        <v>1.6833499999999999</v>
      </c>
      <c r="L17">
        <f t="shared" si="0"/>
        <v>1.0654777777777777</v>
      </c>
      <c r="M17">
        <f t="shared" si="1"/>
        <v>1.7950317217777778</v>
      </c>
      <c r="N17" s="9"/>
      <c r="O17" s="22">
        <v>-6.4697299999999999E-2</v>
      </c>
      <c r="P17" s="22">
        <v>9.7888900000000003</v>
      </c>
      <c r="Q17" s="22">
        <v>-1.32996E-2</v>
      </c>
      <c r="R17" s="22">
        <v>7</v>
      </c>
      <c r="S17" s="22">
        <v>-6.5063499999999996E-2</v>
      </c>
      <c r="T17">
        <f t="shared" si="2"/>
        <v>16.41925925925926</v>
      </c>
      <c r="U17">
        <f t="shared" si="3"/>
        <v>-1.062281742074074</v>
      </c>
      <c r="V17" s="23"/>
      <c r="W17" s="24"/>
      <c r="X17" s="9"/>
      <c r="Y17" s="22">
        <v>1.68472</v>
      </c>
      <c r="Z17" s="22">
        <v>15.141</v>
      </c>
      <c r="AA17" s="22">
        <v>-6.3018799999999995E-4</v>
      </c>
      <c r="AB17" s="22">
        <v>7</v>
      </c>
      <c r="AC17" s="22">
        <v>1.6836500000000001</v>
      </c>
      <c r="AD17">
        <f t="shared" si="4"/>
        <v>0.77800987654320974</v>
      </c>
      <c r="AE17">
        <f t="shared" si="5"/>
        <v>1.3107287992098764</v>
      </c>
      <c r="AF17" s="9"/>
      <c r="AG17" s="22">
        <v>-6.4697299999999999E-2</v>
      </c>
      <c r="AH17" s="22">
        <v>18.799099999999999</v>
      </c>
      <c r="AI17" s="22">
        <v>-1.3446E-2</v>
      </c>
      <c r="AJ17" s="22">
        <v>7</v>
      </c>
      <c r="AK17" s="22">
        <v>-6.5002400000000002E-2</v>
      </c>
      <c r="AL17">
        <f t="shared" si="6"/>
        <v>16.599999999999998</v>
      </c>
      <c r="AM17">
        <f t="shared" si="7"/>
        <v>-1.0739751799999999</v>
      </c>
      <c r="AP17" s="9"/>
      <c r="AQ17" s="22">
        <v>1.68472</v>
      </c>
      <c r="AR17" s="22">
        <v>24.135300000000001</v>
      </c>
      <c r="AS17" s="22">
        <v>-5.1544199999999996E-4</v>
      </c>
      <c r="AT17" s="22">
        <v>7</v>
      </c>
      <c r="AU17" s="22">
        <v>1.6836500000000001</v>
      </c>
      <c r="AV17">
        <f t="shared" si="8"/>
        <v>0.63634814814814811</v>
      </c>
      <c r="AW17">
        <f t="shared" si="9"/>
        <v>1.0720684521481481</v>
      </c>
      <c r="AX17" s="9"/>
      <c r="AY17" s="22">
        <v>-6.4697299999999999E-2</v>
      </c>
      <c r="AZ17" s="22">
        <v>27.793299999999999</v>
      </c>
      <c r="BA17" s="22">
        <v>-1.35254E-2</v>
      </c>
      <c r="BB17" s="22">
        <v>7</v>
      </c>
      <c r="BC17" s="22">
        <v>-6.5063499999999996E-2</v>
      </c>
      <c r="BD17">
        <f t="shared" si="10"/>
        <v>16.698024691358025</v>
      </c>
      <c r="BE17">
        <f t="shared" si="11"/>
        <v>-1.0803171128641975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6.1409099999999999</v>
      </c>
      <c r="I18" s="22">
        <v>-1.1114499999999999E-3</v>
      </c>
      <c r="J18" s="22">
        <v>8</v>
      </c>
      <c r="K18" s="22">
        <v>1.6787700000000001</v>
      </c>
      <c r="L18">
        <f t="shared" si="0"/>
        <v>1.3721604938271603</v>
      </c>
      <c r="M18">
        <f t="shared" si="1"/>
        <v>2.3048042598765428</v>
      </c>
      <c r="N18" s="9"/>
      <c r="O18" s="22">
        <v>-5.9661899999999997E-2</v>
      </c>
      <c r="P18" s="22">
        <v>9.7989599999999992</v>
      </c>
      <c r="Q18" s="22">
        <v>-1.32935E-2</v>
      </c>
      <c r="R18" s="22">
        <v>8</v>
      </c>
      <c r="S18" s="22">
        <v>-6.0150099999999998E-2</v>
      </c>
      <c r="T18">
        <f t="shared" si="2"/>
        <v>16.411728395061726</v>
      </c>
      <c r="U18">
        <f t="shared" si="3"/>
        <v>-0.97915489833333313</v>
      </c>
      <c r="V18" s="23"/>
      <c r="W18" s="24"/>
      <c r="X18" s="9"/>
      <c r="Y18" s="22">
        <v>1.6796899999999999</v>
      </c>
      <c r="Z18" s="22">
        <v>15.1511</v>
      </c>
      <c r="AA18" s="22">
        <v>-8.9538599999999997E-4</v>
      </c>
      <c r="AB18" s="22">
        <v>8</v>
      </c>
      <c r="AC18" s="22">
        <v>1.6793800000000001</v>
      </c>
      <c r="AD18">
        <f t="shared" si="4"/>
        <v>1.1054148148148146</v>
      </c>
      <c r="AE18">
        <f t="shared" si="5"/>
        <v>1.8567542102962959</v>
      </c>
      <c r="AF18" s="9"/>
      <c r="AG18" s="22">
        <v>-5.9661899999999997E-2</v>
      </c>
      <c r="AH18" s="22">
        <v>18.809200000000001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1.6796899999999999</v>
      </c>
      <c r="AR18" s="22">
        <v>24.145299999999999</v>
      </c>
      <c r="AS18" s="22">
        <v>-7.8247099999999997E-4</v>
      </c>
      <c r="AT18" s="22">
        <v>8</v>
      </c>
      <c r="AU18" s="22">
        <v>1.6787700000000001</v>
      </c>
      <c r="AV18">
        <f t="shared" si="8"/>
        <v>0.96601358024691353</v>
      </c>
      <c r="AW18">
        <f t="shared" si="9"/>
        <v>1.622603350604938</v>
      </c>
      <c r="AX18" s="9"/>
      <c r="AY18" s="22">
        <v>-5.9661899999999997E-2</v>
      </c>
      <c r="AZ18" s="22">
        <v>27.8034</v>
      </c>
      <c r="BA18" s="22">
        <v>-1.3516200000000001E-2</v>
      </c>
      <c r="BB18" s="22">
        <v>8</v>
      </c>
      <c r="BC18" s="22">
        <v>-6.0119600000000002E-2</v>
      </c>
      <c r="BD18">
        <f t="shared" si="10"/>
        <v>16.686666666666664</v>
      </c>
      <c r="BE18">
        <f t="shared" si="11"/>
        <v>-0.99555823799999976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6.1509799999999997</v>
      </c>
      <c r="I19" s="22">
        <v>-1.37207E-3</v>
      </c>
      <c r="J19" s="22">
        <v>9</v>
      </c>
      <c r="K19" s="22">
        <v>1.6735800000000001</v>
      </c>
      <c r="L19">
        <f t="shared" si="0"/>
        <v>1.6939135802469134</v>
      </c>
      <c r="M19">
        <f t="shared" si="1"/>
        <v>2.8367123771604934</v>
      </c>
      <c r="N19" s="9"/>
      <c r="O19" s="22">
        <v>-5.4626500000000001E-2</v>
      </c>
      <c r="P19" s="22">
        <v>9.8090299999999999</v>
      </c>
      <c r="Q19" s="22">
        <v>-1.3302599999999999E-2</v>
      </c>
      <c r="R19" s="22">
        <v>9</v>
      </c>
      <c r="S19" s="22">
        <v>-5.5023200000000001E-2</v>
      </c>
      <c r="T19">
        <f t="shared" si="2"/>
        <v>16.422962962962963</v>
      </c>
      <c r="U19">
        <f t="shared" si="3"/>
        <v>-0.89712898629629634</v>
      </c>
      <c r="V19" s="23"/>
      <c r="W19" s="24"/>
      <c r="X19" s="9"/>
      <c r="Y19" s="22">
        <v>1.67465</v>
      </c>
      <c r="Z19" s="22">
        <v>15.161199999999999</v>
      </c>
      <c r="AA19" s="22">
        <v>-1.15906E-3</v>
      </c>
      <c r="AB19" s="22">
        <v>9</v>
      </c>
      <c r="AC19" s="22">
        <v>1.6738900000000001</v>
      </c>
      <c r="AD19">
        <f t="shared" si="4"/>
        <v>1.4309382716049381</v>
      </c>
      <c r="AE19">
        <f t="shared" si="5"/>
        <v>2.3963207765432095</v>
      </c>
      <c r="AF19" s="9"/>
      <c r="AG19" s="22">
        <v>-5.4626500000000001E-2</v>
      </c>
      <c r="AH19" s="22">
        <v>18.819199999999999</v>
      </c>
      <c r="AI19" s="22">
        <v>-1.3461300000000001E-2</v>
      </c>
      <c r="AJ19" s="22">
        <v>9</v>
      </c>
      <c r="AK19" s="22">
        <v>-5.5053699999999997E-2</v>
      </c>
      <c r="AL19">
        <f t="shared" si="6"/>
        <v>16.618888888888886</v>
      </c>
      <c r="AM19">
        <f t="shared" si="7"/>
        <v>-0.90783173388888871</v>
      </c>
      <c r="AP19" s="9"/>
      <c r="AQ19" s="22">
        <v>1.67465</v>
      </c>
      <c r="AR19" s="22">
        <v>24.1554</v>
      </c>
      <c r="AS19" s="22">
        <v>-1.04462E-3</v>
      </c>
      <c r="AT19" s="22">
        <v>9</v>
      </c>
      <c r="AU19" s="22">
        <v>1.6738900000000001</v>
      </c>
      <c r="AV19">
        <f t="shared" si="8"/>
        <v>1.2896543209876543</v>
      </c>
      <c r="AW19">
        <f t="shared" si="9"/>
        <v>2.1597196086419754</v>
      </c>
      <c r="AX19" s="9"/>
      <c r="AY19" s="22">
        <v>-5.4626500000000001E-2</v>
      </c>
      <c r="AZ19" s="22">
        <v>27.813500000000001</v>
      </c>
      <c r="BA19" s="22">
        <v>-1.35132E-2</v>
      </c>
      <c r="BB19" s="22">
        <v>9</v>
      </c>
      <c r="BC19" s="22">
        <v>-5.5023200000000001E-2</v>
      </c>
      <c r="BD19">
        <f t="shared" si="10"/>
        <v>16.682962962962961</v>
      </c>
      <c r="BE19">
        <f t="shared" si="11"/>
        <v>-0.91133187629629619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6.1610500000000004</v>
      </c>
      <c r="I20" s="22">
        <v>-1.6128500000000001E-3</v>
      </c>
      <c r="J20" s="22">
        <v>10</v>
      </c>
      <c r="K20" s="22">
        <v>1.6687000000000001</v>
      </c>
      <c r="L20">
        <f t="shared" si="0"/>
        <v>1.9911728395061727</v>
      </c>
      <c r="M20">
        <f t="shared" si="1"/>
        <v>3.3245019962962963</v>
      </c>
      <c r="N20" s="9"/>
      <c r="O20" s="22">
        <v>-4.9591099999999999E-2</v>
      </c>
      <c r="P20" s="22">
        <v>9.8191000000000006</v>
      </c>
      <c r="Q20" s="22">
        <v>-1.32996E-2</v>
      </c>
      <c r="R20" s="22">
        <v>10</v>
      </c>
      <c r="S20" s="22">
        <v>-4.9987799999999999E-2</v>
      </c>
      <c r="T20">
        <f t="shared" si="2"/>
        <v>16.41925925925926</v>
      </c>
      <c r="U20">
        <f t="shared" si="3"/>
        <v>-0.81424912785185188</v>
      </c>
      <c r="V20" s="23"/>
      <c r="W20" s="24"/>
      <c r="X20" s="9"/>
      <c r="Y20" s="22">
        <v>1.6696200000000001</v>
      </c>
      <c r="Z20" s="22">
        <v>15.1713</v>
      </c>
      <c r="AA20" s="22">
        <v>-1.41632E-3</v>
      </c>
      <c r="AB20" s="22">
        <v>10</v>
      </c>
      <c r="AC20" s="22">
        <v>1.6684000000000001</v>
      </c>
      <c r="AD20">
        <f t="shared" si="4"/>
        <v>1.748543209876543</v>
      </c>
      <c r="AE20">
        <f t="shared" si="5"/>
        <v>2.9194027140740739</v>
      </c>
      <c r="AF20" s="9"/>
      <c r="AG20" s="22">
        <v>-4.9591099999999999E-2</v>
      </c>
      <c r="AH20" s="22">
        <v>18.8293</v>
      </c>
      <c r="AI20" s="22">
        <v>-1.34705E-2</v>
      </c>
      <c r="AJ20" s="22">
        <v>10</v>
      </c>
      <c r="AK20" s="22">
        <v>-4.9957300000000003E-2</v>
      </c>
      <c r="AL20">
        <f t="shared" si="6"/>
        <v>16.630246913580244</v>
      </c>
      <c r="AM20">
        <f t="shared" si="7"/>
        <v>-0.82471223771604918</v>
      </c>
      <c r="AP20" s="9"/>
      <c r="AQ20" s="22">
        <v>1.6696200000000001</v>
      </c>
      <c r="AR20" s="22">
        <v>24.165500000000002</v>
      </c>
      <c r="AS20" s="22">
        <v>-1.3034100000000001E-3</v>
      </c>
      <c r="AT20" s="22">
        <v>10</v>
      </c>
      <c r="AU20" s="22">
        <v>1.6687000000000001</v>
      </c>
      <c r="AV20">
        <f t="shared" si="8"/>
        <v>1.6091481481481482</v>
      </c>
      <c r="AW20">
        <f t="shared" si="9"/>
        <v>2.6866659311111114</v>
      </c>
      <c r="AX20" s="9"/>
      <c r="AY20" s="22">
        <v>-4.9591099999999999E-2</v>
      </c>
      <c r="AZ20" s="22">
        <v>27.823499999999999</v>
      </c>
      <c r="BA20" s="22">
        <v>-1.3507099999999999E-2</v>
      </c>
      <c r="BB20" s="22">
        <v>10</v>
      </c>
      <c r="BC20" s="22">
        <v>-5.0018300000000002E-2</v>
      </c>
      <c r="BD20">
        <f t="shared" si="10"/>
        <v>16.67543209876543</v>
      </c>
      <c r="BE20">
        <f t="shared" si="11"/>
        <v>-0.8269530207530863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6.1711200000000002</v>
      </c>
      <c r="I21" s="22">
        <v>-1.86035E-3</v>
      </c>
      <c r="J21" s="22">
        <v>11</v>
      </c>
      <c r="K21" s="22">
        <v>1.6632100000000001</v>
      </c>
      <c r="L21">
        <f t="shared" si="0"/>
        <v>2.2967283950617281</v>
      </c>
      <c r="M21">
        <f t="shared" si="1"/>
        <v>3.8230881518518514</v>
      </c>
      <c r="N21" s="9"/>
      <c r="O21" s="22">
        <v>-4.4555699999999997E-2</v>
      </c>
      <c r="P21" s="22">
        <v>9.8291799999999991</v>
      </c>
      <c r="Q21" s="22">
        <v>-1.3302599999999999E-2</v>
      </c>
      <c r="R21" s="22">
        <v>11</v>
      </c>
      <c r="S21" s="22">
        <v>-4.4805900000000003E-2</v>
      </c>
      <c r="T21">
        <f t="shared" si="2"/>
        <v>16.422962962962963</v>
      </c>
      <c r="U21">
        <f t="shared" si="3"/>
        <v>-0.73173661088888886</v>
      </c>
      <c r="V21" s="23"/>
      <c r="W21" s="24"/>
      <c r="X21" s="9"/>
      <c r="Y21" s="22">
        <v>1.6645799999999999</v>
      </c>
      <c r="Z21" s="22">
        <v>15.1813</v>
      </c>
      <c r="AA21" s="22">
        <v>-1.67084E-3</v>
      </c>
      <c r="AB21" s="22">
        <v>11</v>
      </c>
      <c r="AC21" s="22">
        <v>1.66351</v>
      </c>
      <c r="AD21">
        <f t="shared" si="4"/>
        <v>2.0627654320987654</v>
      </c>
      <c r="AE21">
        <f t="shared" si="5"/>
        <v>3.4336380829629629</v>
      </c>
      <c r="AF21" s="9"/>
      <c r="AG21" s="22">
        <v>-4.4555699999999997E-2</v>
      </c>
      <c r="AH21" s="22">
        <v>18.839400000000001</v>
      </c>
      <c r="AI21" s="22">
        <v>-1.34766E-2</v>
      </c>
      <c r="AJ21" s="22">
        <v>11</v>
      </c>
      <c r="AK21" s="22">
        <v>-4.48425E-2</v>
      </c>
      <c r="AL21">
        <f t="shared" si="6"/>
        <v>16.637777777777774</v>
      </c>
      <c r="AM21">
        <f t="shared" si="7"/>
        <v>-0.74130783533333311</v>
      </c>
      <c r="AP21" s="9"/>
      <c r="AQ21" s="22">
        <v>1.6645799999999999</v>
      </c>
      <c r="AR21" s="22">
        <v>24.1755</v>
      </c>
      <c r="AS21" s="22">
        <v>-1.55945E-3</v>
      </c>
      <c r="AT21" s="22">
        <v>11</v>
      </c>
      <c r="AU21" s="22">
        <v>1.6632100000000001</v>
      </c>
      <c r="AV21">
        <f t="shared" si="8"/>
        <v>1.9252469135802468</v>
      </c>
      <c r="AW21">
        <f t="shared" si="9"/>
        <v>3.2047275074074073</v>
      </c>
      <c r="AX21" s="9"/>
      <c r="AY21" s="22">
        <v>-4.4555699999999997E-2</v>
      </c>
      <c r="AZ21" s="22">
        <v>27.833600000000001</v>
      </c>
      <c r="BA21" s="22">
        <v>-1.3504E-2</v>
      </c>
      <c r="BB21" s="22">
        <v>11</v>
      </c>
      <c r="BC21" s="22">
        <v>-4.4848600000000002E-2</v>
      </c>
      <c r="BD21">
        <f t="shared" si="10"/>
        <v>16.671604938271606</v>
      </c>
      <c r="BE21">
        <f t="shared" si="11"/>
        <v>-0.74281502814814815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6.18119</v>
      </c>
      <c r="I22" s="22">
        <v>-2.0913699999999999E-3</v>
      </c>
      <c r="J22" s="22">
        <v>12</v>
      </c>
      <c r="K22" s="22">
        <v>1.65924</v>
      </c>
      <c r="L22">
        <f t="shared" si="0"/>
        <v>2.5819382716049382</v>
      </c>
      <c r="M22">
        <f t="shared" si="1"/>
        <v>4.284855658641975</v>
      </c>
      <c r="N22" s="9"/>
      <c r="O22" s="22">
        <v>-3.9520300000000001E-2</v>
      </c>
      <c r="P22" s="22">
        <v>9.8392499999999998</v>
      </c>
      <c r="Q22" s="22">
        <v>-1.3302599999999999E-2</v>
      </c>
      <c r="R22" s="22">
        <v>12</v>
      </c>
      <c r="S22" s="22">
        <v>-3.97705E-2</v>
      </c>
      <c r="T22">
        <f t="shared" si="2"/>
        <v>16.422962962962963</v>
      </c>
      <c r="U22">
        <f t="shared" si="3"/>
        <v>-0.64904042318518518</v>
      </c>
      <c r="V22" s="23"/>
      <c r="W22" s="24"/>
      <c r="X22" s="9"/>
      <c r="Y22" s="22">
        <v>1.6595500000000001</v>
      </c>
      <c r="Z22" s="22">
        <v>15.1914</v>
      </c>
      <c r="AA22" s="22">
        <v>-1.9171100000000001E-3</v>
      </c>
      <c r="AB22" s="22">
        <v>12</v>
      </c>
      <c r="AC22" s="22">
        <v>1.65863</v>
      </c>
      <c r="AD22">
        <f t="shared" si="4"/>
        <v>2.3668024691358025</v>
      </c>
      <c r="AE22">
        <f t="shared" si="5"/>
        <v>3.9278270376543212</v>
      </c>
      <c r="AF22" s="9"/>
      <c r="AG22" s="22">
        <v>-3.9520300000000001E-2</v>
      </c>
      <c r="AH22" s="22">
        <v>18.849399999999999</v>
      </c>
      <c r="AI22" s="22">
        <v>-1.3473499999999999E-2</v>
      </c>
      <c r="AJ22" s="22">
        <v>12</v>
      </c>
      <c r="AK22" s="22">
        <v>-3.9810199999999997E-2</v>
      </c>
      <c r="AL22">
        <f t="shared" si="6"/>
        <v>16.633950617283947</v>
      </c>
      <c r="AM22">
        <f t="shared" si="7"/>
        <v>-0.65737871858024677</v>
      </c>
      <c r="AP22" s="9"/>
      <c r="AQ22" s="22">
        <v>1.6595500000000001</v>
      </c>
      <c r="AR22" s="22">
        <v>24.185600000000001</v>
      </c>
      <c r="AS22" s="22">
        <v>-1.81091E-3</v>
      </c>
      <c r="AT22" s="22">
        <v>12</v>
      </c>
      <c r="AU22" s="22">
        <v>1.6583300000000001</v>
      </c>
      <c r="AV22">
        <f t="shared" si="8"/>
        <v>2.2356913580246913</v>
      </c>
      <c r="AW22">
        <f t="shared" si="9"/>
        <v>3.7102415932098767</v>
      </c>
      <c r="AX22" s="9"/>
      <c r="AY22" s="22">
        <v>-3.9520300000000001E-2</v>
      </c>
      <c r="AZ22" s="22">
        <v>27.843699999999998</v>
      </c>
      <c r="BA22" s="22">
        <v>-1.3510100000000001E-2</v>
      </c>
      <c r="BB22" s="22">
        <v>12</v>
      </c>
      <c r="BC22" s="22">
        <v>-3.97705E-2</v>
      </c>
      <c r="BD22">
        <f t="shared" si="10"/>
        <v>16.679135802469133</v>
      </c>
      <c r="BE22">
        <f t="shared" si="11"/>
        <v>-0.65916445065432094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6.1912599999999998</v>
      </c>
      <c r="I23" s="22">
        <v>-2.3257400000000002E-3</v>
      </c>
      <c r="J23" s="22">
        <v>13</v>
      </c>
      <c r="K23" s="22">
        <v>1.65405</v>
      </c>
      <c r="L23">
        <f t="shared" si="0"/>
        <v>2.871283950617284</v>
      </c>
      <c r="M23">
        <f t="shared" si="1"/>
        <v>4.7505680091358027</v>
      </c>
      <c r="N23" s="9"/>
      <c r="O23" s="22">
        <v>-3.4484899999999999E-2</v>
      </c>
      <c r="P23" s="22">
        <v>9.8493200000000005</v>
      </c>
      <c r="Q23" s="22">
        <v>-1.32935E-2</v>
      </c>
      <c r="R23" s="22">
        <v>13</v>
      </c>
      <c r="S23" s="22">
        <v>-3.46985E-2</v>
      </c>
      <c r="T23">
        <f t="shared" si="2"/>
        <v>16.411728395061726</v>
      </c>
      <c r="U23">
        <f t="shared" si="3"/>
        <v>-0.56595681253086405</v>
      </c>
      <c r="V23" s="23"/>
      <c r="W23" s="24"/>
      <c r="X23" s="9"/>
      <c r="Y23" s="22">
        <v>1.6545099999999999</v>
      </c>
      <c r="Z23" s="22">
        <v>15.201499999999999</v>
      </c>
      <c r="AA23" s="22">
        <v>-2.1618700000000002E-3</v>
      </c>
      <c r="AB23" s="22">
        <v>13</v>
      </c>
      <c r="AC23" s="22">
        <v>1.65344</v>
      </c>
      <c r="AD23">
        <f t="shared" si="4"/>
        <v>2.6689753086419752</v>
      </c>
      <c r="AE23">
        <f t="shared" si="5"/>
        <v>4.4158463379012343</v>
      </c>
      <c r="AF23" s="9"/>
      <c r="AG23" s="22">
        <v>-3.4484899999999999E-2</v>
      </c>
      <c r="AH23" s="22">
        <v>18.859500000000001</v>
      </c>
      <c r="AI23" s="22">
        <v>-1.34705E-2</v>
      </c>
      <c r="AJ23" s="22">
        <v>13</v>
      </c>
      <c r="AK23" s="22">
        <v>-3.47137E-2</v>
      </c>
      <c r="AL23">
        <f t="shared" si="6"/>
        <v>16.630246913580244</v>
      </c>
      <c r="AM23">
        <f t="shared" si="7"/>
        <v>-0.57349240179012329</v>
      </c>
      <c r="AP23" s="9"/>
      <c r="AQ23" s="22">
        <v>1.6545099999999999</v>
      </c>
      <c r="AR23" s="22">
        <v>24.195699999999999</v>
      </c>
      <c r="AS23" s="22">
        <v>-2.0584100000000001E-3</v>
      </c>
      <c r="AT23" s="22">
        <v>13</v>
      </c>
      <c r="AU23" s="22">
        <v>1.65344</v>
      </c>
      <c r="AV23">
        <f t="shared" si="8"/>
        <v>2.5412469135802471</v>
      </c>
      <c r="AW23">
        <f t="shared" si="9"/>
        <v>4.2045184309876547</v>
      </c>
      <c r="AX23" s="9"/>
      <c r="AY23" s="22">
        <v>-3.4484899999999999E-2</v>
      </c>
      <c r="AZ23" s="22">
        <v>27.8537</v>
      </c>
      <c r="BA23" s="22">
        <v>-1.3516200000000001E-2</v>
      </c>
      <c r="BB23" s="22">
        <v>13</v>
      </c>
      <c r="BC23" s="22">
        <v>-3.4729000000000003E-2</v>
      </c>
      <c r="BD23">
        <f t="shared" si="10"/>
        <v>16.686666666666664</v>
      </c>
      <c r="BE23">
        <f t="shared" si="11"/>
        <v>-0.57543803133333327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6.2013299999999996</v>
      </c>
      <c r="I24" s="22">
        <v>-2.5503499999999998E-3</v>
      </c>
      <c r="J24" s="22">
        <v>14</v>
      </c>
      <c r="K24" s="22">
        <v>1.64886</v>
      </c>
      <c r="L24">
        <f t="shared" si="0"/>
        <v>3.1485802469135797</v>
      </c>
      <c r="M24">
        <f t="shared" si="1"/>
        <v>5.1935201456790114</v>
      </c>
      <c r="N24" s="9"/>
      <c r="O24" s="22">
        <v>-2.94495E-2</v>
      </c>
      <c r="P24" s="22">
        <v>9.8593899999999994</v>
      </c>
      <c r="Q24" s="22">
        <v>-1.3290400000000001E-2</v>
      </c>
      <c r="R24" s="22">
        <v>14</v>
      </c>
      <c r="S24" s="22">
        <v>-2.9672199999999999E-2</v>
      </c>
      <c r="T24">
        <f t="shared" si="2"/>
        <v>16.407901234567902</v>
      </c>
      <c r="U24">
        <f t="shared" si="3"/>
        <v>-0.4832044874074074</v>
      </c>
      <c r="V24" s="23"/>
      <c r="W24" s="24"/>
      <c r="X24" s="9"/>
      <c r="Y24" s="22">
        <v>1.6494800000000001</v>
      </c>
      <c r="Z24" s="22">
        <v>15.211499999999999</v>
      </c>
      <c r="AA24" s="22">
        <v>-2.4053999999999998E-3</v>
      </c>
      <c r="AB24" s="22">
        <v>14</v>
      </c>
      <c r="AC24" s="22">
        <v>1.64825</v>
      </c>
      <c r="AD24">
        <f t="shared" si="4"/>
        <v>2.9696296296296292</v>
      </c>
      <c r="AE24">
        <f t="shared" si="5"/>
        <v>4.8983446814814808</v>
      </c>
      <c r="AF24" s="9"/>
      <c r="AG24" s="22">
        <v>-2.94495E-2</v>
      </c>
      <c r="AH24" s="22">
        <v>18.869599999999998</v>
      </c>
      <c r="AI24" s="22">
        <v>-1.34705E-2</v>
      </c>
      <c r="AJ24" s="22">
        <v>14</v>
      </c>
      <c r="AK24" s="22">
        <v>-2.9699699999999999E-2</v>
      </c>
      <c r="AL24">
        <f t="shared" si="6"/>
        <v>16.630246913580244</v>
      </c>
      <c r="AM24">
        <f t="shared" si="7"/>
        <v>-0.48975245648148141</v>
      </c>
      <c r="AP24" s="9"/>
      <c r="AQ24" s="22">
        <v>1.6494800000000001</v>
      </c>
      <c r="AR24" s="22">
        <v>24.2058</v>
      </c>
      <c r="AS24" s="22">
        <v>-2.30408E-3</v>
      </c>
      <c r="AT24" s="22">
        <v>14</v>
      </c>
      <c r="AU24" s="22">
        <v>1.64856</v>
      </c>
      <c r="AV24">
        <f t="shared" si="8"/>
        <v>2.8445432098765431</v>
      </c>
      <c r="AW24">
        <f t="shared" si="9"/>
        <v>4.6920171338271608</v>
      </c>
      <c r="AX24" s="9"/>
      <c r="AY24" s="22">
        <v>-2.94495E-2</v>
      </c>
      <c r="AZ24" s="22">
        <v>27.863800000000001</v>
      </c>
      <c r="BA24" s="22">
        <v>-1.3510100000000001E-2</v>
      </c>
      <c r="BB24" s="22">
        <v>14</v>
      </c>
      <c r="BC24" s="22">
        <v>-2.9687499999999999E-2</v>
      </c>
      <c r="BD24">
        <f t="shared" si="10"/>
        <v>16.679135802469133</v>
      </c>
      <c r="BE24">
        <f t="shared" si="11"/>
        <v>-0.49119220981481476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6.2114000000000003</v>
      </c>
      <c r="I25" s="22">
        <v>-2.7722200000000002E-3</v>
      </c>
      <c r="J25" s="22">
        <v>15</v>
      </c>
      <c r="K25" s="22">
        <v>1.64368</v>
      </c>
      <c r="L25">
        <f t="shared" si="0"/>
        <v>3.4224938271604937</v>
      </c>
      <c r="M25">
        <f t="shared" si="1"/>
        <v>5.6280857491358018</v>
      </c>
      <c r="N25" s="9"/>
      <c r="O25" s="22">
        <v>-2.4414100000000001E-2</v>
      </c>
      <c r="P25" s="22">
        <v>9.8694600000000001</v>
      </c>
      <c r="Q25" s="22">
        <v>-1.32996E-2</v>
      </c>
      <c r="R25" s="22">
        <v>15</v>
      </c>
      <c r="S25" s="22">
        <v>-2.4655199999999999E-2</v>
      </c>
      <c r="T25">
        <f t="shared" si="2"/>
        <v>16.41925925925926</v>
      </c>
      <c r="U25">
        <f t="shared" si="3"/>
        <v>-0.40086143748148151</v>
      </c>
      <c r="V25" s="23"/>
      <c r="W25" s="24"/>
      <c r="X25" s="9"/>
      <c r="Y25" s="22">
        <v>1.6444399999999999</v>
      </c>
      <c r="Z25" s="22">
        <v>15.2216</v>
      </c>
      <c r="AA25" s="22">
        <v>-2.6397700000000001E-3</v>
      </c>
      <c r="AB25" s="22">
        <v>15</v>
      </c>
      <c r="AC25" s="22">
        <v>1.64368</v>
      </c>
      <c r="AD25">
        <f t="shared" si="4"/>
        <v>3.258975308641975</v>
      </c>
      <c r="AE25">
        <f t="shared" si="5"/>
        <v>5.3591893565432089</v>
      </c>
      <c r="AF25" s="9"/>
      <c r="AG25" s="22">
        <v>-2.4414100000000001E-2</v>
      </c>
      <c r="AH25" s="22">
        <v>18.8797</v>
      </c>
      <c r="AI25" s="22">
        <v>-1.34705E-2</v>
      </c>
      <c r="AJ25" s="22">
        <v>15</v>
      </c>
      <c r="AK25" s="22">
        <v>-2.46643E-2</v>
      </c>
      <c r="AL25">
        <f t="shared" si="6"/>
        <v>16.630246913580244</v>
      </c>
      <c r="AM25">
        <f t="shared" si="7"/>
        <v>-0.40601251117283943</v>
      </c>
      <c r="AP25" s="9"/>
      <c r="AQ25" s="22">
        <v>1.6444399999999999</v>
      </c>
      <c r="AR25" s="22">
        <v>24.215800000000002</v>
      </c>
      <c r="AS25" s="22">
        <v>-2.53937E-3</v>
      </c>
      <c r="AT25" s="22">
        <v>15</v>
      </c>
      <c r="AU25" s="22">
        <v>1.64246</v>
      </c>
      <c r="AV25">
        <f t="shared" si="8"/>
        <v>3.1350246913580242</v>
      </c>
      <c r="AW25">
        <f t="shared" si="9"/>
        <v>5.1553600034567886</v>
      </c>
      <c r="AX25" s="9"/>
      <c r="AY25" s="22">
        <v>-2.4414100000000001E-2</v>
      </c>
      <c r="AZ25" s="22">
        <v>27.873899999999999</v>
      </c>
      <c r="BA25" s="22">
        <v>-1.3507099999999999E-2</v>
      </c>
      <c r="BB25" s="22">
        <v>15</v>
      </c>
      <c r="BC25" s="22">
        <v>-2.4655199999999999E-2</v>
      </c>
      <c r="BD25">
        <f t="shared" si="10"/>
        <v>16.67543209876543</v>
      </c>
      <c r="BE25">
        <f t="shared" si="11"/>
        <v>-0.40711566680246913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6.2214700000000001</v>
      </c>
      <c r="I26" s="22">
        <v>-2.9879799999999999E-3</v>
      </c>
      <c r="J26" s="22">
        <v>16</v>
      </c>
      <c r="K26" s="22">
        <v>1.63879</v>
      </c>
      <c r="L26">
        <f t="shared" si="0"/>
        <v>3.6888641975308638</v>
      </c>
      <c r="M26">
        <f t="shared" si="1"/>
        <v>6.0475239654320978</v>
      </c>
      <c r="N26" s="9"/>
      <c r="O26" s="22">
        <v>-1.9378699999999999E-2</v>
      </c>
      <c r="P26" s="22">
        <v>9.8795300000000008</v>
      </c>
      <c r="Q26" s="22">
        <v>-1.3302599999999999E-2</v>
      </c>
      <c r="R26" s="22">
        <v>16</v>
      </c>
      <c r="S26" s="22">
        <v>-1.96045E-2</v>
      </c>
      <c r="T26">
        <f t="shared" si="2"/>
        <v>16.422962962962963</v>
      </c>
      <c r="U26">
        <f t="shared" si="3"/>
        <v>-0.31825567237037033</v>
      </c>
      <c r="V26" s="23"/>
      <c r="W26" s="24"/>
      <c r="X26" s="9"/>
      <c r="Y26" s="22">
        <v>1.6394</v>
      </c>
      <c r="Z26" s="22">
        <v>15.2317</v>
      </c>
      <c r="AA26" s="22">
        <v>-2.8741499999999998E-3</v>
      </c>
      <c r="AB26" s="22">
        <v>16</v>
      </c>
      <c r="AC26" s="22">
        <v>1.63818</v>
      </c>
      <c r="AD26">
        <f t="shared" si="4"/>
        <v>3.5483333333333329</v>
      </c>
      <c r="AE26">
        <f t="shared" si="5"/>
        <v>5.8171376666666657</v>
      </c>
      <c r="AF26" s="9"/>
      <c r="AG26" s="22">
        <v>-1.9378699999999999E-2</v>
      </c>
      <c r="AH26" s="22">
        <v>18.889700000000001</v>
      </c>
      <c r="AI26" s="22">
        <v>-1.34705E-2</v>
      </c>
      <c r="AJ26" s="22">
        <v>16</v>
      </c>
      <c r="AK26" s="22">
        <v>-1.96075E-2</v>
      </c>
      <c r="AL26">
        <f t="shared" si="6"/>
        <v>16.630246913580244</v>
      </c>
      <c r="AM26">
        <f t="shared" si="7"/>
        <v>-0.32227256586419745</v>
      </c>
      <c r="AP26" s="9"/>
      <c r="AQ26" s="22">
        <v>1.6394</v>
      </c>
      <c r="AR26" s="22">
        <v>24.225899999999999</v>
      </c>
      <c r="AS26" s="22">
        <v>-2.7737399999999998E-3</v>
      </c>
      <c r="AT26" s="22">
        <v>16</v>
      </c>
      <c r="AU26" s="22">
        <v>1.63818</v>
      </c>
      <c r="AV26">
        <f t="shared" si="8"/>
        <v>3.4243703703703696</v>
      </c>
      <c r="AW26">
        <f t="shared" si="9"/>
        <v>5.6139127851851836</v>
      </c>
      <c r="AX26" s="9"/>
      <c r="AY26" s="22">
        <v>-1.9378699999999999E-2</v>
      </c>
      <c r="AZ26" s="22">
        <v>27.884</v>
      </c>
      <c r="BA26" s="22">
        <v>-1.3504E-2</v>
      </c>
      <c r="BB26" s="22">
        <v>16</v>
      </c>
      <c r="BC26" s="22">
        <v>-1.9586200000000002E-2</v>
      </c>
      <c r="BD26">
        <f t="shared" si="10"/>
        <v>16.671604938271606</v>
      </c>
      <c r="BE26">
        <f t="shared" si="11"/>
        <v>-0.32307403061728396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6.2315500000000004</v>
      </c>
      <c r="I27" s="22">
        <v>-3.2067900000000002E-3</v>
      </c>
      <c r="J27" s="22">
        <v>17</v>
      </c>
      <c r="K27" s="22">
        <v>1.63361</v>
      </c>
      <c r="L27">
        <f t="shared" si="0"/>
        <v>3.9589999999999996</v>
      </c>
      <c r="M27">
        <f t="shared" si="1"/>
        <v>6.47047083</v>
      </c>
      <c r="N27" s="9"/>
      <c r="O27" s="22">
        <v>-1.43433E-2</v>
      </c>
      <c r="P27" s="22">
        <v>9.8895999999999997</v>
      </c>
      <c r="Q27" s="22">
        <v>-1.3302599999999999E-2</v>
      </c>
      <c r="R27" s="22">
        <v>17</v>
      </c>
      <c r="S27" s="22">
        <v>-1.45538E-2</v>
      </c>
      <c r="T27">
        <f t="shared" si="2"/>
        <v>16.422962962962963</v>
      </c>
      <c r="U27">
        <f t="shared" si="3"/>
        <v>-0.23555948466666665</v>
      </c>
      <c r="X27" s="9"/>
      <c r="Y27" s="22">
        <v>1.6343700000000001</v>
      </c>
      <c r="Z27" s="22">
        <v>15.2418</v>
      </c>
      <c r="AA27" s="22">
        <v>-3.10364E-3</v>
      </c>
      <c r="AB27" s="22">
        <v>17</v>
      </c>
      <c r="AC27" s="22">
        <v>1.6333</v>
      </c>
      <c r="AD27">
        <f t="shared" si="4"/>
        <v>3.8316543209876537</v>
      </c>
      <c r="AE27">
        <f t="shared" si="5"/>
        <v>6.262340872592592</v>
      </c>
      <c r="AF27" s="9"/>
      <c r="AG27" s="22">
        <v>-1.43433E-2</v>
      </c>
      <c r="AH27" s="22">
        <v>18.899799999999999</v>
      </c>
      <c r="AI27" s="22">
        <v>-1.34705E-2</v>
      </c>
      <c r="AJ27" s="22">
        <v>17</v>
      </c>
      <c r="AK27" s="22">
        <v>-1.45355E-2</v>
      </c>
      <c r="AL27">
        <f t="shared" si="6"/>
        <v>16.630246913580244</v>
      </c>
      <c r="AM27">
        <f t="shared" si="7"/>
        <v>-0.23853262055555552</v>
      </c>
      <c r="AP27" s="9"/>
      <c r="AQ27" s="22">
        <v>1.6343700000000001</v>
      </c>
      <c r="AR27" s="22">
        <v>24.236000000000001</v>
      </c>
      <c r="AS27" s="22">
        <v>-3.0038500000000002E-3</v>
      </c>
      <c r="AT27" s="22">
        <v>17</v>
      </c>
      <c r="AU27" s="22">
        <v>1.6333</v>
      </c>
      <c r="AV27">
        <f t="shared" si="8"/>
        <v>3.7084567901234569</v>
      </c>
      <c r="AW27">
        <f t="shared" si="9"/>
        <v>6.0609905240740742</v>
      </c>
      <c r="AX27" s="9"/>
      <c r="AY27" s="22">
        <v>-1.43433E-2</v>
      </c>
      <c r="AZ27" s="22">
        <v>27.893999999999998</v>
      </c>
      <c r="BA27" s="22">
        <v>-1.3507099999999999E-2</v>
      </c>
      <c r="BB27" s="22">
        <v>17</v>
      </c>
      <c r="BC27" s="22">
        <v>-1.45416E-2</v>
      </c>
      <c r="BD27">
        <f t="shared" si="10"/>
        <v>16.67543209876543</v>
      </c>
      <c r="BE27">
        <f t="shared" si="11"/>
        <v>-0.2391807252222222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6.2416200000000002</v>
      </c>
      <c r="I28" s="22">
        <v>-3.4152200000000001E-3</v>
      </c>
      <c r="J28" s="22">
        <v>18</v>
      </c>
      <c r="K28" s="22">
        <v>1.6287199999999999</v>
      </c>
      <c r="L28">
        <f t="shared" si="0"/>
        <v>4.2163209876543215</v>
      </c>
      <c r="M28">
        <f t="shared" si="1"/>
        <v>6.8697782748148155</v>
      </c>
      <c r="N28" s="9"/>
      <c r="O28" s="22">
        <v>-9.3078599999999994E-3</v>
      </c>
      <c r="P28" s="22">
        <v>9.8996700000000004</v>
      </c>
      <c r="Q28" s="22">
        <v>-1.3296499999999999E-2</v>
      </c>
      <c r="R28" s="22">
        <v>18</v>
      </c>
      <c r="S28" s="22">
        <v>-9.4634999999999997E-3</v>
      </c>
      <c r="T28">
        <f t="shared" si="2"/>
        <v>16.415432098765429</v>
      </c>
      <c r="U28">
        <f t="shared" si="3"/>
        <v>-0.15279254381481477</v>
      </c>
      <c r="X28" s="9"/>
      <c r="Y28" s="22">
        <v>1.6293299999999999</v>
      </c>
      <c r="Z28" s="22">
        <v>15.251799999999999</v>
      </c>
      <c r="AA28" s="22">
        <v>-3.32825E-3</v>
      </c>
      <c r="AB28" s="22">
        <v>18</v>
      </c>
      <c r="AC28" s="22">
        <v>1.6287199999999999</v>
      </c>
      <c r="AD28">
        <f t="shared" si="4"/>
        <v>4.1089506172839503</v>
      </c>
      <c r="AE28">
        <f t="shared" si="5"/>
        <v>6.6948365092592583</v>
      </c>
      <c r="AF28" s="9"/>
      <c r="AG28" s="22">
        <v>-9.3078599999999994E-3</v>
      </c>
      <c r="AH28" s="22">
        <v>18.9099</v>
      </c>
      <c r="AI28" s="22">
        <v>-1.34644E-2</v>
      </c>
      <c r="AJ28" s="22">
        <v>18</v>
      </c>
      <c r="AK28" s="22">
        <v>-9.47571E-3</v>
      </c>
      <c r="AL28">
        <f t="shared" si="6"/>
        <v>16.622716049382717</v>
      </c>
      <c r="AM28">
        <f t="shared" si="7"/>
        <v>-0.15472191380740741</v>
      </c>
      <c r="AP28" s="9"/>
      <c r="AQ28" s="22">
        <v>1.6293299999999999</v>
      </c>
      <c r="AR28" s="22">
        <v>24.245999999999999</v>
      </c>
      <c r="AS28" s="22">
        <v>-3.22968E-3</v>
      </c>
      <c r="AT28" s="22">
        <v>18</v>
      </c>
      <c r="AU28" s="22">
        <v>1.6287199999999999</v>
      </c>
      <c r="AV28">
        <f t="shared" si="8"/>
        <v>3.9872592592592588</v>
      </c>
      <c r="AW28">
        <f t="shared" si="9"/>
        <v>6.4965611288888878</v>
      </c>
      <c r="AX28" s="9"/>
      <c r="AY28" s="22">
        <v>-9.3078599999999994E-3</v>
      </c>
      <c r="AZ28" s="22">
        <v>27.9041</v>
      </c>
      <c r="BA28" s="22">
        <v>-1.3516200000000001E-2</v>
      </c>
      <c r="BB28" s="22">
        <v>18</v>
      </c>
      <c r="BC28" s="22">
        <v>-9.4787599999999993E-3</v>
      </c>
      <c r="BD28">
        <f t="shared" si="10"/>
        <v>16.686666666666664</v>
      </c>
      <c r="BE28">
        <f t="shared" si="11"/>
        <v>-0.15531715719999997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6.25169</v>
      </c>
      <c r="I29" s="22">
        <v>-3.6242700000000002E-3</v>
      </c>
      <c r="J29" s="22">
        <v>19</v>
      </c>
      <c r="K29" s="22">
        <v>1.62323</v>
      </c>
      <c r="L29">
        <f t="shared" si="0"/>
        <v>4.4744074074074067</v>
      </c>
      <c r="M29">
        <f t="shared" si="1"/>
        <v>7.2677799518518507</v>
      </c>
      <c r="N29" s="9"/>
      <c r="O29" s="22">
        <v>-4.2724599999999996E-3</v>
      </c>
      <c r="P29" s="22">
        <v>9.9097399999999993</v>
      </c>
      <c r="Q29" s="22">
        <v>-1.32996E-2</v>
      </c>
      <c r="R29" s="22">
        <v>19</v>
      </c>
      <c r="S29" s="22">
        <v>-4.4280999999999999E-3</v>
      </c>
      <c r="T29">
        <f t="shared" si="2"/>
        <v>16.41925925925926</v>
      </c>
      <c r="U29">
        <f t="shared" si="3"/>
        <v>-7.0150628414814814E-2</v>
      </c>
      <c r="X29" s="9"/>
      <c r="Y29" s="22">
        <v>1.6243000000000001</v>
      </c>
      <c r="Z29" s="22">
        <v>15.261900000000001</v>
      </c>
      <c r="AA29" s="22">
        <v>-3.5495000000000001E-3</v>
      </c>
      <c r="AB29" s="22">
        <v>19</v>
      </c>
      <c r="AC29" s="22">
        <v>1.62384</v>
      </c>
      <c r="AD29">
        <f t="shared" si="4"/>
        <v>4.3820987654320991</v>
      </c>
      <c r="AE29">
        <f t="shared" si="5"/>
        <v>7.1178430246913589</v>
      </c>
      <c r="AF29" s="9"/>
      <c r="AG29" s="22">
        <v>-4.2724599999999996E-3</v>
      </c>
      <c r="AH29" s="22">
        <v>18.919899999999998</v>
      </c>
      <c r="AI29" s="22">
        <v>-1.3461300000000001E-2</v>
      </c>
      <c r="AJ29" s="22">
        <v>19</v>
      </c>
      <c r="AK29" s="22">
        <v>-4.4555699999999998E-3</v>
      </c>
      <c r="AL29">
        <f t="shared" si="6"/>
        <v>16.618888888888886</v>
      </c>
      <c r="AM29">
        <f t="shared" si="7"/>
        <v>-7.1003538022222201E-2</v>
      </c>
      <c r="AP29" s="9"/>
      <c r="AQ29" s="22">
        <v>1.6243000000000001</v>
      </c>
      <c r="AR29" s="22">
        <v>24.2561</v>
      </c>
      <c r="AS29" s="22">
        <v>-3.4506200000000002E-3</v>
      </c>
      <c r="AT29" s="22">
        <v>19</v>
      </c>
      <c r="AU29" s="22">
        <v>1.62354</v>
      </c>
      <c r="AV29">
        <f t="shared" si="8"/>
        <v>4.2600246913580246</v>
      </c>
      <c r="AW29">
        <f t="shared" si="9"/>
        <v>6.9195581061728397</v>
      </c>
      <c r="AX29" s="9"/>
      <c r="AY29" s="22">
        <v>-4.2724599999999996E-3</v>
      </c>
      <c r="AZ29" s="22">
        <v>27.914200000000001</v>
      </c>
      <c r="BA29" s="22">
        <v>-1.3516200000000001E-2</v>
      </c>
      <c r="BB29" s="22">
        <v>19</v>
      </c>
      <c r="BC29" s="22">
        <v>-4.4647200000000001E-3</v>
      </c>
      <c r="BD29">
        <f t="shared" si="10"/>
        <v>16.686666666666664</v>
      </c>
      <c r="BE29">
        <f t="shared" si="11"/>
        <v>-7.1293115866666645E-2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6.2617599999999998</v>
      </c>
      <c r="I30" s="22">
        <v>-3.8275100000000001E-3</v>
      </c>
      <c r="J30" s="22">
        <v>20</v>
      </c>
      <c r="K30" s="22">
        <v>1.61835</v>
      </c>
      <c r="L30">
        <f t="shared" si="0"/>
        <v>4.725320987654321</v>
      </c>
      <c r="M30">
        <f t="shared" si="1"/>
        <v>7.6515232624691354</v>
      </c>
      <c r="N30" s="9"/>
      <c r="O30" s="22">
        <v>7.6293900000000002E-4</v>
      </c>
      <c r="P30" s="22">
        <v>9.91981</v>
      </c>
      <c r="Q30" s="22">
        <v>-1.3290400000000001E-2</v>
      </c>
      <c r="R30" s="22">
        <v>20</v>
      </c>
      <c r="S30" s="22">
        <v>6.2560999999999997E-4</v>
      </c>
      <c r="T30">
        <f t="shared" si="2"/>
        <v>16.407901234567902</v>
      </c>
      <c r="U30">
        <f t="shared" si="3"/>
        <v>1.251822776E-2</v>
      </c>
      <c r="X30" s="9"/>
      <c r="Y30" s="22">
        <v>1.6192599999999999</v>
      </c>
      <c r="Z30" s="22">
        <v>15.272</v>
      </c>
      <c r="AA30" s="22">
        <v>-3.76465E-3</v>
      </c>
      <c r="AB30" s="22">
        <v>20</v>
      </c>
      <c r="AC30" s="22">
        <v>1.6180399999999999</v>
      </c>
      <c r="AD30">
        <f t="shared" si="4"/>
        <v>4.6477160493827157</v>
      </c>
      <c r="AE30">
        <f t="shared" si="5"/>
        <v>7.5258606901234559</v>
      </c>
      <c r="AF30" s="9"/>
      <c r="AG30" s="22">
        <v>7.6293900000000002E-4</v>
      </c>
      <c r="AH30" s="22">
        <v>18.93</v>
      </c>
      <c r="AI30" s="22">
        <v>-1.3461300000000001E-2</v>
      </c>
      <c r="AJ30" s="22">
        <v>20</v>
      </c>
      <c r="AK30" s="22">
        <v>6.5002400000000002E-4</v>
      </c>
      <c r="AL30">
        <f t="shared" si="6"/>
        <v>16.618888888888886</v>
      </c>
      <c r="AM30">
        <f t="shared" si="7"/>
        <v>1.2679198469999998E-2</v>
      </c>
      <c r="AP30" s="9"/>
      <c r="AQ30" s="22">
        <v>1.6192599999999999</v>
      </c>
      <c r="AR30" s="22">
        <v>24.266200000000001</v>
      </c>
      <c r="AS30" s="22">
        <v>-3.66943E-3</v>
      </c>
      <c r="AT30" s="22">
        <v>20</v>
      </c>
      <c r="AU30" s="22">
        <v>1.6186499999999999</v>
      </c>
      <c r="AV30">
        <f t="shared" si="8"/>
        <v>4.53016049382716</v>
      </c>
      <c r="AW30">
        <f t="shared" si="9"/>
        <v>7.3355076812345672</v>
      </c>
      <c r="AX30" s="9"/>
      <c r="AY30" s="22">
        <v>7.6293900000000002E-4</v>
      </c>
      <c r="AZ30" s="22">
        <v>27.924199999999999</v>
      </c>
      <c r="BA30" s="22">
        <v>-1.3510100000000001E-2</v>
      </c>
      <c r="BB30" s="22">
        <v>20</v>
      </c>
      <c r="BC30" s="22">
        <v>6.62231E-4</v>
      </c>
      <c r="BD30">
        <f t="shared" si="10"/>
        <v>16.679135802469133</v>
      </c>
      <c r="BE30">
        <f t="shared" si="11"/>
        <v>1.2725163189999998E-2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6.2718299999999996</v>
      </c>
      <c r="I31" s="22">
        <v>-4.0249600000000002E-3</v>
      </c>
      <c r="J31" s="22">
        <v>21</v>
      </c>
      <c r="K31" s="22">
        <v>1.6134599999999999</v>
      </c>
      <c r="L31">
        <f t="shared" si="0"/>
        <v>4.9690864197530864</v>
      </c>
      <c r="M31">
        <f t="shared" si="1"/>
        <v>8.0212483713580252</v>
      </c>
      <c r="N31" s="9"/>
      <c r="O31" s="22">
        <v>5.7983399999999999E-3</v>
      </c>
      <c r="P31" s="22">
        <v>9.9298900000000003</v>
      </c>
      <c r="Q31" s="22">
        <v>-1.3281299999999999E-2</v>
      </c>
      <c r="R31" s="22">
        <v>21</v>
      </c>
      <c r="S31" s="22">
        <v>5.6915300000000002E-3</v>
      </c>
      <c r="T31">
        <f t="shared" si="2"/>
        <v>16.396666666666665</v>
      </c>
      <c r="U31">
        <f t="shared" si="3"/>
        <v>9.5073448199999994E-2</v>
      </c>
      <c r="X31" s="9"/>
      <c r="Y31" s="22">
        <v>1.6142300000000001</v>
      </c>
      <c r="Z31" s="22">
        <v>15.282</v>
      </c>
      <c r="AA31" s="22">
        <v>-3.9761400000000004E-3</v>
      </c>
      <c r="AB31" s="22">
        <v>21</v>
      </c>
      <c r="AC31" s="22">
        <v>1.6131599999999999</v>
      </c>
      <c r="AD31">
        <f t="shared" si="4"/>
        <v>4.9088148148148143</v>
      </c>
      <c r="AE31">
        <f t="shared" si="5"/>
        <v>7.923956138518518</v>
      </c>
      <c r="AF31" s="9"/>
      <c r="AG31" s="22">
        <v>5.7983399999999999E-3</v>
      </c>
      <c r="AH31" s="22">
        <v>18.940100000000001</v>
      </c>
      <c r="AI31" s="22">
        <v>-1.3461300000000001E-2</v>
      </c>
      <c r="AJ31" s="22">
        <v>21</v>
      </c>
      <c r="AK31" s="22">
        <v>5.6762699999999998E-3</v>
      </c>
      <c r="AL31">
        <f t="shared" si="6"/>
        <v>16.618888888888886</v>
      </c>
      <c r="AM31">
        <f t="shared" si="7"/>
        <v>9.6361968199999981E-2</v>
      </c>
      <c r="AP31" s="9"/>
      <c r="AQ31" s="22">
        <v>1.6142300000000001</v>
      </c>
      <c r="AR31" s="22">
        <v>24.276299999999999</v>
      </c>
      <c r="AS31" s="22">
        <v>-3.8845799999999999E-3</v>
      </c>
      <c r="AT31" s="22">
        <v>21</v>
      </c>
      <c r="AU31" s="22">
        <v>1.6140699999999999</v>
      </c>
      <c r="AV31">
        <f t="shared" si="8"/>
        <v>4.7957777777777775</v>
      </c>
      <c r="AW31">
        <f t="shared" si="9"/>
        <v>7.7414883622222224</v>
      </c>
      <c r="AX31" s="9"/>
      <c r="AY31" s="22">
        <v>5.7983399999999999E-3</v>
      </c>
      <c r="AZ31" s="22">
        <v>27.9343</v>
      </c>
      <c r="BA31" s="22">
        <v>-1.3504E-2</v>
      </c>
      <c r="BB31" s="22">
        <v>21</v>
      </c>
      <c r="BC31" s="22">
        <v>5.6366000000000003E-3</v>
      </c>
      <c r="BD31">
        <f t="shared" si="10"/>
        <v>16.671604938271606</v>
      </c>
      <c r="BE31">
        <f t="shared" si="11"/>
        <v>9.6667633777777789E-2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6.2819000000000003</v>
      </c>
      <c r="I32" s="22">
        <v>-4.2211899999999997E-3</v>
      </c>
      <c r="J32" s="22">
        <v>22</v>
      </c>
      <c r="K32" s="22">
        <v>1.6082799999999999</v>
      </c>
      <c r="L32">
        <f t="shared" si="0"/>
        <v>5.2113456790123447</v>
      </c>
      <c r="M32">
        <f t="shared" si="1"/>
        <v>8.3860453532098749</v>
      </c>
      <c r="N32" s="9"/>
      <c r="O32" s="22">
        <v>1.08337E-2</v>
      </c>
      <c r="P32" s="22">
        <v>9.9399599999999992</v>
      </c>
      <c r="Q32" s="22">
        <v>-1.32721E-2</v>
      </c>
      <c r="R32" s="22">
        <v>22</v>
      </c>
      <c r="S32" s="22">
        <v>1.0714700000000001E-2</v>
      </c>
      <c r="T32">
        <f t="shared" si="2"/>
        <v>16.385308641975307</v>
      </c>
      <c r="U32">
        <f t="shared" si="3"/>
        <v>0.17751351823456787</v>
      </c>
      <c r="X32" s="9"/>
      <c r="Y32" s="22">
        <v>1.6091899999999999</v>
      </c>
      <c r="Z32" s="22">
        <v>15.2921</v>
      </c>
      <c r="AA32" s="22">
        <v>-4.1879300000000003E-3</v>
      </c>
      <c r="AB32" s="22">
        <v>22</v>
      </c>
      <c r="AC32" s="22">
        <v>1.6085799999999999</v>
      </c>
      <c r="AD32">
        <f t="shared" si="4"/>
        <v>5.170283950617284</v>
      </c>
      <c r="AE32">
        <f t="shared" si="5"/>
        <v>8.3199692304938271</v>
      </c>
      <c r="AF32" s="9"/>
      <c r="AG32" s="22">
        <v>1.08337E-2</v>
      </c>
      <c r="AH32" s="22">
        <v>18.950199999999999</v>
      </c>
      <c r="AI32" s="22">
        <v>-1.3467399999999999E-2</v>
      </c>
      <c r="AJ32" s="22">
        <v>22</v>
      </c>
      <c r="AK32" s="22">
        <v>1.0711699999999999E-2</v>
      </c>
      <c r="AL32">
        <f t="shared" si="6"/>
        <v>16.626419753086417</v>
      </c>
      <c r="AM32">
        <f t="shared" si="7"/>
        <v>0.18012564367901232</v>
      </c>
      <c r="AP32" s="9"/>
      <c r="AQ32" s="22">
        <v>1.6091899999999999</v>
      </c>
      <c r="AR32" s="22">
        <v>24.286300000000001</v>
      </c>
      <c r="AS32" s="22">
        <v>-4.0966800000000001E-3</v>
      </c>
      <c r="AT32" s="22">
        <v>22</v>
      </c>
      <c r="AU32" s="22">
        <v>1.6085799999999999</v>
      </c>
      <c r="AV32">
        <f t="shared" si="8"/>
        <v>5.0576296296296297</v>
      </c>
      <c r="AW32">
        <f t="shared" si="9"/>
        <v>8.138687023703703</v>
      </c>
      <c r="AX32" s="9"/>
      <c r="AY32" s="22">
        <v>1.08337E-2</v>
      </c>
      <c r="AZ32" s="22">
        <v>27.944400000000002</v>
      </c>
      <c r="BA32" s="22">
        <v>-1.3501000000000001E-2</v>
      </c>
      <c r="BB32" s="22">
        <v>22</v>
      </c>
      <c r="BC32" s="22">
        <v>1.0699500000000001E-2</v>
      </c>
      <c r="BD32">
        <f t="shared" si="10"/>
        <v>16.667901234567903</v>
      </c>
      <c r="BE32">
        <f t="shared" si="11"/>
        <v>0.18057504160493829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6.2919700000000001</v>
      </c>
      <c r="I33" s="22">
        <v>-4.4119299999999997E-3</v>
      </c>
      <c r="J33" s="22">
        <v>23</v>
      </c>
      <c r="K33" s="22">
        <v>1.6036999999999999</v>
      </c>
      <c r="L33">
        <f t="shared" si="0"/>
        <v>5.4468271604938261</v>
      </c>
      <c r="M33">
        <f t="shared" si="1"/>
        <v>8.7375822577777758</v>
      </c>
      <c r="N33" s="9"/>
      <c r="O33" s="22">
        <v>1.5869100000000001E-2</v>
      </c>
      <c r="P33" s="22">
        <v>9.9500299999999999</v>
      </c>
      <c r="Q33" s="22">
        <v>-1.32782E-2</v>
      </c>
      <c r="R33" s="22">
        <v>23</v>
      </c>
      <c r="S33" s="22">
        <v>1.5780599999999999E-2</v>
      </c>
      <c r="T33">
        <f t="shared" si="2"/>
        <v>16.392839506172837</v>
      </c>
      <c r="U33">
        <f t="shared" si="3"/>
        <v>0.26013960940740738</v>
      </c>
      <c r="X33" s="9"/>
      <c r="Y33" s="22">
        <v>1.60416</v>
      </c>
      <c r="Z33" s="22">
        <v>15.302199999999999</v>
      </c>
      <c r="AA33" s="22">
        <v>-4.3917799999999996E-3</v>
      </c>
      <c r="AB33" s="22">
        <v>23</v>
      </c>
      <c r="AC33" s="22">
        <v>1.6030899999999999</v>
      </c>
      <c r="AD33">
        <f t="shared" si="4"/>
        <v>5.42195061728395</v>
      </c>
      <c r="AE33">
        <f t="shared" si="5"/>
        <v>8.6976763022222219</v>
      </c>
      <c r="AF33" s="9"/>
      <c r="AG33" s="22">
        <v>1.5869100000000001E-2</v>
      </c>
      <c r="AH33" s="22">
        <v>18.9602</v>
      </c>
      <c r="AI33" s="22">
        <v>-1.3458299999999999E-2</v>
      </c>
      <c r="AJ33" s="22">
        <v>23</v>
      </c>
      <c r="AK33" s="22">
        <v>1.5768399999999998E-2</v>
      </c>
      <c r="AL33">
        <f t="shared" si="6"/>
        <v>16.615185185185183</v>
      </c>
      <c r="AM33">
        <f t="shared" si="7"/>
        <v>0.26366803522222221</v>
      </c>
      <c r="AP33" s="9"/>
      <c r="AQ33" s="22">
        <v>1.60416</v>
      </c>
      <c r="AR33" s="22">
        <v>24.296399999999998</v>
      </c>
      <c r="AS33" s="22">
        <v>-4.3054199999999999E-3</v>
      </c>
      <c r="AT33" s="22">
        <v>23</v>
      </c>
      <c r="AU33" s="22">
        <v>1.6033900000000001</v>
      </c>
      <c r="AV33">
        <f t="shared" si="8"/>
        <v>5.3153333333333324</v>
      </c>
      <c r="AW33">
        <f t="shared" si="9"/>
        <v>8.5266451199999977</v>
      </c>
      <c r="AX33" s="9"/>
      <c r="AY33" s="22">
        <v>1.5869100000000001E-2</v>
      </c>
      <c r="AZ33" s="22">
        <v>27.954499999999999</v>
      </c>
      <c r="BA33" s="22">
        <v>-1.34979E-2</v>
      </c>
      <c r="BB33" s="22">
        <v>23</v>
      </c>
      <c r="BC33" s="22">
        <v>1.5765399999999999E-2</v>
      </c>
      <c r="BD33">
        <f t="shared" si="10"/>
        <v>16.664074074074072</v>
      </c>
      <c r="BE33">
        <f t="shared" si="11"/>
        <v>0.26444385788888886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6.3020399999999999</v>
      </c>
      <c r="I34" s="22">
        <v>-4.6020499999999999E-3</v>
      </c>
      <c r="J34" s="22">
        <v>24</v>
      </c>
      <c r="K34" s="22">
        <v>1.5985100000000001</v>
      </c>
      <c r="L34">
        <f t="shared" si="0"/>
        <v>5.6815432098765433</v>
      </c>
      <c r="M34">
        <f t="shared" si="1"/>
        <v>9.0854693777777786</v>
      </c>
      <c r="N34" s="9"/>
      <c r="O34" s="22">
        <v>2.0904499999999999E-2</v>
      </c>
      <c r="P34" s="22">
        <v>9.9601000000000006</v>
      </c>
      <c r="Q34" s="22">
        <v>-1.3284300000000001E-2</v>
      </c>
      <c r="R34" s="22">
        <v>24</v>
      </c>
      <c r="S34" s="22">
        <v>2.0800800000000001E-2</v>
      </c>
      <c r="T34">
        <f t="shared" si="2"/>
        <v>16.400370370370371</v>
      </c>
      <c r="U34">
        <f t="shared" si="3"/>
        <v>0.34284154240740744</v>
      </c>
      <c r="X34" s="9"/>
      <c r="Y34" s="22">
        <v>1.5991200000000001</v>
      </c>
      <c r="Z34" s="22">
        <v>15.312200000000001</v>
      </c>
      <c r="AA34" s="22">
        <v>-4.5950299999999999E-3</v>
      </c>
      <c r="AB34" s="22">
        <v>24</v>
      </c>
      <c r="AC34" s="22">
        <v>1.5979000000000001</v>
      </c>
      <c r="AD34">
        <f t="shared" si="4"/>
        <v>5.6728765432098758</v>
      </c>
      <c r="AE34">
        <f t="shared" si="5"/>
        <v>9.071610337777777</v>
      </c>
      <c r="AF34" s="9"/>
      <c r="AG34" s="22">
        <v>2.0904499999999999E-2</v>
      </c>
      <c r="AH34" s="22">
        <v>18.970300000000002</v>
      </c>
      <c r="AI34" s="22">
        <v>-1.3461300000000001E-2</v>
      </c>
      <c r="AJ34" s="22">
        <v>24</v>
      </c>
      <c r="AK34" s="22">
        <v>2.0809899999999999E-2</v>
      </c>
      <c r="AL34">
        <f t="shared" si="6"/>
        <v>16.618888888888886</v>
      </c>
      <c r="AM34">
        <f t="shared" si="7"/>
        <v>0.34740956277777774</v>
      </c>
      <c r="AP34" s="9"/>
      <c r="AQ34" s="22">
        <v>1.5991200000000001</v>
      </c>
      <c r="AR34" s="22">
        <v>24.3065</v>
      </c>
      <c r="AS34" s="22">
        <v>-4.5098899999999999E-3</v>
      </c>
      <c r="AT34" s="22">
        <v>24</v>
      </c>
      <c r="AU34" s="22">
        <v>1.5979000000000001</v>
      </c>
      <c r="AV34">
        <f t="shared" si="8"/>
        <v>5.5677654320987653</v>
      </c>
      <c r="AW34">
        <f t="shared" si="9"/>
        <v>8.9035250577777774</v>
      </c>
      <c r="AX34" s="9"/>
      <c r="AY34" s="22">
        <v>2.0904499999999999E-2</v>
      </c>
      <c r="AZ34" s="22">
        <v>27.964500000000001</v>
      </c>
      <c r="BA34" s="22">
        <v>-1.3494900000000001E-2</v>
      </c>
      <c r="BB34" s="22">
        <v>24</v>
      </c>
      <c r="BC34" s="22">
        <v>2.0828200000000002E-2</v>
      </c>
      <c r="BD34">
        <f t="shared" si="10"/>
        <v>16.660370370370369</v>
      </c>
      <c r="BE34">
        <f t="shared" si="11"/>
        <v>0.34827671240740737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6.3121099999999997</v>
      </c>
      <c r="I35" s="22">
        <v>-4.7872899999999996E-3</v>
      </c>
      <c r="J35" s="22">
        <v>25</v>
      </c>
      <c r="K35" s="22">
        <v>1.5933200000000001</v>
      </c>
      <c r="L35">
        <f t="shared" si="0"/>
        <v>5.9102345679012336</v>
      </c>
      <c r="M35">
        <f t="shared" si="1"/>
        <v>9.4214458223456781</v>
      </c>
      <c r="N35" s="9"/>
      <c r="O35" s="22">
        <v>2.5939899999999998E-2</v>
      </c>
      <c r="P35" s="22">
        <v>9.9701699999999995</v>
      </c>
      <c r="Q35" s="22">
        <v>-1.32874E-2</v>
      </c>
      <c r="R35" s="22">
        <v>25</v>
      </c>
      <c r="S35" s="22">
        <v>2.5860600000000001E-2</v>
      </c>
      <c r="T35">
        <f t="shared" si="2"/>
        <v>16.404197530864195</v>
      </c>
      <c r="U35">
        <f t="shared" si="3"/>
        <v>0.42552324353086413</v>
      </c>
      <c r="X35" s="9"/>
      <c r="Y35" s="22">
        <v>1.59409</v>
      </c>
      <c r="Z35" s="22">
        <v>15.3223</v>
      </c>
      <c r="AA35" s="22">
        <v>-4.7943100000000004E-3</v>
      </c>
      <c r="AB35" s="22">
        <v>25</v>
      </c>
      <c r="AC35" s="22">
        <v>1.5924100000000001</v>
      </c>
      <c r="AD35">
        <f t="shared" si="4"/>
        <v>5.9189012345679011</v>
      </c>
      <c r="AE35">
        <f t="shared" si="5"/>
        <v>9.4352612690123454</v>
      </c>
      <c r="AF35" s="9"/>
      <c r="AG35" s="22">
        <v>2.5939899999999998E-2</v>
      </c>
      <c r="AH35" s="22">
        <v>18.980399999999999</v>
      </c>
      <c r="AI35" s="22">
        <v>-1.34552E-2</v>
      </c>
      <c r="AJ35" s="22">
        <v>25</v>
      </c>
      <c r="AK35" s="22">
        <v>2.5860600000000001E-2</v>
      </c>
      <c r="AL35">
        <f t="shared" si="6"/>
        <v>16.611358024691356</v>
      </c>
      <c r="AM35">
        <f t="shared" si="7"/>
        <v>0.4308969660246913</v>
      </c>
      <c r="AP35" s="9"/>
      <c r="AQ35" s="22">
        <v>1.59409</v>
      </c>
      <c r="AR35" s="22">
        <v>24.316500000000001</v>
      </c>
      <c r="AS35" s="22">
        <v>-4.7125200000000004E-3</v>
      </c>
      <c r="AT35" s="22">
        <v>25</v>
      </c>
      <c r="AU35" s="22">
        <v>1.5933200000000001</v>
      </c>
      <c r="AV35">
        <f t="shared" si="8"/>
        <v>5.8179259259259259</v>
      </c>
      <c r="AW35">
        <f t="shared" si="9"/>
        <v>9.2742975392592601</v>
      </c>
      <c r="AX35" s="9"/>
      <c r="AY35" s="22">
        <v>2.5939899999999998E-2</v>
      </c>
      <c r="AZ35" s="22">
        <v>27.974599999999999</v>
      </c>
      <c r="BA35" s="22">
        <v>-1.3494900000000001E-2</v>
      </c>
      <c r="BB35" s="22">
        <v>25</v>
      </c>
      <c r="BC35" s="22">
        <v>2.58392E-2</v>
      </c>
      <c r="BD35">
        <f t="shared" si="10"/>
        <v>16.660370370370369</v>
      </c>
      <c r="BE35">
        <f t="shared" si="11"/>
        <v>0.4321683413703703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6.3221800000000004</v>
      </c>
      <c r="I36" s="22">
        <v>-4.9713099999999996E-3</v>
      </c>
      <c r="J36" s="22">
        <v>26</v>
      </c>
      <c r="K36" s="22">
        <v>1.5878300000000001</v>
      </c>
      <c r="L36">
        <f t="shared" si="0"/>
        <v>6.1374197530864185</v>
      </c>
      <c r="M36">
        <f t="shared" si="1"/>
        <v>9.7526668586419731</v>
      </c>
      <c r="N36" s="9"/>
      <c r="O36" s="22">
        <v>3.0975300000000001E-2</v>
      </c>
      <c r="P36" s="22">
        <v>9.9802400000000002</v>
      </c>
      <c r="Q36" s="22">
        <v>-1.3290400000000001E-2</v>
      </c>
      <c r="R36" s="22">
        <v>26</v>
      </c>
      <c r="S36" s="22">
        <v>3.0911299999999999E-2</v>
      </c>
      <c r="T36">
        <f t="shared" si="2"/>
        <v>16.407901234567902</v>
      </c>
      <c r="U36">
        <f t="shared" si="3"/>
        <v>0.50823966311111113</v>
      </c>
      <c r="X36" s="9"/>
      <c r="Y36" s="22">
        <v>1.5890500000000001</v>
      </c>
      <c r="Z36" s="22">
        <v>15.3324</v>
      </c>
      <c r="AA36" s="22">
        <v>-4.99359E-3</v>
      </c>
      <c r="AB36" s="22">
        <v>26</v>
      </c>
      <c r="AC36" s="22">
        <v>1.5890500000000001</v>
      </c>
      <c r="AD36">
        <f t="shared" si="4"/>
        <v>6.1649259259259255</v>
      </c>
      <c r="AE36">
        <f t="shared" si="5"/>
        <v>9.7963755425925925</v>
      </c>
      <c r="AF36" s="9"/>
      <c r="AG36" s="22">
        <v>3.0975300000000001E-2</v>
      </c>
      <c r="AH36" s="22">
        <v>18.990400000000001</v>
      </c>
      <c r="AI36" s="22">
        <v>-1.34521E-2</v>
      </c>
      <c r="AJ36" s="22">
        <v>26</v>
      </c>
      <c r="AK36" s="22">
        <v>3.0905200000000001E-2</v>
      </c>
      <c r="AL36">
        <f t="shared" si="6"/>
        <v>16.607530864197528</v>
      </c>
      <c r="AM36">
        <f t="shared" si="7"/>
        <v>0.51442325077777773</v>
      </c>
      <c r="AP36" s="9"/>
      <c r="AQ36" s="22">
        <v>1.5890500000000001</v>
      </c>
      <c r="AR36" s="22">
        <v>24.326599999999999</v>
      </c>
      <c r="AS36" s="22">
        <v>-4.9093599999999998E-3</v>
      </c>
      <c r="AT36" s="22">
        <v>26</v>
      </c>
      <c r="AU36" s="22">
        <v>1.58752</v>
      </c>
      <c r="AV36">
        <f t="shared" si="8"/>
        <v>6.0609382716049378</v>
      </c>
      <c r="AW36">
        <f t="shared" si="9"/>
        <v>9.6311339604938269</v>
      </c>
      <c r="AX36" s="9"/>
      <c r="AY36" s="22">
        <v>3.0975300000000001E-2</v>
      </c>
      <c r="AZ36" s="22">
        <v>27.9847</v>
      </c>
      <c r="BA36" s="22">
        <v>-1.34979E-2</v>
      </c>
      <c r="BB36" s="22">
        <v>26</v>
      </c>
      <c r="BC36" s="22">
        <v>3.0896E-2</v>
      </c>
      <c r="BD36">
        <f t="shared" si="10"/>
        <v>16.664074074074072</v>
      </c>
      <c r="BE36">
        <f t="shared" si="11"/>
        <v>0.51617469366666668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6.3322599999999998</v>
      </c>
      <c r="I37" s="22">
        <v>-5.1483199999999996E-3</v>
      </c>
      <c r="J37" s="22">
        <v>27</v>
      </c>
      <c r="K37" s="22">
        <v>1.5829500000000001</v>
      </c>
      <c r="L37">
        <f t="shared" si="0"/>
        <v>6.3559506172839493</v>
      </c>
      <c r="M37">
        <f t="shared" si="1"/>
        <v>10.067889337283948</v>
      </c>
      <c r="N37" s="9"/>
      <c r="O37" s="22">
        <v>3.60107E-2</v>
      </c>
      <c r="P37" s="22">
        <v>9.9903099999999991</v>
      </c>
      <c r="Q37" s="22">
        <v>-1.3296499999999999E-2</v>
      </c>
      <c r="R37" s="22">
        <v>27</v>
      </c>
      <c r="S37" s="22">
        <v>3.5934399999999998E-2</v>
      </c>
      <c r="T37">
        <f t="shared" si="2"/>
        <v>16.415432098765429</v>
      </c>
      <c r="U37">
        <f t="shared" si="3"/>
        <v>0.59113120067901226</v>
      </c>
      <c r="X37" s="9"/>
      <c r="Y37" s="22">
        <v>1.5840099999999999</v>
      </c>
      <c r="Z37" s="22">
        <v>15.342499999999999</v>
      </c>
      <c r="AA37" s="22">
        <v>-5.18799E-3</v>
      </c>
      <c r="AB37" s="22">
        <v>27</v>
      </c>
      <c r="AC37" s="22">
        <v>1.5835600000000001</v>
      </c>
      <c r="AD37">
        <f t="shared" si="4"/>
        <v>6.4049259259259257</v>
      </c>
      <c r="AE37">
        <f t="shared" si="5"/>
        <v>10.145466715925926</v>
      </c>
      <c r="AF37" s="9"/>
      <c r="AG37" s="22">
        <v>3.60107E-2</v>
      </c>
      <c r="AH37" s="22">
        <v>19.000499999999999</v>
      </c>
      <c r="AI37" s="22">
        <v>-1.3443E-2</v>
      </c>
      <c r="AJ37" s="22">
        <v>27</v>
      </c>
      <c r="AK37" s="22">
        <v>3.5980199999999997E-2</v>
      </c>
      <c r="AL37">
        <f t="shared" si="6"/>
        <v>16.596296296296295</v>
      </c>
      <c r="AM37">
        <f t="shared" si="7"/>
        <v>0.597644247037037</v>
      </c>
      <c r="AP37" s="9"/>
      <c r="AQ37" s="22">
        <v>1.5840099999999999</v>
      </c>
      <c r="AR37" s="22">
        <v>24.3367</v>
      </c>
      <c r="AS37" s="22">
        <v>-5.1055900000000001E-3</v>
      </c>
      <c r="AT37" s="22">
        <v>27</v>
      </c>
      <c r="AU37" s="22">
        <v>1.5835600000000001</v>
      </c>
      <c r="AV37">
        <f t="shared" si="8"/>
        <v>6.303197530864197</v>
      </c>
      <c r="AW37">
        <f t="shared" si="9"/>
        <v>9.984327920864196</v>
      </c>
      <c r="AX37" s="9"/>
      <c r="AY37" s="22">
        <v>3.60107E-2</v>
      </c>
      <c r="AZ37" s="22">
        <v>27.994700000000002</v>
      </c>
      <c r="BA37" s="22">
        <v>-1.3507099999999999E-2</v>
      </c>
      <c r="BB37" s="22">
        <v>27</v>
      </c>
      <c r="BC37" s="22">
        <v>3.5958900000000002E-2</v>
      </c>
      <c r="BD37">
        <f t="shared" si="10"/>
        <v>16.67543209876543</v>
      </c>
      <c r="BE37">
        <f t="shared" si="11"/>
        <v>0.60049398267901233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6.3423299999999996</v>
      </c>
      <c r="I38" s="22">
        <v>-5.3253199999999997E-3</v>
      </c>
      <c r="J38" s="22">
        <v>28</v>
      </c>
      <c r="K38" s="22">
        <v>1.5783700000000001</v>
      </c>
      <c r="L38">
        <f t="shared" si="0"/>
        <v>6.5744691358024685</v>
      </c>
      <c r="M38">
        <f t="shared" si="1"/>
        <v>10.380955276049383</v>
      </c>
      <c r="N38" s="9"/>
      <c r="O38" s="22">
        <v>4.1046100000000002E-2</v>
      </c>
      <c r="P38" s="22">
        <v>10.000400000000001</v>
      </c>
      <c r="Q38" s="22">
        <v>-1.32996E-2</v>
      </c>
      <c r="R38" s="22">
        <v>28</v>
      </c>
      <c r="S38" s="22">
        <v>4.0991199999999998E-2</v>
      </c>
      <c r="T38">
        <f t="shared" si="2"/>
        <v>16.41925925925926</v>
      </c>
      <c r="U38">
        <f t="shared" si="3"/>
        <v>0.67394655748148158</v>
      </c>
      <c r="X38" s="9"/>
      <c r="Y38" s="22">
        <v>1.5789800000000001</v>
      </c>
      <c r="Z38" s="22">
        <v>15.352499999999999</v>
      </c>
      <c r="AA38" s="22">
        <v>-5.3802499999999996E-3</v>
      </c>
      <c r="AB38" s="22">
        <v>28</v>
      </c>
      <c r="AC38" s="22">
        <v>1.57806</v>
      </c>
      <c r="AD38">
        <f t="shared" si="4"/>
        <v>6.6422839506172835</v>
      </c>
      <c r="AE38">
        <f t="shared" si="5"/>
        <v>10.488033512345678</v>
      </c>
      <c r="AF38" s="9"/>
      <c r="AG38" s="22">
        <v>4.1046100000000002E-2</v>
      </c>
      <c r="AH38" s="22">
        <v>19.0106</v>
      </c>
      <c r="AI38" s="22">
        <v>-1.3433799999999999E-2</v>
      </c>
      <c r="AJ38" s="22">
        <v>28</v>
      </c>
      <c r="AK38" s="22">
        <v>4.1012600000000003E-2</v>
      </c>
      <c r="AL38">
        <f t="shared" si="6"/>
        <v>16.584938271604937</v>
      </c>
      <c r="AM38">
        <f t="shared" si="7"/>
        <v>0.68074703479012344</v>
      </c>
      <c r="AP38" s="9"/>
      <c r="AQ38" s="22">
        <v>1.5789800000000001</v>
      </c>
      <c r="AR38" s="22">
        <v>24.346800000000002</v>
      </c>
      <c r="AS38" s="22">
        <v>-5.2978499999999998E-3</v>
      </c>
      <c r="AT38" s="22">
        <v>28</v>
      </c>
      <c r="AU38" s="22">
        <v>1.57806</v>
      </c>
      <c r="AV38">
        <f t="shared" si="8"/>
        <v>6.5405555555555548</v>
      </c>
      <c r="AW38">
        <f t="shared" si="9"/>
        <v>10.327406411111109</v>
      </c>
      <c r="AX38" s="9"/>
      <c r="AY38" s="22">
        <v>4.1046100000000002E-2</v>
      </c>
      <c r="AZ38" s="22">
        <v>28.004799999999999</v>
      </c>
      <c r="BA38" s="22">
        <v>-1.3510100000000001E-2</v>
      </c>
      <c r="BB38" s="22">
        <v>28</v>
      </c>
      <c r="BC38" s="22">
        <v>4.1003400000000002E-2</v>
      </c>
      <c r="BD38">
        <f t="shared" si="10"/>
        <v>16.679135802469133</v>
      </c>
      <c r="BE38">
        <f t="shared" si="11"/>
        <v>0.68461347606172829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6.3524000000000003</v>
      </c>
      <c r="I39" s="22">
        <v>-5.4931600000000004E-3</v>
      </c>
      <c r="J39" s="22">
        <v>29</v>
      </c>
      <c r="K39" s="22">
        <v>1.5728800000000001</v>
      </c>
      <c r="L39">
        <f t="shared" si="0"/>
        <v>6.7816790123456787</v>
      </c>
      <c r="M39">
        <f t="shared" si="1"/>
        <v>10.673955864691356</v>
      </c>
      <c r="N39" s="9"/>
      <c r="O39" s="22">
        <v>4.6081499999999997E-2</v>
      </c>
      <c r="P39" s="22">
        <v>10.0105</v>
      </c>
      <c r="Q39" s="22">
        <v>-1.32996E-2</v>
      </c>
      <c r="R39" s="22">
        <v>29</v>
      </c>
      <c r="S39" s="22">
        <v>4.6054100000000001E-2</v>
      </c>
      <c r="T39">
        <f t="shared" si="2"/>
        <v>16.41925925925926</v>
      </c>
      <c r="U39">
        <f t="shared" si="3"/>
        <v>0.75662409555555554</v>
      </c>
      <c r="X39" s="9"/>
      <c r="Y39" s="22">
        <v>1.5739399999999999</v>
      </c>
      <c r="Z39" s="22">
        <v>15.3626</v>
      </c>
      <c r="AA39" s="22">
        <v>-5.5572499999999997E-3</v>
      </c>
      <c r="AB39" s="22">
        <v>29</v>
      </c>
      <c r="AC39" s="22">
        <v>1.5728800000000001</v>
      </c>
      <c r="AD39">
        <f t="shared" si="4"/>
        <v>6.8608024691358018</v>
      </c>
      <c r="AE39">
        <f t="shared" si="5"/>
        <v>10.798491438271602</v>
      </c>
      <c r="AF39" s="9"/>
      <c r="AG39" s="22">
        <v>4.6081499999999997E-2</v>
      </c>
      <c r="AH39" s="22">
        <v>19.020700000000001</v>
      </c>
      <c r="AI39" s="22">
        <v>-1.3424699999999999E-2</v>
      </c>
      <c r="AJ39" s="22">
        <v>29</v>
      </c>
      <c r="AK39" s="22">
        <v>4.6017500000000003E-2</v>
      </c>
      <c r="AL39">
        <f t="shared" si="6"/>
        <v>16.5737037037037</v>
      </c>
      <c r="AM39">
        <f t="shared" si="7"/>
        <v>0.76374112722222198</v>
      </c>
      <c r="AP39" s="9"/>
      <c r="AQ39" s="22">
        <v>1.5739399999999999</v>
      </c>
      <c r="AR39" s="22">
        <v>24.3568</v>
      </c>
      <c r="AS39" s="22">
        <v>-5.4840100000000001E-3</v>
      </c>
      <c r="AT39" s="22">
        <v>29</v>
      </c>
      <c r="AU39" s="22">
        <v>1.57257</v>
      </c>
      <c r="AV39">
        <f t="shared" si="8"/>
        <v>6.7703827160493821</v>
      </c>
      <c r="AW39">
        <f t="shared" si="9"/>
        <v>10.656176172098764</v>
      </c>
      <c r="AX39" s="9"/>
      <c r="AY39" s="22">
        <v>4.6081499999999997E-2</v>
      </c>
      <c r="AZ39" s="22">
        <v>28.014900000000001</v>
      </c>
      <c r="BA39" s="22">
        <v>-1.35132E-2</v>
      </c>
      <c r="BB39" s="22">
        <v>29</v>
      </c>
      <c r="BC39" s="22">
        <v>4.5999100000000001E-2</v>
      </c>
      <c r="BD39">
        <f t="shared" si="10"/>
        <v>16.682962962962961</v>
      </c>
      <c r="BE39">
        <f t="shared" si="11"/>
        <v>0.76877595777777763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6.3624700000000001</v>
      </c>
      <c r="I40" s="22">
        <v>-5.6640600000000003E-3</v>
      </c>
      <c r="J40" s="22">
        <v>30</v>
      </c>
      <c r="K40" s="22">
        <v>1.56799</v>
      </c>
      <c r="L40">
        <f t="shared" si="0"/>
        <v>6.9926666666666657</v>
      </c>
      <c r="M40">
        <f t="shared" si="1"/>
        <v>10.970864659999998</v>
      </c>
      <c r="N40" s="9"/>
      <c r="O40" s="22">
        <v>5.11169E-2</v>
      </c>
      <c r="P40" s="22">
        <v>10.0205</v>
      </c>
      <c r="Q40" s="22">
        <v>-1.3296499999999999E-2</v>
      </c>
      <c r="R40" s="22">
        <v>30</v>
      </c>
      <c r="S40" s="22">
        <v>5.0659200000000001E-2</v>
      </c>
      <c r="T40">
        <f t="shared" si="2"/>
        <v>16.415432098765429</v>
      </c>
      <c r="U40">
        <f t="shared" si="3"/>
        <v>0.83910600104938249</v>
      </c>
      <c r="X40" s="9"/>
      <c r="Y40" s="22">
        <v>1.56891</v>
      </c>
      <c r="Z40" s="22">
        <v>15.3727</v>
      </c>
      <c r="AA40" s="22">
        <v>-5.7311999999999997E-3</v>
      </c>
      <c r="AB40" s="22">
        <v>30</v>
      </c>
      <c r="AC40" s="22">
        <v>1.5683</v>
      </c>
      <c r="AD40">
        <f t="shared" si="4"/>
        <v>7.0755555555555549</v>
      </c>
      <c r="AE40">
        <f t="shared" si="5"/>
        <v>11.100909866666665</v>
      </c>
      <c r="AF40" s="9"/>
      <c r="AG40" s="22">
        <v>5.11169E-2</v>
      </c>
      <c r="AH40" s="22">
        <v>19.0307</v>
      </c>
      <c r="AI40" s="22">
        <v>-1.3418599999999999E-2</v>
      </c>
      <c r="AJ40" s="22">
        <v>30</v>
      </c>
      <c r="AK40" s="22">
        <v>5.07202E-2</v>
      </c>
      <c r="AL40">
        <f t="shared" si="6"/>
        <v>16.566172839506169</v>
      </c>
      <c r="AM40">
        <f t="shared" si="7"/>
        <v>0.84681140041975289</v>
      </c>
      <c r="AP40" s="9"/>
      <c r="AQ40" s="22">
        <v>1.56891</v>
      </c>
      <c r="AR40" s="22">
        <v>24.366900000000001</v>
      </c>
      <c r="AS40" s="22">
        <v>-5.6671100000000004E-3</v>
      </c>
      <c r="AT40" s="22">
        <v>30</v>
      </c>
      <c r="AU40" s="22">
        <v>1.56769</v>
      </c>
      <c r="AV40">
        <f t="shared" si="8"/>
        <v>6.9964320987654318</v>
      </c>
      <c r="AW40">
        <f t="shared" si="9"/>
        <v>10.976772284074073</v>
      </c>
      <c r="AX40" s="9"/>
      <c r="AY40" s="22">
        <v>5.11169E-2</v>
      </c>
      <c r="AZ40" s="22">
        <v>28.024999999999999</v>
      </c>
      <c r="BA40" s="22">
        <v>-1.34979E-2</v>
      </c>
      <c r="BB40" s="22">
        <v>30</v>
      </c>
      <c r="BC40" s="22">
        <v>5.05981E-2</v>
      </c>
      <c r="BD40">
        <f t="shared" si="10"/>
        <v>16.664074074074072</v>
      </c>
      <c r="BE40">
        <f t="shared" si="11"/>
        <v>0.85181580803703694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6.3725399999999999</v>
      </c>
      <c r="I41" s="22">
        <v>-5.8227499999999998E-3</v>
      </c>
      <c r="J41" s="22">
        <v>31</v>
      </c>
      <c r="K41" s="22">
        <v>1.56281</v>
      </c>
      <c r="L41">
        <f t="shared" si="0"/>
        <v>7.1885802469135802</v>
      </c>
      <c r="M41">
        <f t="shared" si="1"/>
        <v>11.242004990740741</v>
      </c>
      <c r="N41" s="9"/>
      <c r="O41" s="22">
        <v>5.6152300000000002E-2</v>
      </c>
      <c r="P41" s="22">
        <v>10.0306</v>
      </c>
      <c r="Q41" s="22">
        <v>-1.3290400000000001E-2</v>
      </c>
      <c r="R41" s="22">
        <v>31</v>
      </c>
      <c r="S41" s="22">
        <v>5.5664100000000001E-2</v>
      </c>
      <c r="T41">
        <f t="shared" si="2"/>
        <v>16.407901234567902</v>
      </c>
      <c r="U41">
        <f t="shared" si="3"/>
        <v>0.92134139249382718</v>
      </c>
      <c r="X41" s="9"/>
      <c r="Y41" s="22">
        <v>1.5638700000000001</v>
      </c>
      <c r="Z41" s="22">
        <v>15.3827</v>
      </c>
      <c r="AA41" s="22">
        <v>-5.9021000000000004E-3</v>
      </c>
      <c r="AB41" s="22">
        <v>31</v>
      </c>
      <c r="AC41" s="22">
        <v>1.56311</v>
      </c>
      <c r="AD41">
        <f t="shared" si="4"/>
        <v>7.2865432098765437</v>
      </c>
      <c r="AE41">
        <f t="shared" si="5"/>
        <v>11.39520632962963</v>
      </c>
      <c r="AF41" s="9"/>
      <c r="AG41" s="22">
        <v>5.6152300000000002E-2</v>
      </c>
      <c r="AH41" s="22">
        <v>19.040800000000001</v>
      </c>
      <c r="AI41" s="22">
        <v>-1.34155E-2</v>
      </c>
      <c r="AJ41" s="22">
        <v>31</v>
      </c>
      <c r="AK41" s="22">
        <v>5.5664100000000001E-2</v>
      </c>
      <c r="AL41">
        <f t="shared" si="6"/>
        <v>16.562345679012346</v>
      </c>
      <c r="AM41">
        <f t="shared" si="7"/>
        <v>0.93001380327160499</v>
      </c>
      <c r="AP41" s="9"/>
      <c r="AQ41" s="22">
        <v>1.5638700000000001</v>
      </c>
      <c r="AR41" s="22">
        <v>24.376999999999999</v>
      </c>
      <c r="AS41" s="22">
        <v>-5.8471699999999996E-3</v>
      </c>
      <c r="AT41" s="22">
        <v>31</v>
      </c>
      <c r="AU41" s="22">
        <v>1.56281</v>
      </c>
      <c r="AV41">
        <f t="shared" si="8"/>
        <v>7.2187283950617269</v>
      </c>
      <c r="AW41">
        <f t="shared" si="9"/>
        <v>11.289152775185183</v>
      </c>
      <c r="AX41" s="9"/>
      <c r="AY41" s="22">
        <v>5.6152300000000002E-2</v>
      </c>
      <c r="AZ41" s="22">
        <v>28.035</v>
      </c>
      <c r="BA41" s="22">
        <v>-1.34888E-2</v>
      </c>
      <c r="BB41" s="22">
        <v>31</v>
      </c>
      <c r="BC41" s="22">
        <v>5.5633500000000002E-2</v>
      </c>
      <c r="BD41">
        <f t="shared" si="10"/>
        <v>16.652839506172839</v>
      </c>
      <c r="BE41">
        <f t="shared" si="11"/>
        <v>0.93509523980246911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6.3826099999999997</v>
      </c>
      <c r="I42" s="22">
        <v>-5.9875500000000003E-3</v>
      </c>
      <c r="J42" s="22">
        <v>32</v>
      </c>
      <c r="K42" s="22">
        <v>1.55792</v>
      </c>
      <c r="L42">
        <f t="shared" si="0"/>
        <v>7.3920370370370376</v>
      </c>
      <c r="M42">
        <f t="shared" si="1"/>
        <v>11.523003014814815</v>
      </c>
      <c r="N42" s="9"/>
      <c r="O42" s="22">
        <v>6.1187699999999998E-2</v>
      </c>
      <c r="P42" s="22">
        <v>10.040699999999999</v>
      </c>
      <c r="Q42" s="22">
        <v>-1.32874E-2</v>
      </c>
      <c r="R42" s="22">
        <v>32</v>
      </c>
      <c r="S42" s="22">
        <v>6.0760500000000002E-2</v>
      </c>
      <c r="T42">
        <f t="shared" si="2"/>
        <v>16.404197530864195</v>
      </c>
      <c r="U42">
        <f t="shared" si="3"/>
        <v>1.003735117259259</v>
      </c>
      <c r="X42" s="9"/>
      <c r="Y42" s="22">
        <v>1.55884</v>
      </c>
      <c r="Z42" s="22">
        <v>15.392799999999999</v>
      </c>
      <c r="AA42" s="22">
        <v>-6.0730000000000003E-3</v>
      </c>
      <c r="AB42" s="22">
        <v>32</v>
      </c>
      <c r="AC42" s="22">
        <v>1.55792</v>
      </c>
      <c r="AD42">
        <f t="shared" si="4"/>
        <v>7.4975308641975307</v>
      </c>
      <c r="AE42">
        <f t="shared" si="5"/>
        <v>11.687451012345679</v>
      </c>
      <c r="AF42" s="9"/>
      <c r="AG42" s="22">
        <v>6.1187699999999998E-2</v>
      </c>
      <c r="AH42" s="22">
        <v>19.050899999999999</v>
      </c>
      <c r="AI42" s="22">
        <v>-1.3421600000000001E-2</v>
      </c>
      <c r="AJ42" s="22">
        <v>32</v>
      </c>
      <c r="AK42" s="22">
        <v>6.0699500000000003E-2</v>
      </c>
      <c r="AL42">
        <f t="shared" si="6"/>
        <v>16.569876543209876</v>
      </c>
      <c r="AM42">
        <f t="shared" si="7"/>
        <v>1.013872634962963</v>
      </c>
      <c r="AP42" s="9"/>
      <c r="AQ42" s="22">
        <v>1.55884</v>
      </c>
      <c r="AR42" s="22">
        <v>24.387</v>
      </c>
      <c r="AS42" s="22">
        <v>-6.0272199999999998E-3</v>
      </c>
      <c r="AT42" s="22">
        <v>32</v>
      </c>
      <c r="AU42" s="22">
        <v>1.55853</v>
      </c>
      <c r="AV42">
        <f t="shared" si="8"/>
        <v>7.4410123456790114</v>
      </c>
      <c r="AW42">
        <f t="shared" si="9"/>
        <v>11.59934768493827</v>
      </c>
      <c r="AX42" s="9"/>
      <c r="AY42" s="22">
        <v>6.1187699999999998E-2</v>
      </c>
      <c r="AZ42" s="22">
        <v>28.045100000000001</v>
      </c>
      <c r="BA42" s="22">
        <v>-1.34888E-2</v>
      </c>
      <c r="BB42" s="22">
        <v>32</v>
      </c>
      <c r="BC42" s="22">
        <v>6.0729999999999999E-2</v>
      </c>
      <c r="BD42">
        <f t="shared" si="10"/>
        <v>16.652839506172839</v>
      </c>
      <c r="BE42">
        <f t="shared" si="11"/>
        <v>1.0189489478518519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6.3926800000000004</v>
      </c>
      <c r="I43" s="22">
        <v>-6.1401399999999997E-3</v>
      </c>
      <c r="J43" s="22">
        <v>33</v>
      </c>
      <c r="K43" s="22">
        <v>1.55304</v>
      </c>
      <c r="L43">
        <f t="shared" si="0"/>
        <v>7.5804197530864181</v>
      </c>
      <c r="M43">
        <f t="shared" si="1"/>
        <v>11.778456212345677</v>
      </c>
      <c r="N43" s="9"/>
      <c r="O43" s="22">
        <v>6.6223099999999993E-2</v>
      </c>
      <c r="P43" s="22">
        <v>10.050700000000001</v>
      </c>
      <c r="Q43" s="22">
        <v>-1.32874E-2</v>
      </c>
      <c r="R43" s="22">
        <v>33</v>
      </c>
      <c r="S43" s="22">
        <v>6.5765400000000002E-2</v>
      </c>
      <c r="T43">
        <f t="shared" si="2"/>
        <v>16.404197530864195</v>
      </c>
      <c r="U43">
        <f t="shared" si="3"/>
        <v>1.0863368135061726</v>
      </c>
      <c r="X43" s="9"/>
      <c r="Y43" s="22">
        <v>1.5538000000000001</v>
      </c>
      <c r="Z43" s="22">
        <v>15.402900000000001</v>
      </c>
      <c r="AA43" s="22">
        <v>-6.2469500000000002E-3</v>
      </c>
      <c r="AB43" s="22">
        <v>33</v>
      </c>
      <c r="AC43" s="22">
        <v>1.55304</v>
      </c>
      <c r="AD43">
        <f t="shared" si="4"/>
        <v>7.7122839506172838</v>
      </c>
      <c r="AE43">
        <f t="shared" si="5"/>
        <v>11.983346802469136</v>
      </c>
      <c r="AF43" s="9"/>
      <c r="AG43" s="22">
        <v>6.6223099999999993E-2</v>
      </c>
      <c r="AH43" s="22">
        <v>19.0609</v>
      </c>
      <c r="AI43" s="22">
        <v>-1.3412500000000001E-2</v>
      </c>
      <c r="AJ43" s="22">
        <v>33</v>
      </c>
      <c r="AK43" s="22">
        <v>6.5765400000000002E-2</v>
      </c>
      <c r="AL43">
        <f t="shared" si="6"/>
        <v>16.558641975308642</v>
      </c>
      <c r="AM43">
        <f t="shared" si="7"/>
        <v>1.0965646033950616</v>
      </c>
      <c r="AP43" s="9"/>
      <c r="AQ43" s="22">
        <v>1.5538000000000001</v>
      </c>
      <c r="AR43" s="22">
        <v>24.397099999999998</v>
      </c>
      <c r="AS43" s="22">
        <v>-6.2042199999999999E-3</v>
      </c>
      <c r="AT43" s="22">
        <v>33</v>
      </c>
      <c r="AU43" s="22">
        <v>1.5527299999999999</v>
      </c>
      <c r="AV43">
        <f t="shared" si="8"/>
        <v>7.6595308641975297</v>
      </c>
      <c r="AW43">
        <f t="shared" si="9"/>
        <v>11.901379056790121</v>
      </c>
      <c r="AX43" s="9"/>
      <c r="AY43" s="22">
        <v>6.6223099999999993E-2</v>
      </c>
      <c r="AZ43" s="22">
        <v>28.055199999999999</v>
      </c>
      <c r="BA43" s="22">
        <v>-1.34888E-2</v>
      </c>
      <c r="BB43" s="22">
        <v>33</v>
      </c>
      <c r="BC43" s="22">
        <v>6.5704299999999993E-2</v>
      </c>
      <c r="BD43">
        <f t="shared" si="10"/>
        <v>16.652839506172839</v>
      </c>
      <c r="BE43">
        <f t="shared" si="11"/>
        <v>1.1028026559012345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6.4027500000000002</v>
      </c>
      <c r="I44" s="22">
        <v>-6.29578E-3</v>
      </c>
      <c r="J44" s="22">
        <v>34</v>
      </c>
      <c r="K44" s="22">
        <v>1.54816</v>
      </c>
      <c r="L44">
        <f t="shared" si="0"/>
        <v>7.7725679012345674</v>
      </c>
      <c r="M44">
        <f t="shared" si="1"/>
        <v>12.03791998839506</v>
      </c>
      <c r="N44" s="9"/>
      <c r="O44" s="22">
        <v>7.1258500000000002E-2</v>
      </c>
      <c r="P44" s="22">
        <v>10.0608</v>
      </c>
      <c r="Q44" s="22">
        <v>-1.32782E-2</v>
      </c>
      <c r="R44" s="22">
        <v>34</v>
      </c>
      <c r="S44" s="22">
        <v>7.08313E-2</v>
      </c>
      <c r="T44">
        <f t="shared" si="2"/>
        <v>16.392839506172837</v>
      </c>
      <c r="U44">
        <f t="shared" si="3"/>
        <v>1.1681291539506171</v>
      </c>
      <c r="X44" s="9"/>
      <c r="Y44" s="22">
        <v>1.54877</v>
      </c>
      <c r="Z44" s="22">
        <v>15.413</v>
      </c>
      <c r="AA44" s="22">
        <v>-6.4147900000000001E-3</v>
      </c>
      <c r="AB44" s="22">
        <v>34</v>
      </c>
      <c r="AC44" s="22">
        <v>1.54755</v>
      </c>
      <c r="AD44">
        <f t="shared" si="4"/>
        <v>7.9194938271604922</v>
      </c>
      <c r="AE44">
        <f t="shared" si="5"/>
        <v>12.265474454691356</v>
      </c>
      <c r="AF44" s="9"/>
      <c r="AG44" s="22">
        <v>7.1258500000000002E-2</v>
      </c>
      <c r="AH44" s="22">
        <v>19.071000000000002</v>
      </c>
      <c r="AI44" s="22">
        <v>-1.34094E-2</v>
      </c>
      <c r="AJ44" s="22">
        <v>34</v>
      </c>
      <c r="AK44" s="22">
        <v>7.0770299999999994E-2</v>
      </c>
      <c r="AL44">
        <f t="shared" si="6"/>
        <v>16.554814814814815</v>
      </c>
      <c r="AM44">
        <f t="shared" si="7"/>
        <v>1.1796712714814814</v>
      </c>
      <c r="AP44" s="9"/>
      <c r="AQ44" s="22">
        <v>1.54877</v>
      </c>
      <c r="AR44" s="22">
        <v>24.4072</v>
      </c>
      <c r="AS44" s="22">
        <v>-6.3690200000000004E-3</v>
      </c>
      <c r="AT44" s="22">
        <v>34</v>
      </c>
      <c r="AU44" s="22">
        <v>1.54755</v>
      </c>
      <c r="AV44">
        <f t="shared" si="8"/>
        <v>7.862987654320988</v>
      </c>
      <c r="AW44">
        <f t="shared" si="9"/>
        <v>12.177959389382716</v>
      </c>
      <c r="AX44" s="9"/>
      <c r="AY44" s="22">
        <v>7.1258500000000002E-2</v>
      </c>
      <c r="AZ44" s="22">
        <v>28.065200000000001</v>
      </c>
      <c r="BA44" s="22">
        <v>-1.34979E-2</v>
      </c>
      <c r="BB44" s="22">
        <v>34</v>
      </c>
      <c r="BC44" s="22">
        <v>7.0770299999999994E-2</v>
      </c>
      <c r="BD44">
        <f t="shared" si="10"/>
        <v>16.664074074074072</v>
      </c>
      <c r="BE44">
        <f t="shared" si="11"/>
        <v>1.1874569224074074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6.41282</v>
      </c>
      <c r="I45" s="22">
        <v>-6.44226E-3</v>
      </c>
      <c r="J45" s="22">
        <v>35</v>
      </c>
      <c r="K45" s="22">
        <v>1.5432699999999999</v>
      </c>
      <c r="L45">
        <f t="shared" si="0"/>
        <v>7.9534074074074077</v>
      </c>
      <c r="M45">
        <f t="shared" si="1"/>
        <v>12.277913617037038</v>
      </c>
      <c r="N45" s="9"/>
      <c r="O45" s="22">
        <v>7.6293899999999998E-2</v>
      </c>
      <c r="P45" s="22">
        <v>10.0709</v>
      </c>
      <c r="Q45" s="22">
        <v>-1.3269E-2</v>
      </c>
      <c r="R45" s="22">
        <v>35</v>
      </c>
      <c r="S45" s="22">
        <v>7.5897199999999998E-2</v>
      </c>
      <c r="T45">
        <f t="shared" si="2"/>
        <v>16.38148148148148</v>
      </c>
      <c r="U45">
        <f t="shared" si="3"/>
        <v>1.2498071099999999</v>
      </c>
      <c r="X45" s="9"/>
      <c r="Y45" s="22">
        <v>1.54373</v>
      </c>
      <c r="Z45" s="22">
        <v>15.423</v>
      </c>
      <c r="AA45" s="22">
        <v>-6.5795899999999997E-3</v>
      </c>
      <c r="AB45" s="22">
        <v>35</v>
      </c>
      <c r="AC45" s="22">
        <v>1.5432699999999999</v>
      </c>
      <c r="AD45">
        <f t="shared" si="4"/>
        <v>8.1229506172839496</v>
      </c>
      <c r="AE45">
        <f t="shared" si="5"/>
        <v>12.539642556419752</v>
      </c>
      <c r="AF45" s="9"/>
      <c r="AG45" s="22">
        <v>7.6293899999999998E-2</v>
      </c>
      <c r="AH45" s="22">
        <v>19.081099999999999</v>
      </c>
      <c r="AI45" s="22">
        <v>-1.3412500000000001E-2</v>
      </c>
      <c r="AJ45" s="22">
        <v>35</v>
      </c>
      <c r="AK45" s="22">
        <v>7.5744599999999995E-2</v>
      </c>
      <c r="AL45">
        <f t="shared" si="6"/>
        <v>16.558641975308642</v>
      </c>
      <c r="AM45">
        <f t="shared" si="7"/>
        <v>1.2633233749999999</v>
      </c>
      <c r="AP45" s="9"/>
      <c r="AQ45" s="22">
        <v>1.54373</v>
      </c>
      <c r="AR45" s="22">
        <v>24.417300000000001</v>
      </c>
      <c r="AS45" s="22">
        <v>-6.5399200000000003E-3</v>
      </c>
      <c r="AT45" s="22">
        <v>35</v>
      </c>
      <c r="AU45" s="22">
        <v>1.54297</v>
      </c>
      <c r="AV45">
        <f t="shared" si="8"/>
        <v>8.073975308641975</v>
      </c>
      <c r="AW45">
        <f t="shared" si="9"/>
        <v>12.464037903209876</v>
      </c>
      <c r="AX45" s="9"/>
      <c r="AY45" s="22">
        <v>7.6293899999999998E-2</v>
      </c>
      <c r="AZ45" s="22">
        <v>28.075299999999999</v>
      </c>
      <c r="BA45" s="22">
        <v>-1.34979E-2</v>
      </c>
      <c r="BB45" s="22">
        <v>35</v>
      </c>
      <c r="BC45" s="22">
        <v>7.5744599999999995E-2</v>
      </c>
      <c r="BD45">
        <f t="shared" si="10"/>
        <v>16.664074074074072</v>
      </c>
      <c r="BE45">
        <f t="shared" si="11"/>
        <v>1.2713672009999999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6.4228899999999998</v>
      </c>
      <c r="I46" s="22">
        <v>-6.5948500000000002E-3</v>
      </c>
      <c r="J46" s="22">
        <v>36</v>
      </c>
      <c r="K46" s="22">
        <v>1.53809</v>
      </c>
      <c r="L46">
        <f t="shared" si="0"/>
        <v>8.14179012345679</v>
      </c>
      <c r="M46">
        <f t="shared" si="1"/>
        <v>12.527772462962963</v>
      </c>
      <c r="N46" s="9"/>
      <c r="O46" s="22">
        <v>8.1329299999999993E-2</v>
      </c>
      <c r="P46" s="22">
        <v>10.081</v>
      </c>
      <c r="Q46" s="22">
        <v>-1.32721E-2</v>
      </c>
      <c r="R46" s="22">
        <v>36</v>
      </c>
      <c r="S46" s="22">
        <v>8.0902100000000005E-2</v>
      </c>
      <c r="T46">
        <f t="shared" si="2"/>
        <v>16.385308641975307</v>
      </c>
      <c r="U46">
        <f t="shared" si="3"/>
        <v>1.3326056821358023</v>
      </c>
      <c r="X46" s="9"/>
      <c r="Y46" s="22">
        <v>1.5387</v>
      </c>
      <c r="Z46" s="22">
        <v>15.4331</v>
      </c>
      <c r="AA46" s="22">
        <v>-6.7413300000000002E-3</v>
      </c>
      <c r="AB46" s="22">
        <v>36</v>
      </c>
      <c r="AC46" s="22">
        <v>1.5377799999999999</v>
      </c>
      <c r="AD46">
        <f t="shared" si="4"/>
        <v>8.3226296296296294</v>
      </c>
      <c r="AE46">
        <f t="shared" si="5"/>
        <v>12.806030211111111</v>
      </c>
      <c r="AF46" s="9"/>
      <c r="AG46" s="22">
        <v>8.1329299999999993E-2</v>
      </c>
      <c r="AH46" s="22">
        <v>19.091200000000001</v>
      </c>
      <c r="AI46" s="22">
        <v>-1.34033E-2</v>
      </c>
      <c r="AJ46" s="22">
        <v>36</v>
      </c>
      <c r="AK46" s="22">
        <v>8.0902100000000005E-2</v>
      </c>
      <c r="AL46">
        <f t="shared" si="6"/>
        <v>16.547283950617281</v>
      </c>
      <c r="AM46">
        <f t="shared" si="7"/>
        <v>1.345779020604938</v>
      </c>
      <c r="AP46" s="9"/>
      <c r="AQ46" s="22">
        <v>1.5387</v>
      </c>
      <c r="AR46" s="22">
        <v>24.427299999999999</v>
      </c>
      <c r="AS46" s="22">
        <v>-6.7016599999999999E-3</v>
      </c>
      <c r="AT46" s="22">
        <v>36</v>
      </c>
      <c r="AU46" s="22">
        <v>1.53809</v>
      </c>
      <c r="AV46">
        <f t="shared" si="8"/>
        <v>8.273654320987653</v>
      </c>
      <c r="AW46">
        <f t="shared" si="9"/>
        <v>12.730671903703701</v>
      </c>
      <c r="AX46" s="9"/>
      <c r="AY46" s="22">
        <v>8.1329299999999993E-2</v>
      </c>
      <c r="AZ46" s="22">
        <v>28.0854</v>
      </c>
      <c r="BA46" s="22">
        <v>-1.34918E-2</v>
      </c>
      <c r="BB46" s="22">
        <v>36</v>
      </c>
      <c r="BC46" s="22">
        <v>8.0841099999999999E-2</v>
      </c>
      <c r="BD46">
        <f t="shared" si="10"/>
        <v>16.656543209876542</v>
      </c>
      <c r="BE46">
        <f t="shared" si="11"/>
        <v>1.3546649996790121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6.4329700000000001</v>
      </c>
      <c r="I47" s="22">
        <v>-6.73523E-3</v>
      </c>
      <c r="J47" s="22">
        <v>37</v>
      </c>
      <c r="K47" s="22">
        <v>1.5328999999999999</v>
      </c>
      <c r="L47">
        <f t="shared" si="0"/>
        <v>8.3150987654320971</v>
      </c>
      <c r="M47">
        <f t="shared" si="1"/>
        <v>12.75253437259259</v>
      </c>
      <c r="N47" s="9"/>
      <c r="O47" s="22">
        <v>8.6364700000000003E-2</v>
      </c>
      <c r="P47" s="22">
        <v>10.090999999999999</v>
      </c>
      <c r="Q47" s="22">
        <v>-1.32721E-2</v>
      </c>
      <c r="R47" s="22">
        <v>37</v>
      </c>
      <c r="S47" s="22">
        <v>8.5876499999999995E-2</v>
      </c>
      <c r="T47">
        <f t="shared" si="2"/>
        <v>16.385308641975307</v>
      </c>
      <c r="U47">
        <f t="shared" si="3"/>
        <v>1.4151122652716048</v>
      </c>
      <c r="X47" s="9"/>
      <c r="Y47" s="22">
        <v>1.53366</v>
      </c>
      <c r="Z47" s="22">
        <v>15.443199999999999</v>
      </c>
      <c r="AA47" s="22">
        <v>-6.9000199999999998E-3</v>
      </c>
      <c r="AB47" s="22">
        <v>37</v>
      </c>
      <c r="AC47" s="22">
        <v>1.5331999999999999</v>
      </c>
      <c r="AD47">
        <f t="shared" si="4"/>
        <v>8.5185432098765439</v>
      </c>
      <c r="AE47">
        <f t="shared" si="5"/>
        <v>13.064548979259261</v>
      </c>
      <c r="AF47" s="9"/>
      <c r="AG47" s="22">
        <v>8.6364700000000003E-2</v>
      </c>
      <c r="AH47" s="22">
        <v>19.101199999999999</v>
      </c>
      <c r="AI47" s="22">
        <v>-1.33942E-2</v>
      </c>
      <c r="AJ47" s="22">
        <v>37</v>
      </c>
      <c r="AK47" s="22">
        <v>8.5845900000000003E-2</v>
      </c>
      <c r="AL47">
        <f t="shared" si="6"/>
        <v>16.536049382716048</v>
      </c>
      <c r="AM47">
        <f t="shared" si="7"/>
        <v>1.4281309441234566</v>
      </c>
      <c r="AP47" s="9"/>
      <c r="AQ47" s="22">
        <v>1.53366</v>
      </c>
      <c r="AR47" s="22">
        <v>24.4374</v>
      </c>
      <c r="AS47" s="22">
        <v>-6.8634000000000004E-3</v>
      </c>
      <c r="AT47" s="22">
        <v>37</v>
      </c>
      <c r="AU47" s="22">
        <v>1.5328999999999999</v>
      </c>
      <c r="AV47">
        <f t="shared" si="8"/>
        <v>8.4733333333333327</v>
      </c>
      <c r="AW47">
        <f t="shared" si="9"/>
        <v>12.9952124</v>
      </c>
      <c r="AX47" s="9"/>
      <c r="AY47" s="22">
        <v>8.6364700000000003E-2</v>
      </c>
      <c r="AZ47" s="22">
        <v>28.095400000000001</v>
      </c>
      <c r="BA47" s="22">
        <v>-1.34827E-2</v>
      </c>
      <c r="BB47" s="22">
        <v>37</v>
      </c>
      <c r="BC47" s="22">
        <v>8.5968000000000003E-2</v>
      </c>
      <c r="BD47">
        <f t="shared" si="10"/>
        <v>16.645308641975308</v>
      </c>
      <c r="BE47">
        <f t="shared" si="11"/>
        <v>1.4375670872716049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6.4430399999999999</v>
      </c>
      <c r="I48" s="22">
        <v>-6.8847700000000001E-3</v>
      </c>
      <c r="J48" s="22">
        <v>38</v>
      </c>
      <c r="K48" s="22">
        <v>1.5280199999999999</v>
      </c>
      <c r="L48">
        <f t="shared" si="0"/>
        <v>8.499716049382716</v>
      </c>
      <c r="M48">
        <f t="shared" si="1"/>
        <v>12.992920944567901</v>
      </c>
      <c r="N48" s="9"/>
      <c r="O48" s="22">
        <v>9.1400099999999998E-2</v>
      </c>
      <c r="P48" s="22">
        <v>10.101100000000001</v>
      </c>
      <c r="Q48" s="22">
        <v>-1.32721E-2</v>
      </c>
      <c r="R48" s="22">
        <v>38</v>
      </c>
      <c r="S48" s="22">
        <v>9.0942400000000007E-2</v>
      </c>
      <c r="T48">
        <f t="shared" si="2"/>
        <v>16.385308641975307</v>
      </c>
      <c r="U48">
        <f t="shared" si="3"/>
        <v>1.4976188484074071</v>
      </c>
      <c r="X48" s="9"/>
      <c r="Y48" s="22">
        <v>1.5286299999999999</v>
      </c>
      <c r="Z48" s="22">
        <v>15.453200000000001</v>
      </c>
      <c r="AA48" s="22">
        <v>-7.0587200000000001E-3</v>
      </c>
      <c r="AB48" s="22">
        <v>38</v>
      </c>
      <c r="AC48" s="22">
        <v>1.5280199999999999</v>
      </c>
      <c r="AD48">
        <f t="shared" si="4"/>
        <v>8.7144691358024691</v>
      </c>
      <c r="AE48">
        <f t="shared" si="5"/>
        <v>13.321198955061728</v>
      </c>
      <c r="AF48" s="9"/>
      <c r="AG48" s="22">
        <v>9.1400099999999998E-2</v>
      </c>
      <c r="AH48" s="22">
        <v>19.1113</v>
      </c>
      <c r="AI48" s="22">
        <v>-1.33972E-2</v>
      </c>
      <c r="AJ48" s="22">
        <v>38</v>
      </c>
      <c r="AK48" s="22">
        <v>9.0972899999999995E-2</v>
      </c>
      <c r="AL48">
        <f t="shared" si="6"/>
        <v>16.539753086419751</v>
      </c>
      <c r="AM48">
        <f t="shared" si="7"/>
        <v>1.5117350860740739</v>
      </c>
      <c r="AP48" s="9"/>
      <c r="AQ48" s="22">
        <v>1.5286299999999999</v>
      </c>
      <c r="AR48" s="22">
        <v>24.447500000000002</v>
      </c>
      <c r="AS48" s="22">
        <v>-7.0159899999999997E-3</v>
      </c>
      <c r="AT48" s="22">
        <v>38</v>
      </c>
      <c r="AU48" s="22">
        <v>1.5280199999999999</v>
      </c>
      <c r="AV48">
        <f t="shared" si="8"/>
        <v>8.661716049382715</v>
      </c>
      <c r="AW48">
        <f t="shared" si="9"/>
        <v>13.240559004567899</v>
      </c>
      <c r="AX48" s="9"/>
      <c r="AY48" s="22">
        <v>9.1400099999999998E-2</v>
      </c>
      <c r="AZ48" s="22">
        <v>28.105499999999999</v>
      </c>
      <c r="BA48" s="22">
        <v>-1.34705E-2</v>
      </c>
      <c r="BB48" s="22">
        <v>38</v>
      </c>
      <c r="BC48" s="22">
        <v>9.0942400000000007E-2</v>
      </c>
      <c r="BD48">
        <f t="shared" si="10"/>
        <v>16.630246913580244</v>
      </c>
      <c r="BE48">
        <f t="shared" si="11"/>
        <v>1.5200062309259257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6.4531099999999997</v>
      </c>
      <c r="I49" s="22">
        <v>-7.0220899999999999E-3</v>
      </c>
      <c r="J49" s="22">
        <v>39</v>
      </c>
      <c r="K49" s="22">
        <v>1.5225200000000001</v>
      </c>
      <c r="L49">
        <f t="shared" si="0"/>
        <v>8.6692469135802472</v>
      </c>
      <c r="M49">
        <f t="shared" si="1"/>
        <v>13.208377905061729</v>
      </c>
      <c r="N49" s="9"/>
      <c r="O49" s="22">
        <v>9.6435499999999993E-2</v>
      </c>
      <c r="P49" s="22">
        <v>10.1112</v>
      </c>
      <c r="Q49" s="22">
        <v>-1.32751E-2</v>
      </c>
      <c r="R49" s="22">
        <v>39</v>
      </c>
      <c r="S49" s="22">
        <v>9.5916699999999994E-2</v>
      </c>
      <c r="T49">
        <f t="shared" si="2"/>
        <v>16.38901234567901</v>
      </c>
      <c r="U49">
        <f t="shared" si="3"/>
        <v>1.580482600061728</v>
      </c>
      <c r="X49" s="9"/>
      <c r="Y49" s="22">
        <v>1.52359</v>
      </c>
      <c r="Z49" s="22">
        <v>15.4633</v>
      </c>
      <c r="AA49" s="22">
        <v>-7.2113000000000003E-3</v>
      </c>
      <c r="AB49" s="22">
        <v>39</v>
      </c>
      <c r="AC49" s="22">
        <v>1.5228299999999999</v>
      </c>
      <c r="AD49">
        <f t="shared" si="4"/>
        <v>8.9028395061728389</v>
      </c>
      <c r="AE49">
        <f t="shared" si="5"/>
        <v>13.564277243209876</v>
      </c>
      <c r="AF49" s="9"/>
      <c r="AG49" s="22">
        <v>9.6435499999999993E-2</v>
      </c>
      <c r="AH49" s="22">
        <v>19.121400000000001</v>
      </c>
      <c r="AI49" s="22">
        <v>-1.34003E-2</v>
      </c>
      <c r="AJ49" s="22">
        <v>39</v>
      </c>
      <c r="AK49" s="22">
        <v>9.5977800000000002E-2</v>
      </c>
      <c r="AL49">
        <f t="shared" si="6"/>
        <v>16.543580246913578</v>
      </c>
      <c r="AM49">
        <f t="shared" si="7"/>
        <v>1.5953884329012342</v>
      </c>
      <c r="AP49" s="9"/>
      <c r="AQ49" s="22">
        <v>1.52359</v>
      </c>
      <c r="AR49" s="22">
        <v>24.4575</v>
      </c>
      <c r="AS49" s="22">
        <v>-7.17163E-3</v>
      </c>
      <c r="AT49" s="22">
        <v>39</v>
      </c>
      <c r="AU49" s="22">
        <v>1.5225200000000001</v>
      </c>
      <c r="AV49">
        <f t="shared" si="8"/>
        <v>8.8538641975308643</v>
      </c>
      <c r="AW49">
        <f t="shared" si="9"/>
        <v>13.489658952716049</v>
      </c>
      <c r="AX49" s="9"/>
      <c r="AY49" s="22">
        <v>9.6435499999999993E-2</v>
      </c>
      <c r="AZ49" s="22">
        <v>28.115600000000001</v>
      </c>
      <c r="BA49" s="22">
        <v>-1.34644E-2</v>
      </c>
      <c r="BB49" s="22">
        <v>39</v>
      </c>
      <c r="BC49" s="22">
        <v>9.5916699999999994E-2</v>
      </c>
      <c r="BD49">
        <f t="shared" si="10"/>
        <v>16.622716049382717</v>
      </c>
      <c r="BE49">
        <f t="shared" si="11"/>
        <v>1.6030199335802469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6.4631800000000004</v>
      </c>
      <c r="I50" s="22">
        <v>-7.1746800000000001E-3</v>
      </c>
      <c r="J50" s="22">
        <v>40</v>
      </c>
      <c r="K50" s="22">
        <v>1.5173300000000001</v>
      </c>
      <c r="L50">
        <f t="shared" si="0"/>
        <v>8.8576296296296277</v>
      </c>
      <c r="M50">
        <f t="shared" si="1"/>
        <v>13.450753474074071</v>
      </c>
      <c r="N50" s="9"/>
      <c r="O50" s="22">
        <v>0.10147100000000001</v>
      </c>
      <c r="P50" s="22">
        <v>10.1212</v>
      </c>
      <c r="Q50" s="22">
        <v>-1.3266E-2</v>
      </c>
      <c r="R50" s="22">
        <v>40</v>
      </c>
      <c r="S50" s="22">
        <v>0.10101300000000001</v>
      </c>
      <c r="T50">
        <f t="shared" si="2"/>
        <v>16.377777777777776</v>
      </c>
      <c r="U50">
        <f t="shared" si="3"/>
        <v>1.6618694888888887</v>
      </c>
      <c r="X50" s="9"/>
      <c r="Y50" s="22">
        <v>1.5185500000000001</v>
      </c>
      <c r="Z50" s="22">
        <v>15.4734</v>
      </c>
      <c r="AA50" s="22">
        <v>-7.3577900000000003E-3</v>
      </c>
      <c r="AB50" s="22">
        <v>40</v>
      </c>
      <c r="AC50" s="22">
        <v>1.5176400000000001</v>
      </c>
      <c r="AD50">
        <f t="shared" si="4"/>
        <v>9.0836913580246907</v>
      </c>
      <c r="AE50">
        <f t="shared" si="5"/>
        <v>13.794039511728394</v>
      </c>
      <c r="AF50" s="9"/>
      <c r="AG50" s="22">
        <v>0.10147100000000001</v>
      </c>
      <c r="AH50" s="22">
        <v>19.131399999999999</v>
      </c>
      <c r="AI50" s="22">
        <v>-1.3406400000000001E-2</v>
      </c>
      <c r="AJ50" s="22">
        <v>40</v>
      </c>
      <c r="AK50" s="22">
        <v>0.100952</v>
      </c>
      <c r="AL50">
        <f t="shared" si="6"/>
        <v>16.551111111111108</v>
      </c>
      <c r="AM50">
        <f t="shared" si="7"/>
        <v>1.6794577955555554</v>
      </c>
      <c r="AP50" s="9"/>
      <c r="AQ50" s="22">
        <v>1.5185500000000001</v>
      </c>
      <c r="AR50" s="22">
        <v>24.467600000000001</v>
      </c>
      <c r="AS50" s="22">
        <v>-7.3242200000000002E-3</v>
      </c>
      <c r="AT50" s="22">
        <v>40</v>
      </c>
      <c r="AU50" s="22">
        <v>1.5179400000000001</v>
      </c>
      <c r="AV50">
        <f t="shared" si="8"/>
        <v>9.0422469135802466</v>
      </c>
      <c r="AW50">
        <f t="shared" si="9"/>
        <v>13.731104050617285</v>
      </c>
      <c r="AX50" s="9"/>
      <c r="AY50" s="22">
        <v>0.10147100000000001</v>
      </c>
      <c r="AZ50" s="22">
        <v>28.125699999999998</v>
      </c>
      <c r="BA50" s="22">
        <v>-1.34644E-2</v>
      </c>
      <c r="BB50" s="22">
        <v>40</v>
      </c>
      <c r="BC50" s="22">
        <v>0.100952</v>
      </c>
      <c r="BD50">
        <f t="shared" si="10"/>
        <v>16.622716049382717</v>
      </c>
      <c r="BE50">
        <f t="shared" si="11"/>
        <v>1.6867236202469138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6.4732500000000002</v>
      </c>
      <c r="I51" s="22">
        <v>-7.3059099999999997E-3</v>
      </c>
      <c r="J51" s="22">
        <v>41</v>
      </c>
      <c r="K51" s="22">
        <v>1.5127600000000001</v>
      </c>
      <c r="L51">
        <f t="shared" si="0"/>
        <v>9.019641975308641</v>
      </c>
      <c r="M51">
        <f t="shared" si="1"/>
        <v>13.651408522469135</v>
      </c>
      <c r="N51" s="9"/>
      <c r="O51" s="22">
        <v>0.106506</v>
      </c>
      <c r="P51" s="22">
        <v>10.1313</v>
      </c>
      <c r="Q51" s="22">
        <v>-1.3256799999999999E-2</v>
      </c>
      <c r="R51" s="22">
        <v>41</v>
      </c>
      <c r="S51" s="22">
        <v>0.106018</v>
      </c>
      <c r="T51">
        <f t="shared" si="2"/>
        <v>16.366419753086415</v>
      </c>
      <c r="U51">
        <f t="shared" si="3"/>
        <v>1.7431219022222217</v>
      </c>
      <c r="X51" s="9"/>
      <c r="Y51" s="22">
        <v>1.51352</v>
      </c>
      <c r="Z51" s="22">
        <v>15.483499999999999</v>
      </c>
      <c r="AA51" s="22">
        <v>-7.5012200000000003E-3</v>
      </c>
      <c r="AB51" s="22">
        <v>41</v>
      </c>
      <c r="AC51" s="22">
        <v>1.5124500000000001</v>
      </c>
      <c r="AD51">
        <f t="shared" si="4"/>
        <v>9.2607654320987649</v>
      </c>
      <c r="AE51">
        <f t="shared" si="5"/>
        <v>14.016353696790123</v>
      </c>
      <c r="AF51" s="9"/>
      <c r="AG51" s="22">
        <v>0.106506</v>
      </c>
      <c r="AH51" s="22">
        <v>19.141500000000001</v>
      </c>
      <c r="AI51" s="22">
        <v>-1.34033E-2</v>
      </c>
      <c r="AJ51" s="22">
        <v>41</v>
      </c>
      <c r="AK51" s="22">
        <v>0.106018</v>
      </c>
      <c r="AL51">
        <f t="shared" si="6"/>
        <v>16.547283950617281</v>
      </c>
      <c r="AM51">
        <f t="shared" si="7"/>
        <v>1.7623850244444441</v>
      </c>
      <c r="AP51" s="9"/>
      <c r="AQ51" s="22">
        <v>1.51352</v>
      </c>
      <c r="AR51" s="22">
        <v>24.477699999999999</v>
      </c>
      <c r="AS51" s="22">
        <v>-7.4768100000000004E-3</v>
      </c>
      <c r="AT51" s="22">
        <v>41</v>
      </c>
      <c r="AU51" s="22">
        <v>1.5124500000000001</v>
      </c>
      <c r="AV51">
        <f t="shared" si="8"/>
        <v>9.2306296296296306</v>
      </c>
      <c r="AW51">
        <f t="shared" si="9"/>
        <v>13.970742557037038</v>
      </c>
      <c r="AX51" s="9"/>
      <c r="AY51" s="22">
        <v>0.106506</v>
      </c>
      <c r="AZ51" s="22">
        <v>28.1357</v>
      </c>
      <c r="BA51" s="22">
        <v>-1.3467399999999999E-2</v>
      </c>
      <c r="BB51" s="22">
        <v>41</v>
      </c>
      <c r="BC51" s="22">
        <v>0.105988</v>
      </c>
      <c r="BD51">
        <f t="shared" si="10"/>
        <v>16.626419753086417</v>
      </c>
      <c r="BE51">
        <f t="shared" si="11"/>
        <v>1.770813462222222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6.48332</v>
      </c>
      <c r="I52" s="22">
        <v>-7.4401900000000002E-3</v>
      </c>
      <c r="J52" s="22">
        <v>42</v>
      </c>
      <c r="K52" s="22">
        <v>1.50787</v>
      </c>
      <c r="L52">
        <f t="shared" si="0"/>
        <v>9.1854197530864194</v>
      </c>
      <c r="M52">
        <f t="shared" si="1"/>
        <v>13.856021989135803</v>
      </c>
      <c r="N52" s="9"/>
      <c r="O52" s="22">
        <v>0.111542</v>
      </c>
      <c r="P52" s="22">
        <v>10.141400000000001</v>
      </c>
      <c r="Q52" s="22">
        <v>-1.3247699999999999E-2</v>
      </c>
      <c r="R52" s="22">
        <v>42</v>
      </c>
      <c r="S52" s="22">
        <v>0.111084</v>
      </c>
      <c r="T52">
        <f t="shared" si="2"/>
        <v>16.355185185185185</v>
      </c>
      <c r="U52">
        <f t="shared" si="3"/>
        <v>1.824290065925926</v>
      </c>
      <c r="X52" s="9"/>
      <c r="Y52" s="22">
        <v>1.50848</v>
      </c>
      <c r="Z52" s="22">
        <v>15.493499999999999</v>
      </c>
      <c r="AA52" s="22">
        <v>-7.6416000000000001E-3</v>
      </c>
      <c r="AB52" s="22">
        <v>42</v>
      </c>
      <c r="AC52" s="22">
        <v>1.50726</v>
      </c>
      <c r="AD52">
        <f t="shared" si="4"/>
        <v>9.4340740740740738</v>
      </c>
      <c r="AE52">
        <f t="shared" si="5"/>
        <v>14.23111205925926</v>
      </c>
      <c r="AF52" s="9"/>
      <c r="AG52" s="22">
        <v>0.111542</v>
      </c>
      <c r="AH52" s="22">
        <v>19.151599999999998</v>
      </c>
      <c r="AI52" s="22">
        <v>-1.34094E-2</v>
      </c>
      <c r="AJ52" s="22">
        <v>42</v>
      </c>
      <c r="AK52" s="22">
        <v>0.111023</v>
      </c>
      <c r="AL52">
        <f t="shared" si="6"/>
        <v>16.554814814814815</v>
      </c>
      <c r="AM52">
        <f t="shared" si="7"/>
        <v>1.8465571540740742</v>
      </c>
      <c r="AP52" s="9"/>
      <c r="AQ52" s="22">
        <v>1.50848</v>
      </c>
      <c r="AR52" s="22">
        <v>24.4878</v>
      </c>
      <c r="AS52" s="22">
        <v>-7.6202400000000003E-3</v>
      </c>
      <c r="AT52" s="22">
        <v>42</v>
      </c>
      <c r="AU52" s="22">
        <v>1.5075700000000001</v>
      </c>
      <c r="AV52">
        <f t="shared" si="8"/>
        <v>9.407703703703703</v>
      </c>
      <c r="AW52">
        <f t="shared" si="9"/>
        <v>14.191332882962962</v>
      </c>
      <c r="AX52" s="9"/>
      <c r="AY52" s="22">
        <v>0.111542</v>
      </c>
      <c r="AZ52" s="22">
        <v>28.145800000000001</v>
      </c>
      <c r="BA52" s="22">
        <v>-1.3467399999999999E-2</v>
      </c>
      <c r="BB52" s="22">
        <v>42</v>
      </c>
      <c r="BC52" s="22">
        <v>0.111053</v>
      </c>
      <c r="BD52">
        <f t="shared" si="10"/>
        <v>16.626419753086417</v>
      </c>
      <c r="BE52">
        <f t="shared" si="11"/>
        <v>1.8545441120987651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6.4933899999999998</v>
      </c>
      <c r="I53" s="22">
        <v>-7.5592000000000003E-3</v>
      </c>
      <c r="J53" s="22">
        <v>43</v>
      </c>
      <c r="K53" s="22">
        <v>1.50238</v>
      </c>
      <c r="L53">
        <f t="shared" si="0"/>
        <v>9.3323456790123451</v>
      </c>
      <c r="M53">
        <f t="shared" si="1"/>
        <v>14.03071511111111</v>
      </c>
      <c r="N53" s="9"/>
      <c r="O53" s="22">
        <v>0.116577</v>
      </c>
      <c r="P53" s="22">
        <v>10.151400000000001</v>
      </c>
      <c r="Q53" s="22">
        <v>-1.32385E-2</v>
      </c>
      <c r="R53" s="22">
        <v>43</v>
      </c>
      <c r="S53" s="22">
        <v>0.116089</v>
      </c>
      <c r="T53">
        <f t="shared" si="2"/>
        <v>16.343827160493824</v>
      </c>
      <c r="U53">
        <f t="shared" si="3"/>
        <v>1.9053143388888885</v>
      </c>
      <c r="X53" s="9"/>
      <c r="Y53" s="22">
        <v>1.50345</v>
      </c>
      <c r="Z53" s="22">
        <v>15.5036</v>
      </c>
      <c r="AA53" s="22">
        <v>-7.78198E-3</v>
      </c>
      <c r="AB53" s="22">
        <v>43</v>
      </c>
      <c r="AC53" s="22">
        <v>1.50238</v>
      </c>
      <c r="AD53">
        <f t="shared" si="4"/>
        <v>9.6073827160493828</v>
      </c>
      <c r="AE53">
        <f t="shared" si="5"/>
        <v>14.444219544444444</v>
      </c>
      <c r="AF53" s="9"/>
      <c r="AG53" s="22">
        <v>0.116577</v>
      </c>
      <c r="AH53" s="22">
        <v>19.1616</v>
      </c>
      <c r="AI53" s="22">
        <v>-1.34155E-2</v>
      </c>
      <c r="AJ53" s="22">
        <v>43</v>
      </c>
      <c r="AK53" s="22">
        <v>0.11615</v>
      </c>
      <c r="AL53">
        <f t="shared" si="6"/>
        <v>16.562345679012346</v>
      </c>
      <c r="AM53">
        <f t="shared" si="7"/>
        <v>1.9307885722222222</v>
      </c>
      <c r="AP53" s="9"/>
      <c r="AQ53" s="22">
        <v>1.50345</v>
      </c>
      <c r="AR53" s="22">
        <v>24.497800000000002</v>
      </c>
      <c r="AS53" s="22">
        <v>-7.7667200000000004E-3</v>
      </c>
      <c r="AT53" s="22">
        <v>43</v>
      </c>
      <c r="AU53" s="22">
        <v>1.50238</v>
      </c>
      <c r="AV53">
        <f t="shared" si="8"/>
        <v>9.5885432098765424</v>
      </c>
      <c r="AW53">
        <f t="shared" si="9"/>
        <v>14.415895288888887</v>
      </c>
      <c r="AX53" s="9"/>
      <c r="AY53" s="22">
        <v>0.116577</v>
      </c>
      <c r="AZ53" s="22">
        <v>28.155899999999999</v>
      </c>
      <c r="BA53" s="22">
        <v>-1.34552E-2</v>
      </c>
      <c r="BB53" s="22">
        <v>43</v>
      </c>
      <c r="BC53" s="22">
        <v>0.11602800000000001</v>
      </c>
      <c r="BD53">
        <f t="shared" si="10"/>
        <v>16.611358024691356</v>
      </c>
      <c r="BE53">
        <f t="shared" si="11"/>
        <v>1.9365022844444442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6.5034599999999996</v>
      </c>
      <c r="I54" s="22">
        <v>-7.6873799999999997E-3</v>
      </c>
      <c r="J54" s="22">
        <v>44</v>
      </c>
      <c r="K54" s="22">
        <v>1.4968900000000001</v>
      </c>
      <c r="L54">
        <f t="shared" si="0"/>
        <v>9.4905925925925914</v>
      </c>
      <c r="M54">
        <f t="shared" si="1"/>
        <v>14.220798846666664</v>
      </c>
      <c r="N54" s="9"/>
      <c r="O54" s="22">
        <v>0.121613</v>
      </c>
      <c r="P54" s="22">
        <v>10.1615</v>
      </c>
      <c r="Q54" s="22">
        <v>-1.32233E-2</v>
      </c>
      <c r="R54" s="22">
        <v>44</v>
      </c>
      <c r="S54" s="22">
        <v>0.12109399999999999</v>
      </c>
      <c r="T54">
        <f t="shared" si="2"/>
        <v>16.32506172839506</v>
      </c>
      <c r="U54">
        <f t="shared" si="3"/>
        <v>1.9853397319753083</v>
      </c>
      <c r="X54" s="9"/>
      <c r="Y54" s="22">
        <v>1.49841</v>
      </c>
      <c r="Z54" s="22">
        <v>15.5137</v>
      </c>
      <c r="AA54" s="22">
        <v>-7.9223599999999998E-3</v>
      </c>
      <c r="AB54" s="22">
        <v>44</v>
      </c>
      <c r="AC54" s="22">
        <v>1.4975000000000001</v>
      </c>
      <c r="AD54">
        <f t="shared" si="4"/>
        <v>9.7806913580246917</v>
      </c>
      <c r="AE54">
        <f t="shared" si="5"/>
        <v>14.655485737777779</v>
      </c>
      <c r="AF54" s="9"/>
      <c r="AG54" s="22">
        <v>0.121613</v>
      </c>
      <c r="AH54" s="22">
        <v>19.171700000000001</v>
      </c>
      <c r="AI54" s="22">
        <v>-1.3406400000000001E-2</v>
      </c>
      <c r="AJ54" s="22">
        <v>44</v>
      </c>
      <c r="AK54" s="22">
        <v>0.121124</v>
      </c>
      <c r="AL54">
        <f t="shared" si="6"/>
        <v>16.551111111111108</v>
      </c>
      <c r="AM54">
        <f t="shared" si="7"/>
        <v>2.0128302755555554</v>
      </c>
      <c r="AP54" s="9"/>
      <c r="AQ54" s="22">
        <v>1.49841</v>
      </c>
      <c r="AR54" s="22">
        <v>24.507899999999999</v>
      </c>
      <c r="AS54" s="22">
        <v>-7.9071000000000002E-3</v>
      </c>
      <c r="AT54" s="22">
        <v>44</v>
      </c>
      <c r="AU54" s="22">
        <v>1.4975000000000001</v>
      </c>
      <c r="AV54">
        <f t="shared" si="8"/>
        <v>9.7618518518518513</v>
      </c>
      <c r="AW54">
        <f t="shared" si="9"/>
        <v>14.627256433333333</v>
      </c>
      <c r="AX54" s="9"/>
      <c r="AY54" s="22">
        <v>0.121613</v>
      </c>
      <c r="AZ54" s="22">
        <v>28.165900000000001</v>
      </c>
      <c r="BA54" s="22">
        <v>-1.3458299999999999E-2</v>
      </c>
      <c r="BB54" s="22">
        <v>44</v>
      </c>
      <c r="BC54" s="22">
        <v>0.121124</v>
      </c>
      <c r="BD54">
        <f t="shared" si="10"/>
        <v>16.615185185185183</v>
      </c>
      <c r="BE54">
        <f t="shared" si="11"/>
        <v>2.0206225159259255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6.5135300000000003</v>
      </c>
      <c r="I55" s="22">
        <v>-7.8033399999999998E-3</v>
      </c>
      <c r="J55" s="22">
        <v>45</v>
      </c>
      <c r="K55" s="22">
        <v>1.49261</v>
      </c>
      <c r="L55">
        <f t="shared" si="0"/>
        <v>9.6337530864197518</v>
      </c>
      <c r="M55">
        <f t="shared" si="1"/>
        <v>14.386854184197528</v>
      </c>
      <c r="N55" s="9"/>
      <c r="O55" s="22">
        <v>0.12664800000000001</v>
      </c>
      <c r="P55" s="22">
        <v>10.1716</v>
      </c>
      <c r="Q55" s="22">
        <v>-1.3205E-2</v>
      </c>
      <c r="R55" s="22">
        <v>45</v>
      </c>
      <c r="S55" s="22">
        <v>0.12615999999999999</v>
      </c>
      <c r="T55">
        <f t="shared" si="2"/>
        <v>16.302469135802468</v>
      </c>
      <c r="U55">
        <f t="shared" si="3"/>
        <v>2.0646751111111112</v>
      </c>
      <c r="X55" s="9"/>
      <c r="Y55" s="22">
        <v>1.4933799999999999</v>
      </c>
      <c r="Z55" s="22">
        <v>15.5237</v>
      </c>
      <c r="AA55" s="22">
        <v>-8.0535899999999994E-3</v>
      </c>
      <c r="AB55" s="22">
        <v>45</v>
      </c>
      <c r="AC55" s="22">
        <v>1.49292</v>
      </c>
      <c r="AD55">
        <f t="shared" si="4"/>
        <v>9.9427037037037014</v>
      </c>
      <c r="AE55">
        <f t="shared" si="5"/>
        <v>14.848234857037033</v>
      </c>
      <c r="AF55" s="9"/>
      <c r="AG55" s="22">
        <v>0.12664800000000001</v>
      </c>
      <c r="AH55" s="22">
        <v>19.181799999999999</v>
      </c>
      <c r="AI55" s="22">
        <v>-1.34003E-2</v>
      </c>
      <c r="AJ55" s="22">
        <v>45</v>
      </c>
      <c r="AK55" s="22">
        <v>0.12619</v>
      </c>
      <c r="AL55">
        <f t="shared" si="6"/>
        <v>16.543580246913578</v>
      </c>
      <c r="AM55">
        <f t="shared" si="7"/>
        <v>2.0952113511111108</v>
      </c>
      <c r="AP55" s="9"/>
      <c r="AQ55" s="22">
        <v>1.4933799999999999</v>
      </c>
      <c r="AR55" s="22">
        <v>24.518000000000001</v>
      </c>
      <c r="AS55" s="22">
        <v>-8.0505400000000001E-3</v>
      </c>
      <c r="AT55" s="22">
        <v>45</v>
      </c>
      <c r="AU55" s="22">
        <v>1.49261</v>
      </c>
      <c r="AV55">
        <f t="shared" si="8"/>
        <v>9.9389382716049379</v>
      </c>
      <c r="AW55">
        <f t="shared" si="9"/>
        <v>14.842611636049382</v>
      </c>
      <c r="AX55" s="9"/>
      <c r="AY55" s="22">
        <v>0.12664800000000001</v>
      </c>
      <c r="AZ55" s="22">
        <v>28.175999999999998</v>
      </c>
      <c r="BA55" s="22">
        <v>-1.34705E-2</v>
      </c>
      <c r="BB55" s="22">
        <v>45</v>
      </c>
      <c r="BC55" s="22">
        <v>0.12615999999999999</v>
      </c>
      <c r="BD55">
        <f t="shared" si="10"/>
        <v>16.630246913580244</v>
      </c>
      <c r="BE55">
        <f t="shared" si="11"/>
        <v>2.106187511111111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6.5236000000000001</v>
      </c>
      <c r="I56" s="22">
        <v>-7.9254200000000007E-3</v>
      </c>
      <c r="J56" s="22">
        <v>46</v>
      </c>
      <c r="K56" s="22">
        <v>1.48712</v>
      </c>
      <c r="L56">
        <f t="shared" si="0"/>
        <v>9.7844691358024694</v>
      </c>
      <c r="M56">
        <f t="shared" si="1"/>
        <v>14.562616793580247</v>
      </c>
      <c r="N56" s="9"/>
      <c r="O56" s="22">
        <v>0.13168299999999999</v>
      </c>
      <c r="P56" s="22">
        <v>10.181699999999999</v>
      </c>
      <c r="Q56" s="22">
        <v>-1.31927E-2</v>
      </c>
      <c r="R56" s="22">
        <v>46</v>
      </c>
      <c r="S56" s="22">
        <v>0.13128699999999999</v>
      </c>
      <c r="T56">
        <f t="shared" si="2"/>
        <v>16.287283950617283</v>
      </c>
      <c r="U56">
        <f t="shared" si="3"/>
        <v>2.1447584124691357</v>
      </c>
      <c r="X56" s="9"/>
      <c r="Y56" s="22">
        <v>1.48834</v>
      </c>
      <c r="Z56" s="22">
        <v>15.533799999999999</v>
      </c>
      <c r="AA56" s="22">
        <v>-8.1817599999999997E-3</v>
      </c>
      <c r="AB56" s="22">
        <v>46</v>
      </c>
      <c r="AC56" s="22">
        <v>1.48712</v>
      </c>
      <c r="AD56">
        <f t="shared" si="4"/>
        <v>10.100938271604937</v>
      </c>
      <c r="AE56">
        <f t="shared" si="5"/>
        <v>15.033630467160492</v>
      </c>
      <c r="AF56" s="9"/>
      <c r="AG56" s="22">
        <v>0.13168299999999999</v>
      </c>
      <c r="AH56" s="22">
        <v>19.1919</v>
      </c>
      <c r="AI56" s="22">
        <v>-1.3384999999999999E-2</v>
      </c>
      <c r="AJ56" s="22">
        <v>46</v>
      </c>
      <c r="AK56" s="22">
        <v>0.13125600000000001</v>
      </c>
      <c r="AL56">
        <f t="shared" si="6"/>
        <v>16.52469135802469</v>
      </c>
      <c r="AM56">
        <f t="shared" si="7"/>
        <v>2.1760209320987651</v>
      </c>
      <c r="AP56" s="9"/>
      <c r="AQ56" s="22">
        <v>1.48834</v>
      </c>
      <c r="AR56" s="22">
        <v>24.527999999999999</v>
      </c>
      <c r="AS56" s="22">
        <v>-8.1787100000000005E-3</v>
      </c>
      <c r="AT56" s="22">
        <v>46</v>
      </c>
      <c r="AU56" s="22">
        <v>1.48712</v>
      </c>
      <c r="AV56">
        <f t="shared" si="8"/>
        <v>10.097172839506174</v>
      </c>
      <c r="AW56">
        <f t="shared" si="9"/>
        <v>15.028026223950619</v>
      </c>
      <c r="AX56" s="9"/>
      <c r="AY56" s="22">
        <v>0.13168299999999999</v>
      </c>
      <c r="AZ56" s="22">
        <v>28.1861</v>
      </c>
      <c r="BA56" s="22">
        <v>-1.3467399999999999E-2</v>
      </c>
      <c r="BB56" s="22">
        <v>46</v>
      </c>
      <c r="BC56" s="22">
        <v>0.13125600000000001</v>
      </c>
      <c r="BD56">
        <f t="shared" si="10"/>
        <v>16.626419753086417</v>
      </c>
      <c r="BE56">
        <f t="shared" si="11"/>
        <v>2.1894168323456786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6.5336800000000004</v>
      </c>
      <c r="I57" s="22">
        <v>-8.0413800000000007E-3</v>
      </c>
      <c r="J57" s="22">
        <v>47</v>
      </c>
      <c r="K57" s="22">
        <v>1.48224</v>
      </c>
      <c r="L57">
        <f t="shared" si="0"/>
        <v>9.9276296296296298</v>
      </c>
      <c r="M57">
        <f t="shared" si="1"/>
        <v>14.725752305925925</v>
      </c>
      <c r="N57" s="9"/>
      <c r="O57" s="22">
        <v>0.13671900000000001</v>
      </c>
      <c r="P57" s="22">
        <v>10.191700000000001</v>
      </c>
      <c r="Q57" s="22">
        <v>-1.31866E-2</v>
      </c>
      <c r="R57" s="22">
        <v>47</v>
      </c>
      <c r="S57" s="22">
        <v>0.13626099999999999</v>
      </c>
      <c r="T57">
        <f t="shared" si="2"/>
        <v>16.279753086419749</v>
      </c>
      <c r="U57">
        <f t="shared" si="3"/>
        <v>2.2257515622222219</v>
      </c>
      <c r="X57" s="9"/>
      <c r="Y57" s="22">
        <v>1.4833099999999999</v>
      </c>
      <c r="Z57" s="22">
        <v>15.543900000000001</v>
      </c>
      <c r="AA57" s="22">
        <v>-8.3129899999999993E-3</v>
      </c>
      <c r="AB57" s="22">
        <v>47</v>
      </c>
      <c r="AC57" s="22">
        <v>1.48254</v>
      </c>
      <c r="AD57">
        <f t="shared" si="4"/>
        <v>10.26295061728395</v>
      </c>
      <c r="AE57">
        <f t="shared" si="5"/>
        <v>15.223137280123455</v>
      </c>
      <c r="AF57" s="9"/>
      <c r="AG57" s="22">
        <v>0.13671900000000001</v>
      </c>
      <c r="AH57" s="22">
        <v>19.201899999999998</v>
      </c>
      <c r="AI57" s="22">
        <v>-1.3378900000000001E-2</v>
      </c>
      <c r="AJ57" s="22">
        <v>47</v>
      </c>
      <c r="AK57" s="22">
        <v>0.13622999999999999</v>
      </c>
      <c r="AL57">
        <f t="shared" si="6"/>
        <v>16.517160493827159</v>
      </c>
      <c r="AM57">
        <f t="shared" si="7"/>
        <v>2.2582096655555555</v>
      </c>
      <c r="AP57" s="9"/>
      <c r="AQ57" s="22">
        <v>1.4833099999999999</v>
      </c>
      <c r="AR57" s="22">
        <v>24.5381</v>
      </c>
      <c r="AS57" s="22">
        <v>-8.3160400000000002E-3</v>
      </c>
      <c r="AT57" s="22">
        <v>47</v>
      </c>
      <c r="AU57" s="22">
        <v>1.48254</v>
      </c>
      <c r="AV57">
        <f t="shared" si="8"/>
        <v>10.266716049382715</v>
      </c>
      <c r="AW57">
        <f t="shared" si="9"/>
        <v>15.228722583209874</v>
      </c>
      <c r="AX57" s="9"/>
      <c r="AY57" s="22">
        <v>0.13671900000000001</v>
      </c>
      <c r="AZ57" s="22">
        <v>28.196200000000001</v>
      </c>
      <c r="BA57" s="22">
        <v>-1.3461300000000001E-2</v>
      </c>
      <c r="BB57" s="22">
        <v>47</v>
      </c>
      <c r="BC57" s="22">
        <v>0.136292</v>
      </c>
      <c r="BD57">
        <f t="shared" si="10"/>
        <v>16.618888888888886</v>
      </c>
      <c r="BE57">
        <f t="shared" si="11"/>
        <v>2.2721178699999998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6.5437500000000002</v>
      </c>
      <c r="I58" s="22">
        <v>-8.1603999999999999E-3</v>
      </c>
      <c r="J58" s="22">
        <v>48</v>
      </c>
      <c r="K58" s="22">
        <v>1.47736</v>
      </c>
      <c r="L58">
        <f t="shared" si="0"/>
        <v>10.074567901234568</v>
      </c>
      <c r="M58">
        <f t="shared" si="1"/>
        <v>14.892931491358025</v>
      </c>
      <c r="N58" s="9"/>
      <c r="O58" s="22">
        <v>0.14175399999999999</v>
      </c>
      <c r="P58" s="22">
        <v>10.2018</v>
      </c>
      <c r="Q58" s="22">
        <v>-1.31866E-2</v>
      </c>
      <c r="R58" s="22">
        <v>48</v>
      </c>
      <c r="S58" s="22">
        <v>0.141205</v>
      </c>
      <c r="T58">
        <f t="shared" si="2"/>
        <v>16.279753086419749</v>
      </c>
      <c r="U58">
        <f t="shared" si="3"/>
        <v>2.3077201190123451</v>
      </c>
      <c r="X58" s="9"/>
      <c r="Y58" s="22">
        <v>1.47827</v>
      </c>
      <c r="Z58" s="22">
        <v>15.554</v>
      </c>
      <c r="AA58" s="22">
        <v>-8.4411599999999996E-3</v>
      </c>
      <c r="AB58" s="22">
        <v>48</v>
      </c>
      <c r="AC58" s="22">
        <v>1.47736</v>
      </c>
      <c r="AD58">
        <f t="shared" si="4"/>
        <v>10.421185185185184</v>
      </c>
      <c r="AE58">
        <f t="shared" si="5"/>
        <v>15.405325423703701</v>
      </c>
      <c r="AF58" s="9"/>
      <c r="AG58" s="22">
        <v>0.14175399999999999</v>
      </c>
      <c r="AH58" s="22">
        <v>19.212</v>
      </c>
      <c r="AI58" s="22">
        <v>-1.33667E-2</v>
      </c>
      <c r="AJ58" s="22">
        <v>48</v>
      </c>
      <c r="AK58" s="22">
        <v>0.141235</v>
      </c>
      <c r="AL58">
        <f t="shared" si="6"/>
        <v>16.502098765432098</v>
      </c>
      <c r="AM58">
        <f t="shared" si="7"/>
        <v>2.3392385083950615</v>
      </c>
      <c r="AP58" s="9"/>
      <c r="AQ58" s="22">
        <v>1.47827</v>
      </c>
      <c r="AR58" s="22">
        <v>24.548200000000001</v>
      </c>
      <c r="AS58" s="22">
        <v>-8.4381100000000004E-3</v>
      </c>
      <c r="AT58" s="22">
        <v>48</v>
      </c>
      <c r="AU58" s="22">
        <v>1.47736</v>
      </c>
      <c r="AV58">
        <f t="shared" si="8"/>
        <v>10.417419753086421</v>
      </c>
      <c r="AW58">
        <f t="shared" si="9"/>
        <v>15.399759098395062</v>
      </c>
      <c r="AX58" s="9"/>
      <c r="AY58" s="22">
        <v>0.14175399999999999</v>
      </c>
      <c r="AZ58" s="22">
        <v>28.206199999999999</v>
      </c>
      <c r="BA58" s="22">
        <v>-1.34552E-2</v>
      </c>
      <c r="BB58" s="22">
        <v>48</v>
      </c>
      <c r="BC58" s="22">
        <v>0.141205</v>
      </c>
      <c r="BD58">
        <f t="shared" si="10"/>
        <v>16.611358024691356</v>
      </c>
      <c r="BE58">
        <f t="shared" si="11"/>
        <v>2.3547264454320982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6.55382</v>
      </c>
      <c r="I59" s="22">
        <v>-8.2702599999999998E-3</v>
      </c>
      <c r="J59" s="22">
        <v>49</v>
      </c>
      <c r="K59" s="22">
        <v>1.4724699999999999</v>
      </c>
      <c r="L59">
        <f t="shared" si="0"/>
        <v>10.210197530864198</v>
      </c>
      <c r="M59">
        <f t="shared" si="1"/>
        <v>15.042071410370372</v>
      </c>
      <c r="N59" s="9"/>
      <c r="O59" s="22">
        <v>0.14679</v>
      </c>
      <c r="P59" s="22">
        <v>10.2119</v>
      </c>
      <c r="Q59" s="22">
        <v>-1.31805E-2</v>
      </c>
      <c r="R59" s="22">
        <v>49</v>
      </c>
      <c r="S59" s="22">
        <v>0.14627100000000001</v>
      </c>
      <c r="T59">
        <f t="shared" si="2"/>
        <v>16.272222222222219</v>
      </c>
      <c r="U59">
        <f t="shared" si="3"/>
        <v>2.3885994999999993</v>
      </c>
      <c r="X59" s="9"/>
      <c r="Y59" s="22">
        <v>1.4732400000000001</v>
      </c>
      <c r="Z59" s="22">
        <v>15.564</v>
      </c>
      <c r="AA59" s="22">
        <v>-8.5693399999999999E-3</v>
      </c>
      <c r="AB59" s="22">
        <v>49</v>
      </c>
      <c r="AC59" s="22">
        <v>1.4718599999999999</v>
      </c>
      <c r="AD59">
        <f t="shared" si="4"/>
        <v>10.579432098765432</v>
      </c>
      <c r="AE59">
        <f t="shared" si="5"/>
        <v>15.586042545185187</v>
      </c>
      <c r="AF59" s="9"/>
      <c r="AG59" s="22">
        <v>0.14679</v>
      </c>
      <c r="AH59" s="22">
        <v>19.222100000000001</v>
      </c>
      <c r="AI59" s="22">
        <v>-1.33667E-2</v>
      </c>
      <c r="AJ59" s="22">
        <v>49</v>
      </c>
      <c r="AK59" s="22">
        <v>0.14624000000000001</v>
      </c>
      <c r="AL59">
        <f t="shared" si="6"/>
        <v>16.502098765432098</v>
      </c>
      <c r="AM59">
        <f t="shared" si="7"/>
        <v>2.4223430777777777</v>
      </c>
      <c r="AP59" s="9"/>
      <c r="AQ59" s="22">
        <v>1.4732400000000001</v>
      </c>
      <c r="AR59" s="22">
        <v>24.558199999999999</v>
      </c>
      <c r="AS59" s="22">
        <v>-8.5662800000000008E-3</v>
      </c>
      <c r="AT59" s="22">
        <v>49</v>
      </c>
      <c r="AU59" s="22">
        <v>1.47278</v>
      </c>
      <c r="AV59">
        <f t="shared" si="8"/>
        <v>10.575654320987654</v>
      </c>
      <c r="AW59">
        <f t="shared" si="9"/>
        <v>15.580476971851853</v>
      </c>
      <c r="AX59" s="9"/>
      <c r="AY59" s="22">
        <v>0.14679</v>
      </c>
      <c r="AZ59" s="22">
        <v>28.2163</v>
      </c>
      <c r="BA59" s="22">
        <v>-1.3439899999999999E-2</v>
      </c>
      <c r="BB59" s="22">
        <v>49</v>
      </c>
      <c r="BC59" s="22">
        <v>0.14636199999999999</v>
      </c>
      <c r="BD59">
        <f t="shared" si="10"/>
        <v>16.592469135802467</v>
      </c>
      <c r="BE59">
        <f t="shared" si="11"/>
        <v>2.4356085444444444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6.5638899999999998</v>
      </c>
      <c r="I60" s="22">
        <v>-8.3770800000000003E-3</v>
      </c>
      <c r="J60" s="22">
        <v>50</v>
      </c>
      <c r="K60" s="22">
        <v>1.46698</v>
      </c>
      <c r="L60">
        <f t="shared" si="0"/>
        <v>10.342074074074073</v>
      </c>
      <c r="M60">
        <f t="shared" si="1"/>
        <v>15.184233155555553</v>
      </c>
      <c r="N60" s="9"/>
      <c r="O60" s="22">
        <v>0.15182499999999999</v>
      </c>
      <c r="P60" s="22">
        <v>10.2219</v>
      </c>
      <c r="Q60" s="22">
        <v>-1.31866E-2</v>
      </c>
      <c r="R60" s="22">
        <v>50</v>
      </c>
      <c r="S60" s="22">
        <v>0.151306</v>
      </c>
      <c r="T60">
        <f t="shared" si="2"/>
        <v>16.279753086419749</v>
      </c>
      <c r="U60">
        <f t="shared" si="3"/>
        <v>2.4716735123456783</v>
      </c>
      <c r="X60" s="9"/>
      <c r="Y60" s="22">
        <v>1.4681999999999999</v>
      </c>
      <c r="Z60" s="22">
        <v>15.5741</v>
      </c>
      <c r="AA60" s="22">
        <v>-8.6883499999999992E-3</v>
      </c>
      <c r="AB60" s="22">
        <v>50</v>
      </c>
      <c r="AC60" s="22">
        <v>1.46729</v>
      </c>
      <c r="AD60">
        <f t="shared" si="4"/>
        <v>10.726358024691356</v>
      </c>
      <c r="AE60">
        <f t="shared" si="5"/>
        <v>15.748438851851848</v>
      </c>
      <c r="AF60" s="9"/>
      <c r="AG60" s="22">
        <v>0.15182499999999999</v>
      </c>
      <c r="AH60" s="22">
        <v>19.232099999999999</v>
      </c>
      <c r="AI60" s="22">
        <v>-1.33575E-2</v>
      </c>
      <c r="AJ60" s="22">
        <v>50</v>
      </c>
      <c r="AK60" s="22">
        <v>0.151337</v>
      </c>
      <c r="AL60">
        <f t="shared" si="6"/>
        <v>16.49074074074074</v>
      </c>
      <c r="AM60">
        <f t="shared" si="7"/>
        <v>2.5037067129629627</v>
      </c>
      <c r="AP60" s="9"/>
      <c r="AQ60" s="22">
        <v>1.4681999999999999</v>
      </c>
      <c r="AR60" s="22">
        <v>24.568300000000001</v>
      </c>
      <c r="AS60" s="22">
        <v>-8.6914100000000001E-3</v>
      </c>
      <c r="AT60" s="22">
        <v>50</v>
      </c>
      <c r="AU60" s="22">
        <v>1.46698</v>
      </c>
      <c r="AV60">
        <f t="shared" si="8"/>
        <v>10.730135802469135</v>
      </c>
      <c r="AW60">
        <f t="shared" si="9"/>
        <v>15.753985385185183</v>
      </c>
      <c r="AX60" s="9"/>
      <c r="AY60" s="22">
        <v>0.15182499999999999</v>
      </c>
      <c r="AZ60" s="22">
        <v>28.226400000000002</v>
      </c>
      <c r="BA60" s="22">
        <v>-1.3433799999999999E-2</v>
      </c>
      <c r="BB60" s="22">
        <v>50</v>
      </c>
      <c r="BC60" s="22">
        <v>0.151306</v>
      </c>
      <c r="BD60">
        <f t="shared" si="10"/>
        <v>16.584938271604937</v>
      </c>
      <c r="BE60">
        <f t="shared" si="11"/>
        <v>2.5180082530864194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6.5739599999999996</v>
      </c>
      <c r="I61" s="22">
        <v>-8.48083E-3</v>
      </c>
      <c r="J61" s="22">
        <v>51</v>
      </c>
      <c r="K61" s="22">
        <v>1.4623999999999999</v>
      </c>
      <c r="L61">
        <f t="shared" si="0"/>
        <v>10.470160493827159</v>
      </c>
      <c r="M61">
        <f t="shared" si="1"/>
        <v>15.319624729753084</v>
      </c>
      <c r="N61" s="9"/>
      <c r="O61" s="22">
        <v>0.15686</v>
      </c>
      <c r="P61" s="22">
        <v>10.231999999999999</v>
      </c>
      <c r="Q61" s="22">
        <v>-1.31897E-2</v>
      </c>
      <c r="R61" s="22">
        <v>51</v>
      </c>
      <c r="S61" s="22">
        <v>0.15634200000000001</v>
      </c>
      <c r="T61">
        <f t="shared" si="2"/>
        <v>16.28358024691358</v>
      </c>
      <c r="U61">
        <f t="shared" si="3"/>
        <v>2.5542423975308641</v>
      </c>
      <c r="X61" s="9"/>
      <c r="Y61" s="22">
        <v>1.4631700000000001</v>
      </c>
      <c r="Z61" s="22">
        <v>15.584199999999999</v>
      </c>
      <c r="AA61" s="22">
        <v>-8.8073700000000001E-3</v>
      </c>
      <c r="AB61" s="22">
        <v>51</v>
      </c>
      <c r="AC61" s="22">
        <v>1.4621</v>
      </c>
      <c r="AD61">
        <f t="shared" si="4"/>
        <v>10.873296296296296</v>
      </c>
      <c r="AE61">
        <f t="shared" si="5"/>
        <v>15.909480941851852</v>
      </c>
      <c r="AF61" s="9"/>
      <c r="AG61" s="22">
        <v>0.15686</v>
      </c>
      <c r="AH61" s="22">
        <v>19.2422</v>
      </c>
      <c r="AI61" s="22">
        <v>-1.33545E-2</v>
      </c>
      <c r="AJ61" s="22">
        <v>51</v>
      </c>
      <c r="AK61" s="22">
        <v>0.15637200000000001</v>
      </c>
      <c r="AL61">
        <f t="shared" si="6"/>
        <v>16.487037037037037</v>
      </c>
      <c r="AM61">
        <f t="shared" si="7"/>
        <v>2.5861566296296297</v>
      </c>
      <c r="AP61" s="9"/>
      <c r="AQ61" s="22">
        <v>1.4631700000000001</v>
      </c>
      <c r="AR61" s="22">
        <v>24.578399999999998</v>
      </c>
      <c r="AS61" s="22">
        <v>-8.8195800000000005E-3</v>
      </c>
      <c r="AT61" s="22">
        <v>51</v>
      </c>
      <c r="AU61" s="22">
        <v>1.4621</v>
      </c>
      <c r="AV61">
        <f t="shared" si="8"/>
        <v>10.888370370370369</v>
      </c>
      <c r="AW61">
        <f t="shared" si="9"/>
        <v>15.931536874814814</v>
      </c>
      <c r="AX61" s="9"/>
      <c r="AY61" s="22">
        <v>0.15686</v>
      </c>
      <c r="AZ61" s="22">
        <v>28.2364</v>
      </c>
      <c r="BA61" s="22">
        <v>-1.3439899999999999E-2</v>
      </c>
      <c r="BB61" s="22">
        <v>51</v>
      </c>
      <c r="BC61" s="22">
        <v>0.15640299999999999</v>
      </c>
      <c r="BD61">
        <f t="shared" si="10"/>
        <v>16.592469135802467</v>
      </c>
      <c r="BE61">
        <f t="shared" si="11"/>
        <v>2.6026947086419749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6.5840300000000003</v>
      </c>
      <c r="I62" s="22">
        <v>-8.5876500000000005E-3</v>
      </c>
      <c r="J62" s="22">
        <v>52</v>
      </c>
      <c r="K62" s="22">
        <v>1.4575199999999999</v>
      </c>
      <c r="L62">
        <f t="shared" si="0"/>
        <v>10.602037037037036</v>
      </c>
      <c r="M62">
        <f t="shared" si="1"/>
        <v>15.459148264814813</v>
      </c>
      <c r="N62" s="9"/>
      <c r="O62" s="22">
        <v>0.16189600000000001</v>
      </c>
      <c r="P62" s="22">
        <v>10.242100000000001</v>
      </c>
      <c r="Q62" s="22">
        <v>-1.31836E-2</v>
      </c>
      <c r="R62" s="22">
        <v>52</v>
      </c>
      <c r="S62" s="22">
        <v>0.16137699999999999</v>
      </c>
      <c r="T62">
        <f t="shared" si="2"/>
        <v>16.276049382716046</v>
      </c>
      <c r="U62">
        <f t="shared" si="3"/>
        <v>2.6350272908641972</v>
      </c>
      <c r="X62" s="9"/>
      <c r="Y62" s="22">
        <v>1.4581299999999999</v>
      </c>
      <c r="Z62" s="22">
        <v>15.594200000000001</v>
      </c>
      <c r="AA62" s="22">
        <v>-8.9233400000000001E-3</v>
      </c>
      <c r="AB62" s="22">
        <v>52</v>
      </c>
      <c r="AC62" s="22">
        <v>1.4575199999999999</v>
      </c>
      <c r="AD62">
        <f t="shared" si="4"/>
        <v>11.016469135802469</v>
      </c>
      <c r="AE62">
        <f t="shared" si="5"/>
        <v>16.063444140987652</v>
      </c>
      <c r="AF62" s="9"/>
      <c r="AG62" s="22">
        <v>0.16189600000000001</v>
      </c>
      <c r="AH62" s="22">
        <v>19.252300000000002</v>
      </c>
      <c r="AI62" s="22">
        <v>-1.33575E-2</v>
      </c>
      <c r="AJ62" s="22">
        <v>52</v>
      </c>
      <c r="AK62" s="22">
        <v>0.16137699999999999</v>
      </c>
      <c r="AL62">
        <f t="shared" si="6"/>
        <v>16.49074074074074</v>
      </c>
      <c r="AM62">
        <f t="shared" si="7"/>
        <v>2.6697849629629631</v>
      </c>
      <c r="AP62" s="9"/>
      <c r="AQ62" s="22">
        <v>1.4581299999999999</v>
      </c>
      <c r="AR62" s="22">
        <v>24.5885</v>
      </c>
      <c r="AS62" s="22">
        <v>-8.9355500000000004E-3</v>
      </c>
      <c r="AT62" s="22">
        <v>52</v>
      </c>
      <c r="AU62" s="22">
        <v>1.4575199999999999</v>
      </c>
      <c r="AV62">
        <f t="shared" si="8"/>
        <v>11.031543209876542</v>
      </c>
      <c r="AW62">
        <f t="shared" si="9"/>
        <v>16.085424100617281</v>
      </c>
      <c r="AX62" s="9"/>
      <c r="AY62" s="22">
        <v>0.16189600000000001</v>
      </c>
      <c r="AZ62" s="22">
        <v>28.246500000000001</v>
      </c>
      <c r="BA62" s="22">
        <v>-1.3439899999999999E-2</v>
      </c>
      <c r="BB62" s="22">
        <v>52</v>
      </c>
      <c r="BC62" s="22">
        <v>0.16134599999999999</v>
      </c>
      <c r="BD62">
        <f t="shared" si="10"/>
        <v>16.592469135802467</v>
      </c>
      <c r="BE62">
        <f t="shared" si="11"/>
        <v>2.6862543832098766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6.5941000000000001</v>
      </c>
      <c r="I63" s="22">
        <v>-8.6822500000000007E-3</v>
      </c>
      <c r="J63" s="22">
        <v>53</v>
      </c>
      <c r="K63" s="22">
        <v>1.4523299999999999</v>
      </c>
      <c r="L63">
        <f t="shared" si="0"/>
        <v>10.718827160493827</v>
      </c>
      <c r="M63">
        <f t="shared" si="1"/>
        <v>15.575420558641975</v>
      </c>
      <c r="N63" s="9"/>
      <c r="O63" s="22">
        <v>0.166931</v>
      </c>
      <c r="P63" s="22">
        <v>10.2522</v>
      </c>
      <c r="Q63" s="22">
        <v>-1.31836E-2</v>
      </c>
      <c r="R63" s="22">
        <v>53</v>
      </c>
      <c r="S63" s="22">
        <v>0.16644300000000001</v>
      </c>
      <c r="T63">
        <f t="shared" si="2"/>
        <v>16.276049382716046</v>
      </c>
      <c r="U63">
        <f t="shared" si="3"/>
        <v>2.716977199506172</v>
      </c>
      <c r="X63" s="9"/>
      <c r="Y63" s="22">
        <v>1.45309</v>
      </c>
      <c r="Z63" s="22">
        <v>15.6043</v>
      </c>
      <c r="AA63" s="22">
        <v>-9.0393100000000001E-3</v>
      </c>
      <c r="AB63" s="22">
        <v>53</v>
      </c>
      <c r="AC63" s="22">
        <v>1.4526399999999999</v>
      </c>
      <c r="AD63">
        <f t="shared" si="4"/>
        <v>11.159641975308642</v>
      </c>
      <c r="AE63">
        <f t="shared" si="5"/>
        <v>16.215964157901233</v>
      </c>
      <c r="AF63" s="9"/>
      <c r="AG63" s="22">
        <v>0.166931</v>
      </c>
      <c r="AH63" s="22">
        <v>19.2624</v>
      </c>
      <c r="AI63" s="22">
        <v>-1.33606E-2</v>
      </c>
      <c r="AJ63" s="22">
        <v>53</v>
      </c>
      <c r="AK63" s="22">
        <v>0.166412</v>
      </c>
      <c r="AL63">
        <f t="shared" si="6"/>
        <v>16.494567901234568</v>
      </c>
      <c r="AM63">
        <f t="shared" si="7"/>
        <v>2.7534547143209878</v>
      </c>
      <c r="AP63" s="9"/>
      <c r="AQ63" s="22">
        <v>1.45309</v>
      </c>
      <c r="AR63" s="22">
        <v>24.598500000000001</v>
      </c>
      <c r="AS63" s="22">
        <v>-9.0515100000000005E-3</v>
      </c>
      <c r="AT63" s="22">
        <v>53</v>
      </c>
      <c r="AU63" s="22">
        <v>1.4523299999999999</v>
      </c>
      <c r="AV63">
        <f t="shared" si="8"/>
        <v>11.174703703703704</v>
      </c>
      <c r="AW63">
        <f t="shared" si="9"/>
        <v>16.237850204814816</v>
      </c>
      <c r="AX63" s="9"/>
      <c r="AY63" s="22">
        <v>0.166931</v>
      </c>
      <c r="AZ63" s="22">
        <v>28.256599999999999</v>
      </c>
      <c r="BA63" s="22">
        <v>-1.3439899999999999E-2</v>
      </c>
      <c r="BB63" s="22">
        <v>53</v>
      </c>
      <c r="BC63" s="22">
        <v>0.166351</v>
      </c>
      <c r="BD63">
        <f t="shared" si="10"/>
        <v>16.592469135802467</v>
      </c>
      <c r="BE63">
        <f t="shared" si="11"/>
        <v>2.7697974653086415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6.6041699999999999</v>
      </c>
      <c r="I64" s="22">
        <v>-8.7829599999999994E-3</v>
      </c>
      <c r="J64" s="22">
        <v>54</v>
      </c>
      <c r="K64" s="22">
        <v>1.4474499999999999</v>
      </c>
      <c r="L64">
        <f t="shared" si="0"/>
        <v>10.84316049382716</v>
      </c>
      <c r="M64">
        <f t="shared" si="1"/>
        <v>15.701546984691356</v>
      </c>
      <c r="N64" s="9"/>
      <c r="O64" s="22">
        <v>0.17196700000000001</v>
      </c>
      <c r="P64" s="22">
        <v>10.2622</v>
      </c>
      <c r="Q64" s="22">
        <v>-1.31836E-2</v>
      </c>
      <c r="R64" s="22">
        <v>54</v>
      </c>
      <c r="S64" s="22">
        <v>0.17141700000000001</v>
      </c>
      <c r="T64">
        <f t="shared" si="2"/>
        <v>16.276049382716046</v>
      </c>
      <c r="U64">
        <f t="shared" si="3"/>
        <v>2.7989433841975306</v>
      </c>
      <c r="X64" s="9"/>
      <c r="Y64" s="22">
        <v>1.4480599999999999</v>
      </c>
      <c r="Z64" s="22">
        <v>15.6144</v>
      </c>
      <c r="AA64" s="22">
        <v>-9.1491699999999999E-3</v>
      </c>
      <c r="AB64" s="22">
        <v>54</v>
      </c>
      <c r="AC64" s="22">
        <v>1.4468399999999999</v>
      </c>
      <c r="AD64">
        <f t="shared" si="4"/>
        <v>11.29527160493827</v>
      </c>
      <c r="AE64">
        <f t="shared" si="5"/>
        <v>16.356231000246911</v>
      </c>
      <c r="AF64" s="9"/>
      <c r="AG64" s="22">
        <v>0.17196700000000001</v>
      </c>
      <c r="AH64" s="22">
        <v>19.272400000000001</v>
      </c>
      <c r="AI64" s="22">
        <v>-1.33606E-2</v>
      </c>
      <c r="AJ64" s="22">
        <v>54</v>
      </c>
      <c r="AK64" s="22">
        <v>0.17147799999999999</v>
      </c>
      <c r="AL64">
        <f t="shared" si="6"/>
        <v>16.494567901234568</v>
      </c>
      <c r="AM64">
        <f t="shared" si="7"/>
        <v>2.8365213582716051</v>
      </c>
      <c r="AP64" s="9"/>
      <c r="AQ64" s="22">
        <v>1.4480599999999999</v>
      </c>
      <c r="AR64" s="22">
        <v>24.608599999999999</v>
      </c>
      <c r="AS64" s="22">
        <v>-9.1583299999999992E-3</v>
      </c>
      <c r="AT64" s="22">
        <v>54</v>
      </c>
      <c r="AU64" s="22">
        <v>1.4474499999999999</v>
      </c>
      <c r="AV64">
        <f t="shared" si="8"/>
        <v>11.306580246913578</v>
      </c>
      <c r="AW64">
        <f t="shared" si="9"/>
        <v>16.372606592345676</v>
      </c>
      <c r="AX64" s="9"/>
      <c r="AY64" s="22">
        <v>0.17196700000000001</v>
      </c>
      <c r="AZ64" s="22">
        <v>28.2667</v>
      </c>
      <c r="BA64" s="22">
        <v>-1.3443E-2</v>
      </c>
      <c r="BB64" s="22">
        <v>54</v>
      </c>
      <c r="BC64" s="22">
        <v>0.17144799999999999</v>
      </c>
      <c r="BD64">
        <f t="shared" si="10"/>
        <v>16.596296296296295</v>
      </c>
      <c r="BE64">
        <f t="shared" si="11"/>
        <v>2.8540152851851852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6.6142399999999997</v>
      </c>
      <c r="I65" s="22">
        <v>-8.8745100000000004E-3</v>
      </c>
      <c r="J65" s="22">
        <v>55</v>
      </c>
      <c r="K65" s="22">
        <v>1.4425699999999999</v>
      </c>
      <c r="L65">
        <f t="shared" si="0"/>
        <v>10.956185185185186</v>
      </c>
      <c r="M65">
        <f t="shared" si="1"/>
        <v>15.809994345925926</v>
      </c>
      <c r="N65" s="9"/>
      <c r="O65" s="22">
        <v>0.17700199999999999</v>
      </c>
      <c r="P65" s="22">
        <v>10.2723</v>
      </c>
      <c r="Q65" s="22">
        <v>-1.3174399999999999E-2</v>
      </c>
      <c r="R65" s="22">
        <v>55</v>
      </c>
      <c r="S65" s="22">
        <v>0.176453</v>
      </c>
      <c r="T65">
        <f t="shared" si="2"/>
        <v>16.264691358024692</v>
      </c>
      <c r="U65">
        <f t="shared" si="3"/>
        <v>2.8788828997530862</v>
      </c>
      <c r="X65" s="9"/>
      <c r="Y65" s="22">
        <v>1.44302</v>
      </c>
      <c r="Z65" s="22">
        <v>15.6244</v>
      </c>
      <c r="AA65" s="22">
        <v>-9.2590299999999997E-3</v>
      </c>
      <c r="AB65" s="22">
        <v>55</v>
      </c>
      <c r="AC65" s="22">
        <v>1.4422600000000001</v>
      </c>
      <c r="AD65">
        <f t="shared" si="4"/>
        <v>11.4309012345679</v>
      </c>
      <c r="AE65">
        <f t="shared" si="5"/>
        <v>16.49501909950617</v>
      </c>
      <c r="AF65" s="9"/>
      <c r="AG65" s="22">
        <v>0.17700199999999999</v>
      </c>
      <c r="AH65" s="22">
        <v>19.282499999999999</v>
      </c>
      <c r="AI65" s="22">
        <v>-1.33545E-2</v>
      </c>
      <c r="AJ65" s="22">
        <v>55</v>
      </c>
      <c r="AK65" s="22">
        <v>0.176483</v>
      </c>
      <c r="AL65">
        <f t="shared" si="6"/>
        <v>16.487037037037037</v>
      </c>
      <c r="AM65">
        <f t="shared" si="7"/>
        <v>2.9182385296296296</v>
      </c>
      <c r="AP65" s="9"/>
      <c r="AQ65" s="22">
        <v>1.44302</v>
      </c>
      <c r="AR65" s="22">
        <v>24.6187</v>
      </c>
      <c r="AS65" s="22">
        <v>-9.27124E-3</v>
      </c>
      <c r="AT65" s="22">
        <v>55</v>
      </c>
      <c r="AU65" s="22">
        <v>1.4419599999999999</v>
      </c>
      <c r="AV65">
        <f t="shared" si="8"/>
        <v>11.445975308641975</v>
      </c>
      <c r="AW65">
        <f t="shared" si="9"/>
        <v>16.516771289876541</v>
      </c>
      <c r="AX65" s="9"/>
      <c r="AY65" s="22">
        <v>0.17700199999999999</v>
      </c>
      <c r="AZ65" s="22">
        <v>28.276700000000002</v>
      </c>
      <c r="BA65" s="22">
        <v>-1.34491E-2</v>
      </c>
      <c r="BB65" s="22">
        <v>55</v>
      </c>
      <c r="BC65" s="22">
        <v>0.176453</v>
      </c>
      <c r="BD65">
        <f t="shared" si="10"/>
        <v>16.603827160493829</v>
      </c>
      <c r="BE65">
        <f t="shared" si="11"/>
        <v>2.9389106150617286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6.6243100000000004</v>
      </c>
      <c r="I66" s="22">
        <v>-8.9721699999999998E-3</v>
      </c>
      <c r="J66" s="22">
        <v>56</v>
      </c>
      <c r="K66" s="22">
        <v>1.4373800000000001</v>
      </c>
      <c r="L66">
        <f t="shared" si="0"/>
        <v>11.076753086419751</v>
      </c>
      <c r="M66">
        <f t="shared" si="1"/>
        <v>15.928260170740739</v>
      </c>
      <c r="N66" s="9"/>
      <c r="O66" s="22">
        <v>0.182037</v>
      </c>
      <c r="P66" s="22">
        <v>10.282400000000001</v>
      </c>
      <c r="Q66" s="22">
        <v>-1.3162200000000001E-2</v>
      </c>
      <c r="R66" s="22">
        <v>56</v>
      </c>
      <c r="S66" s="22">
        <v>0.18151900000000001</v>
      </c>
      <c r="T66">
        <f t="shared" si="2"/>
        <v>16.249629629629627</v>
      </c>
      <c r="U66">
        <f t="shared" si="3"/>
        <v>2.9580338288888886</v>
      </c>
      <c r="X66" s="9"/>
      <c r="Y66" s="22">
        <v>1.4379900000000001</v>
      </c>
      <c r="Z66" s="22">
        <v>15.634499999999999</v>
      </c>
      <c r="AA66" s="22">
        <v>-9.3658400000000003E-3</v>
      </c>
      <c r="AB66" s="22">
        <v>56</v>
      </c>
      <c r="AC66" s="22">
        <v>1.4370700000000001</v>
      </c>
      <c r="AD66">
        <f t="shared" si="4"/>
        <v>11.562765432098766</v>
      </c>
      <c r="AE66">
        <f t="shared" si="5"/>
        <v>16.627141063703707</v>
      </c>
      <c r="AF66" s="9"/>
      <c r="AG66" s="22">
        <v>0.182037</v>
      </c>
      <c r="AH66" s="22">
        <v>19.2926</v>
      </c>
      <c r="AI66" s="22">
        <v>-1.33545E-2</v>
      </c>
      <c r="AJ66" s="22">
        <v>56</v>
      </c>
      <c r="AK66" s="22">
        <v>0.18151900000000001</v>
      </c>
      <c r="AL66">
        <f t="shared" si="6"/>
        <v>16.487037037037037</v>
      </c>
      <c r="AM66">
        <f t="shared" si="7"/>
        <v>3.0012507611111112</v>
      </c>
      <c r="AP66" s="9"/>
      <c r="AQ66" s="22">
        <v>1.4379900000000001</v>
      </c>
      <c r="AR66" s="22">
        <v>24.628699999999998</v>
      </c>
      <c r="AS66" s="22">
        <v>-9.3749999999999997E-3</v>
      </c>
      <c r="AT66" s="22">
        <v>56</v>
      </c>
      <c r="AU66" s="22">
        <v>1.4370700000000001</v>
      </c>
      <c r="AV66">
        <f t="shared" si="8"/>
        <v>11.574074074074073</v>
      </c>
      <c r="AW66">
        <f t="shared" si="9"/>
        <v>16.643402777777776</v>
      </c>
      <c r="AX66" s="9"/>
      <c r="AY66" s="22">
        <v>0.182037</v>
      </c>
      <c r="AZ66" s="22">
        <v>28.286799999999999</v>
      </c>
      <c r="BA66" s="22">
        <v>-1.34521E-2</v>
      </c>
      <c r="BB66" s="22">
        <v>56</v>
      </c>
      <c r="BC66" s="22">
        <v>0.18148800000000001</v>
      </c>
      <c r="BD66">
        <f t="shared" si="10"/>
        <v>16.607530864197528</v>
      </c>
      <c r="BE66">
        <f t="shared" si="11"/>
        <v>3.0231850959259257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6.6343899999999998</v>
      </c>
      <c r="I67" s="22">
        <v>-9.0606699999999998E-3</v>
      </c>
      <c r="J67" s="22">
        <v>57</v>
      </c>
      <c r="K67" s="22">
        <v>1.43188</v>
      </c>
      <c r="L67">
        <f t="shared" si="0"/>
        <v>11.186012345679012</v>
      </c>
      <c r="M67">
        <f t="shared" si="1"/>
        <v>16.02899639074074</v>
      </c>
      <c r="N67" s="9"/>
      <c r="O67" s="22">
        <v>0.18707299999999999</v>
      </c>
      <c r="P67" s="22">
        <v>10.292400000000001</v>
      </c>
      <c r="Q67" s="22">
        <v>-1.31653E-2</v>
      </c>
      <c r="R67" s="22">
        <v>57</v>
      </c>
      <c r="S67" s="22">
        <v>0.186554</v>
      </c>
      <c r="T67">
        <f t="shared" si="2"/>
        <v>16.253456790123455</v>
      </c>
      <c r="U67">
        <f t="shared" si="3"/>
        <v>3.040582922098765</v>
      </c>
      <c r="X67" s="9"/>
      <c r="Y67" s="22">
        <v>1.4329499999999999</v>
      </c>
      <c r="Z67" s="22">
        <v>15.644600000000001</v>
      </c>
      <c r="AA67" s="22">
        <v>-9.4787599999999993E-3</v>
      </c>
      <c r="AB67" s="22">
        <v>57</v>
      </c>
      <c r="AC67" s="22">
        <v>1.4325000000000001</v>
      </c>
      <c r="AD67">
        <f t="shared" si="4"/>
        <v>11.702172839506172</v>
      </c>
      <c r="AE67">
        <f t="shared" si="5"/>
        <v>16.768628570370367</v>
      </c>
      <c r="AF67" s="9"/>
      <c r="AG67" s="22">
        <v>0.18707299999999999</v>
      </c>
      <c r="AH67" s="22">
        <v>19.302600000000002</v>
      </c>
      <c r="AI67" s="22">
        <v>-1.33575E-2</v>
      </c>
      <c r="AJ67" s="22">
        <v>57</v>
      </c>
      <c r="AK67" s="22">
        <v>0.186554</v>
      </c>
      <c r="AL67">
        <f t="shared" si="6"/>
        <v>16.49074074074074</v>
      </c>
      <c r="AM67">
        <f t="shared" si="7"/>
        <v>3.0849723425925926</v>
      </c>
      <c r="AP67" s="9"/>
      <c r="AQ67" s="22">
        <v>1.4329499999999999</v>
      </c>
      <c r="AR67" s="22">
        <v>24.6388</v>
      </c>
      <c r="AS67" s="22">
        <v>-9.4848599999999995E-3</v>
      </c>
      <c r="AT67" s="22">
        <v>57</v>
      </c>
      <c r="AU67" s="22">
        <v>1.4321900000000001</v>
      </c>
      <c r="AV67">
        <f t="shared" si="8"/>
        <v>11.709703703703703</v>
      </c>
      <c r="AW67">
        <f t="shared" si="9"/>
        <v>16.779419922222221</v>
      </c>
      <c r="AX67" s="9"/>
      <c r="AY67" s="22">
        <v>0.18707299999999999</v>
      </c>
      <c r="AZ67" s="22">
        <v>28.296900000000001</v>
      </c>
      <c r="BA67" s="22">
        <v>-1.3458299999999999E-2</v>
      </c>
      <c r="BB67" s="22">
        <v>57</v>
      </c>
      <c r="BC67" s="22">
        <v>0.186615</v>
      </c>
      <c r="BD67">
        <f t="shared" si="10"/>
        <v>16.615185185185183</v>
      </c>
      <c r="BE67">
        <f t="shared" si="11"/>
        <v>3.1082525381481476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6.6444599999999996</v>
      </c>
      <c r="I68" s="22">
        <v>-9.1522200000000008E-3</v>
      </c>
      <c r="J68" s="22">
        <v>58</v>
      </c>
      <c r="K68" s="22">
        <v>1.4267000000000001</v>
      </c>
      <c r="L68">
        <f t="shared" si="0"/>
        <v>11.299037037037039</v>
      </c>
      <c r="M68">
        <f t="shared" si="1"/>
        <v>16.134120965925931</v>
      </c>
      <c r="N68" s="9"/>
      <c r="O68" s="22">
        <v>0.192108</v>
      </c>
      <c r="P68" s="22">
        <v>10.3025</v>
      </c>
      <c r="Q68" s="22">
        <v>-1.3168300000000001E-2</v>
      </c>
      <c r="R68" s="22">
        <v>58</v>
      </c>
      <c r="S68" s="22">
        <v>0.19162000000000001</v>
      </c>
      <c r="T68">
        <f t="shared" si="2"/>
        <v>16.257160493827158</v>
      </c>
      <c r="U68">
        <f t="shared" si="3"/>
        <v>3.1231305881481477</v>
      </c>
      <c r="X68" s="9"/>
      <c r="Y68" s="22">
        <v>1.4279200000000001</v>
      </c>
      <c r="Z68" s="22">
        <v>15.6547</v>
      </c>
      <c r="AA68" s="22">
        <v>-9.5855699999999999E-3</v>
      </c>
      <c r="AB68" s="22">
        <v>58</v>
      </c>
      <c r="AC68" s="22">
        <v>1.4273100000000001</v>
      </c>
      <c r="AD68">
        <f t="shared" si="4"/>
        <v>11.834037037037035</v>
      </c>
      <c r="AE68">
        <f t="shared" si="5"/>
        <v>16.898058165925924</v>
      </c>
      <c r="AF68" s="9"/>
      <c r="AG68" s="22">
        <v>0.192108</v>
      </c>
      <c r="AH68" s="22">
        <v>19.3127</v>
      </c>
      <c r="AI68" s="22">
        <v>-1.33545E-2</v>
      </c>
      <c r="AJ68" s="22">
        <v>58</v>
      </c>
      <c r="AK68" s="22">
        <v>0.19155900000000001</v>
      </c>
      <c r="AL68">
        <f t="shared" si="6"/>
        <v>16.487037037037037</v>
      </c>
      <c r="AM68">
        <f t="shared" si="7"/>
        <v>3.1672917111111114</v>
      </c>
      <c r="AP68" s="9"/>
      <c r="AQ68" s="22">
        <v>1.4279200000000001</v>
      </c>
      <c r="AR68" s="22">
        <v>24.648900000000001</v>
      </c>
      <c r="AS68" s="22">
        <v>-9.5855699999999999E-3</v>
      </c>
      <c r="AT68" s="22">
        <v>58</v>
      </c>
      <c r="AU68" s="22">
        <v>1.427</v>
      </c>
      <c r="AV68">
        <f t="shared" si="8"/>
        <v>11.834037037037035</v>
      </c>
      <c r="AW68">
        <f t="shared" si="9"/>
        <v>16.898058165925924</v>
      </c>
      <c r="AX68" s="9"/>
      <c r="AY68" s="22">
        <v>0.192108</v>
      </c>
      <c r="AZ68" s="22">
        <v>28.306899999999999</v>
      </c>
      <c r="BA68" s="22">
        <v>-1.3461300000000001E-2</v>
      </c>
      <c r="BB68" s="22">
        <v>58</v>
      </c>
      <c r="BC68" s="22">
        <v>0.19155900000000001</v>
      </c>
      <c r="BD68">
        <f t="shared" si="10"/>
        <v>16.618888888888886</v>
      </c>
      <c r="BE68">
        <f t="shared" si="11"/>
        <v>3.1926215066666663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6.6545300000000003</v>
      </c>
      <c r="I69" s="22">
        <v>-9.2285200000000005E-3</v>
      </c>
      <c r="J69" s="22">
        <v>59</v>
      </c>
      <c r="K69" s="22">
        <v>1.42181</v>
      </c>
      <c r="L69">
        <f t="shared" si="0"/>
        <v>11.393234567901235</v>
      </c>
      <c r="M69">
        <f t="shared" si="1"/>
        <v>16.211205601975308</v>
      </c>
      <c r="N69" s="9"/>
      <c r="O69" s="22">
        <v>0.19714400000000001</v>
      </c>
      <c r="P69" s="22">
        <v>10.3126</v>
      </c>
      <c r="Q69" s="22">
        <v>-1.3168300000000001E-2</v>
      </c>
      <c r="R69" s="22">
        <v>59</v>
      </c>
      <c r="S69" s="22">
        <v>0.196655</v>
      </c>
      <c r="T69">
        <f t="shared" si="2"/>
        <v>16.257160493827158</v>
      </c>
      <c r="U69">
        <f t="shared" si="3"/>
        <v>3.2050016483950614</v>
      </c>
      <c r="X69" s="9"/>
      <c r="Y69" s="22">
        <v>1.4228799999999999</v>
      </c>
      <c r="Z69" s="22">
        <v>15.6647</v>
      </c>
      <c r="AA69" s="22">
        <v>-9.6832299999999993E-3</v>
      </c>
      <c r="AB69" s="22">
        <v>59</v>
      </c>
      <c r="AC69" s="22">
        <v>1.42181</v>
      </c>
      <c r="AD69">
        <f t="shared" si="4"/>
        <v>11.954604938271604</v>
      </c>
      <c r="AE69">
        <f t="shared" si="5"/>
        <v>17.0099682745679</v>
      </c>
      <c r="AF69" s="9"/>
      <c r="AG69" s="22">
        <v>0.19714400000000001</v>
      </c>
      <c r="AH69" s="22">
        <v>19.322800000000001</v>
      </c>
      <c r="AI69" s="22">
        <v>-1.33545E-2</v>
      </c>
      <c r="AJ69" s="22">
        <v>59</v>
      </c>
      <c r="AK69" s="22">
        <v>0.19662499999999999</v>
      </c>
      <c r="AL69">
        <f t="shared" si="6"/>
        <v>16.487037037037037</v>
      </c>
      <c r="AM69">
        <f t="shared" si="7"/>
        <v>3.25032042962963</v>
      </c>
      <c r="AP69" s="9"/>
      <c r="AQ69" s="22">
        <v>1.4228799999999999</v>
      </c>
      <c r="AR69" s="22">
        <v>24.658999999999999</v>
      </c>
      <c r="AS69" s="22">
        <v>-9.6923800000000004E-3</v>
      </c>
      <c r="AT69" s="22">
        <v>59</v>
      </c>
      <c r="AU69" s="22">
        <v>1.4221200000000001</v>
      </c>
      <c r="AV69">
        <f t="shared" si="8"/>
        <v>11.965901234567902</v>
      </c>
      <c r="AW69">
        <f t="shared" si="9"/>
        <v>17.026041548641974</v>
      </c>
      <c r="AX69" s="9"/>
      <c r="AY69" s="22">
        <v>0.19714400000000001</v>
      </c>
      <c r="AZ69" s="22">
        <v>28.317</v>
      </c>
      <c r="BA69" s="22">
        <v>-1.3458299999999999E-2</v>
      </c>
      <c r="BB69" s="22">
        <v>59</v>
      </c>
      <c r="BC69" s="22">
        <v>0.196686</v>
      </c>
      <c r="BD69">
        <f t="shared" si="10"/>
        <v>16.615185185185183</v>
      </c>
      <c r="BE69">
        <f t="shared" si="11"/>
        <v>3.2755840681481478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6.6646000000000001</v>
      </c>
      <c r="I70" s="22">
        <v>-9.3078599999999994E-3</v>
      </c>
      <c r="J70" s="22">
        <v>60</v>
      </c>
      <c r="K70" s="22">
        <v>1.4166300000000001</v>
      </c>
      <c r="L70">
        <f t="shared" si="0"/>
        <v>11.491185185185184</v>
      </c>
      <c r="M70">
        <f t="shared" si="1"/>
        <v>16.292776914814816</v>
      </c>
      <c r="N70" s="9"/>
      <c r="O70" s="22">
        <v>0.202179</v>
      </c>
      <c r="P70" s="22">
        <v>10.322699999999999</v>
      </c>
      <c r="Q70" s="22">
        <v>-1.3174399999999999E-2</v>
      </c>
      <c r="R70" s="22">
        <v>60</v>
      </c>
      <c r="S70" s="22">
        <v>0.20163</v>
      </c>
      <c r="T70">
        <f t="shared" si="2"/>
        <v>16.264691358024692</v>
      </c>
      <c r="U70">
        <f t="shared" si="3"/>
        <v>3.2883790340740742</v>
      </c>
      <c r="X70" s="9"/>
      <c r="Y70" s="22">
        <v>1.4178500000000001</v>
      </c>
      <c r="Z70" s="22">
        <v>15.674799999999999</v>
      </c>
      <c r="AA70" s="22">
        <v>-9.7747800000000003E-3</v>
      </c>
      <c r="AB70" s="22">
        <v>60</v>
      </c>
      <c r="AC70" s="22">
        <v>1.41693</v>
      </c>
      <c r="AD70">
        <f t="shared" si="4"/>
        <v>12.06762962962963</v>
      </c>
      <c r="AE70">
        <f t="shared" si="5"/>
        <v>17.110088670370374</v>
      </c>
      <c r="AF70" s="9"/>
      <c r="AG70" s="22">
        <v>0.202179</v>
      </c>
      <c r="AH70" s="22">
        <v>19.332899999999999</v>
      </c>
      <c r="AI70" s="22">
        <v>-1.33606E-2</v>
      </c>
      <c r="AJ70" s="22">
        <v>60</v>
      </c>
      <c r="AK70" s="22">
        <v>0.20172100000000001</v>
      </c>
      <c r="AL70">
        <f t="shared" si="6"/>
        <v>16.494567901234568</v>
      </c>
      <c r="AM70">
        <f t="shared" si="7"/>
        <v>3.3348552437037036</v>
      </c>
      <c r="AP70" s="9"/>
      <c r="AQ70" s="22">
        <v>1.4178500000000001</v>
      </c>
      <c r="AR70" s="22">
        <v>24.669</v>
      </c>
      <c r="AS70" s="22">
        <v>-9.7900399999999999E-3</v>
      </c>
      <c r="AT70" s="22">
        <v>60</v>
      </c>
      <c r="AU70" s="22">
        <v>1.41754</v>
      </c>
      <c r="AV70">
        <f t="shared" si="8"/>
        <v>12.086469135802469</v>
      </c>
      <c r="AW70">
        <f t="shared" si="9"/>
        <v>17.136800264197532</v>
      </c>
      <c r="AX70" s="9"/>
      <c r="AY70" s="22">
        <v>0.202179</v>
      </c>
      <c r="AZ70" s="22">
        <v>28.327100000000002</v>
      </c>
      <c r="BA70" s="22">
        <v>-1.34491E-2</v>
      </c>
      <c r="BB70" s="22">
        <v>60</v>
      </c>
      <c r="BC70" s="22">
        <v>0.20163</v>
      </c>
      <c r="BD70">
        <f t="shared" si="10"/>
        <v>16.603827160493829</v>
      </c>
      <c r="BE70">
        <f t="shared" si="11"/>
        <v>3.356945171481482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6.6746699999999999</v>
      </c>
      <c r="I71" s="22">
        <v>-9.3902599999999992E-3</v>
      </c>
      <c r="J71" s="22">
        <v>61</v>
      </c>
      <c r="K71" s="22">
        <v>1.41205</v>
      </c>
      <c r="L71">
        <f t="shared" si="0"/>
        <v>11.592913580246911</v>
      </c>
      <c r="M71">
        <f t="shared" si="1"/>
        <v>16.378584235308637</v>
      </c>
      <c r="N71" s="9"/>
      <c r="O71" s="22">
        <v>0.20721400000000001</v>
      </c>
      <c r="P71" s="22">
        <v>10.332700000000001</v>
      </c>
      <c r="Q71" s="22">
        <v>-1.31775E-2</v>
      </c>
      <c r="R71" s="22">
        <v>61</v>
      </c>
      <c r="S71" s="22">
        <v>0.20669599999999999</v>
      </c>
      <c r="T71">
        <f t="shared" si="2"/>
        <v>16.268518518518519</v>
      </c>
      <c r="U71">
        <f t="shared" si="3"/>
        <v>3.3710647962962965</v>
      </c>
      <c r="X71" s="9"/>
      <c r="Y71" s="22">
        <v>1.4128099999999999</v>
      </c>
      <c r="Z71" s="22">
        <v>15.684900000000001</v>
      </c>
      <c r="AA71" s="22">
        <v>-9.8693800000000005E-3</v>
      </c>
      <c r="AB71" s="22">
        <v>61</v>
      </c>
      <c r="AC71" s="22">
        <v>1.41235</v>
      </c>
      <c r="AD71">
        <f t="shared" si="4"/>
        <v>12.18441975308642</v>
      </c>
      <c r="AE71">
        <f t="shared" si="5"/>
        <v>17.214270071358023</v>
      </c>
      <c r="AF71" s="9"/>
      <c r="AG71" s="22">
        <v>0.20721400000000001</v>
      </c>
      <c r="AH71" s="22">
        <v>19.3429</v>
      </c>
      <c r="AI71" s="22">
        <v>-1.33667E-2</v>
      </c>
      <c r="AJ71" s="22">
        <v>61</v>
      </c>
      <c r="AK71" s="22">
        <v>0.20666499999999999</v>
      </c>
      <c r="AL71">
        <f t="shared" si="6"/>
        <v>16.502098765432098</v>
      </c>
      <c r="AM71">
        <f t="shared" si="7"/>
        <v>3.4194658935802469</v>
      </c>
      <c r="AP71" s="9"/>
      <c r="AQ71" s="22">
        <v>1.4128099999999999</v>
      </c>
      <c r="AR71" s="22">
        <v>24.679099999999998</v>
      </c>
      <c r="AS71" s="22">
        <v>-9.8876999999999993E-3</v>
      </c>
      <c r="AT71" s="22">
        <v>61</v>
      </c>
      <c r="AU71" s="22">
        <v>1.41205</v>
      </c>
      <c r="AV71">
        <f t="shared" si="8"/>
        <v>12.207037037037034</v>
      </c>
      <c r="AW71">
        <f t="shared" si="9"/>
        <v>17.24622399629629</v>
      </c>
      <c r="AX71" s="9"/>
      <c r="AY71" s="22">
        <v>0.20721400000000001</v>
      </c>
      <c r="AZ71" s="22">
        <v>28.337199999999999</v>
      </c>
      <c r="BA71" s="22">
        <v>-1.3443E-2</v>
      </c>
      <c r="BB71" s="22">
        <v>61</v>
      </c>
      <c r="BC71" s="22">
        <v>0.20663500000000001</v>
      </c>
      <c r="BD71">
        <f t="shared" si="10"/>
        <v>16.596296296296295</v>
      </c>
      <c r="BE71">
        <f t="shared" si="11"/>
        <v>3.4389849407407405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6.6847399999999997</v>
      </c>
      <c r="I72" s="22">
        <v>-9.47571E-3</v>
      </c>
      <c r="J72" s="22">
        <v>62</v>
      </c>
      <c r="K72" s="22">
        <v>1.40717</v>
      </c>
      <c r="L72">
        <f t="shared" si="0"/>
        <v>11.698407407407407</v>
      </c>
      <c r="M72">
        <f t="shared" si="1"/>
        <v>16.468783980000001</v>
      </c>
      <c r="N72" s="9"/>
      <c r="O72" s="22">
        <v>0.21224999999999999</v>
      </c>
      <c r="P72" s="22">
        <v>10.3428</v>
      </c>
      <c r="Q72" s="22">
        <v>-1.3174399999999999E-2</v>
      </c>
      <c r="R72" s="22">
        <v>62</v>
      </c>
      <c r="S72" s="22">
        <v>0.211761</v>
      </c>
      <c r="T72">
        <f t="shared" si="2"/>
        <v>16.264691358024692</v>
      </c>
      <c r="U72">
        <f t="shared" si="3"/>
        <v>3.4521807407407405</v>
      </c>
      <c r="X72" s="9"/>
      <c r="Y72" s="22">
        <v>1.40778</v>
      </c>
      <c r="Z72" s="22">
        <v>15.694900000000001</v>
      </c>
      <c r="AA72" s="22">
        <v>-9.9578900000000005E-3</v>
      </c>
      <c r="AB72" s="22">
        <v>62</v>
      </c>
      <c r="AC72" s="22">
        <v>1.40717</v>
      </c>
      <c r="AD72">
        <f t="shared" si="4"/>
        <v>12.29369135802469</v>
      </c>
      <c r="AE72">
        <f t="shared" si="5"/>
        <v>17.306812819999998</v>
      </c>
      <c r="AF72" s="9"/>
      <c r="AG72" s="22">
        <v>0.21224999999999999</v>
      </c>
      <c r="AH72" s="22">
        <v>19.353000000000002</v>
      </c>
      <c r="AI72" s="22">
        <v>-1.3369799999999999E-2</v>
      </c>
      <c r="AJ72" s="22">
        <v>62</v>
      </c>
      <c r="AK72" s="22">
        <v>0.211761</v>
      </c>
      <c r="AL72">
        <f t="shared" si="6"/>
        <v>16.505925925925922</v>
      </c>
      <c r="AM72">
        <f t="shared" si="7"/>
        <v>3.5033827777777771</v>
      </c>
      <c r="AP72" s="9"/>
      <c r="AQ72" s="22">
        <v>1.40778</v>
      </c>
      <c r="AR72" s="22">
        <v>24.6892</v>
      </c>
      <c r="AS72" s="22">
        <v>-9.9792500000000003E-3</v>
      </c>
      <c r="AT72" s="22">
        <v>62</v>
      </c>
      <c r="AU72" s="22">
        <v>1.40656</v>
      </c>
      <c r="AV72">
        <f t="shared" si="8"/>
        <v>12.320061728395061</v>
      </c>
      <c r="AW72">
        <f t="shared" si="9"/>
        <v>17.343936499999998</v>
      </c>
      <c r="AX72" s="9"/>
      <c r="AY72" s="22">
        <v>0.21224999999999999</v>
      </c>
      <c r="AZ72" s="22">
        <v>28.347200000000001</v>
      </c>
      <c r="BA72" s="22">
        <v>-1.3446E-2</v>
      </c>
      <c r="BB72" s="22">
        <v>62</v>
      </c>
      <c r="BC72" s="22">
        <v>0.211731</v>
      </c>
      <c r="BD72">
        <f t="shared" si="10"/>
        <v>16.599999999999998</v>
      </c>
      <c r="BE72">
        <f t="shared" si="11"/>
        <v>3.5233499999999993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6.6948100000000004</v>
      </c>
      <c r="I73" s="22">
        <v>-9.5550500000000007E-3</v>
      </c>
      <c r="J73" s="22">
        <v>63</v>
      </c>
      <c r="K73" s="22">
        <v>1.40228</v>
      </c>
      <c r="L73">
        <f t="shared" si="0"/>
        <v>11.796358024691358</v>
      </c>
      <c r="M73">
        <f t="shared" si="1"/>
        <v>16.547223255555558</v>
      </c>
      <c r="N73" s="9"/>
      <c r="O73" s="22">
        <v>0.21728500000000001</v>
      </c>
      <c r="P73" s="22">
        <v>10.3529</v>
      </c>
      <c r="Q73" s="22">
        <v>-1.3168300000000001E-2</v>
      </c>
      <c r="R73" s="22">
        <v>63</v>
      </c>
      <c r="S73" s="22">
        <v>0.21673600000000001</v>
      </c>
      <c r="T73">
        <f t="shared" si="2"/>
        <v>16.257160493827158</v>
      </c>
      <c r="U73">
        <f t="shared" si="3"/>
        <v>3.5324371179012339</v>
      </c>
      <c r="X73" s="9"/>
      <c r="Y73" s="22">
        <v>1.4027400000000001</v>
      </c>
      <c r="Z73" s="22">
        <v>15.705</v>
      </c>
      <c r="AA73" s="22">
        <v>-1.00494E-2</v>
      </c>
      <c r="AB73" s="22">
        <v>63</v>
      </c>
      <c r="AC73" s="22">
        <v>1.40198</v>
      </c>
      <c r="AD73">
        <f t="shared" si="4"/>
        <v>12.406666666666666</v>
      </c>
      <c r="AE73">
        <f t="shared" si="5"/>
        <v>17.403327600000001</v>
      </c>
      <c r="AF73" s="9"/>
      <c r="AG73" s="22">
        <v>0.21728500000000001</v>
      </c>
      <c r="AH73" s="22">
        <v>19.363099999999999</v>
      </c>
      <c r="AI73" s="22">
        <v>-1.3369799999999999E-2</v>
      </c>
      <c r="AJ73" s="22">
        <v>63</v>
      </c>
      <c r="AK73" s="22">
        <v>0.21676599999999999</v>
      </c>
      <c r="AL73">
        <f t="shared" si="6"/>
        <v>16.505925925925922</v>
      </c>
      <c r="AM73">
        <f t="shared" si="7"/>
        <v>3.5864901148148141</v>
      </c>
      <c r="AP73" s="9"/>
      <c r="AQ73" s="22">
        <v>1.4027400000000001</v>
      </c>
      <c r="AR73" s="22">
        <v>24.699200000000001</v>
      </c>
      <c r="AS73" s="22">
        <v>-1.0067700000000001E-2</v>
      </c>
      <c r="AT73" s="22">
        <v>63</v>
      </c>
      <c r="AU73" s="22">
        <v>1.40198</v>
      </c>
      <c r="AV73">
        <f t="shared" si="8"/>
        <v>12.429259259259259</v>
      </c>
      <c r="AW73">
        <f t="shared" si="9"/>
        <v>17.435019133333334</v>
      </c>
      <c r="AX73" s="9"/>
      <c r="AY73" s="22">
        <v>0.21728500000000001</v>
      </c>
      <c r="AZ73" s="22">
        <v>28.357299999999999</v>
      </c>
      <c r="BA73" s="22">
        <v>-1.3439899999999999E-2</v>
      </c>
      <c r="BB73" s="22">
        <v>63</v>
      </c>
      <c r="BC73" s="22">
        <v>0.21679699999999999</v>
      </c>
      <c r="BD73">
        <f t="shared" si="10"/>
        <v>16.592469135802467</v>
      </c>
      <c r="BE73">
        <f t="shared" si="11"/>
        <v>3.6052946561728394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6.7048800000000002</v>
      </c>
      <c r="I74" s="22">
        <v>-9.6313500000000003E-3</v>
      </c>
      <c r="J74" s="22">
        <v>64</v>
      </c>
      <c r="K74" s="22">
        <v>1.39679</v>
      </c>
      <c r="L74">
        <f t="shared" si="0"/>
        <v>11.890555555555554</v>
      </c>
      <c r="M74">
        <f t="shared" si="1"/>
        <v>16.619548405555555</v>
      </c>
      <c r="N74" s="9"/>
      <c r="O74" s="22">
        <v>0.22232099999999999</v>
      </c>
      <c r="P74" s="22">
        <v>10.3629</v>
      </c>
      <c r="Q74" s="22">
        <v>-1.3168300000000001E-2</v>
      </c>
      <c r="R74" s="22">
        <v>64</v>
      </c>
      <c r="S74" s="22">
        <v>0.221832</v>
      </c>
      <c r="T74">
        <f t="shared" si="2"/>
        <v>16.257160493827158</v>
      </c>
      <c r="U74">
        <f t="shared" si="3"/>
        <v>3.6143081781481472</v>
      </c>
      <c r="X74" s="9"/>
      <c r="Y74" s="22">
        <v>1.39771</v>
      </c>
      <c r="Z74" s="22">
        <v>15.7151</v>
      </c>
      <c r="AA74" s="22">
        <v>-1.01318E-2</v>
      </c>
      <c r="AB74" s="22">
        <v>64</v>
      </c>
      <c r="AC74" s="22">
        <v>1.3964799999999999</v>
      </c>
      <c r="AD74">
        <f t="shared" si="4"/>
        <v>12.508395061728393</v>
      </c>
      <c r="AE74">
        <f t="shared" si="5"/>
        <v>17.483108861728393</v>
      </c>
      <c r="AF74" s="9"/>
      <c r="AG74" s="22">
        <v>0.22232099999999999</v>
      </c>
      <c r="AH74" s="22">
        <v>19.373100000000001</v>
      </c>
      <c r="AI74" s="22">
        <v>-1.33667E-2</v>
      </c>
      <c r="AJ74" s="22">
        <v>64</v>
      </c>
      <c r="AK74" s="22">
        <v>0.221771</v>
      </c>
      <c r="AL74">
        <f t="shared" si="6"/>
        <v>16.502098765432098</v>
      </c>
      <c r="AM74">
        <f t="shared" si="7"/>
        <v>3.6687630996296292</v>
      </c>
      <c r="AP74" s="9"/>
      <c r="AQ74" s="22">
        <v>1.39771</v>
      </c>
      <c r="AR74" s="22">
        <v>24.709299999999999</v>
      </c>
      <c r="AS74" s="22">
        <v>-1.01593E-2</v>
      </c>
      <c r="AT74" s="22">
        <v>64</v>
      </c>
      <c r="AU74" s="22">
        <v>1.39679</v>
      </c>
      <c r="AV74">
        <f t="shared" si="8"/>
        <v>12.542345679012344</v>
      </c>
      <c r="AW74">
        <f t="shared" si="9"/>
        <v>17.530561979012344</v>
      </c>
      <c r="AX74" s="9"/>
      <c r="AY74" s="22">
        <v>0.22232099999999999</v>
      </c>
      <c r="AZ74" s="22">
        <v>28.3674</v>
      </c>
      <c r="BA74" s="22">
        <v>-1.3433799999999999E-2</v>
      </c>
      <c r="BB74" s="22">
        <v>64</v>
      </c>
      <c r="BC74" s="22">
        <v>0.221832</v>
      </c>
      <c r="BD74">
        <f t="shared" si="10"/>
        <v>16.584938271604937</v>
      </c>
      <c r="BE74">
        <f t="shared" si="11"/>
        <v>3.6871800614814809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6.71495</v>
      </c>
      <c r="I75" s="22">
        <v>-9.7106899999999993E-3</v>
      </c>
      <c r="J75" s="22">
        <v>65</v>
      </c>
      <c r="K75" s="22">
        <v>1.3922099999999999</v>
      </c>
      <c r="L75">
        <f t="shared" si="0"/>
        <v>11.988506172839504</v>
      </c>
      <c r="M75">
        <f t="shared" si="1"/>
        <v>16.696032891728393</v>
      </c>
      <c r="N75" s="9"/>
      <c r="O75" s="22">
        <v>0.227356</v>
      </c>
      <c r="P75" s="22">
        <v>10.372999999999999</v>
      </c>
      <c r="Q75" s="22">
        <v>-1.31714E-2</v>
      </c>
      <c r="R75" s="22">
        <v>65</v>
      </c>
      <c r="S75" s="22">
        <v>0.22683700000000001</v>
      </c>
      <c r="T75">
        <f t="shared" si="2"/>
        <v>16.260987654320989</v>
      </c>
      <c r="U75">
        <f t="shared" si="3"/>
        <v>3.6970331091358029</v>
      </c>
      <c r="X75" s="9"/>
      <c r="Y75" s="22">
        <v>1.3926700000000001</v>
      </c>
      <c r="Z75" s="22">
        <v>15.725199999999999</v>
      </c>
      <c r="AA75" s="22">
        <v>-1.0223400000000001E-2</v>
      </c>
      <c r="AB75" s="22">
        <v>65</v>
      </c>
      <c r="AC75" s="22">
        <v>1.39191</v>
      </c>
      <c r="AD75">
        <f t="shared" si="4"/>
        <v>12.621481481481482</v>
      </c>
      <c r="AE75">
        <f t="shared" si="5"/>
        <v>17.577558614814816</v>
      </c>
      <c r="AF75" s="9"/>
      <c r="AG75" s="22">
        <v>0.227356</v>
      </c>
      <c r="AH75" s="22">
        <v>19.383199999999999</v>
      </c>
      <c r="AI75" s="22">
        <v>-1.33636E-2</v>
      </c>
      <c r="AJ75" s="22">
        <v>65</v>
      </c>
      <c r="AK75" s="22">
        <v>0.22680700000000001</v>
      </c>
      <c r="AL75">
        <f t="shared" si="6"/>
        <v>16.498271604938271</v>
      </c>
      <c r="AM75">
        <f t="shared" si="7"/>
        <v>3.7509810390123457</v>
      </c>
      <c r="AP75" s="9"/>
      <c r="AQ75" s="22">
        <v>1.3926700000000001</v>
      </c>
      <c r="AR75" s="22">
        <v>24.7194</v>
      </c>
      <c r="AS75" s="22">
        <v>-1.02448E-2</v>
      </c>
      <c r="AT75" s="22">
        <v>65</v>
      </c>
      <c r="AU75" s="22">
        <v>1.39191</v>
      </c>
      <c r="AV75">
        <f t="shared" si="8"/>
        <v>12.6479012345679</v>
      </c>
      <c r="AW75">
        <f t="shared" si="9"/>
        <v>17.61435261234568</v>
      </c>
      <c r="AX75" s="9"/>
      <c r="AY75" s="22">
        <v>0.227356</v>
      </c>
      <c r="AZ75" s="22">
        <v>28.377400000000002</v>
      </c>
      <c r="BA75" s="22">
        <v>-1.3427700000000001E-2</v>
      </c>
      <c r="BB75" s="22">
        <v>65</v>
      </c>
      <c r="BC75" s="22">
        <v>0.22677600000000001</v>
      </c>
      <c r="BD75">
        <f t="shared" si="10"/>
        <v>16.57740740740741</v>
      </c>
      <c r="BE75">
        <f t="shared" si="11"/>
        <v>3.7689730385185189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6.7250199999999998</v>
      </c>
      <c r="I76" s="22">
        <v>-9.7961400000000001E-3</v>
      </c>
      <c r="J76" s="22">
        <v>66</v>
      </c>
      <c r="K76" s="22">
        <v>1.3864099999999999</v>
      </c>
      <c r="L76">
        <f t="shared" ref="L76:L139" si="12">-I76/$F$2*1000</f>
        <v>12.093999999999999</v>
      </c>
      <c r="M76">
        <f t="shared" ref="M76:M139" si="13">L76*G76</f>
        <v>16.781997219999997</v>
      </c>
      <c r="N76" s="9"/>
      <c r="O76" s="22">
        <v>0.23239099999999999</v>
      </c>
      <c r="P76" s="22">
        <v>10.383100000000001</v>
      </c>
      <c r="Q76" s="22">
        <v>-1.3174399999999999E-2</v>
      </c>
      <c r="R76" s="22">
        <v>66</v>
      </c>
      <c r="S76" s="22">
        <v>0.23184199999999999</v>
      </c>
      <c r="T76">
        <f t="shared" ref="T76:T139" si="14">-Q76/$F$2*1000</f>
        <v>16.264691358024692</v>
      </c>
      <c r="U76">
        <f t="shared" ref="U76:U139" si="15">T76*O76</f>
        <v>3.779767889382716</v>
      </c>
      <c r="X76" s="9"/>
      <c r="Y76" s="22">
        <v>1.3876299999999999</v>
      </c>
      <c r="Z76" s="22">
        <v>15.735200000000001</v>
      </c>
      <c r="AA76" s="22">
        <v>-1.02997E-2</v>
      </c>
      <c r="AB76" s="22">
        <v>66</v>
      </c>
      <c r="AC76" s="22">
        <v>1.3870199999999999</v>
      </c>
      <c r="AD76">
        <f t="shared" ref="AD76:AD139" si="16">-AA76/$F$2*1000</f>
        <v>12.715679012345678</v>
      </c>
      <c r="AE76">
        <f t="shared" ref="AE76:AE139" si="17">AD76*Y76</f>
        <v>17.644657667901232</v>
      </c>
      <c r="AF76" s="9"/>
      <c r="AG76" s="22">
        <v>0.23239099999999999</v>
      </c>
      <c r="AH76" s="22">
        <v>19.3933</v>
      </c>
      <c r="AI76" s="22">
        <v>-1.3369799999999999E-2</v>
      </c>
      <c r="AJ76" s="22">
        <v>66</v>
      </c>
      <c r="AK76" s="22">
        <v>0.231903</v>
      </c>
      <c r="AL76">
        <f t="shared" ref="AL76:AL139" si="18">-AI76/$F$2*1000</f>
        <v>16.505925925925922</v>
      </c>
      <c r="AM76">
        <f t="shared" ref="AM76:AM139" si="19">AL76*AG76</f>
        <v>3.8358286318518506</v>
      </c>
      <c r="AP76" s="9"/>
      <c r="AQ76" s="22">
        <v>1.3876299999999999</v>
      </c>
      <c r="AR76" s="22">
        <v>24.729500000000002</v>
      </c>
      <c r="AS76" s="22">
        <v>-1.0327100000000001E-2</v>
      </c>
      <c r="AT76" s="22">
        <v>66</v>
      </c>
      <c r="AU76" s="22">
        <v>1.3864099999999999</v>
      </c>
      <c r="AV76">
        <f t="shared" ref="AV76:AV139" si="20">-AS76/$F$2*1000</f>
        <v>12.749506172839505</v>
      </c>
      <c r="AW76">
        <f t="shared" ref="AW76:AW139" si="21">AV76*AQ76</f>
        <v>17.691597250617281</v>
      </c>
      <c r="AX76" s="9"/>
      <c r="AY76" s="22">
        <v>0.23239099999999999</v>
      </c>
      <c r="AZ76" s="22">
        <v>28.387499999999999</v>
      </c>
      <c r="BA76" s="22">
        <v>-1.34155E-2</v>
      </c>
      <c r="BB76" s="22">
        <v>66</v>
      </c>
      <c r="BC76" s="22">
        <v>0.231934</v>
      </c>
      <c r="BD76">
        <f t="shared" ref="BD76:BD139" si="22">-BA76/$F$2*1000</f>
        <v>16.562345679012346</v>
      </c>
      <c r="BE76">
        <f t="shared" ref="BE76:BE139" si="23">BD76*AY76</f>
        <v>3.8489400746913578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6.7351000000000001</v>
      </c>
      <c r="I77" s="22">
        <v>-9.8693800000000005E-3</v>
      </c>
      <c r="J77" s="22">
        <v>67</v>
      </c>
      <c r="K77" s="22">
        <v>1.3815299999999999</v>
      </c>
      <c r="L77">
        <f t="shared" si="12"/>
        <v>12.18441975308642</v>
      </c>
      <c r="M77">
        <f t="shared" si="13"/>
        <v>16.846178750617284</v>
      </c>
      <c r="N77" s="9"/>
      <c r="O77" s="22">
        <v>0.237427</v>
      </c>
      <c r="P77" s="22">
        <v>10.3932</v>
      </c>
      <c r="Q77" s="22">
        <v>-1.31775E-2</v>
      </c>
      <c r="R77" s="22">
        <v>67</v>
      </c>
      <c r="S77" s="22">
        <v>0.23696900000000001</v>
      </c>
      <c r="T77">
        <f t="shared" si="14"/>
        <v>16.268518518518519</v>
      </c>
      <c r="U77">
        <f t="shared" si="15"/>
        <v>3.8625855462962964</v>
      </c>
      <c r="X77" s="9"/>
      <c r="Y77" s="22">
        <v>1.3826000000000001</v>
      </c>
      <c r="Z77" s="22">
        <v>15.7453</v>
      </c>
      <c r="AA77" s="22">
        <v>-1.03851E-2</v>
      </c>
      <c r="AB77" s="22">
        <v>67</v>
      </c>
      <c r="AC77" s="22">
        <v>1.38123</v>
      </c>
      <c r="AD77">
        <f t="shared" si="16"/>
        <v>12.82111111111111</v>
      </c>
      <c r="AE77">
        <f t="shared" si="17"/>
        <v>17.72646822222222</v>
      </c>
      <c r="AF77" s="9"/>
      <c r="AG77" s="22">
        <v>0.237427</v>
      </c>
      <c r="AH77" s="22">
        <v>19.403400000000001</v>
      </c>
      <c r="AI77" s="22">
        <v>-1.3372800000000001E-2</v>
      </c>
      <c r="AJ77" s="22">
        <v>67</v>
      </c>
      <c r="AK77" s="22">
        <v>0.23690800000000001</v>
      </c>
      <c r="AL77">
        <f t="shared" si="18"/>
        <v>16.509629629629632</v>
      </c>
      <c r="AM77">
        <f t="shared" si="19"/>
        <v>3.9198318340740745</v>
      </c>
      <c r="AP77" s="9"/>
      <c r="AQ77" s="22">
        <v>1.3826000000000001</v>
      </c>
      <c r="AR77" s="22">
        <v>24.7395</v>
      </c>
      <c r="AS77" s="22">
        <v>-1.0406500000000001E-2</v>
      </c>
      <c r="AT77" s="22">
        <v>67</v>
      </c>
      <c r="AU77" s="22">
        <v>1.3815299999999999</v>
      </c>
      <c r="AV77">
        <f t="shared" si="20"/>
        <v>12.84753086419753</v>
      </c>
      <c r="AW77">
        <f t="shared" si="21"/>
        <v>17.762996172839507</v>
      </c>
      <c r="AX77" s="9"/>
      <c r="AY77" s="22">
        <v>0.237427</v>
      </c>
      <c r="AZ77" s="22">
        <v>28.397600000000001</v>
      </c>
      <c r="BA77" s="22">
        <v>-1.3406400000000001E-2</v>
      </c>
      <c r="BB77" s="22">
        <v>67</v>
      </c>
      <c r="BC77" s="22">
        <v>0.23693800000000001</v>
      </c>
      <c r="BD77">
        <f t="shared" si="22"/>
        <v>16.551111111111108</v>
      </c>
      <c r="BE77">
        <f t="shared" si="23"/>
        <v>3.929680657777777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6.7451699999999999</v>
      </c>
      <c r="I78" s="22">
        <v>-9.9426299999999992E-3</v>
      </c>
      <c r="J78" s="22">
        <v>68</v>
      </c>
      <c r="K78" s="22">
        <v>1.3772599999999999</v>
      </c>
      <c r="L78">
        <f t="shared" si="12"/>
        <v>12.274851851851849</v>
      </c>
      <c r="M78">
        <f t="shared" si="13"/>
        <v>16.909344917037032</v>
      </c>
      <c r="N78" s="9"/>
      <c r="O78" s="22">
        <v>0.24246200000000001</v>
      </c>
      <c r="P78" s="22">
        <v>10.4032</v>
      </c>
      <c r="Q78" s="22">
        <v>-1.3174399999999999E-2</v>
      </c>
      <c r="R78" s="22">
        <v>68</v>
      </c>
      <c r="S78" s="22">
        <v>0.24197399999999999</v>
      </c>
      <c r="T78">
        <f t="shared" si="14"/>
        <v>16.264691358024692</v>
      </c>
      <c r="U78">
        <f t="shared" si="15"/>
        <v>3.9435695960493828</v>
      </c>
      <c r="X78" s="9"/>
      <c r="Y78" s="22">
        <v>1.3775599999999999</v>
      </c>
      <c r="Z78" s="22">
        <v>15.7554</v>
      </c>
      <c r="AA78" s="22">
        <v>-1.04645E-2</v>
      </c>
      <c r="AB78" s="22">
        <v>68</v>
      </c>
      <c r="AC78" s="22">
        <v>1.3766499999999999</v>
      </c>
      <c r="AD78">
        <f t="shared" si="16"/>
        <v>12.919135802469135</v>
      </c>
      <c r="AE78">
        <f t="shared" si="17"/>
        <v>17.79688471604938</v>
      </c>
      <c r="AF78" s="9"/>
      <c r="AG78" s="22">
        <v>0.24246200000000001</v>
      </c>
      <c r="AH78" s="22">
        <v>19.413399999999999</v>
      </c>
      <c r="AI78" s="22">
        <v>-1.3378900000000001E-2</v>
      </c>
      <c r="AJ78" s="22">
        <v>68</v>
      </c>
      <c r="AK78" s="22">
        <v>0.24191299999999999</v>
      </c>
      <c r="AL78">
        <f t="shared" si="18"/>
        <v>16.517160493827159</v>
      </c>
      <c r="AM78">
        <f t="shared" si="19"/>
        <v>4.0047837676543212</v>
      </c>
      <c r="AP78" s="9"/>
      <c r="AQ78" s="22">
        <v>1.3775599999999999</v>
      </c>
      <c r="AR78" s="22">
        <v>24.749600000000001</v>
      </c>
      <c r="AS78" s="22">
        <v>-1.04919E-2</v>
      </c>
      <c r="AT78" s="22">
        <v>68</v>
      </c>
      <c r="AU78" s="22">
        <v>1.3763399999999999</v>
      </c>
      <c r="AV78">
        <f t="shared" si="20"/>
        <v>12.952962962962962</v>
      </c>
      <c r="AW78">
        <f t="shared" si="21"/>
        <v>17.843483659259256</v>
      </c>
      <c r="AX78" s="9"/>
      <c r="AY78" s="22">
        <v>0.24246200000000001</v>
      </c>
      <c r="AZ78" s="22">
        <v>28.407599999999999</v>
      </c>
      <c r="BA78" s="22">
        <v>-1.34033E-2</v>
      </c>
      <c r="BB78" s="22">
        <v>68</v>
      </c>
      <c r="BC78" s="22">
        <v>0.24191299999999999</v>
      </c>
      <c r="BD78">
        <f t="shared" si="22"/>
        <v>16.547283950617281</v>
      </c>
      <c r="BE78">
        <f t="shared" si="23"/>
        <v>4.0120875612345674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6.7552399999999997</v>
      </c>
      <c r="I79" s="22">
        <v>-1.00067E-2</v>
      </c>
      <c r="J79" s="22">
        <v>69</v>
      </c>
      <c r="K79" s="22">
        <v>1.3717699999999999</v>
      </c>
      <c r="L79">
        <f t="shared" si="12"/>
        <v>12.353950617283949</v>
      </c>
      <c r="M79">
        <f t="shared" si="13"/>
        <v>16.95616784074074</v>
      </c>
      <c r="N79" s="9"/>
      <c r="O79" s="22">
        <v>0.247498</v>
      </c>
      <c r="P79" s="22">
        <v>10.4133</v>
      </c>
      <c r="Q79" s="22">
        <v>-1.3174399999999999E-2</v>
      </c>
      <c r="R79" s="22">
        <v>69</v>
      </c>
      <c r="S79" s="22">
        <v>0.24700900000000001</v>
      </c>
      <c r="T79">
        <f t="shared" si="14"/>
        <v>16.264691358024692</v>
      </c>
      <c r="U79">
        <f t="shared" si="15"/>
        <v>4.0254785817283949</v>
      </c>
      <c r="X79" s="9"/>
      <c r="Y79" s="22">
        <v>1.37253</v>
      </c>
      <c r="Z79" s="22">
        <v>15.7654</v>
      </c>
      <c r="AA79" s="22">
        <v>-1.0549899999999999E-2</v>
      </c>
      <c r="AB79" s="22">
        <v>69</v>
      </c>
      <c r="AC79" s="22">
        <v>1.3714599999999999</v>
      </c>
      <c r="AD79">
        <f t="shared" si="16"/>
        <v>13.024567901234567</v>
      </c>
      <c r="AE79">
        <f t="shared" si="17"/>
        <v>17.876610181481482</v>
      </c>
      <c r="AF79" s="9"/>
      <c r="AG79" s="22">
        <v>0.247498</v>
      </c>
      <c r="AH79" s="22">
        <v>19.423500000000001</v>
      </c>
      <c r="AI79" s="22">
        <v>-1.3384999999999999E-2</v>
      </c>
      <c r="AJ79" s="22">
        <v>69</v>
      </c>
      <c r="AK79" s="22">
        <v>0.246979</v>
      </c>
      <c r="AL79">
        <f t="shared" si="18"/>
        <v>16.52469135802469</v>
      </c>
      <c r="AM79">
        <f t="shared" si="19"/>
        <v>4.0898280617283946</v>
      </c>
      <c r="AP79" s="9"/>
      <c r="AQ79" s="22">
        <v>1.37253</v>
      </c>
      <c r="AR79" s="22">
        <v>24.759699999999999</v>
      </c>
      <c r="AS79" s="22">
        <v>-1.0577400000000001E-2</v>
      </c>
      <c r="AT79" s="22">
        <v>69</v>
      </c>
      <c r="AU79" s="22">
        <v>1.3714599999999999</v>
      </c>
      <c r="AV79">
        <f t="shared" si="20"/>
        <v>13.058518518518518</v>
      </c>
      <c r="AW79">
        <f t="shared" si="21"/>
        <v>17.923208422222221</v>
      </c>
      <c r="AX79" s="9"/>
      <c r="AY79" s="22">
        <v>0.247498</v>
      </c>
      <c r="AZ79" s="22">
        <v>28.4177</v>
      </c>
      <c r="BA79" s="22">
        <v>-1.34094E-2</v>
      </c>
      <c r="BB79" s="22">
        <v>69</v>
      </c>
      <c r="BC79" s="22">
        <v>0.246979</v>
      </c>
      <c r="BD79">
        <f t="shared" si="22"/>
        <v>16.554814814814815</v>
      </c>
      <c r="BE79">
        <f t="shared" si="23"/>
        <v>4.0972835570370369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6.7653100000000004</v>
      </c>
      <c r="I80" s="22">
        <v>-1.0067700000000001E-2</v>
      </c>
      <c r="J80" s="22">
        <v>70</v>
      </c>
      <c r="K80" s="22">
        <v>1.3668800000000001</v>
      </c>
      <c r="L80">
        <f t="shared" si="12"/>
        <v>12.429259259259259</v>
      </c>
      <c r="M80">
        <f t="shared" si="13"/>
        <v>16.996887744444447</v>
      </c>
      <c r="N80" s="9"/>
      <c r="O80" s="22">
        <v>0.25253300000000001</v>
      </c>
      <c r="P80" s="22">
        <v>10.423400000000001</v>
      </c>
      <c r="Q80" s="22">
        <v>-1.3174399999999999E-2</v>
      </c>
      <c r="R80" s="22">
        <v>70</v>
      </c>
      <c r="S80" s="22">
        <v>0.25201400000000002</v>
      </c>
      <c r="T80">
        <f t="shared" si="14"/>
        <v>16.264691358024692</v>
      </c>
      <c r="U80">
        <f t="shared" si="15"/>
        <v>4.1073713027160492</v>
      </c>
      <c r="X80" s="9"/>
      <c r="Y80" s="22">
        <v>1.3674900000000001</v>
      </c>
      <c r="Z80" s="22">
        <v>15.775499999999999</v>
      </c>
      <c r="AA80" s="22">
        <v>-1.0617100000000001E-2</v>
      </c>
      <c r="AB80" s="22">
        <v>70</v>
      </c>
      <c r="AC80" s="22">
        <v>1.3656600000000001</v>
      </c>
      <c r="AD80">
        <f t="shared" si="16"/>
        <v>13.10753086419753</v>
      </c>
      <c r="AE80">
        <f t="shared" si="17"/>
        <v>17.924417381481483</v>
      </c>
      <c r="AF80" s="9"/>
      <c r="AG80" s="22">
        <v>0.25253300000000001</v>
      </c>
      <c r="AH80" s="22">
        <v>19.433599999999998</v>
      </c>
      <c r="AI80" s="22">
        <v>-1.3384999999999999E-2</v>
      </c>
      <c r="AJ80" s="22">
        <v>70</v>
      </c>
      <c r="AK80" s="22">
        <v>0.25198399999999999</v>
      </c>
      <c r="AL80">
        <f t="shared" si="18"/>
        <v>16.52469135802469</v>
      </c>
      <c r="AM80">
        <f t="shared" si="19"/>
        <v>4.1730298827160492</v>
      </c>
      <c r="AP80" s="9"/>
      <c r="AQ80" s="22">
        <v>1.3674900000000001</v>
      </c>
      <c r="AR80" s="22">
        <v>24.7697</v>
      </c>
      <c r="AS80" s="22">
        <v>-1.06567E-2</v>
      </c>
      <c r="AT80" s="22">
        <v>70</v>
      </c>
      <c r="AU80" s="22">
        <v>1.3674900000000001</v>
      </c>
      <c r="AV80">
        <f t="shared" si="20"/>
        <v>13.15641975308642</v>
      </c>
      <c r="AW80">
        <f t="shared" si="21"/>
        <v>17.991272448148148</v>
      </c>
      <c r="AX80" s="9"/>
      <c r="AY80" s="22">
        <v>0.25253300000000001</v>
      </c>
      <c r="AZ80" s="22">
        <v>28.427800000000001</v>
      </c>
      <c r="BA80" s="22">
        <v>-1.34094E-2</v>
      </c>
      <c r="BB80" s="22">
        <v>70</v>
      </c>
      <c r="BC80" s="22">
        <v>0.25192300000000001</v>
      </c>
      <c r="BD80">
        <f t="shared" si="22"/>
        <v>16.554814814814815</v>
      </c>
      <c r="BE80">
        <f t="shared" si="23"/>
        <v>4.1806370496296301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6.7753800000000002</v>
      </c>
      <c r="I81" s="22">
        <v>-1.01318E-2</v>
      </c>
      <c r="J81" s="22">
        <v>71</v>
      </c>
      <c r="K81" s="22">
        <v>1.3613900000000001</v>
      </c>
      <c r="L81">
        <f t="shared" si="12"/>
        <v>12.508395061728393</v>
      </c>
      <c r="M81">
        <f t="shared" si="13"/>
        <v>17.042187935802467</v>
      </c>
      <c r="N81" s="9"/>
      <c r="O81" s="22">
        <v>0.25756800000000002</v>
      </c>
      <c r="P81" s="22">
        <v>10.433400000000001</v>
      </c>
      <c r="Q81" s="22">
        <v>-1.3162200000000001E-2</v>
      </c>
      <c r="R81" s="22">
        <v>71</v>
      </c>
      <c r="S81" s="22">
        <v>0.25705</v>
      </c>
      <c r="T81">
        <f t="shared" si="14"/>
        <v>16.249629629629627</v>
      </c>
      <c r="U81">
        <f t="shared" si="15"/>
        <v>4.1853846044444438</v>
      </c>
      <c r="X81" s="9"/>
      <c r="Y81" s="22">
        <v>1.36246</v>
      </c>
      <c r="Z81" s="22">
        <v>15.785600000000001</v>
      </c>
      <c r="AA81" s="22">
        <v>-1.06903E-2</v>
      </c>
      <c r="AB81" s="22">
        <v>71</v>
      </c>
      <c r="AC81" s="22">
        <v>1.3620000000000001</v>
      </c>
      <c r="AD81">
        <f t="shared" si="16"/>
        <v>13.197901234567899</v>
      </c>
      <c r="AE81">
        <f t="shared" si="17"/>
        <v>17.981612516049381</v>
      </c>
      <c r="AF81" s="9"/>
      <c r="AG81" s="22">
        <v>0.25756800000000002</v>
      </c>
      <c r="AH81" s="22">
        <v>19.4436</v>
      </c>
      <c r="AI81" s="22">
        <v>-1.3384999999999999E-2</v>
      </c>
      <c r="AJ81" s="22">
        <v>71</v>
      </c>
      <c r="AK81" s="22">
        <v>0.257019</v>
      </c>
      <c r="AL81">
        <f t="shared" si="18"/>
        <v>16.52469135802469</v>
      </c>
      <c r="AM81">
        <f t="shared" si="19"/>
        <v>4.2562317037037039</v>
      </c>
      <c r="AP81" s="9"/>
      <c r="AQ81" s="22">
        <v>1.36246</v>
      </c>
      <c r="AR81" s="22">
        <v>24.779800000000002</v>
      </c>
      <c r="AS81" s="22">
        <v>-1.0732999999999999E-2</v>
      </c>
      <c r="AT81" s="22">
        <v>71</v>
      </c>
      <c r="AU81" s="22">
        <v>1.3610800000000001</v>
      </c>
      <c r="AV81">
        <f t="shared" si="20"/>
        <v>13.250617283950616</v>
      </c>
      <c r="AW81">
        <f t="shared" si="21"/>
        <v>18.053436024691358</v>
      </c>
      <c r="AX81" s="9"/>
      <c r="AY81" s="22">
        <v>0.25756800000000002</v>
      </c>
      <c r="AZ81" s="22">
        <v>28.437899999999999</v>
      </c>
      <c r="BA81" s="22">
        <v>-1.34003E-2</v>
      </c>
      <c r="BB81" s="22">
        <v>71</v>
      </c>
      <c r="BC81" s="22">
        <v>0.25698900000000002</v>
      </c>
      <c r="BD81">
        <f t="shared" si="22"/>
        <v>16.543580246913578</v>
      </c>
      <c r="BE81">
        <f t="shared" si="23"/>
        <v>4.261096877037037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6.78545</v>
      </c>
      <c r="I82" s="22">
        <v>-1.0195900000000001E-2</v>
      </c>
      <c r="J82" s="22">
        <v>72</v>
      </c>
      <c r="K82" s="22">
        <v>1.3562000000000001</v>
      </c>
      <c r="L82">
        <f t="shared" si="12"/>
        <v>12.587530864197531</v>
      </c>
      <c r="M82">
        <f t="shared" si="13"/>
        <v>17.086566145679011</v>
      </c>
      <c r="N82" s="9"/>
      <c r="O82" s="22">
        <v>0.262604</v>
      </c>
      <c r="P82" s="22">
        <v>10.4435</v>
      </c>
      <c r="Q82" s="22">
        <v>-1.3162200000000001E-2</v>
      </c>
      <c r="R82" s="22">
        <v>72</v>
      </c>
      <c r="S82" s="22">
        <v>0.26208500000000001</v>
      </c>
      <c r="T82">
        <f t="shared" si="14"/>
        <v>16.249629629629627</v>
      </c>
      <c r="U82">
        <f t="shared" si="15"/>
        <v>4.2672177392592587</v>
      </c>
      <c r="X82" s="9"/>
      <c r="Y82" s="22">
        <v>1.3574200000000001</v>
      </c>
      <c r="Z82" s="22">
        <v>15.7957</v>
      </c>
      <c r="AA82" s="22">
        <v>-1.0760499999999999E-2</v>
      </c>
      <c r="AB82" s="22">
        <v>72</v>
      </c>
      <c r="AC82" s="22">
        <v>1.3565100000000001</v>
      </c>
      <c r="AD82">
        <f t="shared" si="16"/>
        <v>13.284567901234567</v>
      </c>
      <c r="AE82">
        <f t="shared" si="17"/>
        <v>18.032738160493828</v>
      </c>
      <c r="AF82" s="9"/>
      <c r="AG82" s="22">
        <v>0.262604</v>
      </c>
      <c r="AH82" s="22">
        <v>19.453700000000001</v>
      </c>
      <c r="AI82" s="22">
        <v>-1.33759E-2</v>
      </c>
      <c r="AJ82" s="22">
        <v>72</v>
      </c>
      <c r="AK82" s="22">
        <v>0.26205400000000001</v>
      </c>
      <c r="AL82">
        <f t="shared" si="18"/>
        <v>16.513456790123456</v>
      </c>
      <c r="AM82">
        <f t="shared" si="19"/>
        <v>4.3364998069135803</v>
      </c>
      <c r="AP82" s="9"/>
      <c r="AQ82" s="22">
        <v>1.3574200000000001</v>
      </c>
      <c r="AR82" s="22">
        <v>24.789899999999999</v>
      </c>
      <c r="AS82" s="22">
        <v>-1.08124E-2</v>
      </c>
      <c r="AT82" s="22">
        <v>72</v>
      </c>
      <c r="AU82" s="22">
        <v>1.3568100000000001</v>
      </c>
      <c r="AV82">
        <f t="shared" si="20"/>
        <v>13.348641975308642</v>
      </c>
      <c r="AW82">
        <f t="shared" si="21"/>
        <v>18.119713590123457</v>
      </c>
      <c r="AX82" s="9"/>
      <c r="AY82" s="22">
        <v>0.262604</v>
      </c>
      <c r="AZ82" s="22">
        <v>28.447900000000001</v>
      </c>
      <c r="BA82" s="22">
        <v>-1.33911E-2</v>
      </c>
      <c r="BB82" s="22">
        <v>72</v>
      </c>
      <c r="BC82" s="22">
        <v>0.26202399999999998</v>
      </c>
      <c r="BD82">
        <f t="shared" si="22"/>
        <v>16.53222222222222</v>
      </c>
      <c r="BE82">
        <f t="shared" si="23"/>
        <v>4.3414276844444437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6.7955199999999998</v>
      </c>
      <c r="I83" s="22">
        <v>-1.0257E-2</v>
      </c>
      <c r="J83" s="22">
        <v>73</v>
      </c>
      <c r="K83" s="22">
        <v>1.35101</v>
      </c>
      <c r="L83">
        <f t="shared" si="12"/>
        <v>12.662962962962963</v>
      </c>
      <c r="M83">
        <f t="shared" si="13"/>
        <v>17.12526448148148</v>
      </c>
      <c r="N83" s="9"/>
      <c r="O83" s="22">
        <v>0.26763900000000002</v>
      </c>
      <c r="P83" s="22">
        <v>10.4536</v>
      </c>
      <c r="Q83" s="22">
        <v>-1.31561E-2</v>
      </c>
      <c r="R83" s="22">
        <v>73</v>
      </c>
      <c r="S83" s="22">
        <v>0.26705899999999999</v>
      </c>
      <c r="T83">
        <f t="shared" si="14"/>
        <v>16.2420987654321</v>
      </c>
      <c r="U83">
        <f t="shared" si="15"/>
        <v>4.3470190714814825</v>
      </c>
      <c r="X83" s="9"/>
      <c r="Y83" s="22">
        <v>1.35239</v>
      </c>
      <c r="Z83" s="22">
        <v>15.8057</v>
      </c>
      <c r="AA83" s="22">
        <v>-1.08307E-2</v>
      </c>
      <c r="AB83" s="22">
        <v>73</v>
      </c>
      <c r="AC83" s="22">
        <v>1.35162</v>
      </c>
      <c r="AD83">
        <f t="shared" si="16"/>
        <v>13.371234567901235</v>
      </c>
      <c r="AE83">
        <f t="shared" si="17"/>
        <v>18.083123917283952</v>
      </c>
      <c r="AF83" s="9"/>
      <c r="AG83" s="22">
        <v>0.26763900000000002</v>
      </c>
      <c r="AH83" s="22">
        <v>19.463799999999999</v>
      </c>
      <c r="AI83" s="22">
        <v>-1.3369799999999999E-2</v>
      </c>
      <c r="AJ83" s="22">
        <v>73</v>
      </c>
      <c r="AK83" s="22">
        <v>0.26702900000000002</v>
      </c>
      <c r="AL83">
        <f t="shared" si="18"/>
        <v>16.505925925925922</v>
      </c>
      <c r="AM83">
        <f t="shared" si="19"/>
        <v>4.4176295088888882</v>
      </c>
      <c r="AP83" s="9"/>
      <c r="AQ83" s="22">
        <v>1.35239</v>
      </c>
      <c r="AR83" s="22">
        <v>24.8</v>
      </c>
      <c r="AS83" s="22">
        <v>-1.08856E-2</v>
      </c>
      <c r="AT83" s="22">
        <v>73</v>
      </c>
      <c r="AU83" s="22">
        <v>1.35162</v>
      </c>
      <c r="AV83">
        <f t="shared" si="20"/>
        <v>13.439012345679012</v>
      </c>
      <c r="AW83">
        <f t="shared" si="21"/>
        <v>18.17478590617284</v>
      </c>
      <c r="AX83" s="9"/>
      <c r="AY83" s="22">
        <v>0.26763900000000002</v>
      </c>
      <c r="AZ83" s="22">
        <v>28.457999999999998</v>
      </c>
      <c r="BA83" s="22">
        <v>-1.3382E-2</v>
      </c>
      <c r="BB83" s="22">
        <v>73</v>
      </c>
      <c r="BC83" s="22">
        <v>0.26708999999999999</v>
      </c>
      <c r="BD83">
        <f t="shared" si="22"/>
        <v>16.520987654320987</v>
      </c>
      <c r="BE83">
        <f t="shared" si="23"/>
        <v>4.4216606148148152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6.8055899999999996</v>
      </c>
      <c r="I84" s="22">
        <v>-1.0318000000000001E-2</v>
      </c>
      <c r="J84" s="22">
        <v>74</v>
      </c>
      <c r="K84" s="22">
        <v>1.3464400000000001</v>
      </c>
      <c r="L84">
        <f t="shared" si="12"/>
        <v>12.738271604938271</v>
      </c>
      <c r="M84">
        <f t="shared" si="13"/>
        <v>17.162910246913579</v>
      </c>
      <c r="N84" s="9"/>
      <c r="O84" s="22">
        <v>0.272675</v>
      </c>
      <c r="P84" s="22">
        <v>10.4636</v>
      </c>
      <c r="Q84" s="22">
        <v>-1.31561E-2</v>
      </c>
      <c r="R84" s="22">
        <v>74</v>
      </c>
      <c r="S84" s="22">
        <v>0.27215600000000001</v>
      </c>
      <c r="T84">
        <f t="shared" si="14"/>
        <v>16.2420987654321</v>
      </c>
      <c r="U84">
        <f t="shared" si="15"/>
        <v>4.4288142808641977</v>
      </c>
      <c r="X84" s="9"/>
      <c r="Y84" s="22">
        <v>1.34735</v>
      </c>
      <c r="Z84" s="22">
        <v>15.815799999999999</v>
      </c>
      <c r="AA84" s="22">
        <v>-1.0897799999999999E-2</v>
      </c>
      <c r="AB84" s="22">
        <v>74</v>
      </c>
      <c r="AC84" s="22">
        <v>1.34613</v>
      </c>
      <c r="AD84">
        <f t="shared" si="16"/>
        <v>13.454074074074072</v>
      </c>
      <c r="AE84">
        <f t="shared" si="17"/>
        <v>18.127346703703701</v>
      </c>
      <c r="AF84" s="9"/>
      <c r="AG84" s="22">
        <v>0.272675</v>
      </c>
      <c r="AH84" s="22">
        <v>19.473800000000001</v>
      </c>
      <c r="AI84" s="22">
        <v>-1.3369799999999999E-2</v>
      </c>
      <c r="AJ84" s="22">
        <v>74</v>
      </c>
      <c r="AK84" s="22">
        <v>0.27209499999999998</v>
      </c>
      <c r="AL84">
        <f t="shared" si="18"/>
        <v>16.505925925925922</v>
      </c>
      <c r="AM84">
        <f t="shared" si="19"/>
        <v>4.5007533518518512</v>
      </c>
      <c r="AP84" s="9"/>
      <c r="AQ84" s="22">
        <v>1.34735</v>
      </c>
      <c r="AR84" s="22">
        <v>24.81</v>
      </c>
      <c r="AS84" s="22">
        <v>-1.09619E-2</v>
      </c>
      <c r="AT84" s="22">
        <v>74</v>
      </c>
      <c r="AU84" s="22">
        <v>1.3464400000000001</v>
      </c>
      <c r="AV84">
        <f t="shared" si="20"/>
        <v>13.533209876543209</v>
      </c>
      <c r="AW84">
        <f t="shared" si="21"/>
        <v>18.233970327160492</v>
      </c>
      <c r="AX84" s="9"/>
      <c r="AY84" s="22">
        <v>0.272675</v>
      </c>
      <c r="AZ84" s="22">
        <v>28.4681</v>
      </c>
      <c r="BA84" s="22">
        <v>-1.3378900000000001E-2</v>
      </c>
      <c r="BB84" s="22">
        <v>74</v>
      </c>
      <c r="BC84" s="22">
        <v>0.27212500000000001</v>
      </c>
      <c r="BD84">
        <f t="shared" si="22"/>
        <v>16.517160493827159</v>
      </c>
      <c r="BE84">
        <f t="shared" si="23"/>
        <v>4.5038167376543203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6.8156600000000003</v>
      </c>
      <c r="I85" s="22">
        <v>-1.0376E-2</v>
      </c>
      <c r="J85" s="22">
        <v>75</v>
      </c>
      <c r="K85" s="22">
        <v>1.3406400000000001</v>
      </c>
      <c r="L85">
        <f t="shared" si="12"/>
        <v>12.809876543209876</v>
      </c>
      <c r="M85">
        <f t="shared" si="13"/>
        <v>17.19495348148148</v>
      </c>
      <c r="N85" s="9"/>
      <c r="O85" s="22">
        <v>0.27771000000000001</v>
      </c>
      <c r="P85" s="22">
        <v>10.473699999999999</v>
      </c>
      <c r="Q85" s="22">
        <v>-1.31561E-2</v>
      </c>
      <c r="R85" s="22">
        <v>75</v>
      </c>
      <c r="S85" s="22">
        <v>0.27719100000000002</v>
      </c>
      <c r="T85">
        <f t="shared" si="14"/>
        <v>16.2420987654321</v>
      </c>
      <c r="U85">
        <f t="shared" si="15"/>
        <v>4.5105932481481492</v>
      </c>
      <c r="X85" s="9"/>
      <c r="Y85" s="22">
        <v>1.34232</v>
      </c>
      <c r="Z85" s="22">
        <v>15.825900000000001</v>
      </c>
      <c r="AA85" s="22">
        <v>-1.0968E-2</v>
      </c>
      <c r="AB85" s="22">
        <v>75</v>
      </c>
      <c r="AC85" s="22">
        <v>1.34155</v>
      </c>
      <c r="AD85">
        <f t="shared" si="16"/>
        <v>13.540740740740741</v>
      </c>
      <c r="AE85">
        <f t="shared" si="17"/>
        <v>18.176007111111112</v>
      </c>
      <c r="AF85" s="9"/>
      <c r="AG85" s="22">
        <v>0.27771000000000001</v>
      </c>
      <c r="AH85" s="22">
        <v>19.483899999999998</v>
      </c>
      <c r="AI85" s="22">
        <v>-1.33667E-2</v>
      </c>
      <c r="AJ85" s="22">
        <v>75</v>
      </c>
      <c r="AK85" s="22">
        <v>0.27719100000000002</v>
      </c>
      <c r="AL85">
        <f t="shared" si="18"/>
        <v>16.502098765432098</v>
      </c>
      <c r="AM85">
        <f t="shared" si="19"/>
        <v>4.5827978481481484</v>
      </c>
      <c r="AP85" s="9"/>
      <c r="AQ85" s="22">
        <v>1.34232</v>
      </c>
      <c r="AR85" s="22">
        <v>24.8201</v>
      </c>
      <c r="AS85" s="22">
        <v>-1.10291E-2</v>
      </c>
      <c r="AT85" s="22">
        <v>75</v>
      </c>
      <c r="AU85" s="22">
        <v>1.3412500000000001</v>
      </c>
      <c r="AV85">
        <f t="shared" si="20"/>
        <v>13.616172839506172</v>
      </c>
      <c r="AW85">
        <f t="shared" si="21"/>
        <v>18.277261125925925</v>
      </c>
      <c r="AX85" s="9"/>
      <c r="AY85" s="22">
        <v>0.27771000000000001</v>
      </c>
      <c r="AZ85" s="22">
        <v>28.478100000000001</v>
      </c>
      <c r="BA85" s="22">
        <v>-1.3378900000000001E-2</v>
      </c>
      <c r="BB85" s="22">
        <v>75</v>
      </c>
      <c r="BC85" s="22">
        <v>0.27719100000000002</v>
      </c>
      <c r="BD85">
        <f t="shared" si="22"/>
        <v>16.517160493827159</v>
      </c>
      <c r="BE85">
        <f t="shared" si="23"/>
        <v>4.586980640740741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6.8257300000000001</v>
      </c>
      <c r="I86" s="22">
        <v>-1.0434000000000001E-2</v>
      </c>
      <c r="J86" s="22">
        <v>76</v>
      </c>
      <c r="K86" s="22">
        <v>1.33636</v>
      </c>
      <c r="L86">
        <f t="shared" si="12"/>
        <v>12.881481481481481</v>
      </c>
      <c r="M86">
        <f t="shared" si="13"/>
        <v>17.226147555555556</v>
      </c>
      <c r="N86" s="9"/>
      <c r="O86" s="22">
        <v>0.28274500000000002</v>
      </c>
      <c r="P86" s="22">
        <v>10.4838</v>
      </c>
      <c r="Q86" s="22">
        <v>-1.315E-2</v>
      </c>
      <c r="R86" s="22">
        <v>76</v>
      </c>
      <c r="S86" s="22">
        <v>0.282196</v>
      </c>
      <c r="T86">
        <f t="shared" si="14"/>
        <v>16.234567901234566</v>
      </c>
      <c r="U86">
        <f t="shared" si="15"/>
        <v>4.5902429012345678</v>
      </c>
      <c r="X86" s="9"/>
      <c r="Y86" s="22">
        <v>1.33728</v>
      </c>
      <c r="Z86" s="22">
        <v>15.835900000000001</v>
      </c>
      <c r="AA86" s="22">
        <v>-1.10352E-2</v>
      </c>
      <c r="AB86" s="22">
        <v>76</v>
      </c>
      <c r="AC86" s="22">
        <v>1.33667</v>
      </c>
      <c r="AD86">
        <f t="shared" si="16"/>
        <v>13.623703703703704</v>
      </c>
      <c r="AE86">
        <f t="shared" si="17"/>
        <v>18.218706488888891</v>
      </c>
      <c r="AF86" s="9"/>
      <c r="AG86" s="22">
        <v>0.28274500000000002</v>
      </c>
      <c r="AH86" s="22">
        <v>19.494</v>
      </c>
      <c r="AI86" s="22">
        <v>-1.33667E-2</v>
      </c>
      <c r="AJ86" s="22">
        <v>76</v>
      </c>
      <c r="AK86" s="22">
        <v>0.282196</v>
      </c>
      <c r="AL86">
        <f t="shared" si="18"/>
        <v>16.502098765432098</v>
      </c>
      <c r="AM86">
        <f t="shared" si="19"/>
        <v>4.6658859154320993</v>
      </c>
      <c r="AP86" s="9"/>
      <c r="AQ86" s="22">
        <v>1.33728</v>
      </c>
      <c r="AR86" s="22">
        <v>24.830200000000001</v>
      </c>
      <c r="AS86" s="22">
        <v>-1.1096200000000001E-2</v>
      </c>
      <c r="AT86" s="22">
        <v>76</v>
      </c>
      <c r="AU86" s="22">
        <v>1.33606</v>
      </c>
      <c r="AV86">
        <f t="shared" si="20"/>
        <v>13.699012345679012</v>
      </c>
      <c r="AW86">
        <f t="shared" si="21"/>
        <v>18.31941522962963</v>
      </c>
      <c r="AX86" s="9"/>
      <c r="AY86" s="22">
        <v>0.28274500000000002</v>
      </c>
      <c r="AZ86" s="22">
        <v>28.488199999999999</v>
      </c>
      <c r="BA86" s="22">
        <v>-1.3372800000000001E-2</v>
      </c>
      <c r="BB86" s="22">
        <v>76</v>
      </c>
      <c r="BC86" s="22">
        <v>0.28222700000000001</v>
      </c>
      <c r="BD86">
        <f t="shared" si="22"/>
        <v>16.509629629629632</v>
      </c>
      <c r="BE86">
        <f t="shared" si="23"/>
        <v>4.6680152296296304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6.8358100000000004</v>
      </c>
      <c r="I87" s="22">
        <v>-1.04828E-2</v>
      </c>
      <c r="J87" s="22">
        <v>77</v>
      </c>
      <c r="K87" s="22">
        <v>1.33118</v>
      </c>
      <c r="L87">
        <f t="shared" si="12"/>
        <v>12.941728395061729</v>
      </c>
      <c r="M87">
        <f t="shared" si="13"/>
        <v>17.241488237037039</v>
      </c>
      <c r="N87" s="9"/>
      <c r="O87" s="22">
        <v>0.28778100000000001</v>
      </c>
      <c r="P87" s="22">
        <v>10.4939</v>
      </c>
      <c r="Q87" s="22">
        <v>-1.31378E-2</v>
      </c>
      <c r="R87" s="22">
        <v>77</v>
      </c>
      <c r="S87" s="22">
        <v>0.28723100000000001</v>
      </c>
      <c r="T87">
        <f t="shared" si="14"/>
        <v>16.219506172839505</v>
      </c>
      <c r="U87">
        <f t="shared" si="15"/>
        <v>4.6676657059259261</v>
      </c>
      <c r="X87" s="9"/>
      <c r="Y87" s="22">
        <v>1.3322400000000001</v>
      </c>
      <c r="Z87" s="22">
        <v>15.846</v>
      </c>
      <c r="AA87" s="22">
        <v>-1.1102300000000001E-2</v>
      </c>
      <c r="AB87" s="22">
        <v>77</v>
      </c>
      <c r="AC87" s="22">
        <v>1.33118</v>
      </c>
      <c r="AD87">
        <f t="shared" si="16"/>
        <v>13.706543209876543</v>
      </c>
      <c r="AE87">
        <f t="shared" si="17"/>
        <v>18.260405125925928</v>
      </c>
      <c r="AF87" s="9"/>
      <c r="AG87" s="22">
        <v>0.28778100000000001</v>
      </c>
      <c r="AH87" s="22">
        <v>19.504100000000001</v>
      </c>
      <c r="AI87" s="22">
        <v>-1.33636E-2</v>
      </c>
      <c r="AJ87" s="22">
        <v>77</v>
      </c>
      <c r="AK87" s="22">
        <v>0.28726200000000002</v>
      </c>
      <c r="AL87">
        <f t="shared" si="18"/>
        <v>16.498271604938271</v>
      </c>
      <c r="AM87">
        <f t="shared" si="19"/>
        <v>4.7478891007407409</v>
      </c>
      <c r="AP87" s="9"/>
      <c r="AQ87" s="22">
        <v>1.3322400000000001</v>
      </c>
      <c r="AR87" s="22">
        <v>24.840199999999999</v>
      </c>
      <c r="AS87" s="22">
        <v>-1.11542E-2</v>
      </c>
      <c r="AT87" s="22">
        <v>77</v>
      </c>
      <c r="AU87" s="22">
        <v>1.33179</v>
      </c>
      <c r="AV87">
        <f t="shared" si="20"/>
        <v>13.770617283950616</v>
      </c>
      <c r="AW87">
        <f t="shared" si="21"/>
        <v>18.345767170370369</v>
      </c>
      <c r="AX87" s="9"/>
      <c r="AY87" s="22">
        <v>0.28778100000000001</v>
      </c>
      <c r="AZ87" s="22">
        <v>28.4983</v>
      </c>
      <c r="BA87" s="22">
        <v>-1.33759E-2</v>
      </c>
      <c r="BB87" s="22">
        <v>77</v>
      </c>
      <c r="BC87" s="22">
        <v>0.28726200000000002</v>
      </c>
      <c r="BD87">
        <f t="shared" si="22"/>
        <v>16.513456790123456</v>
      </c>
      <c r="BE87">
        <f t="shared" si="23"/>
        <v>4.7522591085185182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6.8458800000000002</v>
      </c>
      <c r="I88" s="22">
        <v>-1.0537700000000001E-2</v>
      </c>
      <c r="J88" s="22">
        <v>78</v>
      </c>
      <c r="K88" s="22">
        <v>1.3269</v>
      </c>
      <c r="L88">
        <f t="shared" si="12"/>
        <v>13.009506172839506</v>
      </c>
      <c r="M88">
        <f t="shared" si="13"/>
        <v>17.26634668765432</v>
      </c>
      <c r="N88" s="9"/>
      <c r="O88" s="22">
        <v>0.29281600000000002</v>
      </c>
      <c r="P88" s="22">
        <v>10.5039</v>
      </c>
      <c r="Q88" s="22">
        <v>-1.3125599999999999E-2</v>
      </c>
      <c r="R88" s="22">
        <v>78</v>
      </c>
      <c r="S88" s="22">
        <v>0.292267</v>
      </c>
      <c r="T88">
        <f t="shared" si="14"/>
        <v>16.204444444444441</v>
      </c>
      <c r="U88">
        <f t="shared" si="15"/>
        <v>4.7449206044444434</v>
      </c>
      <c r="X88" s="9"/>
      <c r="Y88" s="22">
        <v>1.32721</v>
      </c>
      <c r="Z88" s="22">
        <v>15.8561</v>
      </c>
      <c r="AA88" s="22">
        <v>-1.1157200000000001E-2</v>
      </c>
      <c r="AB88" s="22">
        <v>78</v>
      </c>
      <c r="AC88" s="22">
        <v>1.32629</v>
      </c>
      <c r="AD88">
        <f t="shared" si="16"/>
        <v>13.77432098765432</v>
      </c>
      <c r="AE88">
        <f t="shared" si="17"/>
        <v>18.281416558024691</v>
      </c>
      <c r="AF88" s="9"/>
      <c r="AG88" s="22">
        <v>0.29281600000000002</v>
      </c>
      <c r="AH88" s="22">
        <v>19.514099999999999</v>
      </c>
      <c r="AI88" s="22">
        <v>-1.33636E-2</v>
      </c>
      <c r="AJ88" s="22">
        <v>78</v>
      </c>
      <c r="AK88" s="22">
        <v>0.29220600000000002</v>
      </c>
      <c r="AL88">
        <f t="shared" si="18"/>
        <v>16.498271604938271</v>
      </c>
      <c r="AM88">
        <f t="shared" si="19"/>
        <v>4.8309578982716053</v>
      </c>
      <c r="AP88" s="9"/>
      <c r="AQ88" s="22">
        <v>1.32721</v>
      </c>
      <c r="AR88" s="22">
        <v>24.850300000000001</v>
      </c>
      <c r="AS88" s="22">
        <v>-1.12152E-2</v>
      </c>
      <c r="AT88" s="22">
        <v>78</v>
      </c>
      <c r="AU88" s="22">
        <v>1.3266</v>
      </c>
      <c r="AV88">
        <f t="shared" si="20"/>
        <v>13.845925925925926</v>
      </c>
      <c r="AW88">
        <f t="shared" si="21"/>
        <v>18.376451348148148</v>
      </c>
      <c r="AX88" s="9"/>
      <c r="AY88" s="22">
        <v>0.29281600000000002</v>
      </c>
      <c r="AZ88" s="22">
        <v>28.508400000000002</v>
      </c>
      <c r="BA88" s="22">
        <v>-1.33759E-2</v>
      </c>
      <c r="BB88" s="22">
        <v>78</v>
      </c>
      <c r="BC88" s="22">
        <v>0.292267</v>
      </c>
      <c r="BD88">
        <f t="shared" si="22"/>
        <v>16.513456790123456</v>
      </c>
      <c r="BE88">
        <f t="shared" si="23"/>
        <v>4.8354043634567905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6.85595</v>
      </c>
      <c r="I89" s="22">
        <v>-1.0589599999999999E-2</v>
      </c>
      <c r="J89" s="22">
        <v>79</v>
      </c>
      <c r="K89" s="22">
        <v>1.32141</v>
      </c>
      <c r="L89">
        <f t="shared" si="12"/>
        <v>13.073580246913579</v>
      </c>
      <c r="M89">
        <f t="shared" si="13"/>
        <v>17.285495595061729</v>
      </c>
      <c r="N89" s="9"/>
      <c r="O89" s="22">
        <v>0.29785200000000001</v>
      </c>
      <c r="P89" s="22">
        <v>10.513999999999999</v>
      </c>
      <c r="Q89" s="22">
        <v>-1.3125599999999999E-2</v>
      </c>
      <c r="R89" s="22">
        <v>79</v>
      </c>
      <c r="S89" s="22">
        <v>0.297211</v>
      </c>
      <c r="T89">
        <f t="shared" si="14"/>
        <v>16.204444444444441</v>
      </c>
      <c r="U89">
        <f t="shared" si="15"/>
        <v>4.8265261866666656</v>
      </c>
      <c r="X89" s="9"/>
      <c r="Y89" s="22">
        <v>1.3221700000000001</v>
      </c>
      <c r="Z89" s="22">
        <v>15.866199999999999</v>
      </c>
      <c r="AA89" s="22">
        <v>-1.12122E-2</v>
      </c>
      <c r="AB89" s="22">
        <v>79</v>
      </c>
      <c r="AC89" s="22">
        <v>1.32111</v>
      </c>
      <c r="AD89">
        <f t="shared" si="16"/>
        <v>13.842222222222221</v>
      </c>
      <c r="AE89">
        <f t="shared" si="17"/>
        <v>18.301770955555554</v>
      </c>
      <c r="AF89" s="9"/>
      <c r="AG89" s="22">
        <v>0.29785200000000001</v>
      </c>
      <c r="AH89" s="22">
        <v>19.5242</v>
      </c>
      <c r="AI89" s="22">
        <v>-1.33606E-2</v>
      </c>
      <c r="AJ89" s="22">
        <v>79</v>
      </c>
      <c r="AK89" s="22">
        <v>0.29733300000000001</v>
      </c>
      <c r="AL89">
        <f t="shared" si="18"/>
        <v>16.494567901234568</v>
      </c>
      <c r="AM89">
        <f t="shared" si="19"/>
        <v>4.9129400385185189</v>
      </c>
      <c r="AP89" s="9"/>
      <c r="AQ89" s="22">
        <v>1.3221700000000001</v>
      </c>
      <c r="AR89" s="22">
        <v>24.860399999999998</v>
      </c>
      <c r="AS89" s="22">
        <v>-1.12701E-2</v>
      </c>
      <c r="AT89" s="22">
        <v>79</v>
      </c>
      <c r="AU89" s="22">
        <v>1.32111</v>
      </c>
      <c r="AV89">
        <f t="shared" si="20"/>
        <v>13.913703703703703</v>
      </c>
      <c r="AW89">
        <f t="shared" si="21"/>
        <v>18.396281625925926</v>
      </c>
      <c r="AX89" s="9"/>
      <c r="AY89" s="22">
        <v>0.29785200000000001</v>
      </c>
      <c r="AZ89" s="22">
        <v>28.5184</v>
      </c>
      <c r="BA89" s="22">
        <v>-1.33759E-2</v>
      </c>
      <c r="BB89" s="22">
        <v>79</v>
      </c>
      <c r="BC89" s="22">
        <v>0.29730200000000001</v>
      </c>
      <c r="BD89">
        <f t="shared" si="22"/>
        <v>16.513456790123456</v>
      </c>
      <c r="BE89">
        <f t="shared" si="23"/>
        <v>4.9185661318518514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6.8660199999999998</v>
      </c>
      <c r="I90" s="22">
        <v>-1.06476E-2</v>
      </c>
      <c r="J90" s="22">
        <v>80</v>
      </c>
      <c r="K90" s="22">
        <v>1.31714</v>
      </c>
      <c r="L90">
        <f t="shared" si="12"/>
        <v>13.145185185185186</v>
      </c>
      <c r="M90">
        <f t="shared" si="13"/>
        <v>17.314049214814816</v>
      </c>
      <c r="N90" s="9"/>
      <c r="O90" s="22">
        <v>0.30288700000000002</v>
      </c>
      <c r="P90" s="22">
        <v>10.524100000000001</v>
      </c>
      <c r="Q90" s="22">
        <v>-1.3125599999999999E-2</v>
      </c>
      <c r="R90" s="22">
        <v>80</v>
      </c>
      <c r="S90" s="22">
        <v>0.30230699999999999</v>
      </c>
      <c r="T90">
        <f t="shared" si="14"/>
        <v>16.204444444444441</v>
      </c>
      <c r="U90">
        <f t="shared" si="15"/>
        <v>4.9081155644444436</v>
      </c>
      <c r="X90" s="9"/>
      <c r="Y90" s="22">
        <v>1.31714</v>
      </c>
      <c r="Z90" s="22">
        <v>15.876200000000001</v>
      </c>
      <c r="AA90" s="22">
        <v>-1.1261E-2</v>
      </c>
      <c r="AB90" s="22">
        <v>80</v>
      </c>
      <c r="AC90" s="22">
        <v>1.3162199999999999</v>
      </c>
      <c r="AD90">
        <f t="shared" si="16"/>
        <v>13.90246913580247</v>
      </c>
      <c r="AE90">
        <f t="shared" si="17"/>
        <v>18.311498197530863</v>
      </c>
      <c r="AF90" s="9"/>
      <c r="AG90" s="22">
        <v>0.30288700000000002</v>
      </c>
      <c r="AH90" s="22">
        <v>19.534300000000002</v>
      </c>
      <c r="AI90" s="22">
        <v>-1.33575E-2</v>
      </c>
      <c r="AJ90" s="22">
        <v>80</v>
      </c>
      <c r="AK90" s="22">
        <v>0.302338</v>
      </c>
      <c r="AL90">
        <f t="shared" si="18"/>
        <v>16.49074074074074</v>
      </c>
      <c r="AM90">
        <f t="shared" si="19"/>
        <v>4.9948309907407413</v>
      </c>
      <c r="AP90" s="9"/>
      <c r="AQ90" s="22">
        <v>1.31714</v>
      </c>
      <c r="AR90" s="22">
        <v>24.8704</v>
      </c>
      <c r="AS90" s="22">
        <v>-1.13312E-2</v>
      </c>
      <c r="AT90" s="22">
        <v>80</v>
      </c>
      <c r="AU90" s="22">
        <v>1.31653</v>
      </c>
      <c r="AV90">
        <f t="shared" si="20"/>
        <v>13.989135802469134</v>
      </c>
      <c r="AW90">
        <f t="shared" si="21"/>
        <v>18.425650330864194</v>
      </c>
      <c r="AX90" s="9"/>
      <c r="AY90" s="22">
        <v>0.30288700000000002</v>
      </c>
      <c r="AZ90" s="22">
        <v>28.528500000000001</v>
      </c>
      <c r="BA90" s="22">
        <v>-1.3378900000000001E-2</v>
      </c>
      <c r="BB90" s="22">
        <v>80</v>
      </c>
      <c r="BC90" s="22">
        <v>0.30230699999999999</v>
      </c>
      <c r="BD90">
        <f t="shared" si="22"/>
        <v>16.517160493827159</v>
      </c>
      <c r="BE90">
        <f t="shared" si="23"/>
        <v>5.0028331904938268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6.8760899999999996</v>
      </c>
      <c r="I91" s="22">
        <v>-1.06903E-2</v>
      </c>
      <c r="J91" s="22">
        <v>81</v>
      </c>
      <c r="K91" s="22">
        <v>1.3119499999999999</v>
      </c>
      <c r="L91">
        <f t="shared" si="12"/>
        <v>13.197901234567899</v>
      </c>
      <c r="M91">
        <f t="shared" si="13"/>
        <v>17.31696620987654</v>
      </c>
      <c r="N91" s="9"/>
      <c r="O91" s="22">
        <v>0.30792199999999997</v>
      </c>
      <c r="P91" s="22">
        <v>10.5341</v>
      </c>
      <c r="Q91" s="22">
        <v>-1.31317E-2</v>
      </c>
      <c r="R91" s="22">
        <v>81</v>
      </c>
      <c r="S91" s="22">
        <v>0.30737300000000001</v>
      </c>
      <c r="T91">
        <f t="shared" si="14"/>
        <v>16.211975308641971</v>
      </c>
      <c r="U91">
        <f t="shared" si="15"/>
        <v>4.9920238609876524</v>
      </c>
      <c r="X91" s="9"/>
      <c r="Y91" s="22">
        <v>1.3121</v>
      </c>
      <c r="Z91" s="22">
        <v>15.8863</v>
      </c>
      <c r="AA91" s="22">
        <v>-1.1312900000000001E-2</v>
      </c>
      <c r="AB91" s="22">
        <v>81</v>
      </c>
      <c r="AC91" s="22">
        <v>1.31104</v>
      </c>
      <c r="AD91">
        <f t="shared" si="16"/>
        <v>13.966543209876543</v>
      </c>
      <c r="AE91">
        <f t="shared" si="17"/>
        <v>18.325501345679012</v>
      </c>
      <c r="AF91" s="9"/>
      <c r="AG91" s="22">
        <v>0.30792199999999997</v>
      </c>
      <c r="AH91" s="22">
        <v>19.5443</v>
      </c>
      <c r="AI91" s="22">
        <v>-1.3351399999999999E-2</v>
      </c>
      <c r="AJ91" s="22">
        <v>81</v>
      </c>
      <c r="AK91" s="22">
        <v>0.30737300000000001</v>
      </c>
      <c r="AL91">
        <f t="shared" si="18"/>
        <v>16.483209876543206</v>
      </c>
      <c r="AM91">
        <f t="shared" si="19"/>
        <v>5.0755429516049366</v>
      </c>
      <c r="AP91" s="9"/>
      <c r="AQ91" s="22">
        <v>1.3121</v>
      </c>
      <c r="AR91" s="22">
        <v>24.880500000000001</v>
      </c>
      <c r="AS91" s="22">
        <v>-1.13892E-2</v>
      </c>
      <c r="AT91" s="22">
        <v>81</v>
      </c>
      <c r="AU91" s="22">
        <v>1.31165</v>
      </c>
      <c r="AV91">
        <f t="shared" si="20"/>
        <v>14.060740740740741</v>
      </c>
      <c r="AW91">
        <f t="shared" si="21"/>
        <v>18.449097925925926</v>
      </c>
      <c r="AX91" s="9"/>
      <c r="AY91" s="22">
        <v>0.30792199999999997</v>
      </c>
      <c r="AZ91" s="22">
        <v>28.538599999999999</v>
      </c>
      <c r="BA91" s="22">
        <v>-1.3378900000000001E-2</v>
      </c>
      <c r="BB91" s="22">
        <v>81</v>
      </c>
      <c r="BC91" s="22">
        <v>0.30737300000000001</v>
      </c>
      <c r="BD91">
        <f t="shared" si="22"/>
        <v>16.517160493827159</v>
      </c>
      <c r="BE91">
        <f t="shared" si="23"/>
        <v>5.0859970935802457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6.8861600000000003</v>
      </c>
      <c r="I92" s="22">
        <v>-1.073E-2</v>
      </c>
      <c r="J92" s="22">
        <v>82</v>
      </c>
      <c r="K92" s="22">
        <v>1.3061499999999999</v>
      </c>
      <c r="L92">
        <f t="shared" si="12"/>
        <v>13.246913580246913</v>
      </c>
      <c r="M92">
        <f t="shared" si="13"/>
        <v>17.314643333333333</v>
      </c>
      <c r="N92" s="9"/>
      <c r="O92" s="22">
        <v>0.31295800000000001</v>
      </c>
      <c r="P92" s="22">
        <v>10.5442</v>
      </c>
      <c r="Q92" s="22">
        <v>-1.31348E-2</v>
      </c>
      <c r="R92" s="22">
        <v>82</v>
      </c>
      <c r="S92" s="22">
        <v>0.31240800000000002</v>
      </c>
      <c r="T92">
        <f t="shared" si="14"/>
        <v>16.215802469135802</v>
      </c>
      <c r="U92">
        <f t="shared" si="15"/>
        <v>5.0748651091358026</v>
      </c>
      <c r="X92" s="9"/>
      <c r="Y92" s="22">
        <v>1.30707</v>
      </c>
      <c r="Z92" s="22">
        <v>15.8964</v>
      </c>
      <c r="AA92" s="22">
        <v>-1.1367800000000001E-2</v>
      </c>
      <c r="AB92" s="22">
        <v>82</v>
      </c>
      <c r="AC92" s="22">
        <v>1.3067599999999999</v>
      </c>
      <c r="AD92">
        <f t="shared" si="16"/>
        <v>14.03432098765432</v>
      </c>
      <c r="AE92">
        <f t="shared" si="17"/>
        <v>18.343839933333332</v>
      </c>
      <c r="AF92" s="9"/>
      <c r="AG92" s="22">
        <v>0.31295800000000001</v>
      </c>
      <c r="AH92" s="22">
        <v>19.554400000000001</v>
      </c>
      <c r="AI92" s="22">
        <v>-1.33545E-2</v>
      </c>
      <c r="AJ92" s="22">
        <v>82</v>
      </c>
      <c r="AK92" s="22">
        <v>0.312469</v>
      </c>
      <c r="AL92">
        <f t="shared" si="18"/>
        <v>16.487037037037037</v>
      </c>
      <c r="AM92">
        <f t="shared" si="19"/>
        <v>5.1597501370370376</v>
      </c>
      <c r="AP92" s="9"/>
      <c r="AQ92" s="22">
        <v>1.30707</v>
      </c>
      <c r="AR92" s="22">
        <v>24.890599999999999</v>
      </c>
      <c r="AS92" s="22">
        <v>-1.1450200000000001E-2</v>
      </c>
      <c r="AT92" s="22">
        <v>82</v>
      </c>
      <c r="AU92" s="22">
        <v>1.30585</v>
      </c>
      <c r="AV92">
        <f t="shared" si="20"/>
        <v>14.136049382716049</v>
      </c>
      <c r="AW92">
        <f t="shared" si="21"/>
        <v>18.476806066666665</v>
      </c>
      <c r="AX92" s="9"/>
      <c r="AY92" s="22">
        <v>0.31295800000000001</v>
      </c>
      <c r="AZ92" s="22">
        <v>28.5486</v>
      </c>
      <c r="BA92" s="22">
        <v>-1.33881E-2</v>
      </c>
      <c r="BB92" s="22">
        <v>82</v>
      </c>
      <c r="BC92" s="22">
        <v>0.31240800000000002</v>
      </c>
      <c r="BD92">
        <f t="shared" si="22"/>
        <v>16.528518518518517</v>
      </c>
      <c r="BE92">
        <f t="shared" si="23"/>
        <v>5.1727320985185186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6.8962300000000001</v>
      </c>
      <c r="I93" s="22">
        <v>-1.07727E-2</v>
      </c>
      <c r="J93" s="22">
        <v>83</v>
      </c>
      <c r="K93" s="22">
        <v>1.3006599999999999</v>
      </c>
      <c r="L93">
        <f t="shared" si="12"/>
        <v>13.299629629629628</v>
      </c>
      <c r="M93">
        <f t="shared" si="13"/>
        <v>17.316516766666666</v>
      </c>
      <c r="N93" s="9"/>
      <c r="O93" s="22">
        <v>0.31799300000000003</v>
      </c>
      <c r="P93" s="22">
        <v>10.5543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1.30203</v>
      </c>
      <c r="Z93" s="22">
        <v>15.9064</v>
      </c>
      <c r="AA93" s="22">
        <v>-1.14197E-2</v>
      </c>
      <c r="AB93" s="22">
        <v>83</v>
      </c>
      <c r="AC93" s="22">
        <v>1.3012699999999999</v>
      </c>
      <c r="AD93">
        <f t="shared" si="16"/>
        <v>14.098395061728393</v>
      </c>
      <c r="AE93">
        <f t="shared" si="17"/>
        <v>18.356533322222219</v>
      </c>
      <c r="AF93" s="9"/>
      <c r="AG93" s="22">
        <v>0.31799300000000003</v>
      </c>
      <c r="AH93" s="22">
        <v>19.564499999999999</v>
      </c>
      <c r="AI93" s="22">
        <v>-1.3345299999999999E-2</v>
      </c>
      <c r="AJ93" s="22">
        <v>83</v>
      </c>
      <c r="AK93" s="22">
        <v>0.317413</v>
      </c>
      <c r="AL93">
        <f t="shared" si="18"/>
        <v>16.475679012345676</v>
      </c>
      <c r="AM93">
        <f t="shared" si="19"/>
        <v>5.2391505961728386</v>
      </c>
      <c r="AP93" s="9"/>
      <c r="AQ93" s="22">
        <v>1.30203</v>
      </c>
      <c r="AR93" s="22">
        <v>24.900700000000001</v>
      </c>
      <c r="AS93" s="22">
        <v>-1.1502099999999999E-2</v>
      </c>
      <c r="AT93" s="22">
        <v>83</v>
      </c>
      <c r="AU93" s="22">
        <v>1.3009599999999999</v>
      </c>
      <c r="AV93">
        <f t="shared" si="20"/>
        <v>14.200123456790122</v>
      </c>
      <c r="AW93">
        <f t="shared" si="21"/>
        <v>18.488986744444443</v>
      </c>
      <c r="AX93" s="9"/>
      <c r="AY93" s="22">
        <v>0.31799300000000003</v>
      </c>
      <c r="AZ93" s="22">
        <v>28.558700000000002</v>
      </c>
      <c r="BA93" s="22">
        <v>-1.33942E-2</v>
      </c>
      <c r="BB93" s="22">
        <v>83</v>
      </c>
      <c r="BC93" s="22">
        <v>0.31735200000000002</v>
      </c>
      <c r="BD93">
        <f t="shared" si="22"/>
        <v>16.536049382716048</v>
      </c>
      <c r="BE93">
        <f t="shared" si="23"/>
        <v>5.2583479513580249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6.9062999999999999</v>
      </c>
      <c r="I94" s="22">
        <v>-1.08185E-2</v>
      </c>
      <c r="J94" s="22">
        <v>84</v>
      </c>
      <c r="K94" s="22">
        <v>1.2963899999999999</v>
      </c>
      <c r="L94">
        <f t="shared" si="12"/>
        <v>13.356172839506172</v>
      </c>
      <c r="M94">
        <f t="shared" si="13"/>
        <v>17.322956172839504</v>
      </c>
      <c r="N94" s="9"/>
      <c r="O94" s="22">
        <v>0.32302900000000001</v>
      </c>
      <c r="P94" s="22">
        <v>10.564399999999999</v>
      </c>
      <c r="Q94" s="22">
        <v>-1.31348E-2</v>
      </c>
      <c r="R94" s="22">
        <v>84</v>
      </c>
      <c r="S94" s="22">
        <v>0.32247900000000002</v>
      </c>
      <c r="T94">
        <f t="shared" si="14"/>
        <v>16.215802469135802</v>
      </c>
      <c r="U94">
        <f t="shared" si="15"/>
        <v>5.2381744558024694</v>
      </c>
      <c r="X94" s="9"/>
      <c r="Y94" s="22">
        <v>1.2969999999999999</v>
      </c>
      <c r="Z94" s="22">
        <v>15.916499999999999</v>
      </c>
      <c r="AA94" s="22">
        <v>-1.14685E-2</v>
      </c>
      <c r="AB94" s="22">
        <v>84</v>
      </c>
      <c r="AC94" s="22">
        <v>1.2960799999999999</v>
      </c>
      <c r="AD94">
        <f t="shared" si="16"/>
        <v>14.15864197530864</v>
      </c>
      <c r="AE94">
        <f t="shared" si="17"/>
        <v>18.363758641975306</v>
      </c>
      <c r="AF94" s="9"/>
      <c r="AG94" s="22">
        <v>0.32302900000000001</v>
      </c>
      <c r="AH94" s="22">
        <v>19.5746</v>
      </c>
      <c r="AI94" s="22">
        <v>-1.33423E-2</v>
      </c>
      <c r="AJ94" s="22">
        <v>84</v>
      </c>
      <c r="AK94" s="22">
        <v>0.32244899999999999</v>
      </c>
      <c r="AL94">
        <f t="shared" si="18"/>
        <v>16.471975308641973</v>
      </c>
      <c r="AM94">
        <f t="shared" si="19"/>
        <v>5.3209257119753079</v>
      </c>
      <c r="AP94" s="9"/>
      <c r="AQ94" s="22">
        <v>1.2969999999999999</v>
      </c>
      <c r="AR94" s="22">
        <v>24.910699999999999</v>
      </c>
      <c r="AS94" s="22">
        <v>-1.1557E-2</v>
      </c>
      <c r="AT94" s="22">
        <v>84</v>
      </c>
      <c r="AU94" s="22">
        <v>1.2960799999999999</v>
      </c>
      <c r="AV94">
        <f t="shared" si="20"/>
        <v>14.267901234567899</v>
      </c>
      <c r="AW94">
        <f t="shared" si="21"/>
        <v>18.505467901234564</v>
      </c>
      <c r="AX94" s="9"/>
      <c r="AY94" s="22">
        <v>0.32302900000000001</v>
      </c>
      <c r="AZ94" s="22">
        <v>28.5688</v>
      </c>
      <c r="BA94" s="22">
        <v>-1.33911E-2</v>
      </c>
      <c r="BB94" s="22">
        <v>84</v>
      </c>
      <c r="BC94" s="22">
        <v>0.32241799999999998</v>
      </c>
      <c r="BD94">
        <f t="shared" si="22"/>
        <v>16.53222222222222</v>
      </c>
      <c r="BE94">
        <f t="shared" si="23"/>
        <v>5.3403872122222218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6.9163699999999997</v>
      </c>
      <c r="I95" s="22">
        <v>-1.08521E-2</v>
      </c>
      <c r="J95" s="22">
        <v>85</v>
      </c>
      <c r="K95" s="22">
        <v>1.2915000000000001</v>
      </c>
      <c r="L95">
        <f t="shared" si="12"/>
        <v>13.397654320987654</v>
      </c>
      <c r="M95">
        <f t="shared" si="13"/>
        <v>17.309233476543209</v>
      </c>
      <c r="N95" s="9"/>
      <c r="O95" s="22">
        <v>0.32806400000000002</v>
      </c>
      <c r="P95" s="22">
        <v>10.574400000000001</v>
      </c>
      <c r="Q95" s="22">
        <v>-1.31348E-2</v>
      </c>
      <c r="R95" s="22">
        <v>85</v>
      </c>
      <c r="S95" s="22">
        <v>0.327484</v>
      </c>
      <c r="T95">
        <f t="shared" si="14"/>
        <v>16.215802469135802</v>
      </c>
      <c r="U95">
        <f t="shared" si="15"/>
        <v>5.319821021234568</v>
      </c>
      <c r="X95" s="9"/>
      <c r="Y95" s="22">
        <v>1.29196</v>
      </c>
      <c r="Z95" s="22">
        <v>15.926600000000001</v>
      </c>
      <c r="AA95" s="22">
        <v>-1.1517299999999999E-2</v>
      </c>
      <c r="AB95" s="22">
        <v>85</v>
      </c>
      <c r="AC95" s="22">
        <v>1.2911999999999999</v>
      </c>
      <c r="AD95">
        <f t="shared" si="16"/>
        <v>14.218888888888888</v>
      </c>
      <c r="AE95">
        <f t="shared" si="17"/>
        <v>18.370235688888886</v>
      </c>
      <c r="AF95" s="9"/>
      <c r="AG95" s="22">
        <v>0.32806400000000002</v>
      </c>
      <c r="AH95" s="22">
        <v>19.584599999999998</v>
      </c>
      <c r="AI95" s="22">
        <v>-1.33423E-2</v>
      </c>
      <c r="AJ95" s="22">
        <v>85</v>
      </c>
      <c r="AK95" s="22">
        <v>0.327515</v>
      </c>
      <c r="AL95">
        <f t="shared" si="18"/>
        <v>16.471975308641973</v>
      </c>
      <c r="AM95">
        <f t="shared" si="19"/>
        <v>5.4038621076543203</v>
      </c>
      <c r="AP95" s="9"/>
      <c r="AQ95" s="22">
        <v>1.29196</v>
      </c>
      <c r="AR95" s="22">
        <v>24.9208</v>
      </c>
      <c r="AS95" s="22">
        <v>-1.16089E-2</v>
      </c>
      <c r="AT95" s="22">
        <v>85</v>
      </c>
      <c r="AU95" s="22">
        <v>1.2915000000000001</v>
      </c>
      <c r="AV95">
        <f t="shared" si="20"/>
        <v>14.331975308641976</v>
      </c>
      <c r="AW95">
        <f t="shared" si="21"/>
        <v>18.516338819753088</v>
      </c>
      <c r="AX95" s="9"/>
      <c r="AY95" s="22">
        <v>0.32806400000000002</v>
      </c>
      <c r="AZ95" s="22">
        <v>28.578900000000001</v>
      </c>
      <c r="BA95" s="22">
        <v>-1.3384999999999999E-2</v>
      </c>
      <c r="BB95" s="22">
        <v>85</v>
      </c>
      <c r="BC95" s="22">
        <v>0.327484</v>
      </c>
      <c r="BD95">
        <f t="shared" si="22"/>
        <v>16.52469135802469</v>
      </c>
      <c r="BE95">
        <f t="shared" si="23"/>
        <v>5.4211563456790124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6.9264400000000004</v>
      </c>
      <c r="I96" s="22">
        <v>-1.0897799999999999E-2</v>
      </c>
      <c r="J96" s="22">
        <v>86</v>
      </c>
      <c r="K96" s="22">
        <v>1.2860100000000001</v>
      </c>
      <c r="L96">
        <f t="shared" si="12"/>
        <v>13.454074074074072</v>
      </c>
      <c r="M96">
        <f t="shared" si="13"/>
        <v>17.314451548148142</v>
      </c>
      <c r="N96" s="9"/>
      <c r="O96" s="22">
        <v>0.33309899999999998</v>
      </c>
      <c r="P96" s="22">
        <v>10.5845</v>
      </c>
      <c r="Q96" s="22">
        <v>-1.31317E-2</v>
      </c>
      <c r="R96" s="22">
        <v>86</v>
      </c>
      <c r="S96" s="22">
        <v>0.33255000000000001</v>
      </c>
      <c r="T96">
        <f t="shared" si="14"/>
        <v>16.211975308641971</v>
      </c>
      <c r="U96">
        <f t="shared" si="15"/>
        <v>5.4001927633333313</v>
      </c>
      <c r="X96" s="9"/>
      <c r="Y96" s="22">
        <v>1.2869299999999999</v>
      </c>
      <c r="Z96" s="22">
        <v>15.9366</v>
      </c>
      <c r="AA96" s="22">
        <v>-1.15601E-2</v>
      </c>
      <c r="AB96" s="22">
        <v>86</v>
      </c>
      <c r="AC96" s="22">
        <v>1.2857099999999999</v>
      </c>
      <c r="AD96">
        <f t="shared" si="16"/>
        <v>14.271728395061727</v>
      </c>
      <c r="AE96">
        <f t="shared" si="17"/>
        <v>18.366715423456785</v>
      </c>
      <c r="AF96" s="9"/>
      <c r="AG96" s="22">
        <v>0.33309899999999998</v>
      </c>
      <c r="AH96" s="22">
        <v>19.5947</v>
      </c>
      <c r="AI96" s="22">
        <v>-1.3339200000000001E-2</v>
      </c>
      <c r="AJ96" s="22">
        <v>86</v>
      </c>
      <c r="AK96" s="22">
        <v>0.33248899999999998</v>
      </c>
      <c r="AL96">
        <f t="shared" si="18"/>
        <v>16.468148148148149</v>
      </c>
      <c r="AM96">
        <f t="shared" si="19"/>
        <v>5.48552368</v>
      </c>
      <c r="AP96" s="9"/>
      <c r="AQ96" s="22">
        <v>1.2869299999999999</v>
      </c>
      <c r="AR96" s="22">
        <v>24.930900000000001</v>
      </c>
      <c r="AS96" s="22">
        <v>-1.1660800000000001E-2</v>
      </c>
      <c r="AT96" s="22">
        <v>86</v>
      </c>
      <c r="AU96" s="22">
        <v>1.2863199999999999</v>
      </c>
      <c r="AV96">
        <f t="shared" si="20"/>
        <v>14.396049382716049</v>
      </c>
      <c r="AW96">
        <f t="shared" si="21"/>
        <v>18.526707832098761</v>
      </c>
      <c r="AX96" s="9"/>
      <c r="AY96" s="22">
        <v>0.33309899999999998</v>
      </c>
      <c r="AZ96" s="22">
        <v>28.588899999999999</v>
      </c>
      <c r="BA96" s="22">
        <v>-1.3372800000000001E-2</v>
      </c>
      <c r="BB96" s="22">
        <v>86</v>
      </c>
      <c r="BC96" s="22">
        <v>0.33258100000000002</v>
      </c>
      <c r="BD96">
        <f t="shared" si="22"/>
        <v>16.509629629629632</v>
      </c>
      <c r="BE96">
        <f t="shared" si="23"/>
        <v>5.4993411200000004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6.9365199999999998</v>
      </c>
      <c r="I97" s="22">
        <v>-1.0937499999999999E-2</v>
      </c>
      <c r="J97" s="22">
        <v>87</v>
      </c>
      <c r="K97" s="22">
        <v>1.2805200000000001</v>
      </c>
      <c r="L97">
        <f t="shared" si="12"/>
        <v>13.503086419753084</v>
      </c>
      <c r="M97">
        <f t="shared" si="13"/>
        <v>17.309471450617281</v>
      </c>
      <c r="N97" s="9"/>
      <c r="O97" s="22">
        <v>0.33813500000000002</v>
      </c>
      <c r="P97" s="22">
        <v>10.5946</v>
      </c>
      <c r="Q97" s="22">
        <v>-1.31378E-2</v>
      </c>
      <c r="R97" s="22">
        <v>87</v>
      </c>
      <c r="S97" s="22">
        <v>0.33752399999999999</v>
      </c>
      <c r="T97">
        <f t="shared" si="14"/>
        <v>16.219506172839505</v>
      </c>
      <c r="U97">
        <f t="shared" si="15"/>
        <v>5.4843827197530866</v>
      </c>
      <c r="X97" s="9"/>
      <c r="Y97" s="22">
        <v>1.28189</v>
      </c>
      <c r="Z97" s="22">
        <v>15.9467</v>
      </c>
      <c r="AA97" s="22">
        <v>-1.16028E-2</v>
      </c>
      <c r="AB97" s="22">
        <v>87</v>
      </c>
      <c r="AC97" s="22">
        <v>1.2811300000000001</v>
      </c>
      <c r="AD97">
        <f t="shared" si="16"/>
        <v>14.324444444444444</v>
      </c>
      <c r="AE97">
        <f t="shared" si="17"/>
        <v>18.362362088888887</v>
      </c>
      <c r="AF97" s="9"/>
      <c r="AG97" s="22">
        <v>0.33813500000000002</v>
      </c>
      <c r="AH97" s="22">
        <v>19.604800000000001</v>
      </c>
      <c r="AI97" s="22">
        <v>-1.3330099999999999E-2</v>
      </c>
      <c r="AJ97" s="22">
        <v>87</v>
      </c>
      <c r="AK97" s="22">
        <v>0.33761600000000003</v>
      </c>
      <c r="AL97">
        <f t="shared" si="18"/>
        <v>16.456913580246912</v>
      </c>
      <c r="AM97">
        <f t="shared" si="19"/>
        <v>5.5646584734567899</v>
      </c>
      <c r="AP97" s="9"/>
      <c r="AQ97" s="22">
        <v>1.28189</v>
      </c>
      <c r="AR97" s="22">
        <v>24.940899999999999</v>
      </c>
      <c r="AS97" s="22">
        <v>-1.17004E-2</v>
      </c>
      <c r="AT97" s="22">
        <v>87</v>
      </c>
      <c r="AU97" s="22">
        <v>1.2811300000000001</v>
      </c>
      <c r="AV97">
        <f t="shared" si="20"/>
        <v>14.444938271604938</v>
      </c>
      <c r="AW97">
        <f t="shared" si="21"/>
        <v>18.516821920987653</v>
      </c>
      <c r="AX97" s="9"/>
      <c r="AY97" s="22">
        <v>0.33813500000000002</v>
      </c>
      <c r="AZ97" s="22">
        <v>28.599</v>
      </c>
      <c r="BA97" s="22">
        <v>-1.3372800000000001E-2</v>
      </c>
      <c r="BB97" s="22">
        <v>87</v>
      </c>
      <c r="BC97" s="22">
        <v>0.33752399999999999</v>
      </c>
      <c r="BD97">
        <f t="shared" si="22"/>
        <v>16.509629629629632</v>
      </c>
      <c r="BE97">
        <f t="shared" si="23"/>
        <v>5.5824836148148158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6.9465899999999996</v>
      </c>
      <c r="I98" s="22">
        <v>-1.0968E-2</v>
      </c>
      <c r="J98" s="22">
        <v>88</v>
      </c>
      <c r="K98" s="22">
        <v>1.2759400000000001</v>
      </c>
      <c r="L98">
        <f t="shared" si="12"/>
        <v>13.540740740740741</v>
      </c>
      <c r="M98">
        <f t="shared" si="13"/>
        <v>17.289630222222225</v>
      </c>
      <c r="N98" s="9"/>
      <c r="O98" s="22">
        <v>0.34316999999999998</v>
      </c>
      <c r="P98" s="22">
        <v>10.6046</v>
      </c>
      <c r="Q98" s="22">
        <v>-1.31348E-2</v>
      </c>
      <c r="R98" s="22">
        <v>88</v>
      </c>
      <c r="S98" s="22">
        <v>0.34259000000000001</v>
      </c>
      <c r="T98">
        <f t="shared" si="14"/>
        <v>16.215802469135802</v>
      </c>
      <c r="U98">
        <f t="shared" si="15"/>
        <v>5.5647769333333326</v>
      </c>
      <c r="X98" s="9"/>
      <c r="Y98" s="22">
        <v>1.2768600000000001</v>
      </c>
      <c r="Z98" s="22">
        <v>15.956799999999999</v>
      </c>
      <c r="AA98" s="22">
        <v>-1.16486E-2</v>
      </c>
      <c r="AB98" s="22">
        <v>88</v>
      </c>
      <c r="AC98" s="22">
        <v>1.27563</v>
      </c>
      <c r="AD98">
        <f t="shared" si="16"/>
        <v>14.380987654320988</v>
      </c>
      <c r="AE98">
        <f t="shared" si="17"/>
        <v>18.362507896296297</v>
      </c>
      <c r="AF98" s="9"/>
      <c r="AG98" s="22">
        <v>0.34316999999999998</v>
      </c>
      <c r="AH98" s="22">
        <v>19.614799999999999</v>
      </c>
      <c r="AI98" s="22">
        <v>-1.3336199999999999E-2</v>
      </c>
      <c r="AJ98" s="22">
        <v>88</v>
      </c>
      <c r="AK98" s="22">
        <v>0.34259000000000001</v>
      </c>
      <c r="AL98">
        <f t="shared" si="18"/>
        <v>16.464444444444442</v>
      </c>
      <c r="AM98">
        <f t="shared" si="19"/>
        <v>5.650103399999999</v>
      </c>
      <c r="AP98" s="9"/>
      <c r="AQ98" s="22">
        <v>1.2768600000000001</v>
      </c>
      <c r="AR98" s="22">
        <v>24.951000000000001</v>
      </c>
      <c r="AS98" s="22">
        <v>-1.1749300000000001E-2</v>
      </c>
      <c r="AT98" s="22">
        <v>88</v>
      </c>
      <c r="AU98" s="22">
        <v>1.2759400000000001</v>
      </c>
      <c r="AV98">
        <f t="shared" si="20"/>
        <v>14.505308641975308</v>
      </c>
      <c r="AW98">
        <f t="shared" si="21"/>
        <v>18.521248392592593</v>
      </c>
      <c r="AX98" s="9"/>
      <c r="AY98" s="22">
        <v>0.34316999999999998</v>
      </c>
      <c r="AZ98" s="22">
        <v>28.609100000000002</v>
      </c>
      <c r="BA98" s="22">
        <v>-1.33606E-2</v>
      </c>
      <c r="BB98" s="22">
        <v>88</v>
      </c>
      <c r="BC98" s="22">
        <v>0.34262100000000001</v>
      </c>
      <c r="BD98">
        <f t="shared" si="22"/>
        <v>16.494567901234568</v>
      </c>
      <c r="BE98">
        <f t="shared" si="23"/>
        <v>5.6604408666666659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6.9566600000000003</v>
      </c>
      <c r="I99" s="22">
        <v>-1.10016E-2</v>
      </c>
      <c r="J99" s="22">
        <v>89</v>
      </c>
      <c r="K99" s="22">
        <v>1.27075</v>
      </c>
      <c r="L99">
        <f t="shared" si="12"/>
        <v>13.582222222222221</v>
      </c>
      <c r="M99">
        <f t="shared" si="13"/>
        <v>17.274141866666664</v>
      </c>
      <c r="N99" s="9"/>
      <c r="O99" s="22">
        <v>0.34820600000000002</v>
      </c>
      <c r="P99" s="22">
        <v>10.614699999999999</v>
      </c>
      <c r="Q99" s="22">
        <v>-1.31348E-2</v>
      </c>
      <c r="R99" s="22">
        <v>89</v>
      </c>
      <c r="S99" s="22">
        <v>0.34759499999999999</v>
      </c>
      <c r="T99">
        <f t="shared" si="14"/>
        <v>16.215802469135802</v>
      </c>
      <c r="U99">
        <f t="shared" si="15"/>
        <v>5.6464397145679017</v>
      </c>
      <c r="X99" s="9"/>
      <c r="Y99" s="22">
        <v>1.27182</v>
      </c>
      <c r="Z99" s="22">
        <v>15.966900000000001</v>
      </c>
      <c r="AA99" s="22">
        <v>-1.16852E-2</v>
      </c>
      <c r="AB99" s="22">
        <v>89</v>
      </c>
      <c r="AC99" s="22">
        <v>1.27136</v>
      </c>
      <c r="AD99">
        <f t="shared" si="16"/>
        <v>14.426172839506172</v>
      </c>
      <c r="AE99">
        <f t="shared" si="17"/>
        <v>18.34749514074074</v>
      </c>
      <c r="AF99" s="9"/>
      <c r="AG99" s="22">
        <v>0.34820600000000002</v>
      </c>
      <c r="AH99" s="22">
        <v>19.6249</v>
      </c>
      <c r="AI99" s="22">
        <v>-1.33484E-2</v>
      </c>
      <c r="AJ99" s="22">
        <v>89</v>
      </c>
      <c r="AK99" s="22">
        <v>0.34753400000000001</v>
      </c>
      <c r="AL99">
        <f t="shared" si="18"/>
        <v>16.479506172839503</v>
      </c>
      <c r="AM99">
        <f t="shared" si="19"/>
        <v>5.7382629264197522</v>
      </c>
      <c r="AP99" s="9"/>
      <c r="AQ99" s="22">
        <v>1.27182</v>
      </c>
      <c r="AR99" s="22">
        <v>24.961099999999998</v>
      </c>
      <c r="AS99" s="22">
        <v>-1.17889E-2</v>
      </c>
      <c r="AT99" s="22">
        <v>89</v>
      </c>
      <c r="AU99" s="22">
        <v>1.2704500000000001</v>
      </c>
      <c r="AV99">
        <f t="shared" si="20"/>
        <v>14.554197530864196</v>
      </c>
      <c r="AW99">
        <f t="shared" si="21"/>
        <v>18.510319503703702</v>
      </c>
      <c r="AX99" s="9"/>
      <c r="AY99" s="22">
        <v>0.34820600000000002</v>
      </c>
      <c r="AZ99" s="22">
        <v>28.6191</v>
      </c>
      <c r="BA99" s="22">
        <v>-1.3345299999999999E-2</v>
      </c>
      <c r="BB99" s="22">
        <v>89</v>
      </c>
      <c r="BC99" s="22">
        <v>0.34762599999999999</v>
      </c>
      <c r="BD99">
        <f t="shared" si="22"/>
        <v>16.475679012345676</v>
      </c>
      <c r="BE99">
        <f t="shared" si="23"/>
        <v>5.7369302861728384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6.9667300000000001</v>
      </c>
      <c r="I100" s="22">
        <v>-1.10382E-2</v>
      </c>
      <c r="J100" s="22">
        <v>90</v>
      </c>
      <c r="K100" s="22">
        <v>1.2658700000000001</v>
      </c>
      <c r="L100">
        <f t="shared" si="12"/>
        <v>13.627407407407405</v>
      </c>
      <c r="M100">
        <f t="shared" si="13"/>
        <v>17.262927155555552</v>
      </c>
      <c r="N100" s="9"/>
      <c r="O100" s="22">
        <v>0.35324100000000003</v>
      </c>
      <c r="P100" s="22">
        <v>10.6248</v>
      </c>
      <c r="Q100" s="22">
        <v>-1.31409E-2</v>
      </c>
      <c r="R100" s="22">
        <v>90</v>
      </c>
      <c r="S100" s="22">
        <v>0.35269200000000001</v>
      </c>
      <c r="T100">
        <f t="shared" si="14"/>
        <v>16.223333333333333</v>
      </c>
      <c r="U100">
        <f t="shared" si="15"/>
        <v>5.7307464900000005</v>
      </c>
      <c r="X100" s="9"/>
      <c r="Y100" s="22">
        <v>1.26678</v>
      </c>
      <c r="Z100" s="22">
        <v>15.976900000000001</v>
      </c>
      <c r="AA100" s="22">
        <v>-1.17249E-2</v>
      </c>
      <c r="AB100" s="22">
        <v>90</v>
      </c>
      <c r="AC100" s="22">
        <v>1.26556</v>
      </c>
      <c r="AD100">
        <f t="shared" si="16"/>
        <v>14.475185185185184</v>
      </c>
      <c r="AE100">
        <f t="shared" si="17"/>
        <v>18.336875088888888</v>
      </c>
      <c r="AF100" s="9"/>
      <c r="AG100" s="22">
        <v>0.35324100000000003</v>
      </c>
      <c r="AH100" s="22">
        <v>19.635000000000002</v>
      </c>
      <c r="AI100" s="22">
        <v>-1.33545E-2</v>
      </c>
      <c r="AJ100" s="22">
        <v>90</v>
      </c>
      <c r="AK100" s="22">
        <v>0.352661</v>
      </c>
      <c r="AL100">
        <f t="shared" si="18"/>
        <v>16.487037037037037</v>
      </c>
      <c r="AM100">
        <f t="shared" si="19"/>
        <v>5.8238974500000005</v>
      </c>
      <c r="AP100" s="9"/>
      <c r="AQ100" s="22">
        <v>1.26678</v>
      </c>
      <c r="AR100" s="22">
        <v>24.9712</v>
      </c>
      <c r="AS100" s="22">
        <v>-1.18347E-2</v>
      </c>
      <c r="AT100" s="22">
        <v>90</v>
      </c>
      <c r="AU100" s="22">
        <v>1.2664800000000001</v>
      </c>
      <c r="AV100">
        <f t="shared" si="20"/>
        <v>14.61074074074074</v>
      </c>
      <c r="AW100">
        <f t="shared" si="21"/>
        <v>18.508594155555553</v>
      </c>
      <c r="AX100" s="9"/>
      <c r="AY100" s="22">
        <v>0.35324100000000003</v>
      </c>
      <c r="AZ100" s="22">
        <v>28.629200000000001</v>
      </c>
      <c r="BA100" s="22">
        <v>-1.3345299999999999E-2</v>
      </c>
      <c r="BB100" s="22">
        <v>90</v>
      </c>
      <c r="BC100" s="22">
        <v>0.35263100000000003</v>
      </c>
      <c r="BD100">
        <f t="shared" si="22"/>
        <v>16.475679012345676</v>
      </c>
      <c r="BE100">
        <f t="shared" si="23"/>
        <v>5.8198853299999991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6.9767999999999999</v>
      </c>
      <c r="I101" s="22">
        <v>-1.1074799999999999E-2</v>
      </c>
      <c r="J101" s="22">
        <v>91</v>
      </c>
      <c r="K101" s="22">
        <v>1.26007</v>
      </c>
      <c r="L101">
        <f t="shared" si="12"/>
        <v>13.67259259259259</v>
      </c>
      <c r="M101">
        <f t="shared" si="13"/>
        <v>17.251393703703698</v>
      </c>
      <c r="N101" s="9"/>
      <c r="O101" s="22">
        <v>0.35827599999999998</v>
      </c>
      <c r="P101" s="22">
        <v>10.6349</v>
      </c>
      <c r="Q101" s="22">
        <v>-1.31378E-2</v>
      </c>
      <c r="R101" s="22">
        <v>91</v>
      </c>
      <c r="S101" s="22">
        <v>0.35772700000000002</v>
      </c>
      <c r="T101">
        <f t="shared" si="14"/>
        <v>16.219506172839505</v>
      </c>
      <c r="U101">
        <f t="shared" si="15"/>
        <v>5.8110597935802462</v>
      </c>
      <c r="X101" s="9"/>
      <c r="Y101" s="22">
        <v>1.2617499999999999</v>
      </c>
      <c r="Z101" s="22">
        <v>15.987</v>
      </c>
      <c r="AA101" s="22">
        <v>-1.17584E-2</v>
      </c>
      <c r="AB101" s="22">
        <v>91</v>
      </c>
      <c r="AC101" s="22">
        <v>1.26068</v>
      </c>
      <c r="AD101">
        <f t="shared" si="16"/>
        <v>14.516543209876543</v>
      </c>
      <c r="AE101">
        <f t="shared" si="17"/>
        <v>18.316248395061727</v>
      </c>
      <c r="AF101" s="9"/>
      <c r="AG101" s="22">
        <v>0.35827599999999998</v>
      </c>
      <c r="AH101" s="22">
        <v>19.645099999999999</v>
      </c>
      <c r="AI101" s="22">
        <v>-1.3351399999999999E-2</v>
      </c>
      <c r="AJ101" s="22">
        <v>91</v>
      </c>
      <c r="AK101" s="22">
        <v>0.35763499999999998</v>
      </c>
      <c r="AL101">
        <f t="shared" si="18"/>
        <v>16.483209876543206</v>
      </c>
      <c r="AM101">
        <f t="shared" si="19"/>
        <v>5.9055385017283939</v>
      </c>
      <c r="AP101" s="9"/>
      <c r="AQ101" s="22">
        <v>1.2617499999999999</v>
      </c>
      <c r="AR101" s="22">
        <v>24.981200000000001</v>
      </c>
      <c r="AS101" s="22">
        <v>-1.18713E-2</v>
      </c>
      <c r="AT101" s="22">
        <v>91</v>
      </c>
      <c r="AU101" s="22">
        <v>1.26068</v>
      </c>
      <c r="AV101">
        <f t="shared" si="20"/>
        <v>14.655925925925924</v>
      </c>
      <c r="AW101">
        <f t="shared" si="21"/>
        <v>18.492114537037033</v>
      </c>
      <c r="AX101" s="9"/>
      <c r="AY101" s="22">
        <v>0.35827599999999998</v>
      </c>
      <c r="AZ101" s="22">
        <v>28.639299999999999</v>
      </c>
      <c r="BA101" s="22">
        <v>-1.3351399999999999E-2</v>
      </c>
      <c r="BB101" s="22">
        <v>91</v>
      </c>
      <c r="BC101" s="22">
        <v>0.35769699999999999</v>
      </c>
      <c r="BD101">
        <f t="shared" si="22"/>
        <v>16.483209876543206</v>
      </c>
      <c r="BE101">
        <f t="shared" si="23"/>
        <v>5.9055385017283939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6.9868699999999997</v>
      </c>
      <c r="I102" s="22">
        <v>-1.1114499999999999E-2</v>
      </c>
      <c r="J102" s="22">
        <v>92</v>
      </c>
      <c r="K102" s="22">
        <v>1.2558</v>
      </c>
      <c r="L102">
        <f t="shared" si="12"/>
        <v>13.721604938271604</v>
      </c>
      <c r="M102">
        <f t="shared" si="13"/>
        <v>17.244078141975308</v>
      </c>
      <c r="N102" s="9"/>
      <c r="O102" s="22">
        <v>0.36331200000000002</v>
      </c>
      <c r="P102" s="22">
        <v>10.6449</v>
      </c>
      <c r="Q102" s="22">
        <v>-1.31348E-2</v>
      </c>
      <c r="R102" s="22">
        <v>92</v>
      </c>
      <c r="S102" s="22">
        <v>0.36276199999999997</v>
      </c>
      <c r="T102">
        <f t="shared" si="14"/>
        <v>16.215802469135802</v>
      </c>
      <c r="U102">
        <f t="shared" si="15"/>
        <v>5.8913956266666672</v>
      </c>
      <c r="X102" s="9"/>
      <c r="Y102" s="22">
        <v>1.25671</v>
      </c>
      <c r="Z102" s="22">
        <v>15.9971</v>
      </c>
      <c r="AA102" s="22">
        <v>-1.1795E-2</v>
      </c>
      <c r="AB102" s="22">
        <v>92</v>
      </c>
      <c r="AC102" s="22">
        <v>1.25519</v>
      </c>
      <c r="AD102">
        <f t="shared" si="16"/>
        <v>14.561728395061728</v>
      </c>
      <c r="AE102">
        <f t="shared" si="17"/>
        <v>18.299869691358023</v>
      </c>
      <c r="AF102" s="9"/>
      <c r="AG102" s="22">
        <v>0.36331200000000002</v>
      </c>
      <c r="AH102" s="22">
        <v>19.655100000000001</v>
      </c>
      <c r="AI102" s="22">
        <v>-1.3351399999999999E-2</v>
      </c>
      <c r="AJ102" s="22">
        <v>92</v>
      </c>
      <c r="AK102" s="22">
        <v>0.36267100000000002</v>
      </c>
      <c r="AL102">
        <f t="shared" si="18"/>
        <v>16.483209876543206</v>
      </c>
      <c r="AM102">
        <f t="shared" si="19"/>
        <v>5.9885479466666656</v>
      </c>
      <c r="AP102" s="9"/>
      <c r="AQ102" s="22">
        <v>1.25671</v>
      </c>
      <c r="AR102" s="22">
        <v>24.991299999999999</v>
      </c>
      <c r="AS102" s="22">
        <v>-1.19171E-2</v>
      </c>
      <c r="AT102" s="22">
        <v>92</v>
      </c>
      <c r="AU102" s="22">
        <v>1.2558</v>
      </c>
      <c r="AV102">
        <f t="shared" si="20"/>
        <v>14.712469135802468</v>
      </c>
      <c r="AW102">
        <f t="shared" si="21"/>
        <v>18.489307087654321</v>
      </c>
      <c r="AX102" s="9"/>
      <c r="AY102" s="22">
        <v>0.36331200000000002</v>
      </c>
      <c r="AZ102" s="22">
        <v>28.6494</v>
      </c>
      <c r="BA102" s="22">
        <v>-1.3345299999999999E-2</v>
      </c>
      <c r="BB102" s="22">
        <v>92</v>
      </c>
      <c r="BC102" s="22">
        <v>0.36276199999999997</v>
      </c>
      <c r="BD102">
        <f t="shared" si="22"/>
        <v>16.475679012345676</v>
      </c>
      <c r="BE102">
        <f t="shared" si="23"/>
        <v>5.9858118933333326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6.9969400000000004</v>
      </c>
      <c r="I103" s="22">
        <v>-1.1151100000000001E-2</v>
      </c>
      <c r="J103" s="22">
        <v>93</v>
      </c>
      <c r="K103" s="22">
        <v>1.25122</v>
      </c>
      <c r="L103">
        <f t="shared" si="12"/>
        <v>13.76679012345679</v>
      </c>
      <c r="M103">
        <f t="shared" si="13"/>
        <v>17.231615861728393</v>
      </c>
      <c r="N103" s="9"/>
      <c r="O103" s="22">
        <v>0.36834699999999998</v>
      </c>
      <c r="P103" s="22">
        <v>10.654999999999999</v>
      </c>
      <c r="Q103" s="22">
        <v>-1.31348E-2</v>
      </c>
      <c r="R103" s="22">
        <v>93</v>
      </c>
      <c r="S103" s="22">
        <v>0.36779800000000001</v>
      </c>
      <c r="T103">
        <f t="shared" si="14"/>
        <v>16.215802469135802</v>
      </c>
      <c r="U103">
        <f t="shared" si="15"/>
        <v>5.9730421920987649</v>
      </c>
      <c r="X103" s="9"/>
      <c r="Y103" s="22">
        <v>1.2516799999999999</v>
      </c>
      <c r="Z103" s="22">
        <v>16.007100000000001</v>
      </c>
      <c r="AA103" s="22">
        <v>-1.18256E-2</v>
      </c>
      <c r="AB103" s="22">
        <v>93</v>
      </c>
      <c r="AC103" s="22">
        <v>1.25092</v>
      </c>
      <c r="AD103">
        <f t="shared" si="16"/>
        <v>14.599506172839504</v>
      </c>
      <c r="AE103">
        <f t="shared" si="17"/>
        <v>18.273909886419748</v>
      </c>
      <c r="AF103" s="9"/>
      <c r="AG103" s="22">
        <v>0.36834699999999998</v>
      </c>
      <c r="AH103" s="22">
        <v>19.665199999999999</v>
      </c>
      <c r="AI103" s="22">
        <v>-1.3351399999999999E-2</v>
      </c>
      <c r="AJ103" s="22">
        <v>93</v>
      </c>
      <c r="AK103" s="22">
        <v>0.36776700000000001</v>
      </c>
      <c r="AL103">
        <f t="shared" si="18"/>
        <v>16.483209876543206</v>
      </c>
      <c r="AM103">
        <f t="shared" si="19"/>
        <v>6.0715409083950602</v>
      </c>
      <c r="AP103" s="9"/>
      <c r="AQ103" s="22">
        <v>1.2516799999999999</v>
      </c>
      <c r="AR103" s="22">
        <v>25.0014</v>
      </c>
      <c r="AS103" s="22">
        <v>-1.1953699999999999E-2</v>
      </c>
      <c r="AT103" s="22">
        <v>93</v>
      </c>
      <c r="AU103" s="22">
        <v>1.25061</v>
      </c>
      <c r="AV103">
        <f t="shared" si="20"/>
        <v>14.757654320987653</v>
      </c>
      <c r="AW103">
        <f t="shared" si="21"/>
        <v>18.471860760493826</v>
      </c>
      <c r="AX103" s="9"/>
      <c r="AY103" s="22">
        <v>0.36834699999999998</v>
      </c>
      <c r="AZ103" s="22">
        <v>28.659400000000002</v>
      </c>
      <c r="BA103" s="22">
        <v>-1.3339200000000001E-2</v>
      </c>
      <c r="BB103" s="22">
        <v>93</v>
      </c>
      <c r="BC103" s="22">
        <v>0.36773699999999998</v>
      </c>
      <c r="BD103">
        <f t="shared" si="22"/>
        <v>16.468148148148149</v>
      </c>
      <c r="BE103">
        <f t="shared" si="23"/>
        <v>6.0659929659259255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7.0070100000000002</v>
      </c>
      <c r="I104" s="22">
        <v>-1.1184700000000001E-2</v>
      </c>
      <c r="J104" s="22">
        <v>94</v>
      </c>
      <c r="K104" s="22">
        <v>1.24573</v>
      </c>
      <c r="L104">
        <f t="shared" si="12"/>
        <v>13.808271604938271</v>
      </c>
      <c r="M104">
        <f t="shared" si="13"/>
        <v>17.213943713580246</v>
      </c>
      <c r="N104" s="9"/>
      <c r="O104" s="22">
        <v>0.37338300000000002</v>
      </c>
      <c r="P104" s="22">
        <v>10.665100000000001</v>
      </c>
      <c r="Q104" s="22">
        <v>-1.3125599999999999E-2</v>
      </c>
      <c r="R104" s="22">
        <v>94</v>
      </c>
      <c r="S104" s="22">
        <v>0.37283300000000003</v>
      </c>
      <c r="T104">
        <f t="shared" si="14"/>
        <v>16.204444444444441</v>
      </c>
      <c r="U104">
        <f t="shared" si="15"/>
        <v>6.0504640799999994</v>
      </c>
      <c r="X104" s="9"/>
      <c r="Y104" s="22">
        <v>1.24664</v>
      </c>
      <c r="Z104" s="22">
        <v>16.017199999999999</v>
      </c>
      <c r="AA104" s="22">
        <v>-1.1859099999999999E-2</v>
      </c>
      <c r="AB104" s="22">
        <v>94</v>
      </c>
      <c r="AC104" s="22">
        <v>1.24573</v>
      </c>
      <c r="AD104">
        <f t="shared" si="16"/>
        <v>14.640864197530862</v>
      </c>
      <c r="AE104">
        <f t="shared" si="17"/>
        <v>18.251886943209872</v>
      </c>
      <c r="AF104" s="9"/>
      <c r="AG104" s="22">
        <v>0.37338300000000002</v>
      </c>
      <c r="AH104" s="22">
        <v>19.6753</v>
      </c>
      <c r="AI104" s="22">
        <v>-1.33606E-2</v>
      </c>
      <c r="AJ104" s="22">
        <v>94</v>
      </c>
      <c r="AK104" s="22">
        <v>0.37283300000000003</v>
      </c>
      <c r="AL104">
        <f t="shared" si="18"/>
        <v>16.494567901234568</v>
      </c>
      <c r="AM104">
        <f t="shared" si="19"/>
        <v>6.1587912466666666</v>
      </c>
      <c r="AP104" s="9"/>
      <c r="AQ104" s="22">
        <v>1.24664</v>
      </c>
      <c r="AR104" s="22">
        <v>25.011399999999998</v>
      </c>
      <c r="AS104" s="22">
        <v>-1.19904E-2</v>
      </c>
      <c r="AT104" s="22">
        <v>94</v>
      </c>
      <c r="AU104" s="22">
        <v>1.24573</v>
      </c>
      <c r="AV104">
        <f t="shared" si="20"/>
        <v>14.802962962962962</v>
      </c>
      <c r="AW104">
        <f t="shared" si="21"/>
        <v>18.453965748148146</v>
      </c>
      <c r="AX104" s="9"/>
      <c r="AY104" s="22">
        <v>0.37338300000000002</v>
      </c>
      <c r="AZ104" s="22">
        <v>28.669499999999999</v>
      </c>
      <c r="BA104" s="22">
        <v>-1.33423E-2</v>
      </c>
      <c r="BB104" s="22">
        <v>94</v>
      </c>
      <c r="BC104" s="22">
        <v>0.372803</v>
      </c>
      <c r="BD104">
        <f t="shared" si="22"/>
        <v>16.471975308641973</v>
      </c>
      <c r="BE104">
        <f t="shared" si="23"/>
        <v>6.1503555566666659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7.01708</v>
      </c>
      <c r="I105" s="22">
        <v>-1.1224400000000001E-2</v>
      </c>
      <c r="J105" s="22">
        <v>95</v>
      </c>
      <c r="K105" s="22">
        <v>1.2408399999999999</v>
      </c>
      <c r="L105">
        <f t="shared" si="12"/>
        <v>13.857283950617285</v>
      </c>
      <c r="M105">
        <f t="shared" si="13"/>
        <v>17.20534232592593</v>
      </c>
      <c r="N105" s="9"/>
      <c r="O105" s="22">
        <v>0.37841799999999998</v>
      </c>
      <c r="P105" s="22">
        <v>10.6751</v>
      </c>
      <c r="Q105" s="22">
        <v>-1.3119499999999999E-2</v>
      </c>
      <c r="R105" s="22">
        <v>95</v>
      </c>
      <c r="S105" s="22">
        <v>0.37780799999999998</v>
      </c>
      <c r="T105">
        <f t="shared" si="14"/>
        <v>16.19691358024691</v>
      </c>
      <c r="U105">
        <f t="shared" si="15"/>
        <v>6.1292036432098751</v>
      </c>
      <c r="X105" s="9"/>
      <c r="Y105" s="22">
        <v>1.2416100000000001</v>
      </c>
      <c r="Z105" s="22">
        <v>16.0273</v>
      </c>
      <c r="AA105" s="22">
        <v>-1.18958E-2</v>
      </c>
      <c r="AB105" s="22">
        <v>95</v>
      </c>
      <c r="AC105" s="22">
        <v>1.24054</v>
      </c>
      <c r="AD105">
        <f t="shared" si="16"/>
        <v>14.686172839506172</v>
      </c>
      <c r="AE105">
        <f t="shared" si="17"/>
        <v>18.23449905925926</v>
      </c>
      <c r="AF105" s="9"/>
      <c r="AG105" s="22">
        <v>0.37841799999999998</v>
      </c>
      <c r="AH105" s="22">
        <v>19.685300000000002</v>
      </c>
      <c r="AI105" s="22">
        <v>-1.3369799999999999E-2</v>
      </c>
      <c r="AJ105" s="22">
        <v>95</v>
      </c>
      <c r="AK105" s="22">
        <v>0.37780799999999998</v>
      </c>
      <c r="AL105">
        <f t="shared" si="18"/>
        <v>16.505925925925922</v>
      </c>
      <c r="AM105">
        <f t="shared" si="19"/>
        <v>6.2461394770370351</v>
      </c>
      <c r="AP105" s="9"/>
      <c r="AQ105" s="22">
        <v>1.2416100000000001</v>
      </c>
      <c r="AR105" s="22">
        <v>25.0215</v>
      </c>
      <c r="AS105" s="22">
        <v>-1.2023900000000001E-2</v>
      </c>
      <c r="AT105" s="22">
        <v>95</v>
      </c>
      <c r="AU105" s="22">
        <v>1.2408399999999999</v>
      </c>
      <c r="AV105">
        <f t="shared" si="20"/>
        <v>14.844320987654321</v>
      </c>
      <c r="AW105">
        <f t="shared" si="21"/>
        <v>18.430857381481484</v>
      </c>
      <c r="AX105" s="9"/>
      <c r="AY105" s="22">
        <v>0.37841799999999998</v>
      </c>
      <c r="AZ105" s="22">
        <v>28.679600000000001</v>
      </c>
      <c r="BA105" s="22">
        <v>-1.33484E-2</v>
      </c>
      <c r="BB105" s="22">
        <v>95</v>
      </c>
      <c r="BC105" s="22">
        <v>0.37780799999999998</v>
      </c>
      <c r="BD105">
        <f t="shared" si="22"/>
        <v>16.479506172839503</v>
      </c>
      <c r="BE105">
        <f t="shared" si="23"/>
        <v>6.2361417669135788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7.0271499999999998</v>
      </c>
      <c r="I106" s="22">
        <v>-1.1264E-2</v>
      </c>
      <c r="J106" s="22">
        <v>96</v>
      </c>
      <c r="K106" s="22">
        <v>1.23566</v>
      </c>
      <c r="L106">
        <f t="shared" si="12"/>
        <v>13.906172839506171</v>
      </c>
      <c r="M106">
        <f t="shared" si="13"/>
        <v>17.195956148148145</v>
      </c>
      <c r="N106" s="9"/>
      <c r="O106" s="22">
        <v>0.38345299999999999</v>
      </c>
      <c r="P106" s="22">
        <v>10.6852</v>
      </c>
      <c r="Q106" s="22">
        <v>-1.3110399999999999E-2</v>
      </c>
      <c r="R106" s="22">
        <v>96</v>
      </c>
      <c r="S106" s="22">
        <v>0.38290400000000002</v>
      </c>
      <c r="T106">
        <f t="shared" si="14"/>
        <v>16.185679012345677</v>
      </c>
      <c r="U106">
        <f t="shared" si="15"/>
        <v>6.2064471743209868</v>
      </c>
      <c r="X106" s="9"/>
      <c r="Y106" s="22">
        <v>1.2365699999999999</v>
      </c>
      <c r="Z106" s="22">
        <v>16.037400000000002</v>
      </c>
      <c r="AA106" s="22">
        <v>-1.1935400000000001E-2</v>
      </c>
      <c r="AB106" s="22">
        <v>96</v>
      </c>
      <c r="AC106" s="22">
        <v>1.2359599999999999</v>
      </c>
      <c r="AD106">
        <f t="shared" si="16"/>
        <v>14.735061728395062</v>
      </c>
      <c r="AE106">
        <f t="shared" si="17"/>
        <v>18.220935281481481</v>
      </c>
      <c r="AF106" s="9"/>
      <c r="AG106" s="22">
        <v>0.38345299999999999</v>
      </c>
      <c r="AH106" s="22">
        <v>19.695399999999999</v>
      </c>
      <c r="AI106" s="22">
        <v>-1.3369799999999999E-2</v>
      </c>
      <c r="AJ106" s="22">
        <v>96</v>
      </c>
      <c r="AK106" s="22">
        <v>0.38290400000000002</v>
      </c>
      <c r="AL106">
        <f t="shared" si="18"/>
        <v>16.505925925925922</v>
      </c>
      <c r="AM106">
        <f t="shared" si="19"/>
        <v>6.3292468140740725</v>
      </c>
      <c r="AP106" s="9"/>
      <c r="AQ106" s="22">
        <v>1.2365699999999999</v>
      </c>
      <c r="AR106" s="22">
        <v>25.031600000000001</v>
      </c>
      <c r="AS106" s="22">
        <v>-1.20453E-2</v>
      </c>
      <c r="AT106" s="22">
        <v>96</v>
      </c>
      <c r="AU106" s="22">
        <v>1.23566</v>
      </c>
      <c r="AV106">
        <f t="shared" si="20"/>
        <v>14.870740740740739</v>
      </c>
      <c r="AW106">
        <f t="shared" si="21"/>
        <v>18.388711877777776</v>
      </c>
      <c r="AX106" s="9"/>
      <c r="AY106" s="22">
        <v>0.38345299999999999</v>
      </c>
      <c r="AZ106" s="22">
        <v>28.689599999999999</v>
      </c>
      <c r="BA106" s="22">
        <v>-1.3351399999999999E-2</v>
      </c>
      <c r="BB106" s="22">
        <v>96</v>
      </c>
      <c r="BC106" s="22">
        <v>0.38290400000000002</v>
      </c>
      <c r="BD106">
        <f t="shared" si="22"/>
        <v>16.483209876543206</v>
      </c>
      <c r="BE106">
        <f t="shared" si="23"/>
        <v>6.3205362767901221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7.0372300000000001</v>
      </c>
      <c r="I107" s="22">
        <v>-1.1306800000000001E-2</v>
      </c>
      <c r="J107" s="22">
        <v>97</v>
      </c>
      <c r="K107" s="22">
        <v>1.2301599999999999</v>
      </c>
      <c r="L107">
        <f t="shared" si="12"/>
        <v>13.959012345679012</v>
      </c>
      <c r="M107">
        <f t="shared" si="13"/>
        <v>17.191082064197531</v>
      </c>
      <c r="N107" s="9"/>
      <c r="O107" s="22">
        <v>0.38848899999999997</v>
      </c>
      <c r="P107" s="22">
        <v>10.6953</v>
      </c>
      <c r="Q107" s="22">
        <v>-1.31042E-2</v>
      </c>
      <c r="R107" s="22">
        <v>97</v>
      </c>
      <c r="S107" s="22">
        <v>0.387909</v>
      </c>
      <c r="T107">
        <f t="shared" si="14"/>
        <v>16.178024691358022</v>
      </c>
      <c r="U107">
        <f t="shared" si="15"/>
        <v>6.2849846343209865</v>
      </c>
      <c r="X107" s="9"/>
      <c r="Y107" s="22">
        <v>1.2315400000000001</v>
      </c>
      <c r="Z107" s="22">
        <v>16.0474</v>
      </c>
      <c r="AA107" s="22">
        <v>-1.19659E-2</v>
      </c>
      <c r="AB107" s="22">
        <v>97</v>
      </c>
      <c r="AC107" s="22">
        <v>1.23047</v>
      </c>
      <c r="AD107">
        <f t="shared" si="16"/>
        <v>14.772716049382716</v>
      </c>
      <c r="AE107">
        <f t="shared" si="17"/>
        <v>18.193190723456791</v>
      </c>
      <c r="AF107" s="9"/>
      <c r="AG107" s="22">
        <v>0.38848899999999997</v>
      </c>
      <c r="AH107" s="22">
        <v>19.705500000000001</v>
      </c>
      <c r="AI107" s="22">
        <v>-1.33545E-2</v>
      </c>
      <c r="AJ107" s="22">
        <v>97</v>
      </c>
      <c r="AK107" s="22">
        <v>0.387909</v>
      </c>
      <c r="AL107">
        <f t="shared" si="18"/>
        <v>16.487037037037037</v>
      </c>
      <c r="AM107">
        <f t="shared" si="19"/>
        <v>6.4050325314814813</v>
      </c>
      <c r="AP107" s="9"/>
      <c r="AQ107" s="22">
        <v>1.2315400000000001</v>
      </c>
      <c r="AR107" s="22">
        <v>25.041699999999999</v>
      </c>
      <c r="AS107" s="22">
        <v>-1.2075799999999999E-2</v>
      </c>
      <c r="AT107" s="22">
        <v>97</v>
      </c>
      <c r="AU107" s="22">
        <v>1.2301599999999999</v>
      </c>
      <c r="AV107">
        <f t="shared" si="20"/>
        <v>14.908395061728394</v>
      </c>
      <c r="AW107">
        <f t="shared" si="21"/>
        <v>18.360284854320987</v>
      </c>
      <c r="AX107" s="9"/>
      <c r="AY107" s="22">
        <v>0.38848899999999997</v>
      </c>
      <c r="AZ107" s="22">
        <v>28.6997</v>
      </c>
      <c r="BA107" s="22">
        <v>-1.3351399999999999E-2</v>
      </c>
      <c r="BB107" s="22">
        <v>97</v>
      </c>
      <c r="BC107" s="22">
        <v>0.38796999999999998</v>
      </c>
      <c r="BD107">
        <f t="shared" si="22"/>
        <v>16.483209876543206</v>
      </c>
      <c r="BE107">
        <f t="shared" si="23"/>
        <v>6.4035457217283929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7.0472999999999999</v>
      </c>
      <c r="I108" s="22">
        <v>-1.13556E-2</v>
      </c>
      <c r="J108" s="22">
        <v>98</v>
      </c>
      <c r="K108" s="22">
        <v>1.22498</v>
      </c>
      <c r="L108">
        <f t="shared" si="12"/>
        <v>14.019259259259259</v>
      </c>
      <c r="M108">
        <f t="shared" si="13"/>
        <v>17.19462148148148</v>
      </c>
      <c r="N108" s="9"/>
      <c r="O108" s="22">
        <v>0.39352399999999998</v>
      </c>
      <c r="P108" s="22">
        <v>10.705399999999999</v>
      </c>
      <c r="Q108" s="22">
        <v>-1.3110399999999999E-2</v>
      </c>
      <c r="R108" s="22">
        <v>98</v>
      </c>
      <c r="S108" s="22">
        <v>0.39297500000000002</v>
      </c>
      <c r="T108">
        <f t="shared" si="14"/>
        <v>16.185679012345677</v>
      </c>
      <c r="U108">
        <f t="shared" si="15"/>
        <v>6.3694531476543199</v>
      </c>
      <c r="X108" s="9"/>
      <c r="Y108" s="22">
        <v>1.2264999999999999</v>
      </c>
      <c r="Z108" s="22">
        <v>16.057500000000001</v>
      </c>
      <c r="AA108" s="22">
        <v>-1.20026E-2</v>
      </c>
      <c r="AB108" s="22">
        <v>98</v>
      </c>
      <c r="AC108" s="22">
        <v>1.2252799999999999</v>
      </c>
      <c r="AD108">
        <f t="shared" si="16"/>
        <v>14.818024691358024</v>
      </c>
      <c r="AE108">
        <f t="shared" si="17"/>
        <v>18.174307283950615</v>
      </c>
      <c r="AF108" s="9"/>
      <c r="AG108" s="22">
        <v>0.39352399999999998</v>
      </c>
      <c r="AH108" s="22">
        <v>19.715599999999998</v>
      </c>
      <c r="AI108" s="22">
        <v>-1.3336199999999999E-2</v>
      </c>
      <c r="AJ108" s="22">
        <v>98</v>
      </c>
      <c r="AK108" s="22">
        <v>0.39297500000000002</v>
      </c>
      <c r="AL108">
        <f t="shared" si="18"/>
        <v>16.464444444444442</v>
      </c>
      <c r="AM108">
        <f t="shared" si="19"/>
        <v>6.4791540355555544</v>
      </c>
      <c r="AP108" s="9"/>
      <c r="AQ108" s="22">
        <v>1.2264999999999999</v>
      </c>
      <c r="AR108" s="22">
        <v>25.0517</v>
      </c>
      <c r="AS108" s="22">
        <v>-1.21063E-2</v>
      </c>
      <c r="AT108" s="22">
        <v>98</v>
      </c>
      <c r="AU108" s="22">
        <v>1.2258899999999999</v>
      </c>
      <c r="AV108">
        <f t="shared" si="20"/>
        <v>14.946049382716049</v>
      </c>
      <c r="AW108">
        <f t="shared" si="21"/>
        <v>18.331329567901232</v>
      </c>
      <c r="AX108" s="9"/>
      <c r="AY108" s="22">
        <v>0.39352399999999998</v>
      </c>
      <c r="AZ108" s="22">
        <v>28.709800000000001</v>
      </c>
      <c r="BA108" s="22">
        <v>-1.3351399999999999E-2</v>
      </c>
      <c r="BB108" s="22">
        <v>98</v>
      </c>
      <c r="BC108" s="22">
        <v>0.39294400000000002</v>
      </c>
      <c r="BD108">
        <f t="shared" si="22"/>
        <v>16.483209876543206</v>
      </c>
      <c r="BE108">
        <f t="shared" si="23"/>
        <v>6.4865386834567884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7.0573699999999997</v>
      </c>
      <c r="I109" s="22">
        <v>-1.1395300000000001E-2</v>
      </c>
      <c r="J109" s="22">
        <v>99</v>
      </c>
      <c r="K109" s="22">
        <v>1.2197899999999999</v>
      </c>
      <c r="L109">
        <f t="shared" si="12"/>
        <v>14.068271604938271</v>
      </c>
      <c r="M109">
        <f t="shared" si="13"/>
        <v>17.183971717283949</v>
      </c>
      <c r="N109" s="9"/>
      <c r="O109" s="22">
        <v>0.39856000000000003</v>
      </c>
      <c r="P109" s="22">
        <v>10.715400000000001</v>
      </c>
      <c r="Q109" s="22">
        <v>-1.3119499999999999E-2</v>
      </c>
      <c r="R109" s="22">
        <v>99</v>
      </c>
      <c r="S109" s="22">
        <v>0.39791900000000002</v>
      </c>
      <c r="T109">
        <f t="shared" si="14"/>
        <v>16.19691358024691</v>
      </c>
      <c r="U109">
        <f t="shared" si="15"/>
        <v>6.4554418765432091</v>
      </c>
      <c r="X109" s="9"/>
      <c r="Y109" s="22">
        <v>1.2214700000000001</v>
      </c>
      <c r="Z109" s="22">
        <v>16.067599999999999</v>
      </c>
      <c r="AA109" s="22">
        <v>-1.20331E-2</v>
      </c>
      <c r="AB109" s="22">
        <v>99</v>
      </c>
      <c r="AC109" s="22">
        <v>1.2206999999999999</v>
      </c>
      <c r="AD109">
        <f t="shared" si="16"/>
        <v>14.855679012345679</v>
      </c>
      <c r="AE109">
        <f t="shared" si="17"/>
        <v>18.145766243209877</v>
      </c>
      <c r="AF109" s="9"/>
      <c r="AG109" s="22">
        <v>0.39856000000000003</v>
      </c>
      <c r="AH109" s="22">
        <v>19.7256</v>
      </c>
      <c r="AI109" s="22">
        <v>-1.3330099999999999E-2</v>
      </c>
      <c r="AJ109" s="22">
        <v>99</v>
      </c>
      <c r="AK109" s="22">
        <v>0.39800999999999997</v>
      </c>
      <c r="AL109">
        <f t="shared" si="18"/>
        <v>16.456913580246912</v>
      </c>
      <c r="AM109">
        <f t="shared" si="19"/>
        <v>6.55906747654321</v>
      </c>
      <c r="AP109" s="9"/>
      <c r="AQ109" s="22">
        <v>1.2214700000000001</v>
      </c>
      <c r="AR109" s="22">
        <v>25.061800000000002</v>
      </c>
      <c r="AS109" s="22">
        <v>-1.21277E-2</v>
      </c>
      <c r="AT109" s="22">
        <v>99</v>
      </c>
      <c r="AU109" s="22">
        <v>1.2200899999999999</v>
      </c>
      <c r="AV109">
        <f t="shared" si="20"/>
        <v>14.972469135802468</v>
      </c>
      <c r="AW109">
        <f t="shared" si="21"/>
        <v>18.288421875308643</v>
      </c>
      <c r="AX109" s="9"/>
      <c r="AY109" s="22">
        <v>0.39856000000000003</v>
      </c>
      <c r="AZ109" s="22">
        <v>28.719799999999999</v>
      </c>
      <c r="BA109" s="22">
        <v>-1.33606E-2</v>
      </c>
      <c r="BB109" s="22">
        <v>99</v>
      </c>
      <c r="BC109" s="22">
        <v>0.39798</v>
      </c>
      <c r="BD109">
        <f t="shared" si="22"/>
        <v>16.494567901234568</v>
      </c>
      <c r="BE109">
        <f t="shared" si="23"/>
        <v>6.5740749827160494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7.0674400000000004</v>
      </c>
      <c r="I110" s="22">
        <v>-1.14441E-2</v>
      </c>
      <c r="J110" s="22">
        <v>100</v>
      </c>
      <c r="K110" s="22">
        <v>1.2155199999999999</v>
      </c>
      <c r="L110">
        <f t="shared" si="12"/>
        <v>14.128518518518518</v>
      </c>
      <c r="M110">
        <f t="shared" si="13"/>
        <v>17.186353781481479</v>
      </c>
      <c r="N110" s="9"/>
      <c r="O110" s="22">
        <v>0.40359499999999998</v>
      </c>
      <c r="P110" s="22">
        <v>10.7255</v>
      </c>
      <c r="Q110" s="22">
        <v>-1.31165E-2</v>
      </c>
      <c r="R110" s="22">
        <v>100</v>
      </c>
      <c r="S110" s="22">
        <v>0.40301500000000001</v>
      </c>
      <c r="T110">
        <f t="shared" si="14"/>
        <v>16.193209876543211</v>
      </c>
      <c r="U110">
        <f t="shared" si="15"/>
        <v>6.5354985401234567</v>
      </c>
      <c r="X110" s="9"/>
      <c r="Y110" s="22">
        <v>1.2164299999999999</v>
      </c>
      <c r="Z110" s="22">
        <v>16.0776</v>
      </c>
      <c r="AA110" s="22">
        <v>-1.20605E-2</v>
      </c>
      <c r="AB110" s="22">
        <v>100</v>
      </c>
      <c r="AC110" s="22">
        <v>1.2155199999999999</v>
      </c>
      <c r="AD110">
        <f t="shared" si="16"/>
        <v>14.889506172839505</v>
      </c>
      <c r="AE110">
        <f t="shared" si="17"/>
        <v>18.112041993827159</v>
      </c>
      <c r="AF110" s="9"/>
      <c r="AG110" s="22">
        <v>0.40359499999999998</v>
      </c>
      <c r="AH110" s="22">
        <v>19.735700000000001</v>
      </c>
      <c r="AI110" s="22">
        <v>-1.33209E-2</v>
      </c>
      <c r="AJ110" s="22">
        <v>100</v>
      </c>
      <c r="AK110" s="22">
        <v>0.40304600000000002</v>
      </c>
      <c r="AL110">
        <f t="shared" si="18"/>
        <v>16.445555555555554</v>
      </c>
      <c r="AM110">
        <f t="shared" si="19"/>
        <v>6.6373439944444437</v>
      </c>
      <c r="AP110" s="9"/>
      <c r="AQ110" s="22">
        <v>1.2164299999999999</v>
      </c>
      <c r="AR110" s="22">
        <v>25.071899999999999</v>
      </c>
      <c r="AS110" s="22">
        <v>-1.2158199999999999E-2</v>
      </c>
      <c r="AT110" s="22">
        <v>100</v>
      </c>
      <c r="AU110" s="22">
        <v>1.2158199999999999</v>
      </c>
      <c r="AV110">
        <f t="shared" si="20"/>
        <v>15.010123456790122</v>
      </c>
      <c r="AW110">
        <f t="shared" si="21"/>
        <v>18.258764476543206</v>
      </c>
      <c r="AX110" s="9"/>
      <c r="AY110" s="22">
        <v>0.40359499999999998</v>
      </c>
      <c r="AZ110" s="22">
        <v>28.729900000000001</v>
      </c>
      <c r="BA110" s="22">
        <v>-1.33545E-2</v>
      </c>
      <c r="BB110" s="22">
        <v>100</v>
      </c>
      <c r="BC110" s="22">
        <v>0.40301500000000001</v>
      </c>
      <c r="BD110">
        <f t="shared" si="22"/>
        <v>16.487037037037037</v>
      </c>
      <c r="BE110">
        <f t="shared" si="23"/>
        <v>6.6540857129629627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7.0775100000000002</v>
      </c>
      <c r="I111" s="22">
        <v>-1.14685E-2</v>
      </c>
      <c r="J111" s="22">
        <v>101</v>
      </c>
      <c r="K111" s="22">
        <v>1.2097199999999999</v>
      </c>
      <c r="L111">
        <f t="shared" si="12"/>
        <v>14.15864197530864</v>
      </c>
      <c r="M111">
        <f t="shared" si="13"/>
        <v>17.151778888888888</v>
      </c>
      <c r="N111" s="9"/>
      <c r="O111" s="22">
        <v>0.40862999999999999</v>
      </c>
      <c r="P111" s="22">
        <v>10.7356</v>
      </c>
      <c r="Q111" s="22">
        <v>-1.3119499999999999E-2</v>
      </c>
      <c r="R111" s="22">
        <v>101</v>
      </c>
      <c r="S111" s="22">
        <v>0.40799000000000002</v>
      </c>
      <c r="T111">
        <f t="shared" si="14"/>
        <v>16.19691358024691</v>
      </c>
      <c r="U111">
        <f t="shared" si="15"/>
        <v>6.6185447962962947</v>
      </c>
      <c r="X111" s="9"/>
      <c r="Y111" s="22">
        <v>1.2114</v>
      </c>
      <c r="Z111" s="22">
        <v>16.087700000000002</v>
      </c>
      <c r="AA111" s="22">
        <v>-1.2088E-2</v>
      </c>
      <c r="AB111" s="22">
        <v>101</v>
      </c>
      <c r="AC111" s="22">
        <v>1.2103299999999999</v>
      </c>
      <c r="AD111">
        <f t="shared" si="16"/>
        <v>14.923456790123456</v>
      </c>
      <c r="AE111">
        <f t="shared" si="17"/>
        <v>18.078275555555557</v>
      </c>
      <c r="AF111" s="9"/>
      <c r="AG111" s="22">
        <v>0.40862999999999999</v>
      </c>
      <c r="AH111" s="22">
        <v>19.745799999999999</v>
      </c>
      <c r="AI111" s="22">
        <v>-1.33148E-2</v>
      </c>
      <c r="AJ111" s="22">
        <v>101</v>
      </c>
      <c r="AK111" s="22">
        <v>0.40799000000000002</v>
      </c>
      <c r="AL111">
        <f t="shared" si="18"/>
        <v>16.438024691358024</v>
      </c>
      <c r="AM111">
        <f t="shared" si="19"/>
        <v>6.7170700296296291</v>
      </c>
      <c r="AP111" s="9"/>
      <c r="AQ111" s="22">
        <v>1.2114</v>
      </c>
      <c r="AR111" s="22">
        <v>25.081900000000001</v>
      </c>
      <c r="AS111" s="22">
        <v>-1.21887E-2</v>
      </c>
      <c r="AT111" s="22">
        <v>101</v>
      </c>
      <c r="AU111" s="22">
        <v>1.2100200000000001</v>
      </c>
      <c r="AV111">
        <f t="shared" si="20"/>
        <v>15.047777777777776</v>
      </c>
      <c r="AW111">
        <f t="shared" si="21"/>
        <v>18.228877999999998</v>
      </c>
      <c r="AX111" s="9"/>
      <c r="AY111" s="22">
        <v>0.40862999999999999</v>
      </c>
      <c r="AZ111" s="22">
        <v>28.74</v>
      </c>
      <c r="BA111" s="22">
        <v>-1.3339200000000001E-2</v>
      </c>
      <c r="BB111" s="22">
        <v>101</v>
      </c>
      <c r="BC111" s="22">
        <v>0.408051</v>
      </c>
      <c r="BD111">
        <f t="shared" si="22"/>
        <v>16.468148148148149</v>
      </c>
      <c r="BE111">
        <f t="shared" si="23"/>
        <v>6.7293793777777777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7.08758</v>
      </c>
      <c r="I112" s="22">
        <v>-1.14929E-2</v>
      </c>
      <c r="J112" s="22">
        <v>102</v>
      </c>
      <c r="K112" s="22">
        <v>1.2054400000000001</v>
      </c>
      <c r="L112">
        <f t="shared" si="12"/>
        <v>14.188765432098766</v>
      </c>
      <c r="M112">
        <f t="shared" si="13"/>
        <v>17.116759066666667</v>
      </c>
      <c r="N112" s="9"/>
      <c r="O112" s="22">
        <v>0.41366599999999998</v>
      </c>
      <c r="P112" s="22">
        <v>10.7456</v>
      </c>
      <c r="Q112" s="22">
        <v>-1.31226E-2</v>
      </c>
      <c r="R112" s="22">
        <v>102</v>
      </c>
      <c r="S112" s="22">
        <v>0.41308600000000001</v>
      </c>
      <c r="T112">
        <f t="shared" si="14"/>
        <v>16.200740740740741</v>
      </c>
      <c r="U112">
        <f t="shared" si="15"/>
        <v>6.7016956192592589</v>
      </c>
      <c r="X112" s="9"/>
      <c r="Y112" s="22">
        <v>1.2063600000000001</v>
      </c>
      <c r="Z112" s="22">
        <v>16.097799999999999</v>
      </c>
      <c r="AA112" s="22">
        <v>-1.21155E-2</v>
      </c>
      <c r="AB112" s="22">
        <v>102</v>
      </c>
      <c r="AC112" s="22">
        <v>1.2054400000000001</v>
      </c>
      <c r="AD112">
        <f t="shared" si="16"/>
        <v>14.957407407407405</v>
      </c>
      <c r="AE112">
        <f t="shared" si="17"/>
        <v>18.044017999999998</v>
      </c>
      <c r="AF112" s="9"/>
      <c r="AG112" s="22">
        <v>0.41366599999999998</v>
      </c>
      <c r="AH112" s="22">
        <v>19.755800000000001</v>
      </c>
      <c r="AI112" s="22">
        <v>-1.33118E-2</v>
      </c>
      <c r="AJ112" s="22">
        <v>102</v>
      </c>
      <c r="AK112" s="22">
        <v>0.41308600000000001</v>
      </c>
      <c r="AL112">
        <f t="shared" si="18"/>
        <v>16.434320987654321</v>
      </c>
      <c r="AM112">
        <f t="shared" si="19"/>
        <v>6.7983198256790116</v>
      </c>
      <c r="AP112" s="9"/>
      <c r="AQ112" s="22">
        <v>1.2063600000000001</v>
      </c>
      <c r="AR112" s="22">
        <v>25.091999999999999</v>
      </c>
      <c r="AS112" s="22">
        <v>-1.22192E-2</v>
      </c>
      <c r="AT112" s="22">
        <v>102</v>
      </c>
      <c r="AU112" s="22">
        <v>1.2051400000000001</v>
      </c>
      <c r="AV112">
        <f t="shared" si="20"/>
        <v>15.08543209876543</v>
      </c>
      <c r="AW112">
        <f t="shared" si="21"/>
        <v>18.198461866666666</v>
      </c>
      <c r="AX112" s="9"/>
      <c r="AY112" s="22">
        <v>0.41366599999999998</v>
      </c>
      <c r="AZ112" s="22">
        <v>28.7501</v>
      </c>
      <c r="BA112" s="22">
        <v>-1.3336199999999999E-2</v>
      </c>
      <c r="BB112" s="22">
        <v>102</v>
      </c>
      <c r="BC112" s="22">
        <v>0.41308600000000001</v>
      </c>
      <c r="BD112">
        <f t="shared" si="22"/>
        <v>16.464444444444442</v>
      </c>
      <c r="BE112">
        <f t="shared" si="23"/>
        <v>6.8107808755555546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7.0976499999999998</v>
      </c>
      <c r="I113" s="22">
        <v>-1.1511199999999999E-2</v>
      </c>
      <c r="J113" s="22">
        <v>103</v>
      </c>
      <c r="K113" s="22">
        <v>1.2005600000000001</v>
      </c>
      <c r="L113">
        <f t="shared" si="12"/>
        <v>14.211358024691357</v>
      </c>
      <c r="M113">
        <f t="shared" si="13"/>
        <v>17.072388622222221</v>
      </c>
      <c r="N113" s="9"/>
      <c r="O113" s="22">
        <v>0.41870099999999999</v>
      </c>
      <c r="P113" s="22">
        <v>10.755699999999999</v>
      </c>
      <c r="Q113" s="22">
        <v>-1.31287E-2</v>
      </c>
      <c r="R113" s="22">
        <v>103</v>
      </c>
      <c r="S113" s="22">
        <v>0.41812100000000002</v>
      </c>
      <c r="T113">
        <f t="shared" si="14"/>
        <v>16.208271604938268</v>
      </c>
      <c r="U113">
        <f t="shared" si="15"/>
        <v>6.7864195292592573</v>
      </c>
      <c r="X113" s="9"/>
      <c r="Y113" s="22">
        <v>1.2013199999999999</v>
      </c>
      <c r="Z113" s="22">
        <v>16.107900000000001</v>
      </c>
      <c r="AA113" s="22">
        <v>-1.21429E-2</v>
      </c>
      <c r="AB113" s="22">
        <v>103</v>
      </c>
      <c r="AC113" s="22">
        <v>1.2002600000000001</v>
      </c>
      <c r="AD113">
        <f t="shared" si="16"/>
        <v>14.991234567901234</v>
      </c>
      <c r="AE113">
        <f t="shared" si="17"/>
        <v>18.009269911111108</v>
      </c>
      <c r="AF113" s="9"/>
      <c r="AG113" s="22">
        <v>0.41870099999999999</v>
      </c>
      <c r="AH113" s="22">
        <v>19.765899999999998</v>
      </c>
      <c r="AI113" s="22">
        <v>-1.33118E-2</v>
      </c>
      <c r="AJ113" s="22">
        <v>103</v>
      </c>
      <c r="AK113" s="22">
        <v>0.41803000000000001</v>
      </c>
      <c r="AL113">
        <f t="shared" si="18"/>
        <v>16.434320987654321</v>
      </c>
      <c r="AM113">
        <f t="shared" si="19"/>
        <v>6.8810666318518514</v>
      </c>
      <c r="AP113" s="9"/>
      <c r="AQ113" s="22">
        <v>1.2013199999999999</v>
      </c>
      <c r="AR113" s="22">
        <v>25.1021</v>
      </c>
      <c r="AS113" s="22">
        <v>-1.2246699999999999E-2</v>
      </c>
      <c r="AT113" s="22">
        <v>103</v>
      </c>
      <c r="AU113" s="22">
        <v>1.2002600000000001</v>
      </c>
      <c r="AV113">
        <f t="shared" si="20"/>
        <v>15.11938271604938</v>
      </c>
      <c r="AW113">
        <f t="shared" si="21"/>
        <v>18.163216844444438</v>
      </c>
      <c r="AX113" s="9"/>
      <c r="AY113" s="22">
        <v>0.41870099999999999</v>
      </c>
      <c r="AZ113" s="22">
        <v>28.760100000000001</v>
      </c>
      <c r="BA113" s="22">
        <v>-1.3339200000000001E-2</v>
      </c>
      <c r="BB113" s="22">
        <v>103</v>
      </c>
      <c r="BC113" s="22">
        <v>0.41809099999999999</v>
      </c>
      <c r="BD113">
        <f t="shared" si="22"/>
        <v>16.468148148148149</v>
      </c>
      <c r="BE113">
        <f t="shared" si="23"/>
        <v>6.8952300977777776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7.1077199999999996</v>
      </c>
      <c r="I114" s="22">
        <v>-1.15417E-2</v>
      </c>
      <c r="J114" s="22">
        <v>104</v>
      </c>
      <c r="K114" s="22">
        <v>1.19476</v>
      </c>
      <c r="L114">
        <f t="shared" si="12"/>
        <v>14.249012345679011</v>
      </c>
      <c r="M114">
        <f t="shared" si="13"/>
        <v>17.045950979012346</v>
      </c>
      <c r="N114" s="9"/>
      <c r="O114" s="22">
        <v>0.42373699999999997</v>
      </c>
      <c r="P114" s="22">
        <v>10.7658</v>
      </c>
      <c r="Q114" s="22">
        <v>-1.31226E-2</v>
      </c>
      <c r="R114" s="22">
        <v>104</v>
      </c>
      <c r="S114" s="22">
        <v>0.42318699999999998</v>
      </c>
      <c r="T114">
        <f t="shared" si="14"/>
        <v>16.200740740740741</v>
      </c>
      <c r="U114">
        <f t="shared" si="15"/>
        <v>6.8648532792592594</v>
      </c>
      <c r="X114" s="9"/>
      <c r="Y114" s="22">
        <v>1.1962900000000001</v>
      </c>
      <c r="Z114" s="22">
        <v>16.117899999999999</v>
      </c>
      <c r="AA114" s="22">
        <v>-1.21613E-2</v>
      </c>
      <c r="AB114" s="22">
        <v>104</v>
      </c>
      <c r="AC114" s="22">
        <v>1.19537</v>
      </c>
      <c r="AD114">
        <f t="shared" si="16"/>
        <v>15.01395061728395</v>
      </c>
      <c r="AE114">
        <f t="shared" si="17"/>
        <v>17.961038983950615</v>
      </c>
      <c r="AF114" s="9"/>
      <c r="AG114" s="22">
        <v>0.42373699999999997</v>
      </c>
      <c r="AH114" s="22">
        <v>19.776</v>
      </c>
      <c r="AI114" s="22">
        <v>-1.3317900000000001E-2</v>
      </c>
      <c r="AJ114" s="22">
        <v>104</v>
      </c>
      <c r="AK114" s="22">
        <v>0.42315700000000001</v>
      </c>
      <c r="AL114">
        <f t="shared" si="18"/>
        <v>16.441851851851851</v>
      </c>
      <c r="AM114">
        <f t="shared" si="19"/>
        <v>6.9670209781481471</v>
      </c>
      <c r="AP114" s="9"/>
      <c r="AQ114" s="22">
        <v>1.1962900000000001</v>
      </c>
      <c r="AR114" s="22">
        <v>25.112200000000001</v>
      </c>
      <c r="AS114" s="22">
        <v>-1.2274200000000001E-2</v>
      </c>
      <c r="AT114" s="22">
        <v>104</v>
      </c>
      <c r="AU114" s="22">
        <v>1.1950700000000001</v>
      </c>
      <c r="AV114">
        <f t="shared" si="20"/>
        <v>15.153333333333332</v>
      </c>
      <c r="AW114">
        <f t="shared" si="21"/>
        <v>18.127781133333333</v>
      </c>
      <c r="AX114" s="9"/>
      <c r="AY114" s="22">
        <v>0.42373699999999997</v>
      </c>
      <c r="AZ114" s="22">
        <v>28.770199999999999</v>
      </c>
      <c r="BA114" s="22">
        <v>-1.3339200000000001E-2</v>
      </c>
      <c r="BB114" s="22">
        <v>104</v>
      </c>
      <c r="BC114" s="22">
        <v>0.42309600000000003</v>
      </c>
      <c r="BD114">
        <f t="shared" si="22"/>
        <v>16.468148148148149</v>
      </c>
      <c r="BE114">
        <f t="shared" si="23"/>
        <v>6.9781636918518517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7.1177900000000003</v>
      </c>
      <c r="I115" s="22">
        <v>-1.15631E-2</v>
      </c>
      <c r="J115" s="22">
        <v>105</v>
      </c>
      <c r="K115" s="22">
        <v>1.1901900000000001</v>
      </c>
      <c r="L115">
        <f t="shared" si="12"/>
        <v>14.275432098765432</v>
      </c>
      <c r="M115">
        <f t="shared" si="13"/>
        <v>17.005608487654321</v>
      </c>
      <c r="N115" s="9"/>
      <c r="O115" s="22">
        <v>0.42877199999999999</v>
      </c>
      <c r="P115" s="22">
        <v>10.7758</v>
      </c>
      <c r="Q115" s="22">
        <v>-1.31165E-2</v>
      </c>
      <c r="R115" s="22">
        <v>105</v>
      </c>
      <c r="S115" s="22">
        <v>0.42816199999999999</v>
      </c>
      <c r="T115">
        <f t="shared" si="14"/>
        <v>16.193209876543211</v>
      </c>
      <c r="U115">
        <f t="shared" si="15"/>
        <v>6.9431949851851851</v>
      </c>
      <c r="X115" s="9"/>
      <c r="Y115" s="22">
        <v>1.1912499999999999</v>
      </c>
      <c r="Z115" s="22">
        <v>16.128</v>
      </c>
      <c r="AA115" s="22">
        <v>-1.2185700000000001E-2</v>
      </c>
      <c r="AB115" s="22">
        <v>105</v>
      </c>
      <c r="AC115" s="22">
        <v>1.1908000000000001</v>
      </c>
      <c r="AD115">
        <f t="shared" si="16"/>
        <v>15.044074074074075</v>
      </c>
      <c r="AE115">
        <f t="shared" si="17"/>
        <v>17.921253240740739</v>
      </c>
      <c r="AF115" s="9"/>
      <c r="AG115" s="22">
        <v>0.42877199999999999</v>
      </c>
      <c r="AH115" s="22">
        <v>19.786100000000001</v>
      </c>
      <c r="AI115" s="22">
        <v>-1.33209E-2</v>
      </c>
      <c r="AJ115" s="22">
        <v>105</v>
      </c>
      <c r="AK115" s="22">
        <v>0.42813099999999998</v>
      </c>
      <c r="AL115">
        <f t="shared" si="18"/>
        <v>16.445555555555554</v>
      </c>
      <c r="AM115">
        <f t="shared" si="19"/>
        <v>7.0513937466666654</v>
      </c>
      <c r="AP115" s="9"/>
      <c r="AQ115" s="22">
        <v>1.1912499999999999</v>
      </c>
      <c r="AR115" s="22">
        <v>25.122199999999999</v>
      </c>
      <c r="AS115" s="22">
        <v>-1.2295499999999999E-2</v>
      </c>
      <c r="AT115" s="22">
        <v>105</v>
      </c>
      <c r="AU115" s="22">
        <v>1.1901900000000001</v>
      </c>
      <c r="AV115">
        <f t="shared" si="20"/>
        <v>15.179629629629629</v>
      </c>
      <c r="AW115">
        <f t="shared" si="21"/>
        <v>18.082733796296296</v>
      </c>
      <c r="AX115" s="9"/>
      <c r="AY115" s="22">
        <v>0.42877199999999999</v>
      </c>
      <c r="AZ115" s="22">
        <v>28.7803</v>
      </c>
      <c r="BA115" s="22">
        <v>-1.3351399999999999E-2</v>
      </c>
      <c r="BB115" s="22">
        <v>105</v>
      </c>
      <c r="BC115" s="22">
        <v>0.42825299999999999</v>
      </c>
      <c r="BD115">
        <f t="shared" si="22"/>
        <v>16.483209876543206</v>
      </c>
      <c r="BE115">
        <f t="shared" si="23"/>
        <v>7.0675388651851838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7.1278600000000001</v>
      </c>
      <c r="I116" s="22">
        <v>-1.15753E-2</v>
      </c>
      <c r="J116" s="22">
        <v>106</v>
      </c>
      <c r="K116" s="22">
        <v>1.1853</v>
      </c>
      <c r="L116">
        <f t="shared" si="12"/>
        <v>14.290493827160493</v>
      </c>
      <c r="M116">
        <f t="shared" si="13"/>
        <v>16.951669587654319</v>
      </c>
      <c r="N116" s="9"/>
      <c r="O116" s="22">
        <v>0.433807</v>
      </c>
      <c r="P116" s="22">
        <v>10.7859</v>
      </c>
      <c r="Q116" s="22">
        <v>-1.3110399999999999E-2</v>
      </c>
      <c r="R116" s="22">
        <v>106</v>
      </c>
      <c r="S116" s="22">
        <v>0.43325799999999998</v>
      </c>
      <c r="T116">
        <f t="shared" si="14"/>
        <v>16.185679012345677</v>
      </c>
      <c r="U116">
        <f t="shared" si="15"/>
        <v>7.0214608553086411</v>
      </c>
      <c r="X116" s="9"/>
      <c r="Y116" s="22">
        <v>1.1862200000000001</v>
      </c>
      <c r="Z116" s="22">
        <v>16.138100000000001</v>
      </c>
      <c r="AA116" s="22">
        <v>-1.2213099999999999E-2</v>
      </c>
      <c r="AB116" s="22">
        <v>106</v>
      </c>
      <c r="AC116" s="22">
        <v>1.1850000000000001</v>
      </c>
      <c r="AD116">
        <f t="shared" si="16"/>
        <v>15.0779012345679</v>
      </c>
      <c r="AE116">
        <f t="shared" si="17"/>
        <v>17.885708002469134</v>
      </c>
      <c r="AF116" s="9"/>
      <c r="AG116" s="22">
        <v>0.433807</v>
      </c>
      <c r="AH116" s="22">
        <v>19.796099999999999</v>
      </c>
      <c r="AI116" s="22">
        <v>-1.3324000000000001E-2</v>
      </c>
      <c r="AJ116" s="22">
        <v>106</v>
      </c>
      <c r="AK116" s="22">
        <v>0.43316700000000002</v>
      </c>
      <c r="AL116">
        <f t="shared" si="18"/>
        <v>16.449382716049382</v>
      </c>
      <c r="AM116">
        <f t="shared" si="19"/>
        <v>7.1358573679012336</v>
      </c>
      <c r="AP116" s="9"/>
      <c r="AQ116" s="22">
        <v>1.1862200000000001</v>
      </c>
      <c r="AR116" s="22">
        <v>25.132300000000001</v>
      </c>
      <c r="AS116" s="22">
        <v>-1.23169E-2</v>
      </c>
      <c r="AT116" s="22">
        <v>106</v>
      </c>
      <c r="AU116" s="22">
        <v>1.1850000000000001</v>
      </c>
      <c r="AV116">
        <f t="shared" si="20"/>
        <v>15.206049382716049</v>
      </c>
      <c r="AW116">
        <f t="shared" si="21"/>
        <v>18.037719898765431</v>
      </c>
      <c r="AX116" s="9"/>
      <c r="AY116" s="22">
        <v>0.433807</v>
      </c>
      <c r="AZ116" s="22">
        <v>28.790299999999998</v>
      </c>
      <c r="BA116" s="22">
        <v>-1.33575E-2</v>
      </c>
      <c r="BB116" s="22">
        <v>106</v>
      </c>
      <c r="BC116" s="22">
        <v>0.43328899999999998</v>
      </c>
      <c r="BD116">
        <f t="shared" si="22"/>
        <v>16.49074074074074</v>
      </c>
      <c r="BE116">
        <f t="shared" si="23"/>
        <v>7.1537987685185183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7.1379400000000004</v>
      </c>
      <c r="I117" s="22">
        <v>-1.1593600000000001E-2</v>
      </c>
      <c r="J117" s="22">
        <v>107</v>
      </c>
      <c r="K117" s="22">
        <v>1.18011</v>
      </c>
      <c r="L117">
        <f t="shared" si="12"/>
        <v>14.313086419753086</v>
      </c>
      <c r="M117">
        <f t="shared" si="13"/>
        <v>16.906331417283948</v>
      </c>
      <c r="N117" s="9"/>
      <c r="O117" s="22">
        <v>0.43884299999999998</v>
      </c>
      <c r="P117" s="22">
        <v>10.795999999999999</v>
      </c>
      <c r="Q117" s="22">
        <v>-1.3110399999999999E-2</v>
      </c>
      <c r="R117" s="22">
        <v>107</v>
      </c>
      <c r="S117" s="22">
        <v>0.43823200000000001</v>
      </c>
      <c r="T117">
        <f t="shared" si="14"/>
        <v>16.185679012345677</v>
      </c>
      <c r="U117">
        <f t="shared" si="15"/>
        <v>7.1029719348148133</v>
      </c>
      <c r="X117" s="9"/>
      <c r="Y117" s="22">
        <v>1.1811799999999999</v>
      </c>
      <c r="Z117" s="22">
        <v>16.148099999999999</v>
      </c>
      <c r="AA117" s="22">
        <v>-1.22437E-2</v>
      </c>
      <c r="AB117" s="22">
        <v>107</v>
      </c>
      <c r="AC117" s="22">
        <v>1.18011</v>
      </c>
      <c r="AD117">
        <f t="shared" si="16"/>
        <v>15.115679012345678</v>
      </c>
      <c r="AE117">
        <f t="shared" si="17"/>
        <v>17.854337735802467</v>
      </c>
      <c r="AF117" s="9"/>
      <c r="AG117" s="22">
        <v>0.43884299999999998</v>
      </c>
      <c r="AH117" s="22">
        <v>19.8062</v>
      </c>
      <c r="AI117" s="22">
        <v>-1.3324000000000001E-2</v>
      </c>
      <c r="AJ117" s="22">
        <v>107</v>
      </c>
      <c r="AK117" s="22">
        <v>0.43823200000000001</v>
      </c>
      <c r="AL117">
        <f t="shared" si="18"/>
        <v>16.449382716049382</v>
      </c>
      <c r="AM117">
        <f t="shared" si="19"/>
        <v>7.2186964592592586</v>
      </c>
      <c r="AP117" s="9"/>
      <c r="AQ117" s="22">
        <v>1.1811799999999999</v>
      </c>
      <c r="AR117" s="22">
        <v>25.142399999999999</v>
      </c>
      <c r="AS117" s="22">
        <v>-1.23383E-2</v>
      </c>
      <c r="AT117" s="22">
        <v>107</v>
      </c>
      <c r="AU117" s="22">
        <v>1.18042</v>
      </c>
      <c r="AV117">
        <f t="shared" si="20"/>
        <v>15.232469135802468</v>
      </c>
      <c r="AW117">
        <f t="shared" si="21"/>
        <v>17.992287893827157</v>
      </c>
      <c r="AX117" s="9"/>
      <c r="AY117" s="22">
        <v>0.43884299999999998</v>
      </c>
      <c r="AZ117" s="22">
        <v>28.8004</v>
      </c>
      <c r="BA117" s="22">
        <v>-1.33545E-2</v>
      </c>
      <c r="BB117" s="22">
        <v>107</v>
      </c>
      <c r="BC117" s="22">
        <v>0.43823200000000001</v>
      </c>
      <c r="BD117">
        <f t="shared" si="22"/>
        <v>16.487037037037037</v>
      </c>
      <c r="BE117">
        <f t="shared" si="23"/>
        <v>7.2352207944444444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7.1480100000000002</v>
      </c>
      <c r="I118" s="22">
        <v>-1.16119E-2</v>
      </c>
      <c r="J118" s="22">
        <v>108</v>
      </c>
      <c r="K118" s="22">
        <v>1.17523</v>
      </c>
      <c r="L118">
        <f t="shared" si="12"/>
        <v>14.335679012345677</v>
      </c>
      <c r="M118">
        <f t="shared" si="13"/>
        <v>16.86090887037037</v>
      </c>
      <c r="N118" s="9"/>
      <c r="O118" s="22">
        <v>0.44387799999999999</v>
      </c>
      <c r="P118" s="22">
        <v>10.806100000000001</v>
      </c>
      <c r="Q118" s="22">
        <v>-1.31042E-2</v>
      </c>
      <c r="R118" s="22">
        <v>108</v>
      </c>
      <c r="S118" s="22">
        <v>0.44332899999999997</v>
      </c>
      <c r="T118">
        <f t="shared" si="14"/>
        <v>16.178024691358022</v>
      </c>
      <c r="U118">
        <f t="shared" si="15"/>
        <v>7.1810692439506161</v>
      </c>
      <c r="X118" s="9"/>
      <c r="Y118" s="22">
        <v>1.17615</v>
      </c>
      <c r="Z118" s="22">
        <v>16.158200000000001</v>
      </c>
      <c r="AA118" s="22">
        <v>-1.22711E-2</v>
      </c>
      <c r="AB118" s="22">
        <v>108</v>
      </c>
      <c r="AC118" s="22">
        <v>1.17493</v>
      </c>
      <c r="AD118">
        <f t="shared" si="16"/>
        <v>15.149506172839505</v>
      </c>
      <c r="AE118">
        <f t="shared" si="17"/>
        <v>17.818091685185184</v>
      </c>
      <c r="AF118" s="9"/>
      <c r="AG118" s="22">
        <v>0.44387799999999999</v>
      </c>
      <c r="AH118" s="22">
        <v>19.816299999999998</v>
      </c>
      <c r="AI118" s="22">
        <v>-1.3317900000000001E-2</v>
      </c>
      <c r="AJ118" s="22">
        <v>108</v>
      </c>
      <c r="AK118" s="22">
        <v>0.44341999999999998</v>
      </c>
      <c r="AL118">
        <f t="shared" si="18"/>
        <v>16.441851851851851</v>
      </c>
      <c r="AM118">
        <f t="shared" si="19"/>
        <v>7.2981763162962956</v>
      </c>
      <c r="AP118" s="9"/>
      <c r="AQ118" s="22">
        <v>1.17615</v>
      </c>
      <c r="AR118" s="22">
        <v>25.1524</v>
      </c>
      <c r="AS118" s="22">
        <v>-1.2362700000000001E-2</v>
      </c>
      <c r="AT118" s="22">
        <v>108</v>
      </c>
      <c r="AU118" s="22">
        <v>1.17554</v>
      </c>
      <c r="AV118">
        <f t="shared" si="20"/>
        <v>15.262592592592593</v>
      </c>
      <c r="AW118">
        <f t="shared" si="21"/>
        <v>17.951098277777778</v>
      </c>
      <c r="AX118" s="9"/>
      <c r="AY118" s="22">
        <v>0.44387799999999999</v>
      </c>
      <c r="AZ118" s="22">
        <v>28.810500000000001</v>
      </c>
      <c r="BA118" s="22">
        <v>-1.33423E-2</v>
      </c>
      <c r="BB118" s="22">
        <v>108</v>
      </c>
      <c r="BC118" s="22">
        <v>0.44332899999999997</v>
      </c>
      <c r="BD118">
        <f t="shared" si="22"/>
        <v>16.471975308641973</v>
      </c>
      <c r="BE118">
        <f t="shared" si="23"/>
        <v>7.3115474560493814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7.15808</v>
      </c>
      <c r="I119" s="22">
        <v>-1.1639399999999999E-2</v>
      </c>
      <c r="J119" s="22">
        <v>109</v>
      </c>
      <c r="K119" s="22">
        <v>1.17004</v>
      </c>
      <c r="L119">
        <f t="shared" si="12"/>
        <v>14.369629629629628</v>
      </c>
      <c r="M119">
        <f t="shared" si="13"/>
        <v>16.828416955555554</v>
      </c>
      <c r="N119" s="9"/>
      <c r="O119" s="22">
        <v>0.44891399999999998</v>
      </c>
      <c r="P119" s="22">
        <v>10.8161</v>
      </c>
      <c r="Q119" s="22">
        <v>-1.31042E-2</v>
      </c>
      <c r="R119" s="22">
        <v>109</v>
      </c>
      <c r="S119" s="22">
        <v>0.44830300000000001</v>
      </c>
      <c r="T119">
        <f t="shared" si="14"/>
        <v>16.178024691358022</v>
      </c>
      <c r="U119">
        <f t="shared" si="15"/>
        <v>7.2625417762962945</v>
      </c>
      <c r="X119" s="9"/>
      <c r="Y119" s="22">
        <v>1.1711100000000001</v>
      </c>
      <c r="Z119" s="22">
        <v>16.168299999999999</v>
      </c>
      <c r="AA119" s="22">
        <v>-1.22986E-2</v>
      </c>
      <c r="AB119" s="22">
        <v>109</v>
      </c>
      <c r="AC119" s="22">
        <v>1.17004</v>
      </c>
      <c r="AD119">
        <f t="shared" si="16"/>
        <v>15.183456790123456</v>
      </c>
      <c r="AE119">
        <f t="shared" si="17"/>
        <v>17.781498081481484</v>
      </c>
      <c r="AF119" s="9"/>
      <c r="AG119" s="22">
        <v>0.44891399999999998</v>
      </c>
      <c r="AH119" s="22">
        <v>19.8263</v>
      </c>
      <c r="AI119" s="22">
        <v>-1.33148E-2</v>
      </c>
      <c r="AJ119" s="22">
        <v>109</v>
      </c>
      <c r="AK119" s="22">
        <v>0.44824199999999997</v>
      </c>
      <c r="AL119">
        <f t="shared" si="18"/>
        <v>16.438024691358024</v>
      </c>
      <c r="AM119">
        <f t="shared" si="19"/>
        <v>7.3792594162962954</v>
      </c>
      <c r="AP119" s="9"/>
      <c r="AQ119" s="22">
        <v>1.1711100000000001</v>
      </c>
      <c r="AR119" s="22">
        <v>25.162500000000001</v>
      </c>
      <c r="AS119" s="22">
        <v>-1.2381E-2</v>
      </c>
      <c r="AT119" s="22">
        <v>109</v>
      </c>
      <c r="AU119" s="22">
        <v>1.17004</v>
      </c>
      <c r="AV119">
        <f t="shared" si="20"/>
        <v>15.285185185185183</v>
      </c>
      <c r="AW119">
        <f t="shared" si="21"/>
        <v>17.900633222222222</v>
      </c>
      <c r="AX119" s="9"/>
      <c r="AY119" s="22">
        <v>0.44891399999999998</v>
      </c>
      <c r="AZ119" s="22">
        <v>28.820599999999999</v>
      </c>
      <c r="BA119" s="22">
        <v>-1.3327E-2</v>
      </c>
      <c r="BB119" s="22">
        <v>109</v>
      </c>
      <c r="BC119" s="22">
        <v>0.44827299999999998</v>
      </c>
      <c r="BD119">
        <f t="shared" si="22"/>
        <v>16.453086419753085</v>
      </c>
      <c r="BE119">
        <f t="shared" si="23"/>
        <v>7.3860208370370355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7.1681499999999998</v>
      </c>
      <c r="I120" s="22">
        <v>-1.1660800000000001E-2</v>
      </c>
      <c r="J120" s="22">
        <v>110</v>
      </c>
      <c r="K120" s="22">
        <v>1.16486</v>
      </c>
      <c r="L120">
        <f t="shared" si="12"/>
        <v>14.396049382716049</v>
      </c>
      <c r="M120">
        <f t="shared" si="13"/>
        <v>16.786945264197531</v>
      </c>
      <c r="N120" s="9"/>
      <c r="O120" s="22">
        <v>0.45394899999999999</v>
      </c>
      <c r="P120" s="22">
        <v>10.8262</v>
      </c>
      <c r="Q120" s="22">
        <v>-1.31042E-2</v>
      </c>
      <c r="R120" s="22">
        <v>110</v>
      </c>
      <c r="S120" s="22">
        <v>0.45330799999999999</v>
      </c>
      <c r="T120">
        <f t="shared" si="14"/>
        <v>16.178024691358022</v>
      </c>
      <c r="U120">
        <f t="shared" si="15"/>
        <v>7.3439981306172823</v>
      </c>
      <c r="X120" s="9"/>
      <c r="Y120" s="22">
        <v>1.16608</v>
      </c>
      <c r="Z120" s="22">
        <v>16.1784</v>
      </c>
      <c r="AA120" s="22">
        <v>-1.23138E-2</v>
      </c>
      <c r="AB120" s="22">
        <v>110</v>
      </c>
      <c r="AC120" s="22">
        <v>1.16516</v>
      </c>
      <c r="AD120">
        <f t="shared" si="16"/>
        <v>15.202222222222222</v>
      </c>
      <c r="AE120">
        <f t="shared" si="17"/>
        <v>17.727007288888888</v>
      </c>
      <c r="AF120" s="9"/>
      <c r="AG120" s="22">
        <v>0.45394899999999999</v>
      </c>
      <c r="AH120" s="22">
        <v>19.836400000000001</v>
      </c>
      <c r="AI120" s="22">
        <v>-1.3302599999999999E-2</v>
      </c>
      <c r="AJ120" s="22">
        <v>110</v>
      </c>
      <c r="AK120" s="22">
        <v>0.45340000000000003</v>
      </c>
      <c r="AL120">
        <f t="shared" si="18"/>
        <v>16.422962962962963</v>
      </c>
      <c r="AM120">
        <f t="shared" si="19"/>
        <v>7.4551876140740738</v>
      </c>
      <c r="AP120" s="9"/>
      <c r="AQ120" s="22">
        <v>1.16608</v>
      </c>
      <c r="AR120" s="22">
        <v>25.172599999999999</v>
      </c>
      <c r="AS120" s="22">
        <v>-1.23932E-2</v>
      </c>
      <c r="AT120" s="22">
        <v>110</v>
      </c>
      <c r="AU120" s="22">
        <v>1.16516</v>
      </c>
      <c r="AV120">
        <f t="shared" si="20"/>
        <v>15.300246913580246</v>
      </c>
      <c r="AW120">
        <f t="shared" si="21"/>
        <v>17.841311920987653</v>
      </c>
      <c r="AX120" s="9"/>
      <c r="AY120" s="22">
        <v>0.45394899999999999</v>
      </c>
      <c r="AZ120" s="22">
        <v>28.8306</v>
      </c>
      <c r="BA120" s="22">
        <v>-1.33087E-2</v>
      </c>
      <c r="BB120" s="22">
        <v>110</v>
      </c>
      <c r="BC120" s="22">
        <v>0.45343</v>
      </c>
      <c r="BD120">
        <f t="shared" si="22"/>
        <v>16.430493827160493</v>
      </c>
      <c r="BE120">
        <f t="shared" si="23"/>
        <v>7.4586062423456783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7.1782199999999996</v>
      </c>
      <c r="I121" s="22">
        <v>-1.16913E-2</v>
      </c>
      <c r="J121" s="22">
        <v>111</v>
      </c>
      <c r="K121" s="22">
        <v>1.16028</v>
      </c>
      <c r="L121">
        <f t="shared" si="12"/>
        <v>14.433703703703703</v>
      </c>
      <c r="M121">
        <f t="shared" si="13"/>
        <v>16.758107348148148</v>
      </c>
      <c r="N121" s="9"/>
      <c r="O121" s="22">
        <v>0.458984</v>
      </c>
      <c r="P121" s="22">
        <v>10.8363</v>
      </c>
      <c r="Q121" s="22">
        <v>-1.3107300000000001E-2</v>
      </c>
      <c r="R121" s="22">
        <v>111</v>
      </c>
      <c r="S121" s="22">
        <v>0.45840500000000001</v>
      </c>
      <c r="T121">
        <f t="shared" si="14"/>
        <v>16.181851851851849</v>
      </c>
      <c r="U121">
        <f t="shared" si="15"/>
        <v>7.4272110903703696</v>
      </c>
      <c r="X121" s="9"/>
      <c r="Y121" s="22">
        <v>1.1610400000000001</v>
      </c>
      <c r="Z121" s="22">
        <v>16.188400000000001</v>
      </c>
      <c r="AA121" s="22">
        <v>-1.2341299999999999E-2</v>
      </c>
      <c r="AB121" s="22">
        <v>111</v>
      </c>
      <c r="AC121" s="22">
        <v>1.16028</v>
      </c>
      <c r="AD121">
        <f t="shared" si="16"/>
        <v>15.236172839506171</v>
      </c>
      <c r="AE121">
        <f t="shared" si="17"/>
        <v>17.689806113580246</v>
      </c>
      <c r="AF121" s="9"/>
      <c r="AG121" s="22">
        <v>0.458984</v>
      </c>
      <c r="AH121" s="22">
        <v>19.846499999999999</v>
      </c>
      <c r="AI121" s="22">
        <v>-1.32935E-2</v>
      </c>
      <c r="AJ121" s="22">
        <v>111</v>
      </c>
      <c r="AK121" s="22">
        <v>0.45840500000000001</v>
      </c>
      <c r="AL121">
        <f t="shared" si="18"/>
        <v>16.411728395061726</v>
      </c>
      <c r="AM121">
        <f t="shared" si="19"/>
        <v>7.5327207456790113</v>
      </c>
      <c r="AP121" s="9"/>
      <c r="AQ121" s="22">
        <v>1.1610400000000001</v>
      </c>
      <c r="AR121" s="22">
        <v>25.182600000000001</v>
      </c>
      <c r="AS121" s="22">
        <v>-1.24084E-2</v>
      </c>
      <c r="AT121" s="22">
        <v>111</v>
      </c>
      <c r="AU121" s="22">
        <v>1.16028</v>
      </c>
      <c r="AV121">
        <f t="shared" si="20"/>
        <v>15.319012345679011</v>
      </c>
      <c r="AW121">
        <f t="shared" si="21"/>
        <v>17.785986093827162</v>
      </c>
      <c r="AX121" s="9"/>
      <c r="AY121" s="22">
        <v>0.458984</v>
      </c>
      <c r="AZ121" s="22">
        <v>28.840699999999998</v>
      </c>
      <c r="BA121" s="22">
        <v>-1.3317900000000001E-2</v>
      </c>
      <c r="BB121" s="22">
        <v>111</v>
      </c>
      <c r="BC121" s="22">
        <v>0.45834399999999997</v>
      </c>
      <c r="BD121">
        <f t="shared" si="22"/>
        <v>16.441851851851851</v>
      </c>
      <c r="BE121">
        <f t="shared" si="23"/>
        <v>7.5465469303703703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7.1882900000000003</v>
      </c>
      <c r="I122" s="22">
        <v>-1.17249E-2</v>
      </c>
      <c r="J122" s="22">
        <v>112</v>
      </c>
      <c r="K122" s="22">
        <v>1.15509</v>
      </c>
      <c r="L122">
        <f t="shared" si="12"/>
        <v>14.475185185185184</v>
      </c>
      <c r="M122">
        <f t="shared" si="13"/>
        <v>16.733458825925926</v>
      </c>
      <c r="N122" s="9"/>
      <c r="O122" s="22">
        <v>0.46401999999999999</v>
      </c>
      <c r="P122" s="22">
        <v>10.846299999999999</v>
      </c>
      <c r="Q122" s="22">
        <v>-1.31012E-2</v>
      </c>
      <c r="R122" s="22">
        <v>112</v>
      </c>
      <c r="S122" s="22">
        <v>0.46344000000000002</v>
      </c>
      <c r="T122">
        <f t="shared" si="14"/>
        <v>16.174320987654323</v>
      </c>
      <c r="U122">
        <f t="shared" si="15"/>
        <v>7.5052084246913582</v>
      </c>
      <c r="X122" s="9"/>
      <c r="Y122" s="22">
        <v>1.15601</v>
      </c>
      <c r="Z122" s="22">
        <v>16.198499999999999</v>
      </c>
      <c r="AA122" s="22">
        <v>-1.2368799999999999E-2</v>
      </c>
      <c r="AB122" s="22">
        <v>112</v>
      </c>
      <c r="AC122" s="22">
        <v>1.1554</v>
      </c>
      <c r="AD122">
        <f t="shared" si="16"/>
        <v>15.270123456790122</v>
      </c>
      <c r="AE122">
        <f t="shared" si="17"/>
        <v>17.652415417283947</v>
      </c>
      <c r="AF122" s="9"/>
      <c r="AG122" s="22">
        <v>0.46401999999999999</v>
      </c>
      <c r="AH122" s="22">
        <v>19.8565</v>
      </c>
      <c r="AI122" s="22">
        <v>-1.32874E-2</v>
      </c>
      <c r="AJ122" s="22">
        <v>112</v>
      </c>
      <c r="AK122" s="22">
        <v>0.46340900000000002</v>
      </c>
      <c r="AL122">
        <f t="shared" si="18"/>
        <v>16.404197530864195</v>
      </c>
      <c r="AM122">
        <f t="shared" si="19"/>
        <v>7.6118757382716034</v>
      </c>
      <c r="AP122" s="9"/>
      <c r="AQ122" s="22">
        <v>1.15601</v>
      </c>
      <c r="AR122" s="22">
        <v>25.192699999999999</v>
      </c>
      <c r="AS122" s="22">
        <v>-1.24207E-2</v>
      </c>
      <c r="AT122" s="22">
        <v>112</v>
      </c>
      <c r="AU122" s="22">
        <v>1.15479</v>
      </c>
      <c r="AV122">
        <f t="shared" si="20"/>
        <v>15.334197530864195</v>
      </c>
      <c r="AW122">
        <f t="shared" si="21"/>
        <v>17.726485687654318</v>
      </c>
      <c r="AX122" s="9"/>
      <c r="AY122" s="22">
        <v>0.46401999999999999</v>
      </c>
      <c r="AZ122" s="22">
        <v>28.8508</v>
      </c>
      <c r="BA122" s="22">
        <v>-1.33209E-2</v>
      </c>
      <c r="BB122" s="22">
        <v>112</v>
      </c>
      <c r="BC122" s="22">
        <v>0.46340900000000002</v>
      </c>
      <c r="BD122">
        <f t="shared" si="22"/>
        <v>16.445555555555554</v>
      </c>
      <c r="BE122">
        <f t="shared" si="23"/>
        <v>7.6310666888888878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7.1983600000000001</v>
      </c>
      <c r="I123" s="22">
        <v>-1.1743200000000001E-2</v>
      </c>
      <c r="J123" s="22">
        <v>113</v>
      </c>
      <c r="K123" s="22">
        <v>1.1496</v>
      </c>
      <c r="L123">
        <f t="shared" si="12"/>
        <v>14.497777777777777</v>
      </c>
      <c r="M123">
        <f t="shared" si="13"/>
        <v>16.68650728888889</v>
      </c>
      <c r="N123" s="9"/>
      <c r="O123" s="22">
        <v>0.469055</v>
      </c>
      <c r="P123" s="22">
        <v>10.856400000000001</v>
      </c>
      <c r="Q123" s="22">
        <v>-1.30981E-2</v>
      </c>
      <c r="R123" s="22">
        <v>113</v>
      </c>
      <c r="S123" s="22">
        <v>0.46850599999999998</v>
      </c>
      <c r="T123">
        <f t="shared" si="14"/>
        <v>16.170493827160495</v>
      </c>
      <c r="U123">
        <f t="shared" si="15"/>
        <v>7.5848509820987662</v>
      </c>
      <c r="X123" s="9"/>
      <c r="Y123" s="22">
        <v>1.15097</v>
      </c>
      <c r="Z123" s="22">
        <v>16.208600000000001</v>
      </c>
      <c r="AA123" s="22">
        <v>-1.2377900000000001E-2</v>
      </c>
      <c r="AB123" s="22">
        <v>113</v>
      </c>
      <c r="AC123" s="22">
        <v>1.1498999999999999</v>
      </c>
      <c r="AD123">
        <f t="shared" si="16"/>
        <v>15.281358024691359</v>
      </c>
      <c r="AE123">
        <f t="shared" si="17"/>
        <v>17.588384645679014</v>
      </c>
      <c r="AF123" s="9"/>
      <c r="AG123" s="22">
        <v>0.469055</v>
      </c>
      <c r="AH123" s="22">
        <v>19.866599999999998</v>
      </c>
      <c r="AI123" s="22">
        <v>-1.32874E-2</v>
      </c>
      <c r="AJ123" s="22">
        <v>113</v>
      </c>
      <c r="AK123" s="22">
        <v>0.46847499999999997</v>
      </c>
      <c r="AL123">
        <f t="shared" si="18"/>
        <v>16.404197530864195</v>
      </c>
      <c r="AM123">
        <f t="shared" si="19"/>
        <v>7.6944708728395055</v>
      </c>
      <c r="AP123" s="9"/>
      <c r="AQ123" s="22">
        <v>1.15097</v>
      </c>
      <c r="AR123" s="22">
        <v>25.2028</v>
      </c>
      <c r="AS123" s="22">
        <v>-1.24329E-2</v>
      </c>
      <c r="AT123" s="22">
        <v>113</v>
      </c>
      <c r="AU123" s="22">
        <v>1.15021</v>
      </c>
      <c r="AV123">
        <f t="shared" si="20"/>
        <v>15.349259259259259</v>
      </c>
      <c r="AW123">
        <f t="shared" si="21"/>
        <v>17.666536929629629</v>
      </c>
      <c r="AX123" s="9"/>
      <c r="AY123" s="22">
        <v>0.469055</v>
      </c>
      <c r="AZ123" s="22">
        <v>28.860800000000001</v>
      </c>
      <c r="BA123" s="22">
        <v>-1.33148E-2</v>
      </c>
      <c r="BB123" s="22">
        <v>113</v>
      </c>
      <c r="BC123" s="22">
        <v>0.468445</v>
      </c>
      <c r="BD123">
        <f t="shared" si="22"/>
        <v>16.438024691358024</v>
      </c>
      <c r="BE123">
        <f t="shared" si="23"/>
        <v>7.7103376716049379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7.2084299999999999</v>
      </c>
      <c r="I124" s="22">
        <v>-1.1764500000000001E-2</v>
      </c>
      <c r="J124" s="22">
        <v>114</v>
      </c>
      <c r="K124" s="22">
        <v>1.1444099999999999</v>
      </c>
      <c r="L124">
        <f t="shared" si="12"/>
        <v>14.524074074074075</v>
      </c>
      <c r="M124">
        <f t="shared" si="13"/>
        <v>16.643717444444444</v>
      </c>
      <c r="N124" s="9"/>
      <c r="O124" s="22">
        <v>0.47409099999999998</v>
      </c>
      <c r="P124" s="22">
        <v>10.8665</v>
      </c>
      <c r="Q124" s="22">
        <v>-1.30951E-2</v>
      </c>
      <c r="R124" s="22">
        <v>114</v>
      </c>
      <c r="S124" s="22">
        <v>0.47344999999999998</v>
      </c>
      <c r="T124">
        <f t="shared" si="14"/>
        <v>16.166790123456789</v>
      </c>
      <c r="U124">
        <f t="shared" si="15"/>
        <v>7.664529696419752</v>
      </c>
      <c r="X124" s="9"/>
      <c r="Y124" s="22">
        <v>1.14594</v>
      </c>
      <c r="Z124" s="22">
        <v>16.218599999999999</v>
      </c>
      <c r="AA124" s="22">
        <v>-1.23962E-2</v>
      </c>
      <c r="AB124" s="22">
        <v>114</v>
      </c>
      <c r="AC124" s="22">
        <v>1.1453199999999999</v>
      </c>
      <c r="AD124">
        <f t="shared" si="16"/>
        <v>15.303950617283951</v>
      </c>
      <c r="AE124">
        <f t="shared" si="17"/>
        <v>17.537409170370371</v>
      </c>
      <c r="AF124" s="9"/>
      <c r="AG124" s="22">
        <v>0.47409099999999998</v>
      </c>
      <c r="AH124" s="22">
        <v>19.8767</v>
      </c>
      <c r="AI124" s="22">
        <v>-1.32874E-2</v>
      </c>
      <c r="AJ124" s="22">
        <v>114</v>
      </c>
      <c r="AK124" s="22">
        <v>0.47348000000000001</v>
      </c>
      <c r="AL124">
        <f t="shared" si="18"/>
        <v>16.404197530864195</v>
      </c>
      <c r="AM124">
        <f t="shared" si="19"/>
        <v>7.7770824116049369</v>
      </c>
      <c r="AP124" s="9"/>
      <c r="AQ124" s="22">
        <v>1.14594</v>
      </c>
      <c r="AR124" s="22">
        <v>25.212900000000001</v>
      </c>
      <c r="AS124" s="22">
        <v>-1.2460300000000001E-2</v>
      </c>
      <c r="AT124" s="22">
        <v>114</v>
      </c>
      <c r="AU124" s="22">
        <v>1.1450199999999999</v>
      </c>
      <c r="AV124">
        <f t="shared" si="20"/>
        <v>15.383086419753086</v>
      </c>
      <c r="AW124">
        <f t="shared" si="21"/>
        <v>17.62809405185185</v>
      </c>
      <c r="AX124" s="9"/>
      <c r="AY124" s="22">
        <v>0.47409099999999998</v>
      </c>
      <c r="AZ124" s="22">
        <v>28.870899999999999</v>
      </c>
      <c r="BA124" s="22">
        <v>-1.33118E-2</v>
      </c>
      <c r="BB124" s="22">
        <v>114</v>
      </c>
      <c r="BC124" s="22">
        <v>0.47344999999999998</v>
      </c>
      <c r="BD124">
        <f t="shared" si="22"/>
        <v>16.434320987654321</v>
      </c>
      <c r="BE124">
        <f t="shared" si="23"/>
        <v>7.7913636713580239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7.2184999999999997</v>
      </c>
      <c r="I125" s="22">
        <v>-1.17859E-2</v>
      </c>
      <c r="J125" s="22">
        <v>115</v>
      </c>
      <c r="K125" s="22">
        <v>1.1398299999999999</v>
      </c>
      <c r="L125">
        <f t="shared" si="12"/>
        <v>14.550493827160492</v>
      </c>
      <c r="M125">
        <f t="shared" si="13"/>
        <v>16.600658407407405</v>
      </c>
      <c r="N125" s="9"/>
      <c r="O125" s="22">
        <v>0.479126</v>
      </c>
      <c r="P125" s="22">
        <v>10.8766</v>
      </c>
      <c r="Q125" s="22">
        <v>-1.3089E-2</v>
      </c>
      <c r="R125" s="22">
        <v>115</v>
      </c>
      <c r="S125" s="22">
        <v>0.47848499999999999</v>
      </c>
      <c r="T125">
        <f t="shared" si="14"/>
        <v>16.159259259259258</v>
      </c>
      <c r="U125">
        <f t="shared" si="15"/>
        <v>7.7423212518518509</v>
      </c>
      <c r="X125" s="9"/>
      <c r="Y125" s="22">
        <v>1.1409</v>
      </c>
      <c r="Z125" s="22">
        <v>16.2287</v>
      </c>
      <c r="AA125" s="22">
        <v>-1.24146E-2</v>
      </c>
      <c r="AB125" s="22">
        <v>115</v>
      </c>
      <c r="AC125" s="22">
        <v>1.1398299999999999</v>
      </c>
      <c r="AD125">
        <f t="shared" si="16"/>
        <v>15.326666666666666</v>
      </c>
      <c r="AE125">
        <f t="shared" si="17"/>
        <v>17.486194000000001</v>
      </c>
      <c r="AF125" s="9"/>
      <c r="AG125" s="22">
        <v>0.479126</v>
      </c>
      <c r="AH125" s="22">
        <v>19.886800000000001</v>
      </c>
      <c r="AI125" s="22">
        <v>-1.32874E-2</v>
      </c>
      <c r="AJ125" s="22">
        <v>115</v>
      </c>
      <c r="AK125" s="22">
        <v>0.47848499999999999</v>
      </c>
      <c r="AL125">
        <f t="shared" si="18"/>
        <v>16.404197530864195</v>
      </c>
      <c r="AM125">
        <f t="shared" si="19"/>
        <v>7.8596775461728381</v>
      </c>
      <c r="AP125" s="9"/>
      <c r="AQ125" s="22">
        <v>1.1409</v>
      </c>
      <c r="AR125" s="22">
        <v>25.222899999999999</v>
      </c>
      <c r="AS125" s="22">
        <v>-1.24847E-2</v>
      </c>
      <c r="AT125" s="22">
        <v>115</v>
      </c>
      <c r="AU125" s="22">
        <v>1.1404399999999999</v>
      </c>
      <c r="AV125">
        <f t="shared" si="20"/>
        <v>15.413209876543208</v>
      </c>
      <c r="AW125">
        <f t="shared" si="21"/>
        <v>17.584931148148147</v>
      </c>
      <c r="AX125" s="9"/>
      <c r="AY125" s="22">
        <v>0.479126</v>
      </c>
      <c r="AZ125" s="22">
        <v>28.881</v>
      </c>
      <c r="BA125" s="22">
        <v>-1.3302599999999999E-2</v>
      </c>
      <c r="BB125" s="22">
        <v>115</v>
      </c>
      <c r="BC125" s="22">
        <v>0.478516</v>
      </c>
      <c r="BD125">
        <f t="shared" si="22"/>
        <v>16.422962962962963</v>
      </c>
      <c r="BE125">
        <f t="shared" si="23"/>
        <v>7.8686685525925926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7.2285700000000004</v>
      </c>
      <c r="I126" s="22">
        <v>-1.1804200000000001E-2</v>
      </c>
      <c r="J126" s="22">
        <v>116</v>
      </c>
      <c r="K126" s="22">
        <v>1.1355599999999999</v>
      </c>
      <c r="L126">
        <f t="shared" si="12"/>
        <v>14.573086419753087</v>
      </c>
      <c r="M126">
        <f t="shared" si="13"/>
        <v>16.552985940740744</v>
      </c>
      <c r="N126" s="9"/>
      <c r="O126" s="22">
        <v>0.48416100000000001</v>
      </c>
      <c r="P126" s="22">
        <v>10.8866</v>
      </c>
      <c r="Q126" s="22">
        <v>-1.30768E-2</v>
      </c>
      <c r="R126" s="22">
        <v>116</v>
      </c>
      <c r="S126" s="22">
        <v>0.48352099999999998</v>
      </c>
      <c r="T126">
        <f t="shared" si="14"/>
        <v>16.144197530864194</v>
      </c>
      <c r="U126">
        <f t="shared" si="15"/>
        <v>7.8163908207407387</v>
      </c>
      <c r="X126" s="9"/>
      <c r="Y126" s="22">
        <v>1.1358600000000001</v>
      </c>
      <c r="Z126" s="22">
        <v>16.238800000000001</v>
      </c>
      <c r="AA126" s="22">
        <v>-1.24268E-2</v>
      </c>
      <c r="AB126" s="22">
        <v>116</v>
      </c>
      <c r="AC126" s="22">
        <v>1.1349499999999999</v>
      </c>
      <c r="AD126">
        <f t="shared" si="16"/>
        <v>15.341728395061727</v>
      </c>
      <c r="AE126">
        <f t="shared" si="17"/>
        <v>17.426055614814814</v>
      </c>
      <c r="AF126" s="9"/>
      <c r="AG126" s="22">
        <v>0.48416100000000001</v>
      </c>
      <c r="AH126" s="22">
        <v>19.896799999999999</v>
      </c>
      <c r="AI126" s="22">
        <v>-1.32782E-2</v>
      </c>
      <c r="AJ126" s="22">
        <v>116</v>
      </c>
      <c r="AK126" s="22">
        <v>0.48361199999999999</v>
      </c>
      <c r="AL126">
        <f t="shared" si="18"/>
        <v>16.392839506172837</v>
      </c>
      <c r="AM126">
        <f t="shared" si="19"/>
        <v>7.9367735681481468</v>
      </c>
      <c r="AP126" s="9"/>
      <c r="AQ126" s="22">
        <v>1.1358600000000001</v>
      </c>
      <c r="AR126" s="22">
        <v>25.233000000000001</v>
      </c>
      <c r="AS126" s="22">
        <v>-1.2512199999999999E-2</v>
      </c>
      <c r="AT126" s="22">
        <v>116</v>
      </c>
      <c r="AU126" s="22">
        <v>1.1346400000000001</v>
      </c>
      <c r="AV126">
        <f t="shared" si="20"/>
        <v>15.447160493827159</v>
      </c>
      <c r="AW126">
        <f t="shared" si="21"/>
        <v>17.545811718518518</v>
      </c>
      <c r="AX126" s="9"/>
      <c r="AY126" s="22">
        <v>0.48416100000000001</v>
      </c>
      <c r="AZ126" s="22">
        <v>28.891100000000002</v>
      </c>
      <c r="BA126" s="22">
        <v>-1.32935E-2</v>
      </c>
      <c r="BB126" s="22">
        <v>116</v>
      </c>
      <c r="BC126" s="22">
        <v>0.48352099999999998</v>
      </c>
      <c r="BD126">
        <f t="shared" si="22"/>
        <v>16.411728395061726</v>
      </c>
      <c r="BE126">
        <f t="shared" si="23"/>
        <v>7.9459188314814799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7.2386499999999998</v>
      </c>
      <c r="I127" s="22">
        <v>-1.18195E-2</v>
      </c>
      <c r="J127" s="22">
        <v>117</v>
      </c>
      <c r="K127" s="22">
        <v>1.1300699999999999</v>
      </c>
      <c r="L127">
        <f t="shared" si="12"/>
        <v>14.591975308641976</v>
      </c>
      <c r="M127">
        <f t="shared" si="13"/>
        <v>16.501043438271605</v>
      </c>
      <c r="N127" s="9"/>
      <c r="O127" s="22">
        <v>0.48919699999999999</v>
      </c>
      <c r="P127" s="22">
        <v>10.896699999999999</v>
      </c>
      <c r="Q127" s="22">
        <v>-1.3064600000000001E-2</v>
      </c>
      <c r="R127" s="22">
        <v>117</v>
      </c>
      <c r="S127" s="22">
        <v>0.48858600000000002</v>
      </c>
      <c r="T127">
        <f t="shared" si="14"/>
        <v>16.129135802469136</v>
      </c>
      <c r="U127">
        <f t="shared" si="15"/>
        <v>7.8903248471604943</v>
      </c>
      <c r="X127" s="9"/>
      <c r="Y127" s="22">
        <v>1.13083</v>
      </c>
      <c r="Z127" s="22">
        <v>16.248899999999999</v>
      </c>
      <c r="AA127" s="22">
        <v>-1.24329E-2</v>
      </c>
      <c r="AB127" s="22">
        <v>117</v>
      </c>
      <c r="AC127" s="22">
        <v>1.1300699999999999</v>
      </c>
      <c r="AD127">
        <f t="shared" si="16"/>
        <v>15.349259259259259</v>
      </c>
      <c r="AE127">
        <f t="shared" si="17"/>
        <v>17.357402848148148</v>
      </c>
      <c r="AF127" s="9"/>
      <c r="AG127" s="22">
        <v>0.48919699999999999</v>
      </c>
      <c r="AH127" s="22">
        <v>19.9069</v>
      </c>
      <c r="AI127" s="22">
        <v>-1.3266E-2</v>
      </c>
      <c r="AJ127" s="22">
        <v>117</v>
      </c>
      <c r="AK127" s="22">
        <v>0.48858600000000002</v>
      </c>
      <c r="AL127">
        <f t="shared" si="18"/>
        <v>16.377777777777776</v>
      </c>
      <c r="AM127">
        <f t="shared" si="19"/>
        <v>8.0119597555555551</v>
      </c>
      <c r="AP127" s="9"/>
      <c r="AQ127" s="22">
        <v>1.13083</v>
      </c>
      <c r="AR127" s="22">
        <v>25.243099999999998</v>
      </c>
      <c r="AS127" s="22">
        <v>-1.25366E-2</v>
      </c>
      <c r="AT127" s="22">
        <v>117</v>
      </c>
      <c r="AU127" s="22">
        <v>1.1306799999999999</v>
      </c>
      <c r="AV127">
        <f t="shared" si="20"/>
        <v>15.477283950617283</v>
      </c>
      <c r="AW127">
        <f t="shared" si="21"/>
        <v>17.50217700987654</v>
      </c>
      <c r="AX127" s="9"/>
      <c r="AY127" s="22">
        <v>0.48919699999999999</v>
      </c>
      <c r="AZ127" s="22">
        <v>28.9011</v>
      </c>
      <c r="BA127" s="22">
        <v>-1.32935E-2</v>
      </c>
      <c r="BB127" s="22">
        <v>117</v>
      </c>
      <c r="BC127" s="22">
        <v>0.48858600000000002</v>
      </c>
      <c r="BD127">
        <f t="shared" si="22"/>
        <v>16.411728395061726</v>
      </c>
      <c r="BE127">
        <f t="shared" si="23"/>
        <v>8.0285682956790101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7.2487199999999996</v>
      </c>
      <c r="I128" s="22">
        <v>-1.1843899999999999E-2</v>
      </c>
      <c r="J128" s="22">
        <v>118</v>
      </c>
      <c r="K128" s="22">
        <v>1.1242700000000001</v>
      </c>
      <c r="L128">
        <f t="shared" si="12"/>
        <v>14.622098765432096</v>
      </c>
      <c r="M128">
        <f t="shared" si="13"/>
        <v>16.461412569135799</v>
      </c>
      <c r="N128" s="9"/>
      <c r="O128" s="22">
        <v>0.494232</v>
      </c>
      <c r="P128" s="22">
        <v>10.9068</v>
      </c>
      <c r="Q128" s="22">
        <v>-1.3064600000000001E-2</v>
      </c>
      <c r="R128" s="22">
        <v>118</v>
      </c>
      <c r="S128" s="22">
        <v>0.49365199999999998</v>
      </c>
      <c r="T128">
        <f t="shared" si="14"/>
        <v>16.129135802469136</v>
      </c>
      <c r="U128">
        <f t="shared" si="15"/>
        <v>7.9715350459259264</v>
      </c>
      <c r="X128" s="9"/>
      <c r="Y128" s="22">
        <v>1.1257900000000001</v>
      </c>
      <c r="Z128" s="22">
        <v>16.258900000000001</v>
      </c>
      <c r="AA128" s="22">
        <v>-1.24359E-2</v>
      </c>
      <c r="AB128" s="22">
        <v>118</v>
      </c>
      <c r="AC128" s="22">
        <v>1.1245700000000001</v>
      </c>
      <c r="AD128">
        <f t="shared" si="16"/>
        <v>15.352962962962962</v>
      </c>
      <c r="AE128">
        <f t="shared" si="17"/>
        <v>17.284212174074074</v>
      </c>
      <c r="AF128" s="9"/>
      <c r="AG128" s="22">
        <v>0.494232</v>
      </c>
      <c r="AH128" s="22">
        <v>19.917000000000002</v>
      </c>
      <c r="AI128" s="22">
        <v>-1.32751E-2</v>
      </c>
      <c r="AJ128" s="22">
        <v>118</v>
      </c>
      <c r="AK128" s="22">
        <v>0.493591</v>
      </c>
      <c r="AL128">
        <f t="shared" si="18"/>
        <v>16.38901234567901</v>
      </c>
      <c r="AM128">
        <f t="shared" si="19"/>
        <v>8.0999743496296279</v>
      </c>
      <c r="AP128" s="9"/>
      <c r="AQ128" s="22">
        <v>1.1257900000000001</v>
      </c>
      <c r="AR128" s="22">
        <v>25.2531</v>
      </c>
      <c r="AS128" s="22">
        <v>-1.2554900000000001E-2</v>
      </c>
      <c r="AT128" s="22">
        <v>118</v>
      </c>
      <c r="AU128" s="22">
        <v>1.1251800000000001</v>
      </c>
      <c r="AV128">
        <f t="shared" si="20"/>
        <v>15.499876543209876</v>
      </c>
      <c r="AW128">
        <f t="shared" si="21"/>
        <v>17.449606013580247</v>
      </c>
      <c r="AX128" s="9"/>
      <c r="AY128" s="22">
        <v>0.494232</v>
      </c>
      <c r="AZ128" s="22">
        <v>28.911200000000001</v>
      </c>
      <c r="BA128" s="22">
        <v>-1.32935E-2</v>
      </c>
      <c r="BB128" s="22">
        <v>118</v>
      </c>
      <c r="BC128" s="22">
        <v>0.49362200000000001</v>
      </c>
      <c r="BD128">
        <f t="shared" si="22"/>
        <v>16.411728395061726</v>
      </c>
      <c r="BE128">
        <f t="shared" si="23"/>
        <v>8.1112013481481462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7.2587900000000003</v>
      </c>
      <c r="I129" s="22">
        <v>-1.18622E-2</v>
      </c>
      <c r="J129" s="22">
        <v>119</v>
      </c>
      <c r="K129" s="22">
        <v>1.1200000000000001</v>
      </c>
      <c r="L129">
        <f t="shared" si="12"/>
        <v>14.644691358024689</v>
      </c>
      <c r="M129">
        <f t="shared" si="13"/>
        <v>16.413184286419749</v>
      </c>
      <c r="N129" s="9"/>
      <c r="O129" s="22">
        <v>0.49926799999999999</v>
      </c>
      <c r="P129" s="22">
        <v>10.9168</v>
      </c>
      <c r="Q129" s="22">
        <v>-1.30676E-2</v>
      </c>
      <c r="R129" s="22">
        <v>119</v>
      </c>
      <c r="S129" s="22">
        <v>0.49868800000000002</v>
      </c>
      <c r="T129">
        <f t="shared" si="14"/>
        <v>16.132839506172839</v>
      </c>
      <c r="U129">
        <f t="shared" si="15"/>
        <v>8.0546105145679014</v>
      </c>
      <c r="X129" s="9"/>
      <c r="Y129" s="22">
        <v>1.12076</v>
      </c>
      <c r="Z129" s="22">
        <v>16.268999999999998</v>
      </c>
      <c r="AA129" s="22">
        <v>-1.24542E-2</v>
      </c>
      <c r="AB129" s="22">
        <v>119</v>
      </c>
      <c r="AC129" s="22">
        <v>1.1196900000000001</v>
      </c>
      <c r="AD129">
        <f t="shared" si="16"/>
        <v>15.375555555555556</v>
      </c>
      <c r="AE129">
        <f t="shared" si="17"/>
        <v>17.232307644444443</v>
      </c>
      <c r="AF129" s="9"/>
      <c r="AG129" s="22">
        <v>0.49926799999999999</v>
      </c>
      <c r="AH129" s="22">
        <v>19.927</v>
      </c>
      <c r="AI129" s="22">
        <v>-1.3284300000000001E-2</v>
      </c>
      <c r="AJ129" s="22">
        <v>119</v>
      </c>
      <c r="AK129" s="22">
        <v>0.49862699999999999</v>
      </c>
      <c r="AL129">
        <f t="shared" si="18"/>
        <v>16.400370370370371</v>
      </c>
      <c r="AM129">
        <f t="shared" si="19"/>
        <v>8.1881801140740738</v>
      </c>
      <c r="AP129" s="9"/>
      <c r="AQ129" s="22">
        <v>1.12076</v>
      </c>
      <c r="AR129" s="22">
        <v>25.263200000000001</v>
      </c>
      <c r="AS129" s="22">
        <v>-1.2567099999999999E-2</v>
      </c>
      <c r="AT129" s="22">
        <v>119</v>
      </c>
      <c r="AU129" s="22">
        <v>1.1196900000000001</v>
      </c>
      <c r="AV129">
        <f t="shared" si="20"/>
        <v>15.514938271604937</v>
      </c>
      <c r="AW129">
        <f t="shared" si="21"/>
        <v>17.388522217283949</v>
      </c>
      <c r="AX129" s="9"/>
      <c r="AY129" s="22">
        <v>0.49926799999999999</v>
      </c>
      <c r="AZ129" s="22">
        <v>28.921299999999999</v>
      </c>
      <c r="BA129" s="22">
        <v>-1.3290400000000001E-2</v>
      </c>
      <c r="BB129" s="22">
        <v>119</v>
      </c>
      <c r="BC129" s="22">
        <v>0.49862699999999999</v>
      </c>
      <c r="BD129">
        <f t="shared" si="22"/>
        <v>16.407901234567902</v>
      </c>
      <c r="BE129">
        <f t="shared" si="23"/>
        <v>8.1919400335802468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7.2688600000000001</v>
      </c>
      <c r="I130" s="22">
        <v>-1.18683E-2</v>
      </c>
      <c r="J130" s="22">
        <v>120</v>
      </c>
      <c r="K130" s="22">
        <v>1.1148100000000001</v>
      </c>
      <c r="L130">
        <f t="shared" si="12"/>
        <v>14.652222222222221</v>
      </c>
      <c r="M130">
        <f t="shared" si="13"/>
        <v>16.347777377777778</v>
      </c>
      <c r="N130" s="9"/>
      <c r="O130" s="22">
        <v>0.50430299999999995</v>
      </c>
      <c r="P130" s="22">
        <v>10.9269</v>
      </c>
      <c r="Q130" s="22">
        <v>-1.30676E-2</v>
      </c>
      <c r="R130" s="22">
        <v>120</v>
      </c>
      <c r="S130" s="22">
        <v>0.50366200000000005</v>
      </c>
      <c r="T130">
        <f t="shared" si="14"/>
        <v>16.132839506172839</v>
      </c>
      <c r="U130">
        <f t="shared" si="15"/>
        <v>8.1358393614814801</v>
      </c>
      <c r="X130" s="9"/>
      <c r="Y130" s="22">
        <v>1.11572</v>
      </c>
      <c r="Z130" s="22">
        <v>16.2791</v>
      </c>
      <c r="AA130" s="22">
        <v>-1.24695E-2</v>
      </c>
      <c r="AB130" s="22">
        <v>120</v>
      </c>
      <c r="AC130" s="22">
        <v>1.1148100000000001</v>
      </c>
      <c r="AD130">
        <f t="shared" si="16"/>
        <v>15.394444444444444</v>
      </c>
      <c r="AE130">
        <f t="shared" si="17"/>
        <v>17.175889555555557</v>
      </c>
      <c r="AF130" s="9"/>
      <c r="AG130" s="22">
        <v>0.50430299999999995</v>
      </c>
      <c r="AH130" s="22">
        <v>19.937100000000001</v>
      </c>
      <c r="AI130" s="22">
        <v>-1.3290400000000001E-2</v>
      </c>
      <c r="AJ130" s="22">
        <v>120</v>
      </c>
      <c r="AK130" s="22">
        <v>0.50366200000000005</v>
      </c>
      <c r="AL130">
        <f t="shared" si="18"/>
        <v>16.407901234567902</v>
      </c>
      <c r="AM130">
        <f t="shared" si="19"/>
        <v>8.2745538162962955</v>
      </c>
      <c r="AP130" s="9"/>
      <c r="AQ130" s="22">
        <v>1.11572</v>
      </c>
      <c r="AR130" s="22">
        <v>25.273299999999999</v>
      </c>
      <c r="AS130" s="22">
        <v>-1.25732E-2</v>
      </c>
      <c r="AT130" s="22">
        <v>120</v>
      </c>
      <c r="AU130" s="22">
        <v>1.1145</v>
      </c>
      <c r="AV130">
        <f t="shared" si="20"/>
        <v>15.522469135802467</v>
      </c>
      <c r="AW130">
        <f t="shared" si="21"/>
        <v>17.318729264197529</v>
      </c>
      <c r="AX130" s="9"/>
      <c r="AY130" s="22">
        <v>0.50430299999999995</v>
      </c>
      <c r="AZ130" s="22">
        <v>28.9313</v>
      </c>
      <c r="BA130" s="22">
        <v>-1.3284300000000001E-2</v>
      </c>
      <c r="BB130" s="22">
        <v>120</v>
      </c>
      <c r="BC130" s="22">
        <v>0.50372300000000003</v>
      </c>
      <c r="BD130">
        <f t="shared" si="22"/>
        <v>16.400370370370371</v>
      </c>
      <c r="BE130">
        <f t="shared" si="23"/>
        <v>8.2707559788888894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7.2789299999999999</v>
      </c>
      <c r="I131" s="22">
        <v>-1.18835E-2</v>
      </c>
      <c r="J131" s="22">
        <v>121</v>
      </c>
      <c r="K131" s="22">
        <v>1.10992</v>
      </c>
      <c r="L131">
        <f t="shared" si="12"/>
        <v>14.670987654320987</v>
      </c>
      <c r="M131">
        <f t="shared" si="13"/>
        <v>16.294919277777776</v>
      </c>
      <c r="N131" s="9"/>
      <c r="O131" s="22">
        <v>0.50933799999999996</v>
      </c>
      <c r="P131" s="22">
        <v>10.936999999999999</v>
      </c>
      <c r="Q131" s="22">
        <v>-1.3079800000000001E-2</v>
      </c>
      <c r="R131" s="22">
        <v>121</v>
      </c>
      <c r="S131" s="22">
        <v>0.50869799999999998</v>
      </c>
      <c r="T131">
        <f t="shared" si="14"/>
        <v>16.147901234567904</v>
      </c>
      <c r="U131">
        <f t="shared" si="15"/>
        <v>8.2247397190123461</v>
      </c>
      <c r="X131" s="9"/>
      <c r="Y131" s="22">
        <v>1.11069</v>
      </c>
      <c r="Z131" s="22">
        <v>16.289100000000001</v>
      </c>
      <c r="AA131" s="22">
        <v>-1.24847E-2</v>
      </c>
      <c r="AB131" s="22">
        <v>121</v>
      </c>
      <c r="AC131" s="22">
        <v>1.10992</v>
      </c>
      <c r="AD131">
        <f t="shared" si="16"/>
        <v>15.413209876543208</v>
      </c>
      <c r="AE131">
        <f t="shared" si="17"/>
        <v>17.119298077777774</v>
      </c>
      <c r="AF131" s="9"/>
      <c r="AG131" s="22">
        <v>0.50933799999999996</v>
      </c>
      <c r="AH131" s="22">
        <v>19.947199999999999</v>
      </c>
      <c r="AI131" s="22">
        <v>-1.3296499999999999E-2</v>
      </c>
      <c r="AJ131" s="22">
        <v>121</v>
      </c>
      <c r="AK131" s="22">
        <v>0.50869799999999998</v>
      </c>
      <c r="AL131">
        <f t="shared" si="18"/>
        <v>16.415432098765429</v>
      </c>
      <c r="AM131">
        <f t="shared" si="19"/>
        <v>8.3610033543209852</v>
      </c>
      <c r="AP131" s="9"/>
      <c r="AQ131" s="22">
        <v>1.11069</v>
      </c>
      <c r="AR131" s="22">
        <v>25.2834</v>
      </c>
      <c r="AS131" s="22">
        <v>-1.2588500000000001E-2</v>
      </c>
      <c r="AT131" s="22">
        <v>121</v>
      </c>
      <c r="AU131" s="22">
        <v>1.1096200000000001</v>
      </c>
      <c r="AV131">
        <f t="shared" si="20"/>
        <v>15.541358024691359</v>
      </c>
      <c r="AW131">
        <f t="shared" si="21"/>
        <v>17.261630944444445</v>
      </c>
      <c r="AX131" s="9"/>
      <c r="AY131" s="22">
        <v>0.50933799999999996</v>
      </c>
      <c r="AZ131" s="22">
        <v>28.941400000000002</v>
      </c>
      <c r="BA131" s="22">
        <v>-1.32751E-2</v>
      </c>
      <c r="BB131" s="22">
        <v>121</v>
      </c>
      <c r="BC131" s="22">
        <v>0.50866699999999998</v>
      </c>
      <c r="BD131">
        <f t="shared" si="22"/>
        <v>16.38901234567901</v>
      </c>
      <c r="BE131">
        <f t="shared" si="23"/>
        <v>8.3475467701234543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7.2889999999999997</v>
      </c>
      <c r="I132" s="22">
        <v>-1.1898799999999999E-2</v>
      </c>
      <c r="J132" s="22">
        <v>122</v>
      </c>
      <c r="K132" s="22">
        <v>1.10443</v>
      </c>
      <c r="L132">
        <f t="shared" si="12"/>
        <v>14.689876543209873</v>
      </c>
      <c r="M132">
        <f t="shared" si="13"/>
        <v>16.241861999999998</v>
      </c>
      <c r="N132" s="9"/>
      <c r="O132" s="22">
        <v>0.514374</v>
      </c>
      <c r="P132" s="22">
        <v>10.947100000000001</v>
      </c>
      <c r="Q132" s="22">
        <v>-1.30829E-2</v>
      </c>
      <c r="R132" s="22">
        <v>122</v>
      </c>
      <c r="S132" s="22">
        <v>0.51364100000000001</v>
      </c>
      <c r="T132">
        <f t="shared" si="14"/>
        <v>16.151728395061728</v>
      </c>
      <c r="U132">
        <f t="shared" si="15"/>
        <v>8.3080291414814802</v>
      </c>
      <c r="X132" s="9"/>
      <c r="Y132" s="22">
        <v>1.10565</v>
      </c>
      <c r="Z132" s="22">
        <v>16.299199999999999</v>
      </c>
      <c r="AA132" s="22">
        <v>-1.24969E-2</v>
      </c>
      <c r="AB132" s="22">
        <v>122</v>
      </c>
      <c r="AC132" s="22">
        <v>1.10504</v>
      </c>
      <c r="AD132">
        <f t="shared" si="16"/>
        <v>15.428271604938271</v>
      </c>
      <c r="AE132">
        <f t="shared" si="17"/>
        <v>17.058268500000001</v>
      </c>
      <c r="AF132" s="9"/>
      <c r="AG132" s="22">
        <v>0.514374</v>
      </c>
      <c r="AH132" s="22">
        <v>19.9573</v>
      </c>
      <c r="AI132" s="22">
        <v>-1.3284300000000001E-2</v>
      </c>
      <c r="AJ132" s="22">
        <v>122</v>
      </c>
      <c r="AK132" s="22">
        <v>0.51376299999999997</v>
      </c>
      <c r="AL132">
        <f t="shared" si="18"/>
        <v>16.400370370370371</v>
      </c>
      <c r="AM132">
        <f t="shared" si="19"/>
        <v>8.435924108888889</v>
      </c>
      <c r="AP132" s="9"/>
      <c r="AQ132" s="22">
        <v>1.10565</v>
      </c>
      <c r="AR132" s="22">
        <v>25.293399999999998</v>
      </c>
      <c r="AS132" s="22">
        <v>-1.26038E-2</v>
      </c>
      <c r="AT132" s="22">
        <v>122</v>
      </c>
      <c r="AU132" s="22">
        <v>1.1047400000000001</v>
      </c>
      <c r="AV132">
        <f t="shared" si="20"/>
        <v>15.560246913580245</v>
      </c>
      <c r="AW132">
        <f t="shared" si="21"/>
        <v>17.204186999999997</v>
      </c>
      <c r="AX132" s="9"/>
      <c r="AY132" s="22">
        <v>0.514374</v>
      </c>
      <c r="AZ132" s="22">
        <v>28.951499999999999</v>
      </c>
      <c r="BA132" s="22">
        <v>-1.32721E-2</v>
      </c>
      <c r="BB132" s="22">
        <v>122</v>
      </c>
      <c r="BC132" s="22">
        <v>0.51376299999999997</v>
      </c>
      <c r="BD132">
        <f t="shared" si="22"/>
        <v>16.385308641975307</v>
      </c>
      <c r="BE132">
        <f t="shared" si="23"/>
        <v>8.4281767474074059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7.2990700000000004</v>
      </c>
      <c r="I133" s="22">
        <v>-1.19171E-2</v>
      </c>
      <c r="J133" s="22">
        <v>123</v>
      </c>
      <c r="K133" s="22">
        <v>1.09955</v>
      </c>
      <c r="L133">
        <f t="shared" si="12"/>
        <v>14.712469135802468</v>
      </c>
      <c r="M133">
        <f t="shared" si="13"/>
        <v>16.192837780246911</v>
      </c>
      <c r="N133" s="9"/>
      <c r="O133" s="22">
        <v>0.51940900000000001</v>
      </c>
      <c r="P133" s="22">
        <v>10.957100000000001</v>
      </c>
      <c r="Q133" s="22">
        <v>-1.3089E-2</v>
      </c>
      <c r="R133" s="22">
        <v>123</v>
      </c>
      <c r="S133" s="22">
        <v>0.51873800000000003</v>
      </c>
      <c r="T133">
        <f t="shared" si="14"/>
        <v>16.159259259259258</v>
      </c>
      <c r="U133">
        <f t="shared" si="15"/>
        <v>8.3932646925925916</v>
      </c>
      <c r="X133" s="9"/>
      <c r="Y133" s="22">
        <v>1.1006199999999999</v>
      </c>
      <c r="Z133" s="22">
        <v>16.3093</v>
      </c>
      <c r="AA133" s="22">
        <v>-1.25031E-2</v>
      </c>
      <c r="AB133" s="22">
        <v>123</v>
      </c>
      <c r="AC133" s="22">
        <v>1.09924</v>
      </c>
      <c r="AD133">
        <f t="shared" si="16"/>
        <v>15.435925925925924</v>
      </c>
      <c r="AE133">
        <f t="shared" si="17"/>
        <v>16.98908879259259</v>
      </c>
      <c r="AF133" s="9"/>
      <c r="AG133" s="22">
        <v>0.51940900000000001</v>
      </c>
      <c r="AH133" s="22">
        <v>19.967300000000002</v>
      </c>
      <c r="AI133" s="22">
        <v>-1.32935E-2</v>
      </c>
      <c r="AJ133" s="22">
        <v>123</v>
      </c>
      <c r="AK133" s="22">
        <v>0.51876800000000001</v>
      </c>
      <c r="AL133">
        <f t="shared" si="18"/>
        <v>16.411728395061726</v>
      </c>
      <c r="AM133">
        <f t="shared" si="19"/>
        <v>8.5243994339506166</v>
      </c>
      <c r="AP133" s="9"/>
      <c r="AQ133" s="22">
        <v>1.1006199999999999</v>
      </c>
      <c r="AR133" s="22">
        <v>25.3035</v>
      </c>
      <c r="AS133" s="22">
        <v>-1.2616E-2</v>
      </c>
      <c r="AT133" s="22">
        <v>123</v>
      </c>
      <c r="AU133" s="22">
        <v>1.09955</v>
      </c>
      <c r="AV133">
        <f t="shared" si="20"/>
        <v>15.575308641975308</v>
      </c>
      <c r="AW133">
        <f t="shared" si="21"/>
        <v>17.142496197530864</v>
      </c>
      <c r="AX133" s="9"/>
      <c r="AY133" s="22">
        <v>0.51940900000000001</v>
      </c>
      <c r="AZ133" s="22">
        <v>28.961600000000001</v>
      </c>
      <c r="BA133" s="22">
        <v>-1.32721E-2</v>
      </c>
      <c r="BB133" s="22">
        <v>123</v>
      </c>
      <c r="BC133" s="22">
        <v>0.51882899999999998</v>
      </c>
      <c r="BD133">
        <f t="shared" si="22"/>
        <v>16.385308641975307</v>
      </c>
      <c r="BE133">
        <f t="shared" si="23"/>
        <v>8.5106767764197517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7.3091400000000002</v>
      </c>
      <c r="I134" s="22">
        <v>-1.19446E-2</v>
      </c>
      <c r="J134" s="22">
        <v>124</v>
      </c>
      <c r="K134" s="22">
        <v>1.09497</v>
      </c>
      <c r="L134">
        <f t="shared" si="12"/>
        <v>14.746419753086418</v>
      </c>
      <c r="M134">
        <f t="shared" si="13"/>
        <v>16.155882553086418</v>
      </c>
      <c r="N134" s="9"/>
      <c r="O134" s="22">
        <v>0.52444500000000005</v>
      </c>
      <c r="P134" s="22">
        <v>10.9672</v>
      </c>
      <c r="Q134" s="22">
        <v>-1.30829E-2</v>
      </c>
      <c r="R134" s="22">
        <v>124</v>
      </c>
      <c r="S134" s="22">
        <v>0.52377300000000004</v>
      </c>
      <c r="T134">
        <f t="shared" si="14"/>
        <v>16.151728395061728</v>
      </c>
      <c r="U134">
        <f t="shared" si="15"/>
        <v>8.4706931981481492</v>
      </c>
      <c r="X134" s="9"/>
      <c r="Y134" s="22">
        <v>1.09558</v>
      </c>
      <c r="Z134" s="22">
        <v>16.319299999999998</v>
      </c>
      <c r="AA134" s="22">
        <v>-1.2512199999999999E-2</v>
      </c>
      <c r="AB134" s="22">
        <v>124</v>
      </c>
      <c r="AC134" s="22">
        <v>1.09467</v>
      </c>
      <c r="AD134">
        <f t="shared" si="16"/>
        <v>15.447160493827159</v>
      </c>
      <c r="AE134">
        <f t="shared" si="17"/>
        <v>16.923600093827158</v>
      </c>
      <c r="AF134" s="9"/>
      <c r="AG134" s="22">
        <v>0.52444500000000005</v>
      </c>
      <c r="AH134" s="22">
        <v>19.977399999999999</v>
      </c>
      <c r="AI134" s="22">
        <v>-1.32874E-2</v>
      </c>
      <c r="AJ134" s="22">
        <v>124</v>
      </c>
      <c r="AK134" s="22">
        <v>0.52374299999999996</v>
      </c>
      <c r="AL134">
        <f t="shared" si="18"/>
        <v>16.404197530864195</v>
      </c>
      <c r="AM134">
        <f t="shared" si="19"/>
        <v>8.6030993740740733</v>
      </c>
      <c r="AP134" s="9"/>
      <c r="AQ134" s="22">
        <v>1.09558</v>
      </c>
      <c r="AR134" s="22">
        <v>25.313600000000001</v>
      </c>
      <c r="AS134" s="22">
        <v>-1.26312E-2</v>
      </c>
      <c r="AT134" s="22">
        <v>124</v>
      </c>
      <c r="AU134" s="22">
        <v>1.09497</v>
      </c>
      <c r="AV134">
        <f t="shared" si="20"/>
        <v>15.594074074074072</v>
      </c>
      <c r="AW134">
        <f t="shared" si="21"/>
        <v>17.084555674074071</v>
      </c>
      <c r="AX134" s="9"/>
      <c r="AY134" s="22">
        <v>0.52444500000000005</v>
      </c>
      <c r="AZ134" s="22">
        <v>28.971599999999999</v>
      </c>
      <c r="BA134" s="22">
        <v>-1.3266E-2</v>
      </c>
      <c r="BB134" s="22">
        <v>124</v>
      </c>
      <c r="BC134" s="22">
        <v>0.52377300000000004</v>
      </c>
      <c r="BD134">
        <f t="shared" si="22"/>
        <v>16.377777777777776</v>
      </c>
      <c r="BE134">
        <f t="shared" si="23"/>
        <v>8.5892436666666665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7.31921</v>
      </c>
      <c r="I135" s="22">
        <v>-1.1972E-2</v>
      </c>
      <c r="J135" s="22">
        <v>125</v>
      </c>
      <c r="K135" s="22">
        <v>1.08948</v>
      </c>
      <c r="L135">
        <f t="shared" si="12"/>
        <v>14.780246913580246</v>
      </c>
      <c r="M135">
        <f t="shared" si="13"/>
        <v>16.118598271604935</v>
      </c>
      <c r="N135" s="9"/>
      <c r="O135" s="22">
        <v>0.52947999999999995</v>
      </c>
      <c r="P135" s="22">
        <v>10.9773</v>
      </c>
      <c r="Q135" s="22">
        <v>-1.3079800000000001E-2</v>
      </c>
      <c r="R135" s="22">
        <v>125</v>
      </c>
      <c r="S135" s="22">
        <v>0.52890000000000004</v>
      </c>
      <c r="T135">
        <f t="shared" si="14"/>
        <v>16.147901234567904</v>
      </c>
      <c r="U135">
        <f t="shared" si="15"/>
        <v>8.549990745679013</v>
      </c>
      <c r="X135" s="9"/>
      <c r="Y135" s="22">
        <v>1.0905499999999999</v>
      </c>
      <c r="Z135" s="22">
        <v>16.3294</v>
      </c>
      <c r="AA135" s="22">
        <v>-1.25244E-2</v>
      </c>
      <c r="AB135" s="22">
        <v>125</v>
      </c>
      <c r="AC135" s="22">
        <v>1.08948</v>
      </c>
      <c r="AD135">
        <f t="shared" si="16"/>
        <v>15.462222222222222</v>
      </c>
      <c r="AE135">
        <f t="shared" si="17"/>
        <v>16.862326444444442</v>
      </c>
      <c r="AF135" s="9"/>
      <c r="AG135" s="22">
        <v>0.52947999999999995</v>
      </c>
      <c r="AH135" s="22">
        <v>19.987500000000001</v>
      </c>
      <c r="AI135" s="22">
        <v>-1.3284300000000001E-2</v>
      </c>
      <c r="AJ135" s="22">
        <v>125</v>
      </c>
      <c r="AK135" s="22">
        <v>0.52883899999999995</v>
      </c>
      <c r="AL135">
        <f t="shared" si="18"/>
        <v>16.400370370370371</v>
      </c>
      <c r="AM135">
        <f t="shared" si="19"/>
        <v>8.6836681037037042</v>
      </c>
      <c r="AP135" s="9"/>
      <c r="AQ135" s="22">
        <v>1.0905499999999999</v>
      </c>
      <c r="AR135" s="22">
        <v>25.323599999999999</v>
      </c>
      <c r="AS135" s="22">
        <v>-1.2649499999999999E-2</v>
      </c>
      <c r="AT135" s="22">
        <v>125</v>
      </c>
      <c r="AU135" s="22">
        <v>1.08917</v>
      </c>
      <c r="AV135">
        <f t="shared" si="20"/>
        <v>15.616666666666664</v>
      </c>
      <c r="AW135">
        <f t="shared" si="21"/>
        <v>17.030755833333327</v>
      </c>
      <c r="AX135" s="9"/>
      <c r="AY135" s="22">
        <v>0.52947999999999995</v>
      </c>
      <c r="AZ135" s="22">
        <v>28.9817</v>
      </c>
      <c r="BA135" s="22">
        <v>-1.3266E-2</v>
      </c>
      <c r="BB135" s="22">
        <v>125</v>
      </c>
      <c r="BC135" s="22">
        <v>0.52883899999999995</v>
      </c>
      <c r="BD135">
        <f t="shared" si="22"/>
        <v>16.377777777777776</v>
      </c>
      <c r="BE135">
        <f t="shared" si="23"/>
        <v>8.6717057777777757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7.3292799999999998</v>
      </c>
      <c r="I136" s="22">
        <v>-1.19965E-2</v>
      </c>
      <c r="J136" s="22">
        <v>126</v>
      </c>
      <c r="K136" s="22">
        <v>1.0849</v>
      </c>
      <c r="L136">
        <f t="shared" si="12"/>
        <v>14.810493827160494</v>
      </c>
      <c r="M136">
        <f t="shared" si="13"/>
        <v>16.076939154320989</v>
      </c>
      <c r="N136" s="9"/>
      <c r="O136" s="22">
        <v>0.53451499999999996</v>
      </c>
      <c r="P136" s="22">
        <v>10.987299999999999</v>
      </c>
      <c r="Q136" s="22">
        <v>-1.30829E-2</v>
      </c>
      <c r="R136" s="22">
        <v>126</v>
      </c>
      <c r="S136" s="22">
        <v>0.53381299999999998</v>
      </c>
      <c r="T136">
        <f t="shared" si="14"/>
        <v>16.151728395061728</v>
      </c>
      <c r="U136">
        <f t="shared" si="15"/>
        <v>8.6333411030864191</v>
      </c>
      <c r="X136" s="9"/>
      <c r="Y136" s="22">
        <v>1.08551</v>
      </c>
      <c r="Z136" s="22">
        <v>16.339500000000001</v>
      </c>
      <c r="AA136" s="22">
        <v>-1.2539700000000001E-2</v>
      </c>
      <c r="AB136" s="22">
        <v>126</v>
      </c>
      <c r="AC136" s="22">
        <v>1.0845899999999999</v>
      </c>
      <c r="AD136">
        <f t="shared" si="16"/>
        <v>15.48111111111111</v>
      </c>
      <c r="AE136">
        <f t="shared" si="17"/>
        <v>16.80490092222222</v>
      </c>
      <c r="AF136" s="9"/>
      <c r="AG136" s="22">
        <v>0.53451499999999996</v>
      </c>
      <c r="AH136" s="22">
        <v>19.997499999999999</v>
      </c>
      <c r="AI136" s="22">
        <v>-1.32721E-2</v>
      </c>
      <c r="AJ136" s="22">
        <v>126</v>
      </c>
      <c r="AK136" s="22">
        <v>0.53390499999999996</v>
      </c>
      <c r="AL136">
        <f t="shared" si="18"/>
        <v>16.385308641975307</v>
      </c>
      <c r="AM136">
        <f t="shared" si="19"/>
        <v>8.7581932487654299</v>
      </c>
      <c r="AP136" s="9"/>
      <c r="AQ136" s="22">
        <v>1.08551</v>
      </c>
      <c r="AR136" s="22">
        <v>25.3337</v>
      </c>
      <c r="AS136" s="22">
        <v>-1.2655599999999999E-2</v>
      </c>
      <c r="AT136" s="22">
        <v>126</v>
      </c>
      <c r="AU136" s="22">
        <v>1.0845899999999999</v>
      </c>
      <c r="AV136">
        <f t="shared" si="20"/>
        <v>15.624197530864196</v>
      </c>
      <c r="AW136">
        <f t="shared" si="21"/>
        <v>16.960222661728391</v>
      </c>
      <c r="AX136" s="9"/>
      <c r="AY136" s="22">
        <v>0.53451499999999996</v>
      </c>
      <c r="AZ136" s="22">
        <v>28.991800000000001</v>
      </c>
      <c r="BA136" s="22">
        <v>-1.3262899999999999E-2</v>
      </c>
      <c r="BB136" s="22">
        <v>126</v>
      </c>
      <c r="BC136" s="22">
        <v>0.53387499999999999</v>
      </c>
      <c r="BD136">
        <f t="shared" si="22"/>
        <v>16.373950617283949</v>
      </c>
      <c r="BE136">
        <f t="shared" si="23"/>
        <v>8.752122214197529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7.3393600000000001</v>
      </c>
      <c r="I137" s="22">
        <v>-1.2014800000000001E-2</v>
      </c>
      <c r="J137" s="22">
        <v>127</v>
      </c>
      <c r="K137" s="22">
        <v>1.07941</v>
      </c>
      <c r="L137">
        <f t="shared" si="12"/>
        <v>14.833086419753087</v>
      </c>
      <c r="M137">
        <f t="shared" si="13"/>
        <v>16.026704883950618</v>
      </c>
      <c r="N137" s="9"/>
      <c r="O137" s="22">
        <v>0.539551</v>
      </c>
      <c r="P137" s="22">
        <v>10.997400000000001</v>
      </c>
      <c r="Q137" s="22">
        <v>-1.3089E-2</v>
      </c>
      <c r="R137" s="22">
        <v>127</v>
      </c>
      <c r="S137" s="22">
        <v>0.53881800000000002</v>
      </c>
      <c r="T137">
        <f t="shared" si="14"/>
        <v>16.159259259259258</v>
      </c>
      <c r="U137">
        <f t="shared" si="15"/>
        <v>8.7187444925925917</v>
      </c>
      <c r="X137" s="9"/>
      <c r="Y137" s="22">
        <v>1.08047</v>
      </c>
      <c r="Z137" s="22">
        <v>16.349599999999999</v>
      </c>
      <c r="AA137" s="22">
        <v>-1.25519E-2</v>
      </c>
      <c r="AB137" s="22">
        <v>127</v>
      </c>
      <c r="AC137" s="22">
        <v>1.07941</v>
      </c>
      <c r="AD137">
        <f t="shared" si="16"/>
        <v>15.496172839506173</v>
      </c>
      <c r="AE137">
        <f t="shared" si="17"/>
        <v>16.743149867901234</v>
      </c>
      <c r="AF137" s="9"/>
      <c r="AG137" s="22">
        <v>0.539551</v>
      </c>
      <c r="AH137" s="22">
        <v>20.0076</v>
      </c>
      <c r="AI137" s="22">
        <v>-1.3266E-2</v>
      </c>
      <c r="AJ137" s="22">
        <v>127</v>
      </c>
      <c r="AK137" s="22">
        <v>0.53891</v>
      </c>
      <c r="AL137">
        <f t="shared" si="18"/>
        <v>16.377777777777776</v>
      </c>
      <c r="AM137">
        <f t="shared" si="19"/>
        <v>8.8366463777777771</v>
      </c>
      <c r="AP137" s="9"/>
      <c r="AQ137" s="22">
        <v>1.08047</v>
      </c>
      <c r="AR137" s="22">
        <v>25.343800000000002</v>
      </c>
      <c r="AS137" s="22">
        <v>-1.2670900000000001E-2</v>
      </c>
      <c r="AT137" s="22">
        <v>127</v>
      </c>
      <c r="AU137" s="22">
        <v>1.0797099999999999</v>
      </c>
      <c r="AV137">
        <f t="shared" si="20"/>
        <v>15.643086419753088</v>
      </c>
      <c r="AW137">
        <f t="shared" si="21"/>
        <v>16.901885583950619</v>
      </c>
      <c r="AX137" s="9"/>
      <c r="AY137" s="22">
        <v>0.539551</v>
      </c>
      <c r="AZ137" s="22">
        <v>29.001799999999999</v>
      </c>
      <c r="BA137" s="22">
        <v>-1.3266E-2</v>
      </c>
      <c r="BB137" s="22">
        <v>127</v>
      </c>
      <c r="BC137" s="22">
        <v>0.53891</v>
      </c>
      <c r="BD137">
        <f t="shared" si="22"/>
        <v>16.377777777777776</v>
      </c>
      <c r="BE137">
        <f t="shared" si="23"/>
        <v>8.8366463777777771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7.3494299999999999</v>
      </c>
      <c r="I138" s="22">
        <v>-1.2036099999999999E-2</v>
      </c>
      <c r="J138" s="22">
        <v>128</v>
      </c>
      <c r="K138" s="22">
        <v>1.0745199999999999</v>
      </c>
      <c r="L138">
        <f t="shared" si="12"/>
        <v>14.85938271604938</v>
      </c>
      <c r="M138">
        <f t="shared" si="13"/>
        <v>15.980374548148145</v>
      </c>
      <c r="N138" s="9"/>
      <c r="O138" s="22">
        <v>0.54458600000000001</v>
      </c>
      <c r="P138" s="22">
        <v>11.0075</v>
      </c>
      <c r="Q138" s="22">
        <v>-1.30951E-2</v>
      </c>
      <c r="R138" s="22">
        <v>128</v>
      </c>
      <c r="S138" s="22">
        <v>0.54397600000000002</v>
      </c>
      <c r="T138">
        <f t="shared" si="14"/>
        <v>16.166790123456789</v>
      </c>
      <c r="U138">
        <f t="shared" si="15"/>
        <v>8.8042075661728383</v>
      </c>
      <c r="X138" s="9"/>
      <c r="Y138" s="22">
        <v>1.07544</v>
      </c>
      <c r="Z138" s="22">
        <v>16.3596</v>
      </c>
      <c r="AA138" s="22">
        <v>-1.2558E-2</v>
      </c>
      <c r="AB138" s="22">
        <v>128</v>
      </c>
      <c r="AC138" s="22">
        <v>1.07422</v>
      </c>
      <c r="AD138">
        <f t="shared" si="16"/>
        <v>15.503703703703701</v>
      </c>
      <c r="AE138">
        <f t="shared" si="17"/>
        <v>16.673303111111107</v>
      </c>
      <c r="AF138" s="9"/>
      <c r="AG138" s="22">
        <v>0.54458600000000001</v>
      </c>
      <c r="AH138" s="22">
        <v>20.017700000000001</v>
      </c>
      <c r="AI138" s="22">
        <v>-1.3262899999999999E-2</v>
      </c>
      <c r="AJ138" s="22">
        <v>128</v>
      </c>
      <c r="AK138" s="22">
        <v>0.54397600000000002</v>
      </c>
      <c r="AL138">
        <f t="shared" si="18"/>
        <v>16.373950617283949</v>
      </c>
      <c r="AM138">
        <f t="shared" si="19"/>
        <v>8.9170242708641965</v>
      </c>
      <c r="AP138" s="9"/>
      <c r="AQ138" s="22">
        <v>1.07544</v>
      </c>
      <c r="AR138" s="22">
        <v>25.353899999999999</v>
      </c>
      <c r="AS138" s="22">
        <v>-1.2683099999999999E-2</v>
      </c>
      <c r="AT138" s="22">
        <v>128</v>
      </c>
      <c r="AU138" s="22">
        <v>1.0745199999999999</v>
      </c>
      <c r="AV138">
        <f t="shared" si="20"/>
        <v>15.658148148148147</v>
      </c>
      <c r="AW138">
        <f t="shared" si="21"/>
        <v>16.839398844444442</v>
      </c>
      <c r="AX138" s="9"/>
      <c r="AY138" s="22">
        <v>0.54458600000000001</v>
      </c>
      <c r="AZ138" s="22">
        <v>29.011900000000001</v>
      </c>
      <c r="BA138" s="22">
        <v>-1.3266E-2</v>
      </c>
      <c r="BB138" s="22">
        <v>128</v>
      </c>
      <c r="BC138" s="22">
        <v>0.54388400000000003</v>
      </c>
      <c r="BD138">
        <f t="shared" si="22"/>
        <v>16.377777777777776</v>
      </c>
      <c r="BE138">
        <f t="shared" si="23"/>
        <v>8.9191084888888881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7.3594999999999997</v>
      </c>
      <c r="I139" s="22">
        <v>-1.20514E-2</v>
      </c>
      <c r="J139" s="22">
        <v>129</v>
      </c>
      <c r="K139" s="22">
        <v>1.06934</v>
      </c>
      <c r="L139">
        <f t="shared" si="12"/>
        <v>14.878271604938272</v>
      </c>
      <c r="M139">
        <f t="shared" si="13"/>
        <v>15.925701925925926</v>
      </c>
      <c r="N139" s="9"/>
      <c r="O139" s="22">
        <v>0.54962200000000005</v>
      </c>
      <c r="P139" s="22">
        <v>11.0176</v>
      </c>
      <c r="Q139" s="22">
        <v>-1.31042E-2</v>
      </c>
      <c r="R139" s="22">
        <v>129</v>
      </c>
      <c r="S139" s="22">
        <v>0.54901100000000003</v>
      </c>
      <c r="T139">
        <f t="shared" si="14"/>
        <v>16.178024691358022</v>
      </c>
      <c r="U139">
        <f t="shared" si="15"/>
        <v>8.8917982869135805</v>
      </c>
      <c r="X139" s="9"/>
      <c r="Y139" s="22">
        <v>1.0704</v>
      </c>
      <c r="Z139" s="22">
        <v>16.369700000000002</v>
      </c>
      <c r="AA139" s="22">
        <v>-1.2567099999999999E-2</v>
      </c>
      <c r="AB139" s="22">
        <v>129</v>
      </c>
      <c r="AC139" s="22">
        <v>1.0690299999999999</v>
      </c>
      <c r="AD139">
        <f t="shared" si="16"/>
        <v>15.514938271604937</v>
      </c>
      <c r="AE139">
        <f t="shared" si="17"/>
        <v>16.607189925925926</v>
      </c>
      <c r="AF139" s="9"/>
      <c r="AG139" s="22">
        <v>0.54962200000000005</v>
      </c>
      <c r="AH139" s="22">
        <v>20.027799999999999</v>
      </c>
      <c r="AI139" s="22">
        <v>-1.3256799999999999E-2</v>
      </c>
      <c r="AJ139" s="22">
        <v>129</v>
      </c>
      <c r="AK139" s="22">
        <v>0.54895000000000005</v>
      </c>
      <c r="AL139">
        <f t="shared" si="18"/>
        <v>16.366419753086415</v>
      </c>
      <c r="AM139">
        <f t="shared" si="19"/>
        <v>8.9953443575308629</v>
      </c>
      <c r="AP139" s="9"/>
      <c r="AQ139" s="22">
        <v>1.0704</v>
      </c>
      <c r="AR139" s="22">
        <v>25.363900000000001</v>
      </c>
      <c r="AS139" s="22">
        <v>-1.26923E-2</v>
      </c>
      <c r="AT139" s="22">
        <v>129</v>
      </c>
      <c r="AU139" s="22">
        <v>1.0696399999999999</v>
      </c>
      <c r="AV139">
        <f t="shared" si="20"/>
        <v>15.669506172839506</v>
      </c>
      <c r="AW139">
        <f t="shared" si="21"/>
        <v>16.772639407407407</v>
      </c>
      <c r="AX139" s="9"/>
      <c r="AY139" s="22">
        <v>0.54962200000000005</v>
      </c>
      <c r="AZ139" s="22">
        <v>29.021999999999998</v>
      </c>
      <c r="BA139" s="22">
        <v>-1.32599E-2</v>
      </c>
      <c r="BB139" s="22">
        <v>129</v>
      </c>
      <c r="BC139" s="22">
        <v>0.54898100000000005</v>
      </c>
      <c r="BD139">
        <f t="shared" si="22"/>
        <v>16.370246913580246</v>
      </c>
      <c r="BE139">
        <f t="shared" si="23"/>
        <v>8.9974478491358028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7.3695700000000004</v>
      </c>
      <c r="I140" s="22">
        <v>-1.2063600000000001E-2</v>
      </c>
      <c r="J140" s="22">
        <v>130</v>
      </c>
      <c r="K140" s="22">
        <v>1.0644499999999999</v>
      </c>
      <c r="L140">
        <f t="shared" ref="L140:L203" si="24">-I140/$F$2*1000</f>
        <v>14.893333333333333</v>
      </c>
      <c r="M140">
        <f t="shared" ref="M140:M203" si="25">L140*G140</f>
        <v>15.866910533333332</v>
      </c>
      <c r="N140" s="9"/>
      <c r="O140" s="22">
        <v>0.55465699999999996</v>
      </c>
      <c r="P140" s="22">
        <v>11.0276</v>
      </c>
      <c r="Q140" s="22">
        <v>-1.30981E-2</v>
      </c>
      <c r="R140" s="22">
        <v>130</v>
      </c>
      <c r="S140" s="22">
        <v>0.55401599999999995</v>
      </c>
      <c r="T140">
        <f t="shared" ref="T140:T203" si="26">-Q140/$F$2*1000</f>
        <v>16.170493827160495</v>
      </c>
      <c r="U140">
        <f t="shared" ref="U140:U203" si="27">T140*O140</f>
        <v>8.9690775946913579</v>
      </c>
      <c r="X140" s="9"/>
      <c r="Y140" s="22">
        <v>1.0653699999999999</v>
      </c>
      <c r="Z140" s="22">
        <v>16.379799999999999</v>
      </c>
      <c r="AA140" s="22">
        <v>-1.25763E-2</v>
      </c>
      <c r="AB140" s="22">
        <v>130</v>
      </c>
      <c r="AC140" s="22">
        <v>1.0641499999999999</v>
      </c>
      <c r="AD140">
        <f t="shared" ref="AD140:AD203" si="28">-AA140/$F$2*1000</f>
        <v>15.526296296296294</v>
      </c>
      <c r="AE140">
        <f t="shared" ref="AE140:AE203" si="29">AD140*Y140</f>
        <v>16.541250285185182</v>
      </c>
      <c r="AF140" s="9"/>
      <c r="AG140" s="22">
        <v>0.55465699999999996</v>
      </c>
      <c r="AH140" s="22">
        <v>20.037800000000001</v>
      </c>
      <c r="AI140" s="22">
        <v>-1.3256799999999999E-2</v>
      </c>
      <c r="AJ140" s="22">
        <v>130</v>
      </c>
      <c r="AK140" s="22">
        <v>0.55398599999999998</v>
      </c>
      <c r="AL140">
        <f t="shared" ref="AL140:AL203" si="30">-AI140/$F$2*1000</f>
        <v>16.366419753086415</v>
      </c>
      <c r="AM140">
        <f t="shared" ref="AM140:AM203" si="31">AL140*AG140</f>
        <v>9.0777492809876517</v>
      </c>
      <c r="AP140" s="9"/>
      <c r="AQ140" s="22">
        <v>1.0653699999999999</v>
      </c>
      <c r="AR140" s="22">
        <v>25.373999999999999</v>
      </c>
      <c r="AS140" s="22">
        <v>-1.27014E-2</v>
      </c>
      <c r="AT140" s="22">
        <v>130</v>
      </c>
      <c r="AU140" s="22">
        <v>1.0641499999999999</v>
      </c>
      <c r="AV140">
        <f t="shared" ref="AV140:AV203" si="32">-AS140/$F$2*1000</f>
        <v>15.680740740740738</v>
      </c>
      <c r="AW140">
        <f t="shared" ref="AW140:AW203" si="33">AV140*AQ140</f>
        <v>16.705790762962959</v>
      </c>
      <c r="AX140" s="9"/>
      <c r="AY140" s="22">
        <v>0.55465699999999996</v>
      </c>
      <c r="AZ140" s="22">
        <v>29.0321</v>
      </c>
      <c r="BA140" s="22">
        <v>-1.3247699999999999E-2</v>
      </c>
      <c r="BB140" s="22">
        <v>130</v>
      </c>
      <c r="BC140" s="22">
        <v>0.55398599999999998</v>
      </c>
      <c r="BD140">
        <f t="shared" ref="BD140:BD203" si="34">-BA140/$F$2*1000</f>
        <v>16.355185185185185</v>
      </c>
      <c r="BE140">
        <f t="shared" ref="BE140:BE203" si="35">BD140*AY140</f>
        <v>9.0715179492592579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7.3796400000000002</v>
      </c>
      <c r="I141" s="22">
        <v>-1.2075799999999999E-2</v>
      </c>
      <c r="J141" s="22">
        <v>131</v>
      </c>
      <c r="K141" s="22">
        <v>1.0589599999999999</v>
      </c>
      <c r="L141">
        <f t="shared" si="24"/>
        <v>14.908395061728394</v>
      </c>
      <c r="M141">
        <f t="shared" si="25"/>
        <v>15.807818535802468</v>
      </c>
      <c r="N141" s="9"/>
      <c r="O141" s="22">
        <v>0.55969199999999997</v>
      </c>
      <c r="P141" s="22">
        <v>11.037699999999999</v>
      </c>
      <c r="Q141" s="22">
        <v>-1.30951E-2</v>
      </c>
      <c r="R141" s="22">
        <v>131</v>
      </c>
      <c r="S141" s="22">
        <v>0.55898999999999999</v>
      </c>
      <c r="T141">
        <f t="shared" si="26"/>
        <v>16.166790123456789</v>
      </c>
      <c r="U141">
        <f t="shared" si="27"/>
        <v>9.0484230977777766</v>
      </c>
      <c r="X141" s="9"/>
      <c r="Y141" s="22">
        <v>1.06033</v>
      </c>
      <c r="Z141" s="22">
        <v>16.389800000000001</v>
      </c>
      <c r="AA141" s="22">
        <v>-1.2594599999999999E-2</v>
      </c>
      <c r="AB141" s="22">
        <v>131</v>
      </c>
      <c r="AC141" s="22">
        <v>1.0595699999999999</v>
      </c>
      <c r="AD141">
        <f t="shared" si="28"/>
        <v>15.548888888888886</v>
      </c>
      <c r="AE141">
        <f t="shared" si="29"/>
        <v>16.486953355555553</v>
      </c>
      <c r="AF141" s="9"/>
      <c r="AG141" s="22">
        <v>0.55969199999999997</v>
      </c>
      <c r="AH141" s="22">
        <v>20.047899999999998</v>
      </c>
      <c r="AI141" s="22">
        <v>-1.32599E-2</v>
      </c>
      <c r="AJ141" s="22">
        <v>131</v>
      </c>
      <c r="AK141" s="22">
        <v>0.55908199999999997</v>
      </c>
      <c r="AL141">
        <f t="shared" si="30"/>
        <v>16.370246913580246</v>
      </c>
      <c r="AM141">
        <f t="shared" si="31"/>
        <v>9.1622962355555551</v>
      </c>
      <c r="AP141" s="9"/>
      <c r="AQ141" s="22">
        <v>1.06033</v>
      </c>
      <c r="AR141" s="22">
        <v>25.3841</v>
      </c>
      <c r="AS141" s="22">
        <v>-1.27075E-2</v>
      </c>
      <c r="AT141" s="22">
        <v>131</v>
      </c>
      <c r="AU141" s="22">
        <v>1.0589599999999999</v>
      </c>
      <c r="AV141">
        <f t="shared" si="32"/>
        <v>15.68827160493827</v>
      </c>
      <c r="AW141">
        <f t="shared" si="33"/>
        <v>16.634745030864195</v>
      </c>
      <c r="AX141" s="9"/>
      <c r="AY141" s="22">
        <v>0.55969199999999997</v>
      </c>
      <c r="AZ141" s="22">
        <v>29.042100000000001</v>
      </c>
      <c r="BA141" s="22">
        <v>-1.3241599999999999E-2</v>
      </c>
      <c r="BB141" s="22">
        <v>131</v>
      </c>
      <c r="BC141" s="22">
        <v>0.55905199999999999</v>
      </c>
      <c r="BD141">
        <f t="shared" si="34"/>
        <v>16.347654320987651</v>
      </c>
      <c r="BE141">
        <f t="shared" si="35"/>
        <v>9.149651342222219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7.38971</v>
      </c>
      <c r="I142" s="22">
        <v>-1.2085E-2</v>
      </c>
      <c r="J142" s="22">
        <v>132</v>
      </c>
      <c r="K142" s="22">
        <v>1.0546899999999999</v>
      </c>
      <c r="L142">
        <f t="shared" si="24"/>
        <v>14.919753086419753</v>
      </c>
      <c r="M142">
        <f t="shared" si="25"/>
        <v>15.744815432098765</v>
      </c>
      <c r="N142" s="9"/>
      <c r="O142" s="22">
        <v>0.56472800000000001</v>
      </c>
      <c r="P142" s="22">
        <v>11.047800000000001</v>
      </c>
      <c r="Q142" s="22">
        <v>-1.31012E-2</v>
      </c>
      <c r="R142" s="22">
        <v>132</v>
      </c>
      <c r="S142" s="22">
        <v>0.56414799999999998</v>
      </c>
      <c r="T142">
        <f t="shared" si="26"/>
        <v>16.174320987654323</v>
      </c>
      <c r="U142">
        <f t="shared" si="27"/>
        <v>9.1340919427160507</v>
      </c>
      <c r="X142" s="9"/>
      <c r="Y142" s="22">
        <v>1.0552999999999999</v>
      </c>
      <c r="Z142" s="22">
        <v>16.399899999999999</v>
      </c>
      <c r="AA142" s="22">
        <v>-1.2619E-2</v>
      </c>
      <c r="AB142" s="22">
        <v>132</v>
      </c>
      <c r="AC142" s="22">
        <v>1.0540799999999999</v>
      </c>
      <c r="AD142">
        <f t="shared" si="28"/>
        <v>15.579012345679011</v>
      </c>
      <c r="AE142">
        <f t="shared" si="29"/>
        <v>16.440531728395058</v>
      </c>
      <c r="AF142" s="9"/>
      <c r="AG142" s="22">
        <v>0.56472800000000001</v>
      </c>
      <c r="AH142" s="22">
        <v>20.058</v>
      </c>
      <c r="AI142" s="22">
        <v>-1.32538E-2</v>
      </c>
      <c r="AJ142" s="22">
        <v>132</v>
      </c>
      <c r="AK142" s="22">
        <v>0.56402600000000003</v>
      </c>
      <c r="AL142">
        <f t="shared" si="30"/>
        <v>16.362716049382716</v>
      </c>
      <c r="AM142">
        <f t="shared" si="31"/>
        <v>9.2404839091358024</v>
      </c>
      <c r="AP142" s="9"/>
      <c r="AQ142" s="22">
        <v>1.0552999999999999</v>
      </c>
      <c r="AR142" s="22">
        <v>25.394100000000002</v>
      </c>
      <c r="AS142" s="22">
        <v>-1.2725800000000001E-2</v>
      </c>
      <c r="AT142" s="22">
        <v>132</v>
      </c>
      <c r="AU142" s="22">
        <v>1.0540799999999999</v>
      </c>
      <c r="AV142">
        <f t="shared" si="32"/>
        <v>15.710864197530865</v>
      </c>
      <c r="AW142">
        <f t="shared" si="33"/>
        <v>16.579674987654322</v>
      </c>
      <c r="AX142" s="9"/>
      <c r="AY142" s="22">
        <v>0.56472800000000001</v>
      </c>
      <c r="AZ142" s="22">
        <v>29.052199999999999</v>
      </c>
      <c r="BA142" s="22">
        <v>-1.3241599999999999E-2</v>
      </c>
      <c r="BB142" s="22">
        <v>132</v>
      </c>
      <c r="BC142" s="22">
        <v>0.56408700000000001</v>
      </c>
      <c r="BD142">
        <f t="shared" si="34"/>
        <v>16.347654320987651</v>
      </c>
      <c r="BE142">
        <f t="shared" si="35"/>
        <v>9.2319781293827141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7.3997799999999998</v>
      </c>
      <c r="I143" s="22">
        <v>-1.21002E-2</v>
      </c>
      <c r="J143" s="22">
        <v>133</v>
      </c>
      <c r="K143" s="22">
        <v>1.0495000000000001</v>
      </c>
      <c r="L143">
        <f t="shared" si="24"/>
        <v>14.938518518518517</v>
      </c>
      <c r="M143">
        <f t="shared" si="25"/>
        <v>15.689328459259258</v>
      </c>
      <c r="N143" s="9"/>
      <c r="O143" s="22">
        <v>0.56976300000000002</v>
      </c>
      <c r="P143" s="22">
        <v>11.0578</v>
      </c>
      <c r="Q143" s="22">
        <v>-1.3110399999999999E-2</v>
      </c>
      <c r="R143" s="22">
        <v>133</v>
      </c>
      <c r="S143" s="22">
        <v>0.56909200000000004</v>
      </c>
      <c r="T143">
        <f t="shared" si="26"/>
        <v>16.185679012345677</v>
      </c>
      <c r="U143">
        <f t="shared" si="27"/>
        <v>9.2220010311111107</v>
      </c>
      <c r="X143" s="9"/>
      <c r="Y143" s="22">
        <v>1.05026</v>
      </c>
      <c r="Z143" s="22">
        <v>16.41</v>
      </c>
      <c r="AA143" s="22">
        <v>-1.2637300000000001E-2</v>
      </c>
      <c r="AB143" s="22">
        <v>133</v>
      </c>
      <c r="AC143" s="22">
        <v>1.0495000000000001</v>
      </c>
      <c r="AD143">
        <f t="shared" si="28"/>
        <v>15.601604938271604</v>
      </c>
      <c r="AE143">
        <f t="shared" si="29"/>
        <v>16.385741602469135</v>
      </c>
      <c r="AF143" s="9"/>
      <c r="AG143" s="22">
        <v>0.56976300000000002</v>
      </c>
      <c r="AH143" s="22">
        <v>20.068000000000001</v>
      </c>
      <c r="AI143" s="22">
        <v>-1.3250700000000001E-2</v>
      </c>
      <c r="AJ143" s="22">
        <v>133</v>
      </c>
      <c r="AK143" s="22">
        <v>0.56903099999999995</v>
      </c>
      <c r="AL143">
        <f t="shared" si="30"/>
        <v>16.358888888888888</v>
      </c>
      <c r="AM143">
        <f t="shared" si="31"/>
        <v>9.3206896100000005</v>
      </c>
      <c r="AP143" s="9"/>
      <c r="AQ143" s="22">
        <v>1.05026</v>
      </c>
      <c r="AR143" s="22">
        <v>25.404199999999999</v>
      </c>
      <c r="AS143" s="22">
        <v>-1.2735E-2</v>
      </c>
      <c r="AT143" s="22">
        <v>133</v>
      </c>
      <c r="AU143" s="22">
        <v>1.0495000000000001</v>
      </c>
      <c r="AV143">
        <f t="shared" si="32"/>
        <v>15.722222222222221</v>
      </c>
      <c r="AW143">
        <f t="shared" si="33"/>
        <v>16.512421111111109</v>
      </c>
      <c r="AX143" s="9"/>
      <c r="AY143" s="22">
        <v>0.56976300000000002</v>
      </c>
      <c r="AZ143" s="22">
        <v>29.0623</v>
      </c>
      <c r="BA143" s="22">
        <v>-1.3241599999999999E-2</v>
      </c>
      <c r="BB143" s="22">
        <v>133</v>
      </c>
      <c r="BC143" s="22">
        <v>0.56912200000000002</v>
      </c>
      <c r="BD143">
        <f t="shared" si="34"/>
        <v>16.347654320987651</v>
      </c>
      <c r="BE143">
        <f t="shared" si="35"/>
        <v>9.3142885688888875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7.4098499999999996</v>
      </c>
      <c r="I144" s="22">
        <v>-1.2118500000000001E-2</v>
      </c>
      <c r="J144" s="22">
        <v>134</v>
      </c>
      <c r="K144" s="22">
        <v>1.0440100000000001</v>
      </c>
      <c r="L144">
        <f t="shared" si="24"/>
        <v>14.96111111111111</v>
      </c>
      <c r="M144">
        <f t="shared" si="25"/>
        <v>15.637802166666667</v>
      </c>
      <c r="N144" s="9"/>
      <c r="O144" s="22">
        <v>0.57479899999999995</v>
      </c>
      <c r="P144" s="22">
        <v>11.0679</v>
      </c>
      <c r="Q144" s="22">
        <v>-1.3113400000000001E-2</v>
      </c>
      <c r="R144" s="22">
        <v>134</v>
      </c>
      <c r="S144" s="22">
        <v>0.57418800000000003</v>
      </c>
      <c r="T144">
        <f t="shared" si="26"/>
        <v>16.18938271604938</v>
      </c>
      <c r="U144">
        <f t="shared" si="27"/>
        <v>9.3056409958024666</v>
      </c>
      <c r="X144" s="9"/>
      <c r="Y144" s="22">
        <v>1.0452300000000001</v>
      </c>
      <c r="Z144" s="22">
        <v>16.420100000000001</v>
      </c>
      <c r="AA144" s="22">
        <v>-1.26465E-2</v>
      </c>
      <c r="AB144" s="22">
        <v>134</v>
      </c>
      <c r="AC144" s="22">
        <v>1.0443100000000001</v>
      </c>
      <c r="AD144">
        <f t="shared" si="28"/>
        <v>15.612962962962962</v>
      </c>
      <c r="AE144">
        <f t="shared" si="29"/>
        <v>16.319137277777777</v>
      </c>
      <c r="AF144" s="9"/>
      <c r="AG144" s="22">
        <v>0.57479899999999995</v>
      </c>
      <c r="AH144" s="22">
        <v>20.078099999999999</v>
      </c>
      <c r="AI144" s="22">
        <v>-1.32446E-2</v>
      </c>
      <c r="AJ144" s="22">
        <v>134</v>
      </c>
      <c r="AK144" s="22">
        <v>0.57412700000000005</v>
      </c>
      <c r="AL144">
        <f t="shared" si="30"/>
        <v>16.351358024691358</v>
      </c>
      <c r="AM144">
        <f t="shared" si="31"/>
        <v>9.3987442412345672</v>
      </c>
      <c r="AP144" s="9"/>
      <c r="AQ144" s="22">
        <v>1.0452300000000001</v>
      </c>
      <c r="AR144" s="22">
        <v>25.414300000000001</v>
      </c>
      <c r="AS144" s="22">
        <v>-1.27502E-2</v>
      </c>
      <c r="AT144" s="22">
        <v>134</v>
      </c>
      <c r="AU144" s="22">
        <v>1.0440100000000001</v>
      </c>
      <c r="AV144">
        <f t="shared" si="32"/>
        <v>15.740987654320987</v>
      </c>
      <c r="AW144">
        <f t="shared" si="33"/>
        <v>16.452952525925927</v>
      </c>
      <c r="AX144" s="9"/>
      <c r="AY144" s="22">
        <v>0.57479899999999995</v>
      </c>
      <c r="AZ144" s="22">
        <v>29.072299999999998</v>
      </c>
      <c r="BA144" s="22">
        <v>-1.32385E-2</v>
      </c>
      <c r="BB144" s="22">
        <v>134</v>
      </c>
      <c r="BC144" s="22">
        <v>0.57406599999999997</v>
      </c>
      <c r="BD144">
        <f t="shared" si="34"/>
        <v>16.343827160493824</v>
      </c>
      <c r="BE144">
        <f t="shared" si="35"/>
        <v>9.3944155080246894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7.4199200000000003</v>
      </c>
      <c r="I145" s="22">
        <v>-1.21368E-2</v>
      </c>
      <c r="J145" s="22">
        <v>135</v>
      </c>
      <c r="K145" s="22">
        <v>1.0388200000000001</v>
      </c>
      <c r="L145">
        <f t="shared" si="24"/>
        <v>14.983703703703702</v>
      </c>
      <c r="M145">
        <f t="shared" si="25"/>
        <v>15.585898755555553</v>
      </c>
      <c r="N145" s="9"/>
      <c r="O145" s="22">
        <v>0.57983399999999996</v>
      </c>
      <c r="P145" s="22">
        <v>11.077999999999999</v>
      </c>
      <c r="Q145" s="22">
        <v>-1.3119499999999999E-2</v>
      </c>
      <c r="R145" s="22">
        <v>135</v>
      </c>
      <c r="S145" s="22">
        <v>0.57916299999999998</v>
      </c>
      <c r="T145">
        <f t="shared" si="26"/>
        <v>16.19691358024691</v>
      </c>
      <c r="U145">
        <f t="shared" si="27"/>
        <v>9.3915211888888859</v>
      </c>
      <c r="X145" s="9"/>
      <c r="Y145" s="22">
        <v>1.0401899999999999</v>
      </c>
      <c r="Z145" s="22">
        <v>16.430099999999999</v>
      </c>
      <c r="AA145" s="22">
        <v>-1.2655599999999999E-2</v>
      </c>
      <c r="AB145" s="22">
        <v>135</v>
      </c>
      <c r="AC145" s="22">
        <v>1.0388200000000001</v>
      </c>
      <c r="AD145">
        <f t="shared" si="28"/>
        <v>15.624197530864196</v>
      </c>
      <c r="AE145">
        <f t="shared" si="29"/>
        <v>16.252134029629627</v>
      </c>
      <c r="AF145" s="9"/>
      <c r="AG145" s="22">
        <v>0.57983399999999996</v>
      </c>
      <c r="AH145" s="22">
        <v>20.088200000000001</v>
      </c>
      <c r="AI145" s="22">
        <v>-1.3235500000000001E-2</v>
      </c>
      <c r="AJ145" s="22">
        <v>135</v>
      </c>
      <c r="AK145" s="22">
        <v>0.57919299999999996</v>
      </c>
      <c r="AL145">
        <f t="shared" si="30"/>
        <v>16.340123456790124</v>
      </c>
      <c r="AM145">
        <f t="shared" si="31"/>
        <v>9.474559144444445</v>
      </c>
      <c r="AP145" s="9"/>
      <c r="AQ145" s="22">
        <v>1.0401899999999999</v>
      </c>
      <c r="AR145" s="22">
        <v>25.424399999999999</v>
      </c>
      <c r="AS145" s="22">
        <v>-1.27625E-2</v>
      </c>
      <c r="AT145" s="22">
        <v>135</v>
      </c>
      <c r="AU145" s="22">
        <v>1.03912</v>
      </c>
      <c r="AV145">
        <f t="shared" si="32"/>
        <v>15.756172839506172</v>
      </c>
      <c r="AW145">
        <f t="shared" si="33"/>
        <v>16.389413425925923</v>
      </c>
      <c r="AX145" s="9"/>
      <c r="AY145" s="22">
        <v>0.57983399999999996</v>
      </c>
      <c r="AZ145" s="22">
        <v>29.0824</v>
      </c>
      <c r="BA145" s="22">
        <v>-1.32385E-2</v>
      </c>
      <c r="BB145" s="22">
        <v>135</v>
      </c>
      <c r="BC145" s="22">
        <v>0.57910200000000001</v>
      </c>
      <c r="BD145">
        <f t="shared" si="34"/>
        <v>16.343827160493824</v>
      </c>
      <c r="BE145">
        <f t="shared" si="35"/>
        <v>9.4767066777777753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7.4299900000000001</v>
      </c>
      <c r="I146" s="22">
        <v>-1.21613E-2</v>
      </c>
      <c r="J146" s="22">
        <v>136</v>
      </c>
      <c r="K146" s="22">
        <v>1.0345500000000001</v>
      </c>
      <c r="L146">
        <f t="shared" si="24"/>
        <v>15.01395061728395</v>
      </c>
      <c r="M146">
        <f t="shared" si="25"/>
        <v>15.541841120987655</v>
      </c>
      <c r="N146" s="9"/>
      <c r="O146" s="22">
        <v>0.58486899999999997</v>
      </c>
      <c r="P146" s="22">
        <v>11.088100000000001</v>
      </c>
      <c r="Q146" s="22">
        <v>-1.3119499999999999E-2</v>
      </c>
      <c r="R146" s="22">
        <v>136</v>
      </c>
      <c r="S146" s="22">
        <v>0.58416699999999999</v>
      </c>
      <c r="T146">
        <f t="shared" si="26"/>
        <v>16.19691358024691</v>
      </c>
      <c r="U146">
        <f t="shared" si="27"/>
        <v>9.4730726487654291</v>
      </c>
      <c r="X146" s="9"/>
      <c r="Y146" s="22">
        <v>1.0351600000000001</v>
      </c>
      <c r="Z146" s="22">
        <v>16.440200000000001</v>
      </c>
      <c r="AA146" s="22">
        <v>-1.26648E-2</v>
      </c>
      <c r="AB146" s="22">
        <v>136</v>
      </c>
      <c r="AC146" s="22">
        <v>1.0339400000000001</v>
      </c>
      <c r="AD146">
        <f t="shared" si="28"/>
        <v>15.635555555555555</v>
      </c>
      <c r="AE146">
        <f t="shared" si="29"/>
        <v>16.185301688888892</v>
      </c>
      <c r="AF146" s="9"/>
      <c r="AG146" s="22">
        <v>0.58486899999999997</v>
      </c>
      <c r="AH146" s="22">
        <v>20.098299999999998</v>
      </c>
      <c r="AI146" s="22">
        <v>-1.32324E-2</v>
      </c>
      <c r="AJ146" s="22">
        <v>136</v>
      </c>
      <c r="AK146" s="22">
        <v>0.584198</v>
      </c>
      <c r="AL146">
        <f t="shared" si="30"/>
        <v>16.336296296296297</v>
      </c>
      <c r="AM146">
        <f t="shared" si="31"/>
        <v>9.554593278518519</v>
      </c>
      <c r="AP146" s="9"/>
      <c r="AQ146" s="22">
        <v>1.0351600000000001</v>
      </c>
      <c r="AR146" s="22">
        <v>25.4344</v>
      </c>
      <c r="AS146" s="22">
        <v>-1.2771599999999999E-2</v>
      </c>
      <c r="AT146" s="22">
        <v>136</v>
      </c>
      <c r="AU146" s="22">
        <v>1.0339400000000001</v>
      </c>
      <c r="AV146">
        <f t="shared" si="32"/>
        <v>15.767407407407408</v>
      </c>
      <c r="AW146">
        <f t="shared" si="33"/>
        <v>16.321789451851853</v>
      </c>
      <c r="AX146" s="9"/>
      <c r="AY146" s="22">
        <v>0.58486899999999997</v>
      </c>
      <c r="AZ146" s="22">
        <v>29.092500000000001</v>
      </c>
      <c r="BA146" s="22">
        <v>-1.3235500000000001E-2</v>
      </c>
      <c r="BB146" s="22">
        <v>136</v>
      </c>
      <c r="BC146" s="22">
        <v>0.58425899999999997</v>
      </c>
      <c r="BD146">
        <f t="shared" si="34"/>
        <v>16.340123456790124</v>
      </c>
      <c r="BE146">
        <f t="shared" si="35"/>
        <v>9.5568316660493835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7.4400700000000004</v>
      </c>
      <c r="I147" s="22">
        <v>-1.21674E-2</v>
      </c>
      <c r="J147" s="22">
        <v>137</v>
      </c>
      <c r="K147" s="22">
        <v>1.0287500000000001</v>
      </c>
      <c r="L147">
        <f t="shared" si="24"/>
        <v>15.021481481481482</v>
      </c>
      <c r="M147">
        <f t="shared" si="25"/>
        <v>15.473928503703704</v>
      </c>
      <c r="N147" s="9"/>
      <c r="O147" s="22">
        <v>0.58990500000000001</v>
      </c>
      <c r="P147" s="22">
        <v>11.098100000000001</v>
      </c>
      <c r="Q147" s="22">
        <v>-1.31165E-2</v>
      </c>
      <c r="R147" s="22">
        <v>137</v>
      </c>
      <c r="S147" s="22">
        <v>0.58923300000000001</v>
      </c>
      <c r="T147">
        <f t="shared" si="26"/>
        <v>16.193209876543211</v>
      </c>
      <c r="U147">
        <f t="shared" si="27"/>
        <v>9.5524554722222224</v>
      </c>
      <c r="X147" s="9"/>
      <c r="Y147" s="22">
        <v>1.0301199999999999</v>
      </c>
      <c r="Z147" s="22">
        <v>16.450299999999999</v>
      </c>
      <c r="AA147" s="22">
        <v>-1.2674E-2</v>
      </c>
      <c r="AB147" s="22">
        <v>137</v>
      </c>
      <c r="AC147" s="22">
        <v>1.0299700000000001</v>
      </c>
      <c r="AD147">
        <f t="shared" si="28"/>
        <v>15.646913580246911</v>
      </c>
      <c r="AE147">
        <f t="shared" si="29"/>
        <v>16.118198617283948</v>
      </c>
      <c r="AF147" s="9"/>
      <c r="AG147" s="22">
        <v>0.58990500000000001</v>
      </c>
      <c r="AH147" s="22">
        <v>20.1083</v>
      </c>
      <c r="AI147" s="22">
        <v>-1.32324E-2</v>
      </c>
      <c r="AJ147" s="22">
        <v>137</v>
      </c>
      <c r="AK147" s="22">
        <v>0.58929399999999998</v>
      </c>
      <c r="AL147">
        <f t="shared" si="30"/>
        <v>16.336296296296297</v>
      </c>
      <c r="AM147">
        <f t="shared" si="31"/>
        <v>9.636862866666668</v>
      </c>
      <c r="AP147" s="9"/>
      <c r="AQ147" s="22">
        <v>1.0301199999999999</v>
      </c>
      <c r="AR147" s="22">
        <v>25.444500000000001</v>
      </c>
      <c r="AS147" s="22">
        <v>-1.2771599999999999E-2</v>
      </c>
      <c r="AT147" s="22">
        <v>137</v>
      </c>
      <c r="AU147" s="22">
        <v>1.0293600000000001</v>
      </c>
      <c r="AV147">
        <f t="shared" si="32"/>
        <v>15.767407407407408</v>
      </c>
      <c r="AW147">
        <f t="shared" si="33"/>
        <v>16.242321718518518</v>
      </c>
      <c r="AX147" s="9"/>
      <c r="AY147" s="22">
        <v>0.58990500000000001</v>
      </c>
      <c r="AZ147" s="22">
        <v>29.102499999999999</v>
      </c>
      <c r="BA147" s="22">
        <v>-1.3229400000000001E-2</v>
      </c>
      <c r="BB147" s="22">
        <v>137</v>
      </c>
      <c r="BC147" s="22">
        <v>0.58929399999999998</v>
      </c>
      <c r="BD147">
        <f t="shared" si="34"/>
        <v>16.332592592592594</v>
      </c>
      <c r="BE147">
        <f t="shared" si="35"/>
        <v>9.6346780333333335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7.4501400000000002</v>
      </c>
      <c r="I148" s="22">
        <v>-1.21796E-2</v>
      </c>
      <c r="J148" s="22">
        <v>138</v>
      </c>
      <c r="K148" s="22">
        <v>1.02386</v>
      </c>
      <c r="L148">
        <f t="shared" si="24"/>
        <v>15.036543209876543</v>
      </c>
      <c r="M148">
        <f t="shared" si="25"/>
        <v>15.413810079012347</v>
      </c>
      <c r="N148" s="9"/>
      <c r="O148" s="22">
        <v>0.59494000000000002</v>
      </c>
      <c r="P148" s="22">
        <v>11.1082</v>
      </c>
      <c r="Q148" s="22">
        <v>-1.3113400000000001E-2</v>
      </c>
      <c r="R148" s="22">
        <v>138</v>
      </c>
      <c r="S148" s="22">
        <v>0.59426900000000005</v>
      </c>
      <c r="T148">
        <f t="shared" si="26"/>
        <v>16.18938271604938</v>
      </c>
      <c r="U148">
        <f t="shared" si="27"/>
        <v>9.631711353086418</v>
      </c>
      <c r="X148" s="9"/>
      <c r="Y148" s="22">
        <v>1.0250900000000001</v>
      </c>
      <c r="Z148" s="22">
        <v>16.4603</v>
      </c>
      <c r="AA148" s="22">
        <v>-1.26923E-2</v>
      </c>
      <c r="AB148" s="22">
        <v>138</v>
      </c>
      <c r="AC148" s="22">
        <v>1.02417</v>
      </c>
      <c r="AD148">
        <f t="shared" si="28"/>
        <v>15.669506172839506</v>
      </c>
      <c r="AE148">
        <f t="shared" si="29"/>
        <v>16.062654082716051</v>
      </c>
      <c r="AF148" s="9"/>
      <c r="AG148" s="22">
        <v>0.59494000000000002</v>
      </c>
      <c r="AH148" s="22">
        <v>20.118400000000001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1.0250900000000001</v>
      </c>
      <c r="AR148" s="22">
        <v>25.454599999999999</v>
      </c>
      <c r="AS148" s="22">
        <v>-1.2796E-2</v>
      </c>
      <c r="AT148" s="22">
        <v>138</v>
      </c>
      <c r="AU148" s="22">
        <v>1.02417</v>
      </c>
      <c r="AV148">
        <f t="shared" si="32"/>
        <v>15.79753086419753</v>
      </c>
      <c r="AW148">
        <f t="shared" si="33"/>
        <v>16.193890913580248</v>
      </c>
      <c r="AX148" s="9"/>
      <c r="AY148" s="22">
        <v>0.59494000000000002</v>
      </c>
      <c r="AZ148" s="22">
        <v>29.1126</v>
      </c>
      <c r="BA148" s="22">
        <v>-1.3229400000000001E-2</v>
      </c>
      <c r="BB148" s="22">
        <v>138</v>
      </c>
      <c r="BC148" s="22">
        <v>0.59429900000000002</v>
      </c>
      <c r="BD148">
        <f t="shared" si="34"/>
        <v>16.332592592592594</v>
      </c>
      <c r="BE148">
        <f t="shared" si="35"/>
        <v>9.7169126370370389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7.46021</v>
      </c>
      <c r="I149" s="22">
        <v>-1.21887E-2</v>
      </c>
      <c r="J149" s="22">
        <v>139</v>
      </c>
      <c r="K149" s="22">
        <v>1.01868</v>
      </c>
      <c r="L149">
        <f t="shared" si="24"/>
        <v>15.047777777777776</v>
      </c>
      <c r="M149">
        <f t="shared" si="25"/>
        <v>15.349485722222219</v>
      </c>
      <c r="N149" s="9"/>
      <c r="O149" s="22">
        <v>0.59997599999999995</v>
      </c>
      <c r="P149" s="22">
        <v>11.1183</v>
      </c>
      <c r="Q149" s="22">
        <v>-1.3113400000000001E-2</v>
      </c>
      <c r="R149" s="22">
        <v>139</v>
      </c>
      <c r="S149" s="22">
        <v>0.59936500000000004</v>
      </c>
      <c r="T149">
        <f t="shared" si="26"/>
        <v>16.18938271604938</v>
      </c>
      <c r="U149">
        <f t="shared" si="27"/>
        <v>9.7132410844444426</v>
      </c>
      <c r="X149" s="9"/>
      <c r="Y149" s="22">
        <v>1.0200499999999999</v>
      </c>
      <c r="Z149" s="22">
        <v>16.470400000000001</v>
      </c>
      <c r="AA149" s="22">
        <v>-1.2710600000000001E-2</v>
      </c>
      <c r="AB149" s="22">
        <v>139</v>
      </c>
      <c r="AC149" s="22">
        <v>1.01898</v>
      </c>
      <c r="AD149">
        <f t="shared" si="28"/>
        <v>15.692098765432098</v>
      </c>
      <c r="AE149">
        <f t="shared" si="29"/>
        <v>16.006725345679008</v>
      </c>
      <c r="AF149" s="9"/>
      <c r="AG149" s="22">
        <v>0.59997599999999995</v>
      </c>
      <c r="AH149" s="22">
        <v>20.128499999999999</v>
      </c>
      <c r="AI149" s="22">
        <v>-1.3229400000000001E-2</v>
      </c>
      <c r="AJ149" s="22">
        <v>139</v>
      </c>
      <c r="AK149" s="22">
        <v>0.59936500000000004</v>
      </c>
      <c r="AL149">
        <f t="shared" si="30"/>
        <v>16.332592592592594</v>
      </c>
      <c r="AM149">
        <f t="shared" si="31"/>
        <v>9.7991635733333329</v>
      </c>
      <c r="AP149" s="9"/>
      <c r="AQ149" s="22">
        <v>1.0200499999999999</v>
      </c>
      <c r="AR149" s="22">
        <v>25.464600000000001</v>
      </c>
      <c r="AS149" s="22">
        <v>-1.28082E-2</v>
      </c>
      <c r="AT149" s="22">
        <v>139</v>
      </c>
      <c r="AU149" s="22">
        <v>1.01959</v>
      </c>
      <c r="AV149">
        <f t="shared" si="32"/>
        <v>15.812592592592594</v>
      </c>
      <c r="AW149">
        <f t="shared" si="33"/>
        <v>16.129635074074073</v>
      </c>
      <c r="AX149" s="9"/>
      <c r="AY149" s="22">
        <v>0.59997599999999995</v>
      </c>
      <c r="AZ149" s="22">
        <v>29.122699999999998</v>
      </c>
      <c r="BA149" s="22">
        <v>-1.3235500000000001E-2</v>
      </c>
      <c r="BB149" s="22">
        <v>139</v>
      </c>
      <c r="BC149" s="22">
        <v>0.59936500000000004</v>
      </c>
      <c r="BD149">
        <f t="shared" si="34"/>
        <v>16.340123456790124</v>
      </c>
      <c r="BE149">
        <f t="shared" si="35"/>
        <v>9.8036819111111111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7.4702799999999998</v>
      </c>
      <c r="I150" s="22">
        <v>-1.2200900000000001E-2</v>
      </c>
      <c r="J150" s="22">
        <v>140</v>
      </c>
      <c r="K150" s="22">
        <v>1.01379</v>
      </c>
      <c r="L150">
        <f t="shared" si="24"/>
        <v>15.062839506172839</v>
      </c>
      <c r="M150">
        <f t="shared" si="25"/>
        <v>15.288932727160493</v>
      </c>
      <c r="N150" s="9"/>
      <c r="O150" s="22">
        <v>0.60501099999999997</v>
      </c>
      <c r="P150" s="22">
        <v>11.128299999999999</v>
      </c>
      <c r="Q150" s="22">
        <v>-1.31165E-2</v>
      </c>
      <c r="R150" s="22">
        <v>140</v>
      </c>
      <c r="S150" s="22">
        <v>0.60433999999999999</v>
      </c>
      <c r="T150">
        <f t="shared" si="26"/>
        <v>16.193209876543211</v>
      </c>
      <c r="U150">
        <f t="shared" si="27"/>
        <v>9.7970701006172831</v>
      </c>
      <c r="X150" s="9"/>
      <c r="Y150" s="22">
        <v>1.01501</v>
      </c>
      <c r="Z150" s="22">
        <v>16.480499999999999</v>
      </c>
      <c r="AA150" s="22">
        <v>-1.27289E-2</v>
      </c>
      <c r="AB150" s="22">
        <v>140</v>
      </c>
      <c r="AC150" s="22">
        <v>1.01379</v>
      </c>
      <c r="AD150">
        <f t="shared" si="28"/>
        <v>15.714691358024689</v>
      </c>
      <c r="AE150">
        <f t="shared" si="29"/>
        <v>15.950568875308639</v>
      </c>
      <c r="AF150" s="9"/>
      <c r="AG150" s="22">
        <v>0.60501099999999997</v>
      </c>
      <c r="AH150" s="22">
        <v>20.138500000000001</v>
      </c>
      <c r="AI150" s="22">
        <v>-1.3235500000000001E-2</v>
      </c>
      <c r="AJ150" s="22">
        <v>140</v>
      </c>
      <c r="AK150" s="22">
        <v>0.60436999999999996</v>
      </c>
      <c r="AL150">
        <f t="shared" si="30"/>
        <v>16.340123456790124</v>
      </c>
      <c r="AM150">
        <f t="shared" si="31"/>
        <v>9.8859544327160496</v>
      </c>
      <c r="AP150" s="9"/>
      <c r="AQ150" s="22">
        <v>1.01501</v>
      </c>
      <c r="AR150" s="22">
        <v>25.474699999999999</v>
      </c>
      <c r="AS150" s="22">
        <v>-1.28174E-2</v>
      </c>
      <c r="AT150" s="22">
        <v>140</v>
      </c>
      <c r="AU150" s="22">
        <v>1.01501</v>
      </c>
      <c r="AV150">
        <f t="shared" si="32"/>
        <v>15.82395061728395</v>
      </c>
      <c r="AW150">
        <f t="shared" si="33"/>
        <v>16.061468116049383</v>
      </c>
      <c r="AX150" s="9"/>
      <c r="AY150" s="22">
        <v>0.60501099999999997</v>
      </c>
      <c r="AZ150" s="22">
        <v>29.1328</v>
      </c>
      <c r="BA150" s="22">
        <v>-1.3235500000000001E-2</v>
      </c>
      <c r="BB150" s="22">
        <v>140</v>
      </c>
      <c r="BC150" s="22">
        <v>0.60430899999999999</v>
      </c>
      <c r="BD150">
        <f t="shared" si="34"/>
        <v>16.340123456790124</v>
      </c>
      <c r="BE150">
        <f t="shared" si="35"/>
        <v>9.8859544327160496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7.4803499999999996</v>
      </c>
      <c r="I151" s="22">
        <v>-1.22192E-2</v>
      </c>
      <c r="J151" s="22">
        <v>141</v>
      </c>
      <c r="K151" s="22">
        <v>1.00891</v>
      </c>
      <c r="L151">
        <f t="shared" si="24"/>
        <v>15.08543209876543</v>
      </c>
      <c r="M151">
        <f t="shared" si="25"/>
        <v>15.235984711111112</v>
      </c>
      <c r="N151" s="9"/>
      <c r="O151" s="22">
        <v>0.61004599999999998</v>
      </c>
      <c r="P151" s="22">
        <v>11.138400000000001</v>
      </c>
      <c r="Q151" s="22">
        <v>-1.31165E-2</v>
      </c>
      <c r="R151" s="22">
        <v>141</v>
      </c>
      <c r="S151" s="22">
        <v>0.609375</v>
      </c>
      <c r="T151">
        <f t="shared" si="26"/>
        <v>16.193209876543211</v>
      </c>
      <c r="U151">
        <f t="shared" si="27"/>
        <v>9.8786029123456789</v>
      </c>
      <c r="X151" s="9"/>
      <c r="Y151" s="22">
        <v>1.0099800000000001</v>
      </c>
      <c r="Z151" s="22">
        <v>16.490600000000001</v>
      </c>
      <c r="AA151" s="22">
        <v>-1.27502E-2</v>
      </c>
      <c r="AB151" s="22">
        <v>141</v>
      </c>
      <c r="AC151" s="22">
        <v>1.00891</v>
      </c>
      <c r="AD151">
        <f t="shared" si="28"/>
        <v>15.740987654320987</v>
      </c>
      <c r="AE151">
        <f t="shared" si="29"/>
        <v>15.898082711111112</v>
      </c>
      <c r="AF151" s="9"/>
      <c r="AG151" s="22">
        <v>0.61004599999999998</v>
      </c>
      <c r="AH151" s="22">
        <v>20.148599999999998</v>
      </c>
      <c r="AI151" s="22">
        <v>-1.3235500000000001E-2</v>
      </c>
      <c r="AJ151" s="22">
        <v>141</v>
      </c>
      <c r="AK151" s="22">
        <v>0.609375</v>
      </c>
      <c r="AL151">
        <f t="shared" si="30"/>
        <v>16.340123456790124</v>
      </c>
      <c r="AM151">
        <f t="shared" si="31"/>
        <v>9.968226954320988</v>
      </c>
      <c r="AP151" s="9"/>
      <c r="AQ151" s="22">
        <v>1.0099800000000001</v>
      </c>
      <c r="AR151" s="22">
        <v>25.4848</v>
      </c>
      <c r="AS151" s="22">
        <v>-1.2820399999999999E-2</v>
      </c>
      <c r="AT151" s="22">
        <v>141</v>
      </c>
      <c r="AU151" s="22">
        <v>1.00922</v>
      </c>
      <c r="AV151">
        <f t="shared" si="32"/>
        <v>15.827654320987653</v>
      </c>
      <c r="AW151">
        <f t="shared" si="33"/>
        <v>15.985614311111112</v>
      </c>
      <c r="AX151" s="9"/>
      <c r="AY151" s="22">
        <v>0.61004599999999998</v>
      </c>
      <c r="AZ151" s="22">
        <v>29.142800000000001</v>
      </c>
      <c r="BA151" s="22">
        <v>-1.3235500000000001E-2</v>
      </c>
      <c r="BB151" s="22">
        <v>141</v>
      </c>
      <c r="BC151" s="22">
        <v>0.609375</v>
      </c>
      <c r="BD151">
        <f t="shared" si="34"/>
        <v>16.340123456790124</v>
      </c>
      <c r="BE151">
        <f t="shared" si="35"/>
        <v>9.968226954320988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7.4904200000000003</v>
      </c>
      <c r="I152" s="22">
        <v>-1.2252799999999999E-2</v>
      </c>
      <c r="J152" s="22">
        <v>142</v>
      </c>
      <c r="K152" s="22">
        <v>1.00342</v>
      </c>
      <c r="L152">
        <f t="shared" si="24"/>
        <v>15.126913580246912</v>
      </c>
      <c r="M152">
        <f t="shared" si="25"/>
        <v>15.201640533333331</v>
      </c>
      <c r="N152" s="9"/>
      <c r="O152" s="22">
        <v>0.61508200000000002</v>
      </c>
      <c r="P152" s="22">
        <v>11.1485</v>
      </c>
      <c r="Q152" s="22">
        <v>-1.3119499999999999E-2</v>
      </c>
      <c r="R152" s="22">
        <v>142</v>
      </c>
      <c r="S152" s="22">
        <v>0.61447099999999999</v>
      </c>
      <c r="T152">
        <f t="shared" si="26"/>
        <v>16.19691358024691</v>
      </c>
      <c r="U152">
        <f t="shared" si="27"/>
        <v>9.9624299987654297</v>
      </c>
      <c r="X152" s="9"/>
      <c r="Y152" s="22">
        <v>1.0049399999999999</v>
      </c>
      <c r="Z152" s="22">
        <v>16.500599999999999</v>
      </c>
      <c r="AA152" s="22">
        <v>-1.27625E-2</v>
      </c>
      <c r="AB152" s="22">
        <v>142</v>
      </c>
      <c r="AC152" s="22">
        <v>1.0037199999999999</v>
      </c>
      <c r="AD152">
        <f t="shared" si="28"/>
        <v>15.756172839506172</v>
      </c>
      <c r="AE152">
        <f t="shared" si="29"/>
        <v>15.834008333333331</v>
      </c>
      <c r="AF152" s="9"/>
      <c r="AG152" s="22">
        <v>0.61508200000000002</v>
      </c>
      <c r="AH152" s="22">
        <v>20.1587</v>
      </c>
      <c r="AI152" s="22">
        <v>-1.32385E-2</v>
      </c>
      <c r="AJ152" s="22">
        <v>142</v>
      </c>
      <c r="AK152" s="22">
        <v>0.61447099999999999</v>
      </c>
      <c r="AL152">
        <f t="shared" si="30"/>
        <v>16.343827160493824</v>
      </c>
      <c r="AM152">
        <f t="shared" si="31"/>
        <v>10.052793897530861</v>
      </c>
      <c r="AP152" s="9"/>
      <c r="AQ152" s="22">
        <v>1.0049399999999999</v>
      </c>
      <c r="AR152" s="22">
        <v>25.494900000000001</v>
      </c>
      <c r="AS152" s="22">
        <v>-1.28296E-2</v>
      </c>
      <c r="AT152" s="22">
        <v>142</v>
      </c>
      <c r="AU152" s="22">
        <v>1.0037199999999999</v>
      </c>
      <c r="AV152">
        <f t="shared" si="32"/>
        <v>15.839012345679013</v>
      </c>
      <c r="AW152">
        <f t="shared" si="33"/>
        <v>15.917257066666666</v>
      </c>
      <c r="AX152" s="9"/>
      <c r="AY152" s="22">
        <v>0.61508200000000002</v>
      </c>
      <c r="AZ152" s="22">
        <v>29.152899999999999</v>
      </c>
      <c r="BA152" s="22">
        <v>-1.3235500000000001E-2</v>
      </c>
      <c r="BB152" s="22">
        <v>142</v>
      </c>
      <c r="BC152" s="22">
        <v>0.61447099999999999</v>
      </c>
      <c r="BD152">
        <f t="shared" si="34"/>
        <v>16.340123456790124</v>
      </c>
      <c r="BE152">
        <f t="shared" si="35"/>
        <v>10.050515816049383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7.5004900000000001</v>
      </c>
      <c r="I153" s="22">
        <v>-1.22711E-2</v>
      </c>
      <c r="J153" s="22">
        <v>143</v>
      </c>
      <c r="K153" s="22">
        <v>0.99883999999999995</v>
      </c>
      <c r="L153">
        <f t="shared" si="24"/>
        <v>15.149506172839505</v>
      </c>
      <c r="M153">
        <f t="shared" si="25"/>
        <v>15.148112418271603</v>
      </c>
      <c r="N153" s="9"/>
      <c r="O153" s="22">
        <v>0.62011700000000003</v>
      </c>
      <c r="P153" s="22">
        <v>11.1585</v>
      </c>
      <c r="Q153" s="22">
        <v>-1.31165E-2</v>
      </c>
      <c r="R153" s="22">
        <v>143</v>
      </c>
      <c r="S153" s="22">
        <v>0.61947600000000003</v>
      </c>
      <c r="T153">
        <f t="shared" si="26"/>
        <v>16.193209876543211</v>
      </c>
      <c r="U153">
        <f t="shared" si="27"/>
        <v>10.041684729012347</v>
      </c>
      <c r="X153" s="9"/>
      <c r="Y153" s="22">
        <v>0.99990800000000002</v>
      </c>
      <c r="Z153" s="22">
        <v>16.5107</v>
      </c>
      <c r="AA153" s="22">
        <v>-1.27747E-2</v>
      </c>
      <c r="AB153" s="22">
        <v>143</v>
      </c>
      <c r="AC153" s="22">
        <v>0.99914599999999998</v>
      </c>
      <c r="AD153">
        <f t="shared" si="28"/>
        <v>15.771234567901235</v>
      </c>
      <c r="AE153">
        <f t="shared" si="29"/>
        <v>15.769783614320989</v>
      </c>
      <c r="AF153" s="9"/>
      <c r="AG153" s="22">
        <v>0.62011700000000003</v>
      </c>
      <c r="AH153" s="22">
        <v>20.168700000000001</v>
      </c>
      <c r="AI153" s="22">
        <v>-1.3247699999999999E-2</v>
      </c>
      <c r="AJ153" s="22">
        <v>143</v>
      </c>
      <c r="AK153" s="22">
        <v>0.61944600000000005</v>
      </c>
      <c r="AL153">
        <f t="shared" si="30"/>
        <v>16.355185185185185</v>
      </c>
      <c r="AM153">
        <f t="shared" si="31"/>
        <v>10.142128371481482</v>
      </c>
      <c r="AP153" s="9"/>
      <c r="AQ153" s="22">
        <v>0.99990800000000002</v>
      </c>
      <c r="AR153" s="22">
        <v>25.504899999999999</v>
      </c>
      <c r="AS153" s="22">
        <v>-1.28418E-2</v>
      </c>
      <c r="AT153" s="22">
        <v>143</v>
      </c>
      <c r="AU153" s="22">
        <v>0.99914599999999998</v>
      </c>
      <c r="AV153">
        <f t="shared" si="32"/>
        <v>15.854074074074072</v>
      </c>
      <c r="AW153">
        <f t="shared" si="33"/>
        <v>15.852615499259258</v>
      </c>
      <c r="AX153" s="9"/>
      <c r="AY153" s="22">
        <v>0.62011700000000003</v>
      </c>
      <c r="AZ153" s="22">
        <v>29.163</v>
      </c>
      <c r="BA153" s="22">
        <v>-1.32324E-2</v>
      </c>
      <c r="BB153" s="22">
        <v>143</v>
      </c>
      <c r="BC153" s="22">
        <v>0.61947600000000003</v>
      </c>
      <c r="BD153">
        <f t="shared" si="34"/>
        <v>16.336296296296297</v>
      </c>
      <c r="BE153">
        <f t="shared" si="35"/>
        <v>10.13041505037037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7.5105599999999999</v>
      </c>
      <c r="I154" s="22">
        <v>-1.2274200000000001E-2</v>
      </c>
      <c r="J154" s="22">
        <v>144</v>
      </c>
      <c r="K154" s="22">
        <v>0.99365199999999998</v>
      </c>
      <c r="L154">
        <f t="shared" si="24"/>
        <v>15.153333333333332</v>
      </c>
      <c r="M154">
        <f t="shared" si="25"/>
        <v>15.075642193333332</v>
      </c>
      <c r="N154" s="9"/>
      <c r="O154" s="22">
        <v>0.62515299999999996</v>
      </c>
      <c r="P154" s="22">
        <v>11.1686</v>
      </c>
      <c r="Q154" s="22">
        <v>-1.3119499999999999E-2</v>
      </c>
      <c r="R154" s="22">
        <v>144</v>
      </c>
      <c r="S154" s="22">
        <v>0.62448099999999995</v>
      </c>
      <c r="T154">
        <f t="shared" si="26"/>
        <v>16.19691358024691</v>
      </c>
      <c r="U154">
        <f t="shared" si="27"/>
        <v>10.125549115432095</v>
      </c>
      <c r="X154" s="9"/>
      <c r="Y154" s="22">
        <v>0.99487300000000001</v>
      </c>
      <c r="Z154" s="22">
        <v>16.520800000000001</v>
      </c>
      <c r="AA154" s="22">
        <v>-1.27899E-2</v>
      </c>
      <c r="AB154" s="22">
        <v>144</v>
      </c>
      <c r="AC154" s="22">
        <v>0.99395800000000001</v>
      </c>
      <c r="AD154">
        <f t="shared" si="28"/>
        <v>15.79</v>
      </c>
      <c r="AE154">
        <f t="shared" si="29"/>
        <v>15.709044669999999</v>
      </c>
      <c r="AF154" s="9"/>
      <c r="AG154" s="22">
        <v>0.62515299999999996</v>
      </c>
      <c r="AH154" s="22">
        <v>20.178799999999999</v>
      </c>
      <c r="AI154" s="22">
        <v>-1.3250700000000001E-2</v>
      </c>
      <c r="AJ154" s="22">
        <v>144</v>
      </c>
      <c r="AK154" s="22">
        <v>0.62451199999999996</v>
      </c>
      <c r="AL154">
        <f t="shared" si="30"/>
        <v>16.358888888888888</v>
      </c>
      <c r="AM154">
        <f t="shared" si="31"/>
        <v>10.226808465555555</v>
      </c>
      <c r="AP154" s="9"/>
      <c r="AQ154" s="22">
        <v>0.99487300000000001</v>
      </c>
      <c r="AR154" s="22">
        <v>25.515000000000001</v>
      </c>
      <c r="AS154" s="22">
        <v>-1.2847900000000001E-2</v>
      </c>
      <c r="AT154" s="22">
        <v>144</v>
      </c>
      <c r="AU154" s="22">
        <v>0.99365199999999998</v>
      </c>
      <c r="AV154">
        <f t="shared" si="32"/>
        <v>15.861604938271604</v>
      </c>
      <c r="AW154">
        <f t="shared" si="33"/>
        <v>15.780282489753086</v>
      </c>
      <c r="AX154" s="9"/>
      <c r="AY154" s="22">
        <v>0.62515299999999996</v>
      </c>
      <c r="AZ154" s="22">
        <v>29.172999999999998</v>
      </c>
      <c r="BA154" s="22">
        <v>-1.3229400000000001E-2</v>
      </c>
      <c r="BB154" s="22">
        <v>144</v>
      </c>
      <c r="BC154" s="22">
        <v>0.62451199999999996</v>
      </c>
      <c r="BD154">
        <f t="shared" si="34"/>
        <v>16.332592592592594</v>
      </c>
      <c r="BE154">
        <f t="shared" si="35"/>
        <v>10.210369257037037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7.5206299999999997</v>
      </c>
      <c r="I155" s="22">
        <v>-1.2274200000000001E-2</v>
      </c>
      <c r="J155" s="22">
        <v>145</v>
      </c>
      <c r="K155" s="22">
        <v>0.98877000000000004</v>
      </c>
      <c r="L155">
        <f t="shared" si="24"/>
        <v>15.153333333333332</v>
      </c>
      <c r="M155">
        <f t="shared" si="25"/>
        <v>14.999345159999999</v>
      </c>
      <c r="N155" s="9"/>
      <c r="O155" s="22">
        <v>0.63018799999999997</v>
      </c>
      <c r="P155" s="22">
        <v>11.178699999999999</v>
      </c>
      <c r="Q155" s="22">
        <v>-1.3113400000000001E-2</v>
      </c>
      <c r="R155" s="22">
        <v>145</v>
      </c>
      <c r="S155" s="22">
        <v>0.62957799999999997</v>
      </c>
      <c r="T155">
        <f t="shared" si="26"/>
        <v>16.18938271604938</v>
      </c>
      <c r="U155">
        <f t="shared" si="27"/>
        <v>10.202354715061727</v>
      </c>
      <c r="X155" s="9"/>
      <c r="Y155" s="22">
        <v>0.989838</v>
      </c>
      <c r="Z155" s="22">
        <v>16.530799999999999</v>
      </c>
      <c r="AA155" s="22">
        <v>-1.2796E-2</v>
      </c>
      <c r="AB155" s="22">
        <v>145</v>
      </c>
      <c r="AC155" s="22">
        <v>0.98877000000000004</v>
      </c>
      <c r="AD155">
        <f t="shared" si="28"/>
        <v>15.79753086419753</v>
      </c>
      <c r="AE155">
        <f t="shared" si="29"/>
        <v>15.636996355555555</v>
      </c>
      <c r="AF155" s="9"/>
      <c r="AG155" s="22">
        <v>0.63018799999999997</v>
      </c>
      <c r="AH155" s="22">
        <v>20.1889</v>
      </c>
      <c r="AI155" s="22">
        <v>-1.32446E-2</v>
      </c>
      <c r="AJ155" s="22">
        <v>145</v>
      </c>
      <c r="AK155" s="22">
        <v>0.62954699999999997</v>
      </c>
      <c r="AL155">
        <f t="shared" si="30"/>
        <v>16.351358024691358</v>
      </c>
      <c r="AM155">
        <f t="shared" si="31"/>
        <v>10.304429610864197</v>
      </c>
      <c r="AP155" s="9"/>
      <c r="AQ155" s="22">
        <v>0.989838</v>
      </c>
      <c r="AR155" s="22">
        <v>25.525099999999998</v>
      </c>
      <c r="AS155" s="22">
        <v>-1.28632E-2</v>
      </c>
      <c r="AT155" s="22">
        <v>145</v>
      </c>
      <c r="AU155" s="22">
        <v>0.98877000000000004</v>
      </c>
      <c r="AV155">
        <f t="shared" si="32"/>
        <v>15.880493827160493</v>
      </c>
      <c r="AW155">
        <f t="shared" si="33"/>
        <v>15.719116248888888</v>
      </c>
      <c r="AX155" s="9"/>
      <c r="AY155" s="22">
        <v>0.63018799999999997</v>
      </c>
      <c r="AZ155" s="22">
        <v>29.1831</v>
      </c>
      <c r="BA155" s="22">
        <v>-1.32233E-2</v>
      </c>
      <c r="BB155" s="22">
        <v>145</v>
      </c>
      <c r="BC155" s="22">
        <v>0.62954699999999997</v>
      </c>
      <c r="BD155">
        <f t="shared" si="34"/>
        <v>16.32506172839506</v>
      </c>
      <c r="BE155">
        <f t="shared" si="35"/>
        <v>10.287858000493825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7.5307000000000004</v>
      </c>
      <c r="I156" s="22">
        <v>-1.2280299999999999E-2</v>
      </c>
      <c r="J156" s="22">
        <v>146</v>
      </c>
      <c r="K156" s="22">
        <v>0.98388699999999996</v>
      </c>
      <c r="L156">
        <f t="shared" si="24"/>
        <v>15.160864197530863</v>
      </c>
      <c r="M156">
        <f t="shared" si="25"/>
        <v>14.930449383456788</v>
      </c>
      <c r="N156" s="9"/>
      <c r="O156" s="22">
        <v>0.63522299999999998</v>
      </c>
      <c r="P156" s="22">
        <v>11.188800000000001</v>
      </c>
      <c r="Q156" s="22">
        <v>-1.3110399999999999E-2</v>
      </c>
      <c r="R156" s="22">
        <v>146</v>
      </c>
      <c r="S156" s="22">
        <v>0.63464399999999999</v>
      </c>
      <c r="T156">
        <f t="shared" si="26"/>
        <v>16.185679012345677</v>
      </c>
      <c r="U156">
        <f t="shared" si="27"/>
        <v>10.281515579259258</v>
      </c>
      <c r="X156" s="9"/>
      <c r="Y156" s="22">
        <v>0.98480199999999996</v>
      </c>
      <c r="Z156" s="22">
        <v>16.540900000000001</v>
      </c>
      <c r="AA156" s="22">
        <v>-1.2811299999999999E-2</v>
      </c>
      <c r="AB156" s="22">
        <v>146</v>
      </c>
      <c r="AC156" s="22">
        <v>0.98358199999999996</v>
      </c>
      <c r="AD156">
        <f t="shared" si="28"/>
        <v>15.816419753086418</v>
      </c>
      <c r="AE156">
        <f t="shared" si="29"/>
        <v>15.57604180567901</v>
      </c>
      <c r="AF156" s="9"/>
      <c r="AG156" s="22">
        <v>0.63522299999999998</v>
      </c>
      <c r="AH156" s="22">
        <v>20.199000000000002</v>
      </c>
      <c r="AI156" s="22">
        <v>-1.3241599999999999E-2</v>
      </c>
      <c r="AJ156" s="22">
        <v>146</v>
      </c>
      <c r="AK156" s="22">
        <v>0.63458300000000001</v>
      </c>
      <c r="AL156">
        <f t="shared" si="30"/>
        <v>16.347654320987651</v>
      </c>
      <c r="AM156">
        <f t="shared" si="31"/>
        <v>10.384406020740739</v>
      </c>
      <c r="AP156" s="9"/>
      <c r="AQ156" s="22">
        <v>0.98480199999999996</v>
      </c>
      <c r="AR156" s="22">
        <v>25.5351</v>
      </c>
      <c r="AS156" s="22">
        <v>-1.28693E-2</v>
      </c>
      <c r="AT156" s="22">
        <v>146</v>
      </c>
      <c r="AU156" s="22">
        <v>0.98419199999999996</v>
      </c>
      <c r="AV156">
        <f t="shared" si="32"/>
        <v>15.888024691358023</v>
      </c>
      <c r="AW156">
        <f t="shared" si="33"/>
        <v>15.646558492098762</v>
      </c>
      <c r="AX156" s="9"/>
      <c r="AY156" s="22">
        <v>0.63522299999999998</v>
      </c>
      <c r="AZ156" s="22">
        <v>29.193200000000001</v>
      </c>
      <c r="BA156" s="22">
        <v>-1.32172E-2</v>
      </c>
      <c r="BB156" s="22">
        <v>146</v>
      </c>
      <c r="BC156" s="22">
        <v>0.63458300000000001</v>
      </c>
      <c r="BD156">
        <f t="shared" si="34"/>
        <v>16.317530864197529</v>
      </c>
      <c r="BE156">
        <f t="shared" si="35"/>
        <v>10.365270908148148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7.5407799999999998</v>
      </c>
      <c r="I157" s="22">
        <v>-1.22833E-2</v>
      </c>
      <c r="J157" s="22">
        <v>147</v>
      </c>
      <c r="K157" s="22">
        <v>0.97900399999999999</v>
      </c>
      <c r="L157">
        <f t="shared" si="24"/>
        <v>15.164567901234568</v>
      </c>
      <c r="M157">
        <f t="shared" si="25"/>
        <v>14.85774319888889</v>
      </c>
      <c r="N157" s="9"/>
      <c r="O157" s="22">
        <v>0.64025900000000002</v>
      </c>
      <c r="P157" s="22">
        <v>11.1988</v>
      </c>
      <c r="Q157" s="22">
        <v>-1.3110399999999999E-2</v>
      </c>
      <c r="R157" s="22">
        <v>147</v>
      </c>
      <c r="S157" s="22">
        <v>0.63964799999999999</v>
      </c>
      <c r="T157">
        <f t="shared" si="26"/>
        <v>16.185679012345677</v>
      </c>
      <c r="U157">
        <f t="shared" si="27"/>
        <v>10.363026658765431</v>
      </c>
      <c r="X157" s="9"/>
      <c r="Y157" s="22">
        <v>0.97976700000000005</v>
      </c>
      <c r="Z157" s="22">
        <v>16.550999999999998</v>
      </c>
      <c r="AA157" s="22">
        <v>-1.28235E-2</v>
      </c>
      <c r="AB157" s="22">
        <v>147</v>
      </c>
      <c r="AC157" s="22">
        <v>0.97869899999999999</v>
      </c>
      <c r="AD157">
        <f t="shared" si="28"/>
        <v>15.831481481481481</v>
      </c>
      <c r="AE157">
        <f t="shared" si="29"/>
        <v>15.511163116666667</v>
      </c>
      <c r="AF157" s="9"/>
      <c r="AG157" s="22">
        <v>0.64025900000000002</v>
      </c>
      <c r="AH157" s="22">
        <v>20.209</v>
      </c>
      <c r="AI157" s="22">
        <v>-1.32324E-2</v>
      </c>
      <c r="AJ157" s="22">
        <v>147</v>
      </c>
      <c r="AK157" s="22">
        <v>0.63961800000000002</v>
      </c>
      <c r="AL157">
        <f t="shared" si="30"/>
        <v>16.336296296296297</v>
      </c>
      <c r="AM157">
        <f t="shared" si="31"/>
        <v>10.45946073037037</v>
      </c>
      <c r="AP157" s="9"/>
      <c r="AQ157" s="22">
        <v>0.97976700000000005</v>
      </c>
      <c r="AR157" s="22">
        <v>25.545200000000001</v>
      </c>
      <c r="AS157" s="22">
        <v>-1.28723E-2</v>
      </c>
      <c r="AT157" s="22">
        <v>147</v>
      </c>
      <c r="AU157" s="22">
        <v>0.97839399999999999</v>
      </c>
      <c r="AV157">
        <f t="shared" si="32"/>
        <v>15.891728395061728</v>
      </c>
      <c r="AW157">
        <f t="shared" si="33"/>
        <v>15.570191054444445</v>
      </c>
      <c r="AX157" s="9"/>
      <c r="AY157" s="22">
        <v>0.64025900000000002</v>
      </c>
      <c r="AZ157" s="22">
        <v>29.203299999999999</v>
      </c>
      <c r="BA157" s="22">
        <v>-1.32172E-2</v>
      </c>
      <c r="BB157" s="22">
        <v>147</v>
      </c>
      <c r="BC157" s="22">
        <v>0.63961800000000002</v>
      </c>
      <c r="BD157">
        <f t="shared" si="34"/>
        <v>16.317530864197529</v>
      </c>
      <c r="BE157">
        <f t="shared" si="35"/>
        <v>10.447445993580246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7.5508499999999996</v>
      </c>
      <c r="I158" s="22">
        <v>-1.22986E-2</v>
      </c>
      <c r="J158" s="22">
        <v>148</v>
      </c>
      <c r="K158" s="22">
        <v>0.97381600000000001</v>
      </c>
      <c r="L158">
        <f t="shared" si="24"/>
        <v>15.183456790123456</v>
      </c>
      <c r="M158">
        <f t="shared" si="25"/>
        <v>14.799786020493826</v>
      </c>
      <c r="N158" s="9"/>
      <c r="O158" s="22">
        <v>0.64529400000000003</v>
      </c>
      <c r="P158" s="22">
        <v>11.2089</v>
      </c>
      <c r="Q158" s="22">
        <v>-1.31042E-2</v>
      </c>
      <c r="R158" s="22">
        <v>148</v>
      </c>
      <c r="S158" s="22">
        <v>0.64465300000000003</v>
      </c>
      <c r="T158">
        <f t="shared" si="26"/>
        <v>16.178024691358022</v>
      </c>
      <c r="U158">
        <f t="shared" si="27"/>
        <v>10.439582265185184</v>
      </c>
      <c r="X158" s="9"/>
      <c r="Y158" s="22">
        <v>0.97473100000000001</v>
      </c>
      <c r="Z158" s="22">
        <v>16.5611</v>
      </c>
      <c r="AA158" s="22">
        <v>-1.28235E-2</v>
      </c>
      <c r="AB158" s="22">
        <v>148</v>
      </c>
      <c r="AC158" s="22">
        <v>0.97381600000000001</v>
      </c>
      <c r="AD158">
        <f t="shared" si="28"/>
        <v>15.831481481481481</v>
      </c>
      <c r="AE158">
        <f t="shared" si="29"/>
        <v>15.431435775925925</v>
      </c>
      <c r="AF158" s="9"/>
      <c r="AG158" s="22">
        <v>0.64529400000000003</v>
      </c>
      <c r="AH158" s="22">
        <v>20.219100000000001</v>
      </c>
      <c r="AI158" s="22">
        <v>-1.32172E-2</v>
      </c>
      <c r="AJ158" s="22">
        <v>148</v>
      </c>
      <c r="AK158" s="22">
        <v>0.64462299999999995</v>
      </c>
      <c r="AL158">
        <f t="shared" si="30"/>
        <v>16.317530864197529</v>
      </c>
      <c r="AM158">
        <f t="shared" si="31"/>
        <v>10.529604761481481</v>
      </c>
      <c r="AP158" s="9"/>
      <c r="AQ158" s="22">
        <v>0.97473100000000001</v>
      </c>
      <c r="AR158" s="22">
        <v>25.555299999999999</v>
      </c>
      <c r="AS158" s="22">
        <v>-1.28784E-2</v>
      </c>
      <c r="AT158" s="22">
        <v>148</v>
      </c>
      <c r="AU158" s="22">
        <v>0.97381600000000001</v>
      </c>
      <c r="AV158">
        <f t="shared" si="32"/>
        <v>15.899259259259258</v>
      </c>
      <c r="AW158">
        <f t="shared" si="33"/>
        <v>15.497500877037035</v>
      </c>
      <c r="AX158" s="9"/>
      <c r="AY158" s="22">
        <v>0.64529400000000003</v>
      </c>
      <c r="AZ158" s="22">
        <v>29.2133</v>
      </c>
      <c r="BA158" s="22">
        <v>-1.32202E-2</v>
      </c>
      <c r="BB158" s="22">
        <v>148</v>
      </c>
      <c r="BC158" s="22">
        <v>0.64456199999999997</v>
      </c>
      <c r="BD158">
        <f t="shared" si="34"/>
        <v>16.321234567901232</v>
      </c>
      <c r="BE158">
        <f t="shared" si="35"/>
        <v>10.531994739259259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7.5609200000000003</v>
      </c>
      <c r="I159" s="22">
        <v>-1.23108E-2</v>
      </c>
      <c r="J159" s="22">
        <v>149</v>
      </c>
      <c r="K159" s="22">
        <v>0.96832300000000004</v>
      </c>
      <c r="L159">
        <f t="shared" si="24"/>
        <v>15.198518518518517</v>
      </c>
      <c r="M159">
        <f t="shared" si="25"/>
        <v>14.737942613333331</v>
      </c>
      <c r="N159" s="9"/>
      <c r="O159" s="22">
        <v>0.65032999999999996</v>
      </c>
      <c r="P159" s="22">
        <v>11.218999999999999</v>
      </c>
      <c r="Q159" s="22">
        <v>-1.30951E-2</v>
      </c>
      <c r="R159" s="22">
        <v>149</v>
      </c>
      <c r="S159" s="22">
        <v>0.64962799999999998</v>
      </c>
      <c r="T159">
        <f t="shared" si="26"/>
        <v>16.166790123456789</v>
      </c>
      <c r="U159">
        <f t="shared" si="27"/>
        <v>10.513748620987652</v>
      </c>
      <c r="X159" s="9"/>
      <c r="Y159" s="22">
        <v>0.969696</v>
      </c>
      <c r="Z159" s="22">
        <v>16.571100000000001</v>
      </c>
      <c r="AA159" s="22">
        <v>-1.2820399999999999E-2</v>
      </c>
      <c r="AB159" s="22">
        <v>149</v>
      </c>
      <c r="AC159" s="22">
        <v>0.96862800000000004</v>
      </c>
      <c r="AD159">
        <f t="shared" si="28"/>
        <v>15.827654320987653</v>
      </c>
      <c r="AE159">
        <f t="shared" si="29"/>
        <v>15.348013084444444</v>
      </c>
      <c r="AF159" s="9"/>
      <c r="AG159" s="22">
        <v>0.65032999999999996</v>
      </c>
      <c r="AH159" s="22">
        <v>20.229199999999999</v>
      </c>
      <c r="AI159" s="22">
        <v>-1.3201900000000001E-2</v>
      </c>
      <c r="AJ159" s="22">
        <v>149</v>
      </c>
      <c r="AK159" s="22">
        <v>0.64968899999999996</v>
      </c>
      <c r="AL159">
        <f t="shared" si="30"/>
        <v>16.298641975308641</v>
      </c>
      <c r="AM159">
        <f t="shared" si="31"/>
        <v>10.599495835802468</v>
      </c>
      <c r="AP159" s="9"/>
      <c r="AQ159" s="22">
        <v>0.969696</v>
      </c>
      <c r="AR159" s="22">
        <v>25.565300000000001</v>
      </c>
      <c r="AS159" s="22">
        <v>-1.2881500000000001E-2</v>
      </c>
      <c r="AT159" s="22">
        <v>149</v>
      </c>
      <c r="AU159" s="22">
        <v>0.96832300000000004</v>
      </c>
      <c r="AV159">
        <f t="shared" si="32"/>
        <v>15.903086419753087</v>
      </c>
      <c r="AW159">
        <f t="shared" si="33"/>
        <v>15.421159288888889</v>
      </c>
      <c r="AX159" s="9"/>
      <c r="AY159" s="22">
        <v>0.65032999999999996</v>
      </c>
      <c r="AZ159" s="22">
        <v>29.223400000000002</v>
      </c>
      <c r="BA159" s="22">
        <v>-1.32263E-2</v>
      </c>
      <c r="BB159" s="22">
        <v>149</v>
      </c>
      <c r="BC159" s="22">
        <v>0.64975000000000005</v>
      </c>
      <c r="BD159">
        <f t="shared" si="34"/>
        <v>16.328765432098766</v>
      </c>
      <c r="BE159">
        <f t="shared" si="35"/>
        <v>10.61908602345679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7.5709900000000001</v>
      </c>
      <c r="I160" s="22">
        <v>-1.2323000000000001E-2</v>
      </c>
      <c r="J160" s="22">
        <v>150</v>
      </c>
      <c r="K160" s="22">
        <v>0.96313499999999996</v>
      </c>
      <c r="L160">
        <f t="shared" si="24"/>
        <v>15.213580246913581</v>
      </c>
      <c r="M160">
        <f t="shared" si="25"/>
        <v>14.675947534567902</v>
      </c>
      <c r="N160" s="9"/>
      <c r="O160" s="22">
        <v>0.65536499999999998</v>
      </c>
      <c r="P160" s="22">
        <v>11.228999999999999</v>
      </c>
      <c r="Q160" s="22">
        <v>-1.3089E-2</v>
      </c>
      <c r="R160" s="22">
        <v>150</v>
      </c>
      <c r="S160" s="22">
        <v>0.654694</v>
      </c>
      <c r="T160">
        <f t="shared" si="26"/>
        <v>16.159259259259258</v>
      </c>
      <c r="U160">
        <f t="shared" si="27"/>
        <v>10.590212944444444</v>
      </c>
      <c r="X160" s="9"/>
      <c r="Y160" s="22">
        <v>0.96466099999999999</v>
      </c>
      <c r="Z160" s="22">
        <v>16.581199999999999</v>
      </c>
      <c r="AA160" s="22">
        <v>-1.2820399999999999E-2</v>
      </c>
      <c r="AB160" s="22">
        <v>150</v>
      </c>
      <c r="AC160" s="22">
        <v>0.96374499999999996</v>
      </c>
      <c r="AD160">
        <f t="shared" si="28"/>
        <v>15.827654320987653</v>
      </c>
      <c r="AE160">
        <f t="shared" si="29"/>
        <v>15.26832084493827</v>
      </c>
      <c r="AF160" s="9"/>
      <c r="AG160" s="22">
        <v>0.65536499999999998</v>
      </c>
      <c r="AH160" s="22">
        <v>20.2392</v>
      </c>
      <c r="AI160" s="22">
        <v>-1.31989E-2</v>
      </c>
      <c r="AJ160" s="22">
        <v>150</v>
      </c>
      <c r="AK160" s="22">
        <v>0.65472399999999997</v>
      </c>
      <c r="AL160">
        <f t="shared" si="30"/>
        <v>16.294938271604938</v>
      </c>
      <c r="AM160">
        <f t="shared" si="31"/>
        <v>10.67913222037037</v>
      </c>
      <c r="AP160" s="9"/>
      <c r="AQ160" s="22">
        <v>0.96466099999999999</v>
      </c>
      <c r="AR160" s="22">
        <v>25.575399999999998</v>
      </c>
      <c r="AS160" s="22">
        <v>-1.28845E-2</v>
      </c>
      <c r="AT160" s="22">
        <v>150</v>
      </c>
      <c r="AU160" s="22">
        <v>0.96313499999999996</v>
      </c>
      <c r="AV160">
        <f t="shared" si="32"/>
        <v>15.906790123456791</v>
      </c>
      <c r="AW160">
        <f t="shared" si="33"/>
        <v>15.34466006728395</v>
      </c>
      <c r="AX160" s="9"/>
      <c r="AY160" s="22">
        <v>0.65536499999999998</v>
      </c>
      <c r="AZ160" s="22">
        <v>29.233499999999999</v>
      </c>
      <c r="BA160" s="22">
        <v>-1.32324E-2</v>
      </c>
      <c r="BB160" s="22">
        <v>150</v>
      </c>
      <c r="BC160" s="22">
        <v>0.65475499999999998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7.5810599999999999</v>
      </c>
      <c r="I161" s="22">
        <v>-1.23322E-2</v>
      </c>
      <c r="J161" s="22">
        <v>151</v>
      </c>
      <c r="K161" s="22">
        <v>0.95886199999999999</v>
      </c>
      <c r="L161">
        <f t="shared" si="24"/>
        <v>15.224938271604938</v>
      </c>
      <c r="M161">
        <f t="shared" si="25"/>
        <v>14.610231388888888</v>
      </c>
      <c r="N161" s="9"/>
      <c r="O161" s="22">
        <v>0.66039999999999999</v>
      </c>
      <c r="P161" s="22">
        <v>11.239100000000001</v>
      </c>
      <c r="Q161" s="22">
        <v>-1.3079800000000001E-2</v>
      </c>
      <c r="R161" s="22">
        <v>151</v>
      </c>
      <c r="S161" s="22">
        <v>0.65976000000000001</v>
      </c>
      <c r="T161">
        <f t="shared" si="26"/>
        <v>16.147901234567904</v>
      </c>
      <c r="U161">
        <f t="shared" si="27"/>
        <v>10.664073975308643</v>
      </c>
      <c r="X161" s="9"/>
      <c r="Y161" s="22">
        <v>0.95962499999999995</v>
      </c>
      <c r="Z161" s="22">
        <v>16.5913</v>
      </c>
      <c r="AA161" s="22">
        <v>-1.2826499999999999E-2</v>
      </c>
      <c r="AB161" s="22">
        <v>151</v>
      </c>
      <c r="AC161" s="22">
        <v>0.95916699999999999</v>
      </c>
      <c r="AD161">
        <f t="shared" si="28"/>
        <v>15.835185185185185</v>
      </c>
      <c r="AE161">
        <f t="shared" si="29"/>
        <v>15.195839583333333</v>
      </c>
      <c r="AF161" s="9"/>
      <c r="AG161" s="22">
        <v>0.66039999999999999</v>
      </c>
      <c r="AH161" s="22">
        <v>20.249300000000002</v>
      </c>
      <c r="AI161" s="22">
        <v>-1.3195800000000001E-2</v>
      </c>
      <c r="AJ161" s="22">
        <v>151</v>
      </c>
      <c r="AK161" s="22">
        <v>0.65966800000000003</v>
      </c>
      <c r="AL161">
        <f t="shared" si="30"/>
        <v>16.29111111111111</v>
      </c>
      <c r="AM161">
        <f t="shared" si="31"/>
        <v>10.758649777777777</v>
      </c>
      <c r="AP161" s="9"/>
      <c r="AQ161" s="22">
        <v>0.95962499999999995</v>
      </c>
      <c r="AR161" s="22">
        <v>25.5855</v>
      </c>
      <c r="AS161" s="22">
        <v>-1.2893699999999999E-2</v>
      </c>
      <c r="AT161" s="22">
        <v>151</v>
      </c>
      <c r="AU161" s="22">
        <v>0.95855699999999999</v>
      </c>
      <c r="AV161">
        <f t="shared" si="32"/>
        <v>15.918148148148147</v>
      </c>
      <c r="AW161">
        <f t="shared" si="33"/>
        <v>15.275452916666664</v>
      </c>
      <c r="AX161" s="9"/>
      <c r="AY161" s="22">
        <v>0.66039999999999999</v>
      </c>
      <c r="AZ161" s="22">
        <v>29.243500000000001</v>
      </c>
      <c r="BA161" s="22">
        <v>-1.3229400000000001E-2</v>
      </c>
      <c r="BB161" s="22">
        <v>151</v>
      </c>
      <c r="BC161" s="22">
        <v>0.65969800000000001</v>
      </c>
      <c r="BD161">
        <f t="shared" si="34"/>
        <v>16.332592592592594</v>
      </c>
      <c r="BE161">
        <f t="shared" si="35"/>
        <v>10.786044148148148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7.5911299999999997</v>
      </c>
      <c r="I162" s="22">
        <v>-1.2341299999999999E-2</v>
      </c>
      <c r="J162" s="22">
        <v>152</v>
      </c>
      <c r="K162" s="22">
        <v>0.95336900000000002</v>
      </c>
      <c r="L162">
        <f t="shared" si="24"/>
        <v>15.236172839506171</v>
      </c>
      <c r="M162">
        <f t="shared" si="25"/>
        <v>14.544298230864197</v>
      </c>
      <c r="N162" s="9"/>
      <c r="O162" s="22">
        <v>0.66543600000000003</v>
      </c>
      <c r="P162" s="22">
        <v>11.2492</v>
      </c>
      <c r="Q162" s="22">
        <v>-1.3073700000000001E-2</v>
      </c>
      <c r="R162" s="22">
        <v>152</v>
      </c>
      <c r="S162" s="22">
        <v>0.66479500000000002</v>
      </c>
      <c r="T162">
        <f t="shared" si="26"/>
        <v>16.14037037037037</v>
      </c>
      <c r="U162">
        <f t="shared" si="27"/>
        <v>10.740383497777778</v>
      </c>
      <c r="X162" s="9"/>
      <c r="Y162" s="22">
        <v>0.95459000000000005</v>
      </c>
      <c r="Z162" s="22">
        <v>16.601299999999998</v>
      </c>
      <c r="AA162" s="22">
        <v>-1.28357E-2</v>
      </c>
      <c r="AB162" s="22">
        <v>152</v>
      </c>
      <c r="AC162" s="22">
        <v>0.95367400000000002</v>
      </c>
      <c r="AD162">
        <f t="shared" si="28"/>
        <v>15.846543209876542</v>
      </c>
      <c r="AE162">
        <f t="shared" si="29"/>
        <v>15.126951682716049</v>
      </c>
      <c r="AF162" s="9"/>
      <c r="AG162" s="22">
        <v>0.66543600000000003</v>
      </c>
      <c r="AH162" s="22">
        <v>20.259399999999999</v>
      </c>
      <c r="AI162" s="22">
        <v>-1.3201900000000001E-2</v>
      </c>
      <c r="AJ162" s="22">
        <v>152</v>
      </c>
      <c r="AK162" s="22">
        <v>0.664825</v>
      </c>
      <c r="AL162">
        <f t="shared" si="30"/>
        <v>16.298641975308641</v>
      </c>
      <c r="AM162">
        <f t="shared" si="31"/>
        <v>10.845703121481481</v>
      </c>
      <c r="AP162" s="9"/>
      <c r="AQ162" s="22">
        <v>0.95459000000000005</v>
      </c>
      <c r="AR162" s="22">
        <v>25.595600000000001</v>
      </c>
      <c r="AS162" s="22">
        <v>-1.2914999999999999E-2</v>
      </c>
      <c r="AT162" s="22">
        <v>152</v>
      </c>
      <c r="AU162" s="22">
        <v>0.95367400000000002</v>
      </c>
      <c r="AV162">
        <f t="shared" si="32"/>
        <v>15.944444444444441</v>
      </c>
      <c r="AW162">
        <f t="shared" si="33"/>
        <v>15.220407222222219</v>
      </c>
      <c r="AX162" s="9"/>
      <c r="AY162" s="22">
        <v>0.66543600000000003</v>
      </c>
      <c r="AZ162" s="22">
        <v>29.253599999999999</v>
      </c>
      <c r="BA162" s="22">
        <v>-1.3229400000000001E-2</v>
      </c>
      <c r="BB162" s="22">
        <v>152</v>
      </c>
      <c r="BC162" s="22">
        <v>0.664825</v>
      </c>
      <c r="BD162">
        <f t="shared" si="34"/>
        <v>16.332592592592594</v>
      </c>
      <c r="BE162">
        <f t="shared" si="35"/>
        <v>10.868295084444446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7.6012000000000004</v>
      </c>
      <c r="I163" s="22">
        <v>-1.23444E-2</v>
      </c>
      <c r="J163" s="22">
        <v>153</v>
      </c>
      <c r="K163" s="22">
        <v>0.94818100000000005</v>
      </c>
      <c r="L163">
        <f t="shared" si="24"/>
        <v>15.239999999999998</v>
      </c>
      <c r="M163">
        <f t="shared" si="25"/>
        <v>14.471202959999999</v>
      </c>
      <c r="N163" s="9"/>
      <c r="O163" s="22">
        <v>0.67047100000000004</v>
      </c>
      <c r="P163" s="22">
        <v>11.2593</v>
      </c>
      <c r="Q163" s="22">
        <v>-1.30676E-2</v>
      </c>
      <c r="R163" s="22">
        <v>153</v>
      </c>
      <c r="S163" s="22">
        <v>0.66979999999999995</v>
      </c>
      <c r="T163">
        <f t="shared" si="26"/>
        <v>16.132839506172839</v>
      </c>
      <c r="U163">
        <f t="shared" si="27"/>
        <v>10.81660103654321</v>
      </c>
      <c r="X163" s="9"/>
      <c r="Y163" s="22">
        <v>0.94955400000000001</v>
      </c>
      <c r="Z163" s="22">
        <v>16.6114</v>
      </c>
      <c r="AA163" s="22">
        <v>-1.28448E-2</v>
      </c>
      <c r="AB163" s="22">
        <v>153</v>
      </c>
      <c r="AC163" s="22">
        <v>0.94757100000000005</v>
      </c>
      <c r="AD163">
        <f t="shared" si="28"/>
        <v>15.857777777777777</v>
      </c>
      <c r="AE163">
        <f t="shared" si="29"/>
        <v>15.057816319999999</v>
      </c>
      <c r="AF163" s="9"/>
      <c r="AG163" s="22">
        <v>0.67047100000000004</v>
      </c>
      <c r="AH163" s="22">
        <v>20.269500000000001</v>
      </c>
      <c r="AI163" s="22">
        <v>-1.31989E-2</v>
      </c>
      <c r="AJ163" s="22">
        <v>153</v>
      </c>
      <c r="AK163" s="22">
        <v>0.66979999999999995</v>
      </c>
      <c r="AL163">
        <f t="shared" si="30"/>
        <v>16.294938271604938</v>
      </c>
      <c r="AM163">
        <f t="shared" si="31"/>
        <v>10.925283557901235</v>
      </c>
      <c r="AP163" s="9"/>
      <c r="AQ163" s="22">
        <v>0.94955400000000001</v>
      </c>
      <c r="AR163" s="22">
        <v>25.605599999999999</v>
      </c>
      <c r="AS163" s="22">
        <v>-1.29272E-2</v>
      </c>
      <c r="AT163" s="22">
        <v>153</v>
      </c>
      <c r="AU163" s="22">
        <v>0.94818100000000005</v>
      </c>
      <c r="AV163">
        <f t="shared" si="32"/>
        <v>15.959506172839506</v>
      </c>
      <c r="AW163">
        <f t="shared" si="33"/>
        <v>15.154412924444443</v>
      </c>
      <c r="AX163" s="9"/>
      <c r="AY163" s="22">
        <v>0.67047100000000004</v>
      </c>
      <c r="AZ163" s="22">
        <v>29.2637</v>
      </c>
      <c r="BA163" s="22">
        <v>-1.3229400000000001E-2</v>
      </c>
      <c r="BB163" s="22">
        <v>153</v>
      </c>
      <c r="BC163" s="22">
        <v>0.66970799999999997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7.6112700000000002</v>
      </c>
      <c r="I164" s="22">
        <v>-1.2356600000000001E-2</v>
      </c>
      <c r="J164" s="22">
        <v>154</v>
      </c>
      <c r="K164" s="22">
        <v>0.943604</v>
      </c>
      <c r="L164">
        <f t="shared" si="24"/>
        <v>15.255061728395061</v>
      </c>
      <c r="M164">
        <f t="shared" si="25"/>
        <v>14.408695648641975</v>
      </c>
      <c r="N164" s="9"/>
      <c r="O164" s="22">
        <v>0.67550699999999997</v>
      </c>
      <c r="P164" s="22">
        <v>11.269299999999999</v>
      </c>
      <c r="Q164" s="22">
        <v>-1.30524E-2</v>
      </c>
      <c r="R164" s="22">
        <v>154</v>
      </c>
      <c r="S164" s="22">
        <v>0.67486599999999997</v>
      </c>
      <c r="T164">
        <f t="shared" si="26"/>
        <v>16.114074074074072</v>
      </c>
      <c r="U164">
        <f t="shared" si="27"/>
        <v>10.885169835555553</v>
      </c>
      <c r="X164" s="9"/>
      <c r="Y164" s="22">
        <v>0.944519</v>
      </c>
      <c r="Z164" s="22">
        <v>16.621500000000001</v>
      </c>
      <c r="AA164" s="22">
        <v>-1.28448E-2</v>
      </c>
      <c r="AB164" s="22">
        <v>154</v>
      </c>
      <c r="AC164" s="22">
        <v>0.943909</v>
      </c>
      <c r="AD164">
        <f t="shared" si="28"/>
        <v>15.857777777777777</v>
      </c>
      <c r="AE164">
        <f t="shared" si="29"/>
        <v>14.977972408888888</v>
      </c>
      <c r="AF164" s="9"/>
      <c r="AG164" s="22">
        <v>0.67550699999999997</v>
      </c>
      <c r="AH164" s="22">
        <v>20.279499999999999</v>
      </c>
      <c r="AI164" s="22">
        <v>-1.31897E-2</v>
      </c>
      <c r="AJ164" s="22">
        <v>154</v>
      </c>
      <c r="AK164" s="22">
        <v>0.67483499999999996</v>
      </c>
      <c r="AL164">
        <f t="shared" si="30"/>
        <v>16.28358024691358</v>
      </c>
      <c r="AM164">
        <f t="shared" si="31"/>
        <v>10.999672441851851</v>
      </c>
      <c r="AP164" s="9"/>
      <c r="AQ164" s="22">
        <v>0.944519</v>
      </c>
      <c r="AR164" s="22">
        <v>25.6157</v>
      </c>
      <c r="AS164" s="22">
        <v>-1.2936400000000001E-2</v>
      </c>
      <c r="AT164" s="22">
        <v>154</v>
      </c>
      <c r="AU164" s="22">
        <v>0.94329799999999997</v>
      </c>
      <c r="AV164">
        <f t="shared" si="32"/>
        <v>15.970864197530865</v>
      </c>
      <c r="AW164">
        <f t="shared" si="33"/>
        <v>15.084784680987655</v>
      </c>
      <c r="AX164" s="9"/>
      <c r="AY164" s="22">
        <v>0.67550699999999997</v>
      </c>
      <c r="AZ164" s="22">
        <v>29.273800000000001</v>
      </c>
      <c r="BA164" s="22">
        <v>-1.32324E-2</v>
      </c>
      <c r="BB164" s="22">
        <v>154</v>
      </c>
      <c r="BC164" s="22">
        <v>0.67489600000000005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7.62134</v>
      </c>
      <c r="I165" s="22">
        <v>-1.2368799999999999E-2</v>
      </c>
      <c r="J165" s="22">
        <v>155</v>
      </c>
      <c r="K165" s="22">
        <v>0.93811</v>
      </c>
      <c r="L165">
        <f t="shared" si="24"/>
        <v>15.270123456790122</v>
      </c>
      <c r="M165">
        <f t="shared" si="25"/>
        <v>14.34603666567901</v>
      </c>
      <c r="N165" s="9"/>
      <c r="O165" s="22">
        <v>0.68054199999999998</v>
      </c>
      <c r="P165" s="22">
        <v>11.279400000000001</v>
      </c>
      <c r="Q165" s="22">
        <v>-1.3037099999999999E-2</v>
      </c>
      <c r="R165" s="22">
        <v>155</v>
      </c>
      <c r="S165" s="22">
        <v>0.679871</v>
      </c>
      <c r="T165">
        <f t="shared" si="26"/>
        <v>16.095185185185183</v>
      </c>
      <c r="U165">
        <f t="shared" si="27"/>
        <v>10.953449516296295</v>
      </c>
      <c r="X165" s="9"/>
      <c r="Y165" s="22">
        <v>0.93948399999999999</v>
      </c>
      <c r="Z165" s="22">
        <v>16.631499999999999</v>
      </c>
      <c r="AA165" s="22">
        <v>-1.28632E-2</v>
      </c>
      <c r="AB165" s="22">
        <v>155</v>
      </c>
      <c r="AC165" s="22">
        <v>0.93841600000000003</v>
      </c>
      <c r="AD165">
        <f t="shared" si="28"/>
        <v>15.880493827160493</v>
      </c>
      <c r="AE165">
        <f t="shared" si="29"/>
        <v>14.919469862716047</v>
      </c>
      <c r="AF165" s="9"/>
      <c r="AG165" s="22">
        <v>0.68054199999999998</v>
      </c>
      <c r="AH165" s="22">
        <v>20.2896</v>
      </c>
      <c r="AI165" s="22">
        <v>-1.31805E-2</v>
      </c>
      <c r="AJ165" s="22">
        <v>155</v>
      </c>
      <c r="AK165" s="22">
        <v>0.679871</v>
      </c>
      <c r="AL165">
        <f t="shared" si="30"/>
        <v>16.272222222222219</v>
      </c>
      <c r="AM165">
        <f t="shared" si="31"/>
        <v>11.073930655555552</v>
      </c>
      <c r="AP165" s="9"/>
      <c r="AQ165" s="22">
        <v>0.93948399999999999</v>
      </c>
      <c r="AR165" s="22">
        <v>25.625800000000002</v>
      </c>
      <c r="AS165" s="22">
        <v>-1.2948599999999999E-2</v>
      </c>
      <c r="AT165" s="22">
        <v>155</v>
      </c>
      <c r="AU165" s="22">
        <v>0.93841600000000003</v>
      </c>
      <c r="AV165">
        <f t="shared" si="32"/>
        <v>15.985925925925924</v>
      </c>
      <c r="AW165">
        <f t="shared" si="33"/>
        <v>15.018521632592591</v>
      </c>
      <c r="AX165" s="9"/>
      <c r="AY165" s="22">
        <v>0.68054199999999998</v>
      </c>
      <c r="AZ165" s="22">
        <v>29.283799999999999</v>
      </c>
      <c r="BA165" s="22">
        <v>-1.3235500000000001E-2</v>
      </c>
      <c r="BB165" s="22">
        <v>155</v>
      </c>
      <c r="BC165" s="22">
        <v>0.67984</v>
      </c>
      <c r="BD165">
        <f t="shared" si="34"/>
        <v>16.340123456790124</v>
      </c>
      <c r="BE165">
        <f t="shared" si="35"/>
        <v>11.120140297530865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7.6314099999999998</v>
      </c>
      <c r="I166" s="22">
        <v>-1.23871E-2</v>
      </c>
      <c r="J166" s="22">
        <v>156</v>
      </c>
      <c r="K166" s="22">
        <v>0.93322799999999995</v>
      </c>
      <c r="L166">
        <f t="shared" si="24"/>
        <v>15.292716049382715</v>
      </c>
      <c r="M166">
        <f t="shared" si="25"/>
        <v>14.290247926913578</v>
      </c>
      <c r="N166" s="9"/>
      <c r="O166" s="22">
        <v>0.68557699999999999</v>
      </c>
      <c r="P166" s="22">
        <v>11.2895</v>
      </c>
      <c r="Q166" s="22">
        <v>-1.30341E-2</v>
      </c>
      <c r="R166" s="22">
        <v>156</v>
      </c>
      <c r="S166" s="22">
        <v>0.68493700000000002</v>
      </c>
      <c r="T166">
        <f t="shared" si="26"/>
        <v>16.09148148148148</v>
      </c>
      <c r="U166">
        <f t="shared" si="27"/>
        <v>11.031949599629629</v>
      </c>
      <c r="X166" s="9"/>
      <c r="Y166" s="22">
        <v>0.93444799999999995</v>
      </c>
      <c r="Z166" s="22">
        <v>16.6416</v>
      </c>
      <c r="AA166" s="22">
        <v>-1.28723E-2</v>
      </c>
      <c r="AB166" s="22">
        <v>156</v>
      </c>
      <c r="AC166" s="22">
        <v>0.93322799999999995</v>
      </c>
      <c r="AD166">
        <f t="shared" si="28"/>
        <v>15.891728395061728</v>
      </c>
      <c r="AE166">
        <f t="shared" si="29"/>
        <v>14.84999381530864</v>
      </c>
      <c r="AF166" s="9"/>
      <c r="AG166" s="22">
        <v>0.68557699999999999</v>
      </c>
      <c r="AH166" s="22">
        <v>20.299700000000001</v>
      </c>
      <c r="AI166" s="22">
        <v>-1.31836E-2</v>
      </c>
      <c r="AJ166" s="22">
        <v>156</v>
      </c>
      <c r="AK166" s="22">
        <v>0.68490600000000001</v>
      </c>
      <c r="AL166">
        <f t="shared" si="30"/>
        <v>16.276049382716046</v>
      </c>
      <c r="AM166">
        <f t="shared" si="31"/>
        <v>11.158485107654318</v>
      </c>
      <c r="AP166" s="9"/>
      <c r="AQ166" s="22">
        <v>0.93444799999999995</v>
      </c>
      <c r="AR166" s="22">
        <v>25.6358</v>
      </c>
      <c r="AS166" s="22">
        <v>-1.29639E-2</v>
      </c>
      <c r="AT166" s="22">
        <v>156</v>
      </c>
      <c r="AU166" s="22">
        <v>0.93322799999999995</v>
      </c>
      <c r="AV166">
        <f t="shared" si="32"/>
        <v>16.004814814814814</v>
      </c>
      <c r="AW166">
        <f t="shared" si="33"/>
        <v>14.955667194074072</v>
      </c>
      <c r="AX166" s="9"/>
      <c r="AY166" s="22">
        <v>0.68557699999999999</v>
      </c>
      <c r="AZ166" s="22">
        <v>29.293900000000001</v>
      </c>
      <c r="BA166" s="22">
        <v>-1.3235500000000001E-2</v>
      </c>
      <c r="BB166" s="22">
        <v>156</v>
      </c>
      <c r="BC166" s="22">
        <v>0.68487500000000001</v>
      </c>
      <c r="BD166">
        <f t="shared" si="34"/>
        <v>16.340123456790124</v>
      </c>
      <c r="BE166">
        <f t="shared" si="35"/>
        <v>11.202412819135803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7.6414900000000001</v>
      </c>
      <c r="I167" s="22">
        <v>-1.23932E-2</v>
      </c>
      <c r="J167" s="22">
        <v>157</v>
      </c>
      <c r="K167" s="22">
        <v>0.92834499999999998</v>
      </c>
      <c r="L167">
        <f t="shared" si="24"/>
        <v>15.300246913580246</v>
      </c>
      <c r="M167">
        <f t="shared" si="25"/>
        <v>14.220248384691358</v>
      </c>
      <c r="N167" s="9"/>
      <c r="O167" s="22">
        <v>0.69061300000000003</v>
      </c>
      <c r="P167" s="22">
        <v>11.2995</v>
      </c>
      <c r="Q167" s="22">
        <v>-1.3037099999999999E-2</v>
      </c>
      <c r="R167" s="22">
        <v>157</v>
      </c>
      <c r="S167" s="22">
        <v>0.68997200000000003</v>
      </c>
      <c r="T167">
        <f t="shared" si="26"/>
        <v>16.095185185185183</v>
      </c>
      <c r="U167">
        <f t="shared" si="27"/>
        <v>11.115544126296296</v>
      </c>
      <c r="X167" s="9"/>
      <c r="Y167" s="22">
        <v>0.92941300000000004</v>
      </c>
      <c r="Z167" s="22">
        <v>16.651700000000002</v>
      </c>
      <c r="AA167" s="22">
        <v>-1.2893699999999999E-2</v>
      </c>
      <c r="AB167" s="22">
        <v>157</v>
      </c>
      <c r="AC167" s="22">
        <v>0.92834499999999998</v>
      </c>
      <c r="AD167">
        <f t="shared" si="28"/>
        <v>15.918148148148147</v>
      </c>
      <c r="AE167">
        <f t="shared" si="29"/>
        <v>14.794533824814813</v>
      </c>
      <c r="AF167" s="9"/>
      <c r="AG167" s="22">
        <v>0.69061300000000003</v>
      </c>
      <c r="AH167" s="22">
        <v>20.309699999999999</v>
      </c>
      <c r="AI167" s="22">
        <v>-1.31866E-2</v>
      </c>
      <c r="AJ167" s="22">
        <v>157</v>
      </c>
      <c r="AK167" s="22">
        <v>0.690002</v>
      </c>
      <c r="AL167">
        <f t="shared" si="30"/>
        <v>16.279753086419749</v>
      </c>
      <c r="AM167">
        <f t="shared" si="31"/>
        <v>11.243009118271603</v>
      </c>
      <c r="AP167" s="9"/>
      <c r="AQ167" s="22">
        <v>0.92941300000000004</v>
      </c>
      <c r="AR167" s="22">
        <v>25.645900000000001</v>
      </c>
      <c r="AS167" s="22">
        <v>-1.2982199999999999E-2</v>
      </c>
      <c r="AT167" s="22">
        <v>157</v>
      </c>
      <c r="AU167" s="22">
        <v>0.92864999999999998</v>
      </c>
      <c r="AV167">
        <f t="shared" si="32"/>
        <v>16.027407407407406</v>
      </c>
      <c r="AW167">
        <f t="shared" si="33"/>
        <v>14.896080800740741</v>
      </c>
      <c r="AX167" s="9"/>
      <c r="AY167" s="22">
        <v>0.69061300000000003</v>
      </c>
      <c r="AZ167" s="22">
        <v>29.303999999999998</v>
      </c>
      <c r="BA167" s="22">
        <v>-1.32324E-2</v>
      </c>
      <c r="BB167" s="22">
        <v>157</v>
      </c>
      <c r="BC167" s="22">
        <v>0.68997200000000003</v>
      </c>
      <c r="BD167">
        <f t="shared" si="34"/>
        <v>16.336296296296297</v>
      </c>
      <c r="BE167">
        <f t="shared" si="35"/>
        <v>11.282058594074075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7.6515599999999999</v>
      </c>
      <c r="I168" s="22">
        <v>-1.2390099999999999E-2</v>
      </c>
      <c r="J168" s="22">
        <v>158</v>
      </c>
      <c r="K168" s="22">
        <v>0.92315700000000001</v>
      </c>
      <c r="L168">
        <f t="shared" si="24"/>
        <v>15.296419753086418</v>
      </c>
      <c r="M168">
        <f t="shared" si="25"/>
        <v>14.139658602098764</v>
      </c>
      <c r="N168" s="9"/>
      <c r="O168" s="22">
        <v>0.69564800000000004</v>
      </c>
      <c r="P168" s="22">
        <v>11.3096</v>
      </c>
      <c r="Q168" s="22">
        <v>-1.3037099999999999E-2</v>
      </c>
      <c r="R168" s="22">
        <v>158</v>
      </c>
      <c r="S168" s="22">
        <v>0.69497699999999996</v>
      </c>
      <c r="T168">
        <f t="shared" si="26"/>
        <v>16.095185185185183</v>
      </c>
      <c r="U168">
        <f t="shared" si="27"/>
        <v>11.196583383703704</v>
      </c>
      <c r="X168" s="9"/>
      <c r="Y168" s="22">
        <v>0.924377</v>
      </c>
      <c r="Z168" s="22">
        <v>16.661799999999999</v>
      </c>
      <c r="AA168" s="22">
        <v>-1.2914999999999999E-2</v>
      </c>
      <c r="AB168" s="22">
        <v>158</v>
      </c>
      <c r="AC168" s="22">
        <v>0.92346200000000001</v>
      </c>
      <c r="AD168">
        <f t="shared" si="28"/>
        <v>15.944444444444441</v>
      </c>
      <c r="AE168">
        <f t="shared" si="29"/>
        <v>14.738677722222219</v>
      </c>
      <c r="AF168" s="9"/>
      <c r="AG168" s="22">
        <v>0.69564800000000004</v>
      </c>
      <c r="AH168" s="22">
        <v>20.319800000000001</v>
      </c>
      <c r="AI168" s="22">
        <v>-1.31805E-2</v>
      </c>
      <c r="AJ168" s="22">
        <v>158</v>
      </c>
      <c r="AK168" s="22">
        <v>0.69503800000000004</v>
      </c>
      <c r="AL168">
        <f t="shared" si="30"/>
        <v>16.272222222222219</v>
      </c>
      <c r="AM168">
        <f t="shared" si="31"/>
        <v>11.319738844444442</v>
      </c>
      <c r="AP168" s="9"/>
      <c r="AQ168" s="22">
        <v>0.924377</v>
      </c>
      <c r="AR168" s="22">
        <v>25.655999999999999</v>
      </c>
      <c r="AS168" s="22">
        <v>-1.2982199999999999E-2</v>
      </c>
      <c r="AT168" s="22">
        <v>158</v>
      </c>
      <c r="AU168" s="22">
        <v>0.92315700000000001</v>
      </c>
      <c r="AV168">
        <f t="shared" si="32"/>
        <v>16.027407407407406</v>
      </c>
      <c r="AW168">
        <f t="shared" si="33"/>
        <v>14.815366777037035</v>
      </c>
      <c r="AX168" s="9"/>
      <c r="AY168" s="22">
        <v>0.69564800000000004</v>
      </c>
      <c r="AZ168" s="22">
        <v>29.314</v>
      </c>
      <c r="BA168" s="22">
        <v>-1.32202E-2</v>
      </c>
      <c r="BB168" s="22">
        <v>158</v>
      </c>
      <c r="BC168" s="22">
        <v>0.69494599999999995</v>
      </c>
      <c r="BD168">
        <f t="shared" si="34"/>
        <v>16.321234567901232</v>
      </c>
      <c r="BE168">
        <f t="shared" si="35"/>
        <v>11.353834184691356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7.6616299999999997</v>
      </c>
      <c r="I169" s="22">
        <v>-1.23993E-2</v>
      </c>
      <c r="J169" s="22">
        <v>159</v>
      </c>
      <c r="K169" s="22">
        <v>0.91827400000000003</v>
      </c>
      <c r="L169">
        <f t="shared" si="24"/>
        <v>15.307777777777778</v>
      </c>
      <c r="M169">
        <f t="shared" si="25"/>
        <v>14.073083037777778</v>
      </c>
      <c r="N169" s="9"/>
      <c r="O169" s="22">
        <v>0.70068399999999997</v>
      </c>
      <c r="P169" s="22">
        <v>11.319699999999999</v>
      </c>
      <c r="Q169" s="22">
        <v>-1.30402E-2</v>
      </c>
      <c r="R169" s="22">
        <v>159</v>
      </c>
      <c r="S169" s="22">
        <v>0.70001199999999997</v>
      </c>
      <c r="T169">
        <f t="shared" si="26"/>
        <v>16.099012345679011</v>
      </c>
      <c r="U169">
        <f t="shared" si="27"/>
        <v>11.280320366419751</v>
      </c>
      <c r="X169" s="9"/>
      <c r="Y169" s="22">
        <v>0.91934199999999999</v>
      </c>
      <c r="Z169" s="22">
        <v>16.671800000000001</v>
      </c>
      <c r="AA169" s="22">
        <v>-1.29272E-2</v>
      </c>
      <c r="AB169" s="22">
        <v>159</v>
      </c>
      <c r="AC169" s="22">
        <v>0.91888400000000003</v>
      </c>
      <c r="AD169">
        <f t="shared" si="28"/>
        <v>15.959506172839506</v>
      </c>
      <c r="AE169">
        <f t="shared" si="29"/>
        <v>14.672244323950617</v>
      </c>
      <c r="AF169" s="9"/>
      <c r="AG169" s="22">
        <v>0.70068399999999997</v>
      </c>
      <c r="AH169" s="22">
        <v>20.329899999999999</v>
      </c>
      <c r="AI169" s="22">
        <v>-1.3174399999999999E-2</v>
      </c>
      <c r="AJ169" s="22">
        <v>159</v>
      </c>
      <c r="AK169" s="22">
        <v>0.70001199999999997</v>
      </c>
      <c r="AL169">
        <f t="shared" si="30"/>
        <v>16.264691358024692</v>
      </c>
      <c r="AM169">
        <f t="shared" si="31"/>
        <v>11.396408999506173</v>
      </c>
      <c r="AP169" s="9"/>
      <c r="AQ169" s="22">
        <v>0.91934199999999999</v>
      </c>
      <c r="AR169" s="22">
        <v>25.6661</v>
      </c>
      <c r="AS169" s="22">
        <v>-1.2985200000000001E-2</v>
      </c>
      <c r="AT169" s="22">
        <v>159</v>
      </c>
      <c r="AU169" s="22">
        <v>0.91857900000000003</v>
      </c>
      <c r="AV169">
        <f t="shared" si="32"/>
        <v>16.031111111111109</v>
      </c>
      <c r="AW169">
        <f t="shared" si="33"/>
        <v>14.738073751111109</v>
      </c>
      <c r="AX169" s="9"/>
      <c r="AY169" s="22">
        <v>0.70068399999999997</v>
      </c>
      <c r="AZ169" s="22">
        <v>29.324100000000001</v>
      </c>
      <c r="BA169" s="22">
        <v>-1.32202E-2</v>
      </c>
      <c r="BB169" s="22">
        <v>159</v>
      </c>
      <c r="BC169" s="22">
        <v>0.70001199999999997</v>
      </c>
      <c r="BD169">
        <f t="shared" si="34"/>
        <v>16.321234567901232</v>
      </c>
      <c r="BE169">
        <f t="shared" si="35"/>
        <v>11.436027921975306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7.6717000000000004</v>
      </c>
      <c r="I170" s="22">
        <v>-1.24084E-2</v>
      </c>
      <c r="J170" s="22">
        <v>160</v>
      </c>
      <c r="K170" s="22">
        <v>0.91369599999999995</v>
      </c>
      <c r="L170">
        <f t="shared" si="24"/>
        <v>15.319012345679011</v>
      </c>
      <c r="M170">
        <f t="shared" si="25"/>
        <v>14.00628022074074</v>
      </c>
      <c r="N170" s="9"/>
      <c r="O170" s="22">
        <v>0.70571899999999999</v>
      </c>
      <c r="P170" s="22">
        <v>11.329800000000001</v>
      </c>
      <c r="Q170" s="22">
        <v>-1.30341E-2</v>
      </c>
      <c r="R170" s="22">
        <v>160</v>
      </c>
      <c r="S170" s="22">
        <v>0.70510899999999999</v>
      </c>
      <c r="T170">
        <f t="shared" si="26"/>
        <v>16.09148148148148</v>
      </c>
      <c r="U170">
        <f t="shared" si="27"/>
        <v>11.356064219629628</v>
      </c>
      <c r="X170" s="9"/>
      <c r="Y170" s="22">
        <v>0.91430699999999998</v>
      </c>
      <c r="Z170" s="22">
        <v>16.681899999999999</v>
      </c>
      <c r="AA170" s="22">
        <v>-1.29456E-2</v>
      </c>
      <c r="AB170" s="22">
        <v>160</v>
      </c>
      <c r="AC170" s="22">
        <v>0.91308599999999995</v>
      </c>
      <c r="AD170">
        <f t="shared" si="28"/>
        <v>15.982222222222221</v>
      </c>
      <c r="AE170">
        <f t="shared" si="29"/>
        <v>14.612657653333333</v>
      </c>
      <c r="AF170" s="9"/>
      <c r="AG170" s="22">
        <v>0.70571899999999999</v>
      </c>
      <c r="AH170" s="22">
        <v>20.34</v>
      </c>
      <c r="AI170" s="22">
        <v>-1.31653E-2</v>
      </c>
      <c r="AJ170" s="22">
        <v>160</v>
      </c>
      <c r="AK170" s="22">
        <v>0.70507799999999998</v>
      </c>
      <c r="AL170">
        <f t="shared" si="30"/>
        <v>16.253456790123455</v>
      </c>
      <c r="AM170">
        <f t="shared" si="31"/>
        <v>11.470373272469134</v>
      </c>
      <c r="AP170" s="9"/>
      <c r="AQ170" s="22">
        <v>0.91430699999999998</v>
      </c>
      <c r="AR170" s="22">
        <v>25.676100000000002</v>
      </c>
      <c r="AS170" s="22">
        <v>-1.2988299999999999E-2</v>
      </c>
      <c r="AT170" s="22">
        <v>160</v>
      </c>
      <c r="AU170" s="22">
        <v>0.91278099999999995</v>
      </c>
      <c r="AV170">
        <f t="shared" si="32"/>
        <v>16.034938271604936</v>
      </c>
      <c r="AW170">
        <f t="shared" si="33"/>
        <v>14.660856306296294</v>
      </c>
      <c r="AX170" s="9"/>
      <c r="AY170" s="22">
        <v>0.70571899999999999</v>
      </c>
      <c r="AZ170" s="22">
        <v>29.334199999999999</v>
      </c>
      <c r="BA170" s="22">
        <v>-1.3214099999999999E-2</v>
      </c>
      <c r="BB170" s="22">
        <v>160</v>
      </c>
      <c r="BC170" s="22">
        <v>0.70510899999999999</v>
      </c>
      <c r="BD170">
        <f t="shared" si="34"/>
        <v>16.313703703703702</v>
      </c>
      <c r="BE170">
        <f t="shared" si="35"/>
        <v>11.512890664074073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7.6817700000000002</v>
      </c>
      <c r="I171" s="22">
        <v>-1.2417600000000001E-2</v>
      </c>
      <c r="J171" s="22">
        <v>161</v>
      </c>
      <c r="K171" s="22">
        <v>0.90820299999999998</v>
      </c>
      <c r="L171">
        <f t="shared" si="24"/>
        <v>15.330370370370371</v>
      </c>
      <c r="M171">
        <f t="shared" si="25"/>
        <v>13.939461197037039</v>
      </c>
      <c r="N171" s="9"/>
      <c r="O171" s="22">
        <v>0.710754</v>
      </c>
      <c r="P171" s="22">
        <v>11.3398</v>
      </c>
      <c r="Q171" s="22">
        <v>-1.3024900000000001E-2</v>
      </c>
      <c r="R171" s="22">
        <v>161</v>
      </c>
      <c r="S171" s="22">
        <v>0.710144</v>
      </c>
      <c r="T171">
        <f t="shared" si="26"/>
        <v>16.080123456790126</v>
      </c>
      <c r="U171">
        <f t="shared" si="27"/>
        <v>11.42901206740741</v>
      </c>
      <c r="X171" s="9"/>
      <c r="Y171" s="22">
        <v>0.90927100000000005</v>
      </c>
      <c r="Z171" s="22">
        <v>16.692</v>
      </c>
      <c r="AA171" s="22">
        <v>-1.29578E-2</v>
      </c>
      <c r="AB171" s="22">
        <v>161</v>
      </c>
      <c r="AC171" s="22">
        <v>0.90789799999999998</v>
      </c>
      <c r="AD171">
        <f t="shared" si="28"/>
        <v>15.997283950617284</v>
      </c>
      <c r="AE171">
        <f t="shared" si="29"/>
        <v>14.545866375061729</v>
      </c>
      <c r="AF171" s="9"/>
      <c r="AG171" s="22">
        <v>0.710754</v>
      </c>
      <c r="AH171" s="22">
        <v>20.350000000000001</v>
      </c>
      <c r="AI171" s="22">
        <v>-1.3162200000000001E-2</v>
      </c>
      <c r="AJ171" s="22">
        <v>161</v>
      </c>
      <c r="AK171" s="22">
        <v>0.71002200000000004</v>
      </c>
      <c r="AL171">
        <f t="shared" si="30"/>
        <v>16.249629629629627</v>
      </c>
      <c r="AM171">
        <f t="shared" si="31"/>
        <v>11.549489257777775</v>
      </c>
      <c r="AP171" s="9"/>
      <c r="AQ171" s="22">
        <v>0.90927100000000005</v>
      </c>
      <c r="AR171" s="22">
        <v>25.686199999999999</v>
      </c>
      <c r="AS171" s="22">
        <v>-1.29944E-2</v>
      </c>
      <c r="AT171" s="22">
        <v>161</v>
      </c>
      <c r="AU171" s="22">
        <v>0.90850799999999998</v>
      </c>
      <c r="AV171">
        <f t="shared" si="32"/>
        <v>16.042469135802467</v>
      </c>
      <c r="AW171">
        <f t="shared" si="33"/>
        <v>14.586951953580245</v>
      </c>
      <c r="AX171" s="9"/>
      <c r="AY171" s="22">
        <v>0.710754</v>
      </c>
      <c r="AZ171" s="22">
        <v>29.3443</v>
      </c>
      <c r="BA171" s="22">
        <v>-1.32233E-2</v>
      </c>
      <c r="BB171" s="22">
        <v>161</v>
      </c>
      <c r="BC171" s="22">
        <v>0.71011400000000002</v>
      </c>
      <c r="BD171">
        <f t="shared" si="34"/>
        <v>16.32506172839506</v>
      </c>
      <c r="BE171">
        <f t="shared" si="35"/>
        <v>11.603102923703702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7.69184</v>
      </c>
      <c r="I172" s="22">
        <v>-1.2439E-2</v>
      </c>
      <c r="J172" s="22">
        <v>162</v>
      </c>
      <c r="K172" s="22">
        <v>0.90301500000000001</v>
      </c>
      <c r="L172">
        <f t="shared" si="24"/>
        <v>15.35679012345679</v>
      </c>
      <c r="M172">
        <f t="shared" si="25"/>
        <v>13.886162474074075</v>
      </c>
      <c r="N172" s="9"/>
      <c r="O172" s="22">
        <v>0.71579000000000004</v>
      </c>
      <c r="P172" s="22">
        <v>11.3499</v>
      </c>
      <c r="Q172" s="22">
        <v>-1.30157E-2</v>
      </c>
      <c r="R172" s="22">
        <v>162</v>
      </c>
      <c r="S172" s="22">
        <v>0.71517900000000001</v>
      </c>
      <c r="T172">
        <f t="shared" si="26"/>
        <v>16.068765432098765</v>
      </c>
      <c r="U172">
        <f t="shared" si="27"/>
        <v>11.501861608641976</v>
      </c>
      <c r="X172" s="9"/>
      <c r="Y172" s="22">
        <v>0.90423600000000004</v>
      </c>
      <c r="Z172" s="22">
        <v>16.702000000000002</v>
      </c>
      <c r="AA172" s="22">
        <v>-1.29791E-2</v>
      </c>
      <c r="AB172" s="22">
        <v>162</v>
      </c>
      <c r="AC172" s="22">
        <v>0.90332000000000001</v>
      </c>
      <c r="AD172">
        <f t="shared" si="28"/>
        <v>16.023580246913578</v>
      </c>
      <c r="AE172">
        <f t="shared" si="29"/>
        <v>14.489098108148147</v>
      </c>
      <c r="AF172" s="9"/>
      <c r="AG172" s="22">
        <v>0.71579000000000004</v>
      </c>
      <c r="AH172" s="22">
        <v>20.360099999999999</v>
      </c>
      <c r="AI172" s="22">
        <v>-1.31653E-2</v>
      </c>
      <c r="AJ172" s="22">
        <v>162</v>
      </c>
      <c r="AK172" s="22">
        <v>0.71514900000000003</v>
      </c>
      <c r="AL172">
        <f t="shared" si="30"/>
        <v>16.253456790123455</v>
      </c>
      <c r="AM172">
        <f t="shared" si="31"/>
        <v>11.634061835802468</v>
      </c>
      <c r="AP172" s="9"/>
      <c r="AQ172" s="22">
        <v>0.90423600000000004</v>
      </c>
      <c r="AR172" s="22">
        <v>25.696300000000001</v>
      </c>
      <c r="AS172" s="22">
        <v>-1.30066E-2</v>
      </c>
      <c r="AT172" s="22">
        <v>162</v>
      </c>
      <c r="AU172" s="22">
        <v>0.90362500000000001</v>
      </c>
      <c r="AV172">
        <f t="shared" si="32"/>
        <v>16.057530864197531</v>
      </c>
      <c r="AW172">
        <f t="shared" si="33"/>
        <v>14.51979747851852</v>
      </c>
      <c r="AX172" s="9"/>
      <c r="AY172" s="22">
        <v>0.71579000000000004</v>
      </c>
      <c r="AZ172" s="22">
        <v>29.354299999999999</v>
      </c>
      <c r="BA172" s="22">
        <v>-1.3229400000000001E-2</v>
      </c>
      <c r="BB172" s="22">
        <v>162</v>
      </c>
      <c r="BC172" s="22">
        <v>0.71517900000000001</v>
      </c>
      <c r="BD172">
        <f t="shared" si="34"/>
        <v>16.332592592592594</v>
      </c>
      <c r="BE172">
        <f t="shared" si="35"/>
        <v>11.690706451851852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7.7019099999999998</v>
      </c>
      <c r="I173" s="22">
        <v>-1.24481E-2</v>
      </c>
      <c r="J173" s="22">
        <v>163</v>
      </c>
      <c r="K173" s="22">
        <v>0.89813200000000004</v>
      </c>
      <c r="L173">
        <f t="shared" si="24"/>
        <v>15.368024691358023</v>
      </c>
      <c r="M173">
        <f t="shared" si="25"/>
        <v>13.818927802469135</v>
      </c>
      <c r="N173" s="9"/>
      <c r="O173" s="22">
        <v>0.72082500000000005</v>
      </c>
      <c r="P173" s="22">
        <v>11.36</v>
      </c>
      <c r="Q173" s="22">
        <v>-1.30157E-2</v>
      </c>
      <c r="R173" s="22">
        <v>163</v>
      </c>
      <c r="S173" s="22">
        <v>0.72018400000000005</v>
      </c>
      <c r="T173">
        <f t="shared" si="26"/>
        <v>16.068765432098765</v>
      </c>
      <c r="U173">
        <f t="shared" si="27"/>
        <v>11.582767842592594</v>
      </c>
      <c r="X173" s="9"/>
      <c r="Y173" s="22">
        <v>0.8992</v>
      </c>
      <c r="Z173" s="22">
        <v>16.7121</v>
      </c>
      <c r="AA173" s="22">
        <v>-1.2988299999999999E-2</v>
      </c>
      <c r="AB173" s="22">
        <v>163</v>
      </c>
      <c r="AC173" s="22">
        <v>0.89782700000000004</v>
      </c>
      <c r="AD173">
        <f t="shared" si="28"/>
        <v>16.034938271604936</v>
      </c>
      <c r="AE173">
        <f t="shared" si="29"/>
        <v>14.418616493827159</v>
      </c>
      <c r="AF173" s="9"/>
      <c r="AG173" s="22">
        <v>0.72082500000000005</v>
      </c>
      <c r="AH173" s="22">
        <v>20.370200000000001</v>
      </c>
      <c r="AI173" s="22">
        <v>-1.31653E-2</v>
      </c>
      <c r="AJ173" s="22">
        <v>163</v>
      </c>
      <c r="AK173" s="22">
        <v>0.72012299999999996</v>
      </c>
      <c r="AL173">
        <f t="shared" si="30"/>
        <v>16.253456790123455</v>
      </c>
      <c r="AM173">
        <f t="shared" si="31"/>
        <v>11.715897990740739</v>
      </c>
      <c r="AP173" s="9"/>
      <c r="AQ173" s="22">
        <v>0.8992</v>
      </c>
      <c r="AR173" s="22">
        <v>25.706299999999999</v>
      </c>
      <c r="AS173" s="22">
        <v>-1.30157E-2</v>
      </c>
      <c r="AT173" s="22">
        <v>163</v>
      </c>
      <c r="AU173" s="22">
        <v>0.89843799999999996</v>
      </c>
      <c r="AV173">
        <f t="shared" si="32"/>
        <v>16.068765432098765</v>
      </c>
      <c r="AW173">
        <f t="shared" si="33"/>
        <v>14.44903387654321</v>
      </c>
      <c r="AX173" s="9"/>
      <c r="AY173" s="22">
        <v>0.72082500000000005</v>
      </c>
      <c r="AZ173" s="22">
        <v>29.3644</v>
      </c>
      <c r="BA173" s="22">
        <v>-1.3229400000000001E-2</v>
      </c>
      <c r="BB173" s="22">
        <v>163</v>
      </c>
      <c r="BC173" s="22">
        <v>0.72015399999999996</v>
      </c>
      <c r="BD173">
        <f t="shared" si="34"/>
        <v>16.332592592592594</v>
      </c>
      <c r="BE173">
        <f t="shared" si="35"/>
        <v>11.772941055555558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7.7119799999999996</v>
      </c>
      <c r="I174" s="22">
        <v>-1.2451200000000001E-2</v>
      </c>
      <c r="J174" s="22">
        <v>164</v>
      </c>
      <c r="K174" s="22">
        <v>0.89294399999999996</v>
      </c>
      <c r="L174">
        <f t="shared" si="24"/>
        <v>15.371851851851853</v>
      </c>
      <c r="M174">
        <f t="shared" si="25"/>
        <v>13.744971911111111</v>
      </c>
      <c r="N174" s="9"/>
      <c r="O174" s="22">
        <v>0.72586099999999998</v>
      </c>
      <c r="P174" s="22">
        <v>11.37</v>
      </c>
      <c r="Q174" s="22">
        <v>-1.3028E-2</v>
      </c>
      <c r="R174" s="22">
        <v>164</v>
      </c>
      <c r="S174" s="22">
        <v>0.72524999999999995</v>
      </c>
      <c r="T174">
        <f t="shared" si="26"/>
        <v>16.08395061728395</v>
      </c>
      <c r="U174">
        <f t="shared" si="27"/>
        <v>11.674712479012344</v>
      </c>
      <c r="X174" s="9"/>
      <c r="Y174" s="22">
        <v>0.89416499999999999</v>
      </c>
      <c r="Z174" s="22">
        <v>16.722200000000001</v>
      </c>
      <c r="AA174" s="22">
        <v>-1.2982199999999999E-2</v>
      </c>
      <c r="AB174" s="22">
        <v>164</v>
      </c>
      <c r="AC174" s="22">
        <v>0.89294399999999996</v>
      </c>
      <c r="AD174">
        <f t="shared" si="28"/>
        <v>16.027407407407406</v>
      </c>
      <c r="AE174">
        <f t="shared" si="29"/>
        <v>14.331146744444442</v>
      </c>
      <c r="AF174" s="9"/>
      <c r="AG174" s="22">
        <v>0.72586099999999998</v>
      </c>
      <c r="AH174" s="22">
        <v>20.380199999999999</v>
      </c>
      <c r="AI174" s="22">
        <v>-1.31714E-2</v>
      </c>
      <c r="AJ174" s="22">
        <v>164</v>
      </c>
      <c r="AK174" s="22">
        <v>0.72518899999999997</v>
      </c>
      <c r="AL174">
        <f t="shared" si="30"/>
        <v>16.260987654320989</v>
      </c>
      <c r="AM174">
        <f t="shared" si="31"/>
        <v>11.803216759753086</v>
      </c>
      <c r="AP174" s="9"/>
      <c r="AQ174" s="22">
        <v>0.89416499999999999</v>
      </c>
      <c r="AR174" s="22">
        <v>25.7164</v>
      </c>
      <c r="AS174" s="22">
        <v>-1.30157E-2</v>
      </c>
      <c r="AT174" s="22">
        <v>164</v>
      </c>
      <c r="AU174" s="22">
        <v>0.89355499999999999</v>
      </c>
      <c r="AV174">
        <f t="shared" si="32"/>
        <v>16.068765432098765</v>
      </c>
      <c r="AW174">
        <f t="shared" si="33"/>
        <v>14.368127642592592</v>
      </c>
      <c r="AX174" s="9"/>
      <c r="AY174" s="22">
        <v>0.72586099999999998</v>
      </c>
      <c r="AZ174" s="22">
        <v>29.374500000000001</v>
      </c>
      <c r="BA174" s="22">
        <v>-1.3235500000000001E-2</v>
      </c>
      <c r="BB174" s="22">
        <v>164</v>
      </c>
      <c r="BC174" s="22">
        <v>0.72528099999999995</v>
      </c>
      <c r="BD174">
        <f t="shared" si="34"/>
        <v>16.340123456790124</v>
      </c>
      <c r="BE174">
        <f t="shared" si="35"/>
        <v>11.860658352469136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7.7220500000000003</v>
      </c>
      <c r="I175" s="22">
        <v>-1.2460300000000001E-2</v>
      </c>
      <c r="J175" s="22">
        <v>165</v>
      </c>
      <c r="K175" s="22">
        <v>0.88806200000000002</v>
      </c>
      <c r="L175">
        <f t="shared" si="24"/>
        <v>15.383086419753086</v>
      </c>
      <c r="M175">
        <f t="shared" si="25"/>
        <v>13.677563628395061</v>
      </c>
      <c r="N175" s="9"/>
      <c r="O175" s="22">
        <v>0.73089599999999999</v>
      </c>
      <c r="P175" s="22">
        <v>11.380100000000001</v>
      </c>
      <c r="Q175" s="22">
        <v>-1.30341E-2</v>
      </c>
      <c r="R175" s="22">
        <v>165</v>
      </c>
      <c r="S175" s="22">
        <v>0.73031599999999997</v>
      </c>
      <c r="T175">
        <f t="shared" si="26"/>
        <v>16.09148148148148</v>
      </c>
      <c r="U175">
        <f t="shared" si="27"/>
        <v>11.761199448888888</v>
      </c>
      <c r="X175" s="9"/>
      <c r="Y175" s="22">
        <v>0.88912999999999998</v>
      </c>
      <c r="Z175" s="22">
        <v>16.732299999999999</v>
      </c>
      <c r="AA175" s="22">
        <v>-1.2976100000000001E-2</v>
      </c>
      <c r="AB175" s="22">
        <v>165</v>
      </c>
      <c r="AC175" s="22">
        <v>0.88806200000000002</v>
      </c>
      <c r="AD175">
        <f t="shared" si="28"/>
        <v>16.019876543209875</v>
      </c>
      <c r="AE175">
        <f t="shared" si="29"/>
        <v>14.243752830864196</v>
      </c>
      <c r="AF175" s="9"/>
      <c r="AG175" s="22">
        <v>0.73089599999999999</v>
      </c>
      <c r="AH175" s="22">
        <v>20.3903</v>
      </c>
      <c r="AI175" s="22">
        <v>-1.3168300000000001E-2</v>
      </c>
      <c r="AJ175" s="22">
        <v>165</v>
      </c>
      <c r="AK175" s="22">
        <v>0.73019400000000001</v>
      </c>
      <c r="AL175">
        <f t="shared" si="30"/>
        <v>16.257160493827158</v>
      </c>
      <c r="AM175">
        <f t="shared" si="31"/>
        <v>11.882293576296295</v>
      </c>
      <c r="AP175" s="9"/>
      <c r="AQ175" s="22">
        <v>0.88912999999999998</v>
      </c>
      <c r="AR175" s="22">
        <v>25.726500000000001</v>
      </c>
      <c r="AS175" s="22">
        <v>-1.3028E-2</v>
      </c>
      <c r="AT175" s="22">
        <v>165</v>
      </c>
      <c r="AU175" s="22">
        <v>0.88836700000000002</v>
      </c>
      <c r="AV175">
        <f t="shared" si="32"/>
        <v>16.08395061728395</v>
      </c>
      <c r="AW175">
        <f t="shared" si="33"/>
        <v>14.300723012345678</v>
      </c>
      <c r="AX175" s="9"/>
      <c r="AY175" s="22">
        <v>0.73089599999999999</v>
      </c>
      <c r="AZ175" s="22">
        <v>29.384499999999999</v>
      </c>
      <c r="BA175" s="22">
        <v>-1.32233E-2</v>
      </c>
      <c r="BB175" s="22">
        <v>165</v>
      </c>
      <c r="BC175" s="22">
        <v>0.73022500000000001</v>
      </c>
      <c r="BD175">
        <f t="shared" si="34"/>
        <v>16.32506172839506</v>
      </c>
      <c r="BE175">
        <f t="shared" si="35"/>
        <v>11.931922317037035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7.7321200000000001</v>
      </c>
      <c r="I176" s="22">
        <v>-1.2460300000000001E-2</v>
      </c>
      <c r="J176" s="22">
        <v>166</v>
      </c>
      <c r="K176" s="22">
        <v>0.88317900000000005</v>
      </c>
      <c r="L176">
        <f t="shared" si="24"/>
        <v>15.383086419753086</v>
      </c>
      <c r="M176">
        <f t="shared" si="25"/>
        <v>13.600094405185185</v>
      </c>
      <c r="N176" s="9"/>
      <c r="O176" s="22">
        <v>0.735931</v>
      </c>
      <c r="P176" s="22">
        <v>11.3902</v>
      </c>
      <c r="Q176" s="22">
        <v>-1.30341E-2</v>
      </c>
      <c r="R176" s="22">
        <v>166</v>
      </c>
      <c r="S176" s="22">
        <v>0.73529100000000003</v>
      </c>
      <c r="T176">
        <f t="shared" si="26"/>
        <v>16.09148148148148</v>
      </c>
      <c r="U176">
        <f t="shared" si="27"/>
        <v>11.842220058148147</v>
      </c>
      <c r="X176" s="9"/>
      <c r="Y176" s="22">
        <v>0.88409400000000005</v>
      </c>
      <c r="Z176" s="22">
        <v>16.7423</v>
      </c>
      <c r="AA176" s="22">
        <v>-1.2973E-2</v>
      </c>
      <c r="AB176" s="22">
        <v>166</v>
      </c>
      <c r="AC176" s="22">
        <v>0.88287400000000005</v>
      </c>
      <c r="AD176">
        <f t="shared" si="28"/>
        <v>16.016049382716048</v>
      </c>
      <c r="AE176">
        <f t="shared" si="29"/>
        <v>14.159693162962963</v>
      </c>
      <c r="AF176" s="9"/>
      <c r="AG176" s="22">
        <v>0.735931</v>
      </c>
      <c r="AH176" s="22">
        <v>20.400400000000001</v>
      </c>
      <c r="AI176" s="22">
        <v>-1.31653E-2</v>
      </c>
      <c r="AJ176" s="22">
        <v>166</v>
      </c>
      <c r="AK176" s="22">
        <v>0.73526000000000002</v>
      </c>
      <c r="AL176">
        <f t="shared" si="30"/>
        <v>16.253456790123455</v>
      </c>
      <c r="AM176">
        <f t="shared" si="31"/>
        <v>11.961422709012345</v>
      </c>
      <c r="AP176" s="9"/>
      <c r="AQ176" s="22">
        <v>0.88409400000000005</v>
      </c>
      <c r="AR176" s="22">
        <v>25.736599999999999</v>
      </c>
      <c r="AS176" s="22">
        <v>-1.3037099999999999E-2</v>
      </c>
      <c r="AT176" s="22">
        <v>166</v>
      </c>
      <c r="AU176" s="22">
        <v>0.88287400000000005</v>
      </c>
      <c r="AV176">
        <f t="shared" si="32"/>
        <v>16.095185185185183</v>
      </c>
      <c r="AW176">
        <f t="shared" si="33"/>
        <v>14.22965665111111</v>
      </c>
      <c r="AX176" s="9"/>
      <c r="AY176" s="22">
        <v>0.735931</v>
      </c>
      <c r="AZ176" s="22">
        <v>29.394600000000001</v>
      </c>
      <c r="BA176" s="22">
        <v>-1.32202E-2</v>
      </c>
      <c r="BB176" s="22">
        <v>166</v>
      </c>
      <c r="BC176" s="22">
        <v>0.735321</v>
      </c>
      <c r="BD176">
        <f t="shared" si="34"/>
        <v>16.321234567901232</v>
      </c>
      <c r="BE176">
        <f t="shared" si="35"/>
        <v>12.011302476790123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7.7422000000000004</v>
      </c>
      <c r="I177" s="22">
        <v>-1.2472499999999999E-2</v>
      </c>
      <c r="J177" s="22">
        <v>167</v>
      </c>
      <c r="K177" s="22">
        <v>0.87829599999999997</v>
      </c>
      <c r="L177">
        <f t="shared" si="24"/>
        <v>15.398148148148147</v>
      </c>
      <c r="M177">
        <f t="shared" si="25"/>
        <v>13.535880712962962</v>
      </c>
      <c r="N177" s="9"/>
      <c r="O177" s="22">
        <v>0.74096700000000004</v>
      </c>
      <c r="P177" s="22">
        <v>11.4003</v>
      </c>
      <c r="Q177" s="22">
        <v>-1.3024900000000001E-2</v>
      </c>
      <c r="R177" s="22">
        <v>167</v>
      </c>
      <c r="S177" s="22">
        <v>0.74026499999999995</v>
      </c>
      <c r="T177">
        <f t="shared" si="26"/>
        <v>16.080123456790126</v>
      </c>
      <c r="U177">
        <f t="shared" si="27"/>
        <v>11.914840837407411</v>
      </c>
      <c r="X177" s="9"/>
      <c r="Y177" s="22">
        <v>0.87905900000000003</v>
      </c>
      <c r="Z177" s="22">
        <v>16.752400000000002</v>
      </c>
      <c r="AA177" s="22">
        <v>-1.29639E-2</v>
      </c>
      <c r="AB177" s="22">
        <v>167</v>
      </c>
      <c r="AC177" s="22">
        <v>0.87829599999999997</v>
      </c>
      <c r="AD177">
        <f t="shared" si="28"/>
        <v>16.004814814814814</v>
      </c>
      <c r="AE177">
        <f t="shared" si="29"/>
        <v>14.069176506296296</v>
      </c>
      <c r="AF177" s="9"/>
      <c r="AG177" s="22">
        <v>0.74096700000000004</v>
      </c>
      <c r="AH177" s="22">
        <v>20.410499999999999</v>
      </c>
      <c r="AI177" s="22">
        <v>-1.3159199999999999E-2</v>
      </c>
      <c r="AJ177" s="22">
        <v>167</v>
      </c>
      <c r="AK177" s="22">
        <v>0.74026499999999995</v>
      </c>
      <c r="AL177">
        <f t="shared" si="30"/>
        <v>16.245925925925924</v>
      </c>
      <c r="AM177">
        <f t="shared" si="31"/>
        <v>12.037694995555555</v>
      </c>
      <c r="AP177" s="9"/>
      <c r="AQ177" s="22">
        <v>0.87905900000000003</v>
      </c>
      <c r="AR177" s="22">
        <v>25.746600000000001</v>
      </c>
      <c r="AS177" s="22">
        <v>-1.30493E-2</v>
      </c>
      <c r="AT177" s="22">
        <v>167</v>
      </c>
      <c r="AU177" s="22">
        <v>0.87829599999999997</v>
      </c>
      <c r="AV177">
        <f t="shared" si="32"/>
        <v>16.110246913580244</v>
      </c>
      <c r="AW177">
        <f t="shared" si="33"/>
        <v>14.161857541604936</v>
      </c>
      <c r="AX177" s="9"/>
      <c r="AY177" s="22">
        <v>0.74096700000000004</v>
      </c>
      <c r="AZ177" s="22">
        <v>29.404699999999998</v>
      </c>
      <c r="BA177" s="22">
        <v>-1.3201900000000001E-2</v>
      </c>
      <c r="BB177" s="22">
        <v>167</v>
      </c>
      <c r="BC177" s="22">
        <v>0.74032600000000004</v>
      </c>
      <c r="BD177">
        <f t="shared" si="34"/>
        <v>16.298641975308641</v>
      </c>
      <c r="BE177">
        <f t="shared" si="35"/>
        <v>12.076755848518518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7.7522700000000002</v>
      </c>
      <c r="I178" s="22">
        <v>-1.24756E-2</v>
      </c>
      <c r="J178" s="22">
        <v>168</v>
      </c>
      <c r="K178" s="22">
        <v>0.873108</v>
      </c>
      <c r="L178">
        <f t="shared" si="24"/>
        <v>15.401975308641974</v>
      </c>
      <c r="M178">
        <f t="shared" si="25"/>
        <v>13.461680665185185</v>
      </c>
      <c r="N178" s="9"/>
      <c r="O178" s="22">
        <v>0.74600200000000005</v>
      </c>
      <c r="P178" s="22">
        <v>11.410299999999999</v>
      </c>
      <c r="Q178" s="22">
        <v>-1.3021899999999999E-2</v>
      </c>
      <c r="R178" s="22">
        <v>168</v>
      </c>
      <c r="S178" s="22">
        <v>0.74533099999999997</v>
      </c>
      <c r="T178">
        <f t="shared" si="26"/>
        <v>16.076419753086416</v>
      </c>
      <c r="U178">
        <f t="shared" si="27"/>
        <v>11.993041288641974</v>
      </c>
      <c r="X178" s="9"/>
      <c r="Y178" s="22">
        <v>0.87402299999999999</v>
      </c>
      <c r="Z178" s="22">
        <v>16.762499999999999</v>
      </c>
      <c r="AA178" s="22">
        <v>-1.29639E-2</v>
      </c>
      <c r="AB178" s="22">
        <v>168</v>
      </c>
      <c r="AC178" s="22">
        <v>0.872803</v>
      </c>
      <c r="AD178">
        <f t="shared" si="28"/>
        <v>16.004814814814814</v>
      </c>
      <c r="AE178">
        <f t="shared" si="29"/>
        <v>13.988576258888889</v>
      </c>
      <c r="AF178" s="9"/>
      <c r="AG178" s="22">
        <v>0.74600200000000005</v>
      </c>
      <c r="AH178" s="22">
        <v>20.420500000000001</v>
      </c>
      <c r="AI178" s="22">
        <v>-1.3153099999999999E-2</v>
      </c>
      <c r="AJ178" s="22">
        <v>168</v>
      </c>
      <c r="AK178" s="22">
        <v>0.74539200000000005</v>
      </c>
      <c r="AL178">
        <f t="shared" si="30"/>
        <v>16.238395061728394</v>
      </c>
      <c r="AM178">
        <f t="shared" si="31"/>
        <v>12.113875192839506</v>
      </c>
      <c r="AP178" s="9"/>
      <c r="AQ178" s="22">
        <v>0.87402299999999999</v>
      </c>
      <c r="AR178" s="22">
        <v>25.756699999999999</v>
      </c>
      <c r="AS178" s="22">
        <v>-1.30493E-2</v>
      </c>
      <c r="AT178" s="22">
        <v>168</v>
      </c>
      <c r="AU178" s="22">
        <v>0.87341299999999999</v>
      </c>
      <c r="AV178">
        <f t="shared" si="32"/>
        <v>16.110246913580244</v>
      </c>
      <c r="AW178">
        <f t="shared" si="33"/>
        <v>14.080726338148146</v>
      </c>
      <c r="AX178" s="9"/>
      <c r="AY178" s="22">
        <v>0.74600200000000005</v>
      </c>
      <c r="AZ178" s="22">
        <v>29.4147</v>
      </c>
      <c r="BA178" s="22">
        <v>-1.31866E-2</v>
      </c>
      <c r="BB178" s="22">
        <v>168</v>
      </c>
      <c r="BC178" s="22">
        <v>0.74539200000000005</v>
      </c>
      <c r="BD178">
        <f t="shared" si="34"/>
        <v>16.279753086419749</v>
      </c>
      <c r="BE178">
        <f t="shared" si="35"/>
        <v>12.144728361975307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7.76234</v>
      </c>
      <c r="I179" s="22">
        <v>-1.24878E-2</v>
      </c>
      <c r="J179" s="22">
        <v>169</v>
      </c>
      <c r="K179" s="22">
        <v>0.86822500000000002</v>
      </c>
      <c r="L179">
        <f t="shared" si="24"/>
        <v>15.417037037037037</v>
      </c>
      <c r="M179">
        <f t="shared" si="25"/>
        <v>13.397220180740741</v>
      </c>
      <c r="N179" s="9"/>
      <c r="O179" s="22">
        <v>0.75103799999999998</v>
      </c>
      <c r="P179" s="22">
        <v>11.420400000000001</v>
      </c>
      <c r="Q179" s="22">
        <v>-1.3024900000000001E-2</v>
      </c>
      <c r="R179" s="22">
        <v>169</v>
      </c>
      <c r="S179" s="22">
        <v>0.75036599999999998</v>
      </c>
      <c r="T179">
        <f t="shared" si="26"/>
        <v>16.080123456790126</v>
      </c>
      <c r="U179">
        <f t="shared" si="27"/>
        <v>12.076783760740742</v>
      </c>
      <c r="X179" s="9"/>
      <c r="Y179" s="22">
        <v>0.86898799999999998</v>
      </c>
      <c r="Z179" s="22">
        <v>16.772500000000001</v>
      </c>
      <c r="AA179" s="22">
        <v>-1.2982199999999999E-2</v>
      </c>
      <c r="AB179" s="22">
        <v>169</v>
      </c>
      <c r="AC179" s="22">
        <v>0.86853000000000002</v>
      </c>
      <c r="AD179">
        <f t="shared" si="28"/>
        <v>16.027407407407406</v>
      </c>
      <c r="AE179">
        <f t="shared" si="29"/>
        <v>13.927624708148146</v>
      </c>
      <c r="AF179" s="9"/>
      <c r="AG179" s="22">
        <v>0.75103799999999998</v>
      </c>
      <c r="AH179" s="22">
        <v>20.430599999999998</v>
      </c>
      <c r="AI179" s="22">
        <v>-1.3153099999999999E-2</v>
      </c>
      <c r="AJ179" s="22">
        <v>169</v>
      </c>
      <c r="AK179" s="22">
        <v>0.750336</v>
      </c>
      <c r="AL179">
        <f t="shared" si="30"/>
        <v>16.238395061728394</v>
      </c>
      <c r="AM179">
        <f t="shared" si="31"/>
        <v>12.195651750370368</v>
      </c>
      <c r="AP179" s="9"/>
      <c r="AQ179" s="22">
        <v>0.86898799999999998</v>
      </c>
      <c r="AR179" s="22">
        <v>25.7668</v>
      </c>
      <c r="AS179" s="22">
        <v>-1.30463E-2</v>
      </c>
      <c r="AT179" s="22">
        <v>169</v>
      </c>
      <c r="AU179" s="22">
        <v>0.86761500000000003</v>
      </c>
      <c r="AV179">
        <f t="shared" si="32"/>
        <v>16.106543209876545</v>
      </c>
      <c r="AW179">
        <f t="shared" si="33"/>
        <v>13.996392770864199</v>
      </c>
      <c r="AX179" s="9"/>
      <c r="AY179" s="22">
        <v>0.75103799999999998</v>
      </c>
      <c r="AZ179" s="22">
        <v>29.424800000000001</v>
      </c>
      <c r="BA179" s="22">
        <v>-1.3174399999999999E-2</v>
      </c>
      <c r="BB179" s="22">
        <v>169</v>
      </c>
      <c r="BC179" s="22">
        <v>0.75039699999999998</v>
      </c>
      <c r="BD179">
        <f t="shared" si="34"/>
        <v>16.264691358024692</v>
      </c>
      <c r="BE179">
        <f t="shared" si="35"/>
        <v>12.215401268148149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7.7724099999999998</v>
      </c>
      <c r="I180" s="22">
        <v>-1.25031E-2</v>
      </c>
      <c r="J180" s="22">
        <v>170</v>
      </c>
      <c r="K180" s="22">
        <v>0.86303700000000005</v>
      </c>
      <c r="L180">
        <f t="shared" si="24"/>
        <v>15.435925925925924</v>
      </c>
      <c r="M180">
        <f t="shared" si="25"/>
        <v>13.335914511481478</v>
      </c>
      <c r="N180" s="9"/>
      <c r="O180" s="22">
        <v>0.756073</v>
      </c>
      <c r="P180" s="22">
        <v>11.4305</v>
      </c>
      <c r="Q180" s="22">
        <v>-1.3024900000000001E-2</v>
      </c>
      <c r="R180" s="22">
        <v>170</v>
      </c>
      <c r="S180" s="22">
        <v>0.75500500000000004</v>
      </c>
      <c r="T180">
        <f t="shared" si="26"/>
        <v>16.080123456790126</v>
      </c>
      <c r="U180">
        <f t="shared" si="27"/>
        <v>12.15774718234568</v>
      </c>
      <c r="X180" s="9"/>
      <c r="Y180" s="22">
        <v>0.86395299999999997</v>
      </c>
      <c r="Z180" s="22">
        <v>16.782599999999999</v>
      </c>
      <c r="AA180" s="22">
        <v>-1.2985200000000001E-2</v>
      </c>
      <c r="AB180" s="22">
        <v>170</v>
      </c>
      <c r="AC180" s="22">
        <v>0.86303700000000005</v>
      </c>
      <c r="AD180">
        <f t="shared" si="28"/>
        <v>16.031111111111109</v>
      </c>
      <c r="AE180">
        <f t="shared" si="29"/>
        <v>13.850126537777776</v>
      </c>
      <c r="AF180" s="9"/>
      <c r="AG180" s="22">
        <v>0.756073</v>
      </c>
      <c r="AH180" s="22">
        <v>20.4407</v>
      </c>
      <c r="AI180" s="22">
        <v>-1.3153099999999999E-2</v>
      </c>
      <c r="AJ180" s="22">
        <v>170</v>
      </c>
      <c r="AK180" s="22">
        <v>0.75531000000000004</v>
      </c>
      <c r="AL180">
        <f t="shared" si="30"/>
        <v>16.238395061728394</v>
      </c>
      <c r="AM180">
        <f t="shared" si="31"/>
        <v>12.277412069506171</v>
      </c>
      <c r="AP180" s="9"/>
      <c r="AQ180" s="22">
        <v>0.86395299999999997</v>
      </c>
      <c r="AR180" s="22">
        <v>25.776800000000001</v>
      </c>
      <c r="AS180" s="22">
        <v>-1.30402E-2</v>
      </c>
      <c r="AT180" s="22">
        <v>170</v>
      </c>
      <c r="AU180" s="22">
        <v>0.86334200000000005</v>
      </c>
      <c r="AV180">
        <f t="shared" si="32"/>
        <v>16.099012345679011</v>
      </c>
      <c r="AW180">
        <f t="shared" si="33"/>
        <v>13.908790013086419</v>
      </c>
      <c r="AX180" s="9"/>
      <c r="AY180" s="22">
        <v>0.756073</v>
      </c>
      <c r="AZ180" s="22">
        <v>29.434899999999999</v>
      </c>
      <c r="BA180" s="22">
        <v>-1.31775E-2</v>
      </c>
      <c r="BB180" s="22">
        <v>170</v>
      </c>
      <c r="BC180" s="22">
        <v>0.75531000000000004</v>
      </c>
      <c r="BD180">
        <f t="shared" si="34"/>
        <v>16.268518518518519</v>
      </c>
      <c r="BE180">
        <f t="shared" si="35"/>
        <v>12.300187601851853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7.7824799999999996</v>
      </c>
      <c r="I181" s="22">
        <v>-1.25214E-2</v>
      </c>
      <c r="J181" s="22">
        <v>171</v>
      </c>
      <c r="K181" s="22">
        <v>0.85754399999999997</v>
      </c>
      <c r="L181">
        <f t="shared" si="24"/>
        <v>15.458518518518517</v>
      </c>
      <c r="M181">
        <f t="shared" si="25"/>
        <v>13.27758435037037</v>
      </c>
      <c r="N181" s="9"/>
      <c r="O181" s="22">
        <v>0.76110800000000001</v>
      </c>
      <c r="P181" s="22">
        <v>11.4405</v>
      </c>
      <c r="Q181" s="22">
        <v>-1.3024900000000001E-2</v>
      </c>
      <c r="R181" s="22">
        <v>171</v>
      </c>
      <c r="S181" s="22">
        <v>0.76049800000000001</v>
      </c>
      <c r="T181">
        <f t="shared" si="26"/>
        <v>16.080123456790126</v>
      </c>
      <c r="U181">
        <f t="shared" si="27"/>
        <v>12.238710603950619</v>
      </c>
      <c r="X181" s="9"/>
      <c r="Y181" s="22">
        <v>0.85891700000000004</v>
      </c>
      <c r="Z181" s="22">
        <v>16.7927</v>
      </c>
      <c r="AA181" s="22">
        <v>-1.2991300000000001E-2</v>
      </c>
      <c r="AB181" s="22">
        <v>171</v>
      </c>
      <c r="AC181" s="22">
        <v>0.85754399999999997</v>
      </c>
      <c r="AD181">
        <f t="shared" si="28"/>
        <v>16.038641975308643</v>
      </c>
      <c r="AE181">
        <f t="shared" si="29"/>
        <v>13.775862249506174</v>
      </c>
      <c r="AF181" s="9"/>
      <c r="AG181" s="22">
        <v>0.76110800000000001</v>
      </c>
      <c r="AH181" s="22">
        <v>20.450700000000001</v>
      </c>
      <c r="AI181" s="22">
        <v>-1.31561E-2</v>
      </c>
      <c r="AJ181" s="22">
        <v>171</v>
      </c>
      <c r="AK181" s="22">
        <v>0.76080300000000001</v>
      </c>
      <c r="AL181">
        <f t="shared" si="30"/>
        <v>16.2420987654321</v>
      </c>
      <c r="AM181">
        <f t="shared" si="31"/>
        <v>12.361991307160496</v>
      </c>
      <c r="AP181" s="9"/>
      <c r="AQ181" s="22">
        <v>0.85891700000000004</v>
      </c>
      <c r="AR181" s="22">
        <v>25.786899999999999</v>
      </c>
      <c r="AS181" s="22">
        <v>-1.30463E-2</v>
      </c>
      <c r="AT181" s="22">
        <v>171</v>
      </c>
      <c r="AU181" s="22">
        <v>0.85784899999999997</v>
      </c>
      <c r="AV181">
        <f t="shared" si="32"/>
        <v>16.106543209876545</v>
      </c>
      <c r="AW181">
        <f t="shared" si="33"/>
        <v>13.834183774197532</v>
      </c>
      <c r="AX181" s="9"/>
      <c r="AY181" s="22">
        <v>0.76110800000000001</v>
      </c>
      <c r="AZ181" s="22">
        <v>29.445</v>
      </c>
      <c r="BA181" s="22">
        <v>-1.31775E-2</v>
      </c>
      <c r="BB181" s="22">
        <v>171</v>
      </c>
      <c r="BC181" s="22">
        <v>0.76049800000000001</v>
      </c>
      <c r="BD181">
        <f t="shared" si="34"/>
        <v>16.268518518518519</v>
      </c>
      <c r="BE181">
        <f t="shared" si="35"/>
        <v>12.382099592592594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7.7925500000000003</v>
      </c>
      <c r="I182" s="22">
        <v>-1.2533600000000001E-2</v>
      </c>
      <c r="J182" s="22">
        <v>172</v>
      </c>
      <c r="K182" s="22">
        <v>0.852966</v>
      </c>
      <c r="L182">
        <f t="shared" si="24"/>
        <v>15.473580246913581</v>
      </c>
      <c r="M182">
        <f t="shared" si="25"/>
        <v>13.212611648395063</v>
      </c>
      <c r="N182" s="9"/>
      <c r="O182" s="22">
        <v>0.76614400000000005</v>
      </c>
      <c r="P182" s="22">
        <v>11.4506</v>
      </c>
      <c r="Q182" s="22">
        <v>-1.30157E-2</v>
      </c>
      <c r="R182" s="22">
        <v>172</v>
      </c>
      <c r="S182" s="22">
        <v>0.76538099999999998</v>
      </c>
      <c r="T182">
        <f t="shared" si="26"/>
        <v>16.068765432098765</v>
      </c>
      <c r="U182">
        <f t="shared" si="27"/>
        <v>12.310988223209877</v>
      </c>
      <c r="X182" s="9"/>
      <c r="Y182" s="22">
        <v>0.85388200000000003</v>
      </c>
      <c r="Z182" s="22">
        <v>16.802800000000001</v>
      </c>
      <c r="AA182" s="22">
        <v>-1.3003499999999999E-2</v>
      </c>
      <c r="AB182" s="22">
        <v>172</v>
      </c>
      <c r="AC182" s="22">
        <v>0.852661</v>
      </c>
      <c r="AD182">
        <f t="shared" si="28"/>
        <v>16.0537037037037</v>
      </c>
      <c r="AE182">
        <f t="shared" si="29"/>
        <v>13.707968625925924</v>
      </c>
      <c r="AF182" s="9"/>
      <c r="AG182" s="22">
        <v>0.76614400000000005</v>
      </c>
      <c r="AH182" s="22">
        <v>20.460799999999999</v>
      </c>
      <c r="AI182" s="22">
        <v>-1.3153099999999999E-2</v>
      </c>
      <c r="AJ182" s="22">
        <v>172</v>
      </c>
      <c r="AK182" s="22">
        <v>0.76538099999999998</v>
      </c>
      <c r="AL182">
        <f t="shared" si="30"/>
        <v>16.238395061728394</v>
      </c>
      <c r="AM182">
        <f t="shared" si="31"/>
        <v>12.440948946172838</v>
      </c>
      <c r="AP182" s="9"/>
      <c r="AQ182" s="22">
        <v>0.85388200000000003</v>
      </c>
      <c r="AR182" s="22">
        <v>25.797000000000001</v>
      </c>
      <c r="AS182" s="22">
        <v>-1.30554E-2</v>
      </c>
      <c r="AT182" s="22">
        <v>172</v>
      </c>
      <c r="AU182" s="22">
        <v>0.853271</v>
      </c>
      <c r="AV182">
        <f t="shared" si="32"/>
        <v>16.117777777777775</v>
      </c>
      <c r="AW182">
        <f t="shared" si="33"/>
        <v>13.762680324444442</v>
      </c>
      <c r="AX182" s="9"/>
      <c r="AY182" s="22">
        <v>0.76614400000000005</v>
      </c>
      <c r="AZ182" s="22">
        <v>29.454999999999998</v>
      </c>
      <c r="BA182" s="22">
        <v>-1.31714E-2</v>
      </c>
      <c r="BB182" s="22">
        <v>172</v>
      </c>
      <c r="BC182" s="22">
        <v>0.76568599999999998</v>
      </c>
      <c r="BD182">
        <f t="shared" si="34"/>
        <v>16.260987654320989</v>
      </c>
      <c r="BE182">
        <f t="shared" si="35"/>
        <v>12.458258125432101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7.8026200000000001</v>
      </c>
      <c r="I183" s="22">
        <v>-1.2545799999999999E-2</v>
      </c>
      <c r="J183" s="22">
        <v>173</v>
      </c>
      <c r="K183" s="22">
        <v>0.84808300000000003</v>
      </c>
      <c r="L183">
        <f t="shared" si="24"/>
        <v>15.48864197530864</v>
      </c>
      <c r="M183">
        <f t="shared" si="25"/>
        <v>13.147471786172838</v>
      </c>
      <c r="N183" s="9"/>
      <c r="O183" s="22">
        <v>0.77117899999999995</v>
      </c>
      <c r="P183" s="22">
        <v>11.460699999999999</v>
      </c>
      <c r="Q183" s="22">
        <v>-1.30127E-2</v>
      </c>
      <c r="R183" s="22">
        <v>173</v>
      </c>
      <c r="S183" s="22">
        <v>0.76995800000000003</v>
      </c>
      <c r="T183">
        <f t="shared" si="26"/>
        <v>16.065061728395062</v>
      </c>
      <c r="U183">
        <f t="shared" si="27"/>
        <v>12.389038238641975</v>
      </c>
      <c r="X183" s="9"/>
      <c r="Y183" s="22">
        <v>0.84884599999999999</v>
      </c>
      <c r="Z183" s="22">
        <v>16.812799999999999</v>
      </c>
      <c r="AA183" s="22">
        <v>-1.30096E-2</v>
      </c>
      <c r="AB183" s="22">
        <v>173</v>
      </c>
      <c r="AC183" s="22">
        <v>0.84777800000000003</v>
      </c>
      <c r="AD183">
        <f t="shared" si="28"/>
        <v>16.061234567901234</v>
      </c>
      <c r="AE183">
        <f t="shared" si="29"/>
        <v>13.63351471802469</v>
      </c>
      <c r="AF183" s="9"/>
      <c r="AG183" s="22">
        <v>0.77117899999999995</v>
      </c>
      <c r="AH183" s="22">
        <v>20.4709</v>
      </c>
      <c r="AI183" s="22">
        <v>-1.31378E-2</v>
      </c>
      <c r="AJ183" s="22">
        <v>173</v>
      </c>
      <c r="AK183" s="22">
        <v>0.77056899999999995</v>
      </c>
      <c r="AL183">
        <f t="shared" si="30"/>
        <v>16.219506172839505</v>
      </c>
      <c r="AM183">
        <f t="shared" si="31"/>
        <v>12.508142550864196</v>
      </c>
      <c r="AP183" s="9"/>
      <c r="AQ183" s="22">
        <v>0.84884599999999999</v>
      </c>
      <c r="AR183" s="22">
        <v>25.807099999999998</v>
      </c>
      <c r="AS183" s="22">
        <v>-1.3064600000000001E-2</v>
      </c>
      <c r="AT183" s="22">
        <v>173</v>
      </c>
      <c r="AU183" s="22">
        <v>0.84808300000000003</v>
      </c>
      <c r="AV183">
        <f t="shared" si="32"/>
        <v>16.129135802469136</v>
      </c>
      <c r="AW183">
        <f t="shared" si="33"/>
        <v>13.691152409382717</v>
      </c>
      <c r="AX183" s="9"/>
      <c r="AY183" s="22">
        <v>0.77117899999999995</v>
      </c>
      <c r="AZ183" s="22">
        <v>29.4651</v>
      </c>
      <c r="BA183" s="22">
        <v>-1.3159199999999999E-2</v>
      </c>
      <c r="BB183" s="22">
        <v>173</v>
      </c>
      <c r="BC183" s="22">
        <v>0.76995800000000003</v>
      </c>
      <c r="BD183">
        <f t="shared" si="34"/>
        <v>16.245925925925924</v>
      </c>
      <c r="BE183">
        <f t="shared" si="35"/>
        <v>12.528516909629626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7.8126899999999999</v>
      </c>
      <c r="I184" s="22">
        <v>-1.25427E-2</v>
      </c>
      <c r="J184" s="22">
        <v>174</v>
      </c>
      <c r="K184" s="22">
        <v>0.84289599999999998</v>
      </c>
      <c r="L184">
        <f t="shared" si="24"/>
        <v>15.484814814814815</v>
      </c>
      <c r="M184">
        <f t="shared" si="25"/>
        <v>13.066257073703703</v>
      </c>
      <c r="N184" s="9"/>
      <c r="O184" s="22">
        <v>0.77621499999999999</v>
      </c>
      <c r="P184" s="22">
        <v>11.470700000000001</v>
      </c>
      <c r="Q184" s="22">
        <v>-1.30005E-2</v>
      </c>
      <c r="R184" s="22">
        <v>174</v>
      </c>
      <c r="S184" s="22">
        <v>0.775146</v>
      </c>
      <c r="T184">
        <f t="shared" si="26"/>
        <v>16.049999999999997</v>
      </c>
      <c r="U184">
        <f t="shared" si="27"/>
        <v>12.458250749999998</v>
      </c>
      <c r="X184" s="9"/>
      <c r="Y184" s="22">
        <v>0.84381099999999998</v>
      </c>
      <c r="Z184" s="22">
        <v>16.822900000000001</v>
      </c>
      <c r="AA184" s="22">
        <v>-1.3018800000000001E-2</v>
      </c>
      <c r="AB184" s="22">
        <v>174</v>
      </c>
      <c r="AC184" s="22">
        <v>0.84381099999999998</v>
      </c>
      <c r="AD184">
        <f t="shared" si="28"/>
        <v>16.072592592592592</v>
      </c>
      <c r="AE184">
        <f t="shared" si="29"/>
        <v>13.562230428148148</v>
      </c>
      <c r="AF184" s="9"/>
      <c r="AG184" s="22">
        <v>0.77621499999999999</v>
      </c>
      <c r="AH184" s="22">
        <v>20.480899999999998</v>
      </c>
      <c r="AI184" s="22">
        <v>-1.3125599999999999E-2</v>
      </c>
      <c r="AJ184" s="22">
        <v>174</v>
      </c>
      <c r="AK184" s="22">
        <v>0.77545200000000003</v>
      </c>
      <c r="AL184">
        <f t="shared" si="30"/>
        <v>16.204444444444441</v>
      </c>
      <c r="AM184">
        <f t="shared" si="31"/>
        <v>12.578132844444442</v>
      </c>
      <c r="AP184" s="9"/>
      <c r="AQ184" s="22">
        <v>0.84381099999999998</v>
      </c>
      <c r="AR184" s="22">
        <v>25.8171</v>
      </c>
      <c r="AS184" s="22">
        <v>-1.3070699999999999E-2</v>
      </c>
      <c r="AT184" s="22">
        <v>174</v>
      </c>
      <c r="AU184" s="22">
        <v>0.84289599999999998</v>
      </c>
      <c r="AV184">
        <f t="shared" si="32"/>
        <v>16.136666666666663</v>
      </c>
      <c r="AW184">
        <f t="shared" si="33"/>
        <v>13.616296836666663</v>
      </c>
      <c r="AX184" s="9"/>
      <c r="AY184" s="22">
        <v>0.77621499999999999</v>
      </c>
      <c r="AZ184" s="22">
        <v>29.475200000000001</v>
      </c>
      <c r="BA184" s="22">
        <v>-1.3147000000000001E-2</v>
      </c>
      <c r="BB184" s="22">
        <v>174</v>
      </c>
      <c r="BC184" s="22">
        <v>0.774841</v>
      </c>
      <c r="BD184">
        <f t="shared" si="34"/>
        <v>16.230864197530863</v>
      </c>
      <c r="BE184">
        <f t="shared" si="35"/>
        <v>12.598640253086419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7.8227599999999997</v>
      </c>
      <c r="I185" s="22">
        <v>-1.2548800000000001E-2</v>
      </c>
      <c r="J185" s="22">
        <v>175</v>
      </c>
      <c r="K185" s="22">
        <v>0.83801300000000001</v>
      </c>
      <c r="L185">
        <f t="shared" si="24"/>
        <v>15.492345679012345</v>
      </c>
      <c r="M185">
        <f t="shared" si="25"/>
        <v>12.994607739259258</v>
      </c>
      <c r="N185" s="9"/>
      <c r="O185" s="22">
        <v>0.78125</v>
      </c>
      <c r="P185" s="22">
        <v>11.4808</v>
      </c>
      <c r="Q185" s="22">
        <v>-1.2988299999999999E-2</v>
      </c>
      <c r="R185" s="22">
        <v>175</v>
      </c>
      <c r="S185" s="22">
        <v>0.78033399999999997</v>
      </c>
      <c r="T185">
        <f t="shared" si="26"/>
        <v>16.034938271604936</v>
      </c>
      <c r="U185">
        <f t="shared" si="27"/>
        <v>12.527295524691356</v>
      </c>
      <c r="X185" s="9"/>
      <c r="Y185" s="22">
        <v>0.83877599999999997</v>
      </c>
      <c r="Z185" s="22">
        <v>16.832999999999998</v>
      </c>
      <c r="AA185" s="22">
        <v>-1.3021899999999999E-2</v>
      </c>
      <c r="AB185" s="22">
        <v>175</v>
      </c>
      <c r="AC185" s="22">
        <v>0.83770800000000001</v>
      </c>
      <c r="AD185">
        <f t="shared" si="28"/>
        <v>16.076419753086416</v>
      </c>
      <c r="AE185">
        <f t="shared" si="29"/>
        <v>13.48451505481481</v>
      </c>
      <c r="AF185" s="9"/>
      <c r="AG185" s="22">
        <v>0.78125</v>
      </c>
      <c r="AH185" s="22">
        <v>20.491</v>
      </c>
      <c r="AI185" s="22">
        <v>-1.31165E-2</v>
      </c>
      <c r="AJ185" s="22">
        <v>175</v>
      </c>
      <c r="AK185" s="22">
        <v>0.78033399999999997</v>
      </c>
      <c r="AL185">
        <f t="shared" si="30"/>
        <v>16.193209876543211</v>
      </c>
      <c r="AM185">
        <f t="shared" si="31"/>
        <v>12.650945216049383</v>
      </c>
      <c r="AP185" s="9"/>
      <c r="AQ185" s="22">
        <v>0.83877599999999997</v>
      </c>
      <c r="AR185" s="22">
        <v>25.827200000000001</v>
      </c>
      <c r="AS185" s="22">
        <v>-1.3073700000000001E-2</v>
      </c>
      <c r="AT185" s="22">
        <v>175</v>
      </c>
      <c r="AU185" s="22">
        <v>0.83770800000000001</v>
      </c>
      <c r="AV185">
        <f t="shared" si="32"/>
        <v>16.14037037037037</v>
      </c>
      <c r="AW185">
        <f t="shared" si="33"/>
        <v>13.538155297777777</v>
      </c>
      <c r="AX185" s="9"/>
      <c r="AY185" s="22">
        <v>0.78125</v>
      </c>
      <c r="AZ185" s="22">
        <v>29.485199999999999</v>
      </c>
      <c r="BA185" s="22">
        <v>-1.31378E-2</v>
      </c>
      <c r="BB185" s="22">
        <v>175</v>
      </c>
      <c r="BC185" s="22">
        <v>0.78033399999999997</v>
      </c>
      <c r="BD185">
        <f t="shared" si="34"/>
        <v>16.219506172839505</v>
      </c>
      <c r="BE185">
        <f t="shared" si="35"/>
        <v>12.671489197530864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7.8328300000000004</v>
      </c>
      <c r="I186" s="22">
        <v>-1.2558E-2</v>
      </c>
      <c r="J186" s="22">
        <v>176</v>
      </c>
      <c r="K186" s="22">
        <v>0.83313000000000004</v>
      </c>
      <c r="L186">
        <f t="shared" si="24"/>
        <v>15.503703703703701</v>
      </c>
      <c r="M186">
        <f t="shared" si="25"/>
        <v>12.926057925925925</v>
      </c>
      <c r="N186" s="9"/>
      <c r="O186" s="22">
        <v>0.78628500000000001</v>
      </c>
      <c r="P186" s="22">
        <v>11.4909</v>
      </c>
      <c r="Q186" s="22">
        <v>-1.2976100000000001E-2</v>
      </c>
      <c r="R186" s="22">
        <v>176</v>
      </c>
      <c r="S186" s="22">
        <v>0.78491200000000005</v>
      </c>
      <c r="T186">
        <f t="shared" si="26"/>
        <v>16.019876543209875</v>
      </c>
      <c r="U186">
        <f t="shared" si="27"/>
        <v>12.596188627777776</v>
      </c>
      <c r="X186" s="9"/>
      <c r="Y186" s="22">
        <v>0.83374000000000004</v>
      </c>
      <c r="Z186" s="22">
        <v>16.843</v>
      </c>
      <c r="AA186" s="22">
        <v>-1.3018800000000001E-2</v>
      </c>
      <c r="AB186" s="22">
        <v>176</v>
      </c>
      <c r="AC186" s="22">
        <v>0.83313000000000004</v>
      </c>
      <c r="AD186">
        <f t="shared" si="28"/>
        <v>16.072592592592592</v>
      </c>
      <c r="AE186">
        <f t="shared" si="29"/>
        <v>13.400363348148149</v>
      </c>
      <c r="AF186" s="9"/>
      <c r="AG186" s="22">
        <v>0.78628500000000001</v>
      </c>
      <c r="AH186" s="22">
        <v>20.501100000000001</v>
      </c>
      <c r="AI186" s="22">
        <v>-1.30981E-2</v>
      </c>
      <c r="AJ186" s="22">
        <v>176</v>
      </c>
      <c r="AK186" s="22">
        <v>0.78521700000000005</v>
      </c>
      <c r="AL186">
        <f t="shared" si="30"/>
        <v>16.170493827160495</v>
      </c>
      <c r="AM186">
        <f t="shared" si="31"/>
        <v>12.714616738888891</v>
      </c>
      <c r="AP186" s="9"/>
      <c r="AQ186" s="22">
        <v>0.83374000000000004</v>
      </c>
      <c r="AR186" s="22">
        <v>25.837299999999999</v>
      </c>
      <c r="AS186" s="22">
        <v>-1.30768E-2</v>
      </c>
      <c r="AT186" s="22">
        <v>176</v>
      </c>
      <c r="AU186" s="22">
        <v>0.83313000000000004</v>
      </c>
      <c r="AV186">
        <f t="shared" si="32"/>
        <v>16.144197530864194</v>
      </c>
      <c r="AW186">
        <f t="shared" si="33"/>
        <v>13.460063249382713</v>
      </c>
      <c r="AX186" s="9"/>
      <c r="AY186" s="22">
        <v>0.78628500000000001</v>
      </c>
      <c r="AZ186" s="22">
        <v>29.4953</v>
      </c>
      <c r="BA186" s="22">
        <v>-1.3119499999999999E-2</v>
      </c>
      <c r="BB186" s="22">
        <v>176</v>
      </c>
      <c r="BC186" s="22">
        <v>0.78552200000000005</v>
      </c>
      <c r="BD186">
        <f t="shared" si="34"/>
        <v>16.19691358024691</v>
      </c>
      <c r="BE186">
        <f t="shared" si="35"/>
        <v>12.735390194444442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7.8429099999999998</v>
      </c>
      <c r="I187" s="22">
        <v>-1.25641E-2</v>
      </c>
      <c r="J187" s="22">
        <v>177</v>
      </c>
      <c r="K187" s="22">
        <v>0.82763699999999996</v>
      </c>
      <c r="L187">
        <f t="shared" si="24"/>
        <v>15.511234567901234</v>
      </c>
      <c r="M187">
        <f t="shared" si="25"/>
        <v>12.854237642592592</v>
      </c>
      <c r="N187" s="9"/>
      <c r="O187" s="22">
        <v>0.79132100000000005</v>
      </c>
      <c r="P187" s="22">
        <v>11.500999999999999</v>
      </c>
      <c r="Q187" s="22">
        <v>-1.2976100000000001E-2</v>
      </c>
      <c r="R187" s="22">
        <v>177</v>
      </c>
      <c r="S187" s="22">
        <v>0.79010000000000002</v>
      </c>
      <c r="T187">
        <f t="shared" si="26"/>
        <v>16.019876543209875</v>
      </c>
      <c r="U187">
        <f t="shared" si="27"/>
        <v>12.676864726049383</v>
      </c>
      <c r="X187" s="9"/>
      <c r="Y187" s="22">
        <v>0.82870500000000002</v>
      </c>
      <c r="Z187" s="22">
        <v>16.853100000000001</v>
      </c>
      <c r="AA187" s="22">
        <v>-1.30157E-2</v>
      </c>
      <c r="AB187" s="22">
        <v>177</v>
      </c>
      <c r="AC187" s="22">
        <v>0.82763699999999996</v>
      </c>
      <c r="AD187">
        <f t="shared" si="28"/>
        <v>16.068765432098765</v>
      </c>
      <c r="AE187">
        <f t="shared" si="29"/>
        <v>13.316266257407408</v>
      </c>
      <c r="AF187" s="9"/>
      <c r="AG187" s="22">
        <v>0.79132100000000005</v>
      </c>
      <c r="AH187" s="22">
        <v>20.511199999999999</v>
      </c>
      <c r="AI187" s="22">
        <v>-1.3089E-2</v>
      </c>
      <c r="AJ187" s="22">
        <v>177</v>
      </c>
      <c r="AK187" s="22">
        <v>0.79010000000000002</v>
      </c>
      <c r="AL187">
        <f t="shared" si="30"/>
        <v>16.159259259259258</v>
      </c>
      <c r="AM187">
        <f t="shared" si="31"/>
        <v>12.787161196296296</v>
      </c>
      <c r="AP187" s="9"/>
      <c r="AQ187" s="22">
        <v>0.82870500000000002</v>
      </c>
      <c r="AR187" s="22">
        <v>25.847300000000001</v>
      </c>
      <c r="AS187" s="22">
        <v>-1.30829E-2</v>
      </c>
      <c r="AT187" s="22">
        <v>177</v>
      </c>
      <c r="AU187" s="22">
        <v>0.82763699999999996</v>
      </c>
      <c r="AV187">
        <f t="shared" si="32"/>
        <v>16.151728395061728</v>
      </c>
      <c r="AW187">
        <f t="shared" si="33"/>
        <v>13.38501807962963</v>
      </c>
      <c r="AX187" s="9"/>
      <c r="AY187" s="22">
        <v>0.79132100000000005</v>
      </c>
      <c r="AZ187" s="22">
        <v>29.505400000000002</v>
      </c>
      <c r="BA187" s="22">
        <v>-1.3113400000000001E-2</v>
      </c>
      <c r="BB187" s="22">
        <v>177</v>
      </c>
      <c r="BC187" s="22">
        <v>0.79010000000000002</v>
      </c>
      <c r="BD187">
        <f t="shared" si="34"/>
        <v>16.18938271604938</v>
      </c>
      <c r="BE187">
        <f t="shared" si="35"/>
        <v>12.810998520246912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7.8529799999999996</v>
      </c>
      <c r="I188" s="22">
        <v>-1.25702E-2</v>
      </c>
      <c r="J188" s="22">
        <v>178</v>
      </c>
      <c r="K188" s="22">
        <v>0.82244899999999999</v>
      </c>
      <c r="L188">
        <f t="shared" si="24"/>
        <v>15.518765432098766</v>
      </c>
      <c r="M188">
        <f t="shared" si="25"/>
        <v>12.782326004691358</v>
      </c>
      <c r="N188" s="9"/>
      <c r="O188" s="22">
        <v>0.79635599999999995</v>
      </c>
      <c r="P188" s="22">
        <v>11.510999999999999</v>
      </c>
      <c r="Q188" s="22">
        <v>-1.2976100000000001E-2</v>
      </c>
      <c r="R188" s="22">
        <v>178</v>
      </c>
      <c r="S188" s="22">
        <v>0.794983</v>
      </c>
      <c r="T188">
        <f t="shared" si="26"/>
        <v>16.019876543209875</v>
      </c>
      <c r="U188">
        <f t="shared" si="27"/>
        <v>12.757524804444444</v>
      </c>
      <c r="X188" s="9"/>
      <c r="Y188" s="22">
        <v>0.82366899999999998</v>
      </c>
      <c r="Z188" s="22">
        <v>16.863199999999999</v>
      </c>
      <c r="AA188" s="22">
        <v>-1.30096E-2</v>
      </c>
      <c r="AB188" s="22">
        <v>178</v>
      </c>
      <c r="AC188" s="22">
        <v>0.82305899999999999</v>
      </c>
      <c r="AD188">
        <f t="shared" si="28"/>
        <v>16.061234567901234</v>
      </c>
      <c r="AE188">
        <f t="shared" si="29"/>
        <v>13.229141015308642</v>
      </c>
      <c r="AF188" s="9"/>
      <c r="AG188" s="22">
        <v>0.79635599999999995</v>
      </c>
      <c r="AH188" s="22">
        <v>20.5212</v>
      </c>
      <c r="AI188" s="22">
        <v>-1.30768E-2</v>
      </c>
      <c r="AJ188" s="22">
        <v>178</v>
      </c>
      <c r="AK188" s="22">
        <v>0.79528799999999999</v>
      </c>
      <c r="AL188">
        <f t="shared" si="30"/>
        <v>16.144197530864194</v>
      </c>
      <c r="AM188">
        <f t="shared" si="31"/>
        <v>12.856528568888885</v>
      </c>
      <c r="AP188" s="9"/>
      <c r="AQ188" s="22">
        <v>0.82366899999999998</v>
      </c>
      <c r="AR188" s="22">
        <v>25.857399999999998</v>
      </c>
      <c r="AS188" s="22">
        <v>-1.30981E-2</v>
      </c>
      <c r="AT188" s="22">
        <v>178</v>
      </c>
      <c r="AU188" s="22">
        <v>0.82275399999999999</v>
      </c>
      <c r="AV188">
        <f t="shared" si="32"/>
        <v>16.170493827160495</v>
      </c>
      <c r="AW188">
        <f t="shared" si="33"/>
        <v>13.319134480123457</v>
      </c>
      <c r="AX188" s="9"/>
      <c r="AY188" s="22">
        <v>0.79635599999999995</v>
      </c>
      <c r="AZ188" s="22">
        <v>29.515499999999999</v>
      </c>
      <c r="BA188" s="22">
        <v>-1.3107300000000001E-2</v>
      </c>
      <c r="BB188" s="22">
        <v>178</v>
      </c>
      <c r="BC188" s="22">
        <v>0.794983</v>
      </c>
      <c r="BD188">
        <f t="shared" si="34"/>
        <v>16.181851851851849</v>
      </c>
      <c r="BE188">
        <f t="shared" si="35"/>
        <v>12.886514813333331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7.8630500000000003</v>
      </c>
      <c r="I189" s="22">
        <v>-1.2567099999999999E-2</v>
      </c>
      <c r="J189" s="22">
        <v>179</v>
      </c>
      <c r="K189" s="22">
        <v>0.81695600000000002</v>
      </c>
      <c r="L189">
        <f t="shared" si="24"/>
        <v>15.514938271604937</v>
      </c>
      <c r="M189">
        <f t="shared" si="25"/>
        <v>12.701055977037035</v>
      </c>
      <c r="N189" s="9"/>
      <c r="O189" s="22">
        <v>0.80139199999999999</v>
      </c>
      <c r="P189" s="22">
        <v>11.521100000000001</v>
      </c>
      <c r="Q189" s="22">
        <v>-1.2976100000000001E-2</v>
      </c>
      <c r="R189" s="22">
        <v>179</v>
      </c>
      <c r="S189" s="22">
        <v>0.80078099999999997</v>
      </c>
      <c r="T189">
        <f t="shared" si="26"/>
        <v>16.019876543209875</v>
      </c>
      <c r="U189">
        <f t="shared" si="27"/>
        <v>12.838200902716048</v>
      </c>
      <c r="X189" s="9"/>
      <c r="Y189" s="22">
        <v>0.81863399999999997</v>
      </c>
      <c r="Z189" s="22">
        <v>16.8733</v>
      </c>
      <c r="AA189" s="22">
        <v>-1.30066E-2</v>
      </c>
      <c r="AB189" s="22">
        <v>179</v>
      </c>
      <c r="AC189" s="22">
        <v>0.81756600000000001</v>
      </c>
      <c r="AD189">
        <f t="shared" si="28"/>
        <v>16.057530864197531</v>
      </c>
      <c r="AE189">
        <f t="shared" si="29"/>
        <v>13.145240721481482</v>
      </c>
      <c r="AF189" s="9"/>
      <c r="AG189" s="22">
        <v>0.80139199999999999</v>
      </c>
      <c r="AH189" s="22">
        <v>20.531300000000002</v>
      </c>
      <c r="AI189" s="22">
        <v>-1.3070699999999999E-2</v>
      </c>
      <c r="AJ189" s="22">
        <v>179</v>
      </c>
      <c r="AK189" s="22">
        <v>0.80108599999999996</v>
      </c>
      <c r="AL189">
        <f t="shared" si="30"/>
        <v>16.136666666666663</v>
      </c>
      <c r="AM189">
        <f t="shared" si="31"/>
        <v>12.93179557333333</v>
      </c>
      <c r="AP189" s="9"/>
      <c r="AQ189" s="22">
        <v>0.81863399999999997</v>
      </c>
      <c r="AR189" s="22">
        <v>25.8675</v>
      </c>
      <c r="AS189" s="22">
        <v>-1.31012E-2</v>
      </c>
      <c r="AT189" s="22">
        <v>179</v>
      </c>
      <c r="AU189" s="22">
        <v>0.81817600000000001</v>
      </c>
      <c r="AV189">
        <f t="shared" si="32"/>
        <v>16.174320987654323</v>
      </c>
      <c r="AW189">
        <f t="shared" si="33"/>
        <v>13.240849087407408</v>
      </c>
      <c r="AX189" s="9"/>
      <c r="AY189" s="22">
        <v>0.80139199999999999</v>
      </c>
      <c r="AZ189" s="22">
        <v>29.525500000000001</v>
      </c>
      <c r="BA189" s="22">
        <v>-1.31012E-2</v>
      </c>
      <c r="BB189" s="22">
        <v>179</v>
      </c>
      <c r="BC189" s="22">
        <v>0.80047599999999997</v>
      </c>
      <c r="BD189">
        <f t="shared" si="34"/>
        <v>16.174320987654323</v>
      </c>
      <c r="BE189">
        <f t="shared" si="35"/>
        <v>12.961971444938273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7.8731200000000001</v>
      </c>
      <c r="I190" s="22">
        <v>-1.25702E-2</v>
      </c>
      <c r="J190" s="22">
        <v>180</v>
      </c>
      <c r="K190" s="22">
        <v>0.81237800000000004</v>
      </c>
      <c r="L190">
        <f t="shared" si="24"/>
        <v>15.518765432098766</v>
      </c>
      <c r="M190">
        <f t="shared" si="25"/>
        <v>12.626052036790123</v>
      </c>
      <c r="N190" s="9"/>
      <c r="O190" s="22">
        <v>0.806427</v>
      </c>
      <c r="P190" s="22">
        <v>11.5312</v>
      </c>
      <c r="Q190" s="22">
        <v>-1.2970000000000001E-2</v>
      </c>
      <c r="R190" s="22">
        <v>180</v>
      </c>
      <c r="S190" s="22">
        <v>0.80535900000000005</v>
      </c>
      <c r="T190">
        <f t="shared" si="26"/>
        <v>16.012345679012348</v>
      </c>
      <c r="U190">
        <f t="shared" si="27"/>
        <v>12.912787888888891</v>
      </c>
      <c r="X190" s="9"/>
      <c r="Y190" s="22">
        <v>0.81359899999999996</v>
      </c>
      <c r="Z190" s="22">
        <v>16.883299999999998</v>
      </c>
      <c r="AA190" s="22">
        <v>-1.30157E-2</v>
      </c>
      <c r="AB190" s="22">
        <v>180</v>
      </c>
      <c r="AC190" s="22">
        <v>0.81237800000000004</v>
      </c>
      <c r="AD190">
        <f t="shared" si="28"/>
        <v>16.068765432098765</v>
      </c>
      <c r="AE190">
        <f t="shared" si="29"/>
        <v>13.073531486790122</v>
      </c>
      <c r="AF190" s="9"/>
      <c r="AG190" s="22">
        <v>0.806427</v>
      </c>
      <c r="AH190" s="22">
        <v>20.541399999999999</v>
      </c>
      <c r="AI190" s="22">
        <v>-1.3070699999999999E-2</v>
      </c>
      <c r="AJ190" s="22">
        <v>180</v>
      </c>
      <c r="AK190" s="22">
        <v>0.80566400000000005</v>
      </c>
      <c r="AL190">
        <f t="shared" si="30"/>
        <v>16.136666666666663</v>
      </c>
      <c r="AM190">
        <f t="shared" si="31"/>
        <v>13.013043689999996</v>
      </c>
      <c r="AP190" s="9"/>
      <c r="AQ190" s="22">
        <v>0.81359899999999996</v>
      </c>
      <c r="AR190" s="22">
        <v>25.877500000000001</v>
      </c>
      <c r="AS190" s="22">
        <v>-1.3107300000000001E-2</v>
      </c>
      <c r="AT190" s="22">
        <v>180</v>
      </c>
      <c r="AU190" s="22">
        <v>0.81298800000000004</v>
      </c>
      <c r="AV190">
        <f t="shared" si="32"/>
        <v>16.181851851851849</v>
      </c>
      <c r="AW190">
        <f t="shared" si="33"/>
        <v>13.165538484814812</v>
      </c>
      <c r="AX190" s="9"/>
      <c r="AY190" s="22">
        <v>0.806427</v>
      </c>
      <c r="AZ190" s="22">
        <v>29.535599999999999</v>
      </c>
      <c r="BA190" s="22">
        <v>-1.30951E-2</v>
      </c>
      <c r="BB190" s="22">
        <v>180</v>
      </c>
      <c r="BC190" s="22">
        <v>0.80505400000000005</v>
      </c>
      <c r="BD190">
        <f t="shared" si="34"/>
        <v>16.166790123456789</v>
      </c>
      <c r="BE190">
        <f t="shared" si="35"/>
        <v>13.037336058888888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7.8831899999999999</v>
      </c>
      <c r="I191" s="22">
        <v>-1.2567099999999999E-2</v>
      </c>
      <c r="J191" s="22">
        <v>181</v>
      </c>
      <c r="K191" s="22">
        <v>0.80779999999999996</v>
      </c>
      <c r="L191">
        <f t="shared" si="24"/>
        <v>15.514938271604937</v>
      </c>
      <c r="M191">
        <f t="shared" si="25"/>
        <v>12.544805033703703</v>
      </c>
      <c r="N191" s="9"/>
      <c r="O191" s="22">
        <v>0.81146200000000002</v>
      </c>
      <c r="P191" s="22">
        <v>11.5412</v>
      </c>
      <c r="Q191" s="22">
        <v>-1.29517E-2</v>
      </c>
      <c r="R191" s="22">
        <v>181</v>
      </c>
      <c r="S191" s="22">
        <v>0.81054700000000002</v>
      </c>
      <c r="T191">
        <f t="shared" si="26"/>
        <v>15.989753086419752</v>
      </c>
      <c r="U191">
        <f t="shared" si="27"/>
        <v>12.975077019012344</v>
      </c>
      <c r="X191" s="9"/>
      <c r="Y191" s="22">
        <v>0.80856300000000003</v>
      </c>
      <c r="Z191" s="22">
        <v>16.8934</v>
      </c>
      <c r="AA191" s="22">
        <v>-1.3018800000000001E-2</v>
      </c>
      <c r="AB191" s="22">
        <v>181</v>
      </c>
      <c r="AC191" s="22">
        <v>0.80810499999999996</v>
      </c>
      <c r="AD191">
        <f t="shared" si="28"/>
        <v>16.072592592592592</v>
      </c>
      <c r="AE191">
        <f t="shared" si="29"/>
        <v>12.995703684444445</v>
      </c>
      <c r="AF191" s="9"/>
      <c r="AG191" s="22">
        <v>0.81146200000000002</v>
      </c>
      <c r="AH191" s="22">
        <v>20.551400000000001</v>
      </c>
      <c r="AI191" s="22">
        <v>-1.3070699999999999E-2</v>
      </c>
      <c r="AJ191" s="22">
        <v>181</v>
      </c>
      <c r="AK191" s="22">
        <v>0.81085200000000002</v>
      </c>
      <c r="AL191">
        <f t="shared" si="30"/>
        <v>16.136666666666663</v>
      </c>
      <c r="AM191">
        <f t="shared" si="31"/>
        <v>13.094291806666664</v>
      </c>
      <c r="AP191" s="9"/>
      <c r="AQ191" s="22">
        <v>0.80856300000000003</v>
      </c>
      <c r="AR191" s="22">
        <v>25.887599999999999</v>
      </c>
      <c r="AS191" s="22">
        <v>-1.3119499999999999E-2</v>
      </c>
      <c r="AT191" s="22">
        <v>181</v>
      </c>
      <c r="AU191" s="22">
        <v>0.80810499999999996</v>
      </c>
      <c r="AV191">
        <f t="shared" si="32"/>
        <v>16.19691358024691</v>
      </c>
      <c r="AW191">
        <f t="shared" si="33"/>
        <v>13.096225035185183</v>
      </c>
      <c r="AX191" s="9"/>
      <c r="AY191" s="22">
        <v>0.81146200000000002</v>
      </c>
      <c r="AZ191" s="22">
        <v>29.5457</v>
      </c>
      <c r="BA191" s="22">
        <v>-1.3091999999999999E-2</v>
      </c>
      <c r="BB191" s="22">
        <v>181</v>
      </c>
      <c r="BC191" s="22">
        <v>0.81024200000000002</v>
      </c>
      <c r="BD191">
        <f t="shared" si="34"/>
        <v>16.162962962962961</v>
      </c>
      <c r="BE191">
        <f t="shared" si="35"/>
        <v>13.115630251851851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7.8932599999999997</v>
      </c>
      <c r="I192" s="22">
        <v>-1.2567099999999999E-2</v>
      </c>
      <c r="J192" s="22">
        <v>182</v>
      </c>
      <c r="K192" s="22">
        <v>0.80230699999999999</v>
      </c>
      <c r="L192">
        <f t="shared" si="24"/>
        <v>15.514938271604937</v>
      </c>
      <c r="M192">
        <f t="shared" si="25"/>
        <v>12.466687319506171</v>
      </c>
      <c r="N192" s="9"/>
      <c r="O192" s="22">
        <v>0.81649799999999995</v>
      </c>
      <c r="P192" s="22">
        <v>11.551299999999999</v>
      </c>
      <c r="Q192" s="22">
        <v>-1.29333E-2</v>
      </c>
      <c r="R192" s="22">
        <v>182</v>
      </c>
      <c r="S192" s="22">
        <v>0.81512499999999999</v>
      </c>
      <c r="T192">
        <f t="shared" si="26"/>
        <v>15.967037037037036</v>
      </c>
      <c r="U192">
        <f t="shared" si="27"/>
        <v>13.037053806666664</v>
      </c>
      <c r="X192" s="9"/>
      <c r="Y192" s="22">
        <v>0.80352800000000002</v>
      </c>
      <c r="Z192" s="22">
        <v>16.903500000000001</v>
      </c>
      <c r="AA192" s="22">
        <v>-1.3018800000000001E-2</v>
      </c>
      <c r="AB192" s="22">
        <v>182</v>
      </c>
      <c r="AC192" s="22">
        <v>0.80230699999999999</v>
      </c>
      <c r="AD192">
        <f t="shared" si="28"/>
        <v>16.072592592592592</v>
      </c>
      <c r="AE192">
        <f t="shared" si="29"/>
        <v>12.91477818074074</v>
      </c>
      <c r="AF192" s="9"/>
      <c r="AG192" s="22">
        <v>0.81649799999999995</v>
      </c>
      <c r="AH192" s="22">
        <v>20.561499999999999</v>
      </c>
      <c r="AI192" s="22">
        <v>-1.30615E-2</v>
      </c>
      <c r="AJ192" s="22">
        <v>182</v>
      </c>
      <c r="AK192" s="22">
        <v>0.81573499999999999</v>
      </c>
      <c r="AL192">
        <f t="shared" si="30"/>
        <v>16.125308641975309</v>
      </c>
      <c r="AM192">
        <f t="shared" si="31"/>
        <v>13.166282255555554</v>
      </c>
      <c r="AP192" s="9"/>
      <c r="AQ192" s="22">
        <v>0.80352800000000002</v>
      </c>
      <c r="AR192" s="22">
        <v>25.8977</v>
      </c>
      <c r="AS192" s="22">
        <v>-1.31287E-2</v>
      </c>
      <c r="AT192" s="22">
        <v>182</v>
      </c>
      <c r="AU192" s="22">
        <v>0.80261199999999999</v>
      </c>
      <c r="AV192">
        <f t="shared" si="32"/>
        <v>16.208271604938268</v>
      </c>
      <c r="AW192">
        <f t="shared" si="33"/>
        <v>13.023800066172837</v>
      </c>
      <c r="AX192" s="9"/>
      <c r="AY192" s="22">
        <v>0.81649799999999995</v>
      </c>
      <c r="AZ192" s="22">
        <v>29.555700000000002</v>
      </c>
      <c r="BA192" s="22">
        <v>-1.3079800000000001E-2</v>
      </c>
      <c r="BB192" s="22">
        <v>182</v>
      </c>
      <c r="BC192" s="22">
        <v>0.81512499999999999</v>
      </c>
      <c r="BD192">
        <f t="shared" si="34"/>
        <v>16.147901234567904</v>
      </c>
      <c r="BE192">
        <f t="shared" si="35"/>
        <v>13.184729062222223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7.9033300000000004</v>
      </c>
      <c r="I193" s="22">
        <v>-1.25793E-2</v>
      </c>
      <c r="J193" s="22">
        <v>183</v>
      </c>
      <c r="K193" s="22">
        <v>0.79742400000000002</v>
      </c>
      <c r="L193">
        <f t="shared" si="24"/>
        <v>15.53</v>
      </c>
      <c r="M193">
        <f t="shared" si="25"/>
        <v>12.400580759999999</v>
      </c>
      <c r="N193" s="9"/>
      <c r="O193" s="22">
        <v>0.82153299999999996</v>
      </c>
      <c r="P193" s="22">
        <v>11.561400000000001</v>
      </c>
      <c r="Q193" s="22">
        <v>-1.29272E-2</v>
      </c>
      <c r="R193" s="22">
        <v>183</v>
      </c>
      <c r="S193" s="22">
        <v>0.82061799999999996</v>
      </c>
      <c r="T193">
        <f t="shared" si="26"/>
        <v>15.959506172839506</v>
      </c>
      <c r="U193">
        <f t="shared" si="27"/>
        <v>13.111260984691357</v>
      </c>
      <c r="X193" s="9"/>
      <c r="Y193" s="22">
        <v>0.79849199999999998</v>
      </c>
      <c r="Z193" s="22">
        <v>16.913499999999999</v>
      </c>
      <c r="AA193" s="22">
        <v>-1.30127E-2</v>
      </c>
      <c r="AB193" s="22">
        <v>183</v>
      </c>
      <c r="AC193" s="22">
        <v>0.79772900000000002</v>
      </c>
      <c r="AD193">
        <f t="shared" si="28"/>
        <v>16.065061728395062</v>
      </c>
      <c r="AE193">
        <f t="shared" si="29"/>
        <v>12.827823269629629</v>
      </c>
      <c r="AF193" s="9"/>
      <c r="AG193" s="22">
        <v>0.82153299999999996</v>
      </c>
      <c r="AH193" s="22">
        <v>20.5716</v>
      </c>
      <c r="AI193" s="22">
        <v>-1.3058500000000001E-2</v>
      </c>
      <c r="AJ193" s="22">
        <v>183</v>
      </c>
      <c r="AK193" s="22">
        <v>0.82122799999999996</v>
      </c>
      <c r="AL193">
        <f t="shared" si="30"/>
        <v>16.121604938271602</v>
      </c>
      <c r="AM193">
        <f t="shared" si="31"/>
        <v>13.244430469753084</v>
      </c>
      <c r="AP193" s="9"/>
      <c r="AQ193" s="22">
        <v>0.79849199999999998</v>
      </c>
      <c r="AR193" s="22">
        <v>25.907800000000002</v>
      </c>
      <c r="AS193" s="22">
        <v>-1.31378E-2</v>
      </c>
      <c r="AT193" s="22">
        <v>183</v>
      </c>
      <c r="AU193" s="22">
        <v>0.79742400000000002</v>
      </c>
      <c r="AV193">
        <f t="shared" si="32"/>
        <v>16.219506172839505</v>
      </c>
      <c r="AW193">
        <f t="shared" si="33"/>
        <v>12.951145922962962</v>
      </c>
      <c r="AX193" s="9"/>
      <c r="AY193" s="22">
        <v>0.82153299999999996</v>
      </c>
      <c r="AZ193" s="22">
        <v>29.565799999999999</v>
      </c>
      <c r="BA193" s="22">
        <v>-1.3073700000000001E-2</v>
      </c>
      <c r="BB193" s="22">
        <v>183</v>
      </c>
      <c r="BC193" s="22">
        <v>0.82061799999999996</v>
      </c>
      <c r="BD193">
        <f t="shared" si="34"/>
        <v>16.14037037037037</v>
      </c>
      <c r="BE193">
        <f t="shared" si="35"/>
        <v>13.25984689148148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7.9134000000000002</v>
      </c>
      <c r="I194" s="22">
        <v>-1.26038E-2</v>
      </c>
      <c r="J194" s="22">
        <v>184</v>
      </c>
      <c r="K194" s="22">
        <v>0.79284699999999997</v>
      </c>
      <c r="L194">
        <f t="shared" si="24"/>
        <v>15.560246913580245</v>
      </c>
      <c r="M194">
        <f t="shared" si="25"/>
        <v>12.346386835308641</v>
      </c>
      <c r="N194" s="9"/>
      <c r="O194" s="22">
        <v>0.826569</v>
      </c>
      <c r="P194" s="22">
        <v>11.5715</v>
      </c>
      <c r="Q194" s="22">
        <v>-1.29181E-2</v>
      </c>
      <c r="R194" s="22">
        <v>184</v>
      </c>
      <c r="S194" s="22">
        <v>0.82519500000000001</v>
      </c>
      <c r="T194">
        <f t="shared" si="26"/>
        <v>15.94827160493827</v>
      </c>
      <c r="U194">
        <f t="shared" si="27"/>
        <v>13.18234691222222</v>
      </c>
      <c r="X194" s="9"/>
      <c r="Y194" s="22">
        <v>0.79345699999999997</v>
      </c>
      <c r="Z194" s="22">
        <v>16.9236</v>
      </c>
      <c r="AA194" s="22">
        <v>-1.30096E-2</v>
      </c>
      <c r="AB194" s="22">
        <v>184</v>
      </c>
      <c r="AC194" s="22">
        <v>0.79284699999999997</v>
      </c>
      <c r="AD194">
        <f t="shared" si="28"/>
        <v>16.061234567901234</v>
      </c>
      <c r="AE194">
        <f t="shared" si="29"/>
        <v>12.743898996543209</v>
      </c>
      <c r="AF194" s="9"/>
      <c r="AG194" s="22">
        <v>0.826569</v>
      </c>
      <c r="AH194" s="22">
        <v>20.581700000000001</v>
      </c>
      <c r="AI194" s="22">
        <v>-1.30524E-2</v>
      </c>
      <c r="AJ194" s="22">
        <v>184</v>
      </c>
      <c r="AK194" s="22">
        <v>0.82580600000000004</v>
      </c>
      <c r="AL194">
        <f t="shared" si="30"/>
        <v>16.114074074074072</v>
      </c>
      <c r="AM194">
        <f t="shared" si="31"/>
        <v>13.319394093333331</v>
      </c>
      <c r="AP194" s="9"/>
      <c r="AQ194" s="22">
        <v>0.79345699999999997</v>
      </c>
      <c r="AR194" s="22">
        <v>25.9178</v>
      </c>
      <c r="AS194" s="22">
        <v>-1.31378E-2</v>
      </c>
      <c r="AT194" s="22">
        <v>184</v>
      </c>
      <c r="AU194" s="22">
        <v>0.79223600000000005</v>
      </c>
      <c r="AV194">
        <f t="shared" si="32"/>
        <v>16.219506172839505</v>
      </c>
      <c r="AW194">
        <f t="shared" si="33"/>
        <v>12.869480709382715</v>
      </c>
      <c r="AX194" s="9"/>
      <c r="AY194" s="22">
        <v>0.826569</v>
      </c>
      <c r="AZ194" s="22">
        <v>29.575900000000001</v>
      </c>
      <c r="BA194" s="22">
        <v>-1.3064600000000001E-2</v>
      </c>
      <c r="BB194" s="22">
        <v>184</v>
      </c>
      <c r="BC194" s="22">
        <v>0.82580600000000004</v>
      </c>
      <c r="BD194">
        <f t="shared" si="34"/>
        <v>16.129135802469136</v>
      </c>
      <c r="BE194">
        <f t="shared" si="35"/>
        <v>13.331843651111111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7.92347</v>
      </c>
      <c r="I195" s="22">
        <v>-1.26251E-2</v>
      </c>
      <c r="J195" s="22">
        <v>185</v>
      </c>
      <c r="K195" s="22">
        <v>0.787964</v>
      </c>
      <c r="L195">
        <f t="shared" si="24"/>
        <v>15.586543209876544</v>
      </c>
      <c r="M195">
        <f t="shared" si="25"/>
        <v>12.288773570617284</v>
      </c>
      <c r="N195" s="9"/>
      <c r="O195" s="22">
        <v>0.83160400000000001</v>
      </c>
      <c r="P195" s="22">
        <v>11.5815</v>
      </c>
      <c r="Q195" s="22">
        <v>-1.2914999999999999E-2</v>
      </c>
      <c r="R195" s="22">
        <v>185</v>
      </c>
      <c r="S195" s="22">
        <v>0.83099400000000001</v>
      </c>
      <c r="T195">
        <f t="shared" si="26"/>
        <v>15.944444444444441</v>
      </c>
      <c r="U195">
        <f t="shared" si="27"/>
        <v>13.259463777777775</v>
      </c>
      <c r="X195" s="9"/>
      <c r="Y195" s="22">
        <v>0.78842199999999996</v>
      </c>
      <c r="Z195" s="22">
        <v>16.933700000000002</v>
      </c>
      <c r="AA195" s="22">
        <v>-1.3018800000000001E-2</v>
      </c>
      <c r="AB195" s="22">
        <v>185</v>
      </c>
      <c r="AC195" s="22">
        <v>0.78704799999999997</v>
      </c>
      <c r="AD195">
        <f t="shared" si="28"/>
        <v>16.072592592592592</v>
      </c>
      <c r="AE195">
        <f t="shared" si="29"/>
        <v>12.671985597037036</v>
      </c>
      <c r="AF195" s="9"/>
      <c r="AG195" s="22">
        <v>0.83160400000000001</v>
      </c>
      <c r="AH195" s="22">
        <v>20.591699999999999</v>
      </c>
      <c r="AI195" s="22">
        <v>-1.30524E-2</v>
      </c>
      <c r="AJ195" s="22">
        <v>185</v>
      </c>
      <c r="AK195" s="22">
        <v>0.83068799999999998</v>
      </c>
      <c r="AL195">
        <f t="shared" si="30"/>
        <v>16.114074074074072</v>
      </c>
      <c r="AM195">
        <f t="shared" si="31"/>
        <v>13.400528456296295</v>
      </c>
      <c r="AP195" s="9"/>
      <c r="AQ195" s="22">
        <v>0.78842199999999996</v>
      </c>
      <c r="AR195" s="22">
        <v>25.927900000000001</v>
      </c>
      <c r="AS195" s="22">
        <v>-1.31378E-2</v>
      </c>
      <c r="AT195" s="22">
        <v>185</v>
      </c>
      <c r="AU195" s="22">
        <v>0.787354</v>
      </c>
      <c r="AV195">
        <f t="shared" si="32"/>
        <v>16.219506172839505</v>
      </c>
      <c r="AW195">
        <f t="shared" si="33"/>
        <v>12.787815495802468</v>
      </c>
      <c r="AX195" s="9"/>
      <c r="AY195" s="22">
        <v>0.83160400000000001</v>
      </c>
      <c r="AZ195" s="22">
        <v>29.585999999999999</v>
      </c>
      <c r="BA195" s="22">
        <v>-1.30524E-2</v>
      </c>
      <c r="BB195" s="22">
        <v>185</v>
      </c>
      <c r="BC195" s="22">
        <v>0.83068799999999998</v>
      </c>
      <c r="BD195">
        <f t="shared" si="34"/>
        <v>16.114074074074072</v>
      </c>
      <c r="BE195">
        <f t="shared" si="35"/>
        <v>13.400528456296295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7.9335399999999998</v>
      </c>
      <c r="I196" s="22">
        <v>-1.2643400000000001E-2</v>
      </c>
      <c r="J196" s="22">
        <v>186</v>
      </c>
      <c r="K196" s="22">
        <v>0.78247100000000003</v>
      </c>
      <c r="L196">
        <f t="shared" si="24"/>
        <v>15.609135802469137</v>
      </c>
      <c r="M196">
        <f t="shared" si="25"/>
        <v>12.227978459753087</v>
      </c>
      <c r="N196" s="9"/>
      <c r="O196" s="22">
        <v>0.83663900000000002</v>
      </c>
      <c r="P196" s="22">
        <v>11.5916</v>
      </c>
      <c r="Q196" s="22">
        <v>-1.2908899999999999E-2</v>
      </c>
      <c r="R196" s="22">
        <v>186</v>
      </c>
      <c r="S196" s="22">
        <v>0.83587599999999995</v>
      </c>
      <c r="T196">
        <f t="shared" si="26"/>
        <v>15.936913580246911</v>
      </c>
      <c r="U196">
        <f t="shared" si="27"/>
        <v>13.333443440864196</v>
      </c>
      <c r="X196" s="9"/>
      <c r="Y196" s="22">
        <v>0.78338600000000003</v>
      </c>
      <c r="Z196" s="22">
        <v>16.9437</v>
      </c>
      <c r="AA196" s="22">
        <v>-1.3028E-2</v>
      </c>
      <c r="AB196" s="22">
        <v>186</v>
      </c>
      <c r="AC196" s="22">
        <v>0.78247100000000003</v>
      </c>
      <c r="AD196">
        <f t="shared" si="28"/>
        <v>16.08395061728395</v>
      </c>
      <c r="AE196">
        <f t="shared" si="29"/>
        <v>12.599941738271605</v>
      </c>
      <c r="AF196" s="9"/>
      <c r="AG196" s="22">
        <v>0.83663900000000002</v>
      </c>
      <c r="AH196" s="22">
        <v>20.601800000000001</v>
      </c>
      <c r="AI196" s="22">
        <v>-1.30524E-2</v>
      </c>
      <c r="AJ196" s="22">
        <v>186</v>
      </c>
      <c r="AK196" s="22">
        <v>0.83618199999999998</v>
      </c>
      <c r="AL196">
        <f t="shared" si="30"/>
        <v>16.114074074074072</v>
      </c>
      <c r="AM196">
        <f t="shared" si="31"/>
        <v>13.481662819259258</v>
      </c>
      <c r="AP196" s="9"/>
      <c r="AQ196" s="22">
        <v>0.78338600000000003</v>
      </c>
      <c r="AR196" s="22">
        <v>25.937999999999999</v>
      </c>
      <c r="AS196" s="22">
        <v>-1.31378E-2</v>
      </c>
      <c r="AT196" s="22">
        <v>186</v>
      </c>
      <c r="AU196" s="22">
        <v>0.78216600000000003</v>
      </c>
      <c r="AV196">
        <f t="shared" si="32"/>
        <v>16.219506172839505</v>
      </c>
      <c r="AW196">
        <f t="shared" si="33"/>
        <v>12.70613406271605</v>
      </c>
      <c r="AX196" s="9"/>
      <c r="AY196" s="22">
        <v>0.83663900000000002</v>
      </c>
      <c r="AZ196" s="22">
        <v>29.596</v>
      </c>
      <c r="BA196" s="22">
        <v>-1.3037099999999999E-2</v>
      </c>
      <c r="BB196" s="22">
        <v>186</v>
      </c>
      <c r="BC196" s="22">
        <v>0.83557099999999995</v>
      </c>
      <c r="BD196">
        <f t="shared" si="34"/>
        <v>16.095185185185183</v>
      </c>
      <c r="BE196">
        <f t="shared" si="35"/>
        <v>13.465859638148148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7.9436200000000001</v>
      </c>
      <c r="I197" s="22">
        <v>-1.26526E-2</v>
      </c>
      <c r="J197" s="22">
        <v>187</v>
      </c>
      <c r="K197" s="22">
        <v>0.77728299999999995</v>
      </c>
      <c r="L197">
        <f t="shared" si="24"/>
        <v>15.620493827160493</v>
      </c>
      <c r="M197">
        <f t="shared" si="25"/>
        <v>12.158226990864197</v>
      </c>
      <c r="N197" s="9"/>
      <c r="O197" s="22">
        <v>0.84167499999999995</v>
      </c>
      <c r="P197" s="22">
        <v>11.601699999999999</v>
      </c>
      <c r="Q197" s="22">
        <v>-1.2902800000000001E-2</v>
      </c>
      <c r="R197" s="22">
        <v>187</v>
      </c>
      <c r="S197" s="22">
        <v>0.84045400000000003</v>
      </c>
      <c r="T197">
        <f t="shared" si="26"/>
        <v>15.929382716049382</v>
      </c>
      <c r="U197">
        <f t="shared" si="27"/>
        <v>13.407363197530863</v>
      </c>
      <c r="X197" s="9"/>
      <c r="Y197" s="22">
        <v>0.77835100000000002</v>
      </c>
      <c r="Z197" s="22">
        <v>16.953800000000001</v>
      </c>
      <c r="AA197" s="22">
        <v>-1.30463E-2</v>
      </c>
      <c r="AB197" s="22">
        <v>187</v>
      </c>
      <c r="AC197" s="22">
        <v>0.77758799999999995</v>
      </c>
      <c r="AD197">
        <f t="shared" si="28"/>
        <v>16.106543209876545</v>
      </c>
      <c r="AE197">
        <f t="shared" si="29"/>
        <v>12.536544013950619</v>
      </c>
      <c r="AF197" s="9"/>
      <c r="AG197" s="22">
        <v>0.84167499999999995</v>
      </c>
      <c r="AH197" s="22">
        <v>20.611899999999999</v>
      </c>
      <c r="AI197" s="22">
        <v>-1.30463E-2</v>
      </c>
      <c r="AJ197" s="22">
        <v>187</v>
      </c>
      <c r="AK197" s="22">
        <v>0.84075900000000003</v>
      </c>
      <c r="AL197">
        <f t="shared" si="30"/>
        <v>16.106543209876545</v>
      </c>
      <c r="AM197">
        <f t="shared" si="31"/>
        <v>13.55647475617284</v>
      </c>
      <c r="AP197" s="9"/>
      <c r="AQ197" s="22">
        <v>0.77835100000000002</v>
      </c>
      <c r="AR197" s="22">
        <v>25.948</v>
      </c>
      <c r="AS197" s="22">
        <v>-1.3147000000000001E-2</v>
      </c>
      <c r="AT197" s="22">
        <v>187</v>
      </c>
      <c r="AU197" s="22">
        <v>0.77758799999999995</v>
      </c>
      <c r="AV197">
        <f t="shared" si="32"/>
        <v>16.230864197530863</v>
      </c>
      <c r="AW197">
        <f t="shared" si="33"/>
        <v>12.633309379012346</v>
      </c>
      <c r="AX197" s="9"/>
      <c r="AY197" s="22">
        <v>0.84167499999999995</v>
      </c>
      <c r="AZ197" s="22">
        <v>29.606100000000001</v>
      </c>
      <c r="BA197" s="22">
        <v>-1.3030999999999999E-2</v>
      </c>
      <c r="BB197" s="22">
        <v>187</v>
      </c>
      <c r="BC197" s="22">
        <v>0.84014900000000003</v>
      </c>
      <c r="BD197">
        <f t="shared" si="34"/>
        <v>16.087654320987653</v>
      </c>
      <c r="BE197">
        <f t="shared" si="35"/>
        <v>13.540576450617282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7.9536899999999999</v>
      </c>
      <c r="I198" s="22">
        <v>-1.26648E-2</v>
      </c>
      <c r="J198" s="22">
        <v>188</v>
      </c>
      <c r="K198" s="22">
        <v>0.77239999999999998</v>
      </c>
      <c r="L198">
        <f t="shared" si="24"/>
        <v>15.635555555555555</v>
      </c>
      <c r="M198">
        <f t="shared" si="25"/>
        <v>12.091209644444444</v>
      </c>
      <c r="N198" s="9"/>
      <c r="O198" s="22">
        <v>0.84670999999999996</v>
      </c>
      <c r="P198" s="22">
        <v>11.611700000000001</v>
      </c>
      <c r="Q198" s="22">
        <v>-1.2896700000000001E-2</v>
      </c>
      <c r="R198" s="22">
        <v>188</v>
      </c>
      <c r="S198" s="22">
        <v>0.845947</v>
      </c>
      <c r="T198">
        <f t="shared" si="26"/>
        <v>15.92185185185185</v>
      </c>
      <c r="U198">
        <f t="shared" si="27"/>
        <v>13.48119118148148</v>
      </c>
      <c r="X198" s="9"/>
      <c r="Y198" s="22">
        <v>0.77331499999999997</v>
      </c>
      <c r="Z198" s="22">
        <v>16.963899999999999</v>
      </c>
      <c r="AA198" s="22">
        <v>-1.30524E-2</v>
      </c>
      <c r="AB198" s="22">
        <v>188</v>
      </c>
      <c r="AC198" s="22">
        <v>0.77239999999999998</v>
      </c>
      <c r="AD198">
        <f t="shared" si="28"/>
        <v>16.114074074074072</v>
      </c>
      <c r="AE198">
        <f t="shared" si="29"/>
        <v>12.46125519259259</v>
      </c>
      <c r="AF198" s="9"/>
      <c r="AG198" s="22">
        <v>0.84670999999999996</v>
      </c>
      <c r="AH198" s="22">
        <v>20.6219</v>
      </c>
      <c r="AI198" s="22">
        <v>-1.3037099999999999E-2</v>
      </c>
      <c r="AJ198" s="22">
        <v>188</v>
      </c>
      <c r="AK198" s="22">
        <v>0.845642</v>
      </c>
      <c r="AL198">
        <f t="shared" si="30"/>
        <v>16.095185185185183</v>
      </c>
      <c r="AM198">
        <f t="shared" si="31"/>
        <v>13.627954248148146</v>
      </c>
      <c r="AP198" s="9"/>
      <c r="AQ198" s="22">
        <v>0.77331499999999997</v>
      </c>
      <c r="AR198" s="22">
        <v>25.958100000000002</v>
      </c>
      <c r="AS198" s="22">
        <v>-1.315E-2</v>
      </c>
      <c r="AT198" s="22">
        <v>188</v>
      </c>
      <c r="AU198" s="22">
        <v>0.77209499999999998</v>
      </c>
      <c r="AV198">
        <f t="shared" si="32"/>
        <v>16.234567901234566</v>
      </c>
      <c r="AW198">
        <f t="shared" si="33"/>
        <v>12.554434876543208</v>
      </c>
      <c r="AX198" s="9"/>
      <c r="AY198" s="22">
        <v>0.84670999999999996</v>
      </c>
      <c r="AZ198" s="22">
        <v>29.616199999999999</v>
      </c>
      <c r="BA198" s="22">
        <v>-1.3024900000000001E-2</v>
      </c>
      <c r="BB198" s="22">
        <v>188</v>
      </c>
      <c r="BC198" s="22">
        <v>0.845947</v>
      </c>
      <c r="BD198">
        <f t="shared" si="34"/>
        <v>16.080123456790126</v>
      </c>
      <c r="BE198">
        <f t="shared" si="35"/>
        <v>13.615201332098767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7.9637599999999997</v>
      </c>
      <c r="I199" s="22">
        <v>-1.2674E-2</v>
      </c>
      <c r="J199" s="22">
        <v>189</v>
      </c>
      <c r="K199" s="22">
        <v>0.76690700000000001</v>
      </c>
      <c r="L199">
        <f t="shared" si="24"/>
        <v>15.646913580246911</v>
      </c>
      <c r="M199">
        <f t="shared" si="25"/>
        <v>12.021210765432096</v>
      </c>
      <c r="N199" s="9"/>
      <c r="O199" s="22">
        <v>0.851746</v>
      </c>
      <c r="P199" s="22">
        <v>11.6218</v>
      </c>
      <c r="Q199" s="22">
        <v>-1.28906E-2</v>
      </c>
      <c r="R199" s="22">
        <v>189</v>
      </c>
      <c r="S199" s="22">
        <v>0.85113499999999997</v>
      </c>
      <c r="T199">
        <f t="shared" si="26"/>
        <v>15.914320987654323</v>
      </c>
      <c r="U199">
        <f t="shared" si="27"/>
        <v>13.554959243950618</v>
      </c>
      <c r="X199" s="9"/>
      <c r="Y199" s="22">
        <v>0.76827999999999996</v>
      </c>
      <c r="Z199" s="22">
        <v>16.974</v>
      </c>
      <c r="AA199" s="22">
        <v>-1.30676E-2</v>
      </c>
      <c r="AB199" s="22">
        <v>189</v>
      </c>
      <c r="AC199" s="22">
        <v>0.767517</v>
      </c>
      <c r="AD199">
        <f t="shared" si="28"/>
        <v>16.132839506172839</v>
      </c>
      <c r="AE199">
        <f t="shared" si="29"/>
        <v>12.394537935802468</v>
      </c>
      <c r="AF199" s="9"/>
      <c r="AG199" s="22">
        <v>0.851746</v>
      </c>
      <c r="AH199" s="22">
        <v>20.632000000000001</v>
      </c>
      <c r="AI199" s="22">
        <v>-1.3021899999999999E-2</v>
      </c>
      <c r="AJ199" s="22">
        <v>189</v>
      </c>
      <c r="AK199" s="22">
        <v>0.85052499999999998</v>
      </c>
      <c r="AL199">
        <f t="shared" si="30"/>
        <v>16.076419753086416</v>
      </c>
      <c r="AM199">
        <f t="shared" si="31"/>
        <v>13.693026219012342</v>
      </c>
      <c r="AP199" s="9"/>
      <c r="AQ199" s="22">
        <v>0.76827999999999996</v>
      </c>
      <c r="AR199" s="22">
        <v>25.9682</v>
      </c>
      <c r="AS199" s="22">
        <v>-1.3162200000000001E-2</v>
      </c>
      <c r="AT199" s="22">
        <v>189</v>
      </c>
      <c r="AU199" s="22">
        <v>0.767517</v>
      </c>
      <c r="AV199">
        <f t="shared" si="32"/>
        <v>16.249629629629627</v>
      </c>
      <c r="AW199">
        <f t="shared" si="33"/>
        <v>12.484265451851849</v>
      </c>
      <c r="AX199" s="9"/>
      <c r="AY199" s="22">
        <v>0.851746</v>
      </c>
      <c r="AZ199" s="22">
        <v>29.626200000000001</v>
      </c>
      <c r="BA199" s="22">
        <v>-1.30157E-2</v>
      </c>
      <c r="BB199" s="22">
        <v>189</v>
      </c>
      <c r="BC199" s="22">
        <v>0.85082999999999998</v>
      </c>
      <c r="BD199">
        <f t="shared" si="34"/>
        <v>16.068765432098765</v>
      </c>
      <c r="BE199">
        <f t="shared" si="35"/>
        <v>13.686506681728394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7.9738300000000004</v>
      </c>
      <c r="I200" s="22">
        <v>-1.2677000000000001E-2</v>
      </c>
      <c r="J200" s="22">
        <v>190</v>
      </c>
      <c r="K200" s="22">
        <v>0.76232900000000003</v>
      </c>
      <c r="L200">
        <f t="shared" si="24"/>
        <v>15.650617283950618</v>
      </c>
      <c r="M200">
        <f t="shared" si="25"/>
        <v>11.945255388888889</v>
      </c>
      <c r="N200" s="9"/>
      <c r="O200" s="22">
        <v>0.85678100000000001</v>
      </c>
      <c r="P200" s="22">
        <v>11.6319</v>
      </c>
      <c r="Q200" s="22">
        <v>-1.28906E-2</v>
      </c>
      <c r="R200" s="22">
        <v>190</v>
      </c>
      <c r="S200" s="22">
        <v>0.85571299999999995</v>
      </c>
      <c r="T200">
        <f t="shared" si="26"/>
        <v>15.914320987654323</v>
      </c>
      <c r="U200">
        <f t="shared" si="27"/>
        <v>13.635087850123458</v>
      </c>
      <c r="X200" s="9"/>
      <c r="Y200" s="22">
        <v>0.76324499999999995</v>
      </c>
      <c r="Z200" s="22">
        <v>16.984000000000002</v>
      </c>
      <c r="AA200" s="22">
        <v>-1.3079800000000001E-2</v>
      </c>
      <c r="AB200" s="22">
        <v>190</v>
      </c>
      <c r="AC200" s="22">
        <v>0.76293900000000003</v>
      </c>
      <c r="AD200">
        <f t="shared" si="28"/>
        <v>16.147901234567904</v>
      </c>
      <c r="AE200">
        <f t="shared" si="29"/>
        <v>12.32480487777778</v>
      </c>
      <c r="AF200" s="9"/>
      <c r="AG200" s="22">
        <v>0.85678100000000001</v>
      </c>
      <c r="AH200" s="22">
        <v>20.642099999999999</v>
      </c>
      <c r="AI200" s="22">
        <v>-1.30127E-2</v>
      </c>
      <c r="AJ200" s="22">
        <v>190</v>
      </c>
      <c r="AK200" s="22">
        <v>0.85571299999999995</v>
      </c>
      <c r="AL200">
        <f t="shared" si="30"/>
        <v>16.065061728395062</v>
      </c>
      <c r="AM200">
        <f t="shared" si="31"/>
        <v>13.76423965271605</v>
      </c>
      <c r="AP200" s="9"/>
      <c r="AQ200" s="22">
        <v>0.76324499999999995</v>
      </c>
      <c r="AR200" s="22">
        <v>25.978300000000001</v>
      </c>
      <c r="AS200" s="22">
        <v>-1.3162200000000001E-2</v>
      </c>
      <c r="AT200" s="22">
        <v>190</v>
      </c>
      <c r="AU200" s="22">
        <v>0.76232900000000003</v>
      </c>
      <c r="AV200">
        <f t="shared" si="32"/>
        <v>16.249629629629627</v>
      </c>
      <c r="AW200">
        <f t="shared" si="33"/>
        <v>12.402448566666664</v>
      </c>
      <c r="AX200" s="9"/>
      <c r="AY200" s="22">
        <v>0.85678100000000001</v>
      </c>
      <c r="AZ200" s="22">
        <v>29.636299999999999</v>
      </c>
      <c r="BA200" s="22">
        <v>-1.30127E-2</v>
      </c>
      <c r="BB200" s="22">
        <v>190</v>
      </c>
      <c r="BC200" s="22">
        <v>0.85601799999999995</v>
      </c>
      <c r="BD200">
        <f t="shared" si="34"/>
        <v>16.065061728395062</v>
      </c>
      <c r="BE200">
        <f t="shared" si="35"/>
        <v>13.76423965271605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7.9839000000000002</v>
      </c>
      <c r="I201" s="22">
        <v>-1.2677000000000001E-2</v>
      </c>
      <c r="J201" s="22">
        <v>191</v>
      </c>
      <c r="K201" s="22">
        <v>0.75714099999999995</v>
      </c>
      <c r="L201">
        <f t="shared" si="24"/>
        <v>15.650617283950618</v>
      </c>
      <c r="M201">
        <f t="shared" si="25"/>
        <v>11.866438880246914</v>
      </c>
      <c r="N201" s="9"/>
      <c r="O201" s="22">
        <v>0.86181600000000003</v>
      </c>
      <c r="P201" s="22">
        <v>11.641999999999999</v>
      </c>
      <c r="Q201" s="22">
        <v>-1.28845E-2</v>
      </c>
      <c r="R201" s="22">
        <v>191</v>
      </c>
      <c r="S201" s="22">
        <v>0.86090100000000003</v>
      </c>
      <c r="T201">
        <f t="shared" si="26"/>
        <v>15.906790123456791</v>
      </c>
      <c r="U201">
        <f t="shared" si="27"/>
        <v>13.708726237037038</v>
      </c>
      <c r="X201" s="9"/>
      <c r="Y201" s="22">
        <v>0.75820900000000002</v>
      </c>
      <c r="Z201" s="22">
        <v>16.9941</v>
      </c>
      <c r="AA201" s="22">
        <v>-1.3091999999999999E-2</v>
      </c>
      <c r="AB201" s="22">
        <v>191</v>
      </c>
      <c r="AC201" s="22">
        <v>0.75775099999999995</v>
      </c>
      <c r="AD201">
        <f t="shared" si="28"/>
        <v>16.162962962962961</v>
      </c>
      <c r="AE201">
        <f t="shared" si="29"/>
        <v>12.254903985185184</v>
      </c>
      <c r="AF201" s="9"/>
      <c r="AG201" s="22">
        <v>0.86181600000000003</v>
      </c>
      <c r="AH201" s="22">
        <v>20.652200000000001</v>
      </c>
      <c r="AI201" s="22">
        <v>-1.3003499999999999E-2</v>
      </c>
      <c r="AJ201" s="22">
        <v>191</v>
      </c>
      <c r="AK201" s="22">
        <v>0.86090100000000003</v>
      </c>
      <c r="AL201">
        <f t="shared" si="30"/>
        <v>16.0537037037037</v>
      </c>
      <c r="AM201">
        <f t="shared" si="31"/>
        <v>13.835338711111108</v>
      </c>
      <c r="AP201" s="9"/>
      <c r="AQ201" s="22">
        <v>0.75820900000000002</v>
      </c>
      <c r="AR201" s="22">
        <v>25.988299999999999</v>
      </c>
      <c r="AS201" s="22">
        <v>-1.3168300000000001E-2</v>
      </c>
      <c r="AT201" s="22">
        <v>191</v>
      </c>
      <c r="AU201" s="22">
        <v>0.75683599999999995</v>
      </c>
      <c r="AV201">
        <f t="shared" si="32"/>
        <v>16.257160493827158</v>
      </c>
      <c r="AW201">
        <f t="shared" si="33"/>
        <v>12.326325400864196</v>
      </c>
      <c r="AX201" s="9"/>
      <c r="AY201" s="22">
        <v>0.86181600000000003</v>
      </c>
      <c r="AZ201" s="22">
        <v>29.6464</v>
      </c>
      <c r="BA201" s="22">
        <v>-1.3003499999999999E-2</v>
      </c>
      <c r="BB201" s="22">
        <v>191</v>
      </c>
      <c r="BC201" s="22">
        <v>0.86120600000000003</v>
      </c>
      <c r="BD201">
        <f t="shared" si="34"/>
        <v>16.0537037037037</v>
      </c>
      <c r="BE201">
        <f t="shared" si="35"/>
        <v>13.835338711111108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7.99397</v>
      </c>
      <c r="I202" s="22">
        <v>-1.2683099999999999E-2</v>
      </c>
      <c r="J202" s="22">
        <v>192</v>
      </c>
      <c r="K202" s="22">
        <v>0.75225799999999998</v>
      </c>
      <c r="L202">
        <f t="shared" si="24"/>
        <v>15.658148148148147</v>
      </c>
      <c r="M202">
        <f t="shared" si="25"/>
        <v>11.793310073333332</v>
      </c>
      <c r="N202" s="9"/>
      <c r="O202" s="22">
        <v>0.86685199999999996</v>
      </c>
      <c r="P202" s="22">
        <v>11.651999999999999</v>
      </c>
      <c r="Q202" s="22">
        <v>-1.28845E-2</v>
      </c>
      <c r="R202" s="22">
        <v>192</v>
      </c>
      <c r="S202" s="22">
        <v>0.865784</v>
      </c>
      <c r="T202">
        <f t="shared" si="26"/>
        <v>15.906790123456791</v>
      </c>
      <c r="U202">
        <f t="shared" si="27"/>
        <v>13.788832832098764</v>
      </c>
      <c r="X202" s="9"/>
      <c r="Y202" s="22">
        <v>0.75317400000000001</v>
      </c>
      <c r="Z202" s="22">
        <v>17.004200000000001</v>
      </c>
      <c r="AA202" s="22">
        <v>-1.31042E-2</v>
      </c>
      <c r="AB202" s="22">
        <v>192</v>
      </c>
      <c r="AC202" s="22">
        <v>0.75256299999999998</v>
      </c>
      <c r="AD202">
        <f t="shared" si="28"/>
        <v>16.178024691358022</v>
      </c>
      <c r="AE202">
        <f t="shared" si="29"/>
        <v>12.184867568888887</v>
      </c>
      <c r="AF202" s="9"/>
      <c r="AG202" s="22">
        <v>0.86685199999999996</v>
      </c>
      <c r="AH202" s="22">
        <v>20.662199999999999</v>
      </c>
      <c r="AI202" s="22">
        <v>-1.2982199999999999E-2</v>
      </c>
      <c r="AJ202" s="22">
        <v>192</v>
      </c>
      <c r="AK202" s="22">
        <v>0.866699</v>
      </c>
      <c r="AL202">
        <f t="shared" si="30"/>
        <v>16.027407407407406</v>
      </c>
      <c r="AM202">
        <f t="shared" si="31"/>
        <v>13.893390165925924</v>
      </c>
      <c r="AP202" s="9"/>
      <c r="AQ202" s="22">
        <v>0.75317400000000001</v>
      </c>
      <c r="AR202" s="22">
        <v>25.9984</v>
      </c>
      <c r="AS202" s="22">
        <v>-1.31775E-2</v>
      </c>
      <c r="AT202" s="22">
        <v>192</v>
      </c>
      <c r="AU202" s="22">
        <v>0.75225799999999998</v>
      </c>
      <c r="AV202">
        <f t="shared" si="32"/>
        <v>16.268518518518519</v>
      </c>
      <c r="AW202">
        <f t="shared" si="33"/>
        <v>12.253025166666667</v>
      </c>
      <c r="AX202" s="9"/>
      <c r="AY202" s="22">
        <v>0.86685199999999996</v>
      </c>
      <c r="AZ202" s="22">
        <v>29.656500000000001</v>
      </c>
      <c r="BA202" s="22">
        <v>-1.30096E-2</v>
      </c>
      <c r="BB202" s="22">
        <v>192</v>
      </c>
      <c r="BC202" s="22">
        <v>0.866089</v>
      </c>
      <c r="BD202">
        <f t="shared" si="34"/>
        <v>16.061234567901234</v>
      </c>
      <c r="BE202">
        <f t="shared" si="35"/>
        <v>13.92271330765432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8.0040399999999998</v>
      </c>
      <c r="I203" s="22">
        <v>-1.26862E-2</v>
      </c>
      <c r="J203" s="22">
        <v>193</v>
      </c>
      <c r="K203" s="22">
        <v>0.74743700000000002</v>
      </c>
      <c r="L203">
        <f t="shared" si="24"/>
        <v>15.661975308641974</v>
      </c>
      <c r="M203">
        <f t="shared" si="25"/>
        <v>11.717318883456789</v>
      </c>
      <c r="N203" s="9"/>
      <c r="O203" s="22">
        <v>0.87188699999999997</v>
      </c>
      <c r="P203" s="22">
        <v>11.662100000000001</v>
      </c>
      <c r="Q203" s="22">
        <v>-1.28784E-2</v>
      </c>
      <c r="R203" s="22">
        <v>193</v>
      </c>
      <c r="S203" s="22">
        <v>0.87097199999999997</v>
      </c>
      <c r="T203">
        <f t="shared" si="26"/>
        <v>15.899259259259258</v>
      </c>
      <c r="U203">
        <f t="shared" si="27"/>
        <v>13.862357457777776</v>
      </c>
      <c r="X203" s="9"/>
      <c r="Y203" s="22">
        <v>0.74813799999999997</v>
      </c>
      <c r="Z203" s="22">
        <v>17.014199999999999</v>
      </c>
      <c r="AA203" s="22">
        <v>-1.31165E-2</v>
      </c>
      <c r="AB203" s="22">
        <v>193</v>
      </c>
      <c r="AC203" s="22">
        <v>0.74743700000000002</v>
      </c>
      <c r="AD203">
        <f t="shared" si="28"/>
        <v>16.193209876543211</v>
      </c>
      <c r="AE203">
        <f t="shared" si="29"/>
        <v>12.114755650617283</v>
      </c>
      <c r="AF203" s="9"/>
      <c r="AG203" s="22">
        <v>0.87188699999999997</v>
      </c>
      <c r="AH203" s="22">
        <v>20.6723</v>
      </c>
      <c r="AI203" s="22">
        <v>-1.2976100000000001E-2</v>
      </c>
      <c r="AJ203" s="22">
        <v>193</v>
      </c>
      <c r="AK203" s="22">
        <v>0.87097199999999997</v>
      </c>
      <c r="AL203">
        <f t="shared" si="30"/>
        <v>16.019876543209875</v>
      </c>
      <c r="AM203">
        <f t="shared" si="31"/>
        <v>13.967522099629628</v>
      </c>
      <c r="AP203" s="9"/>
      <c r="AQ203" s="22">
        <v>0.74813799999999997</v>
      </c>
      <c r="AR203" s="22">
        <v>26.008500000000002</v>
      </c>
      <c r="AS203" s="22">
        <v>-1.31775E-2</v>
      </c>
      <c r="AT203" s="22">
        <v>193</v>
      </c>
      <c r="AU203" s="22">
        <v>0.74746699999999999</v>
      </c>
      <c r="AV203">
        <f t="shared" si="32"/>
        <v>16.268518518518519</v>
      </c>
      <c r="AW203">
        <f t="shared" si="33"/>
        <v>12.171096907407406</v>
      </c>
      <c r="AX203" s="9"/>
      <c r="AY203" s="22">
        <v>0.87188699999999997</v>
      </c>
      <c r="AZ203" s="22">
        <v>29.666499999999999</v>
      </c>
      <c r="BA203" s="22">
        <v>-1.30127E-2</v>
      </c>
      <c r="BB203" s="22">
        <v>193</v>
      </c>
      <c r="BC203" s="22">
        <v>0.87097199999999997</v>
      </c>
      <c r="BD203">
        <f t="shared" si="34"/>
        <v>16.065061728395062</v>
      </c>
      <c r="BE203">
        <f t="shared" si="35"/>
        <v>14.006918475185184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8.0141100000000005</v>
      </c>
      <c r="I204" s="22">
        <v>-1.26862E-2</v>
      </c>
      <c r="J204" s="22">
        <v>194</v>
      </c>
      <c r="K204" s="22">
        <v>0.74246199999999996</v>
      </c>
      <c r="L204">
        <f t="shared" ref="L204:L267" si="36">-I204/$F$2*1000</f>
        <v>15.661975308641974</v>
      </c>
      <c r="M204">
        <f t="shared" ref="M204:M267" si="37">L204*G204</f>
        <v>11.638460837777776</v>
      </c>
      <c r="N204" s="9"/>
      <c r="O204" s="22">
        <v>0.87692300000000001</v>
      </c>
      <c r="P204" s="22">
        <v>11.6722</v>
      </c>
      <c r="Q204" s="22">
        <v>-1.28632E-2</v>
      </c>
      <c r="R204" s="22">
        <v>194</v>
      </c>
      <c r="S204" s="22">
        <v>0.87585400000000002</v>
      </c>
      <c r="T204">
        <f t="shared" ref="T204:T267" si="38">-Q204/$F$2*1000</f>
        <v>15.880493827160493</v>
      </c>
      <c r="U204">
        <f t="shared" ref="U204:U267" si="39">T204*O204</f>
        <v>13.92597028839506</v>
      </c>
      <c r="X204" s="9"/>
      <c r="Y204" s="22">
        <v>0.74310299999999996</v>
      </c>
      <c r="Z204" s="22">
        <v>17.0243</v>
      </c>
      <c r="AA204" s="22">
        <v>-1.31317E-2</v>
      </c>
      <c r="AB204" s="22">
        <v>194</v>
      </c>
      <c r="AC204" s="22">
        <v>0.74240099999999998</v>
      </c>
      <c r="AD204">
        <f t="shared" ref="AD204:AD267" si="40">-AA204/$F$2*1000</f>
        <v>16.211975308641971</v>
      </c>
      <c r="AE204">
        <f t="shared" ref="AE204:AE267" si="41">AD204*Y204</f>
        <v>12.047167487777774</v>
      </c>
      <c r="AF204" s="9"/>
      <c r="AG204" s="22">
        <v>0.87692300000000001</v>
      </c>
      <c r="AH204" s="22">
        <v>20.682400000000001</v>
      </c>
      <c r="AI204" s="22">
        <v>-1.2970000000000001E-2</v>
      </c>
      <c r="AJ204" s="22">
        <v>194</v>
      </c>
      <c r="AK204" s="22">
        <v>0.87585400000000002</v>
      </c>
      <c r="AL204">
        <f t="shared" ref="AL204:AL267" si="42">-AI204/$F$2*1000</f>
        <v>16.012345679012348</v>
      </c>
      <c r="AM204">
        <f t="shared" ref="AM204:AM267" si="43">AL204*AG204</f>
        <v>14.041594209876546</v>
      </c>
      <c r="AP204" s="9"/>
      <c r="AQ204" s="22">
        <v>0.74310299999999996</v>
      </c>
      <c r="AR204" s="22">
        <v>26.0185</v>
      </c>
      <c r="AS204" s="22">
        <v>-1.31836E-2</v>
      </c>
      <c r="AT204" s="22">
        <v>194</v>
      </c>
      <c r="AU204" s="22">
        <v>0.74246199999999996</v>
      </c>
      <c r="AV204">
        <f t="shared" ref="AV204:AV267" si="44">-AS204/$F$2*1000</f>
        <v>16.276049382716046</v>
      </c>
      <c r="AW204">
        <f t="shared" ref="AW204:AW267" si="45">AV204*AQ204</f>
        <v>12.094781124444442</v>
      </c>
      <c r="AX204" s="9"/>
      <c r="AY204" s="22">
        <v>0.87692300000000001</v>
      </c>
      <c r="AZ204" s="22">
        <v>29.676600000000001</v>
      </c>
      <c r="BA204" s="22">
        <v>-1.30096E-2</v>
      </c>
      <c r="BB204" s="22">
        <v>194</v>
      </c>
      <c r="BC204" s="22">
        <v>0.87585400000000002</v>
      </c>
      <c r="BD204">
        <f t="shared" ref="BD204:BD267" si="46">-BA204/$F$2*1000</f>
        <v>16.061234567901234</v>
      </c>
      <c r="BE204">
        <f t="shared" ref="BE204:BE267" si="47">BD204*AY204</f>
        <v>14.084466000987653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8.0241799999999994</v>
      </c>
      <c r="I205" s="22">
        <v>-1.2689199999999999E-2</v>
      </c>
      <c r="J205" s="22">
        <v>195</v>
      </c>
      <c r="K205" s="22">
        <v>0.73736599999999997</v>
      </c>
      <c r="L205">
        <f t="shared" si="36"/>
        <v>15.665679012345679</v>
      </c>
      <c r="M205">
        <f t="shared" si="37"/>
        <v>11.56233637728395</v>
      </c>
      <c r="N205" s="9"/>
      <c r="O205" s="22">
        <v>0.88195800000000002</v>
      </c>
      <c r="P205" s="22">
        <v>11.6822</v>
      </c>
      <c r="Q205" s="22">
        <v>-1.2854000000000001E-2</v>
      </c>
      <c r="R205" s="22">
        <v>195</v>
      </c>
      <c r="S205" s="22">
        <v>0.88073699999999999</v>
      </c>
      <c r="T205">
        <f t="shared" si="38"/>
        <v>15.869135802469136</v>
      </c>
      <c r="U205">
        <f t="shared" si="39"/>
        <v>13.995911274074075</v>
      </c>
      <c r="X205" s="9"/>
      <c r="Y205" s="22">
        <v>0.73806799999999995</v>
      </c>
      <c r="Z205" s="22">
        <v>17.034400000000002</v>
      </c>
      <c r="AA205" s="22">
        <v>-1.31439E-2</v>
      </c>
      <c r="AB205" s="22">
        <v>195</v>
      </c>
      <c r="AC205" s="22">
        <v>0.73742700000000005</v>
      </c>
      <c r="AD205">
        <f t="shared" si="40"/>
        <v>16.227037037037036</v>
      </c>
      <c r="AE205">
        <f t="shared" si="41"/>
        <v>11.97665677185185</v>
      </c>
      <c r="AF205" s="9"/>
      <c r="AG205" s="22">
        <v>0.88195800000000002</v>
      </c>
      <c r="AH205" s="22">
        <v>20.692399999999999</v>
      </c>
      <c r="AI205" s="22">
        <v>-1.2970000000000001E-2</v>
      </c>
      <c r="AJ205" s="22">
        <v>195</v>
      </c>
      <c r="AK205" s="22">
        <v>0.88134800000000002</v>
      </c>
      <c r="AL205">
        <f t="shared" si="42"/>
        <v>16.012345679012348</v>
      </c>
      <c r="AM205">
        <f t="shared" si="43"/>
        <v>14.122216370370372</v>
      </c>
      <c r="AP205" s="9"/>
      <c r="AQ205" s="22">
        <v>0.73806799999999995</v>
      </c>
      <c r="AR205" s="22">
        <v>26.028600000000001</v>
      </c>
      <c r="AS205" s="22">
        <v>-1.31836E-2</v>
      </c>
      <c r="AT205" s="22">
        <v>195</v>
      </c>
      <c r="AU205" s="22">
        <v>0.73739600000000005</v>
      </c>
      <c r="AV205">
        <f t="shared" si="44"/>
        <v>16.276049382716046</v>
      </c>
      <c r="AW205">
        <f t="shared" si="45"/>
        <v>12.012831215802466</v>
      </c>
      <c r="AX205" s="9"/>
      <c r="AY205" s="22">
        <v>0.88195800000000002</v>
      </c>
      <c r="AZ205" s="22">
        <v>29.686699999999998</v>
      </c>
      <c r="BA205" s="22">
        <v>-1.2991300000000001E-2</v>
      </c>
      <c r="BB205" s="22">
        <v>195</v>
      </c>
      <c r="BC205" s="22">
        <v>0.88073699999999999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8.0342500000000001</v>
      </c>
      <c r="I206" s="22">
        <v>-1.2689199999999999E-2</v>
      </c>
      <c r="J206" s="22">
        <v>196</v>
      </c>
      <c r="K206" s="22">
        <v>0.73236100000000004</v>
      </c>
      <c r="L206">
        <f t="shared" si="36"/>
        <v>15.665679012345679</v>
      </c>
      <c r="M206">
        <f t="shared" si="37"/>
        <v>11.483444017777778</v>
      </c>
      <c r="N206" s="9"/>
      <c r="O206" s="22">
        <v>0.88699300000000003</v>
      </c>
      <c r="P206" s="22">
        <v>11.692299999999999</v>
      </c>
      <c r="Q206" s="22">
        <v>-1.28357E-2</v>
      </c>
      <c r="R206" s="22">
        <v>196</v>
      </c>
      <c r="S206" s="22">
        <v>0.88592499999999996</v>
      </c>
      <c r="T206">
        <f t="shared" si="38"/>
        <v>15.846543209876542</v>
      </c>
      <c r="U206">
        <f t="shared" si="39"/>
        <v>14.055772901358024</v>
      </c>
      <c r="X206" s="9"/>
      <c r="Y206" s="22">
        <v>0.73303200000000002</v>
      </c>
      <c r="Z206" s="22">
        <v>17.044499999999999</v>
      </c>
      <c r="AA206" s="22">
        <v>-1.31561E-2</v>
      </c>
      <c r="AB206" s="22">
        <v>196</v>
      </c>
      <c r="AC206" s="22">
        <v>0.73245199999999999</v>
      </c>
      <c r="AD206">
        <f t="shared" si="40"/>
        <v>16.2420987654321</v>
      </c>
      <c r="AE206">
        <f t="shared" si="41"/>
        <v>11.905978142222224</v>
      </c>
      <c r="AF206" s="9"/>
      <c r="AG206" s="22">
        <v>0.88699300000000003</v>
      </c>
      <c r="AH206" s="22">
        <v>20.702500000000001</v>
      </c>
      <c r="AI206" s="22">
        <v>-1.29547E-2</v>
      </c>
      <c r="AJ206" s="22">
        <v>196</v>
      </c>
      <c r="AK206" s="22">
        <v>0.88592499999999996</v>
      </c>
      <c r="AL206">
        <f t="shared" si="42"/>
        <v>15.993456790123457</v>
      </c>
      <c r="AM206">
        <f t="shared" si="43"/>
        <v>14.186084218641975</v>
      </c>
      <c r="AP206" s="9"/>
      <c r="AQ206" s="22">
        <v>0.73303200000000002</v>
      </c>
      <c r="AR206" s="22">
        <v>26.038699999999999</v>
      </c>
      <c r="AS206" s="22">
        <v>-1.3174399999999999E-2</v>
      </c>
      <c r="AT206" s="22">
        <v>196</v>
      </c>
      <c r="AU206" s="22">
        <v>0.73239100000000001</v>
      </c>
      <c r="AV206">
        <f t="shared" si="44"/>
        <v>16.264691358024692</v>
      </c>
      <c r="AW206">
        <f t="shared" si="45"/>
        <v>11.922539235555556</v>
      </c>
      <c r="AX206" s="9"/>
      <c r="AY206" s="22">
        <v>0.88699300000000003</v>
      </c>
      <c r="AZ206" s="22">
        <v>29.6967</v>
      </c>
      <c r="BA206" s="22">
        <v>-1.2976100000000001E-2</v>
      </c>
      <c r="BB206" s="22">
        <v>196</v>
      </c>
      <c r="BC206" s="22">
        <v>0.88592499999999996</v>
      </c>
      <c r="BD206">
        <f t="shared" si="46"/>
        <v>16.019876543209875</v>
      </c>
      <c r="BE206">
        <f t="shared" si="47"/>
        <v>14.209518354691358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8.0443300000000004</v>
      </c>
      <c r="I207" s="22">
        <v>-1.27014E-2</v>
      </c>
      <c r="J207" s="22">
        <v>197</v>
      </c>
      <c r="K207" s="22">
        <v>0.727325</v>
      </c>
      <c r="L207">
        <f t="shared" si="36"/>
        <v>15.680740740740738</v>
      </c>
      <c r="M207">
        <f t="shared" si="37"/>
        <v>11.415532217037036</v>
      </c>
      <c r="N207" s="9"/>
      <c r="O207" s="22">
        <v>0.89202899999999996</v>
      </c>
      <c r="P207" s="22">
        <v>11.702400000000001</v>
      </c>
      <c r="Q207" s="22">
        <v>-1.2826499999999999E-2</v>
      </c>
      <c r="R207" s="22">
        <v>197</v>
      </c>
      <c r="S207" s="22">
        <v>0.89050300000000004</v>
      </c>
      <c r="T207">
        <f t="shared" si="38"/>
        <v>15.835185185185185</v>
      </c>
      <c r="U207">
        <f t="shared" si="39"/>
        <v>14.125444405555555</v>
      </c>
      <c r="X207" s="9"/>
      <c r="Y207" s="22">
        <v>0.72799700000000001</v>
      </c>
      <c r="Z207" s="22">
        <v>17.054500000000001</v>
      </c>
      <c r="AA207" s="22">
        <v>-1.31561E-2</v>
      </c>
      <c r="AB207" s="22">
        <v>197</v>
      </c>
      <c r="AC207" s="22">
        <v>0.72726400000000002</v>
      </c>
      <c r="AD207">
        <f t="shared" si="40"/>
        <v>16.2420987654321</v>
      </c>
      <c r="AE207">
        <f t="shared" si="41"/>
        <v>11.824199174938272</v>
      </c>
      <c r="AF207" s="9"/>
      <c r="AG207" s="22">
        <v>0.89202899999999996</v>
      </c>
      <c r="AH207" s="22">
        <v>20.712599999999998</v>
      </c>
      <c r="AI207" s="22">
        <v>-1.2942499999999999E-2</v>
      </c>
      <c r="AJ207" s="22">
        <v>197</v>
      </c>
      <c r="AK207" s="22">
        <v>0.89111300000000004</v>
      </c>
      <c r="AL207">
        <f t="shared" si="42"/>
        <v>15.978395061728392</v>
      </c>
      <c r="AM207">
        <f t="shared" si="43"/>
        <v>14.253191768518516</v>
      </c>
      <c r="AP207" s="9"/>
      <c r="AQ207" s="22">
        <v>0.72799700000000001</v>
      </c>
      <c r="AR207" s="22">
        <v>26.0488</v>
      </c>
      <c r="AS207" s="22">
        <v>-1.31714E-2</v>
      </c>
      <c r="AT207" s="22">
        <v>197</v>
      </c>
      <c r="AU207" s="22">
        <v>0.72729500000000002</v>
      </c>
      <c r="AV207">
        <f t="shared" si="44"/>
        <v>16.260987654320989</v>
      </c>
      <c r="AW207">
        <f t="shared" si="45"/>
        <v>11.837950229382717</v>
      </c>
      <c r="AX207" s="9"/>
      <c r="AY207" s="22">
        <v>0.89202899999999996</v>
      </c>
      <c r="AZ207" s="22">
        <v>29.706800000000001</v>
      </c>
      <c r="BA207" s="22">
        <v>-1.29669E-2</v>
      </c>
      <c r="BB207" s="22">
        <v>197</v>
      </c>
      <c r="BC207" s="22">
        <v>0.89080800000000004</v>
      </c>
      <c r="BD207">
        <f t="shared" si="46"/>
        <v>16.008518518518514</v>
      </c>
      <c r="BE207">
        <f t="shared" si="47"/>
        <v>14.280062765555551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8.0543999999999993</v>
      </c>
      <c r="I208" s="22">
        <v>-1.2716699999999999E-2</v>
      </c>
      <c r="J208" s="22">
        <v>198</v>
      </c>
      <c r="K208" s="22">
        <v>0.72235099999999997</v>
      </c>
      <c r="L208">
        <f t="shared" si="36"/>
        <v>15.699629629629626</v>
      </c>
      <c r="M208">
        <f t="shared" si="37"/>
        <v>11.350219936666663</v>
      </c>
      <c r="N208" s="9"/>
      <c r="O208" s="22">
        <v>0.89706399999999997</v>
      </c>
      <c r="P208" s="22">
        <v>11.7125</v>
      </c>
      <c r="Q208" s="22">
        <v>-1.28174E-2</v>
      </c>
      <c r="R208" s="22">
        <v>198</v>
      </c>
      <c r="S208" s="22">
        <v>0.89630100000000001</v>
      </c>
      <c r="T208">
        <f t="shared" si="38"/>
        <v>15.82395061728395</v>
      </c>
      <c r="U208">
        <f t="shared" si="39"/>
        <v>14.195096436543208</v>
      </c>
      <c r="X208" s="9"/>
      <c r="Y208" s="22">
        <v>0.72296099999999996</v>
      </c>
      <c r="Z208" s="22">
        <v>17.064599999999999</v>
      </c>
      <c r="AA208" s="22">
        <v>-1.31561E-2</v>
      </c>
      <c r="AB208" s="22">
        <v>198</v>
      </c>
      <c r="AC208" s="22">
        <v>0.72226000000000001</v>
      </c>
      <c r="AD208">
        <f t="shared" si="40"/>
        <v>16.2420987654321</v>
      </c>
      <c r="AE208">
        <f t="shared" si="41"/>
        <v>11.742403965555557</v>
      </c>
      <c r="AF208" s="9"/>
      <c r="AG208" s="22">
        <v>0.89706399999999997</v>
      </c>
      <c r="AH208" s="22">
        <v>20.7227</v>
      </c>
      <c r="AI208" s="22">
        <v>-1.29333E-2</v>
      </c>
      <c r="AJ208" s="22">
        <v>198</v>
      </c>
      <c r="AK208" s="22">
        <v>0.89569100000000001</v>
      </c>
      <c r="AL208">
        <f t="shared" si="42"/>
        <v>15.967037037037036</v>
      </c>
      <c r="AM208">
        <f t="shared" si="43"/>
        <v>14.323454112592591</v>
      </c>
      <c r="AP208" s="9"/>
      <c r="AQ208" s="22">
        <v>0.72296099999999996</v>
      </c>
      <c r="AR208" s="22">
        <v>26.058800000000002</v>
      </c>
      <c r="AS208" s="22">
        <v>-1.31805E-2</v>
      </c>
      <c r="AT208" s="22">
        <v>198</v>
      </c>
      <c r="AU208" s="22">
        <v>0.72228999999999999</v>
      </c>
      <c r="AV208">
        <f t="shared" si="44"/>
        <v>16.272222222222219</v>
      </c>
      <c r="AW208">
        <f t="shared" si="45"/>
        <v>11.764182049999997</v>
      </c>
      <c r="AX208" s="9"/>
      <c r="AY208" s="22">
        <v>0.89706399999999997</v>
      </c>
      <c r="AZ208" s="22">
        <v>29.716899999999999</v>
      </c>
      <c r="BA208" s="22">
        <v>-1.29456E-2</v>
      </c>
      <c r="BB208" s="22">
        <v>198</v>
      </c>
      <c r="BC208" s="22">
        <v>0.89569100000000001</v>
      </c>
      <c r="BD208">
        <f t="shared" si="46"/>
        <v>15.982222222222221</v>
      </c>
      <c r="BE208">
        <f t="shared" si="47"/>
        <v>14.337076195555554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8.06447</v>
      </c>
      <c r="I209" s="22">
        <v>-1.2731900000000001E-2</v>
      </c>
      <c r="J209" s="22">
        <v>199</v>
      </c>
      <c r="K209" s="22">
        <v>0.71725499999999998</v>
      </c>
      <c r="L209">
        <f t="shared" si="36"/>
        <v>15.718395061728396</v>
      </c>
      <c r="M209">
        <f t="shared" si="37"/>
        <v>11.28464449308642</v>
      </c>
      <c r="N209" s="9"/>
      <c r="O209" s="22">
        <v>0.90210000000000001</v>
      </c>
      <c r="P209" s="22">
        <v>11.7225</v>
      </c>
      <c r="Q209" s="22">
        <v>-1.2805199999999999E-2</v>
      </c>
      <c r="R209" s="22">
        <v>199</v>
      </c>
      <c r="S209" s="22">
        <v>0.90148899999999998</v>
      </c>
      <c r="T209">
        <f t="shared" si="38"/>
        <v>15.808888888888886</v>
      </c>
      <c r="U209">
        <f t="shared" si="39"/>
        <v>14.261198666666663</v>
      </c>
      <c r="X209" s="9"/>
      <c r="Y209" s="22">
        <v>0.71792599999999995</v>
      </c>
      <c r="Z209" s="22">
        <v>17.0747</v>
      </c>
      <c r="AA209" s="22">
        <v>-1.3153099999999999E-2</v>
      </c>
      <c r="AB209" s="22">
        <v>199</v>
      </c>
      <c r="AC209" s="22">
        <v>0.71734600000000004</v>
      </c>
      <c r="AD209">
        <f t="shared" si="40"/>
        <v>16.238395061728394</v>
      </c>
      <c r="AE209">
        <f t="shared" si="41"/>
        <v>11.657966013086417</v>
      </c>
      <c r="AF209" s="9"/>
      <c r="AG209" s="22">
        <v>0.90210000000000001</v>
      </c>
      <c r="AH209" s="22">
        <v>20.732700000000001</v>
      </c>
      <c r="AI209" s="22">
        <v>-1.29333E-2</v>
      </c>
      <c r="AJ209" s="22">
        <v>199</v>
      </c>
      <c r="AK209" s="22">
        <v>0.90148899999999998</v>
      </c>
      <c r="AL209">
        <f t="shared" si="42"/>
        <v>15.967037037037036</v>
      </c>
      <c r="AM209">
        <f t="shared" si="43"/>
        <v>14.40386411111111</v>
      </c>
      <c r="AP209" s="9"/>
      <c r="AQ209" s="22">
        <v>0.71792599999999995</v>
      </c>
      <c r="AR209" s="22">
        <v>26.068899999999999</v>
      </c>
      <c r="AS209" s="22">
        <v>-1.31836E-2</v>
      </c>
      <c r="AT209" s="22">
        <v>199</v>
      </c>
      <c r="AU209" s="22">
        <v>0.71725499999999998</v>
      </c>
      <c r="AV209">
        <f t="shared" si="44"/>
        <v>16.276049382716046</v>
      </c>
      <c r="AW209">
        <f t="shared" si="45"/>
        <v>11.684999029135799</v>
      </c>
      <c r="AX209" s="9"/>
      <c r="AY209" s="22">
        <v>0.90210000000000001</v>
      </c>
      <c r="AZ209" s="22">
        <v>29.726900000000001</v>
      </c>
      <c r="BA209" s="22">
        <v>-1.29242E-2</v>
      </c>
      <c r="BB209" s="22">
        <v>199</v>
      </c>
      <c r="BC209" s="22">
        <v>0.90118399999999999</v>
      </c>
      <c r="BD209">
        <f t="shared" si="46"/>
        <v>15.955802469135801</v>
      </c>
      <c r="BE209">
        <f t="shared" si="47"/>
        <v>14.393729407407406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8.0745400000000007</v>
      </c>
      <c r="I210" s="22">
        <v>-1.27441E-2</v>
      </c>
      <c r="J210" s="22">
        <v>200</v>
      </c>
      <c r="K210" s="22">
        <v>0.71218899999999996</v>
      </c>
      <c r="L210">
        <f t="shared" si="36"/>
        <v>15.733456790123457</v>
      </c>
      <c r="M210">
        <f t="shared" si="37"/>
        <v>11.216239744567902</v>
      </c>
      <c r="N210" s="9"/>
      <c r="O210" s="22">
        <v>0.90713500000000002</v>
      </c>
      <c r="P210" s="22">
        <v>11.7326</v>
      </c>
      <c r="Q210" s="22">
        <v>-1.28021E-2</v>
      </c>
      <c r="R210" s="22">
        <v>200</v>
      </c>
      <c r="S210" s="22">
        <v>0.90545699999999996</v>
      </c>
      <c r="T210">
        <f t="shared" si="38"/>
        <v>15.805061728395062</v>
      </c>
      <c r="U210">
        <f t="shared" si="39"/>
        <v>14.337324670987655</v>
      </c>
      <c r="X210" s="9"/>
      <c r="Y210" s="22">
        <v>0.71289100000000005</v>
      </c>
      <c r="Z210" s="22">
        <v>17.084700000000002</v>
      </c>
      <c r="AA210" s="22">
        <v>-1.31561E-2</v>
      </c>
      <c r="AB210" s="22">
        <v>200</v>
      </c>
      <c r="AC210" s="22">
        <v>0.71225000000000005</v>
      </c>
      <c r="AD210">
        <f t="shared" si="40"/>
        <v>16.2420987654321</v>
      </c>
      <c r="AE210">
        <f t="shared" si="41"/>
        <v>11.578846030987656</v>
      </c>
      <c r="AF210" s="9"/>
      <c r="AG210" s="22">
        <v>0.90713500000000002</v>
      </c>
      <c r="AH210" s="22">
        <v>20.742799999999999</v>
      </c>
      <c r="AI210" s="22">
        <v>-1.29303E-2</v>
      </c>
      <c r="AJ210" s="22">
        <v>200</v>
      </c>
      <c r="AK210" s="22">
        <v>0.90637199999999996</v>
      </c>
      <c r="AL210">
        <f t="shared" si="42"/>
        <v>15.963333333333333</v>
      </c>
      <c r="AM210">
        <f t="shared" si="43"/>
        <v>14.480898383333333</v>
      </c>
      <c r="AP210" s="9"/>
      <c r="AQ210" s="22">
        <v>0.71289100000000005</v>
      </c>
      <c r="AR210" s="22">
        <v>26.079000000000001</v>
      </c>
      <c r="AS210" s="22">
        <v>-1.31866E-2</v>
      </c>
      <c r="AT210" s="22">
        <v>200</v>
      </c>
      <c r="AU210" s="22">
        <v>0.71228000000000002</v>
      </c>
      <c r="AV210">
        <f t="shared" si="44"/>
        <v>16.279753086419749</v>
      </c>
      <c r="AW210">
        <f t="shared" si="45"/>
        <v>11.605689457530863</v>
      </c>
      <c r="AX210" s="9"/>
      <c r="AY210" s="22">
        <v>0.90713500000000002</v>
      </c>
      <c r="AZ210" s="22">
        <v>29.736999999999998</v>
      </c>
      <c r="BA210" s="22">
        <v>-1.2914999999999999E-2</v>
      </c>
      <c r="BB210" s="22">
        <v>200</v>
      </c>
      <c r="BC210" s="22">
        <v>0.90637199999999996</v>
      </c>
      <c r="BD210">
        <f t="shared" si="46"/>
        <v>15.944444444444441</v>
      </c>
      <c r="BE210">
        <f t="shared" si="47"/>
        <v>14.463763611111109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8.0846099999999996</v>
      </c>
      <c r="I211" s="22">
        <v>-1.27533E-2</v>
      </c>
      <c r="J211" s="22">
        <v>201</v>
      </c>
      <c r="K211" s="22">
        <v>0.70727499999999999</v>
      </c>
      <c r="L211">
        <f t="shared" si="36"/>
        <v>15.744814814814816</v>
      </c>
      <c r="M211">
        <f t="shared" si="37"/>
        <v>11.145045890740741</v>
      </c>
      <c r="N211" s="9"/>
      <c r="O211" s="22">
        <v>0.91217000000000004</v>
      </c>
      <c r="P211" s="22">
        <v>11.742699999999999</v>
      </c>
      <c r="Q211" s="22">
        <v>-1.2793000000000001E-2</v>
      </c>
      <c r="R211" s="22">
        <v>201</v>
      </c>
      <c r="S211" s="22">
        <v>0.91156000000000004</v>
      </c>
      <c r="T211">
        <f t="shared" si="38"/>
        <v>15.793827160493827</v>
      </c>
      <c r="U211">
        <f t="shared" si="39"/>
        <v>14.406655320987655</v>
      </c>
      <c r="X211" s="9"/>
      <c r="Y211" s="22">
        <v>0.70785500000000001</v>
      </c>
      <c r="Z211" s="22">
        <v>17.094799999999999</v>
      </c>
      <c r="AA211" s="22">
        <v>-1.3162200000000001E-2</v>
      </c>
      <c r="AB211" s="22">
        <v>201</v>
      </c>
      <c r="AC211" s="22">
        <v>0.70727499999999999</v>
      </c>
      <c r="AD211">
        <f t="shared" si="40"/>
        <v>16.249629629629627</v>
      </c>
      <c r="AE211">
        <f t="shared" si="41"/>
        <v>11.50238158148148</v>
      </c>
      <c r="AF211" s="9"/>
      <c r="AG211" s="22">
        <v>0.91217000000000004</v>
      </c>
      <c r="AH211" s="22">
        <v>20.7529</v>
      </c>
      <c r="AI211" s="22">
        <v>-1.29242E-2</v>
      </c>
      <c r="AJ211" s="22">
        <v>201</v>
      </c>
      <c r="AK211" s="22">
        <v>0.91125500000000004</v>
      </c>
      <c r="AL211">
        <f t="shared" si="42"/>
        <v>15.955802469135801</v>
      </c>
      <c r="AM211">
        <f t="shared" si="43"/>
        <v>14.554404338271604</v>
      </c>
      <c r="AP211" s="9"/>
      <c r="AQ211" s="22">
        <v>0.70785500000000001</v>
      </c>
      <c r="AR211" s="22">
        <v>26.088999999999999</v>
      </c>
      <c r="AS211" s="22">
        <v>-1.31866E-2</v>
      </c>
      <c r="AT211" s="22">
        <v>201</v>
      </c>
      <c r="AU211" s="22">
        <v>0.70727499999999999</v>
      </c>
      <c r="AV211">
        <f t="shared" si="44"/>
        <v>16.279753086419749</v>
      </c>
      <c r="AW211">
        <f t="shared" si="45"/>
        <v>11.523704620987651</v>
      </c>
      <c r="AX211" s="9"/>
      <c r="AY211" s="22">
        <v>0.91217000000000004</v>
      </c>
      <c r="AZ211" s="22">
        <v>29.7471</v>
      </c>
      <c r="BA211" s="22">
        <v>-1.2902800000000001E-2</v>
      </c>
      <c r="BB211" s="22">
        <v>201</v>
      </c>
      <c r="BC211" s="22">
        <v>0.91156000000000004</v>
      </c>
      <c r="BD211">
        <f t="shared" si="46"/>
        <v>15.929382716049382</v>
      </c>
      <c r="BE211">
        <f t="shared" si="47"/>
        <v>14.530305032098765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8.0946800000000003</v>
      </c>
      <c r="I212" s="22">
        <v>-1.27625E-2</v>
      </c>
      <c r="J212" s="22">
        <v>202</v>
      </c>
      <c r="K212" s="22">
        <v>0.702179</v>
      </c>
      <c r="L212">
        <f t="shared" si="36"/>
        <v>15.756172839506172</v>
      </c>
      <c r="M212">
        <f t="shared" si="37"/>
        <v>11.073753395061727</v>
      </c>
      <c r="N212" s="9"/>
      <c r="O212" s="22">
        <v>0.91720599999999997</v>
      </c>
      <c r="P212" s="22">
        <v>11.752700000000001</v>
      </c>
      <c r="Q212" s="22">
        <v>-1.27838E-2</v>
      </c>
      <c r="R212" s="22">
        <v>202</v>
      </c>
      <c r="S212" s="22">
        <v>0.91613800000000001</v>
      </c>
      <c r="T212">
        <f t="shared" si="38"/>
        <v>15.782469135802467</v>
      </c>
      <c r="U212">
        <f t="shared" si="39"/>
        <v>14.475775386172836</v>
      </c>
      <c r="X212" s="9"/>
      <c r="Y212" s="22">
        <v>0.70282</v>
      </c>
      <c r="Z212" s="22">
        <v>17.104900000000001</v>
      </c>
      <c r="AA212" s="22">
        <v>-1.31653E-2</v>
      </c>
      <c r="AB212" s="22">
        <v>202</v>
      </c>
      <c r="AC212" s="22">
        <v>0.70220899999999997</v>
      </c>
      <c r="AD212">
        <f t="shared" si="40"/>
        <v>16.253456790123455</v>
      </c>
      <c r="AE212">
        <f t="shared" si="41"/>
        <v>11.423254501234567</v>
      </c>
      <c r="AF212" s="9"/>
      <c r="AG212" s="22">
        <v>0.91720599999999997</v>
      </c>
      <c r="AH212" s="22">
        <v>20.762899999999998</v>
      </c>
      <c r="AI212" s="22">
        <v>-1.2912E-2</v>
      </c>
      <c r="AJ212" s="22">
        <v>202</v>
      </c>
      <c r="AK212" s="22">
        <v>0.91613800000000001</v>
      </c>
      <c r="AL212">
        <f t="shared" si="42"/>
        <v>15.940740740740738</v>
      </c>
      <c r="AM212">
        <f t="shared" si="43"/>
        <v>14.62094305185185</v>
      </c>
      <c r="AP212" s="9"/>
      <c r="AQ212" s="22">
        <v>0.70282</v>
      </c>
      <c r="AR212" s="22">
        <v>26.0991</v>
      </c>
      <c r="AS212" s="22">
        <v>-1.31866E-2</v>
      </c>
      <c r="AT212" s="22">
        <v>202</v>
      </c>
      <c r="AU212" s="22">
        <v>0.70208700000000002</v>
      </c>
      <c r="AV212">
        <f t="shared" si="44"/>
        <v>16.279753086419749</v>
      </c>
      <c r="AW212">
        <f t="shared" si="45"/>
        <v>11.441736064197528</v>
      </c>
      <c r="AX212" s="9"/>
      <c r="AY212" s="22">
        <v>0.91720599999999997</v>
      </c>
      <c r="AZ212" s="22">
        <v>29.757200000000001</v>
      </c>
      <c r="BA212" s="22">
        <v>-1.2893699999999999E-2</v>
      </c>
      <c r="BB212" s="22">
        <v>202</v>
      </c>
      <c r="BC212" s="22">
        <v>0.91613800000000001</v>
      </c>
      <c r="BD212">
        <f t="shared" si="46"/>
        <v>15.918148148148147</v>
      </c>
      <c r="BE212">
        <f t="shared" si="47"/>
        <v>14.600220990370369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8.1047499999999992</v>
      </c>
      <c r="I213" s="22">
        <v>-1.27625E-2</v>
      </c>
      <c r="J213" s="22">
        <v>203</v>
      </c>
      <c r="K213" s="22">
        <v>0.69711299999999998</v>
      </c>
      <c r="L213">
        <f t="shared" si="36"/>
        <v>15.756172839506172</v>
      </c>
      <c r="M213">
        <f t="shared" si="37"/>
        <v>10.994405308641975</v>
      </c>
      <c r="N213" s="9"/>
      <c r="O213" s="22">
        <v>0.92224099999999998</v>
      </c>
      <c r="P213" s="22">
        <v>11.7628</v>
      </c>
      <c r="Q213" s="22">
        <v>-1.27808E-2</v>
      </c>
      <c r="R213" s="22">
        <v>203</v>
      </c>
      <c r="S213" s="22">
        <v>0.92193599999999998</v>
      </c>
      <c r="T213">
        <f t="shared" si="38"/>
        <v>15.778765432098764</v>
      </c>
      <c r="U213">
        <f t="shared" si="39"/>
        <v>14.551824410864196</v>
      </c>
      <c r="X213" s="9"/>
      <c r="Y213" s="22">
        <v>0.69778399999999996</v>
      </c>
      <c r="Z213" s="22">
        <v>17.114999999999998</v>
      </c>
      <c r="AA213" s="22">
        <v>-1.31653E-2</v>
      </c>
      <c r="AB213" s="22">
        <v>203</v>
      </c>
      <c r="AC213" s="22">
        <v>0.69708300000000001</v>
      </c>
      <c r="AD213">
        <f t="shared" si="40"/>
        <v>16.253456790123455</v>
      </c>
      <c r="AE213">
        <f t="shared" si="41"/>
        <v>11.341402092839504</v>
      </c>
      <c r="AF213" s="9"/>
      <c r="AG213" s="22">
        <v>0.92224099999999998</v>
      </c>
      <c r="AH213" s="22">
        <v>20.773</v>
      </c>
      <c r="AI213" s="22">
        <v>-1.29059E-2</v>
      </c>
      <c r="AJ213" s="22">
        <v>203</v>
      </c>
      <c r="AK213" s="22">
        <v>0.92163099999999998</v>
      </c>
      <c r="AL213">
        <f t="shared" si="42"/>
        <v>15.933209876543209</v>
      </c>
      <c r="AM213">
        <f t="shared" si="43"/>
        <v>14.694259409753085</v>
      </c>
      <c r="AP213" s="9"/>
      <c r="AQ213" s="22">
        <v>0.69778399999999996</v>
      </c>
      <c r="AR213" s="22">
        <v>26.109200000000001</v>
      </c>
      <c r="AS213" s="22">
        <v>-1.3201900000000001E-2</v>
      </c>
      <c r="AT213" s="22">
        <v>203</v>
      </c>
      <c r="AU213" s="22">
        <v>0.69714399999999999</v>
      </c>
      <c r="AV213">
        <f t="shared" si="44"/>
        <v>16.298641975308641</v>
      </c>
      <c r="AW213">
        <f t="shared" si="45"/>
        <v>11.372931592098764</v>
      </c>
      <c r="AX213" s="9"/>
      <c r="AY213" s="22">
        <v>0.92224099999999998</v>
      </c>
      <c r="AZ213" s="22">
        <v>29.767199999999999</v>
      </c>
      <c r="BA213" s="22">
        <v>-1.28784E-2</v>
      </c>
      <c r="BB213" s="22">
        <v>203</v>
      </c>
      <c r="BC213" s="22">
        <v>0.92163099999999998</v>
      </c>
      <c r="BD213">
        <f t="shared" si="46"/>
        <v>15.899259259259258</v>
      </c>
      <c r="BE213">
        <f t="shared" si="47"/>
        <v>14.662948758518517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8.1148199999999999</v>
      </c>
      <c r="I214" s="22">
        <v>-1.2765500000000001E-2</v>
      </c>
      <c r="J214" s="22">
        <v>204</v>
      </c>
      <c r="K214" s="22">
        <v>0.69207799999999997</v>
      </c>
      <c r="L214">
        <f t="shared" si="36"/>
        <v>15.759876543209876</v>
      </c>
      <c r="M214">
        <f t="shared" si="37"/>
        <v>10.917638715432098</v>
      </c>
      <c r="N214" s="9"/>
      <c r="O214" s="22">
        <v>0.92727700000000002</v>
      </c>
      <c r="P214" s="22">
        <v>11.7729</v>
      </c>
      <c r="Q214" s="22">
        <v>-1.27838E-2</v>
      </c>
      <c r="R214" s="22">
        <v>204</v>
      </c>
      <c r="S214" s="22">
        <v>0.92590300000000003</v>
      </c>
      <c r="T214">
        <f t="shared" si="38"/>
        <v>15.782469135802467</v>
      </c>
      <c r="U214">
        <f t="shared" si="39"/>
        <v>14.634720632839505</v>
      </c>
      <c r="X214" s="9"/>
      <c r="Y214" s="22">
        <v>0.69274899999999995</v>
      </c>
      <c r="Z214" s="22">
        <v>17.125</v>
      </c>
      <c r="AA214" s="22">
        <v>-1.3162200000000001E-2</v>
      </c>
      <c r="AB214" s="22">
        <v>204</v>
      </c>
      <c r="AC214" s="22">
        <v>0.69207799999999997</v>
      </c>
      <c r="AD214">
        <f t="shared" si="40"/>
        <v>16.249629629629627</v>
      </c>
      <c r="AE214">
        <f t="shared" si="41"/>
        <v>11.256914676296294</v>
      </c>
      <c r="AF214" s="9"/>
      <c r="AG214" s="22">
        <v>0.92727700000000002</v>
      </c>
      <c r="AH214" s="22">
        <v>20.783100000000001</v>
      </c>
      <c r="AI214" s="22">
        <v>-1.2902800000000001E-2</v>
      </c>
      <c r="AJ214" s="22">
        <v>204</v>
      </c>
      <c r="AK214" s="22">
        <v>0.92620800000000003</v>
      </c>
      <c r="AL214">
        <f t="shared" si="42"/>
        <v>15.929382716049382</v>
      </c>
      <c r="AM214">
        <f t="shared" si="43"/>
        <v>14.770950216790123</v>
      </c>
      <c r="AP214" s="9"/>
      <c r="AQ214" s="22">
        <v>0.69274899999999995</v>
      </c>
      <c r="AR214" s="22">
        <v>26.119299999999999</v>
      </c>
      <c r="AS214" s="22">
        <v>-1.3214099999999999E-2</v>
      </c>
      <c r="AT214" s="22">
        <v>204</v>
      </c>
      <c r="AU214" s="22">
        <v>0.69210799999999995</v>
      </c>
      <c r="AV214">
        <f t="shared" si="44"/>
        <v>16.313703703703702</v>
      </c>
      <c r="AW214">
        <f t="shared" si="45"/>
        <v>11.301301927037034</v>
      </c>
      <c r="AX214" s="9"/>
      <c r="AY214" s="22">
        <v>0.92727700000000002</v>
      </c>
      <c r="AZ214" s="22">
        <v>29.7773</v>
      </c>
      <c r="BA214" s="22">
        <v>-1.28693E-2</v>
      </c>
      <c r="BB214" s="22">
        <v>204</v>
      </c>
      <c r="BC214" s="22">
        <v>0.92651399999999995</v>
      </c>
      <c r="BD214">
        <f t="shared" si="46"/>
        <v>15.888024691358023</v>
      </c>
      <c r="BE214">
        <f t="shared" si="47"/>
        <v>14.732599871728393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8.1248900000000006</v>
      </c>
      <c r="I215" s="22">
        <v>-1.27747E-2</v>
      </c>
      <c r="J215" s="22">
        <v>205</v>
      </c>
      <c r="K215" s="22">
        <v>0.68698099999999995</v>
      </c>
      <c r="L215">
        <f t="shared" si="36"/>
        <v>15.771234567901235</v>
      </c>
      <c r="M215">
        <f t="shared" si="37"/>
        <v>10.84609880962963</v>
      </c>
      <c r="N215" s="9"/>
      <c r="O215" s="22">
        <v>0.93231200000000003</v>
      </c>
      <c r="P215" s="22">
        <v>11.7829</v>
      </c>
      <c r="Q215" s="22">
        <v>-1.2771599999999999E-2</v>
      </c>
      <c r="R215" s="22">
        <v>205</v>
      </c>
      <c r="S215" s="22">
        <v>0.93170200000000003</v>
      </c>
      <c r="T215">
        <f t="shared" si="38"/>
        <v>15.767407407407408</v>
      </c>
      <c r="U215">
        <f t="shared" si="39"/>
        <v>14.700143134814816</v>
      </c>
      <c r="X215" s="9"/>
      <c r="Y215" s="22">
        <v>0.68771400000000005</v>
      </c>
      <c r="Z215" s="22">
        <v>17.135100000000001</v>
      </c>
      <c r="AA215" s="22">
        <v>-1.3159199999999999E-2</v>
      </c>
      <c r="AB215" s="22">
        <v>205</v>
      </c>
      <c r="AC215" s="22">
        <v>0.68701199999999996</v>
      </c>
      <c r="AD215">
        <f t="shared" si="40"/>
        <v>16.245925925925924</v>
      </c>
      <c r="AE215">
        <f t="shared" si="41"/>
        <v>11.172550702222221</v>
      </c>
      <c r="AF215" s="9"/>
      <c r="AG215" s="22">
        <v>0.93231200000000003</v>
      </c>
      <c r="AH215" s="22">
        <v>20.793199999999999</v>
      </c>
      <c r="AI215" s="22">
        <v>-1.2893699999999999E-2</v>
      </c>
      <c r="AJ215" s="22">
        <v>205</v>
      </c>
      <c r="AK215" s="22">
        <v>0.930786</v>
      </c>
      <c r="AL215">
        <f t="shared" si="42"/>
        <v>15.918148148148147</v>
      </c>
      <c r="AM215">
        <f t="shared" si="43"/>
        <v>14.840680536296295</v>
      </c>
      <c r="AP215" s="9"/>
      <c r="AQ215" s="22">
        <v>0.68771400000000005</v>
      </c>
      <c r="AR215" s="22">
        <v>26.129300000000001</v>
      </c>
      <c r="AS215" s="22">
        <v>-1.32324E-2</v>
      </c>
      <c r="AT215" s="22">
        <v>205</v>
      </c>
      <c r="AU215" s="22">
        <v>0.68707300000000004</v>
      </c>
      <c r="AV215">
        <f t="shared" si="44"/>
        <v>16.336296296296297</v>
      </c>
      <c r="AW215">
        <f t="shared" si="45"/>
        <v>11.234699671111112</v>
      </c>
      <c r="AX215" s="9"/>
      <c r="AY215" s="22">
        <v>0.93231200000000003</v>
      </c>
      <c r="AZ215" s="22">
        <v>29.787400000000002</v>
      </c>
      <c r="BA215" s="22">
        <v>-1.28662E-2</v>
      </c>
      <c r="BB215" s="22">
        <v>205</v>
      </c>
      <c r="BC215" s="22">
        <v>0.931091</v>
      </c>
      <c r="BD215">
        <f t="shared" si="46"/>
        <v>15.884197530864196</v>
      </c>
      <c r="BE215">
        <f t="shared" si="47"/>
        <v>14.809027968395061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8.1349599999999995</v>
      </c>
      <c r="I216" s="22">
        <v>-1.27808E-2</v>
      </c>
      <c r="J216" s="22">
        <v>206</v>
      </c>
      <c r="K216" s="22">
        <v>0.68200700000000003</v>
      </c>
      <c r="L216">
        <f t="shared" si="36"/>
        <v>15.778765432098764</v>
      </c>
      <c r="M216">
        <f t="shared" si="37"/>
        <v>10.771816027654319</v>
      </c>
      <c r="N216" s="9"/>
      <c r="O216" s="22">
        <v>0.93734700000000004</v>
      </c>
      <c r="P216" s="22">
        <v>11.792999999999999</v>
      </c>
      <c r="Q216" s="22">
        <v>-1.27563E-2</v>
      </c>
      <c r="R216" s="22">
        <v>206</v>
      </c>
      <c r="S216" s="22">
        <v>0.93627899999999997</v>
      </c>
      <c r="T216">
        <f t="shared" si="38"/>
        <v>15.748518518518516</v>
      </c>
      <c r="U216">
        <f t="shared" si="39"/>
        <v>14.761826587777776</v>
      </c>
      <c r="X216" s="9"/>
      <c r="Y216" s="22">
        <v>0.68267800000000001</v>
      </c>
      <c r="Z216" s="22">
        <v>17.145199999999999</v>
      </c>
      <c r="AA216" s="22">
        <v>-1.31561E-2</v>
      </c>
      <c r="AB216" s="22">
        <v>206</v>
      </c>
      <c r="AC216" s="22">
        <v>0.68194600000000005</v>
      </c>
      <c r="AD216">
        <f t="shared" si="40"/>
        <v>16.2420987654321</v>
      </c>
      <c r="AE216">
        <f t="shared" si="41"/>
        <v>11.088123500987656</v>
      </c>
      <c r="AF216" s="9"/>
      <c r="AG216" s="22">
        <v>0.93734700000000004</v>
      </c>
      <c r="AH216" s="22">
        <v>20.8032</v>
      </c>
      <c r="AI216" s="22">
        <v>-1.28784E-2</v>
      </c>
      <c r="AJ216" s="22">
        <v>206</v>
      </c>
      <c r="AK216" s="22">
        <v>0.93658399999999997</v>
      </c>
      <c r="AL216">
        <f t="shared" si="42"/>
        <v>15.899259259259258</v>
      </c>
      <c r="AM216">
        <f t="shared" si="43"/>
        <v>14.903122968888889</v>
      </c>
      <c r="AP216" s="9"/>
      <c r="AQ216" s="22">
        <v>0.68267800000000001</v>
      </c>
      <c r="AR216" s="22">
        <v>26.139399999999998</v>
      </c>
      <c r="AS216" s="22">
        <v>-1.3241599999999999E-2</v>
      </c>
      <c r="AT216" s="22">
        <v>206</v>
      </c>
      <c r="AU216" s="22">
        <v>0.68197600000000003</v>
      </c>
      <c r="AV216">
        <f t="shared" si="44"/>
        <v>16.347654320987651</v>
      </c>
      <c r="AW216">
        <f t="shared" si="45"/>
        <v>11.160183956543207</v>
      </c>
      <c r="AX216" s="9"/>
      <c r="AY216" s="22">
        <v>0.93734700000000004</v>
      </c>
      <c r="AZ216" s="22">
        <v>29.7974</v>
      </c>
      <c r="BA216" s="22">
        <v>-1.28632E-2</v>
      </c>
      <c r="BB216" s="22">
        <v>206</v>
      </c>
      <c r="BC216" s="22">
        <v>0.93627899999999997</v>
      </c>
      <c r="BD216">
        <f t="shared" si="46"/>
        <v>15.880493827160493</v>
      </c>
      <c r="BE216">
        <f t="shared" si="47"/>
        <v>14.885533247407407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8.1450399999999998</v>
      </c>
      <c r="I217" s="22">
        <v>-1.27869E-2</v>
      </c>
      <c r="J217" s="22">
        <v>207</v>
      </c>
      <c r="K217" s="22">
        <v>0.67700199999999999</v>
      </c>
      <c r="L217">
        <f t="shared" si="36"/>
        <v>15.786296296296294</v>
      </c>
      <c r="M217">
        <f t="shared" si="37"/>
        <v>10.697473181111109</v>
      </c>
      <c r="N217" s="9"/>
      <c r="O217" s="22">
        <v>0.94238299999999997</v>
      </c>
      <c r="P217" s="22">
        <v>11.803100000000001</v>
      </c>
      <c r="Q217" s="22">
        <v>-1.27472E-2</v>
      </c>
      <c r="R217" s="22">
        <v>207</v>
      </c>
      <c r="S217" s="22">
        <v>0.94116200000000005</v>
      </c>
      <c r="T217">
        <f t="shared" si="38"/>
        <v>15.737283950617284</v>
      </c>
      <c r="U217">
        <f t="shared" si="39"/>
        <v>14.830548861234568</v>
      </c>
      <c r="X217" s="9"/>
      <c r="Y217" s="22">
        <v>0.677643</v>
      </c>
      <c r="Z217" s="22">
        <v>17.155200000000001</v>
      </c>
      <c r="AA217" s="22">
        <v>-1.31561E-2</v>
      </c>
      <c r="AB217" s="22">
        <v>207</v>
      </c>
      <c r="AC217" s="22">
        <v>0.67703199999999997</v>
      </c>
      <c r="AD217">
        <f t="shared" si="40"/>
        <v>16.2420987654321</v>
      </c>
      <c r="AE217">
        <f t="shared" si="41"/>
        <v>11.006344533703704</v>
      </c>
      <c r="AF217" s="9"/>
      <c r="AG217" s="22">
        <v>0.94238299999999997</v>
      </c>
      <c r="AH217" s="22">
        <v>20.813300000000002</v>
      </c>
      <c r="AI217" s="22">
        <v>-1.28571E-2</v>
      </c>
      <c r="AJ217" s="22">
        <v>207</v>
      </c>
      <c r="AK217" s="22">
        <v>0.94146700000000005</v>
      </c>
      <c r="AL217">
        <f t="shared" si="42"/>
        <v>15.87296296296296</v>
      </c>
      <c r="AM217">
        <f t="shared" si="43"/>
        <v>14.958410455925923</v>
      </c>
      <c r="AP217" s="9"/>
      <c r="AQ217" s="22">
        <v>0.677643</v>
      </c>
      <c r="AR217" s="22">
        <v>26.1495</v>
      </c>
      <c r="AS217" s="22">
        <v>-1.32385E-2</v>
      </c>
      <c r="AT217" s="22">
        <v>207</v>
      </c>
      <c r="AU217" s="22">
        <v>0.67703199999999997</v>
      </c>
      <c r="AV217">
        <f t="shared" si="44"/>
        <v>16.343827160493824</v>
      </c>
      <c r="AW217">
        <f t="shared" si="45"/>
        <v>11.075280068518516</v>
      </c>
      <c r="AX217" s="9"/>
      <c r="AY217" s="22">
        <v>0.94238299999999997</v>
      </c>
      <c r="AZ217" s="22">
        <v>29.807500000000001</v>
      </c>
      <c r="BA217" s="22">
        <v>-1.28632E-2</v>
      </c>
      <c r="BB217" s="22">
        <v>207</v>
      </c>
      <c r="BC217" s="22">
        <v>0.94146700000000005</v>
      </c>
      <c r="BD217">
        <f t="shared" si="46"/>
        <v>15.880493827160493</v>
      </c>
      <c r="BE217">
        <f t="shared" si="47"/>
        <v>14.965507414320985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8.1551100000000005</v>
      </c>
      <c r="I218" s="22">
        <v>-1.2799100000000001E-2</v>
      </c>
      <c r="J218" s="22">
        <v>208</v>
      </c>
      <c r="K218" s="22">
        <v>0.671906</v>
      </c>
      <c r="L218">
        <f t="shared" si="36"/>
        <v>15.801358024691359</v>
      </c>
      <c r="M218">
        <f t="shared" si="37"/>
        <v>10.62810401691358</v>
      </c>
      <c r="N218" s="9"/>
      <c r="O218" s="22">
        <v>0.94741799999999998</v>
      </c>
      <c r="P218" s="22">
        <v>11.8132</v>
      </c>
      <c r="Q218" s="22">
        <v>-1.2737999999999999E-2</v>
      </c>
      <c r="R218" s="22">
        <v>208</v>
      </c>
      <c r="S218" s="22">
        <v>0.94635000000000002</v>
      </c>
      <c r="T218">
        <f t="shared" si="38"/>
        <v>15.725925925925925</v>
      </c>
      <c r="U218">
        <f t="shared" si="39"/>
        <v>14.899025288888888</v>
      </c>
      <c r="X218" s="9"/>
      <c r="Y218" s="22">
        <v>0.67260699999999995</v>
      </c>
      <c r="Z218" s="22">
        <v>17.165299999999998</v>
      </c>
      <c r="AA218" s="22">
        <v>-1.3159199999999999E-2</v>
      </c>
      <c r="AB218" s="22">
        <v>208</v>
      </c>
      <c r="AC218" s="22">
        <v>0.67193599999999998</v>
      </c>
      <c r="AD218">
        <f t="shared" si="40"/>
        <v>16.245925925925924</v>
      </c>
      <c r="AE218">
        <f t="shared" si="41"/>
        <v>10.927123499259258</v>
      </c>
      <c r="AF218" s="9"/>
      <c r="AG218" s="22">
        <v>0.94741799999999998</v>
      </c>
      <c r="AH218" s="22">
        <v>20.823399999999999</v>
      </c>
      <c r="AI218" s="22">
        <v>-1.28418E-2</v>
      </c>
      <c r="AJ218" s="22">
        <v>208</v>
      </c>
      <c r="AK218" s="22">
        <v>0.94635000000000002</v>
      </c>
      <c r="AL218">
        <f t="shared" si="42"/>
        <v>15.854074074074072</v>
      </c>
      <c r="AM218">
        <f t="shared" si="43"/>
        <v>15.020435151111108</v>
      </c>
      <c r="AP218" s="9"/>
      <c r="AQ218" s="22">
        <v>0.67260699999999995</v>
      </c>
      <c r="AR218" s="22">
        <v>26.159500000000001</v>
      </c>
      <c r="AS218" s="22">
        <v>-1.32446E-2</v>
      </c>
      <c r="AT218" s="22">
        <v>208</v>
      </c>
      <c r="AU218" s="22">
        <v>0.671906</v>
      </c>
      <c r="AV218">
        <f t="shared" si="44"/>
        <v>16.351358024691358</v>
      </c>
      <c r="AW218">
        <f t="shared" si="45"/>
        <v>10.998037866913579</v>
      </c>
      <c r="AX218" s="9"/>
      <c r="AY218" s="22">
        <v>0.94741799999999998</v>
      </c>
      <c r="AZ218" s="22">
        <v>29.817599999999999</v>
      </c>
      <c r="BA218" s="22">
        <v>-1.28571E-2</v>
      </c>
      <c r="BB218" s="22">
        <v>208</v>
      </c>
      <c r="BC218" s="22">
        <v>0.94665500000000002</v>
      </c>
      <c r="BD218">
        <f t="shared" si="46"/>
        <v>15.87296296296296</v>
      </c>
      <c r="BE218">
        <f t="shared" si="47"/>
        <v>15.038330824444442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8.1651799999999994</v>
      </c>
      <c r="I219" s="22">
        <v>-1.2811299999999999E-2</v>
      </c>
      <c r="J219" s="22">
        <v>209</v>
      </c>
      <c r="K219" s="22">
        <v>0.66690099999999997</v>
      </c>
      <c r="L219">
        <f t="shared" si="36"/>
        <v>15.816419753086418</v>
      </c>
      <c r="M219">
        <f t="shared" si="37"/>
        <v>10.558598967407407</v>
      </c>
      <c r="N219" s="9"/>
      <c r="O219" s="22">
        <v>0.95245400000000002</v>
      </c>
      <c r="P219" s="22">
        <v>11.8232</v>
      </c>
      <c r="Q219" s="22">
        <v>-1.27197E-2</v>
      </c>
      <c r="R219" s="22">
        <v>209</v>
      </c>
      <c r="S219" s="22">
        <v>0.951233</v>
      </c>
      <c r="T219">
        <f t="shared" si="38"/>
        <v>15.703333333333333</v>
      </c>
      <c r="U219">
        <f t="shared" si="39"/>
        <v>14.956702646666667</v>
      </c>
      <c r="X219" s="9"/>
      <c r="Y219" s="22">
        <v>0.66757200000000005</v>
      </c>
      <c r="Z219" s="22">
        <v>17.1754</v>
      </c>
      <c r="AA219" s="22">
        <v>-1.3159199999999999E-2</v>
      </c>
      <c r="AB219" s="22">
        <v>209</v>
      </c>
      <c r="AC219" s="22">
        <v>0.66693100000000005</v>
      </c>
      <c r="AD219">
        <f t="shared" si="40"/>
        <v>16.245925925925924</v>
      </c>
      <c r="AE219">
        <f t="shared" si="41"/>
        <v>10.845325262222222</v>
      </c>
      <c r="AF219" s="9"/>
      <c r="AG219" s="22">
        <v>0.95245400000000002</v>
      </c>
      <c r="AH219" s="22">
        <v>20.833400000000001</v>
      </c>
      <c r="AI219" s="22">
        <v>-1.28235E-2</v>
      </c>
      <c r="AJ219" s="22">
        <v>209</v>
      </c>
      <c r="AK219" s="22">
        <v>0.95184299999999999</v>
      </c>
      <c r="AL219">
        <f t="shared" si="42"/>
        <v>15.831481481481481</v>
      </c>
      <c r="AM219">
        <f t="shared" si="43"/>
        <v>15.078757862962963</v>
      </c>
      <c r="AP219" s="9"/>
      <c r="AQ219" s="22">
        <v>0.66757200000000005</v>
      </c>
      <c r="AR219" s="22">
        <v>26.169599999999999</v>
      </c>
      <c r="AS219" s="22">
        <v>-1.32385E-2</v>
      </c>
      <c r="AT219" s="22">
        <v>209</v>
      </c>
      <c r="AU219" s="22">
        <v>0.66686999999999996</v>
      </c>
      <c r="AV219">
        <f t="shared" si="44"/>
        <v>16.343827160493824</v>
      </c>
      <c r="AW219">
        <f t="shared" si="45"/>
        <v>10.910681385185184</v>
      </c>
      <c r="AX219" s="9"/>
      <c r="AY219" s="22">
        <v>0.95245400000000002</v>
      </c>
      <c r="AZ219" s="22">
        <v>29.8277</v>
      </c>
      <c r="BA219" s="22">
        <v>-1.28448E-2</v>
      </c>
      <c r="BB219" s="22">
        <v>209</v>
      </c>
      <c r="BC219" s="22">
        <v>0.95153799999999999</v>
      </c>
      <c r="BD219">
        <f t="shared" si="46"/>
        <v>15.857777777777777</v>
      </c>
      <c r="BE219">
        <f t="shared" si="47"/>
        <v>15.103803875555554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8.1752500000000001</v>
      </c>
      <c r="I220" s="22">
        <v>-1.28174E-2</v>
      </c>
      <c r="J220" s="22">
        <v>210</v>
      </c>
      <c r="K220" s="22">
        <v>0.66192600000000001</v>
      </c>
      <c r="L220">
        <f t="shared" si="36"/>
        <v>15.82395061728395</v>
      </c>
      <c r="M220">
        <f t="shared" si="37"/>
        <v>10.483952770123457</v>
      </c>
      <c r="N220" s="9"/>
      <c r="O220" s="22">
        <v>0.95748900000000003</v>
      </c>
      <c r="P220" s="22">
        <v>11.833299999999999</v>
      </c>
      <c r="Q220" s="22">
        <v>-1.27075E-2</v>
      </c>
      <c r="R220" s="22">
        <v>210</v>
      </c>
      <c r="S220" s="22">
        <v>0.95642099999999997</v>
      </c>
      <c r="T220">
        <f t="shared" si="38"/>
        <v>15.68827160493827</v>
      </c>
      <c r="U220">
        <f t="shared" si="39"/>
        <v>15.021347490740741</v>
      </c>
      <c r="X220" s="9"/>
      <c r="Y220" s="22">
        <v>0.66253700000000004</v>
      </c>
      <c r="Z220" s="22">
        <v>17.185500000000001</v>
      </c>
      <c r="AA220" s="22">
        <v>-1.3159199999999999E-2</v>
      </c>
      <c r="AB220" s="22">
        <v>210</v>
      </c>
      <c r="AC220" s="22">
        <v>0.66189600000000004</v>
      </c>
      <c r="AD220">
        <f t="shared" si="40"/>
        <v>16.245925925925924</v>
      </c>
      <c r="AE220">
        <f t="shared" si="41"/>
        <v>10.763527025185185</v>
      </c>
      <c r="AF220" s="9"/>
      <c r="AG220" s="22">
        <v>0.95748900000000003</v>
      </c>
      <c r="AH220" s="22">
        <v>20.843499999999999</v>
      </c>
      <c r="AI220" s="22">
        <v>-1.28235E-2</v>
      </c>
      <c r="AJ220" s="22">
        <v>210</v>
      </c>
      <c r="AK220" s="22">
        <v>0.95703099999999997</v>
      </c>
      <c r="AL220">
        <f t="shared" si="42"/>
        <v>15.831481481481481</v>
      </c>
      <c r="AM220">
        <f t="shared" si="43"/>
        <v>15.158469372222221</v>
      </c>
      <c r="AP220" s="9"/>
      <c r="AQ220" s="22">
        <v>0.66253700000000004</v>
      </c>
      <c r="AR220" s="22">
        <v>26.1797</v>
      </c>
      <c r="AS220" s="22">
        <v>-1.3235500000000001E-2</v>
      </c>
      <c r="AT220" s="22">
        <v>210</v>
      </c>
      <c r="AU220" s="22">
        <v>0.66189600000000004</v>
      </c>
      <c r="AV220">
        <f t="shared" si="44"/>
        <v>16.340123456790124</v>
      </c>
      <c r="AW220">
        <f t="shared" si="45"/>
        <v>10.825936374691359</v>
      </c>
      <c r="AX220" s="9"/>
      <c r="AY220" s="22">
        <v>0.95748900000000003</v>
      </c>
      <c r="AZ220" s="22">
        <v>29.837700000000002</v>
      </c>
      <c r="BA220" s="22">
        <v>-1.28387E-2</v>
      </c>
      <c r="BB220" s="22">
        <v>210</v>
      </c>
      <c r="BC220" s="22">
        <v>0.95642099999999997</v>
      </c>
      <c r="BD220">
        <f t="shared" si="46"/>
        <v>15.850246913580245</v>
      </c>
      <c r="BE220">
        <f t="shared" si="47"/>
        <v>15.176437067037035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8.1853200000000008</v>
      </c>
      <c r="I221" s="22">
        <v>-1.2814300000000001E-2</v>
      </c>
      <c r="J221" s="22">
        <v>211</v>
      </c>
      <c r="K221" s="22">
        <v>0.656891</v>
      </c>
      <c r="L221">
        <f t="shared" si="36"/>
        <v>15.820123456790125</v>
      </c>
      <c r="M221">
        <f t="shared" si="37"/>
        <v>10.401746992962964</v>
      </c>
      <c r="N221" s="9"/>
      <c r="O221" s="22">
        <v>0.96252400000000005</v>
      </c>
      <c r="P221" s="22">
        <v>11.843400000000001</v>
      </c>
      <c r="Q221" s="22">
        <v>-1.26984E-2</v>
      </c>
      <c r="R221" s="22">
        <v>211</v>
      </c>
      <c r="S221" s="22">
        <v>0.96160900000000005</v>
      </c>
      <c r="T221">
        <f t="shared" si="38"/>
        <v>15.677037037037039</v>
      </c>
      <c r="U221">
        <f t="shared" si="39"/>
        <v>15.089524397037039</v>
      </c>
      <c r="X221" s="9"/>
      <c r="Y221" s="22">
        <v>0.657501</v>
      </c>
      <c r="Z221" s="22">
        <v>17.195499999999999</v>
      </c>
      <c r="AA221" s="22">
        <v>-1.31714E-2</v>
      </c>
      <c r="AB221" s="22">
        <v>211</v>
      </c>
      <c r="AC221" s="22">
        <v>0.65679900000000002</v>
      </c>
      <c r="AD221">
        <f t="shared" si="40"/>
        <v>16.260987654320989</v>
      </c>
      <c r="AE221">
        <f t="shared" si="41"/>
        <v>10.691615643703704</v>
      </c>
      <c r="AF221" s="9"/>
      <c r="AG221" s="22">
        <v>0.96252400000000005</v>
      </c>
      <c r="AH221" s="22">
        <v>20.8536</v>
      </c>
      <c r="AI221" s="22">
        <v>-1.2826499999999999E-2</v>
      </c>
      <c r="AJ221" s="22">
        <v>211</v>
      </c>
      <c r="AK221" s="22">
        <v>0.96160900000000005</v>
      </c>
      <c r="AL221">
        <f t="shared" si="42"/>
        <v>15.835185185185185</v>
      </c>
      <c r="AM221">
        <f t="shared" si="43"/>
        <v>15.241745785185186</v>
      </c>
      <c r="AP221" s="9"/>
      <c r="AQ221" s="22">
        <v>0.657501</v>
      </c>
      <c r="AR221" s="22">
        <v>26.189699999999998</v>
      </c>
      <c r="AS221" s="22">
        <v>-1.3229400000000001E-2</v>
      </c>
      <c r="AT221" s="22">
        <v>211</v>
      </c>
      <c r="AU221" s="22">
        <v>0.65686</v>
      </c>
      <c r="AV221">
        <f t="shared" si="44"/>
        <v>16.332592592592594</v>
      </c>
      <c r="AW221">
        <f t="shared" si="45"/>
        <v>10.738695962222224</v>
      </c>
      <c r="AX221" s="9"/>
      <c r="AY221" s="22">
        <v>0.96252400000000005</v>
      </c>
      <c r="AZ221" s="22">
        <v>29.847799999999999</v>
      </c>
      <c r="BA221" s="22">
        <v>-1.28326E-2</v>
      </c>
      <c r="BB221" s="22">
        <v>211</v>
      </c>
      <c r="BC221" s="22">
        <v>0.96099900000000005</v>
      </c>
      <c r="BD221">
        <f t="shared" si="46"/>
        <v>15.842716049382712</v>
      </c>
      <c r="BE221">
        <f t="shared" si="47"/>
        <v>15.248994422716047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8.1953899999999997</v>
      </c>
      <c r="I222" s="22">
        <v>-1.2826499999999999E-2</v>
      </c>
      <c r="J222" s="22">
        <v>212</v>
      </c>
      <c r="K222" s="22">
        <v>0.65185499999999996</v>
      </c>
      <c r="L222">
        <f t="shared" si="36"/>
        <v>15.835185185185185</v>
      </c>
      <c r="M222">
        <f t="shared" si="37"/>
        <v>10.331919937037037</v>
      </c>
      <c r="N222" s="9"/>
      <c r="O222" s="22">
        <v>0.96755999999999998</v>
      </c>
      <c r="P222" s="22">
        <v>11.853400000000001</v>
      </c>
      <c r="Q222" s="22">
        <v>-1.27014E-2</v>
      </c>
      <c r="R222" s="22">
        <v>212</v>
      </c>
      <c r="S222" s="22">
        <v>0.96618700000000002</v>
      </c>
      <c r="T222">
        <f t="shared" si="38"/>
        <v>15.680740740740738</v>
      </c>
      <c r="U222">
        <f t="shared" si="39"/>
        <v>15.172057511111108</v>
      </c>
      <c r="X222" s="9"/>
      <c r="Y222" s="22">
        <v>0.65246599999999999</v>
      </c>
      <c r="Z222" s="22">
        <v>17.2056</v>
      </c>
      <c r="AA222" s="22">
        <v>-1.31836E-2</v>
      </c>
      <c r="AB222" s="22">
        <v>212</v>
      </c>
      <c r="AC222" s="22">
        <v>0.65185499999999996</v>
      </c>
      <c r="AD222">
        <f t="shared" si="40"/>
        <v>16.276049382716046</v>
      </c>
      <c r="AE222">
        <f t="shared" si="41"/>
        <v>10.619568836543207</v>
      </c>
      <c r="AF222" s="9"/>
      <c r="AG222" s="22">
        <v>0.96755999999999998</v>
      </c>
      <c r="AH222" s="22">
        <v>20.863600000000002</v>
      </c>
      <c r="AI222" s="22">
        <v>-1.2826499999999999E-2</v>
      </c>
      <c r="AJ222" s="22">
        <v>212</v>
      </c>
      <c r="AK222" s="22">
        <v>0.96679700000000002</v>
      </c>
      <c r="AL222">
        <f t="shared" si="42"/>
        <v>15.835185185185185</v>
      </c>
      <c r="AM222">
        <f t="shared" si="43"/>
        <v>15.321491777777778</v>
      </c>
      <c r="AP222" s="9"/>
      <c r="AQ222" s="22">
        <v>0.65246599999999999</v>
      </c>
      <c r="AR222" s="22">
        <v>26.1998</v>
      </c>
      <c r="AS222" s="22">
        <v>-1.3229400000000001E-2</v>
      </c>
      <c r="AT222" s="22">
        <v>212</v>
      </c>
      <c r="AU222" s="22">
        <v>0.65179399999999998</v>
      </c>
      <c r="AV222">
        <f t="shared" si="44"/>
        <v>16.332592592592594</v>
      </c>
      <c r="AW222">
        <f t="shared" si="45"/>
        <v>10.65646135851852</v>
      </c>
      <c r="AX222" s="9"/>
      <c r="AY222" s="22">
        <v>0.96755999999999998</v>
      </c>
      <c r="AZ222" s="22">
        <v>29.857900000000001</v>
      </c>
      <c r="BA222" s="22">
        <v>-1.28326E-2</v>
      </c>
      <c r="BB222" s="22">
        <v>212</v>
      </c>
      <c r="BC222" s="22">
        <v>0.96618700000000002</v>
      </c>
      <c r="BD222">
        <f t="shared" si="46"/>
        <v>15.842716049382712</v>
      </c>
      <c r="BE222">
        <f t="shared" si="47"/>
        <v>15.328778340740737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8.2054600000000004</v>
      </c>
      <c r="I223" s="22">
        <v>-1.28235E-2</v>
      </c>
      <c r="J223" s="22">
        <v>213</v>
      </c>
      <c r="K223" s="22">
        <v>0.64675899999999997</v>
      </c>
      <c r="L223">
        <f t="shared" si="36"/>
        <v>15.831481481481481</v>
      </c>
      <c r="M223">
        <f t="shared" si="37"/>
        <v>10.249776055555554</v>
      </c>
      <c r="N223" s="9"/>
      <c r="O223" s="22">
        <v>0.97259499999999999</v>
      </c>
      <c r="P223" s="22">
        <v>11.8635</v>
      </c>
      <c r="Q223" s="22">
        <v>-1.2704500000000001E-2</v>
      </c>
      <c r="R223" s="22">
        <v>213</v>
      </c>
      <c r="S223" s="22">
        <v>0.97137499999999999</v>
      </c>
      <c r="T223">
        <f t="shared" si="38"/>
        <v>15.684567901234566</v>
      </c>
      <c r="U223">
        <f t="shared" si="39"/>
        <v>15.254732317901231</v>
      </c>
      <c r="X223" s="9"/>
      <c r="Y223" s="22">
        <v>0.64742999999999995</v>
      </c>
      <c r="Z223" s="22">
        <v>17.215699999999998</v>
      </c>
      <c r="AA223" s="22">
        <v>-1.3201900000000001E-2</v>
      </c>
      <c r="AB223" s="22">
        <v>213</v>
      </c>
      <c r="AC223" s="22">
        <v>0.64681999999999995</v>
      </c>
      <c r="AD223">
        <f t="shared" si="40"/>
        <v>16.298641975308641</v>
      </c>
      <c r="AE223">
        <f t="shared" si="41"/>
        <v>10.552229774074073</v>
      </c>
      <c r="AF223" s="9"/>
      <c r="AG223" s="22">
        <v>0.97259499999999999</v>
      </c>
      <c r="AH223" s="22">
        <v>20.873699999999999</v>
      </c>
      <c r="AI223" s="22">
        <v>-1.2820399999999999E-2</v>
      </c>
      <c r="AJ223" s="22">
        <v>213</v>
      </c>
      <c r="AK223" s="22">
        <v>0.97137499999999999</v>
      </c>
      <c r="AL223">
        <f t="shared" si="42"/>
        <v>15.827654320987653</v>
      </c>
      <c r="AM223">
        <f t="shared" si="43"/>
        <v>15.393897454320987</v>
      </c>
      <c r="AP223" s="9"/>
      <c r="AQ223" s="22">
        <v>0.64742999999999995</v>
      </c>
      <c r="AR223" s="22">
        <v>26.209900000000001</v>
      </c>
      <c r="AS223" s="22">
        <v>-1.3241599999999999E-2</v>
      </c>
      <c r="AT223" s="22">
        <v>213</v>
      </c>
      <c r="AU223" s="22">
        <v>0.64675899999999997</v>
      </c>
      <c r="AV223">
        <f t="shared" si="44"/>
        <v>16.347654320987651</v>
      </c>
      <c r="AW223">
        <f t="shared" si="45"/>
        <v>10.583961837037034</v>
      </c>
      <c r="AX223" s="9"/>
      <c r="AY223" s="22">
        <v>0.97259499999999999</v>
      </c>
      <c r="AZ223" s="22">
        <v>29.867899999999999</v>
      </c>
      <c r="BA223" s="22">
        <v>-1.2826499999999999E-2</v>
      </c>
      <c r="BB223" s="22">
        <v>213</v>
      </c>
      <c r="BC223" s="22">
        <v>0.97167999999999999</v>
      </c>
      <c r="BD223">
        <f t="shared" si="46"/>
        <v>15.835185185185185</v>
      </c>
      <c r="BE223">
        <f t="shared" si="47"/>
        <v>15.401221935185186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8.2155299999999993</v>
      </c>
      <c r="I224" s="22">
        <v>-1.2820399999999999E-2</v>
      </c>
      <c r="J224" s="22">
        <v>214</v>
      </c>
      <c r="K224" s="22">
        <v>0.64178500000000005</v>
      </c>
      <c r="L224">
        <f t="shared" si="36"/>
        <v>15.827654320987653</v>
      </c>
      <c r="M224">
        <f t="shared" si="37"/>
        <v>10.167605997530865</v>
      </c>
      <c r="N224" s="9"/>
      <c r="O224" s="22">
        <v>0.97763100000000003</v>
      </c>
      <c r="P224" s="22">
        <v>11.8736</v>
      </c>
      <c r="Q224" s="22">
        <v>-1.27075E-2</v>
      </c>
      <c r="R224" s="22">
        <v>214</v>
      </c>
      <c r="S224" s="22">
        <v>0.97595200000000004</v>
      </c>
      <c r="T224">
        <f t="shared" si="38"/>
        <v>15.68827160493827</v>
      </c>
      <c r="U224">
        <f t="shared" si="39"/>
        <v>15.337340657407406</v>
      </c>
      <c r="X224" s="9"/>
      <c r="Y224" s="22">
        <v>0.64239500000000005</v>
      </c>
      <c r="Z224" s="22">
        <v>17.2257</v>
      </c>
      <c r="AA224" s="22">
        <v>-1.3207999999999999E-2</v>
      </c>
      <c r="AB224" s="22">
        <v>214</v>
      </c>
      <c r="AC224" s="22">
        <v>0.64172399999999996</v>
      </c>
      <c r="AD224">
        <f t="shared" si="40"/>
        <v>16.306172839506171</v>
      </c>
      <c r="AE224">
        <f t="shared" si="41"/>
        <v>10.475003901234567</v>
      </c>
      <c r="AF224" s="9"/>
      <c r="AG224" s="22">
        <v>0.97763100000000003</v>
      </c>
      <c r="AH224" s="22">
        <v>20.883800000000001</v>
      </c>
      <c r="AI224" s="22">
        <v>-1.28174E-2</v>
      </c>
      <c r="AJ224" s="22">
        <v>214</v>
      </c>
      <c r="AK224" s="22">
        <v>0.97686799999999996</v>
      </c>
      <c r="AL224">
        <f t="shared" si="42"/>
        <v>15.82395061728395</v>
      </c>
      <c r="AM224">
        <f t="shared" si="43"/>
        <v>15.469984665925926</v>
      </c>
      <c r="AP224" s="9"/>
      <c r="AQ224" s="22">
        <v>0.64239500000000005</v>
      </c>
      <c r="AR224" s="22">
        <v>26.22</v>
      </c>
      <c r="AS224" s="22">
        <v>-1.3247699999999999E-2</v>
      </c>
      <c r="AT224" s="22">
        <v>214</v>
      </c>
      <c r="AU224" s="22">
        <v>0.64175400000000005</v>
      </c>
      <c r="AV224">
        <f t="shared" si="44"/>
        <v>16.355185185185185</v>
      </c>
      <c r="AW224">
        <f t="shared" si="45"/>
        <v>10.506489187037038</v>
      </c>
      <c r="AX224" s="9"/>
      <c r="AY224" s="22">
        <v>0.97763100000000003</v>
      </c>
      <c r="AZ224" s="22">
        <v>29.878</v>
      </c>
      <c r="BA224" s="22">
        <v>-1.28235E-2</v>
      </c>
      <c r="BB224" s="22">
        <v>214</v>
      </c>
      <c r="BC224" s="22">
        <v>0.97656299999999996</v>
      </c>
      <c r="BD224">
        <f t="shared" si="46"/>
        <v>15.831481481481481</v>
      </c>
      <c r="BE224">
        <f t="shared" si="47"/>
        <v>15.477347072222221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8.2256</v>
      </c>
      <c r="I225" s="22">
        <v>-1.2814300000000001E-2</v>
      </c>
      <c r="J225" s="22">
        <v>215</v>
      </c>
      <c r="K225" s="22">
        <v>0.63671900000000003</v>
      </c>
      <c r="L225">
        <f t="shared" si="36"/>
        <v>15.820123456790125</v>
      </c>
      <c r="M225">
        <f t="shared" si="37"/>
        <v>10.083113886419754</v>
      </c>
      <c r="N225" s="9"/>
      <c r="O225" s="22">
        <v>0.98266600000000004</v>
      </c>
      <c r="P225" s="22">
        <v>11.883699999999999</v>
      </c>
      <c r="Q225" s="22">
        <v>-1.26984E-2</v>
      </c>
      <c r="R225" s="22">
        <v>215</v>
      </c>
      <c r="S225" s="22">
        <v>0.98205600000000004</v>
      </c>
      <c r="T225">
        <f t="shared" si="38"/>
        <v>15.677037037037039</v>
      </c>
      <c r="U225">
        <f t="shared" si="39"/>
        <v>15.405291277037039</v>
      </c>
      <c r="X225" s="9"/>
      <c r="Y225" s="22">
        <v>0.63736000000000004</v>
      </c>
      <c r="Z225" s="22">
        <v>17.235800000000001</v>
      </c>
      <c r="AA225" s="22">
        <v>-1.3201900000000001E-2</v>
      </c>
      <c r="AB225" s="22">
        <v>215</v>
      </c>
      <c r="AC225" s="22">
        <v>0.63678000000000001</v>
      </c>
      <c r="AD225">
        <f t="shared" si="40"/>
        <v>16.298641975308641</v>
      </c>
      <c r="AE225">
        <f t="shared" si="41"/>
        <v>10.388102449382716</v>
      </c>
      <c r="AF225" s="9"/>
      <c r="AG225" s="22">
        <v>0.98266600000000004</v>
      </c>
      <c r="AH225" s="22">
        <v>20.893899999999999</v>
      </c>
      <c r="AI225" s="22">
        <v>-1.2805199999999999E-2</v>
      </c>
      <c r="AJ225" s="22">
        <v>215</v>
      </c>
      <c r="AK225" s="22">
        <v>0.98144500000000001</v>
      </c>
      <c r="AL225">
        <f t="shared" si="42"/>
        <v>15.808888888888886</v>
      </c>
      <c r="AM225">
        <f t="shared" si="43"/>
        <v>15.534857608888887</v>
      </c>
      <c r="AP225" s="9"/>
      <c r="AQ225" s="22">
        <v>0.63736000000000004</v>
      </c>
      <c r="AR225" s="22">
        <v>26.23</v>
      </c>
      <c r="AS225" s="22">
        <v>-1.32538E-2</v>
      </c>
      <c r="AT225" s="22">
        <v>215</v>
      </c>
      <c r="AU225" s="22">
        <v>0.63671900000000003</v>
      </c>
      <c r="AV225">
        <f t="shared" si="44"/>
        <v>16.362716049382716</v>
      </c>
      <c r="AW225">
        <f t="shared" si="45"/>
        <v>10.428940701234568</v>
      </c>
      <c r="AX225" s="9"/>
      <c r="AY225" s="22">
        <v>0.98266600000000004</v>
      </c>
      <c r="AZ225" s="22">
        <v>29.888100000000001</v>
      </c>
      <c r="BA225" s="22">
        <v>-1.2811299999999999E-2</v>
      </c>
      <c r="BB225" s="22">
        <v>215</v>
      </c>
      <c r="BC225" s="22">
        <v>0.98175000000000001</v>
      </c>
      <c r="BD225">
        <f t="shared" si="46"/>
        <v>15.816419753086418</v>
      </c>
      <c r="BE225">
        <f t="shared" si="47"/>
        <v>15.542257933086418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8.2356700000000007</v>
      </c>
      <c r="I226" s="22">
        <v>-1.2805199999999999E-2</v>
      </c>
      <c r="J226" s="22">
        <v>216</v>
      </c>
      <c r="K226" s="22">
        <v>0.63168299999999999</v>
      </c>
      <c r="L226">
        <f t="shared" si="36"/>
        <v>15.808888888888886</v>
      </c>
      <c r="M226">
        <f t="shared" si="37"/>
        <v>9.9963398577777749</v>
      </c>
      <c r="N226" s="9"/>
      <c r="O226" s="22">
        <v>0.98770100000000005</v>
      </c>
      <c r="P226" s="22">
        <v>11.893700000000001</v>
      </c>
      <c r="Q226" s="22">
        <v>-1.2683099999999999E-2</v>
      </c>
      <c r="R226" s="22">
        <v>216</v>
      </c>
      <c r="S226" s="22">
        <v>0.98693799999999998</v>
      </c>
      <c r="T226">
        <f t="shared" si="38"/>
        <v>15.658148148148147</v>
      </c>
      <c r="U226">
        <f t="shared" si="39"/>
        <v>15.465568584074074</v>
      </c>
      <c r="X226" s="9"/>
      <c r="Y226" s="22">
        <v>0.632324</v>
      </c>
      <c r="Z226" s="22">
        <v>17.245899999999999</v>
      </c>
      <c r="AA226" s="22">
        <v>-1.3201900000000001E-2</v>
      </c>
      <c r="AB226" s="22">
        <v>216</v>
      </c>
      <c r="AC226" s="22">
        <v>0.63162200000000002</v>
      </c>
      <c r="AD226">
        <f t="shared" si="40"/>
        <v>16.298641975308641</v>
      </c>
      <c r="AE226">
        <f t="shared" si="41"/>
        <v>10.306022488395062</v>
      </c>
      <c r="AF226" s="9"/>
      <c r="AG226" s="22">
        <v>0.98770100000000005</v>
      </c>
      <c r="AH226" s="22">
        <v>20.9039</v>
      </c>
      <c r="AI226" s="22">
        <v>-1.27869E-2</v>
      </c>
      <c r="AJ226" s="22">
        <v>216</v>
      </c>
      <c r="AK226" s="22">
        <v>0.98663299999999998</v>
      </c>
      <c r="AL226">
        <f t="shared" si="42"/>
        <v>15.786296296296294</v>
      </c>
      <c r="AM226">
        <f t="shared" si="43"/>
        <v>15.592140638148146</v>
      </c>
      <c r="AP226" s="9"/>
      <c r="AQ226" s="22">
        <v>0.632324</v>
      </c>
      <c r="AR226" s="22">
        <v>26.240100000000002</v>
      </c>
      <c r="AS226" s="22">
        <v>-1.3266E-2</v>
      </c>
      <c r="AT226" s="22">
        <v>216</v>
      </c>
      <c r="AU226" s="22">
        <v>0.63168299999999999</v>
      </c>
      <c r="AV226">
        <f t="shared" si="44"/>
        <v>16.377777777777776</v>
      </c>
      <c r="AW226">
        <f t="shared" si="45"/>
        <v>10.356061955555555</v>
      </c>
      <c r="AX226" s="9"/>
      <c r="AY226" s="22">
        <v>0.98770100000000005</v>
      </c>
      <c r="AZ226" s="22">
        <v>29.898199999999999</v>
      </c>
      <c r="BA226" s="22">
        <v>-1.27899E-2</v>
      </c>
      <c r="BB226" s="22">
        <v>216</v>
      </c>
      <c r="BC226" s="22">
        <v>0.98632799999999998</v>
      </c>
      <c r="BD226">
        <f t="shared" si="46"/>
        <v>15.79</v>
      </c>
      <c r="BE226">
        <f t="shared" si="47"/>
        <v>15.59579879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8.2457499999999992</v>
      </c>
      <c r="I227" s="22">
        <v>-1.2811299999999999E-2</v>
      </c>
      <c r="J227" s="22">
        <v>217</v>
      </c>
      <c r="K227" s="22">
        <v>0.62667799999999996</v>
      </c>
      <c r="L227">
        <f t="shared" si="36"/>
        <v>15.816419753086418</v>
      </c>
      <c r="M227">
        <f t="shared" si="37"/>
        <v>9.9214661304938261</v>
      </c>
      <c r="N227" s="9"/>
      <c r="O227" s="22">
        <v>0.99273699999999998</v>
      </c>
      <c r="P227" s="22">
        <v>11.9038</v>
      </c>
      <c r="Q227" s="22">
        <v>-1.26678E-2</v>
      </c>
      <c r="R227" s="22">
        <v>217</v>
      </c>
      <c r="S227" s="22">
        <v>0.99151599999999995</v>
      </c>
      <c r="T227">
        <f t="shared" si="38"/>
        <v>15.639259259259259</v>
      </c>
      <c r="U227">
        <f t="shared" si="39"/>
        <v>15.525671319259258</v>
      </c>
      <c r="X227" s="9"/>
      <c r="Y227" s="22">
        <v>0.62728899999999999</v>
      </c>
      <c r="Z227" s="22">
        <v>17.256</v>
      </c>
      <c r="AA227" s="22">
        <v>-1.3207999999999999E-2</v>
      </c>
      <c r="AB227" s="22">
        <v>217</v>
      </c>
      <c r="AC227" s="22">
        <v>0.62670899999999996</v>
      </c>
      <c r="AD227">
        <f t="shared" si="40"/>
        <v>16.306172839506171</v>
      </c>
      <c r="AE227">
        <f t="shared" si="41"/>
        <v>10.228682854320986</v>
      </c>
      <c r="AF227" s="9"/>
      <c r="AG227" s="22">
        <v>0.99273699999999998</v>
      </c>
      <c r="AH227" s="22">
        <v>20.914000000000001</v>
      </c>
      <c r="AI227" s="22">
        <v>-1.27686E-2</v>
      </c>
      <c r="AJ227" s="22">
        <v>217</v>
      </c>
      <c r="AK227" s="22">
        <v>0.99182099999999995</v>
      </c>
      <c r="AL227">
        <f t="shared" si="42"/>
        <v>15.763703703703703</v>
      </c>
      <c r="AM227">
        <f t="shared" si="43"/>
        <v>15.649211923703703</v>
      </c>
      <c r="AP227" s="9"/>
      <c r="AQ227" s="22">
        <v>0.62728899999999999</v>
      </c>
      <c r="AR227" s="22">
        <v>26.2502</v>
      </c>
      <c r="AS227" s="22">
        <v>-1.32751E-2</v>
      </c>
      <c r="AT227" s="22">
        <v>217</v>
      </c>
      <c r="AU227" s="22">
        <v>0.62661699999999998</v>
      </c>
      <c r="AV227">
        <f t="shared" si="44"/>
        <v>16.38901234567901</v>
      </c>
      <c r="AW227">
        <f t="shared" si="45"/>
        <v>10.28064716530864</v>
      </c>
      <c r="AX227" s="9"/>
      <c r="AY227" s="22">
        <v>0.99273699999999998</v>
      </c>
      <c r="AZ227" s="22">
        <v>29.908200000000001</v>
      </c>
      <c r="BA227" s="22">
        <v>-1.27686E-2</v>
      </c>
      <c r="BB227" s="22">
        <v>217</v>
      </c>
      <c r="BC227" s="22">
        <v>0.99212599999999995</v>
      </c>
      <c r="BD227">
        <f t="shared" si="46"/>
        <v>15.763703703703703</v>
      </c>
      <c r="BE227">
        <f t="shared" si="47"/>
        <v>15.649211923703703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8.2558199999999999</v>
      </c>
      <c r="I228" s="22">
        <v>-1.2814300000000001E-2</v>
      </c>
      <c r="J228" s="22">
        <v>218</v>
      </c>
      <c r="K228" s="22">
        <v>0.62161299999999997</v>
      </c>
      <c r="L228">
        <f t="shared" si="36"/>
        <v>15.820123456790125</v>
      </c>
      <c r="M228">
        <f t="shared" si="37"/>
        <v>9.8441192813580241</v>
      </c>
      <c r="N228" s="9"/>
      <c r="O228" s="22">
        <v>0.99777199999999999</v>
      </c>
      <c r="P228" s="22">
        <v>11.9139</v>
      </c>
      <c r="Q228" s="22">
        <v>-1.2655599999999999E-2</v>
      </c>
      <c r="R228" s="22">
        <v>218</v>
      </c>
      <c r="S228" s="22">
        <v>0.99700900000000003</v>
      </c>
      <c r="T228">
        <f t="shared" si="38"/>
        <v>15.624197530864196</v>
      </c>
      <c r="U228">
        <f t="shared" si="39"/>
        <v>15.58938681876543</v>
      </c>
      <c r="X228" s="9"/>
      <c r="Y228" s="22">
        <v>0.62225299999999995</v>
      </c>
      <c r="Z228" s="22">
        <v>17.265999999999998</v>
      </c>
      <c r="AA228" s="22">
        <v>-1.32172E-2</v>
      </c>
      <c r="AB228" s="22">
        <v>218</v>
      </c>
      <c r="AC228" s="22">
        <v>0.62170400000000003</v>
      </c>
      <c r="AD228">
        <f t="shared" si="40"/>
        <v>16.317530864197529</v>
      </c>
      <c r="AE228">
        <f t="shared" si="41"/>
        <v>10.153632532839504</v>
      </c>
      <c r="AF228" s="9"/>
      <c r="AG228" s="22">
        <v>0.99777199999999999</v>
      </c>
      <c r="AH228" s="22">
        <v>20.924099999999999</v>
      </c>
      <c r="AI228" s="22">
        <v>-1.27563E-2</v>
      </c>
      <c r="AJ228" s="22">
        <v>218</v>
      </c>
      <c r="AK228" s="22">
        <v>0.99670400000000003</v>
      </c>
      <c r="AL228">
        <f t="shared" si="42"/>
        <v>15.748518518518516</v>
      </c>
      <c r="AM228">
        <f t="shared" si="43"/>
        <v>15.713430819259257</v>
      </c>
      <c r="AP228" s="9"/>
      <c r="AQ228" s="22">
        <v>0.62225299999999995</v>
      </c>
      <c r="AR228" s="22">
        <v>26.260200000000001</v>
      </c>
      <c r="AS228" s="22">
        <v>-1.3281299999999999E-2</v>
      </c>
      <c r="AT228" s="22">
        <v>218</v>
      </c>
      <c r="AU228" s="22">
        <v>0.62155199999999999</v>
      </c>
      <c r="AV228">
        <f t="shared" si="44"/>
        <v>16.396666666666665</v>
      </c>
      <c r="AW228">
        <f t="shared" si="45"/>
        <v>10.202875023333331</v>
      </c>
      <c r="AX228" s="9"/>
      <c r="AY228" s="22">
        <v>0.99777199999999999</v>
      </c>
      <c r="AZ228" s="22">
        <v>29.918299999999999</v>
      </c>
      <c r="BA228" s="22">
        <v>-1.27502E-2</v>
      </c>
      <c r="BB228" s="22">
        <v>218</v>
      </c>
      <c r="BC228" s="22">
        <v>0.99670400000000003</v>
      </c>
      <c r="BD228">
        <f t="shared" si="46"/>
        <v>15.740987654320987</v>
      </c>
      <c r="BE228">
        <f t="shared" si="47"/>
        <v>15.705916733827159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8.2658900000000006</v>
      </c>
      <c r="I229" s="22">
        <v>-1.2826499999999999E-2</v>
      </c>
      <c r="J229" s="22">
        <v>219</v>
      </c>
      <c r="K229" s="22">
        <v>0.61654699999999996</v>
      </c>
      <c r="L229">
        <f t="shared" si="36"/>
        <v>15.835185185185185</v>
      </c>
      <c r="M229">
        <f t="shared" si="37"/>
        <v>9.7737613296296306</v>
      </c>
      <c r="N229" s="9"/>
      <c r="O229" s="22">
        <v>1.00281</v>
      </c>
      <c r="P229" s="22">
        <v>11.9239</v>
      </c>
      <c r="Q229" s="22">
        <v>-1.2628199999999999E-2</v>
      </c>
      <c r="R229" s="22">
        <v>219</v>
      </c>
      <c r="S229" s="22">
        <v>1.0018899999999999</v>
      </c>
      <c r="T229">
        <f t="shared" si="38"/>
        <v>15.590370370370369</v>
      </c>
      <c r="U229">
        <f t="shared" si="39"/>
        <v>15.63417931111111</v>
      </c>
      <c r="X229" s="9"/>
      <c r="Y229" s="22">
        <v>0.61721800000000004</v>
      </c>
      <c r="Z229" s="22">
        <v>17.2761</v>
      </c>
      <c r="AA229" s="22">
        <v>-1.32202E-2</v>
      </c>
      <c r="AB229" s="22">
        <v>219</v>
      </c>
      <c r="AC229" s="22">
        <v>0.61660800000000004</v>
      </c>
      <c r="AD229">
        <f t="shared" si="40"/>
        <v>16.321234567901232</v>
      </c>
      <c r="AE229">
        <f t="shared" si="41"/>
        <v>10.073759757530864</v>
      </c>
      <c r="AF229" s="9"/>
      <c r="AG229" s="22">
        <v>1.00281</v>
      </c>
      <c r="AH229" s="22">
        <v>20.934100000000001</v>
      </c>
      <c r="AI229" s="22">
        <v>-1.27472E-2</v>
      </c>
      <c r="AJ229" s="22">
        <v>219</v>
      </c>
      <c r="AK229" s="22">
        <v>1.0022</v>
      </c>
      <c r="AL229">
        <f t="shared" si="42"/>
        <v>15.737283950617284</v>
      </c>
      <c r="AM229">
        <f t="shared" si="43"/>
        <v>15.781505718518519</v>
      </c>
      <c r="AP229" s="9"/>
      <c r="AQ229" s="22">
        <v>0.61721800000000004</v>
      </c>
      <c r="AR229" s="22">
        <v>26.270299999999999</v>
      </c>
      <c r="AS229" s="22">
        <v>-1.3281299999999999E-2</v>
      </c>
      <c r="AT229" s="22">
        <v>219</v>
      </c>
      <c r="AU229" s="22">
        <v>0.61657700000000004</v>
      </c>
      <c r="AV229">
        <f t="shared" si="44"/>
        <v>16.396666666666665</v>
      </c>
      <c r="AW229">
        <f t="shared" si="45"/>
        <v>10.120317806666666</v>
      </c>
      <c r="AX229" s="9"/>
      <c r="AY229" s="22">
        <v>1.00281</v>
      </c>
      <c r="AZ229" s="22">
        <v>29.9284</v>
      </c>
      <c r="BA229" s="22">
        <v>-1.27441E-2</v>
      </c>
      <c r="BB229" s="22">
        <v>219</v>
      </c>
      <c r="BC229" s="22">
        <v>1.0018899999999999</v>
      </c>
      <c r="BD229">
        <f t="shared" si="46"/>
        <v>15.733456790123457</v>
      </c>
      <c r="BE229">
        <f t="shared" si="47"/>
        <v>15.777667803703704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8.2759599999999995</v>
      </c>
      <c r="I230" s="22">
        <v>-1.28326E-2</v>
      </c>
      <c r="J230" s="22">
        <v>220</v>
      </c>
      <c r="K230" s="22">
        <v>0.61160300000000001</v>
      </c>
      <c r="L230">
        <f t="shared" si="36"/>
        <v>15.842716049382712</v>
      </c>
      <c r="M230">
        <f t="shared" si="37"/>
        <v>9.6986414392592568</v>
      </c>
      <c r="N230" s="9"/>
      <c r="O230" s="22">
        <v>1.0078400000000001</v>
      </c>
      <c r="P230" s="22">
        <v>11.933999999999999</v>
      </c>
      <c r="Q230" s="22">
        <v>-1.2600699999999999E-2</v>
      </c>
      <c r="R230" s="22">
        <v>220</v>
      </c>
      <c r="S230" s="22">
        <v>1.0067699999999999</v>
      </c>
      <c r="T230">
        <f t="shared" si="38"/>
        <v>15.556419753086418</v>
      </c>
      <c r="U230">
        <f t="shared" si="39"/>
        <v>15.678382083950616</v>
      </c>
      <c r="X230" s="9"/>
      <c r="Y230" s="22">
        <v>0.61218300000000003</v>
      </c>
      <c r="Z230" s="22">
        <v>17.286200000000001</v>
      </c>
      <c r="AA230" s="22">
        <v>-1.32263E-2</v>
      </c>
      <c r="AB230" s="22">
        <v>220</v>
      </c>
      <c r="AC230" s="22">
        <v>0.61148100000000005</v>
      </c>
      <c r="AD230">
        <f t="shared" si="40"/>
        <v>16.328765432098766</v>
      </c>
      <c r="AE230">
        <f t="shared" si="41"/>
        <v>9.9961926085185198</v>
      </c>
      <c r="AF230" s="9"/>
      <c r="AG230" s="22">
        <v>1.0078400000000001</v>
      </c>
      <c r="AH230" s="22">
        <v>20.944199999999999</v>
      </c>
      <c r="AI230" s="22">
        <v>-1.27289E-2</v>
      </c>
      <c r="AJ230" s="22">
        <v>220</v>
      </c>
      <c r="AK230" s="22">
        <v>1.00647</v>
      </c>
      <c r="AL230">
        <f t="shared" si="42"/>
        <v>15.714691358024689</v>
      </c>
      <c r="AM230">
        <f t="shared" si="43"/>
        <v>15.837894538271604</v>
      </c>
      <c r="AP230" s="9"/>
      <c r="AQ230" s="22">
        <v>0.61218300000000003</v>
      </c>
      <c r="AR230" s="22">
        <v>26.2804</v>
      </c>
      <c r="AS230" s="22">
        <v>-1.32782E-2</v>
      </c>
      <c r="AT230" s="22">
        <v>220</v>
      </c>
      <c r="AU230" s="22">
        <v>0.61154200000000003</v>
      </c>
      <c r="AV230">
        <f t="shared" si="44"/>
        <v>16.392839506172837</v>
      </c>
      <c r="AW230">
        <f t="shared" si="45"/>
        <v>10.035417667407406</v>
      </c>
      <c r="AX230" s="9"/>
      <c r="AY230" s="22">
        <v>1.0078400000000001</v>
      </c>
      <c r="AZ230" s="22">
        <v>29.938400000000001</v>
      </c>
      <c r="BA230" s="22">
        <v>-1.27411E-2</v>
      </c>
      <c r="BB230" s="22">
        <v>220</v>
      </c>
      <c r="BC230" s="22">
        <v>1.00708</v>
      </c>
      <c r="BD230">
        <f t="shared" si="46"/>
        <v>15.729753086419752</v>
      </c>
      <c r="BE230">
        <f t="shared" si="47"/>
        <v>15.853074350617284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8.2860300000000002</v>
      </c>
      <c r="I231" s="22">
        <v>-1.28418E-2</v>
      </c>
      <c r="J231" s="22">
        <v>221</v>
      </c>
      <c r="K231" s="22">
        <v>0.60647600000000002</v>
      </c>
      <c r="L231">
        <f t="shared" si="36"/>
        <v>15.854074074074072</v>
      </c>
      <c r="M231">
        <f t="shared" si="37"/>
        <v>9.6257535118518511</v>
      </c>
      <c r="N231" s="9"/>
      <c r="O231" s="22">
        <v>1.01288</v>
      </c>
      <c r="P231" s="22">
        <v>11.944100000000001</v>
      </c>
      <c r="Q231" s="22">
        <v>-1.2588500000000001E-2</v>
      </c>
      <c r="R231" s="22">
        <v>221</v>
      </c>
      <c r="S231" s="22">
        <v>1.01196</v>
      </c>
      <c r="T231">
        <f t="shared" si="38"/>
        <v>15.541358024691359</v>
      </c>
      <c r="U231">
        <f t="shared" si="39"/>
        <v>15.741530716049384</v>
      </c>
      <c r="X231" s="9"/>
      <c r="Y231" s="22">
        <v>0.60714699999999999</v>
      </c>
      <c r="Z231" s="22">
        <v>17.296199999999999</v>
      </c>
      <c r="AA231" s="22">
        <v>-1.3235500000000001E-2</v>
      </c>
      <c r="AB231" s="22">
        <v>221</v>
      </c>
      <c r="AC231" s="22">
        <v>0.60647600000000002</v>
      </c>
      <c r="AD231">
        <f t="shared" si="40"/>
        <v>16.340123456790124</v>
      </c>
      <c r="AE231">
        <f t="shared" si="41"/>
        <v>9.920856936419753</v>
      </c>
      <c r="AF231" s="9"/>
      <c r="AG231" s="22">
        <v>1.01288</v>
      </c>
      <c r="AH231" s="22">
        <v>20.9543</v>
      </c>
      <c r="AI231" s="22">
        <v>-1.27136E-2</v>
      </c>
      <c r="AJ231" s="22">
        <v>221</v>
      </c>
      <c r="AK231" s="22">
        <v>1.01196</v>
      </c>
      <c r="AL231">
        <f t="shared" si="42"/>
        <v>15.695802469135801</v>
      </c>
      <c r="AM231">
        <f t="shared" si="43"/>
        <v>15.89796440493827</v>
      </c>
      <c r="AP231" s="9"/>
      <c r="AQ231" s="22">
        <v>0.60714699999999999</v>
      </c>
      <c r="AR231" s="22">
        <v>26.290500000000002</v>
      </c>
      <c r="AS231" s="22">
        <v>-1.32782E-2</v>
      </c>
      <c r="AT231" s="22">
        <v>221</v>
      </c>
      <c r="AU231" s="22">
        <v>0.60653699999999999</v>
      </c>
      <c r="AV231">
        <f t="shared" si="44"/>
        <v>16.392839506172837</v>
      </c>
      <c r="AW231">
        <f t="shared" si="45"/>
        <v>9.9528633276543204</v>
      </c>
      <c r="AX231" s="9"/>
      <c r="AY231" s="22">
        <v>1.01288</v>
      </c>
      <c r="AZ231" s="22">
        <v>29.948499999999999</v>
      </c>
      <c r="BA231" s="22">
        <v>-1.2731900000000001E-2</v>
      </c>
      <c r="BB231" s="22">
        <v>221</v>
      </c>
      <c r="BC231" s="22">
        <v>1.01196</v>
      </c>
      <c r="BD231">
        <f t="shared" si="46"/>
        <v>15.718395061728396</v>
      </c>
      <c r="BE231">
        <f t="shared" si="47"/>
        <v>15.920847990123457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8.2960999999999991</v>
      </c>
      <c r="I232" s="22">
        <v>-1.2847900000000001E-2</v>
      </c>
      <c r="J232" s="22">
        <v>222</v>
      </c>
      <c r="K232" s="22">
        <v>0.60143999999999997</v>
      </c>
      <c r="L232">
        <f t="shared" si="36"/>
        <v>15.861604938271604</v>
      </c>
      <c r="M232">
        <f t="shared" si="37"/>
        <v>9.5504626725925927</v>
      </c>
      <c r="N232" s="9"/>
      <c r="O232" s="22">
        <v>1.0179100000000001</v>
      </c>
      <c r="P232" s="22">
        <v>11.9542</v>
      </c>
      <c r="Q232" s="22">
        <v>-1.2582400000000001E-2</v>
      </c>
      <c r="R232" s="22">
        <v>222</v>
      </c>
      <c r="S232" s="22">
        <v>1.01685</v>
      </c>
      <c r="T232">
        <f t="shared" si="38"/>
        <v>15.533827160493827</v>
      </c>
      <c r="U232">
        <f t="shared" si="39"/>
        <v>15.812038004938273</v>
      </c>
      <c r="X232" s="9"/>
      <c r="Y232" s="22">
        <v>0.60211199999999998</v>
      </c>
      <c r="Z232" s="22">
        <v>17.3063</v>
      </c>
      <c r="AA232" s="22">
        <v>-1.32324E-2</v>
      </c>
      <c r="AB232" s="22">
        <v>222</v>
      </c>
      <c r="AC232" s="22">
        <v>0.60147099999999998</v>
      </c>
      <c r="AD232">
        <f t="shared" si="40"/>
        <v>16.336296296296297</v>
      </c>
      <c r="AE232">
        <f t="shared" si="41"/>
        <v>9.8362800355555553</v>
      </c>
      <c r="AF232" s="9"/>
      <c r="AG232" s="22">
        <v>1.0179100000000001</v>
      </c>
      <c r="AH232" s="22">
        <v>20.964400000000001</v>
      </c>
      <c r="AI232" s="22">
        <v>-1.27014E-2</v>
      </c>
      <c r="AJ232" s="22">
        <v>222</v>
      </c>
      <c r="AK232" s="22">
        <v>1.01654</v>
      </c>
      <c r="AL232">
        <f t="shared" si="42"/>
        <v>15.680740740740738</v>
      </c>
      <c r="AM232">
        <f t="shared" si="43"/>
        <v>15.961582807407407</v>
      </c>
      <c r="AP232" s="9"/>
      <c r="AQ232" s="22">
        <v>0.60211199999999998</v>
      </c>
      <c r="AR232" s="22">
        <v>26.3005</v>
      </c>
      <c r="AS232" s="22">
        <v>-1.32782E-2</v>
      </c>
      <c r="AT232" s="22">
        <v>222</v>
      </c>
      <c r="AU232" s="22">
        <v>0.60143999999999997</v>
      </c>
      <c r="AV232">
        <f t="shared" si="44"/>
        <v>16.392839506172837</v>
      </c>
      <c r="AW232">
        <f t="shared" si="45"/>
        <v>9.8703253807407396</v>
      </c>
      <c r="AX232" s="9"/>
      <c r="AY232" s="22">
        <v>1.0179100000000001</v>
      </c>
      <c r="AZ232" s="22">
        <v>29.958600000000001</v>
      </c>
      <c r="BA232" s="22">
        <v>-1.27289E-2</v>
      </c>
      <c r="BB232" s="22">
        <v>222</v>
      </c>
      <c r="BC232" s="22">
        <v>1.01624</v>
      </c>
      <c r="BD232">
        <f t="shared" si="46"/>
        <v>15.714691358024689</v>
      </c>
      <c r="BE232">
        <f t="shared" si="47"/>
        <v>15.996141480246912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8.3061699999999998</v>
      </c>
      <c r="I233" s="22">
        <v>-1.28448E-2</v>
      </c>
      <c r="J233" s="22">
        <v>223</v>
      </c>
      <c r="K233" s="22">
        <v>0.59643599999999997</v>
      </c>
      <c r="L233">
        <f t="shared" si="36"/>
        <v>15.857777777777777</v>
      </c>
      <c r="M233">
        <f t="shared" si="37"/>
        <v>9.4682985244444442</v>
      </c>
      <c r="N233" s="9"/>
      <c r="O233" s="22">
        <v>1.02295</v>
      </c>
      <c r="P233" s="22">
        <v>11.9642</v>
      </c>
      <c r="Q233" s="22">
        <v>-1.25763E-2</v>
      </c>
      <c r="R233" s="22">
        <v>223</v>
      </c>
      <c r="S233" s="22">
        <v>1.02203</v>
      </c>
      <c r="T233">
        <f t="shared" si="38"/>
        <v>15.526296296296294</v>
      </c>
      <c r="U233">
        <f t="shared" si="39"/>
        <v>15.882624796296295</v>
      </c>
      <c r="X233" s="9"/>
      <c r="Y233" s="22">
        <v>0.59707600000000005</v>
      </c>
      <c r="Z233" s="22">
        <v>17.316400000000002</v>
      </c>
      <c r="AA233" s="22">
        <v>-1.3229400000000001E-2</v>
      </c>
      <c r="AB233" s="22">
        <v>223</v>
      </c>
      <c r="AC233" s="22">
        <v>0.59640499999999996</v>
      </c>
      <c r="AD233">
        <f t="shared" si="40"/>
        <v>16.332592592592594</v>
      </c>
      <c r="AE233">
        <f t="shared" si="41"/>
        <v>9.7517990548148159</v>
      </c>
      <c r="AF233" s="9"/>
      <c r="AG233" s="22">
        <v>1.02295</v>
      </c>
      <c r="AH233" s="22">
        <v>20.974399999999999</v>
      </c>
      <c r="AI233" s="22">
        <v>-1.2683099999999999E-2</v>
      </c>
      <c r="AJ233" s="22">
        <v>223</v>
      </c>
      <c r="AK233" s="22">
        <v>1.02142</v>
      </c>
      <c r="AL233">
        <f t="shared" si="42"/>
        <v>15.658148148148147</v>
      </c>
      <c r="AM233">
        <f t="shared" si="43"/>
        <v>16.017502648148149</v>
      </c>
      <c r="AP233" s="9"/>
      <c r="AQ233" s="22">
        <v>0.59707600000000005</v>
      </c>
      <c r="AR233" s="22">
        <v>26.310600000000001</v>
      </c>
      <c r="AS233" s="22">
        <v>-1.32782E-2</v>
      </c>
      <c r="AT233" s="22">
        <v>223</v>
      </c>
      <c r="AU233" s="22">
        <v>0.59640499999999996</v>
      </c>
      <c r="AV233">
        <f t="shared" si="44"/>
        <v>16.392839506172837</v>
      </c>
      <c r="AW233">
        <f t="shared" si="45"/>
        <v>9.7877710409876535</v>
      </c>
      <c r="AX233" s="9"/>
      <c r="AY233" s="22">
        <v>1.02295</v>
      </c>
      <c r="AZ233" s="22">
        <v>29.968699999999998</v>
      </c>
      <c r="BA233" s="22">
        <v>-1.27197E-2</v>
      </c>
      <c r="BB233" s="22">
        <v>223</v>
      </c>
      <c r="BC233" s="22">
        <v>1.02203</v>
      </c>
      <c r="BD233">
        <f t="shared" si="46"/>
        <v>15.703333333333333</v>
      </c>
      <c r="BE233">
        <f t="shared" si="47"/>
        <v>16.063724833333332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8.3162400000000005</v>
      </c>
      <c r="I234" s="22">
        <v>-1.2851E-2</v>
      </c>
      <c r="J234" s="22">
        <v>224</v>
      </c>
      <c r="K234" s="22">
        <v>0.59136999999999995</v>
      </c>
      <c r="L234">
        <f t="shared" si="36"/>
        <v>15.865432098765432</v>
      </c>
      <c r="M234">
        <f t="shared" si="37"/>
        <v>9.3929862851851862</v>
      </c>
      <c r="N234" s="9"/>
      <c r="O234" s="22">
        <v>1.0279799999999999</v>
      </c>
      <c r="P234" s="22">
        <v>11.974299999999999</v>
      </c>
      <c r="Q234" s="22">
        <v>-1.2567099999999999E-2</v>
      </c>
      <c r="R234" s="22">
        <v>224</v>
      </c>
      <c r="S234" s="22">
        <v>1.0269200000000001</v>
      </c>
      <c r="T234">
        <f t="shared" si="38"/>
        <v>15.514938271604937</v>
      </c>
      <c r="U234">
        <f t="shared" si="39"/>
        <v>15.949046244444441</v>
      </c>
      <c r="X234" s="9"/>
      <c r="Y234" s="22">
        <v>0.59204100000000004</v>
      </c>
      <c r="Z234" s="22">
        <v>17.3264</v>
      </c>
      <c r="AA234" s="22">
        <v>-1.32233E-2</v>
      </c>
      <c r="AB234" s="22">
        <v>224</v>
      </c>
      <c r="AC234" s="22">
        <v>0.59133899999999995</v>
      </c>
      <c r="AD234">
        <f t="shared" si="40"/>
        <v>16.32506172839506</v>
      </c>
      <c r="AE234">
        <f t="shared" si="41"/>
        <v>9.6651058707407405</v>
      </c>
      <c r="AF234" s="9"/>
      <c r="AG234" s="22">
        <v>1.0279799999999999</v>
      </c>
      <c r="AH234" s="22">
        <v>20.984500000000001</v>
      </c>
      <c r="AI234" s="22">
        <v>-1.26678E-2</v>
      </c>
      <c r="AJ234" s="22">
        <v>224</v>
      </c>
      <c r="AK234" s="22">
        <v>1.0269200000000001</v>
      </c>
      <c r="AL234">
        <f t="shared" si="42"/>
        <v>15.639259259259259</v>
      </c>
      <c r="AM234">
        <f t="shared" si="43"/>
        <v>16.076845733333332</v>
      </c>
      <c r="AP234" s="9"/>
      <c r="AQ234" s="22">
        <v>0.59204100000000004</v>
      </c>
      <c r="AR234" s="22">
        <v>26.320699999999999</v>
      </c>
      <c r="AS234" s="22">
        <v>-1.32874E-2</v>
      </c>
      <c r="AT234" s="22">
        <v>224</v>
      </c>
      <c r="AU234" s="22">
        <v>0.59136999999999995</v>
      </c>
      <c r="AV234">
        <f t="shared" si="44"/>
        <v>16.404197530864195</v>
      </c>
      <c r="AW234">
        <f t="shared" si="45"/>
        <v>9.7119575103703699</v>
      </c>
      <c r="AX234" s="9"/>
      <c r="AY234" s="22">
        <v>1.0279799999999999</v>
      </c>
      <c r="AZ234" s="22">
        <v>29.9787</v>
      </c>
      <c r="BA234" s="22">
        <v>-1.2704500000000001E-2</v>
      </c>
      <c r="BB234" s="22">
        <v>224</v>
      </c>
      <c r="BC234" s="22">
        <v>1.0263100000000001</v>
      </c>
      <c r="BD234">
        <f t="shared" si="46"/>
        <v>15.684567901234566</v>
      </c>
      <c r="BE234">
        <f t="shared" si="47"/>
        <v>16.123422111111108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8.3263099999999994</v>
      </c>
      <c r="I235" s="22">
        <v>-1.2860099999999999E-2</v>
      </c>
      <c r="J235" s="22">
        <v>225</v>
      </c>
      <c r="K235" s="22">
        <v>0.58633400000000002</v>
      </c>
      <c r="L235">
        <f t="shared" si="36"/>
        <v>15.876666666666663</v>
      </c>
      <c r="M235">
        <f t="shared" si="37"/>
        <v>9.3196985933333316</v>
      </c>
      <c r="N235" s="9"/>
      <c r="O235" s="22">
        <v>1.03302</v>
      </c>
      <c r="P235" s="22">
        <v>11.984400000000001</v>
      </c>
      <c r="Q235" s="22">
        <v>-1.25519E-2</v>
      </c>
      <c r="R235" s="22">
        <v>225</v>
      </c>
      <c r="S235" s="22">
        <v>1.0321</v>
      </c>
      <c r="T235">
        <f t="shared" si="38"/>
        <v>15.496172839506173</v>
      </c>
      <c r="U235">
        <f t="shared" si="39"/>
        <v>16.007856466666667</v>
      </c>
      <c r="X235" s="9"/>
      <c r="Y235" s="22">
        <v>0.58700600000000003</v>
      </c>
      <c r="Z235" s="22">
        <v>17.336500000000001</v>
      </c>
      <c r="AA235" s="22">
        <v>-1.3214099999999999E-2</v>
      </c>
      <c r="AB235" s="22">
        <v>225</v>
      </c>
      <c r="AC235" s="22">
        <v>0.586426</v>
      </c>
      <c r="AD235">
        <f t="shared" si="40"/>
        <v>16.313703703703702</v>
      </c>
      <c r="AE235">
        <f t="shared" si="41"/>
        <v>9.576241956296295</v>
      </c>
      <c r="AF235" s="9"/>
      <c r="AG235" s="22">
        <v>1.03302</v>
      </c>
      <c r="AH235" s="22">
        <v>20.994599999999998</v>
      </c>
      <c r="AI235" s="22">
        <v>-1.2655599999999999E-2</v>
      </c>
      <c r="AJ235" s="22">
        <v>225</v>
      </c>
      <c r="AK235" s="22">
        <v>1.0318000000000001</v>
      </c>
      <c r="AL235">
        <f t="shared" si="42"/>
        <v>15.624197530864196</v>
      </c>
      <c r="AM235">
        <f t="shared" si="43"/>
        <v>16.140108533333333</v>
      </c>
      <c r="AP235" s="9"/>
      <c r="AQ235" s="22">
        <v>0.58700600000000003</v>
      </c>
      <c r="AR235" s="22">
        <v>26.3307</v>
      </c>
      <c r="AS235" s="22">
        <v>-1.3290400000000001E-2</v>
      </c>
      <c r="AT235" s="22">
        <v>225</v>
      </c>
      <c r="AU235" s="22">
        <v>0.58636500000000003</v>
      </c>
      <c r="AV235">
        <f t="shared" si="44"/>
        <v>16.407901234567902</v>
      </c>
      <c r="AW235">
        <f t="shared" si="45"/>
        <v>9.631536472098766</v>
      </c>
      <c r="AX235" s="9"/>
      <c r="AY235" s="22">
        <v>1.03302</v>
      </c>
      <c r="AZ235" s="22">
        <v>29.988800000000001</v>
      </c>
      <c r="BA235" s="22">
        <v>-1.2683099999999999E-2</v>
      </c>
      <c r="BB235" s="22">
        <v>225</v>
      </c>
      <c r="BC235" s="22">
        <v>1.0321</v>
      </c>
      <c r="BD235">
        <f t="shared" si="46"/>
        <v>15.658148148148147</v>
      </c>
      <c r="BE235">
        <f t="shared" si="47"/>
        <v>16.1751802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8.3363800000000001</v>
      </c>
      <c r="I236" s="22">
        <v>-1.28723E-2</v>
      </c>
      <c r="J236" s="22">
        <v>226</v>
      </c>
      <c r="K236" s="22">
        <v>0.58132899999999998</v>
      </c>
      <c r="L236">
        <f t="shared" si="36"/>
        <v>15.891728395061728</v>
      </c>
      <c r="M236">
        <f t="shared" si="37"/>
        <v>9.2485091740740728</v>
      </c>
      <c r="N236" s="9"/>
      <c r="O236" s="22">
        <v>1.03806</v>
      </c>
      <c r="P236" s="22">
        <v>11.994400000000001</v>
      </c>
      <c r="Q236" s="22">
        <v>-1.2539700000000001E-2</v>
      </c>
      <c r="R236" s="22">
        <v>226</v>
      </c>
      <c r="S236" s="22">
        <v>1.0369900000000001</v>
      </c>
      <c r="T236">
        <f t="shared" si="38"/>
        <v>15.48111111111111</v>
      </c>
      <c r="U236">
        <f t="shared" si="39"/>
        <v>16.0703222</v>
      </c>
      <c r="X236" s="9"/>
      <c r="Y236" s="22">
        <v>0.58196999999999999</v>
      </c>
      <c r="Z236" s="22">
        <v>17.346599999999999</v>
      </c>
      <c r="AA236" s="22">
        <v>-1.3214099999999999E-2</v>
      </c>
      <c r="AB236" s="22">
        <v>226</v>
      </c>
      <c r="AC236" s="22">
        <v>0.58135999999999999</v>
      </c>
      <c r="AD236">
        <f t="shared" si="40"/>
        <v>16.313703703703702</v>
      </c>
      <c r="AE236">
        <f t="shared" si="41"/>
        <v>9.4940861444444433</v>
      </c>
      <c r="AF236" s="9"/>
      <c r="AG236" s="22">
        <v>1.03806</v>
      </c>
      <c r="AH236" s="22">
        <v>21.0046</v>
      </c>
      <c r="AI236" s="22">
        <v>-1.26404E-2</v>
      </c>
      <c r="AJ236" s="22">
        <v>226</v>
      </c>
      <c r="AK236" s="22">
        <v>1.03668</v>
      </c>
      <c r="AL236">
        <f t="shared" si="42"/>
        <v>15.60543209876543</v>
      </c>
      <c r="AM236">
        <f t="shared" si="43"/>
        <v>16.199374844444442</v>
      </c>
      <c r="AP236" s="9"/>
      <c r="AQ236" s="22">
        <v>0.58196999999999999</v>
      </c>
      <c r="AR236" s="22">
        <v>26.340800000000002</v>
      </c>
      <c r="AS236" s="22">
        <v>-1.32935E-2</v>
      </c>
      <c r="AT236" s="22">
        <v>226</v>
      </c>
      <c r="AU236" s="22">
        <v>0.58138999999999996</v>
      </c>
      <c r="AV236">
        <f t="shared" si="44"/>
        <v>16.411728395061726</v>
      </c>
      <c r="AW236">
        <f t="shared" si="45"/>
        <v>9.5511335740740719</v>
      </c>
      <c r="AX236" s="9"/>
      <c r="AY236" s="22">
        <v>1.03806</v>
      </c>
      <c r="AZ236" s="22">
        <v>29.998899999999999</v>
      </c>
      <c r="BA236" s="22">
        <v>-1.26617E-2</v>
      </c>
      <c r="BB236" s="22">
        <v>226</v>
      </c>
      <c r="BC236" s="22">
        <v>1.0369900000000001</v>
      </c>
      <c r="BD236">
        <f t="shared" si="46"/>
        <v>15.631728395061728</v>
      </c>
      <c r="BE236">
        <f t="shared" si="47"/>
        <v>16.226671977777777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8.3464600000000004</v>
      </c>
      <c r="I237" s="22">
        <v>-1.28845E-2</v>
      </c>
      <c r="J237" s="22">
        <v>227</v>
      </c>
      <c r="K237" s="22">
        <v>0.57629399999999997</v>
      </c>
      <c r="L237">
        <f t="shared" si="36"/>
        <v>15.906790123456791</v>
      </c>
      <c r="M237">
        <f t="shared" si="37"/>
        <v>9.1771839598765439</v>
      </c>
      <c r="N237" s="9"/>
      <c r="O237" s="22">
        <v>1.0430900000000001</v>
      </c>
      <c r="P237" s="22">
        <v>12.0045</v>
      </c>
      <c r="Q237" s="22">
        <v>-1.25244E-2</v>
      </c>
      <c r="R237" s="22">
        <v>227</v>
      </c>
      <c r="S237" s="22">
        <v>1.0421800000000001</v>
      </c>
      <c r="T237">
        <f t="shared" si="38"/>
        <v>15.462222222222222</v>
      </c>
      <c r="U237">
        <f t="shared" si="39"/>
        <v>16.128489377777779</v>
      </c>
      <c r="X237" s="9"/>
      <c r="Y237" s="22">
        <v>0.57693499999999998</v>
      </c>
      <c r="Z237" s="22">
        <v>17.3567</v>
      </c>
      <c r="AA237" s="22">
        <v>-1.32324E-2</v>
      </c>
      <c r="AB237" s="22">
        <v>227</v>
      </c>
      <c r="AC237" s="22">
        <v>0.57626299999999997</v>
      </c>
      <c r="AD237">
        <f t="shared" si="40"/>
        <v>16.336296296296297</v>
      </c>
      <c r="AE237">
        <f t="shared" si="41"/>
        <v>9.4249811037037041</v>
      </c>
      <c r="AF237" s="9"/>
      <c r="AG237" s="22">
        <v>1.0430900000000001</v>
      </c>
      <c r="AH237" s="22">
        <v>21.014700000000001</v>
      </c>
      <c r="AI237" s="22">
        <v>-1.26129E-2</v>
      </c>
      <c r="AJ237" s="22">
        <v>227</v>
      </c>
      <c r="AK237" s="22">
        <v>1.0418700000000001</v>
      </c>
      <c r="AL237">
        <f t="shared" si="42"/>
        <v>15.571481481481479</v>
      </c>
      <c r="AM237">
        <f t="shared" si="43"/>
        <v>16.242456618518517</v>
      </c>
      <c r="AP237" s="9"/>
      <c r="AQ237" s="22">
        <v>0.57693499999999998</v>
      </c>
      <c r="AR237" s="22">
        <v>26.350899999999999</v>
      </c>
      <c r="AS237" s="22">
        <v>-1.32935E-2</v>
      </c>
      <c r="AT237" s="22">
        <v>227</v>
      </c>
      <c r="AU237" s="22">
        <v>0.57629399999999997</v>
      </c>
      <c r="AV237">
        <f t="shared" si="44"/>
        <v>16.411728395061726</v>
      </c>
      <c r="AW237">
        <f t="shared" si="45"/>
        <v>9.4685005216049358</v>
      </c>
      <c r="AX237" s="9"/>
      <c r="AY237" s="22">
        <v>1.0430900000000001</v>
      </c>
      <c r="AZ237" s="22">
        <v>30.008900000000001</v>
      </c>
      <c r="BA237" s="22">
        <v>-1.2643400000000001E-2</v>
      </c>
      <c r="BB237" s="22">
        <v>227</v>
      </c>
      <c r="BC237" s="22">
        <v>1.0421800000000001</v>
      </c>
      <c r="BD237">
        <f t="shared" si="46"/>
        <v>15.609135802469137</v>
      </c>
      <c r="BE237">
        <f t="shared" si="47"/>
        <v>16.281733464197533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8.3565299999999993</v>
      </c>
      <c r="I238" s="22">
        <v>-1.2896700000000001E-2</v>
      </c>
      <c r="J238" s="22">
        <v>228</v>
      </c>
      <c r="K238" s="22">
        <v>0.57125899999999996</v>
      </c>
      <c r="L238">
        <f t="shared" si="36"/>
        <v>15.92185185185185</v>
      </c>
      <c r="M238">
        <f t="shared" si="37"/>
        <v>9.1056911522222226</v>
      </c>
      <c r="N238" s="9"/>
      <c r="O238" s="22">
        <v>1.04813</v>
      </c>
      <c r="P238" s="22">
        <v>12.0146</v>
      </c>
      <c r="Q238" s="22">
        <v>-1.25183E-2</v>
      </c>
      <c r="R238" s="22">
        <v>228</v>
      </c>
      <c r="S238" s="22">
        <v>1.0470600000000001</v>
      </c>
      <c r="T238">
        <f t="shared" si="38"/>
        <v>15.454691358024689</v>
      </c>
      <c r="U238">
        <f t="shared" si="39"/>
        <v>16.198525653086417</v>
      </c>
      <c r="X238" s="9"/>
      <c r="Y238" s="22">
        <v>0.57189900000000005</v>
      </c>
      <c r="Z238" s="22">
        <v>17.366700000000002</v>
      </c>
      <c r="AA238" s="22">
        <v>-1.3247699999999999E-2</v>
      </c>
      <c r="AB238" s="22">
        <v>228</v>
      </c>
      <c r="AC238" s="22">
        <v>0.57119799999999998</v>
      </c>
      <c r="AD238">
        <f t="shared" si="40"/>
        <v>16.355185185185185</v>
      </c>
      <c r="AE238">
        <f t="shared" si="41"/>
        <v>9.3535140522222235</v>
      </c>
      <c r="AF238" s="9"/>
      <c r="AG238" s="22">
        <v>1.04813</v>
      </c>
      <c r="AH238" s="22">
        <v>21.024799999999999</v>
      </c>
      <c r="AI238" s="22">
        <v>-1.25977E-2</v>
      </c>
      <c r="AJ238" s="22">
        <v>228</v>
      </c>
      <c r="AK238" s="22">
        <v>1.0467500000000001</v>
      </c>
      <c r="AL238">
        <f t="shared" si="42"/>
        <v>15.552716049382715</v>
      </c>
      <c r="AM238">
        <f t="shared" si="43"/>
        <v>16.301268272839504</v>
      </c>
      <c r="AP238" s="9"/>
      <c r="AQ238" s="22">
        <v>0.57189900000000005</v>
      </c>
      <c r="AR238" s="22">
        <v>26.361000000000001</v>
      </c>
      <c r="AS238" s="22">
        <v>-1.32874E-2</v>
      </c>
      <c r="AT238" s="22">
        <v>228</v>
      </c>
      <c r="AU238" s="22">
        <v>0.57128900000000005</v>
      </c>
      <c r="AV238">
        <f t="shared" si="44"/>
        <v>16.404197530864195</v>
      </c>
      <c r="AW238">
        <f t="shared" si="45"/>
        <v>9.3815441637037029</v>
      </c>
      <c r="AX238" s="9"/>
      <c r="AY238" s="22">
        <v>1.04813</v>
      </c>
      <c r="AZ238" s="22">
        <v>30.018999999999998</v>
      </c>
      <c r="BA238" s="22">
        <v>-1.2622100000000001E-2</v>
      </c>
      <c r="BB238" s="22">
        <v>228</v>
      </c>
      <c r="BC238" s="22">
        <v>1.0473600000000001</v>
      </c>
      <c r="BD238">
        <f t="shared" si="46"/>
        <v>15.582839506172839</v>
      </c>
      <c r="BE238">
        <f t="shared" si="47"/>
        <v>16.332841571604938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8.3666</v>
      </c>
      <c r="I239" s="22">
        <v>-1.29059E-2</v>
      </c>
      <c r="J239" s="22">
        <v>229</v>
      </c>
      <c r="K239" s="22">
        <v>0.56625400000000004</v>
      </c>
      <c r="L239">
        <f t="shared" si="36"/>
        <v>15.933209876543209</v>
      </c>
      <c r="M239">
        <f t="shared" si="37"/>
        <v>9.031963083456791</v>
      </c>
      <c r="N239" s="9"/>
      <c r="O239" s="22">
        <v>1.0531600000000001</v>
      </c>
      <c r="P239" s="22">
        <v>12.024699999999999</v>
      </c>
      <c r="Q239" s="22">
        <v>-1.2506099999999999E-2</v>
      </c>
      <c r="R239" s="22">
        <v>229</v>
      </c>
      <c r="S239" s="22">
        <v>1.0522499999999999</v>
      </c>
      <c r="T239">
        <f t="shared" si="38"/>
        <v>15.439629629629628</v>
      </c>
      <c r="U239">
        <f t="shared" si="39"/>
        <v>16.260400340740741</v>
      </c>
      <c r="X239" s="9"/>
      <c r="Y239" s="22">
        <v>0.56686400000000003</v>
      </c>
      <c r="Z239" s="22">
        <v>17.376799999999999</v>
      </c>
      <c r="AA239" s="22">
        <v>-1.32599E-2</v>
      </c>
      <c r="AB239" s="22">
        <v>229</v>
      </c>
      <c r="AC239" s="22">
        <v>0.56622300000000003</v>
      </c>
      <c r="AD239">
        <f t="shared" si="40"/>
        <v>16.370246913580246</v>
      </c>
      <c r="AE239">
        <f t="shared" si="41"/>
        <v>9.2797036464197529</v>
      </c>
      <c r="AF239" s="9"/>
      <c r="AG239" s="22">
        <v>1.0531600000000001</v>
      </c>
      <c r="AH239" s="22">
        <v>21.0349</v>
      </c>
      <c r="AI239" s="22">
        <v>-1.2582400000000001E-2</v>
      </c>
      <c r="AJ239" s="22">
        <v>229</v>
      </c>
      <c r="AK239" s="22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2">
        <v>0.56686400000000003</v>
      </c>
      <c r="AR239" s="22">
        <v>26.370999999999999</v>
      </c>
      <c r="AS239" s="22">
        <v>-1.32935E-2</v>
      </c>
      <c r="AT239" s="22">
        <v>229</v>
      </c>
      <c r="AU239" s="22">
        <v>0.56619299999999995</v>
      </c>
      <c r="AV239">
        <f t="shared" si="44"/>
        <v>16.411728395061726</v>
      </c>
      <c r="AW239">
        <f t="shared" si="45"/>
        <v>9.3032180049382713</v>
      </c>
      <c r="AX239" s="9"/>
      <c r="AY239" s="22">
        <v>1.0531600000000001</v>
      </c>
      <c r="AZ239" s="22">
        <v>30.0291</v>
      </c>
      <c r="BA239" s="22">
        <v>-1.26099E-2</v>
      </c>
      <c r="BB239" s="22">
        <v>229</v>
      </c>
      <c r="BC239" s="22">
        <v>1.0519400000000001</v>
      </c>
      <c r="BD239">
        <f t="shared" si="46"/>
        <v>15.567777777777778</v>
      </c>
      <c r="BE239">
        <f t="shared" si="47"/>
        <v>16.395360844444447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8.3766700000000007</v>
      </c>
      <c r="I240" s="22">
        <v>-1.2912E-2</v>
      </c>
      <c r="J240" s="22">
        <v>230</v>
      </c>
      <c r="K240" s="22">
        <v>0.561249</v>
      </c>
      <c r="L240">
        <f t="shared" si="36"/>
        <v>15.940740740740738</v>
      </c>
      <c r="M240">
        <f t="shared" si="37"/>
        <v>8.9559704296296285</v>
      </c>
      <c r="N240" s="9"/>
      <c r="O240" s="22">
        <v>1.0582</v>
      </c>
      <c r="P240" s="22">
        <v>12.034700000000001</v>
      </c>
      <c r="Q240" s="22">
        <v>-1.24939E-2</v>
      </c>
      <c r="R240" s="22">
        <v>230</v>
      </c>
      <c r="S240" s="22">
        <v>1.0571299999999999</v>
      </c>
      <c r="T240">
        <f t="shared" si="38"/>
        <v>15.424567901234568</v>
      </c>
      <c r="U240">
        <f t="shared" si="39"/>
        <v>16.322277753086421</v>
      </c>
      <c r="X240" s="9"/>
      <c r="Y240" s="22">
        <v>0.56182900000000002</v>
      </c>
      <c r="Z240" s="22">
        <v>17.386900000000001</v>
      </c>
      <c r="AA240" s="22">
        <v>-1.3266E-2</v>
      </c>
      <c r="AB240" s="22">
        <v>230</v>
      </c>
      <c r="AC240" s="22">
        <v>0.56115700000000002</v>
      </c>
      <c r="AD240">
        <f t="shared" si="40"/>
        <v>16.377777777777776</v>
      </c>
      <c r="AE240">
        <f t="shared" si="41"/>
        <v>9.2015105111111115</v>
      </c>
      <c r="AF240" s="9"/>
      <c r="AG240" s="22">
        <v>1.0582</v>
      </c>
      <c r="AH240" s="22">
        <v>21.044899999999998</v>
      </c>
      <c r="AI240" s="22">
        <v>-1.25702E-2</v>
      </c>
      <c r="AJ240" s="22">
        <v>230</v>
      </c>
      <c r="AK240" s="22">
        <v>1.0571299999999999</v>
      </c>
      <c r="AL240">
        <f t="shared" si="42"/>
        <v>15.518765432098766</v>
      </c>
      <c r="AM240">
        <f t="shared" si="43"/>
        <v>16.421957580246914</v>
      </c>
      <c r="AP240" s="9"/>
      <c r="AQ240" s="22">
        <v>0.56182900000000002</v>
      </c>
      <c r="AR240" s="22">
        <v>26.3811</v>
      </c>
      <c r="AS240" s="22">
        <v>-1.3296499999999999E-2</v>
      </c>
      <c r="AT240" s="22">
        <v>230</v>
      </c>
      <c r="AU240" s="22">
        <v>0.56112700000000004</v>
      </c>
      <c r="AV240">
        <f t="shared" si="44"/>
        <v>16.415432098765429</v>
      </c>
      <c r="AW240">
        <f t="shared" si="45"/>
        <v>9.2226658006172819</v>
      </c>
      <c r="AX240" s="9"/>
      <c r="AY240" s="22">
        <v>1.0582</v>
      </c>
      <c r="AZ240" s="22">
        <v>30.039200000000001</v>
      </c>
      <c r="BA240" s="22">
        <v>-1.2582400000000001E-2</v>
      </c>
      <c r="BB240" s="22">
        <v>230</v>
      </c>
      <c r="BC240" s="22">
        <v>1.0565199999999999</v>
      </c>
      <c r="BD240">
        <f t="shared" si="46"/>
        <v>15.533827160493827</v>
      </c>
      <c r="BE240">
        <f t="shared" si="47"/>
        <v>16.437895901234569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8.3867399999999996</v>
      </c>
      <c r="I241" s="22">
        <v>-1.2914999999999999E-2</v>
      </c>
      <c r="J241" s="22">
        <v>231</v>
      </c>
      <c r="K241" s="22">
        <v>0.55618299999999998</v>
      </c>
      <c r="L241">
        <f t="shared" si="36"/>
        <v>15.944444444444441</v>
      </c>
      <c r="M241">
        <f t="shared" si="37"/>
        <v>8.8777550555555536</v>
      </c>
      <c r="N241" s="9"/>
      <c r="O241" s="22">
        <v>1.0632299999999999</v>
      </c>
      <c r="P241" s="22">
        <v>12.0448</v>
      </c>
      <c r="Q241" s="22">
        <v>-1.24756E-2</v>
      </c>
      <c r="R241" s="22">
        <v>231</v>
      </c>
      <c r="S241" s="22">
        <v>1.0623199999999999</v>
      </c>
      <c r="T241">
        <f t="shared" si="38"/>
        <v>15.401975308641974</v>
      </c>
      <c r="U241">
        <f t="shared" si="39"/>
        <v>16.375842207407405</v>
      </c>
      <c r="X241" s="9"/>
      <c r="Y241" s="22">
        <v>0.55679299999999998</v>
      </c>
      <c r="Z241" s="22">
        <v>17.396899999999999</v>
      </c>
      <c r="AA241" s="22">
        <v>-1.32751E-2</v>
      </c>
      <c r="AB241" s="22">
        <v>231</v>
      </c>
      <c r="AC241" s="22">
        <v>0.55615199999999998</v>
      </c>
      <c r="AD241">
        <f t="shared" si="40"/>
        <v>16.38901234567901</v>
      </c>
      <c r="AE241">
        <f t="shared" si="41"/>
        <v>9.1252873509876533</v>
      </c>
      <c r="AF241" s="9"/>
      <c r="AG241" s="22">
        <v>1.0632299999999999</v>
      </c>
      <c r="AH241" s="22">
        <v>21.055</v>
      </c>
      <c r="AI241" s="22">
        <v>-1.25519E-2</v>
      </c>
      <c r="AJ241" s="22">
        <v>231</v>
      </c>
      <c r="AK241" s="22">
        <v>1.0623199999999999</v>
      </c>
      <c r="AL241">
        <f t="shared" si="42"/>
        <v>15.496172839506173</v>
      </c>
      <c r="AM241">
        <f t="shared" si="43"/>
        <v>16.475995848148145</v>
      </c>
      <c r="AP241" s="9"/>
      <c r="AQ241" s="22">
        <v>0.55679299999999998</v>
      </c>
      <c r="AR241" s="22">
        <v>26.391200000000001</v>
      </c>
      <c r="AS241" s="22">
        <v>-1.3296499999999999E-2</v>
      </c>
      <c r="AT241" s="22">
        <v>231</v>
      </c>
      <c r="AU241" s="22">
        <v>0.55615199999999998</v>
      </c>
      <c r="AV241">
        <f t="shared" si="44"/>
        <v>16.415432098765429</v>
      </c>
      <c r="AW241">
        <f t="shared" si="45"/>
        <v>9.1399976845678985</v>
      </c>
      <c r="AX241" s="9"/>
      <c r="AY241" s="22">
        <v>1.0632299999999999</v>
      </c>
      <c r="AZ241" s="22">
        <v>30.049199999999999</v>
      </c>
      <c r="BA241" s="22">
        <v>-1.2567099999999999E-2</v>
      </c>
      <c r="BB241" s="22">
        <v>231</v>
      </c>
      <c r="BC241" s="22">
        <v>1.0623199999999999</v>
      </c>
      <c r="BD241">
        <f t="shared" si="46"/>
        <v>15.514938271604937</v>
      </c>
      <c r="BE241">
        <f t="shared" si="47"/>
        <v>16.495947818518516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8.3968100000000003</v>
      </c>
      <c r="I242" s="22">
        <v>-1.2912E-2</v>
      </c>
      <c r="J242" s="22">
        <v>232</v>
      </c>
      <c r="K242" s="22">
        <v>0.55111699999999997</v>
      </c>
      <c r="L242">
        <f t="shared" si="36"/>
        <v>15.940740740740738</v>
      </c>
      <c r="M242">
        <f t="shared" si="37"/>
        <v>8.795431229629628</v>
      </c>
      <c r="N242" s="9"/>
      <c r="O242" s="22">
        <v>1.0682700000000001</v>
      </c>
      <c r="P242" s="22">
        <v>12.0549</v>
      </c>
      <c r="Q242" s="22">
        <v>-1.2445100000000001E-2</v>
      </c>
      <c r="R242" s="22">
        <v>232</v>
      </c>
      <c r="S242" s="22">
        <v>1.0671999999999999</v>
      </c>
      <c r="T242">
        <f t="shared" si="38"/>
        <v>15.36432098765432</v>
      </c>
      <c r="U242">
        <f t="shared" si="39"/>
        <v>16.41324318148148</v>
      </c>
      <c r="X242" s="9"/>
      <c r="Y242" s="22">
        <v>0.55175799999999997</v>
      </c>
      <c r="Z242" s="22">
        <v>17.407</v>
      </c>
      <c r="AA242" s="22">
        <v>-1.32782E-2</v>
      </c>
      <c r="AB242" s="22">
        <v>232</v>
      </c>
      <c r="AC242" s="22">
        <v>0.55111699999999997</v>
      </c>
      <c r="AD242">
        <f t="shared" si="40"/>
        <v>16.392839506172837</v>
      </c>
      <c r="AE242">
        <f t="shared" si="41"/>
        <v>9.0448803402469125</v>
      </c>
      <c r="AF242" s="9"/>
      <c r="AG242" s="22">
        <v>1.0682700000000001</v>
      </c>
      <c r="AH242" s="22">
        <v>21.065100000000001</v>
      </c>
      <c r="AI242" s="22">
        <v>-1.25305E-2</v>
      </c>
      <c r="AJ242" s="22">
        <v>232</v>
      </c>
      <c r="AK242" s="22">
        <v>1.0671999999999999</v>
      </c>
      <c r="AL242">
        <f t="shared" si="42"/>
        <v>15.469753086419752</v>
      </c>
      <c r="AM242">
        <f t="shared" si="43"/>
        <v>16.52587312962963</v>
      </c>
      <c r="AP242" s="9"/>
      <c r="AQ242" s="22">
        <v>0.55175799999999997</v>
      </c>
      <c r="AR242" s="22">
        <v>26.401199999999999</v>
      </c>
      <c r="AS242" s="22">
        <v>-1.3290400000000001E-2</v>
      </c>
      <c r="AT242" s="22">
        <v>232</v>
      </c>
      <c r="AU242" s="22">
        <v>0.55111699999999997</v>
      </c>
      <c r="AV242">
        <f t="shared" si="44"/>
        <v>16.407901234567902</v>
      </c>
      <c r="AW242">
        <f t="shared" si="45"/>
        <v>9.0531907693827165</v>
      </c>
      <c r="AX242" s="9"/>
      <c r="AY242" s="22">
        <v>1.0682700000000001</v>
      </c>
      <c r="AZ242" s="22">
        <v>30.0593</v>
      </c>
      <c r="BA242" s="22">
        <v>-1.2545799999999999E-2</v>
      </c>
      <c r="BB242" s="22">
        <v>232</v>
      </c>
      <c r="BC242" s="22">
        <v>1.0668899999999999</v>
      </c>
      <c r="BD242">
        <f t="shared" si="46"/>
        <v>15.48864197530864</v>
      </c>
      <c r="BE242">
        <f t="shared" si="47"/>
        <v>16.546051562962962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8.4068799999999992</v>
      </c>
      <c r="I243" s="22">
        <v>-1.2899799999999999E-2</v>
      </c>
      <c r="J243" s="22">
        <v>233</v>
      </c>
      <c r="K243" s="22">
        <v>0.54605099999999995</v>
      </c>
      <c r="L243">
        <f t="shared" si="36"/>
        <v>15.925679012345679</v>
      </c>
      <c r="M243">
        <f t="shared" si="37"/>
        <v>8.7069190809876549</v>
      </c>
      <c r="N243" s="9"/>
      <c r="O243" s="22">
        <v>1.0732999999999999</v>
      </c>
      <c r="P243" s="22">
        <v>12.0649</v>
      </c>
      <c r="Q243" s="22">
        <v>-1.2411500000000001E-2</v>
      </c>
      <c r="R243" s="22">
        <v>233</v>
      </c>
      <c r="S243" s="22">
        <v>1.073</v>
      </c>
      <c r="T243">
        <f t="shared" si="38"/>
        <v>15.322839506172839</v>
      </c>
      <c r="U243">
        <f t="shared" si="39"/>
        <v>16.446003641975306</v>
      </c>
      <c r="X243" s="9"/>
      <c r="Y243" s="22">
        <v>0.54672200000000004</v>
      </c>
      <c r="Z243" s="22">
        <v>17.417100000000001</v>
      </c>
      <c r="AA243" s="22">
        <v>-1.32721E-2</v>
      </c>
      <c r="AB243" s="22">
        <v>233</v>
      </c>
      <c r="AC243" s="22">
        <v>0.54608199999999996</v>
      </c>
      <c r="AD243">
        <f t="shared" si="40"/>
        <v>16.385308641975307</v>
      </c>
      <c r="AE243">
        <f t="shared" si="41"/>
        <v>8.958208711358024</v>
      </c>
      <c r="AF243" s="9"/>
      <c r="AG243" s="22">
        <v>1.0732999999999999</v>
      </c>
      <c r="AH243" s="22">
        <v>21.075099999999999</v>
      </c>
      <c r="AI243" s="22">
        <v>-1.2512199999999999E-2</v>
      </c>
      <c r="AJ243" s="22">
        <v>233</v>
      </c>
      <c r="AK243" s="22">
        <v>1.0720799999999999</v>
      </c>
      <c r="AL243">
        <f t="shared" si="42"/>
        <v>15.447160493827159</v>
      </c>
      <c r="AM243">
        <f t="shared" si="43"/>
        <v>16.579437358024688</v>
      </c>
      <c r="AP243" s="9"/>
      <c r="AQ243" s="22">
        <v>0.54672200000000004</v>
      </c>
      <c r="AR243" s="22">
        <v>26.411300000000001</v>
      </c>
      <c r="AS243" s="22">
        <v>-1.32874E-2</v>
      </c>
      <c r="AT243" s="22">
        <v>233</v>
      </c>
      <c r="AU243" s="22">
        <v>0.54605099999999995</v>
      </c>
      <c r="AV243">
        <f t="shared" si="44"/>
        <v>16.404197530864195</v>
      </c>
      <c r="AW243">
        <f t="shared" si="45"/>
        <v>8.9685356824691347</v>
      </c>
      <c r="AX243" s="9"/>
      <c r="AY243" s="22">
        <v>1.0732999999999999</v>
      </c>
      <c r="AZ243" s="22">
        <v>30.069400000000002</v>
      </c>
      <c r="BA243" s="22">
        <v>-1.2533600000000001E-2</v>
      </c>
      <c r="BB243" s="22">
        <v>233</v>
      </c>
      <c r="BC243" s="22">
        <v>1.07239</v>
      </c>
      <c r="BD243">
        <f t="shared" si="46"/>
        <v>15.473580246913581</v>
      </c>
      <c r="BE243">
        <f t="shared" si="47"/>
        <v>16.607793679012346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8.4169499999999999</v>
      </c>
      <c r="I244" s="22">
        <v>-1.2896700000000001E-2</v>
      </c>
      <c r="J244" s="22">
        <v>234</v>
      </c>
      <c r="K244" s="22">
        <v>0.54104600000000003</v>
      </c>
      <c r="L244">
        <f t="shared" si="36"/>
        <v>15.92185185185185</v>
      </c>
      <c r="M244">
        <f t="shared" si="37"/>
        <v>8.6246601640740739</v>
      </c>
      <c r="N244" s="9"/>
      <c r="O244" s="22">
        <v>1.0783400000000001</v>
      </c>
      <c r="P244" s="22">
        <v>12.074999999999999</v>
      </c>
      <c r="Q244" s="22">
        <v>-1.23932E-2</v>
      </c>
      <c r="R244" s="22">
        <v>234</v>
      </c>
      <c r="S244" s="22">
        <v>1.0778799999999999</v>
      </c>
      <c r="T244">
        <f t="shared" si="38"/>
        <v>15.300246913580246</v>
      </c>
      <c r="U244">
        <f t="shared" si="39"/>
        <v>16.498868256790125</v>
      </c>
      <c r="X244" s="9"/>
      <c r="Y244" s="22">
        <v>0.54168700000000003</v>
      </c>
      <c r="Z244" s="22">
        <v>17.427199999999999</v>
      </c>
      <c r="AA244" s="22">
        <v>-1.32782E-2</v>
      </c>
      <c r="AB244" s="22">
        <v>234</v>
      </c>
      <c r="AC244" s="22">
        <v>0.54101600000000005</v>
      </c>
      <c r="AD244">
        <f t="shared" si="40"/>
        <v>16.392839506172837</v>
      </c>
      <c r="AE244">
        <f t="shared" si="41"/>
        <v>8.8797880535802456</v>
      </c>
      <c r="AF244" s="9"/>
      <c r="AG244" s="22">
        <v>1.0783400000000001</v>
      </c>
      <c r="AH244" s="22">
        <v>21.0852</v>
      </c>
      <c r="AI244" s="22">
        <v>-1.24939E-2</v>
      </c>
      <c r="AJ244" s="22">
        <v>234</v>
      </c>
      <c r="AK244" s="22">
        <v>1.07697</v>
      </c>
      <c r="AL244">
        <f t="shared" si="42"/>
        <v>15.424567901234568</v>
      </c>
      <c r="AM244">
        <f t="shared" si="43"/>
        <v>16.632928550617283</v>
      </c>
      <c r="AP244" s="9"/>
      <c r="AQ244" s="22">
        <v>0.54168700000000003</v>
      </c>
      <c r="AR244" s="22">
        <v>26.421399999999998</v>
      </c>
      <c r="AS244" s="22">
        <v>-1.3284300000000001E-2</v>
      </c>
      <c r="AT244" s="22">
        <v>234</v>
      </c>
      <c r="AU244" s="22">
        <v>0.54098500000000005</v>
      </c>
      <c r="AV244">
        <f t="shared" si="44"/>
        <v>16.400370370370371</v>
      </c>
      <c r="AW244">
        <f t="shared" si="45"/>
        <v>8.8838674248148166</v>
      </c>
      <c r="AX244" s="9"/>
      <c r="AY244" s="22">
        <v>1.0783400000000001</v>
      </c>
      <c r="AZ244" s="22">
        <v>30.0794</v>
      </c>
      <c r="BA244" s="22">
        <v>-1.25153E-2</v>
      </c>
      <c r="BB244" s="22">
        <v>234</v>
      </c>
      <c r="BC244" s="22">
        <v>1.0772699999999999</v>
      </c>
      <c r="BD244">
        <f t="shared" si="46"/>
        <v>15.450987654320988</v>
      </c>
      <c r="BE244">
        <f t="shared" si="47"/>
        <v>16.661418027160494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8.4270200000000006</v>
      </c>
      <c r="I245" s="22">
        <v>-1.2899799999999999E-2</v>
      </c>
      <c r="J245" s="22">
        <v>235</v>
      </c>
      <c r="K245" s="22">
        <v>0.53598000000000001</v>
      </c>
      <c r="L245">
        <f t="shared" si="36"/>
        <v>15.925679012345679</v>
      </c>
      <c r="M245">
        <f t="shared" si="37"/>
        <v>8.5465474933333336</v>
      </c>
      <c r="N245" s="9"/>
      <c r="O245" s="22">
        <v>1.0833699999999999</v>
      </c>
      <c r="P245" s="22">
        <v>12.085100000000001</v>
      </c>
      <c r="Q245" s="22">
        <v>-1.2362700000000001E-2</v>
      </c>
      <c r="R245" s="22">
        <v>235</v>
      </c>
      <c r="S245" s="22">
        <v>1.08185</v>
      </c>
      <c r="T245">
        <f t="shared" si="38"/>
        <v>15.262592592592593</v>
      </c>
      <c r="U245">
        <f t="shared" si="39"/>
        <v>16.535034937037036</v>
      </c>
      <c r="X245" s="9"/>
      <c r="Y245" s="22">
        <v>0.53665200000000002</v>
      </c>
      <c r="Z245" s="22">
        <v>17.437200000000001</v>
      </c>
      <c r="AA245" s="22">
        <v>-1.32874E-2</v>
      </c>
      <c r="AB245" s="22">
        <v>235</v>
      </c>
      <c r="AC245" s="22">
        <v>0.53604099999999999</v>
      </c>
      <c r="AD245">
        <f t="shared" si="40"/>
        <v>16.404197530864195</v>
      </c>
      <c r="AE245">
        <f t="shared" si="41"/>
        <v>8.8033454133333322</v>
      </c>
      <c r="AF245" s="9"/>
      <c r="AG245" s="22">
        <v>1.0833699999999999</v>
      </c>
      <c r="AH245" s="22">
        <v>21.095300000000002</v>
      </c>
      <c r="AI245" s="22">
        <v>-1.24695E-2</v>
      </c>
      <c r="AJ245" s="22">
        <v>235</v>
      </c>
      <c r="AK245" s="22">
        <v>1.0821499999999999</v>
      </c>
      <c r="AL245">
        <f t="shared" si="42"/>
        <v>15.394444444444444</v>
      </c>
      <c r="AM245">
        <f t="shared" si="43"/>
        <v>16.677879277777777</v>
      </c>
      <c r="AP245" s="9"/>
      <c r="AQ245" s="22">
        <v>0.53665200000000002</v>
      </c>
      <c r="AR245" s="22">
        <v>26.4315</v>
      </c>
      <c r="AS245" s="22">
        <v>-1.3284300000000001E-2</v>
      </c>
      <c r="AT245" s="22">
        <v>235</v>
      </c>
      <c r="AU245" s="22">
        <v>0.53598000000000001</v>
      </c>
      <c r="AV245">
        <f t="shared" si="44"/>
        <v>16.400370370370371</v>
      </c>
      <c r="AW245">
        <f t="shared" si="45"/>
        <v>8.801291560000001</v>
      </c>
      <c r="AX245" s="9"/>
      <c r="AY245" s="22">
        <v>1.0833699999999999</v>
      </c>
      <c r="AZ245" s="22">
        <v>30.089500000000001</v>
      </c>
      <c r="BA245" s="22">
        <v>-1.24939E-2</v>
      </c>
      <c r="BB245" s="22">
        <v>235</v>
      </c>
      <c r="BC245" s="22">
        <v>1.0821499999999999</v>
      </c>
      <c r="BD245">
        <f t="shared" si="46"/>
        <v>15.424567901234568</v>
      </c>
      <c r="BE245">
        <f t="shared" si="47"/>
        <v>16.710514127160494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8.4370899999999995</v>
      </c>
      <c r="I246" s="22">
        <v>-1.2902800000000001E-2</v>
      </c>
      <c r="J246" s="22">
        <v>236</v>
      </c>
      <c r="K246" s="22">
        <v>0.53100599999999998</v>
      </c>
      <c r="L246">
        <f t="shared" si="36"/>
        <v>15.929382716049382</v>
      </c>
      <c r="M246">
        <f t="shared" si="37"/>
        <v>8.4683147219753074</v>
      </c>
      <c r="N246" s="9"/>
      <c r="O246" s="22">
        <v>1.0884100000000001</v>
      </c>
      <c r="P246" s="22">
        <v>12.0952</v>
      </c>
      <c r="Q246" s="22">
        <v>-1.2335199999999999E-2</v>
      </c>
      <c r="R246" s="22">
        <v>236</v>
      </c>
      <c r="S246" s="22">
        <v>1.08734</v>
      </c>
      <c r="T246">
        <f t="shared" si="38"/>
        <v>15.228641975308641</v>
      </c>
      <c r="U246">
        <f t="shared" si="39"/>
        <v>16.575006212345681</v>
      </c>
      <c r="X246" s="9"/>
      <c r="Y246" s="22">
        <v>0.53161599999999998</v>
      </c>
      <c r="Z246" s="22">
        <v>17.447299999999998</v>
      </c>
      <c r="AA246" s="22">
        <v>-1.32935E-2</v>
      </c>
      <c r="AB246" s="22">
        <v>236</v>
      </c>
      <c r="AC246" s="22">
        <v>0.53097499999999997</v>
      </c>
      <c r="AD246">
        <f t="shared" si="40"/>
        <v>16.411728395061726</v>
      </c>
      <c r="AE246">
        <f t="shared" si="41"/>
        <v>8.7247374024691347</v>
      </c>
      <c r="AF246" s="9"/>
      <c r="AG246" s="22">
        <v>1.0884100000000001</v>
      </c>
      <c r="AH246" s="22">
        <v>21.105399999999999</v>
      </c>
      <c r="AI246" s="22">
        <v>-1.2445100000000001E-2</v>
      </c>
      <c r="AJ246" s="22">
        <v>236</v>
      </c>
      <c r="AK246" s="22">
        <v>1.08704</v>
      </c>
      <c r="AL246">
        <f t="shared" si="42"/>
        <v>15.36432098765432</v>
      </c>
      <c r="AM246">
        <f t="shared" si="43"/>
        <v>16.72268060617284</v>
      </c>
      <c r="AP246" s="9"/>
      <c r="AQ246" s="22">
        <v>0.53161599999999998</v>
      </c>
      <c r="AR246" s="22">
        <v>26.441500000000001</v>
      </c>
      <c r="AS246" s="22">
        <v>-1.3281299999999999E-2</v>
      </c>
      <c r="AT246" s="22">
        <v>236</v>
      </c>
      <c r="AU246" s="22">
        <v>0.53100599999999998</v>
      </c>
      <c r="AV246">
        <f t="shared" si="44"/>
        <v>16.396666666666665</v>
      </c>
      <c r="AW246">
        <f t="shared" si="45"/>
        <v>8.7167303466666652</v>
      </c>
      <c r="AX246" s="9"/>
      <c r="AY246" s="22">
        <v>1.0884100000000001</v>
      </c>
      <c r="AZ246" s="22">
        <v>30.099599999999999</v>
      </c>
      <c r="BA246" s="22">
        <v>-1.24756E-2</v>
      </c>
      <c r="BB246" s="22">
        <v>236</v>
      </c>
      <c r="BC246" s="22">
        <v>1.08795</v>
      </c>
      <c r="BD246">
        <f t="shared" si="46"/>
        <v>15.401975308641974</v>
      </c>
      <c r="BE246">
        <f t="shared" si="47"/>
        <v>16.763663945679014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8.4471699999999998</v>
      </c>
      <c r="I247" s="22">
        <v>-1.2914999999999999E-2</v>
      </c>
      <c r="J247" s="22">
        <v>237</v>
      </c>
      <c r="K247" s="22">
        <v>0.52600100000000005</v>
      </c>
      <c r="L247">
        <f t="shared" si="36"/>
        <v>15.944444444444441</v>
      </c>
      <c r="M247">
        <f t="shared" si="37"/>
        <v>8.3960414999999973</v>
      </c>
      <c r="N247" s="9"/>
      <c r="O247" s="22">
        <v>1.09344</v>
      </c>
      <c r="P247" s="22">
        <v>12.1052</v>
      </c>
      <c r="Q247" s="22">
        <v>-1.23077E-2</v>
      </c>
      <c r="R247" s="22">
        <v>237</v>
      </c>
      <c r="S247" s="22">
        <v>1.09192</v>
      </c>
      <c r="T247">
        <f t="shared" si="38"/>
        <v>15.19469135802469</v>
      </c>
      <c r="U247">
        <f t="shared" si="39"/>
        <v>16.614483318518516</v>
      </c>
      <c r="X247" s="9"/>
      <c r="Y247" s="22">
        <v>0.52658099999999997</v>
      </c>
      <c r="Z247" s="22">
        <v>17.4574</v>
      </c>
      <c r="AA247" s="22">
        <v>-1.3296499999999999E-2</v>
      </c>
      <c r="AB247" s="22">
        <v>237</v>
      </c>
      <c r="AC247" s="22">
        <v>0.52587899999999999</v>
      </c>
      <c r="AD247">
        <f t="shared" si="40"/>
        <v>16.415432098765429</v>
      </c>
      <c r="AE247">
        <f t="shared" si="41"/>
        <v>8.6440546499999975</v>
      </c>
      <c r="AF247" s="9"/>
      <c r="AG247" s="22">
        <v>1.09344</v>
      </c>
      <c r="AH247" s="22">
        <v>21.115400000000001</v>
      </c>
      <c r="AI247" s="22">
        <v>-1.2423699999999999E-2</v>
      </c>
      <c r="AJ247" s="22">
        <v>237</v>
      </c>
      <c r="AK247" s="22">
        <v>1.09222</v>
      </c>
      <c r="AL247">
        <f t="shared" si="42"/>
        <v>15.3379012345679</v>
      </c>
      <c r="AM247">
        <f t="shared" si="43"/>
        <v>16.771074725925924</v>
      </c>
      <c r="AP247" s="9"/>
      <c r="AQ247" s="22">
        <v>0.52658099999999997</v>
      </c>
      <c r="AR247" s="22">
        <v>26.451599999999999</v>
      </c>
      <c r="AS247" s="22">
        <v>-1.3284300000000001E-2</v>
      </c>
      <c r="AT247" s="22">
        <v>237</v>
      </c>
      <c r="AU247" s="22">
        <v>0.52593999999999996</v>
      </c>
      <c r="AV247">
        <f t="shared" si="44"/>
        <v>16.400370370370371</v>
      </c>
      <c r="AW247">
        <f t="shared" si="45"/>
        <v>8.6361234299999996</v>
      </c>
      <c r="AX247" s="9"/>
      <c r="AY247" s="22">
        <v>1.09344</v>
      </c>
      <c r="AZ247" s="22">
        <v>30.1096</v>
      </c>
      <c r="BA247" s="22">
        <v>-1.24542E-2</v>
      </c>
      <c r="BB247" s="22">
        <v>237</v>
      </c>
      <c r="BC247" s="22">
        <v>1.09283</v>
      </c>
      <c r="BD247">
        <f t="shared" si="46"/>
        <v>15.375555555555556</v>
      </c>
      <c r="BE247">
        <f t="shared" si="47"/>
        <v>16.812247466666665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8.4572400000000005</v>
      </c>
      <c r="I248" s="22">
        <v>-1.29181E-2</v>
      </c>
      <c r="J248" s="22">
        <v>238</v>
      </c>
      <c r="K248" s="22">
        <v>0.52087399999999995</v>
      </c>
      <c r="L248">
        <f t="shared" si="36"/>
        <v>15.94827160493827</v>
      </c>
      <c r="M248">
        <f t="shared" si="37"/>
        <v>8.31774131419753</v>
      </c>
      <c r="N248" s="9"/>
      <c r="O248" s="22">
        <v>1.0984799999999999</v>
      </c>
      <c r="P248" s="22">
        <v>12.1153</v>
      </c>
      <c r="Q248" s="22">
        <v>-1.2289400000000001E-2</v>
      </c>
      <c r="R248" s="22">
        <v>238</v>
      </c>
      <c r="S248" s="22">
        <v>1.0968</v>
      </c>
      <c r="T248">
        <f t="shared" si="38"/>
        <v>15.172098765432098</v>
      </c>
      <c r="U248">
        <f t="shared" si="39"/>
        <v>16.666247051851851</v>
      </c>
      <c r="X248" s="9"/>
      <c r="Y248" s="22">
        <v>0.52154500000000004</v>
      </c>
      <c r="Z248" s="22">
        <v>17.467400000000001</v>
      </c>
      <c r="AA248" s="22">
        <v>-1.3290400000000001E-2</v>
      </c>
      <c r="AB248" s="22">
        <v>238</v>
      </c>
      <c r="AC248" s="22">
        <v>0.52093500000000004</v>
      </c>
      <c r="AD248">
        <f t="shared" si="40"/>
        <v>16.407901234567902</v>
      </c>
      <c r="AE248">
        <f t="shared" si="41"/>
        <v>8.5574588493827175</v>
      </c>
      <c r="AF248" s="9"/>
      <c r="AG248" s="22">
        <v>1.0984799999999999</v>
      </c>
      <c r="AH248" s="22">
        <v>21.125499999999999</v>
      </c>
      <c r="AI248" s="22">
        <v>-1.24054E-2</v>
      </c>
      <c r="AJ248" s="22">
        <v>238</v>
      </c>
      <c r="AK248" s="22">
        <v>1.09772</v>
      </c>
      <c r="AL248">
        <f t="shared" si="42"/>
        <v>15.315308641975308</v>
      </c>
      <c r="AM248">
        <f t="shared" si="43"/>
        <v>16.823560237037036</v>
      </c>
      <c r="AP248" s="9"/>
      <c r="AQ248" s="22">
        <v>0.52154500000000004</v>
      </c>
      <c r="AR248" s="22">
        <v>26.4617</v>
      </c>
      <c r="AS248" s="22">
        <v>-1.3284300000000001E-2</v>
      </c>
      <c r="AT248" s="22">
        <v>238</v>
      </c>
      <c r="AU248" s="22">
        <v>0.52090499999999995</v>
      </c>
      <c r="AV248">
        <f t="shared" si="44"/>
        <v>16.400370370370371</v>
      </c>
      <c r="AW248">
        <f t="shared" si="45"/>
        <v>8.5535311648148156</v>
      </c>
      <c r="AX248" s="9"/>
      <c r="AY248" s="22">
        <v>1.0984799999999999</v>
      </c>
      <c r="AZ248" s="22">
        <v>30.119700000000002</v>
      </c>
      <c r="BA248" s="22">
        <v>-1.24268E-2</v>
      </c>
      <c r="BB248" s="22">
        <v>238</v>
      </c>
      <c r="BC248" s="22">
        <v>1.09741</v>
      </c>
      <c r="BD248">
        <f t="shared" si="46"/>
        <v>15.341728395061727</v>
      </c>
      <c r="BE248">
        <f t="shared" si="47"/>
        <v>16.852581807407404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8.4673099999999994</v>
      </c>
      <c r="I249" s="22">
        <v>-1.29181E-2</v>
      </c>
      <c r="J249" s="22">
        <v>239</v>
      </c>
      <c r="K249" s="22">
        <v>0.51580800000000004</v>
      </c>
      <c r="L249">
        <f t="shared" si="36"/>
        <v>15.94827160493827</v>
      </c>
      <c r="M249">
        <f t="shared" si="37"/>
        <v>8.2374417666666666</v>
      </c>
      <c r="N249" s="9"/>
      <c r="O249" s="22">
        <v>1.1035200000000001</v>
      </c>
      <c r="P249" s="22">
        <v>12.125400000000001</v>
      </c>
      <c r="Q249" s="22">
        <v>-1.2274200000000001E-2</v>
      </c>
      <c r="R249" s="22">
        <v>239</v>
      </c>
      <c r="S249" s="22">
        <v>1.10229</v>
      </c>
      <c r="T249">
        <f t="shared" si="38"/>
        <v>15.153333333333332</v>
      </c>
      <c r="U249">
        <f t="shared" si="39"/>
        <v>16.722006400000001</v>
      </c>
      <c r="X249" s="9"/>
      <c r="Y249" s="22">
        <v>0.51651000000000002</v>
      </c>
      <c r="Z249" s="22">
        <v>17.477499999999999</v>
      </c>
      <c r="AA249" s="22">
        <v>-1.32935E-2</v>
      </c>
      <c r="AB249" s="22">
        <v>239</v>
      </c>
      <c r="AC249" s="22">
        <v>0.51586900000000002</v>
      </c>
      <c r="AD249">
        <f t="shared" si="40"/>
        <v>16.411728395061726</v>
      </c>
      <c r="AE249">
        <f t="shared" si="41"/>
        <v>8.4768218333333323</v>
      </c>
      <c r="AF249" s="9"/>
      <c r="AG249" s="22">
        <v>1.1035200000000001</v>
      </c>
      <c r="AH249" s="22">
        <v>21.1356</v>
      </c>
      <c r="AI249" s="22">
        <v>-1.2377900000000001E-2</v>
      </c>
      <c r="AJ249" s="22">
        <v>239</v>
      </c>
      <c r="AK249" s="22">
        <v>1.1026</v>
      </c>
      <c r="AL249">
        <f t="shared" si="42"/>
        <v>15.281358024691359</v>
      </c>
      <c r="AM249">
        <f t="shared" si="43"/>
        <v>16.863284207407411</v>
      </c>
      <c r="AP249" s="9"/>
      <c r="AQ249" s="22">
        <v>0.51651000000000002</v>
      </c>
      <c r="AR249" s="22">
        <v>26.471699999999998</v>
      </c>
      <c r="AS249" s="22">
        <v>-1.32874E-2</v>
      </c>
      <c r="AT249" s="22">
        <v>239</v>
      </c>
      <c r="AU249" s="22">
        <v>0.51586900000000002</v>
      </c>
      <c r="AV249">
        <f t="shared" si="44"/>
        <v>16.404197530864195</v>
      </c>
      <c r="AW249">
        <f t="shared" si="45"/>
        <v>8.4729320666666652</v>
      </c>
      <c r="AX249" s="9"/>
      <c r="AY249" s="22">
        <v>1.1035200000000001</v>
      </c>
      <c r="AZ249" s="22">
        <v>30.129799999999999</v>
      </c>
      <c r="BA249" s="22">
        <v>-1.23993E-2</v>
      </c>
      <c r="BB249" s="22">
        <v>239</v>
      </c>
      <c r="BC249" s="22">
        <v>1.10229</v>
      </c>
      <c r="BD249">
        <f t="shared" si="46"/>
        <v>15.307777777777778</v>
      </c>
      <c r="BE249">
        <f t="shared" si="47"/>
        <v>16.892438933333334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8.4773800000000001</v>
      </c>
      <c r="I250" s="22">
        <v>-1.29272E-2</v>
      </c>
      <c r="J250" s="22">
        <v>240</v>
      </c>
      <c r="K250" s="22">
        <v>0.51086399999999998</v>
      </c>
      <c r="L250">
        <f t="shared" si="36"/>
        <v>15.959506172839506</v>
      </c>
      <c r="M250">
        <f t="shared" si="37"/>
        <v>8.1628884197530862</v>
      </c>
      <c r="N250" s="9"/>
      <c r="O250" s="22">
        <v>1.1085499999999999</v>
      </c>
      <c r="P250" s="22">
        <v>12.135400000000001</v>
      </c>
      <c r="Q250" s="22">
        <v>-1.22589E-2</v>
      </c>
      <c r="R250" s="22">
        <v>240</v>
      </c>
      <c r="S250" s="22">
        <v>1.10748</v>
      </c>
      <c r="T250">
        <f t="shared" si="38"/>
        <v>15.134444444444444</v>
      </c>
      <c r="U250">
        <f t="shared" si="39"/>
        <v>16.777288388888888</v>
      </c>
      <c r="X250" s="9"/>
      <c r="Y250" s="22">
        <v>0.51147500000000001</v>
      </c>
      <c r="Z250" s="22">
        <v>17.4876</v>
      </c>
      <c r="AA250" s="22">
        <v>-1.32874E-2</v>
      </c>
      <c r="AB250" s="22">
        <v>240</v>
      </c>
      <c r="AC250" s="22">
        <v>0.51083400000000001</v>
      </c>
      <c r="AD250">
        <f t="shared" si="40"/>
        <v>16.404197530864195</v>
      </c>
      <c r="AE250">
        <f t="shared" si="41"/>
        <v>8.390336932098764</v>
      </c>
      <c r="AF250" s="9"/>
      <c r="AG250" s="22">
        <v>1.1085499999999999</v>
      </c>
      <c r="AH250" s="22">
        <v>21.145600000000002</v>
      </c>
      <c r="AI250" s="22">
        <v>-1.23474E-2</v>
      </c>
      <c r="AJ250" s="22">
        <v>240</v>
      </c>
      <c r="AK250" s="22">
        <v>1.1077900000000001</v>
      </c>
      <c r="AL250">
        <f t="shared" si="42"/>
        <v>15.243703703703702</v>
      </c>
      <c r="AM250">
        <f t="shared" si="43"/>
        <v>16.898407740740737</v>
      </c>
      <c r="AP250" s="9"/>
      <c r="AQ250" s="22">
        <v>0.51147500000000001</v>
      </c>
      <c r="AR250" s="22">
        <v>26.4818</v>
      </c>
      <c r="AS250" s="22">
        <v>-1.3284300000000001E-2</v>
      </c>
      <c r="AT250" s="22">
        <v>240</v>
      </c>
      <c r="AU250" s="22">
        <v>0.51089499999999999</v>
      </c>
      <c r="AV250">
        <f t="shared" si="44"/>
        <v>16.400370370370371</v>
      </c>
      <c r="AW250">
        <f t="shared" si="45"/>
        <v>8.3883794351851861</v>
      </c>
      <c r="AX250" s="9"/>
      <c r="AY250" s="22">
        <v>1.1085499999999999</v>
      </c>
      <c r="AZ250" s="22">
        <v>30.139900000000001</v>
      </c>
      <c r="BA250" s="22">
        <v>-1.2377900000000001E-2</v>
      </c>
      <c r="BB250" s="22">
        <v>240</v>
      </c>
      <c r="BC250" s="22">
        <v>1.10748</v>
      </c>
      <c r="BD250">
        <f t="shared" si="46"/>
        <v>15.281358024691359</v>
      </c>
      <c r="BE250">
        <f t="shared" si="47"/>
        <v>16.940149438271604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8.4874500000000008</v>
      </c>
      <c r="I251" s="22">
        <v>-1.2936400000000001E-2</v>
      </c>
      <c r="J251" s="22">
        <v>241</v>
      </c>
      <c r="K251" s="22">
        <v>0.50582899999999997</v>
      </c>
      <c r="L251">
        <f t="shared" si="36"/>
        <v>15.970864197530865</v>
      </c>
      <c r="M251">
        <f t="shared" si="37"/>
        <v>8.0882684933333326</v>
      </c>
      <c r="N251" s="9"/>
      <c r="O251" s="22">
        <v>1.1135900000000001</v>
      </c>
      <c r="P251" s="22">
        <v>12.1455</v>
      </c>
      <c r="Q251" s="22">
        <v>-1.22375E-2</v>
      </c>
      <c r="R251" s="22">
        <v>241</v>
      </c>
      <c r="S251" s="22">
        <v>1.1129800000000001</v>
      </c>
      <c r="T251">
        <f t="shared" si="38"/>
        <v>15.108024691358024</v>
      </c>
      <c r="U251">
        <f t="shared" si="39"/>
        <v>16.824145216049384</v>
      </c>
      <c r="X251" s="9"/>
      <c r="Y251" s="22">
        <v>0.50643899999999997</v>
      </c>
      <c r="Z251" s="22">
        <v>17.497699999999998</v>
      </c>
      <c r="AA251" s="22">
        <v>-1.32782E-2</v>
      </c>
      <c r="AB251" s="22">
        <v>241</v>
      </c>
      <c r="AC251" s="22">
        <v>0.505768</v>
      </c>
      <c r="AD251">
        <f t="shared" si="40"/>
        <v>16.392839506172837</v>
      </c>
      <c r="AE251">
        <f t="shared" si="41"/>
        <v>8.3019732466666643</v>
      </c>
      <c r="AF251" s="9"/>
      <c r="AG251" s="22">
        <v>1.1135900000000001</v>
      </c>
      <c r="AH251" s="22">
        <v>21.1557</v>
      </c>
      <c r="AI251" s="22">
        <v>-1.2335199999999999E-2</v>
      </c>
      <c r="AJ251" s="22">
        <v>241</v>
      </c>
      <c r="AK251" s="22">
        <v>1.11267</v>
      </c>
      <c r="AL251">
        <f t="shared" si="42"/>
        <v>15.228641975308641</v>
      </c>
      <c r="AM251">
        <f t="shared" si="43"/>
        <v>16.958463417283951</v>
      </c>
      <c r="AP251" s="9"/>
      <c r="AQ251" s="22">
        <v>0.50643899999999997</v>
      </c>
      <c r="AR251" s="22">
        <v>26.491900000000001</v>
      </c>
      <c r="AS251" s="22">
        <v>-1.3284300000000001E-2</v>
      </c>
      <c r="AT251" s="22">
        <v>241</v>
      </c>
      <c r="AU251" s="22">
        <v>0.50579799999999997</v>
      </c>
      <c r="AV251">
        <f t="shared" si="44"/>
        <v>16.400370370370371</v>
      </c>
      <c r="AW251">
        <f t="shared" si="45"/>
        <v>8.3057871700000003</v>
      </c>
      <c r="AX251" s="9"/>
      <c r="AY251" s="22">
        <v>1.1135900000000001</v>
      </c>
      <c r="AZ251" s="22">
        <v>30.149899999999999</v>
      </c>
      <c r="BA251" s="22">
        <v>-1.23505E-2</v>
      </c>
      <c r="BB251" s="22">
        <v>241</v>
      </c>
      <c r="BC251" s="22">
        <v>1.11267</v>
      </c>
      <c r="BD251">
        <f t="shared" si="46"/>
        <v>15.247530864197531</v>
      </c>
      <c r="BE251">
        <f t="shared" si="47"/>
        <v>16.97949789506173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8.4975199999999997</v>
      </c>
      <c r="I252" s="22">
        <v>-1.2936400000000001E-2</v>
      </c>
      <c r="J252" s="22">
        <v>242</v>
      </c>
      <c r="K252" s="22">
        <v>0.50073199999999995</v>
      </c>
      <c r="L252">
        <f t="shared" si="36"/>
        <v>15.970864197530865</v>
      </c>
      <c r="M252">
        <f t="shared" si="37"/>
        <v>8.0078551920987646</v>
      </c>
      <c r="N252" s="9"/>
      <c r="O252" s="22">
        <v>1.1186199999999999</v>
      </c>
      <c r="P252" s="22">
        <v>12.1556</v>
      </c>
      <c r="Q252" s="22">
        <v>-1.22192E-2</v>
      </c>
      <c r="R252" s="22">
        <v>242</v>
      </c>
      <c r="S252" s="22">
        <v>1.11755</v>
      </c>
      <c r="T252">
        <f t="shared" si="38"/>
        <v>15.08543209876543</v>
      </c>
      <c r="U252">
        <f t="shared" si="39"/>
        <v>16.874866054320986</v>
      </c>
      <c r="X252" s="9"/>
      <c r="Y252" s="22">
        <v>0.50140399999999996</v>
      </c>
      <c r="Z252" s="22">
        <v>17.5077</v>
      </c>
      <c r="AA252" s="22">
        <v>-1.32782E-2</v>
      </c>
      <c r="AB252" s="22">
        <v>242</v>
      </c>
      <c r="AC252" s="22">
        <v>0.50079300000000004</v>
      </c>
      <c r="AD252">
        <f t="shared" si="40"/>
        <v>16.392839506172837</v>
      </c>
      <c r="AE252">
        <f t="shared" si="41"/>
        <v>8.2194352997530853</v>
      </c>
      <c r="AF252" s="9"/>
      <c r="AG252" s="22">
        <v>1.1186199999999999</v>
      </c>
      <c r="AH252" s="22">
        <v>21.165800000000001</v>
      </c>
      <c r="AI252" s="22">
        <v>-1.23077E-2</v>
      </c>
      <c r="AJ252" s="22">
        <v>242</v>
      </c>
      <c r="AK252" s="22">
        <v>1.11755</v>
      </c>
      <c r="AL252">
        <f t="shared" si="42"/>
        <v>15.19469135802469</v>
      </c>
      <c r="AM252">
        <f t="shared" si="43"/>
        <v>16.997085646913579</v>
      </c>
      <c r="AP252" s="9"/>
      <c r="AQ252" s="22">
        <v>0.50140399999999996</v>
      </c>
      <c r="AR252" s="22">
        <v>26.501999999999999</v>
      </c>
      <c r="AS252" s="22">
        <v>-1.32874E-2</v>
      </c>
      <c r="AT252" s="22">
        <v>242</v>
      </c>
      <c r="AU252" s="22">
        <v>0.50076299999999996</v>
      </c>
      <c r="AV252">
        <f t="shared" si="44"/>
        <v>16.404197530864195</v>
      </c>
      <c r="AW252">
        <f t="shared" si="45"/>
        <v>8.2251302587654305</v>
      </c>
      <c r="AX252" s="9"/>
      <c r="AY252" s="22">
        <v>1.1186199999999999</v>
      </c>
      <c r="AZ252" s="22">
        <v>30.16</v>
      </c>
      <c r="BA252" s="22">
        <v>-1.2326E-2</v>
      </c>
      <c r="BB252" s="22">
        <v>242</v>
      </c>
      <c r="BC252" s="22">
        <v>1.1172500000000001</v>
      </c>
      <c r="BD252">
        <f t="shared" si="46"/>
        <v>15.217283950617283</v>
      </c>
      <c r="BE252">
        <f t="shared" si="47"/>
        <v>17.022358172839503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8.5075900000000004</v>
      </c>
      <c r="I253" s="22">
        <v>-1.29395E-2</v>
      </c>
      <c r="J253" s="22">
        <v>243</v>
      </c>
      <c r="K253" s="22">
        <v>0.49575799999999998</v>
      </c>
      <c r="L253">
        <f t="shared" si="36"/>
        <v>15.974691358024689</v>
      </c>
      <c r="M253">
        <f t="shared" si="37"/>
        <v>7.9293255999999985</v>
      </c>
      <c r="N253" s="9"/>
      <c r="O253" s="22">
        <v>1.1236600000000001</v>
      </c>
      <c r="P253" s="22">
        <v>12.1656</v>
      </c>
      <c r="Q253" s="22">
        <v>-1.22101E-2</v>
      </c>
      <c r="R253" s="22">
        <v>243</v>
      </c>
      <c r="S253" s="22">
        <v>1.1227400000000001</v>
      </c>
      <c r="T253">
        <f t="shared" si="38"/>
        <v>15.074197530864195</v>
      </c>
      <c r="U253">
        <f t="shared" si="39"/>
        <v>16.938272797530864</v>
      </c>
      <c r="X253" s="9"/>
      <c r="Y253" s="22">
        <v>0.49636799999999998</v>
      </c>
      <c r="Z253" s="22">
        <v>17.517800000000001</v>
      </c>
      <c r="AA253" s="22">
        <v>-1.32782E-2</v>
      </c>
      <c r="AB253" s="22">
        <v>243</v>
      </c>
      <c r="AC253" s="22">
        <v>0.49581900000000001</v>
      </c>
      <c r="AD253">
        <f t="shared" si="40"/>
        <v>16.392839506172837</v>
      </c>
      <c r="AE253">
        <f t="shared" si="41"/>
        <v>8.1368809599999992</v>
      </c>
      <c r="AF253" s="9"/>
      <c r="AG253" s="22">
        <v>1.1236600000000001</v>
      </c>
      <c r="AH253" s="22">
        <v>21.175799999999999</v>
      </c>
      <c r="AI253" s="22">
        <v>-1.2280299999999999E-2</v>
      </c>
      <c r="AJ253" s="22">
        <v>243</v>
      </c>
      <c r="AK253" s="22">
        <v>1.1227400000000001</v>
      </c>
      <c r="AL253">
        <f t="shared" si="42"/>
        <v>15.160864197530863</v>
      </c>
      <c r="AM253">
        <f t="shared" si="43"/>
        <v>17.035656664197532</v>
      </c>
      <c r="AP253" s="9"/>
      <c r="AQ253" s="22">
        <v>0.49636799999999998</v>
      </c>
      <c r="AR253" s="22">
        <v>26.512</v>
      </c>
      <c r="AS253" s="22">
        <v>-1.3290400000000001E-2</v>
      </c>
      <c r="AT253" s="22">
        <v>243</v>
      </c>
      <c r="AU253" s="22">
        <v>0.495728</v>
      </c>
      <c r="AV253">
        <f t="shared" si="44"/>
        <v>16.407901234567902</v>
      </c>
      <c r="AW253">
        <f t="shared" si="45"/>
        <v>8.1443571200000004</v>
      </c>
      <c r="AX253" s="9"/>
      <c r="AY253" s="22">
        <v>1.1236600000000001</v>
      </c>
      <c r="AZ253" s="22">
        <v>30.170100000000001</v>
      </c>
      <c r="BA253" s="22">
        <v>-1.2301599999999999E-2</v>
      </c>
      <c r="BB253" s="22">
        <v>243</v>
      </c>
      <c r="BC253" s="22">
        <v>1.1227400000000001</v>
      </c>
      <c r="BD253">
        <f t="shared" si="46"/>
        <v>15.187160493827157</v>
      </c>
      <c r="BE253">
        <f t="shared" si="47"/>
        <v>17.065204760493824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8.5176599999999993</v>
      </c>
      <c r="I254" s="22">
        <v>-1.2936400000000001E-2</v>
      </c>
      <c r="J254" s="22">
        <v>244</v>
      </c>
      <c r="K254" s="22">
        <v>0.49075299999999999</v>
      </c>
      <c r="L254">
        <f t="shared" si="36"/>
        <v>15.970864197530865</v>
      </c>
      <c r="M254">
        <f t="shared" si="37"/>
        <v>7.847012618765433</v>
      </c>
      <c r="N254" s="9"/>
      <c r="O254" s="22">
        <v>1.12869</v>
      </c>
      <c r="P254" s="22">
        <v>12.175700000000001</v>
      </c>
      <c r="Q254" s="22">
        <v>-1.2191799999999999E-2</v>
      </c>
      <c r="R254" s="22">
        <v>244</v>
      </c>
      <c r="S254" s="22">
        <v>1.1282300000000001</v>
      </c>
      <c r="T254">
        <f t="shared" si="38"/>
        <v>15.051604938271602</v>
      </c>
      <c r="U254">
        <f t="shared" si="39"/>
        <v>16.988595977777774</v>
      </c>
      <c r="X254" s="9"/>
      <c r="Y254" s="22">
        <v>0.49133300000000002</v>
      </c>
      <c r="Z254" s="22">
        <v>17.527899999999999</v>
      </c>
      <c r="AA254" s="22">
        <v>-1.3284300000000001E-2</v>
      </c>
      <c r="AB254" s="22">
        <v>244</v>
      </c>
      <c r="AC254" s="22">
        <v>0.49069200000000002</v>
      </c>
      <c r="AD254">
        <f t="shared" si="40"/>
        <v>16.400370370370371</v>
      </c>
      <c r="AE254">
        <f t="shared" si="41"/>
        <v>8.0580431751851869</v>
      </c>
      <c r="AF254" s="9"/>
      <c r="AG254" s="22">
        <v>1.12869</v>
      </c>
      <c r="AH254" s="22">
        <v>21.1859</v>
      </c>
      <c r="AI254" s="22">
        <v>-1.22559E-2</v>
      </c>
      <c r="AJ254" s="22">
        <v>244</v>
      </c>
      <c r="AK254" s="22">
        <v>1.1279300000000001</v>
      </c>
      <c r="AL254">
        <f t="shared" si="42"/>
        <v>15.130740740740739</v>
      </c>
      <c r="AM254">
        <f t="shared" si="43"/>
        <v>17.077915766666663</v>
      </c>
      <c r="AP254" s="9"/>
      <c r="AQ254" s="22">
        <v>0.49133300000000002</v>
      </c>
      <c r="AR254" s="22">
        <v>26.522099999999998</v>
      </c>
      <c r="AS254" s="22">
        <v>-1.32996E-2</v>
      </c>
      <c r="AT254" s="22">
        <v>244</v>
      </c>
      <c r="AU254" s="22">
        <v>0.49066199999999999</v>
      </c>
      <c r="AV254">
        <f t="shared" si="44"/>
        <v>16.41925925925926</v>
      </c>
      <c r="AW254">
        <f t="shared" si="45"/>
        <v>8.0673239096296303</v>
      </c>
      <c r="AX254" s="9"/>
      <c r="AY254" s="22">
        <v>1.12869</v>
      </c>
      <c r="AZ254" s="22">
        <v>30.180099999999999</v>
      </c>
      <c r="BA254" s="22">
        <v>-1.2280299999999999E-2</v>
      </c>
      <c r="BB254" s="22">
        <v>244</v>
      </c>
      <c r="BC254" s="22">
        <v>1.1279300000000001</v>
      </c>
      <c r="BD254">
        <f t="shared" si="46"/>
        <v>15.160864197530863</v>
      </c>
      <c r="BE254">
        <f t="shared" si="47"/>
        <v>17.11191581111111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8.52773</v>
      </c>
      <c r="I255" s="22">
        <v>-1.2936400000000001E-2</v>
      </c>
      <c r="J255" s="22">
        <v>245</v>
      </c>
      <c r="K255" s="22">
        <v>0.48574800000000001</v>
      </c>
      <c r="L255">
        <f t="shared" si="36"/>
        <v>15.970864197530865</v>
      </c>
      <c r="M255">
        <f t="shared" si="37"/>
        <v>7.766599317530865</v>
      </c>
      <c r="N255" s="9"/>
      <c r="O255" s="22">
        <v>1.1337299999999999</v>
      </c>
      <c r="P255" s="22">
        <v>12.1858</v>
      </c>
      <c r="Q255" s="22">
        <v>-1.21735E-2</v>
      </c>
      <c r="R255" s="22">
        <v>245</v>
      </c>
      <c r="S255" s="22">
        <v>1.1334200000000001</v>
      </c>
      <c r="T255">
        <f t="shared" si="38"/>
        <v>15.029012345679011</v>
      </c>
      <c r="U255">
        <f t="shared" si="39"/>
        <v>17.038842166666662</v>
      </c>
      <c r="X255" s="9"/>
      <c r="Y255" s="22">
        <v>0.48629800000000001</v>
      </c>
      <c r="Z255" s="22">
        <v>17.5379</v>
      </c>
      <c r="AA255" s="22">
        <v>-1.32874E-2</v>
      </c>
      <c r="AB255" s="22">
        <v>245</v>
      </c>
      <c r="AC255" s="22">
        <v>0.48568699999999998</v>
      </c>
      <c r="AD255">
        <f t="shared" si="40"/>
        <v>16.404197530864195</v>
      </c>
      <c r="AE255">
        <f t="shared" si="41"/>
        <v>7.9773284508641966</v>
      </c>
      <c r="AF255" s="9"/>
      <c r="AG255" s="22">
        <v>1.1337299999999999</v>
      </c>
      <c r="AH255" s="22">
        <v>21.196000000000002</v>
      </c>
      <c r="AI255" s="22">
        <v>-1.2240600000000001E-2</v>
      </c>
      <c r="AJ255" s="22">
        <v>245</v>
      </c>
      <c r="AK255" s="22">
        <v>1.1328100000000001</v>
      </c>
      <c r="AL255">
        <f t="shared" si="42"/>
        <v>15.111851851851853</v>
      </c>
      <c r="AM255">
        <f t="shared" si="43"/>
        <v>17.132759799999999</v>
      </c>
      <c r="AP255" s="9"/>
      <c r="AQ255" s="22">
        <v>0.48629800000000001</v>
      </c>
      <c r="AR255" s="22">
        <v>26.5322</v>
      </c>
      <c r="AS255" s="22">
        <v>-1.3296499999999999E-2</v>
      </c>
      <c r="AT255" s="22">
        <v>245</v>
      </c>
      <c r="AU255" s="22">
        <v>0.48574800000000001</v>
      </c>
      <c r="AV255">
        <f t="shared" si="44"/>
        <v>16.415432098765429</v>
      </c>
      <c r="AW255">
        <f t="shared" si="45"/>
        <v>7.9827917987654304</v>
      </c>
      <c r="AX255" s="9"/>
      <c r="AY255" s="22">
        <v>1.1337299999999999</v>
      </c>
      <c r="AZ255" s="22">
        <v>30.190200000000001</v>
      </c>
      <c r="BA255" s="22">
        <v>-1.22589E-2</v>
      </c>
      <c r="BB255" s="22">
        <v>245</v>
      </c>
      <c r="BC255" s="22">
        <v>1.1334200000000001</v>
      </c>
      <c r="BD255">
        <f t="shared" si="46"/>
        <v>15.134444444444444</v>
      </c>
      <c r="BE255">
        <f t="shared" si="47"/>
        <v>17.158373699999999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8.5378000000000007</v>
      </c>
      <c r="I256" s="22">
        <v>-1.29456E-2</v>
      </c>
      <c r="J256" s="22">
        <v>246</v>
      </c>
      <c r="K256" s="22">
        <v>0.48074299999999998</v>
      </c>
      <c r="L256">
        <f t="shared" si="36"/>
        <v>15.982222222222221</v>
      </c>
      <c r="M256">
        <f t="shared" si="37"/>
        <v>7.6916362311111106</v>
      </c>
      <c r="N256" s="9"/>
      <c r="O256" s="22">
        <v>1.13876</v>
      </c>
      <c r="P256" s="22">
        <v>12.1959</v>
      </c>
      <c r="Q256" s="22">
        <v>-1.2152100000000001E-2</v>
      </c>
      <c r="R256" s="22">
        <v>246</v>
      </c>
      <c r="S256" s="22">
        <v>1.1376999999999999</v>
      </c>
      <c r="T256">
        <f t="shared" si="38"/>
        <v>15.002592592592592</v>
      </c>
      <c r="U256">
        <f t="shared" si="39"/>
        <v>17.08435234074074</v>
      </c>
      <c r="X256" s="9"/>
      <c r="Y256" s="22">
        <v>0.48126200000000002</v>
      </c>
      <c r="Z256" s="22">
        <v>17.547999999999998</v>
      </c>
      <c r="AA256" s="22">
        <v>-1.3284300000000001E-2</v>
      </c>
      <c r="AB256" s="22">
        <v>246</v>
      </c>
      <c r="AC256" s="22">
        <v>0.480682</v>
      </c>
      <c r="AD256">
        <f t="shared" si="40"/>
        <v>16.400370370370371</v>
      </c>
      <c r="AE256">
        <f t="shared" si="41"/>
        <v>7.8928750451851863</v>
      </c>
      <c r="AF256" s="9"/>
      <c r="AG256" s="22">
        <v>1.13876</v>
      </c>
      <c r="AH256" s="22">
        <v>21.206099999999999</v>
      </c>
      <c r="AI256" s="22">
        <v>-1.22223E-2</v>
      </c>
      <c r="AJ256" s="22">
        <v>246</v>
      </c>
      <c r="AK256" s="22">
        <v>1.1376999999999999</v>
      </c>
      <c r="AL256">
        <f t="shared" si="42"/>
        <v>15.08925925925926</v>
      </c>
      <c r="AM256">
        <f t="shared" si="43"/>
        <v>17.183044874074074</v>
      </c>
      <c r="AP256" s="9"/>
      <c r="AQ256" s="22">
        <v>0.48126200000000002</v>
      </c>
      <c r="AR256" s="22">
        <v>26.542200000000001</v>
      </c>
      <c r="AS256" s="22">
        <v>-1.33087E-2</v>
      </c>
      <c r="AT256" s="22">
        <v>246</v>
      </c>
      <c r="AU256" s="22">
        <v>0.480682</v>
      </c>
      <c r="AV256">
        <f t="shared" si="44"/>
        <v>16.430493827160493</v>
      </c>
      <c r="AW256">
        <f t="shared" si="45"/>
        <v>7.9073723202469139</v>
      </c>
      <c r="AX256" s="9"/>
      <c r="AY256" s="22">
        <v>1.13876</v>
      </c>
      <c r="AZ256" s="22">
        <v>30.200299999999999</v>
      </c>
      <c r="BA256" s="22">
        <v>-1.22314E-2</v>
      </c>
      <c r="BB256" s="22">
        <v>246</v>
      </c>
      <c r="BC256" s="22">
        <v>1.1370800000000001</v>
      </c>
      <c r="BD256">
        <f t="shared" si="46"/>
        <v>15.100493827160493</v>
      </c>
      <c r="BE256">
        <f t="shared" si="47"/>
        <v>17.195838350617283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8.5478799999999993</v>
      </c>
      <c r="I257" s="22">
        <v>-1.29547E-2</v>
      </c>
      <c r="J257" s="22">
        <v>247</v>
      </c>
      <c r="K257" s="22">
        <v>0.47558600000000001</v>
      </c>
      <c r="L257">
        <f t="shared" si="36"/>
        <v>15.993456790123457</v>
      </c>
      <c r="M257">
        <f t="shared" si="37"/>
        <v>7.6165159467901233</v>
      </c>
      <c r="N257" s="9"/>
      <c r="O257" s="22">
        <v>1.1437999999999999</v>
      </c>
      <c r="P257" s="22">
        <v>12.2059</v>
      </c>
      <c r="Q257" s="22">
        <v>-1.21277E-2</v>
      </c>
      <c r="R257" s="22">
        <v>247</v>
      </c>
      <c r="S257" s="22">
        <v>1.1425799999999999</v>
      </c>
      <c r="T257">
        <f t="shared" si="38"/>
        <v>14.972469135802468</v>
      </c>
      <c r="U257">
        <f t="shared" si="39"/>
        <v>17.125510197530861</v>
      </c>
      <c r="X257" s="9"/>
      <c r="Y257" s="22">
        <v>0.47622700000000001</v>
      </c>
      <c r="Z257" s="22">
        <v>17.5581</v>
      </c>
      <c r="AA257" s="22">
        <v>-1.32935E-2</v>
      </c>
      <c r="AB257" s="22">
        <v>247</v>
      </c>
      <c r="AC257" s="22">
        <v>0.47567700000000002</v>
      </c>
      <c r="AD257">
        <f t="shared" si="40"/>
        <v>16.411728395061726</v>
      </c>
      <c r="AE257">
        <f t="shared" si="41"/>
        <v>7.8157081783950604</v>
      </c>
      <c r="AF257" s="9"/>
      <c r="AG257" s="22">
        <v>1.1437999999999999</v>
      </c>
      <c r="AH257" s="22">
        <v>21.216100000000001</v>
      </c>
      <c r="AI257" s="22">
        <v>-1.2197899999999999E-2</v>
      </c>
      <c r="AJ257" s="22">
        <v>247</v>
      </c>
      <c r="AK257" s="22">
        <v>1.1425799999999999</v>
      </c>
      <c r="AL257">
        <f t="shared" si="42"/>
        <v>15.059135802469134</v>
      </c>
      <c r="AM257">
        <f t="shared" si="43"/>
        <v>17.224639530864195</v>
      </c>
      <c r="AP257" s="9"/>
      <c r="AQ257" s="22">
        <v>0.47622700000000001</v>
      </c>
      <c r="AR257" s="22">
        <v>26.552299999999999</v>
      </c>
      <c r="AS257" s="22">
        <v>-1.33148E-2</v>
      </c>
      <c r="AT257" s="22">
        <v>247</v>
      </c>
      <c r="AU257" s="22">
        <v>0.47564699999999999</v>
      </c>
      <c r="AV257">
        <f t="shared" si="44"/>
        <v>16.438024691358024</v>
      </c>
      <c r="AW257">
        <f t="shared" si="45"/>
        <v>7.8282311846913579</v>
      </c>
      <c r="AX257" s="9"/>
      <c r="AY257" s="22">
        <v>1.1437999999999999</v>
      </c>
      <c r="AZ257" s="22">
        <v>30.2104</v>
      </c>
      <c r="BA257" s="22">
        <v>-1.2213099999999999E-2</v>
      </c>
      <c r="BB257" s="22">
        <v>247</v>
      </c>
      <c r="BC257" s="22">
        <v>1.1422699999999999</v>
      </c>
      <c r="BD257">
        <f t="shared" si="46"/>
        <v>15.0779012345679</v>
      </c>
      <c r="BE257">
        <f t="shared" si="47"/>
        <v>17.246103432098764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8.5579499999999999</v>
      </c>
      <c r="I258" s="22">
        <v>-1.29639E-2</v>
      </c>
      <c r="J258" s="22">
        <v>248</v>
      </c>
      <c r="K258" s="22">
        <v>0.470642</v>
      </c>
      <c r="L258">
        <f t="shared" si="36"/>
        <v>16.004814814814814</v>
      </c>
      <c r="M258">
        <f t="shared" si="37"/>
        <v>7.5413246974074077</v>
      </c>
      <c r="N258" s="9"/>
      <c r="O258" s="22">
        <v>1.14883</v>
      </c>
      <c r="P258" s="22">
        <v>12.215999999999999</v>
      </c>
      <c r="Q258" s="22">
        <v>-1.2097200000000001E-2</v>
      </c>
      <c r="R258" s="22">
        <v>248</v>
      </c>
      <c r="S258" s="22">
        <v>1.14777</v>
      </c>
      <c r="T258">
        <f t="shared" si="38"/>
        <v>14.934814814814814</v>
      </c>
      <c r="U258">
        <f t="shared" si="39"/>
        <v>17.157563303703704</v>
      </c>
      <c r="X258" s="9"/>
      <c r="Y258" s="22">
        <v>0.47119100000000003</v>
      </c>
      <c r="Z258" s="22">
        <v>17.568200000000001</v>
      </c>
      <c r="AA258" s="22">
        <v>-1.3302599999999999E-2</v>
      </c>
      <c r="AB258" s="22">
        <v>248</v>
      </c>
      <c r="AC258" s="22">
        <v>0.470642</v>
      </c>
      <c r="AD258">
        <f t="shared" si="40"/>
        <v>16.422962962962963</v>
      </c>
      <c r="AE258">
        <f t="shared" si="41"/>
        <v>7.7383523414814821</v>
      </c>
      <c r="AF258" s="9"/>
      <c r="AG258" s="22">
        <v>1.14883</v>
      </c>
      <c r="AH258" s="22">
        <v>21.226199999999999</v>
      </c>
      <c r="AI258" s="22">
        <v>-1.21735E-2</v>
      </c>
      <c r="AJ258" s="22">
        <v>248</v>
      </c>
      <c r="AK258" s="22">
        <v>1.14777</v>
      </c>
      <c r="AL258">
        <f t="shared" si="42"/>
        <v>15.029012345679011</v>
      </c>
      <c r="AM258">
        <f t="shared" si="43"/>
        <v>17.265780253086419</v>
      </c>
      <c r="AP258" s="9"/>
      <c r="AQ258" s="22">
        <v>0.47119100000000003</v>
      </c>
      <c r="AR258" s="22">
        <v>26.5624</v>
      </c>
      <c r="AS258" s="22">
        <v>-1.33148E-2</v>
      </c>
      <c r="AT258" s="22">
        <v>248</v>
      </c>
      <c r="AU258" s="22">
        <v>0.47061199999999997</v>
      </c>
      <c r="AV258">
        <f t="shared" si="44"/>
        <v>16.438024691358024</v>
      </c>
      <c r="AW258">
        <f t="shared" si="45"/>
        <v>7.745449292345679</v>
      </c>
      <c r="AX258" s="9"/>
      <c r="AY258" s="22">
        <v>1.14883</v>
      </c>
      <c r="AZ258" s="22">
        <v>30.220400000000001</v>
      </c>
      <c r="BA258" s="22">
        <v>-1.21887E-2</v>
      </c>
      <c r="BB258" s="22">
        <v>248</v>
      </c>
      <c r="BC258" s="22">
        <v>1.14838</v>
      </c>
      <c r="BD258">
        <f t="shared" si="46"/>
        <v>15.047777777777776</v>
      </c>
      <c r="BE258">
        <f t="shared" si="47"/>
        <v>17.287338544444442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8.5680200000000006</v>
      </c>
      <c r="I259" s="22">
        <v>-1.2973E-2</v>
      </c>
      <c r="J259" s="22">
        <v>249</v>
      </c>
      <c r="K259" s="22">
        <v>0.46554600000000002</v>
      </c>
      <c r="L259">
        <f t="shared" si="36"/>
        <v>16.016049382716048</v>
      </c>
      <c r="M259">
        <f t="shared" si="37"/>
        <v>7.4659775160493824</v>
      </c>
      <c r="N259" s="9"/>
      <c r="O259" s="22">
        <v>1.15387</v>
      </c>
      <c r="P259" s="22">
        <v>12.226100000000001</v>
      </c>
      <c r="Q259" s="22">
        <v>-1.2063600000000001E-2</v>
      </c>
      <c r="R259" s="22">
        <v>249</v>
      </c>
      <c r="S259" s="22">
        <v>1.15326</v>
      </c>
      <c r="T259">
        <f t="shared" si="38"/>
        <v>14.893333333333333</v>
      </c>
      <c r="U259">
        <f t="shared" si="39"/>
        <v>17.184970533333331</v>
      </c>
      <c r="X259" s="9"/>
      <c r="Y259" s="22">
        <v>0.46615600000000001</v>
      </c>
      <c r="Z259" s="22">
        <v>17.578199999999999</v>
      </c>
      <c r="AA259" s="22">
        <v>-1.3302599999999999E-2</v>
      </c>
      <c r="AB259" s="22">
        <v>249</v>
      </c>
      <c r="AC259" s="22">
        <v>0.46554600000000002</v>
      </c>
      <c r="AD259">
        <f t="shared" si="40"/>
        <v>16.422962962962963</v>
      </c>
      <c r="AE259">
        <f t="shared" si="41"/>
        <v>7.6556627229629628</v>
      </c>
      <c r="AF259" s="9"/>
      <c r="AG259" s="22">
        <v>1.15387</v>
      </c>
      <c r="AH259" s="22">
        <v>21.2363</v>
      </c>
      <c r="AI259" s="22">
        <v>-1.2152100000000001E-2</v>
      </c>
      <c r="AJ259" s="22">
        <v>249</v>
      </c>
      <c r="AK259" s="22">
        <v>1.15326</v>
      </c>
      <c r="AL259">
        <f t="shared" si="42"/>
        <v>15.002592592592592</v>
      </c>
      <c r="AM259">
        <f t="shared" si="43"/>
        <v>17.311041514814814</v>
      </c>
      <c r="AP259" s="9"/>
      <c r="AQ259" s="22">
        <v>0.46615600000000001</v>
      </c>
      <c r="AR259" s="22">
        <v>26.572399999999998</v>
      </c>
      <c r="AS259" s="22">
        <v>-1.3317900000000001E-2</v>
      </c>
      <c r="AT259" s="22">
        <v>249</v>
      </c>
      <c r="AU259" s="22">
        <v>0.46554600000000002</v>
      </c>
      <c r="AV259">
        <f t="shared" si="44"/>
        <v>16.441851851851851</v>
      </c>
      <c r="AW259">
        <f t="shared" si="45"/>
        <v>7.6644678918518521</v>
      </c>
      <c r="AX259" s="9"/>
      <c r="AY259" s="22">
        <v>1.15387</v>
      </c>
      <c r="AZ259" s="22">
        <v>30.230499999999999</v>
      </c>
      <c r="BA259" s="22">
        <v>-1.2158199999999999E-2</v>
      </c>
      <c r="BB259" s="22">
        <v>249</v>
      </c>
      <c r="BC259" s="22">
        <v>1.1529499999999999</v>
      </c>
      <c r="BD259">
        <f t="shared" si="46"/>
        <v>15.010123456790122</v>
      </c>
      <c r="BE259">
        <f t="shared" si="47"/>
        <v>17.319731153086419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8.5780899999999995</v>
      </c>
      <c r="I260" s="22">
        <v>-1.2973E-2</v>
      </c>
      <c r="J260" s="22">
        <v>250</v>
      </c>
      <c r="K260" s="22">
        <v>0.46054099999999998</v>
      </c>
      <c r="L260">
        <f t="shared" si="36"/>
        <v>16.016049382716048</v>
      </c>
      <c r="M260">
        <f t="shared" si="37"/>
        <v>7.385336707407407</v>
      </c>
      <c r="N260" s="9"/>
      <c r="O260" s="22">
        <v>1.1589100000000001</v>
      </c>
      <c r="P260" s="22">
        <v>12.2361</v>
      </c>
      <c r="Q260" s="22">
        <v>-1.2036099999999999E-2</v>
      </c>
      <c r="R260" s="22">
        <v>250</v>
      </c>
      <c r="S260" s="22">
        <v>1.15784</v>
      </c>
      <c r="T260">
        <f t="shared" si="38"/>
        <v>14.85938271604938</v>
      </c>
      <c r="U260">
        <f t="shared" si="39"/>
        <v>17.220687223456789</v>
      </c>
      <c r="X260" s="9"/>
      <c r="Y260" s="22">
        <v>0.461121</v>
      </c>
      <c r="Z260" s="22">
        <v>17.5883</v>
      </c>
      <c r="AA260" s="22">
        <v>-1.3302599999999999E-2</v>
      </c>
      <c r="AB260" s="22">
        <v>250</v>
      </c>
      <c r="AC260" s="22">
        <v>0.46050999999999997</v>
      </c>
      <c r="AD260">
        <f t="shared" si="40"/>
        <v>16.422962962962963</v>
      </c>
      <c r="AE260">
        <f t="shared" si="41"/>
        <v>7.5729731044444444</v>
      </c>
      <c r="AF260" s="9"/>
      <c r="AG260" s="22">
        <v>1.1589100000000001</v>
      </c>
      <c r="AH260" s="22">
        <v>21.246300000000002</v>
      </c>
      <c r="AI260" s="22">
        <v>-1.2124599999999999E-2</v>
      </c>
      <c r="AJ260" s="22">
        <v>250</v>
      </c>
      <c r="AK260" s="22">
        <v>1.1581399999999999</v>
      </c>
      <c r="AL260">
        <f t="shared" si="42"/>
        <v>14.968641975308641</v>
      </c>
      <c r="AM260">
        <f t="shared" si="43"/>
        <v>17.347308871604938</v>
      </c>
      <c r="AP260" s="9"/>
      <c r="AQ260" s="22">
        <v>0.461121</v>
      </c>
      <c r="AR260" s="22">
        <v>26.5825</v>
      </c>
      <c r="AS260" s="22">
        <v>-1.3317900000000001E-2</v>
      </c>
      <c r="AT260" s="22">
        <v>250</v>
      </c>
      <c r="AU260" s="22">
        <v>0.46054099999999998</v>
      </c>
      <c r="AV260">
        <f t="shared" si="44"/>
        <v>16.441851851851851</v>
      </c>
      <c r="AW260">
        <f t="shared" si="45"/>
        <v>7.5816831677777774</v>
      </c>
      <c r="AX260" s="9"/>
      <c r="AY260" s="22">
        <v>1.1589100000000001</v>
      </c>
      <c r="AZ260" s="22">
        <v>30.240600000000001</v>
      </c>
      <c r="BA260" s="22">
        <v>-1.2130699999999999E-2</v>
      </c>
      <c r="BB260" s="22">
        <v>250</v>
      </c>
      <c r="BC260" s="22">
        <v>1.1581399999999999</v>
      </c>
      <c r="BD260">
        <f t="shared" si="46"/>
        <v>14.976172839506171</v>
      </c>
      <c r="BE260">
        <f t="shared" si="47"/>
        <v>17.356036465432098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8.5881600000000002</v>
      </c>
      <c r="I261" s="22">
        <v>-1.29791E-2</v>
      </c>
      <c r="J261" s="22">
        <v>251</v>
      </c>
      <c r="K261" s="22">
        <v>0.45541399999999999</v>
      </c>
      <c r="L261">
        <f t="shared" si="36"/>
        <v>16.023580246913578</v>
      </c>
      <c r="M261">
        <f t="shared" si="37"/>
        <v>7.3081145969135797</v>
      </c>
      <c r="N261" s="9"/>
      <c r="O261" s="22">
        <v>1.16394</v>
      </c>
      <c r="P261" s="22">
        <v>12.2462</v>
      </c>
      <c r="Q261" s="22">
        <v>-1.20056E-2</v>
      </c>
      <c r="R261" s="22">
        <v>251</v>
      </c>
      <c r="S261" s="22">
        <v>1.16364</v>
      </c>
      <c r="T261">
        <f t="shared" si="38"/>
        <v>14.821728395061728</v>
      </c>
      <c r="U261">
        <f t="shared" si="39"/>
        <v>17.251602548148146</v>
      </c>
      <c r="X261" s="9"/>
      <c r="Y261" s="22">
        <v>0.45608500000000002</v>
      </c>
      <c r="Z261" s="22">
        <v>17.598400000000002</v>
      </c>
      <c r="AA261" s="22">
        <v>-1.33118E-2</v>
      </c>
      <c r="AB261" s="22">
        <v>251</v>
      </c>
      <c r="AC261" s="22">
        <v>0.455536</v>
      </c>
      <c r="AD261">
        <f t="shared" si="40"/>
        <v>16.434320987654321</v>
      </c>
      <c r="AE261">
        <f t="shared" si="41"/>
        <v>7.4954472876543212</v>
      </c>
      <c r="AF261" s="9"/>
      <c r="AG261" s="22">
        <v>1.16394</v>
      </c>
      <c r="AH261" s="22">
        <v>21.256399999999999</v>
      </c>
      <c r="AI261" s="22">
        <v>-1.20941E-2</v>
      </c>
      <c r="AJ261" s="22">
        <v>251</v>
      </c>
      <c r="AK261" s="22">
        <v>1.16364</v>
      </c>
      <c r="AL261">
        <f t="shared" si="42"/>
        <v>14.930987654320987</v>
      </c>
      <c r="AM261">
        <f t="shared" si="43"/>
        <v>17.378773770370369</v>
      </c>
      <c r="AP261" s="9"/>
      <c r="AQ261" s="22">
        <v>0.45608500000000002</v>
      </c>
      <c r="AR261" s="22">
        <v>26.592600000000001</v>
      </c>
      <c r="AS261" s="22">
        <v>-1.33148E-2</v>
      </c>
      <c r="AT261" s="22">
        <v>251</v>
      </c>
      <c r="AU261" s="22">
        <v>0.45547500000000002</v>
      </c>
      <c r="AV261">
        <f t="shared" si="44"/>
        <v>16.438024691358024</v>
      </c>
      <c r="AW261">
        <f t="shared" si="45"/>
        <v>7.4971364913580247</v>
      </c>
      <c r="AX261" s="9"/>
      <c r="AY261" s="22">
        <v>1.16394</v>
      </c>
      <c r="AZ261" s="22">
        <v>30.250599999999999</v>
      </c>
      <c r="BA261" s="22">
        <v>-1.2103300000000001E-2</v>
      </c>
      <c r="BB261" s="22">
        <v>251</v>
      </c>
      <c r="BC261" s="22">
        <v>1.1630199999999999</v>
      </c>
      <c r="BD261">
        <f t="shared" si="46"/>
        <v>14.942345679012346</v>
      </c>
      <c r="BE261">
        <f t="shared" si="47"/>
        <v>17.39199382962963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8.5982299999999992</v>
      </c>
      <c r="I262" s="22">
        <v>-1.2988299999999999E-2</v>
      </c>
      <c r="J262" s="22">
        <v>252</v>
      </c>
      <c r="K262" s="22">
        <v>0.45050000000000001</v>
      </c>
      <c r="L262">
        <f t="shared" si="36"/>
        <v>16.034938271604936</v>
      </c>
      <c r="M262">
        <f t="shared" si="37"/>
        <v>7.232558907407407</v>
      </c>
      <c r="N262" s="9"/>
      <c r="O262" s="22">
        <v>1.1689799999999999</v>
      </c>
      <c r="P262" s="22">
        <v>12.2563</v>
      </c>
      <c r="Q262" s="22">
        <v>-1.19781E-2</v>
      </c>
      <c r="R262" s="22">
        <v>252</v>
      </c>
      <c r="S262" s="22">
        <v>1.16852</v>
      </c>
      <c r="T262">
        <f t="shared" si="38"/>
        <v>14.787777777777777</v>
      </c>
      <c r="U262">
        <f t="shared" si="39"/>
        <v>17.286616466666665</v>
      </c>
      <c r="X262" s="9"/>
      <c r="Y262" s="22">
        <v>0.45105000000000001</v>
      </c>
      <c r="Z262" s="22">
        <v>17.6084</v>
      </c>
      <c r="AA262" s="22">
        <v>-1.3317900000000001E-2</v>
      </c>
      <c r="AB262" s="22">
        <v>252</v>
      </c>
      <c r="AC262" s="22">
        <v>0.45046999999999998</v>
      </c>
      <c r="AD262">
        <f t="shared" si="40"/>
        <v>16.441851851851851</v>
      </c>
      <c r="AE262">
        <f t="shared" si="41"/>
        <v>7.4160972777777774</v>
      </c>
      <c r="AF262" s="9"/>
      <c r="AG262" s="22">
        <v>1.1689799999999999</v>
      </c>
      <c r="AH262" s="22">
        <v>21.266500000000001</v>
      </c>
      <c r="AI262" s="22">
        <v>-1.2057500000000001E-2</v>
      </c>
      <c r="AJ262" s="22">
        <v>252</v>
      </c>
      <c r="AK262" s="22">
        <v>1.1676</v>
      </c>
      <c r="AL262">
        <f t="shared" si="42"/>
        <v>14.885802469135802</v>
      </c>
      <c r="AM262">
        <f t="shared" si="43"/>
        <v>17.40120537037037</v>
      </c>
      <c r="AP262" s="9"/>
      <c r="AQ262" s="22">
        <v>0.45105000000000001</v>
      </c>
      <c r="AR262" s="22">
        <v>26.602699999999999</v>
      </c>
      <c r="AS262" s="22">
        <v>-1.3317900000000001E-2</v>
      </c>
      <c r="AT262" s="22">
        <v>252</v>
      </c>
      <c r="AU262" s="22">
        <v>0.45043899999999998</v>
      </c>
      <c r="AV262">
        <f t="shared" si="44"/>
        <v>16.441851851851851</v>
      </c>
      <c r="AW262">
        <f t="shared" si="45"/>
        <v>7.4160972777777774</v>
      </c>
      <c r="AX262" s="9"/>
      <c r="AY262" s="22">
        <v>1.1689799999999999</v>
      </c>
      <c r="AZ262" s="22">
        <v>30.2607</v>
      </c>
      <c r="BA262" s="22">
        <v>-1.20789E-2</v>
      </c>
      <c r="BB262" s="22">
        <v>252</v>
      </c>
      <c r="BC262" s="22">
        <v>1.16821</v>
      </c>
      <c r="BD262">
        <f t="shared" si="46"/>
        <v>14.912222222222221</v>
      </c>
      <c r="BE262">
        <f t="shared" si="47"/>
        <v>17.432089533333329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8.6082999999999998</v>
      </c>
      <c r="I263" s="22">
        <v>-1.2988299999999999E-2</v>
      </c>
      <c r="J263" s="22">
        <v>253</v>
      </c>
      <c r="K263" s="22">
        <v>0.44543500000000003</v>
      </c>
      <c r="L263">
        <f t="shared" si="36"/>
        <v>16.034938271604936</v>
      </c>
      <c r="M263">
        <f t="shared" si="37"/>
        <v>7.151806958271604</v>
      </c>
      <c r="N263" s="9"/>
      <c r="O263" s="22">
        <v>1.17401</v>
      </c>
      <c r="P263" s="22">
        <v>12.266400000000001</v>
      </c>
      <c r="Q263" s="22">
        <v>-1.19446E-2</v>
      </c>
      <c r="R263" s="22">
        <v>253</v>
      </c>
      <c r="S263" s="22">
        <v>1.1731</v>
      </c>
      <c r="T263">
        <f t="shared" si="38"/>
        <v>14.746419753086418</v>
      </c>
      <c r="U263">
        <f t="shared" si="39"/>
        <v>17.312444254320987</v>
      </c>
      <c r="X263" s="9"/>
      <c r="Y263" s="22">
        <v>0.44601400000000002</v>
      </c>
      <c r="Z263" s="22">
        <v>17.618500000000001</v>
      </c>
      <c r="AA263" s="22">
        <v>-1.33209E-2</v>
      </c>
      <c r="AB263" s="22">
        <v>253</v>
      </c>
      <c r="AC263" s="22">
        <v>0.44543500000000003</v>
      </c>
      <c r="AD263">
        <f t="shared" si="40"/>
        <v>16.445555555555554</v>
      </c>
      <c r="AE263">
        <f t="shared" si="41"/>
        <v>7.3349480155555549</v>
      </c>
      <c r="AF263" s="9"/>
      <c r="AG263" s="22">
        <v>1.17401</v>
      </c>
      <c r="AH263" s="22">
        <v>21.276599999999998</v>
      </c>
      <c r="AI263" s="22">
        <v>-1.2020899999999999E-2</v>
      </c>
      <c r="AJ263" s="22">
        <v>253</v>
      </c>
      <c r="AK263" s="22">
        <v>1.1734</v>
      </c>
      <c r="AL263">
        <f t="shared" si="42"/>
        <v>14.840617283950616</v>
      </c>
      <c r="AM263">
        <f t="shared" si="43"/>
        <v>17.423033097530862</v>
      </c>
      <c r="AP263" s="9"/>
      <c r="AQ263" s="22">
        <v>0.44601400000000002</v>
      </c>
      <c r="AR263" s="22">
        <v>26.6127</v>
      </c>
      <c r="AS263" s="22">
        <v>-1.3324000000000001E-2</v>
      </c>
      <c r="AT263" s="22">
        <v>253</v>
      </c>
      <c r="AU263" s="22">
        <v>0.44543500000000003</v>
      </c>
      <c r="AV263">
        <f t="shared" si="44"/>
        <v>16.449382716049382</v>
      </c>
      <c r="AW263">
        <f t="shared" si="45"/>
        <v>7.3366549827160492</v>
      </c>
      <c r="AX263" s="9"/>
      <c r="AY263" s="22">
        <v>1.17401</v>
      </c>
      <c r="AZ263" s="22">
        <v>30.270800000000001</v>
      </c>
      <c r="BA263" s="22">
        <v>-1.20514E-2</v>
      </c>
      <c r="BB263" s="22">
        <v>253</v>
      </c>
      <c r="BC263" s="22">
        <v>1.1731</v>
      </c>
      <c r="BD263">
        <f t="shared" si="46"/>
        <v>14.878271604938272</v>
      </c>
      <c r="BE263">
        <f t="shared" si="47"/>
        <v>17.46723964691358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8.6183700000000005</v>
      </c>
      <c r="I264" s="22">
        <v>-1.29944E-2</v>
      </c>
      <c r="J264" s="22">
        <v>254</v>
      </c>
      <c r="K264" s="22">
        <v>0.44039899999999998</v>
      </c>
      <c r="L264">
        <f t="shared" si="36"/>
        <v>16.042469135802467</v>
      </c>
      <c r="M264">
        <f t="shared" si="37"/>
        <v>7.0743919970370364</v>
      </c>
      <c r="N264" s="9"/>
      <c r="O264" s="22">
        <v>1.1790499999999999</v>
      </c>
      <c r="P264" s="22">
        <v>12.276400000000001</v>
      </c>
      <c r="Q264" s="22">
        <v>-1.19141E-2</v>
      </c>
      <c r="R264" s="22">
        <v>254</v>
      </c>
      <c r="S264" s="22">
        <v>1.17798</v>
      </c>
      <c r="T264">
        <f t="shared" si="38"/>
        <v>14.708765432098765</v>
      </c>
      <c r="U264">
        <f t="shared" si="39"/>
        <v>17.342369882716049</v>
      </c>
      <c r="X264" s="9"/>
      <c r="Y264" s="22">
        <v>0.44097900000000001</v>
      </c>
      <c r="Z264" s="22">
        <v>17.628599999999999</v>
      </c>
      <c r="AA264" s="22">
        <v>-1.3327E-2</v>
      </c>
      <c r="AB264" s="22">
        <v>254</v>
      </c>
      <c r="AC264" s="22">
        <v>0.44039899999999998</v>
      </c>
      <c r="AD264">
        <f t="shared" si="40"/>
        <v>16.453086419753085</v>
      </c>
      <c r="AE264">
        <f t="shared" si="41"/>
        <v>7.2554655962962959</v>
      </c>
      <c r="AF264" s="9"/>
      <c r="AG264" s="22">
        <v>1.1790499999999999</v>
      </c>
      <c r="AH264" s="22">
        <v>21.2866</v>
      </c>
      <c r="AI264" s="22">
        <v>-1.19904E-2</v>
      </c>
      <c r="AJ264" s="22">
        <v>254</v>
      </c>
      <c r="AK264" s="22">
        <v>1.17828</v>
      </c>
      <c r="AL264">
        <f t="shared" si="42"/>
        <v>14.802962962962962</v>
      </c>
      <c r="AM264">
        <f t="shared" si="43"/>
        <v>17.453433481481479</v>
      </c>
      <c r="AP264" s="9"/>
      <c r="AQ264" s="22">
        <v>0.44097900000000001</v>
      </c>
      <c r="AR264" s="22">
        <v>26.622800000000002</v>
      </c>
      <c r="AS264" s="22">
        <v>-1.33209E-2</v>
      </c>
      <c r="AT264" s="22">
        <v>254</v>
      </c>
      <c r="AU264" s="22">
        <v>0.44039899999999998</v>
      </c>
      <c r="AV264">
        <f t="shared" si="44"/>
        <v>16.445555555555554</v>
      </c>
      <c r="AW264">
        <f t="shared" si="45"/>
        <v>7.2521446433333328</v>
      </c>
      <c r="AX264" s="9"/>
      <c r="AY264" s="22">
        <v>1.1790499999999999</v>
      </c>
      <c r="AZ264" s="22">
        <v>30.280899999999999</v>
      </c>
      <c r="BA264" s="22">
        <v>-1.2014800000000001E-2</v>
      </c>
      <c r="BB264" s="22">
        <v>254</v>
      </c>
      <c r="BC264" s="22">
        <v>1.17828</v>
      </c>
      <c r="BD264">
        <f t="shared" si="46"/>
        <v>14.833086419753087</v>
      </c>
      <c r="BE264">
        <f t="shared" si="47"/>
        <v>17.488950543209878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8.6284399999999994</v>
      </c>
      <c r="I265" s="22">
        <v>-1.30066E-2</v>
      </c>
      <c r="J265" s="22">
        <v>255</v>
      </c>
      <c r="K265" s="22">
        <v>0.43524200000000002</v>
      </c>
      <c r="L265">
        <f t="shared" si="36"/>
        <v>16.057530864197531</v>
      </c>
      <c r="M265">
        <f t="shared" si="37"/>
        <v>7.0001842350617283</v>
      </c>
      <c r="N265" s="9"/>
      <c r="O265" s="22">
        <v>1.18408</v>
      </c>
      <c r="P265" s="22">
        <v>12.2865</v>
      </c>
      <c r="Q265" s="22">
        <v>-1.1892700000000001E-2</v>
      </c>
      <c r="R265" s="22">
        <v>255</v>
      </c>
      <c r="S265" s="22">
        <v>1.1825600000000001</v>
      </c>
      <c r="T265">
        <f t="shared" si="38"/>
        <v>14.682345679012347</v>
      </c>
      <c r="U265">
        <f t="shared" si="39"/>
        <v>17.385071871604939</v>
      </c>
      <c r="X265" s="9"/>
      <c r="Y265" s="22">
        <v>0.435944</v>
      </c>
      <c r="Z265" s="22">
        <v>17.6386</v>
      </c>
      <c r="AA265" s="22">
        <v>-1.3333100000000001E-2</v>
      </c>
      <c r="AB265" s="22">
        <v>255</v>
      </c>
      <c r="AC265" s="22">
        <v>0.43536399999999997</v>
      </c>
      <c r="AD265">
        <f t="shared" si="40"/>
        <v>16.460617283950615</v>
      </c>
      <c r="AE265">
        <f t="shared" si="41"/>
        <v>7.1759073412345673</v>
      </c>
      <c r="AF265" s="9"/>
      <c r="AG265" s="22">
        <v>1.18408</v>
      </c>
      <c r="AH265" s="22">
        <v>21.296700000000001</v>
      </c>
      <c r="AI265" s="22">
        <v>-1.19598E-2</v>
      </c>
      <c r="AJ265" s="22">
        <v>255</v>
      </c>
      <c r="AK265" s="22">
        <v>1.18286</v>
      </c>
      <c r="AL265">
        <f t="shared" si="42"/>
        <v>14.765185185185183</v>
      </c>
      <c r="AM265">
        <f t="shared" si="43"/>
        <v>17.483160474074072</v>
      </c>
      <c r="AP265" s="9"/>
      <c r="AQ265" s="22">
        <v>0.435944</v>
      </c>
      <c r="AR265" s="22">
        <v>26.632899999999999</v>
      </c>
      <c r="AS265" s="22">
        <v>-1.3324000000000001E-2</v>
      </c>
      <c r="AT265" s="22">
        <v>255</v>
      </c>
      <c r="AU265" s="22">
        <v>0.43533300000000003</v>
      </c>
      <c r="AV265">
        <f t="shared" si="44"/>
        <v>16.449382716049382</v>
      </c>
      <c r="AW265">
        <f t="shared" si="45"/>
        <v>7.1710096987654319</v>
      </c>
      <c r="AX265" s="9"/>
      <c r="AY265" s="22">
        <v>1.18408</v>
      </c>
      <c r="AZ265" s="22">
        <v>30.290900000000001</v>
      </c>
      <c r="BA265" s="22">
        <v>-1.19781E-2</v>
      </c>
      <c r="BB265" s="22">
        <v>255</v>
      </c>
      <c r="BC265" s="22">
        <v>1.18347</v>
      </c>
      <c r="BD265">
        <f t="shared" si="46"/>
        <v>14.787777777777777</v>
      </c>
      <c r="BE265">
        <f t="shared" si="47"/>
        <v>17.509911911111111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8.6385100000000001</v>
      </c>
      <c r="I266" s="22">
        <v>-1.30066E-2</v>
      </c>
      <c r="J266" s="22">
        <v>256</v>
      </c>
      <c r="K266" s="22">
        <v>0.43035899999999999</v>
      </c>
      <c r="L266">
        <f t="shared" si="36"/>
        <v>16.057530864197531</v>
      </c>
      <c r="M266">
        <f t="shared" si="37"/>
        <v>6.9193185096296297</v>
      </c>
      <c r="N266" s="9"/>
      <c r="O266" s="22">
        <v>1.18912</v>
      </c>
      <c r="P266" s="22">
        <v>12.2966</v>
      </c>
      <c r="Q266" s="22">
        <v>-1.1865199999999999E-2</v>
      </c>
      <c r="R266" s="22">
        <v>256</v>
      </c>
      <c r="S266" s="22">
        <v>1.18866</v>
      </c>
      <c r="T266">
        <f t="shared" si="38"/>
        <v>14.648395061728394</v>
      </c>
      <c r="U266">
        <f t="shared" si="39"/>
        <v>17.418699535802467</v>
      </c>
      <c r="X266" s="9"/>
      <c r="Y266" s="22">
        <v>0.43090800000000001</v>
      </c>
      <c r="Z266" s="22">
        <v>17.648700000000002</v>
      </c>
      <c r="AA266" s="22">
        <v>-1.3333100000000001E-2</v>
      </c>
      <c r="AB266" s="22">
        <v>256</v>
      </c>
      <c r="AC266" s="22">
        <v>0.43029800000000001</v>
      </c>
      <c r="AD266">
        <f t="shared" si="40"/>
        <v>16.460617283950615</v>
      </c>
      <c r="AE266">
        <f t="shared" si="41"/>
        <v>7.093011672592592</v>
      </c>
      <c r="AF266" s="9"/>
      <c r="AG266" s="22">
        <v>1.18912</v>
      </c>
      <c r="AH266" s="22">
        <v>21.306799999999999</v>
      </c>
      <c r="AI266" s="22">
        <v>-1.19232E-2</v>
      </c>
      <c r="AJ266" s="22">
        <v>256</v>
      </c>
      <c r="AK266" s="22">
        <v>1.1880500000000001</v>
      </c>
      <c r="AL266">
        <f t="shared" si="42"/>
        <v>14.719999999999999</v>
      </c>
      <c r="AM266">
        <f t="shared" si="43"/>
        <v>17.503846399999997</v>
      </c>
      <c r="AP266" s="9"/>
      <c r="AQ266" s="22">
        <v>0.43090800000000001</v>
      </c>
      <c r="AR266" s="22">
        <v>26.642900000000001</v>
      </c>
      <c r="AS266" s="22">
        <v>-1.33209E-2</v>
      </c>
      <c r="AT266" s="22">
        <v>256</v>
      </c>
      <c r="AU266" s="22">
        <v>0.43029800000000001</v>
      </c>
      <c r="AV266">
        <f t="shared" si="44"/>
        <v>16.445555555555554</v>
      </c>
      <c r="AW266">
        <f t="shared" si="45"/>
        <v>7.0865214533333329</v>
      </c>
      <c r="AX266" s="9"/>
      <c r="AY266" s="22">
        <v>1.18912</v>
      </c>
      <c r="AZ266" s="22">
        <v>30.300999999999998</v>
      </c>
      <c r="BA266" s="22">
        <v>-1.1947599999999999E-2</v>
      </c>
      <c r="BB266" s="22">
        <v>256</v>
      </c>
      <c r="BC266" s="22">
        <v>1.1880500000000001</v>
      </c>
      <c r="BD266">
        <f t="shared" si="46"/>
        <v>14.750123456790122</v>
      </c>
      <c r="BE266">
        <f t="shared" si="47"/>
        <v>17.539666804938271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8.6485900000000004</v>
      </c>
      <c r="I267" s="22">
        <v>-1.30005E-2</v>
      </c>
      <c r="J267" s="22">
        <v>257</v>
      </c>
      <c r="K267" s="22">
        <v>0.42535400000000001</v>
      </c>
      <c r="L267">
        <f t="shared" si="36"/>
        <v>16.049999999999997</v>
      </c>
      <c r="M267">
        <f t="shared" si="37"/>
        <v>6.8352616499999987</v>
      </c>
      <c r="N267" s="9"/>
      <c r="O267" s="22">
        <v>1.19415</v>
      </c>
      <c r="P267" s="22">
        <v>12.3066</v>
      </c>
      <c r="Q267" s="22">
        <v>-1.1837800000000001E-2</v>
      </c>
      <c r="R267" s="22">
        <v>257</v>
      </c>
      <c r="S267" s="22">
        <v>1.1932400000000001</v>
      </c>
      <c r="T267">
        <f t="shared" si="38"/>
        <v>14.614567901234569</v>
      </c>
      <c r="U267">
        <f t="shared" si="39"/>
        <v>17.451986259259261</v>
      </c>
      <c r="X267" s="9"/>
      <c r="Y267" s="22">
        <v>0.425873</v>
      </c>
      <c r="Z267" s="22">
        <v>17.658799999999999</v>
      </c>
      <c r="AA267" s="22">
        <v>-1.3333100000000001E-2</v>
      </c>
      <c r="AB267" s="22">
        <v>257</v>
      </c>
      <c r="AC267" s="22">
        <v>0.42532300000000001</v>
      </c>
      <c r="AD267">
        <f t="shared" si="40"/>
        <v>16.460617283950615</v>
      </c>
      <c r="AE267">
        <f t="shared" si="41"/>
        <v>7.0101324645679002</v>
      </c>
      <c r="AF267" s="9"/>
      <c r="AG267" s="22">
        <v>1.19415</v>
      </c>
      <c r="AH267" s="22">
        <v>21.316800000000001</v>
      </c>
      <c r="AI267" s="22">
        <v>-1.18835E-2</v>
      </c>
      <c r="AJ267" s="22">
        <v>257</v>
      </c>
      <c r="AK267" s="22">
        <v>1.1932400000000001</v>
      </c>
      <c r="AL267">
        <f t="shared" si="42"/>
        <v>14.670987654320987</v>
      </c>
      <c r="AM267">
        <f t="shared" si="43"/>
        <v>17.519359907407406</v>
      </c>
      <c r="AP267" s="9"/>
      <c r="AQ267" s="22">
        <v>0.425873</v>
      </c>
      <c r="AR267" s="22">
        <v>26.652999999999999</v>
      </c>
      <c r="AS267" s="22">
        <v>-1.3317900000000001E-2</v>
      </c>
      <c r="AT267" s="22">
        <v>257</v>
      </c>
      <c r="AU267" s="22">
        <v>0.425232</v>
      </c>
      <c r="AV267">
        <f t="shared" si="44"/>
        <v>16.441851851851851</v>
      </c>
      <c r="AW267">
        <f t="shared" si="45"/>
        <v>7.0021407737037036</v>
      </c>
      <c r="AX267" s="9"/>
      <c r="AY267" s="22">
        <v>1.19415</v>
      </c>
      <c r="AZ267" s="22">
        <v>30.3111</v>
      </c>
      <c r="BA267" s="22">
        <v>-1.1926300000000001E-2</v>
      </c>
      <c r="BB267" s="22">
        <v>257</v>
      </c>
      <c r="BC267" s="22">
        <v>1.19354</v>
      </c>
      <c r="BD267">
        <f t="shared" si="46"/>
        <v>14.723827160493826</v>
      </c>
      <c r="BE267">
        <f t="shared" si="47"/>
        <v>17.582458203703702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8.6586599999999994</v>
      </c>
      <c r="I268" s="22">
        <v>-1.30005E-2</v>
      </c>
      <c r="J268" s="22">
        <v>258</v>
      </c>
      <c r="K268" s="22">
        <v>0.42022700000000002</v>
      </c>
      <c r="L268">
        <f t="shared" ref="L268:L331" si="48">-I268/$F$2*1000</f>
        <v>16.049999999999997</v>
      </c>
      <c r="M268">
        <f t="shared" ref="M268:M331" si="49">L268*G268</f>
        <v>6.754433849999999</v>
      </c>
      <c r="N268" s="9"/>
      <c r="O268" s="22">
        <v>1.19919</v>
      </c>
      <c r="P268" s="22">
        <v>12.316700000000001</v>
      </c>
      <c r="Q268" s="22">
        <v>-1.18011E-2</v>
      </c>
      <c r="R268" s="22">
        <v>258</v>
      </c>
      <c r="S268" s="22">
        <v>1.19781</v>
      </c>
      <c r="T268">
        <f t="shared" ref="T268:T331" si="50">-Q268/$F$2*1000</f>
        <v>14.56925925925926</v>
      </c>
      <c r="U268">
        <f t="shared" ref="U268:U331" si="51">T268*O268</f>
        <v>17.471310011111111</v>
      </c>
      <c r="X268" s="9"/>
      <c r="Y268" s="22">
        <v>0.42083700000000002</v>
      </c>
      <c r="Z268" s="22">
        <v>17.668900000000001</v>
      </c>
      <c r="AA268" s="22">
        <v>-1.3327E-2</v>
      </c>
      <c r="AB268" s="22">
        <v>258</v>
      </c>
      <c r="AC268" s="22">
        <v>0.42022700000000002</v>
      </c>
      <c r="AD268">
        <f t="shared" ref="AD268:AD331" si="52">-AA268/$F$2*1000</f>
        <v>16.453086419753085</v>
      </c>
      <c r="AE268">
        <f t="shared" ref="AE268:AE331" si="53">AD268*Y268</f>
        <v>6.924067529629629</v>
      </c>
      <c r="AF268" s="9"/>
      <c r="AG268" s="22">
        <v>1.19919</v>
      </c>
      <c r="AH268" s="22">
        <v>21.326899999999998</v>
      </c>
      <c r="AI268" s="22">
        <v>-1.18469E-2</v>
      </c>
      <c r="AJ268" s="22">
        <v>258</v>
      </c>
      <c r="AK268" s="22">
        <v>1.19781</v>
      </c>
      <c r="AL268">
        <f t="shared" ref="AL268:AL331" si="54">-AI268/$F$2*1000</f>
        <v>14.625802469135802</v>
      </c>
      <c r="AM268">
        <f t="shared" ref="AM268:AM331" si="55">AL268*AG268</f>
        <v>17.539116062962961</v>
      </c>
      <c r="AP268" s="9"/>
      <c r="AQ268" s="22">
        <v>0.42083700000000002</v>
      </c>
      <c r="AR268" s="22">
        <v>26.6631</v>
      </c>
      <c r="AS268" s="22">
        <v>-1.3324000000000001E-2</v>
      </c>
      <c r="AT268" s="22">
        <v>258</v>
      </c>
      <c r="AU268" s="22">
        <v>0.42022700000000002</v>
      </c>
      <c r="AV268">
        <f t="shared" ref="AV268:AV331" si="56">-AS268/$F$2*1000</f>
        <v>16.449382716049382</v>
      </c>
      <c r="AW268">
        <f t="shared" ref="AW268:AW331" si="57">AV268*AQ268</f>
        <v>6.9225088740740741</v>
      </c>
      <c r="AX268" s="9"/>
      <c r="AY268" s="22">
        <v>1.19919</v>
      </c>
      <c r="AZ268" s="22">
        <v>30.321100000000001</v>
      </c>
      <c r="BA268" s="22">
        <v>-1.1898799999999999E-2</v>
      </c>
      <c r="BB268" s="22">
        <v>258</v>
      </c>
      <c r="BC268" s="22">
        <v>1.1981200000000001</v>
      </c>
      <c r="BD268">
        <f t="shared" ref="BD268:BD331" si="58">-BA268/$F$2*1000</f>
        <v>14.689876543209873</v>
      </c>
      <c r="BE268">
        <f t="shared" ref="BE268:BE331" si="59">BD268*AY268</f>
        <v>17.615953051851847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8.66873</v>
      </c>
      <c r="I269" s="22">
        <v>-1.30157E-2</v>
      </c>
      <c r="J269" s="22">
        <v>259</v>
      </c>
      <c r="K269" s="22">
        <v>0.41522199999999998</v>
      </c>
      <c r="L269">
        <f t="shared" si="48"/>
        <v>16.068765432098765</v>
      </c>
      <c r="M269">
        <f t="shared" si="49"/>
        <v>6.6814248041975306</v>
      </c>
      <c r="N269" s="9"/>
      <c r="O269" s="22">
        <v>1.2042200000000001</v>
      </c>
      <c r="P269" s="22">
        <v>12.3268</v>
      </c>
      <c r="Q269" s="22">
        <v>-1.17798E-2</v>
      </c>
      <c r="R269" s="22">
        <v>259</v>
      </c>
      <c r="S269" s="22">
        <v>1.2027000000000001</v>
      </c>
      <c r="T269">
        <f t="shared" si="50"/>
        <v>14.542962962962962</v>
      </c>
      <c r="U269">
        <f t="shared" si="51"/>
        <v>17.51292685925926</v>
      </c>
      <c r="X269" s="9"/>
      <c r="Y269" s="22">
        <v>0.415802</v>
      </c>
      <c r="Z269" s="22">
        <v>17.678899999999999</v>
      </c>
      <c r="AA269" s="22">
        <v>-1.3330099999999999E-2</v>
      </c>
      <c r="AB269" s="22">
        <v>259</v>
      </c>
      <c r="AC269" s="22">
        <v>0.415161</v>
      </c>
      <c r="AD269">
        <f t="shared" si="52"/>
        <v>16.456913580246912</v>
      </c>
      <c r="AE269">
        <f t="shared" si="53"/>
        <v>6.8428175804938265</v>
      </c>
      <c r="AF269" s="9"/>
      <c r="AG269" s="22">
        <v>1.2042200000000001</v>
      </c>
      <c r="AH269" s="22">
        <v>21.337</v>
      </c>
      <c r="AI269" s="22">
        <v>-1.1810299999999999E-2</v>
      </c>
      <c r="AJ269" s="22">
        <v>259</v>
      </c>
      <c r="AK269" s="22">
        <v>1.2030000000000001</v>
      </c>
      <c r="AL269">
        <f t="shared" si="54"/>
        <v>14.580617283950616</v>
      </c>
      <c r="AM269">
        <f t="shared" si="55"/>
        <v>17.558270945679013</v>
      </c>
      <c r="AP269" s="9"/>
      <c r="AQ269" s="22">
        <v>0.415802</v>
      </c>
      <c r="AR269" s="22">
        <v>26.673200000000001</v>
      </c>
      <c r="AS269" s="22">
        <v>-1.3333100000000001E-2</v>
      </c>
      <c r="AT269" s="22">
        <v>259</v>
      </c>
      <c r="AU269" s="22">
        <v>0.41519200000000001</v>
      </c>
      <c r="AV269">
        <f t="shared" si="56"/>
        <v>16.460617283950615</v>
      </c>
      <c r="AW269">
        <f t="shared" si="57"/>
        <v>6.8443575879012339</v>
      </c>
      <c r="AX269" s="9"/>
      <c r="AY269" s="22">
        <v>1.2042200000000001</v>
      </c>
      <c r="AZ269" s="22">
        <v>30.331199999999999</v>
      </c>
      <c r="BA269" s="22">
        <v>-1.18713E-2</v>
      </c>
      <c r="BB269" s="22">
        <v>259</v>
      </c>
      <c r="BC269" s="22">
        <v>1.2036100000000001</v>
      </c>
      <c r="BD269">
        <f t="shared" si="58"/>
        <v>14.655925925925924</v>
      </c>
      <c r="BE269">
        <f t="shared" si="59"/>
        <v>17.648959118518519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8.6788000000000007</v>
      </c>
      <c r="I270" s="22">
        <v>-1.3028E-2</v>
      </c>
      <c r="J270" s="22">
        <v>260</v>
      </c>
      <c r="K270" s="22">
        <v>0.41018700000000002</v>
      </c>
      <c r="L270">
        <f t="shared" si="48"/>
        <v>16.08395061728395</v>
      </c>
      <c r="M270">
        <f t="shared" si="49"/>
        <v>6.6067561432098758</v>
      </c>
      <c r="N270" s="9"/>
      <c r="O270" s="22">
        <v>1.20926</v>
      </c>
      <c r="P270" s="22">
        <v>12.3369</v>
      </c>
      <c r="Q270" s="22">
        <v>-1.1749300000000001E-2</v>
      </c>
      <c r="R270" s="22">
        <v>260</v>
      </c>
      <c r="S270" s="22">
        <v>1.2084999999999999</v>
      </c>
      <c r="T270">
        <f t="shared" si="50"/>
        <v>14.505308641975308</v>
      </c>
      <c r="U270">
        <f t="shared" si="51"/>
        <v>17.54068952839506</v>
      </c>
      <c r="X270" s="9"/>
      <c r="Y270" s="22">
        <v>0.41076699999999999</v>
      </c>
      <c r="Z270" s="22">
        <v>17.689</v>
      </c>
      <c r="AA270" s="22">
        <v>-1.3327E-2</v>
      </c>
      <c r="AB270" s="22">
        <v>260</v>
      </c>
      <c r="AC270" s="22">
        <v>0.410217</v>
      </c>
      <c r="AD270">
        <f t="shared" si="52"/>
        <v>16.453086419753085</v>
      </c>
      <c r="AE270">
        <f t="shared" si="53"/>
        <v>6.7583849493827151</v>
      </c>
      <c r="AF270" s="9"/>
      <c r="AG270" s="22">
        <v>1.20926</v>
      </c>
      <c r="AH270" s="22">
        <v>21.347100000000001</v>
      </c>
      <c r="AI270" s="22">
        <v>-1.17828E-2</v>
      </c>
      <c r="AJ270" s="22">
        <v>260</v>
      </c>
      <c r="AK270" s="22">
        <v>1.2078899999999999</v>
      </c>
      <c r="AL270">
        <f t="shared" si="54"/>
        <v>14.546666666666665</v>
      </c>
      <c r="AM270">
        <f t="shared" si="55"/>
        <v>17.59070213333333</v>
      </c>
      <c r="AP270" s="9"/>
      <c r="AQ270" s="22">
        <v>0.41076699999999999</v>
      </c>
      <c r="AR270" s="22">
        <v>26.683199999999999</v>
      </c>
      <c r="AS270" s="22">
        <v>-1.33423E-2</v>
      </c>
      <c r="AT270" s="22">
        <v>260</v>
      </c>
      <c r="AU270" s="22">
        <v>0.41015600000000002</v>
      </c>
      <c r="AV270">
        <f t="shared" si="56"/>
        <v>16.471975308641973</v>
      </c>
      <c r="AW270">
        <f t="shared" si="57"/>
        <v>6.7661438816049371</v>
      </c>
      <c r="AX270" s="9"/>
      <c r="AY270" s="22">
        <v>1.20926</v>
      </c>
      <c r="AZ270" s="22">
        <v>30.3413</v>
      </c>
      <c r="BA270" s="22">
        <v>-1.1837800000000001E-2</v>
      </c>
      <c r="BB270" s="22">
        <v>260</v>
      </c>
      <c r="BC270" s="22">
        <v>1.2081900000000001</v>
      </c>
      <c r="BD270">
        <f t="shared" si="58"/>
        <v>14.614567901234569</v>
      </c>
      <c r="BE270">
        <f t="shared" si="59"/>
        <v>17.672812380246913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8.6888699999999996</v>
      </c>
      <c r="I271" s="22">
        <v>-1.30341E-2</v>
      </c>
      <c r="J271" s="22">
        <v>261</v>
      </c>
      <c r="K271" s="22">
        <v>0.40509000000000001</v>
      </c>
      <c r="L271">
        <f t="shared" si="48"/>
        <v>16.09148148148148</v>
      </c>
      <c r="M271">
        <f t="shared" si="49"/>
        <v>6.5288128729629626</v>
      </c>
      <c r="N271" s="9"/>
      <c r="O271" s="22">
        <v>1.2142900000000001</v>
      </c>
      <c r="P271" s="22">
        <v>12.3469</v>
      </c>
      <c r="Q271" s="22">
        <v>-1.1715700000000001E-2</v>
      </c>
      <c r="R271" s="22">
        <v>261</v>
      </c>
      <c r="S271" s="22">
        <v>1.2136800000000001</v>
      </c>
      <c r="T271">
        <f t="shared" si="50"/>
        <v>14.463827160493826</v>
      </c>
      <c r="U271">
        <f t="shared" si="51"/>
        <v>17.563280682716051</v>
      </c>
      <c r="X271" s="9"/>
      <c r="Y271" s="22">
        <v>0.40573100000000001</v>
      </c>
      <c r="Z271" s="22">
        <v>17.699100000000001</v>
      </c>
      <c r="AA271" s="22">
        <v>-1.3327E-2</v>
      </c>
      <c r="AB271" s="22">
        <v>261</v>
      </c>
      <c r="AC271" s="22">
        <v>0.40515099999999998</v>
      </c>
      <c r="AD271">
        <f t="shared" si="52"/>
        <v>16.453086419753085</v>
      </c>
      <c r="AE271">
        <f t="shared" si="53"/>
        <v>6.6755272061728386</v>
      </c>
      <c r="AF271" s="9"/>
      <c r="AG271" s="22">
        <v>1.2142900000000001</v>
      </c>
      <c r="AH271" s="22">
        <v>21.357099999999999</v>
      </c>
      <c r="AI271" s="22">
        <v>-1.1755399999999999E-2</v>
      </c>
      <c r="AJ271" s="22">
        <v>261</v>
      </c>
      <c r="AK271" s="22">
        <v>1.2130700000000001</v>
      </c>
      <c r="AL271">
        <f t="shared" si="54"/>
        <v>14.512839506172838</v>
      </c>
      <c r="AM271">
        <f t="shared" si="55"/>
        <v>17.622795883950616</v>
      </c>
      <c r="AP271" s="9"/>
      <c r="AQ271" s="22">
        <v>0.40573100000000001</v>
      </c>
      <c r="AR271" s="22">
        <v>26.693300000000001</v>
      </c>
      <c r="AS271" s="22">
        <v>-1.33545E-2</v>
      </c>
      <c r="AT271" s="22">
        <v>261</v>
      </c>
      <c r="AU271" s="22">
        <v>0.40512100000000001</v>
      </c>
      <c r="AV271">
        <f t="shared" si="56"/>
        <v>16.487037037037037</v>
      </c>
      <c r="AW271">
        <f t="shared" si="57"/>
        <v>6.6893020240740739</v>
      </c>
      <c r="AX271" s="9"/>
      <c r="AY271" s="22">
        <v>1.2142900000000001</v>
      </c>
      <c r="AZ271" s="22">
        <v>30.351400000000002</v>
      </c>
      <c r="BA271" s="22">
        <v>-1.18134E-2</v>
      </c>
      <c r="BB271" s="22">
        <v>261</v>
      </c>
      <c r="BC271" s="22">
        <v>1.2139899999999999</v>
      </c>
      <c r="BD271">
        <f t="shared" si="58"/>
        <v>14.584444444444443</v>
      </c>
      <c r="BE271">
        <f t="shared" si="59"/>
        <v>17.709745044444446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8.6989400000000003</v>
      </c>
      <c r="I272" s="22">
        <v>-1.30341E-2</v>
      </c>
      <c r="J272" s="22">
        <v>262</v>
      </c>
      <c r="K272" s="22">
        <v>0.40011600000000003</v>
      </c>
      <c r="L272">
        <f t="shared" si="48"/>
        <v>16.09148148148148</v>
      </c>
      <c r="M272">
        <f t="shared" si="49"/>
        <v>6.4477922637037031</v>
      </c>
      <c r="N272" s="9"/>
      <c r="O272" s="22">
        <v>1.21933</v>
      </c>
      <c r="P272" s="22">
        <v>12.356999999999999</v>
      </c>
      <c r="Q272" s="22">
        <v>-1.1682100000000001E-2</v>
      </c>
      <c r="R272" s="22">
        <v>262</v>
      </c>
      <c r="S272" s="22">
        <v>1.2182599999999999</v>
      </c>
      <c r="T272">
        <f t="shared" si="50"/>
        <v>14.422345679012347</v>
      </c>
      <c r="U272">
        <f t="shared" si="51"/>
        <v>17.585598756790127</v>
      </c>
      <c r="X272" s="9"/>
      <c r="Y272" s="22">
        <v>0.400696</v>
      </c>
      <c r="Z272" s="22">
        <v>17.709099999999999</v>
      </c>
      <c r="AA272" s="22">
        <v>-1.3317900000000001E-2</v>
      </c>
      <c r="AB272" s="22">
        <v>262</v>
      </c>
      <c r="AC272" s="22">
        <v>0.40008500000000002</v>
      </c>
      <c r="AD272">
        <f t="shared" si="52"/>
        <v>16.441851851851851</v>
      </c>
      <c r="AE272">
        <f t="shared" si="53"/>
        <v>6.5881842696296289</v>
      </c>
      <c r="AF272" s="9"/>
      <c r="AG272" s="22">
        <v>1.21933</v>
      </c>
      <c r="AH272" s="22">
        <v>21.3672</v>
      </c>
      <c r="AI272" s="22">
        <v>-1.17188E-2</v>
      </c>
      <c r="AJ272" s="22">
        <v>262</v>
      </c>
      <c r="AK272" s="22">
        <v>1.2179599999999999</v>
      </c>
      <c r="AL272">
        <f t="shared" si="54"/>
        <v>14.467654320987654</v>
      </c>
      <c r="AM272">
        <f t="shared" si="55"/>
        <v>17.640844943209878</v>
      </c>
      <c r="AP272" s="9"/>
      <c r="AQ272" s="22">
        <v>0.400696</v>
      </c>
      <c r="AR272" s="22">
        <v>26.703399999999998</v>
      </c>
      <c r="AS272" s="22">
        <v>-1.33636E-2</v>
      </c>
      <c r="AT272" s="22">
        <v>262</v>
      </c>
      <c r="AU272" s="22">
        <v>0.40008500000000002</v>
      </c>
      <c r="AV272">
        <f t="shared" si="56"/>
        <v>16.498271604938271</v>
      </c>
      <c r="AW272">
        <f t="shared" si="57"/>
        <v>6.6107914390123454</v>
      </c>
      <c r="AX272" s="9"/>
      <c r="AY272" s="22">
        <v>1.21933</v>
      </c>
      <c r="AZ272" s="22">
        <v>30.3614</v>
      </c>
      <c r="BA272" s="22">
        <v>-1.17798E-2</v>
      </c>
      <c r="BB272" s="22">
        <v>262</v>
      </c>
      <c r="BC272" s="22">
        <v>1.2179599999999999</v>
      </c>
      <c r="BD272">
        <f t="shared" si="58"/>
        <v>14.542962962962962</v>
      </c>
      <c r="BE272">
        <f t="shared" si="59"/>
        <v>17.732671029629628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8.7090099999999993</v>
      </c>
      <c r="I273" s="22">
        <v>-1.3028E-2</v>
      </c>
      <c r="J273" s="22">
        <v>263</v>
      </c>
      <c r="K273" s="22">
        <v>0.39511099999999999</v>
      </c>
      <c r="L273">
        <f t="shared" si="48"/>
        <v>16.08395061728395</v>
      </c>
      <c r="M273">
        <f t="shared" si="49"/>
        <v>6.3637759012345674</v>
      </c>
      <c r="N273" s="9"/>
      <c r="O273" s="22">
        <v>1.22437</v>
      </c>
      <c r="P273" s="22">
        <v>12.367100000000001</v>
      </c>
      <c r="Q273" s="22">
        <v>-1.1639399999999999E-2</v>
      </c>
      <c r="R273" s="22">
        <v>263</v>
      </c>
      <c r="S273" s="22">
        <v>1.2231399999999999</v>
      </c>
      <c r="T273">
        <f t="shared" si="50"/>
        <v>14.369629629629628</v>
      </c>
      <c r="U273">
        <f t="shared" si="51"/>
        <v>17.593743429629626</v>
      </c>
      <c r="X273" s="9"/>
      <c r="Y273" s="22">
        <v>0.39566000000000001</v>
      </c>
      <c r="Z273" s="22">
        <v>17.719200000000001</v>
      </c>
      <c r="AA273" s="22">
        <v>-1.33087E-2</v>
      </c>
      <c r="AB273" s="22">
        <v>263</v>
      </c>
      <c r="AC273" s="22">
        <v>0.39508100000000002</v>
      </c>
      <c r="AD273">
        <f t="shared" si="52"/>
        <v>16.430493827160493</v>
      </c>
      <c r="AE273">
        <f t="shared" si="53"/>
        <v>6.5008891876543213</v>
      </c>
      <c r="AF273" s="9"/>
      <c r="AG273" s="22">
        <v>1.22437</v>
      </c>
      <c r="AH273" s="22">
        <v>21.377300000000002</v>
      </c>
      <c r="AI273" s="22">
        <v>-1.1682100000000001E-2</v>
      </c>
      <c r="AJ273" s="22">
        <v>263</v>
      </c>
      <c r="AK273" s="22">
        <v>1.2231399999999999</v>
      </c>
      <c r="AL273">
        <f t="shared" si="54"/>
        <v>14.422345679012347</v>
      </c>
      <c r="AM273">
        <f t="shared" si="55"/>
        <v>17.658287379012346</v>
      </c>
      <c r="AP273" s="9"/>
      <c r="AQ273" s="22">
        <v>0.39566000000000001</v>
      </c>
      <c r="AR273" s="22">
        <v>26.7134</v>
      </c>
      <c r="AS273" s="22">
        <v>-1.33759E-2</v>
      </c>
      <c r="AT273" s="22">
        <v>263</v>
      </c>
      <c r="AU273" s="22">
        <v>0.39505000000000001</v>
      </c>
      <c r="AV273">
        <f t="shared" si="56"/>
        <v>16.513456790123456</v>
      </c>
      <c r="AW273">
        <f t="shared" si="57"/>
        <v>6.5337143135802469</v>
      </c>
      <c r="AX273" s="9"/>
      <c r="AY273" s="22">
        <v>1.22437</v>
      </c>
      <c r="AZ273" s="22">
        <v>30.371500000000001</v>
      </c>
      <c r="BA273" s="22">
        <v>-1.1743200000000001E-2</v>
      </c>
      <c r="BB273" s="22">
        <v>263</v>
      </c>
      <c r="BC273" s="22">
        <v>1.2234499999999999</v>
      </c>
      <c r="BD273">
        <f t="shared" si="58"/>
        <v>14.497777777777777</v>
      </c>
      <c r="BE273">
        <f t="shared" si="59"/>
        <v>17.750644177777776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8.7190799999999999</v>
      </c>
      <c r="I274" s="22">
        <v>-1.3021899999999999E-2</v>
      </c>
      <c r="J274" s="22">
        <v>264</v>
      </c>
      <c r="K274" s="22">
        <v>0.39004499999999998</v>
      </c>
      <c r="L274">
        <f t="shared" si="48"/>
        <v>16.076419753086416</v>
      </c>
      <c r="M274">
        <f t="shared" si="49"/>
        <v>6.2798514660493812</v>
      </c>
      <c r="N274" s="9"/>
      <c r="O274" s="22">
        <v>1.2294</v>
      </c>
      <c r="P274" s="22">
        <v>12.3771</v>
      </c>
      <c r="Q274" s="22">
        <v>-1.1599699999999999E-2</v>
      </c>
      <c r="R274" s="22">
        <v>264</v>
      </c>
      <c r="S274" s="22">
        <v>1.22803</v>
      </c>
      <c r="T274">
        <f t="shared" si="50"/>
        <v>14.320617283950616</v>
      </c>
      <c r="U274">
        <f t="shared" si="51"/>
        <v>17.605766888888887</v>
      </c>
      <c r="X274" s="9"/>
      <c r="Y274" s="22">
        <v>0.390625</v>
      </c>
      <c r="Z274" s="22">
        <v>17.729299999999999</v>
      </c>
      <c r="AA274" s="22">
        <v>-1.3302599999999999E-2</v>
      </c>
      <c r="AB274" s="22">
        <v>264</v>
      </c>
      <c r="AC274" s="22">
        <v>0.39007599999999998</v>
      </c>
      <c r="AD274">
        <f t="shared" si="52"/>
        <v>16.422962962962963</v>
      </c>
      <c r="AE274">
        <f t="shared" si="53"/>
        <v>6.4152199074074074</v>
      </c>
      <c r="AF274" s="9"/>
      <c r="AG274" s="22">
        <v>1.2294</v>
      </c>
      <c r="AH274" s="22">
        <v>21.3873</v>
      </c>
      <c r="AI274" s="22">
        <v>-1.16455E-2</v>
      </c>
      <c r="AJ274" s="22">
        <v>264</v>
      </c>
      <c r="AK274" s="22">
        <v>1.2277199999999999</v>
      </c>
      <c r="AL274">
        <f t="shared" si="54"/>
        <v>14.37716049382716</v>
      </c>
      <c r="AM274">
        <f t="shared" si="55"/>
        <v>17.675281111111111</v>
      </c>
      <c r="AP274" s="9"/>
      <c r="AQ274" s="22">
        <v>0.390625</v>
      </c>
      <c r="AR274" s="22">
        <v>26.723500000000001</v>
      </c>
      <c r="AS274" s="22">
        <v>-1.3382E-2</v>
      </c>
      <c r="AT274" s="22">
        <v>264</v>
      </c>
      <c r="AU274" s="22">
        <v>0.39007599999999998</v>
      </c>
      <c r="AV274">
        <f t="shared" si="56"/>
        <v>16.520987654320987</v>
      </c>
      <c r="AW274">
        <f t="shared" si="57"/>
        <v>6.4535108024691352</v>
      </c>
      <c r="AX274" s="9"/>
      <c r="AY274" s="22">
        <v>1.2294</v>
      </c>
      <c r="AZ274" s="22">
        <v>30.381599999999999</v>
      </c>
      <c r="BA274" s="22">
        <v>-1.17065E-2</v>
      </c>
      <c r="BB274" s="22">
        <v>264</v>
      </c>
      <c r="BC274" s="22">
        <v>1.2283299999999999</v>
      </c>
      <c r="BD274">
        <f t="shared" si="58"/>
        <v>14.452469135802467</v>
      </c>
      <c r="BE274">
        <f t="shared" si="59"/>
        <v>17.767865555555552</v>
      </c>
    </row>
    <row r="275" spans="6:101">
      <c r="F275" s="9"/>
      <c r="G275" s="22">
        <v>0.38558999999999999</v>
      </c>
      <c r="H275" s="22">
        <v>8.7291500000000006</v>
      </c>
      <c r="I275" s="22">
        <v>-1.3024900000000001E-2</v>
      </c>
      <c r="J275" s="22">
        <v>265</v>
      </c>
      <c r="K275" s="22">
        <v>0.38497900000000002</v>
      </c>
      <c r="L275">
        <f t="shared" si="48"/>
        <v>16.080123456790126</v>
      </c>
      <c r="M275">
        <f t="shared" si="49"/>
        <v>6.2003348037037043</v>
      </c>
      <c r="N275" s="9"/>
      <c r="O275" s="22">
        <v>1.23444</v>
      </c>
      <c r="P275" s="22">
        <v>12.3872</v>
      </c>
      <c r="Q275" s="22">
        <v>-1.15662E-2</v>
      </c>
      <c r="R275" s="22">
        <v>265</v>
      </c>
      <c r="S275" s="22">
        <v>1.23322</v>
      </c>
      <c r="T275">
        <f t="shared" si="50"/>
        <v>14.279259259259259</v>
      </c>
      <c r="U275">
        <f t="shared" si="51"/>
        <v>17.6268888</v>
      </c>
      <c r="X275" s="9"/>
      <c r="Y275" s="22">
        <v>0.38558999999999999</v>
      </c>
      <c r="Z275" s="22">
        <v>17.7394</v>
      </c>
      <c r="AA275" s="22">
        <v>-1.32996E-2</v>
      </c>
      <c r="AB275" s="22">
        <v>265</v>
      </c>
      <c r="AC275" s="22">
        <v>0.38503999999999999</v>
      </c>
      <c r="AD275">
        <f t="shared" si="52"/>
        <v>16.41925925925926</v>
      </c>
      <c r="AE275">
        <f t="shared" si="53"/>
        <v>6.3311021777777778</v>
      </c>
      <c r="AF275" s="9"/>
      <c r="AG275" s="22">
        <v>1.23444</v>
      </c>
      <c r="AH275" s="22">
        <v>21.397400000000001</v>
      </c>
      <c r="AI275" s="22">
        <v>-1.1615E-2</v>
      </c>
      <c r="AJ275" s="22">
        <v>265</v>
      </c>
      <c r="AK275" s="22">
        <v>1.23322</v>
      </c>
      <c r="AL275">
        <f t="shared" si="54"/>
        <v>14.339506172839505</v>
      </c>
      <c r="AM275">
        <f t="shared" si="55"/>
        <v>17.701259999999998</v>
      </c>
      <c r="AP275" s="9"/>
      <c r="AQ275" s="22">
        <v>0.38558999999999999</v>
      </c>
      <c r="AR275" s="22">
        <v>26.733599999999999</v>
      </c>
      <c r="AS275" s="22">
        <v>-1.3384999999999999E-2</v>
      </c>
      <c r="AT275" s="22">
        <v>265</v>
      </c>
      <c r="AU275" s="22">
        <v>0.385071</v>
      </c>
      <c r="AV275">
        <f t="shared" si="56"/>
        <v>16.52469135802469</v>
      </c>
      <c r="AW275">
        <f t="shared" si="57"/>
        <v>6.3717557407407401</v>
      </c>
      <c r="AX275" s="9"/>
      <c r="AY275" s="22">
        <v>1.23444</v>
      </c>
      <c r="AZ275" s="22">
        <v>30.3916</v>
      </c>
      <c r="BA275" s="22">
        <v>-1.16699E-2</v>
      </c>
      <c r="BB275" s="22">
        <v>265</v>
      </c>
      <c r="BC275" s="22">
        <v>1.2335199999999999</v>
      </c>
      <c r="BD275">
        <f t="shared" si="58"/>
        <v>14.407283950617282</v>
      </c>
      <c r="BE275">
        <f t="shared" si="59"/>
        <v>17.784927599999996</v>
      </c>
    </row>
    <row r="276" spans="6:101">
      <c r="F276" s="9"/>
      <c r="G276" s="22">
        <v>0.380554</v>
      </c>
      <c r="H276" s="22">
        <v>8.7392199999999995</v>
      </c>
      <c r="I276" s="22">
        <v>-1.3028E-2</v>
      </c>
      <c r="J276" s="22">
        <v>266</v>
      </c>
      <c r="K276" s="22">
        <v>0.37997399999999998</v>
      </c>
      <c r="L276">
        <f t="shared" si="48"/>
        <v>16.08395061728395</v>
      </c>
      <c r="M276">
        <f t="shared" si="49"/>
        <v>6.1208117432098765</v>
      </c>
      <c r="N276" s="9"/>
      <c r="O276" s="22">
        <v>1.2394700000000001</v>
      </c>
      <c r="P276" s="22">
        <v>12.3973</v>
      </c>
      <c r="Q276" s="22">
        <v>-1.15356E-2</v>
      </c>
      <c r="R276" s="22">
        <v>266</v>
      </c>
      <c r="S276" s="22">
        <v>1.2383999999999999</v>
      </c>
      <c r="T276">
        <f t="shared" si="50"/>
        <v>14.241481481481481</v>
      </c>
      <c r="U276">
        <f t="shared" si="51"/>
        <v>17.651889051851853</v>
      </c>
      <c r="X276" s="9"/>
      <c r="Y276" s="22">
        <v>0.380554</v>
      </c>
      <c r="Z276" s="22">
        <v>17.749400000000001</v>
      </c>
      <c r="AA276" s="22">
        <v>-1.3302599999999999E-2</v>
      </c>
      <c r="AB276" s="22">
        <v>266</v>
      </c>
      <c r="AC276" s="22">
        <v>0.37997399999999998</v>
      </c>
      <c r="AD276">
        <f t="shared" si="52"/>
        <v>16.422962962962963</v>
      </c>
      <c r="AE276">
        <f t="shared" si="53"/>
        <v>6.2498242474074077</v>
      </c>
      <c r="AF276" s="9"/>
      <c r="AG276" s="22">
        <v>1.2394700000000001</v>
      </c>
      <c r="AH276" s="22">
        <v>21.407499999999999</v>
      </c>
      <c r="AI276" s="22">
        <v>-1.15753E-2</v>
      </c>
      <c r="AJ276" s="22">
        <v>266</v>
      </c>
      <c r="AK276" s="22">
        <v>1.2383999999999999</v>
      </c>
      <c r="AL276">
        <f t="shared" si="54"/>
        <v>14.290493827160493</v>
      </c>
      <c r="AM276">
        <f t="shared" si="55"/>
        <v>17.712638383950615</v>
      </c>
      <c r="AP276" s="9"/>
      <c r="AQ276" s="22">
        <v>0.380554</v>
      </c>
      <c r="AR276" s="22">
        <v>26.7437</v>
      </c>
      <c r="AS276" s="22">
        <v>-1.33911E-2</v>
      </c>
      <c r="AT276" s="22">
        <v>266</v>
      </c>
      <c r="AU276" s="22">
        <v>0.38000499999999998</v>
      </c>
      <c r="AV276">
        <f t="shared" si="56"/>
        <v>16.53222222222222</v>
      </c>
      <c r="AW276">
        <f t="shared" si="57"/>
        <v>6.291403295555555</v>
      </c>
      <c r="AX276" s="9"/>
      <c r="AY276" s="22">
        <v>1.2394700000000001</v>
      </c>
      <c r="AZ276" s="22">
        <v>30.401700000000002</v>
      </c>
      <c r="BA276" s="22">
        <v>-1.1621100000000001E-2</v>
      </c>
      <c r="BB276" s="22">
        <v>266</v>
      </c>
      <c r="BC276" s="22">
        <v>1.23871</v>
      </c>
      <c r="BD276">
        <f t="shared" si="58"/>
        <v>14.347037037037037</v>
      </c>
      <c r="BE276">
        <f t="shared" si="59"/>
        <v>17.782721996296296</v>
      </c>
    </row>
    <row r="277" spans="6:101">
      <c r="F277" s="9"/>
      <c r="G277" s="22">
        <v>0.37551899999999999</v>
      </c>
      <c r="H277" s="22">
        <v>8.7492999999999999</v>
      </c>
      <c r="I277" s="22">
        <v>-1.30432E-2</v>
      </c>
      <c r="J277" s="22">
        <v>267</v>
      </c>
      <c r="K277" s="22">
        <v>0.37493900000000002</v>
      </c>
      <c r="L277">
        <f t="shared" si="48"/>
        <v>16.102716049382714</v>
      </c>
      <c r="M277">
        <f t="shared" si="49"/>
        <v>6.0468758281481474</v>
      </c>
      <c r="N277" s="9"/>
      <c r="O277" s="22">
        <v>1.24451</v>
      </c>
      <c r="P277" s="22">
        <v>12.407400000000001</v>
      </c>
      <c r="Q277" s="22">
        <v>-1.1489900000000001E-2</v>
      </c>
      <c r="R277" s="22">
        <v>267</v>
      </c>
      <c r="S277" s="22">
        <v>1.24329</v>
      </c>
      <c r="T277">
        <f t="shared" si="50"/>
        <v>14.185061728395063</v>
      </c>
      <c r="U277">
        <f t="shared" si="51"/>
        <v>17.653451171604939</v>
      </c>
      <c r="X277" s="9"/>
      <c r="Y277" s="22">
        <v>0.37551899999999999</v>
      </c>
      <c r="Z277" s="22">
        <v>17.759499999999999</v>
      </c>
      <c r="AA277" s="22">
        <v>-1.33057E-2</v>
      </c>
      <c r="AB277" s="22">
        <v>267</v>
      </c>
      <c r="AC277" s="22">
        <v>0.37493900000000002</v>
      </c>
      <c r="AD277">
        <f t="shared" si="52"/>
        <v>16.42679012345679</v>
      </c>
      <c r="AE277">
        <f t="shared" si="53"/>
        <v>6.16857180037037</v>
      </c>
      <c r="AF277" s="9"/>
      <c r="AG277" s="22">
        <v>1.24451</v>
      </c>
      <c r="AH277" s="22">
        <v>21.4176</v>
      </c>
      <c r="AI277" s="22">
        <v>-1.15356E-2</v>
      </c>
      <c r="AJ277" s="22">
        <v>267</v>
      </c>
      <c r="AK277" s="22">
        <v>1.24359</v>
      </c>
      <c r="AL277">
        <f t="shared" si="54"/>
        <v>14.241481481481481</v>
      </c>
      <c r="AM277">
        <f t="shared" si="55"/>
        <v>17.723666118518519</v>
      </c>
      <c r="AP277" s="9"/>
      <c r="AQ277" s="22">
        <v>0.37551899999999999</v>
      </c>
      <c r="AR277" s="22">
        <v>26.753699999999998</v>
      </c>
      <c r="AS277" s="22">
        <v>-1.33942E-2</v>
      </c>
      <c r="AT277" s="22">
        <v>267</v>
      </c>
      <c r="AU277" s="22">
        <v>0.37490800000000002</v>
      </c>
      <c r="AV277">
        <f t="shared" si="56"/>
        <v>16.536049382716048</v>
      </c>
      <c r="AW277">
        <f t="shared" si="57"/>
        <v>6.2096007281481471</v>
      </c>
      <c r="AX277" s="9"/>
      <c r="AY277" s="22">
        <v>1.24451</v>
      </c>
      <c r="AZ277" s="22">
        <v>30.411799999999999</v>
      </c>
      <c r="BA277" s="22">
        <v>-1.15753E-2</v>
      </c>
      <c r="BB277" s="22">
        <v>267</v>
      </c>
      <c r="BC277" s="22">
        <v>1.24329</v>
      </c>
      <c r="BD277">
        <f t="shared" si="58"/>
        <v>14.290493827160493</v>
      </c>
      <c r="BE277">
        <f t="shared" si="59"/>
        <v>17.784662472839504</v>
      </c>
    </row>
    <row r="278" spans="6:101">
      <c r="F278" s="9"/>
      <c r="G278" s="22">
        <v>0.37048300000000001</v>
      </c>
      <c r="H278" s="22">
        <v>8.7593700000000005</v>
      </c>
      <c r="I278" s="22">
        <v>-1.30493E-2</v>
      </c>
      <c r="J278" s="22">
        <v>268</v>
      </c>
      <c r="K278" s="22">
        <v>0.36984299999999998</v>
      </c>
      <c r="L278">
        <f t="shared" si="48"/>
        <v>16.110246913580244</v>
      </c>
      <c r="M278">
        <f t="shared" si="49"/>
        <v>5.9685726072839502</v>
      </c>
      <c r="N278" s="9"/>
      <c r="O278" s="22">
        <v>1.2495400000000001</v>
      </c>
      <c r="P278" s="22">
        <v>12.417400000000001</v>
      </c>
      <c r="Q278" s="22">
        <v>-1.14471E-2</v>
      </c>
      <c r="R278" s="22">
        <v>268</v>
      </c>
      <c r="S278" s="22">
        <v>1.24847</v>
      </c>
      <c r="T278">
        <f t="shared" si="50"/>
        <v>14.132222222222222</v>
      </c>
      <c r="U278">
        <f t="shared" si="51"/>
        <v>17.658776955555556</v>
      </c>
      <c r="X278" s="9"/>
      <c r="Y278" s="22">
        <v>0.37048300000000001</v>
      </c>
      <c r="Z278" s="22">
        <v>17.769600000000001</v>
      </c>
      <c r="AA278" s="22">
        <v>-1.33087E-2</v>
      </c>
      <c r="AB278" s="22">
        <v>268</v>
      </c>
      <c r="AC278" s="22">
        <v>0.36987300000000001</v>
      </c>
      <c r="AD278">
        <f t="shared" si="52"/>
        <v>16.430493827160493</v>
      </c>
      <c r="AE278">
        <f t="shared" si="53"/>
        <v>6.0872186445679013</v>
      </c>
      <c r="AF278" s="9"/>
      <c r="AG278" s="22">
        <v>1.2495400000000001</v>
      </c>
      <c r="AH278" s="22">
        <v>21.427600000000002</v>
      </c>
      <c r="AI278" s="22">
        <v>-1.1495999999999999E-2</v>
      </c>
      <c r="AJ278" s="22">
        <v>268</v>
      </c>
      <c r="AK278" s="22">
        <v>1.24878</v>
      </c>
      <c r="AL278">
        <f t="shared" si="54"/>
        <v>14.19259259259259</v>
      </c>
      <c r="AM278">
        <f t="shared" si="55"/>
        <v>17.734212148148146</v>
      </c>
      <c r="AP278" s="9"/>
      <c r="AQ278" s="22">
        <v>0.37048300000000001</v>
      </c>
      <c r="AR278" s="22">
        <v>26.7638</v>
      </c>
      <c r="AS278" s="22">
        <v>-1.33881E-2</v>
      </c>
      <c r="AT278" s="22">
        <v>268</v>
      </c>
      <c r="AU278" s="22">
        <v>0.36987300000000001</v>
      </c>
      <c r="AV278">
        <f t="shared" si="56"/>
        <v>16.528518518518517</v>
      </c>
      <c r="AW278">
        <f t="shared" si="57"/>
        <v>6.1235351262962956</v>
      </c>
      <c r="AX278" s="9"/>
      <c r="AY278" s="22">
        <v>1.2495400000000001</v>
      </c>
      <c r="AZ278" s="22">
        <v>30.421800000000001</v>
      </c>
      <c r="BA278" s="22">
        <v>-1.15295E-2</v>
      </c>
      <c r="BB278" s="22">
        <v>268</v>
      </c>
      <c r="BC278" s="22">
        <v>1.24817</v>
      </c>
      <c r="BD278">
        <f t="shared" si="58"/>
        <v>14.23395061728395</v>
      </c>
      <c r="BE278">
        <f t="shared" si="59"/>
        <v>17.785890654320987</v>
      </c>
    </row>
    <row r="279" spans="6:101">
      <c r="F279" s="9"/>
      <c r="G279" s="22">
        <v>0.365448</v>
      </c>
      <c r="H279" s="22">
        <v>8.7694399999999995</v>
      </c>
      <c r="I279" s="22">
        <v>-1.30524E-2</v>
      </c>
      <c r="J279" s="22">
        <v>269</v>
      </c>
      <c r="K279" s="22">
        <v>0.36486800000000003</v>
      </c>
      <c r="L279">
        <f t="shared" si="48"/>
        <v>16.114074074074072</v>
      </c>
      <c r="M279">
        <f t="shared" si="49"/>
        <v>5.8888561422222212</v>
      </c>
      <c r="N279" s="9"/>
      <c r="O279" s="22">
        <v>1.25458</v>
      </c>
      <c r="P279" s="22">
        <v>12.4275</v>
      </c>
      <c r="Q279" s="22">
        <v>-1.14044E-2</v>
      </c>
      <c r="R279" s="22">
        <v>269</v>
      </c>
      <c r="S279" s="22">
        <v>1.25427</v>
      </c>
      <c r="T279">
        <f t="shared" si="50"/>
        <v>14.079506172839505</v>
      </c>
      <c r="U279">
        <f t="shared" si="51"/>
        <v>17.663866854320986</v>
      </c>
      <c r="X279" s="9"/>
      <c r="Y279" s="22">
        <v>0.365448</v>
      </c>
      <c r="Z279" s="22">
        <v>17.779599999999999</v>
      </c>
      <c r="AA279" s="22">
        <v>-1.33057E-2</v>
      </c>
      <c r="AB279" s="22">
        <v>269</v>
      </c>
      <c r="AC279" s="22">
        <v>0.36474600000000001</v>
      </c>
      <c r="AD279">
        <f t="shared" si="52"/>
        <v>16.42679012345679</v>
      </c>
      <c r="AE279">
        <f t="shared" si="53"/>
        <v>6.0031375970370373</v>
      </c>
      <c r="AF279" s="9"/>
      <c r="AG279" s="22">
        <v>1.25458</v>
      </c>
      <c r="AH279" s="22">
        <v>21.4377</v>
      </c>
      <c r="AI279" s="22">
        <v>-1.14532E-2</v>
      </c>
      <c r="AJ279" s="22">
        <v>269</v>
      </c>
      <c r="AK279" s="22">
        <v>1.25397</v>
      </c>
      <c r="AL279">
        <f t="shared" si="54"/>
        <v>14.139753086419754</v>
      </c>
      <c r="AM279">
        <f t="shared" si="55"/>
        <v>17.739451427160496</v>
      </c>
      <c r="AP279" s="9"/>
      <c r="AQ279" s="22">
        <v>0.365448</v>
      </c>
      <c r="AR279" s="22">
        <v>26.773900000000001</v>
      </c>
      <c r="AS279" s="22">
        <v>-1.3384999999999999E-2</v>
      </c>
      <c r="AT279" s="22">
        <v>269</v>
      </c>
      <c r="AU279" s="22">
        <v>0.36486800000000003</v>
      </c>
      <c r="AV279">
        <f t="shared" si="56"/>
        <v>16.52469135802469</v>
      </c>
      <c r="AW279">
        <f t="shared" si="57"/>
        <v>6.0389154074074067</v>
      </c>
      <c r="AX279" s="9"/>
      <c r="AY279" s="22">
        <v>1.25458</v>
      </c>
      <c r="AZ279" s="22">
        <v>30.431899999999999</v>
      </c>
      <c r="BA279" s="22">
        <v>-1.14807E-2</v>
      </c>
      <c r="BB279" s="22">
        <v>269</v>
      </c>
      <c r="BC279" s="22">
        <v>1.25366</v>
      </c>
      <c r="BD279">
        <f t="shared" si="58"/>
        <v>14.173703703703703</v>
      </c>
      <c r="BE279">
        <f t="shared" si="59"/>
        <v>17.782045192592591</v>
      </c>
    </row>
    <row r="280" spans="6:101">
      <c r="F280" s="9"/>
      <c r="G280" s="22">
        <v>0.36041299999999998</v>
      </c>
      <c r="H280" s="22">
        <v>8.7795100000000001</v>
      </c>
      <c r="I280" s="22">
        <v>-1.30554E-2</v>
      </c>
      <c r="J280" s="22">
        <v>270</v>
      </c>
      <c r="K280" s="22">
        <v>0.35989399999999999</v>
      </c>
      <c r="L280">
        <f t="shared" si="48"/>
        <v>16.117777777777775</v>
      </c>
      <c r="M280">
        <f t="shared" si="49"/>
        <v>5.8090566422222212</v>
      </c>
      <c r="N280" s="9"/>
      <c r="O280" s="22">
        <v>1.2596099999999999</v>
      </c>
      <c r="P280" s="22">
        <v>12.4376</v>
      </c>
      <c r="Q280" s="22">
        <v>-1.13556E-2</v>
      </c>
      <c r="R280" s="22">
        <v>270</v>
      </c>
      <c r="S280" s="22">
        <v>1.25946</v>
      </c>
      <c r="T280">
        <f t="shared" si="50"/>
        <v>14.019259259259259</v>
      </c>
      <c r="U280">
        <f t="shared" si="51"/>
        <v>17.658799155555553</v>
      </c>
      <c r="X280" s="9"/>
      <c r="Y280" s="22">
        <v>0.36041299999999998</v>
      </c>
      <c r="Z280" s="22">
        <v>17.7897</v>
      </c>
      <c r="AA280" s="22">
        <v>-1.33087E-2</v>
      </c>
      <c r="AB280" s="22">
        <v>270</v>
      </c>
      <c r="AC280" s="22">
        <v>0.35986299999999999</v>
      </c>
      <c r="AD280">
        <f t="shared" si="52"/>
        <v>16.430493827160493</v>
      </c>
      <c r="AE280">
        <f t="shared" si="53"/>
        <v>5.9217635717283947</v>
      </c>
      <c r="AF280" s="9"/>
      <c r="AG280" s="22">
        <v>1.2596099999999999</v>
      </c>
      <c r="AH280" s="22">
        <v>21.447800000000001</v>
      </c>
      <c r="AI280" s="22">
        <v>-1.1407499999999999E-2</v>
      </c>
      <c r="AJ280" s="22">
        <v>270</v>
      </c>
      <c r="AK280" s="22">
        <v>1.25885</v>
      </c>
      <c r="AL280">
        <f t="shared" si="54"/>
        <v>14.083333333333332</v>
      </c>
      <c r="AM280">
        <f t="shared" si="55"/>
        <v>17.739507499999998</v>
      </c>
      <c r="AP280" s="9"/>
      <c r="AQ280" s="22">
        <v>0.36041299999999998</v>
      </c>
      <c r="AR280" s="22">
        <v>26.783899999999999</v>
      </c>
      <c r="AS280" s="22">
        <v>-1.33881E-2</v>
      </c>
      <c r="AT280" s="22">
        <v>270</v>
      </c>
      <c r="AU280" s="22">
        <v>0.35986299999999999</v>
      </c>
      <c r="AV280">
        <f t="shared" si="56"/>
        <v>16.528518518518517</v>
      </c>
      <c r="AW280">
        <f t="shared" si="57"/>
        <v>5.9570929448148142</v>
      </c>
      <c r="AX280" s="9"/>
      <c r="AY280" s="22">
        <v>1.2596099999999999</v>
      </c>
      <c r="AZ280" s="22">
        <v>30.442</v>
      </c>
      <c r="BA280" s="22">
        <v>-1.14349E-2</v>
      </c>
      <c r="BB280" s="22">
        <v>270</v>
      </c>
      <c r="BC280" s="22">
        <v>1.2591600000000001</v>
      </c>
      <c r="BD280">
        <f t="shared" si="58"/>
        <v>14.117160493827161</v>
      </c>
      <c r="BE280">
        <f t="shared" si="59"/>
        <v>17.782116529629629</v>
      </c>
    </row>
    <row r="281" spans="6:101">
      <c r="F281" s="9"/>
      <c r="G281" s="22">
        <v>0.355377</v>
      </c>
      <c r="H281" s="22">
        <v>8.7895800000000008</v>
      </c>
      <c r="I281" s="22">
        <v>-1.30524E-2</v>
      </c>
      <c r="J281" s="22">
        <v>271</v>
      </c>
      <c r="K281" s="22">
        <v>0.35482799999999998</v>
      </c>
      <c r="L281">
        <f t="shared" si="48"/>
        <v>16.114074074074072</v>
      </c>
      <c r="M281">
        <f t="shared" si="49"/>
        <v>5.7265713022222213</v>
      </c>
      <c r="N281" s="9"/>
      <c r="O281" s="22">
        <v>1.2646500000000001</v>
      </c>
      <c r="P281" s="22">
        <v>12.4476</v>
      </c>
      <c r="Q281" s="22">
        <v>-1.13098E-2</v>
      </c>
      <c r="R281" s="22">
        <v>271</v>
      </c>
      <c r="S281" s="22">
        <v>1.2634300000000001</v>
      </c>
      <c r="T281">
        <f t="shared" si="50"/>
        <v>13.962716049382715</v>
      </c>
      <c r="U281">
        <f t="shared" si="51"/>
        <v>17.657948851851852</v>
      </c>
      <c r="X281" s="9"/>
      <c r="Y281" s="22">
        <v>0.355377</v>
      </c>
      <c r="Z281" s="22">
        <v>17.799800000000001</v>
      </c>
      <c r="AA281" s="22">
        <v>-1.33087E-2</v>
      </c>
      <c r="AB281" s="22">
        <v>271</v>
      </c>
      <c r="AC281" s="22">
        <v>0.35482799999999998</v>
      </c>
      <c r="AD281">
        <f t="shared" si="52"/>
        <v>16.430493827160493</v>
      </c>
      <c r="AE281">
        <f t="shared" si="53"/>
        <v>5.8390196048148146</v>
      </c>
      <c r="AF281" s="9"/>
      <c r="AG281" s="22">
        <v>1.2646500000000001</v>
      </c>
      <c r="AH281" s="22">
        <v>21.457799999999999</v>
      </c>
      <c r="AI281" s="22">
        <v>-1.1361700000000001E-2</v>
      </c>
      <c r="AJ281" s="22">
        <v>271</v>
      </c>
      <c r="AK281" s="22">
        <v>1.2640400000000001</v>
      </c>
      <c r="AL281">
        <f t="shared" si="54"/>
        <v>14.026790123456792</v>
      </c>
      <c r="AM281">
        <f t="shared" si="55"/>
        <v>17.738980129629631</v>
      </c>
      <c r="AP281" s="9"/>
      <c r="AQ281" s="22">
        <v>0.355377</v>
      </c>
      <c r="AR281" s="22">
        <v>26.794</v>
      </c>
      <c r="AS281" s="22">
        <v>-1.3384999999999999E-2</v>
      </c>
      <c r="AT281" s="22">
        <v>271</v>
      </c>
      <c r="AU281" s="22">
        <v>0.35479699999999997</v>
      </c>
      <c r="AV281">
        <f t="shared" si="56"/>
        <v>16.52469135802469</v>
      </c>
      <c r="AW281">
        <f t="shared" si="57"/>
        <v>5.87249524074074</v>
      </c>
      <c r="AX281" s="9"/>
      <c r="AY281" s="22">
        <v>1.2646500000000001</v>
      </c>
      <c r="AZ281" s="22">
        <v>30.452100000000002</v>
      </c>
      <c r="BA281" s="22">
        <v>-1.13861E-2</v>
      </c>
      <c r="BB281" s="22">
        <v>271</v>
      </c>
      <c r="BC281" s="22">
        <v>1.26373</v>
      </c>
      <c r="BD281">
        <f t="shared" si="58"/>
        <v>14.056913580246912</v>
      </c>
      <c r="BE281">
        <f t="shared" si="59"/>
        <v>17.777075759259258</v>
      </c>
    </row>
    <row r="282" spans="6:101">
      <c r="F282" s="9"/>
      <c r="G282" s="22">
        <v>0.35034199999999999</v>
      </c>
      <c r="H282" s="22">
        <v>8.7996499999999997</v>
      </c>
      <c r="I282" s="22">
        <v>-1.30524E-2</v>
      </c>
      <c r="J282" s="22">
        <v>272</v>
      </c>
      <c r="K282" s="22">
        <v>0.34979199999999999</v>
      </c>
      <c r="L282">
        <f t="shared" si="48"/>
        <v>16.114074074074072</v>
      </c>
      <c r="M282">
        <f t="shared" si="49"/>
        <v>5.645436939259258</v>
      </c>
      <c r="N282" s="9"/>
      <c r="O282" s="22">
        <v>1.2696799999999999</v>
      </c>
      <c r="P282" s="22">
        <v>12.457700000000001</v>
      </c>
      <c r="Q282" s="22">
        <v>-1.1261E-2</v>
      </c>
      <c r="R282" s="22">
        <v>272</v>
      </c>
      <c r="S282" s="22">
        <v>1.2686200000000001</v>
      </c>
      <c r="T282">
        <f t="shared" si="50"/>
        <v>13.90246913580247</v>
      </c>
      <c r="U282">
        <f t="shared" si="51"/>
        <v>17.651687012345679</v>
      </c>
      <c r="X282" s="9"/>
      <c r="Y282" s="22">
        <v>0.35034199999999999</v>
      </c>
      <c r="Z282" s="22">
        <v>17.809899999999999</v>
      </c>
      <c r="AA282" s="22">
        <v>-1.3296499999999999E-2</v>
      </c>
      <c r="AB282" s="22">
        <v>272</v>
      </c>
      <c r="AC282" s="22">
        <v>0.34973100000000001</v>
      </c>
      <c r="AD282">
        <f t="shared" si="52"/>
        <v>16.415432098765429</v>
      </c>
      <c r="AE282">
        <f t="shared" si="53"/>
        <v>5.751015312345678</v>
      </c>
      <c r="AF282" s="9"/>
      <c r="AG282" s="22">
        <v>1.2696799999999999</v>
      </c>
      <c r="AH282" s="22">
        <v>21.4679</v>
      </c>
      <c r="AI282" s="22">
        <v>-1.13159E-2</v>
      </c>
      <c r="AJ282" s="22">
        <v>272</v>
      </c>
      <c r="AK282" s="22">
        <v>1.2692300000000001</v>
      </c>
      <c r="AL282">
        <f t="shared" si="54"/>
        <v>13.970246913580247</v>
      </c>
      <c r="AM282">
        <f t="shared" si="55"/>
        <v>17.737743101234567</v>
      </c>
      <c r="AP282" s="9"/>
      <c r="AQ282" s="22">
        <v>0.35034199999999999</v>
      </c>
      <c r="AR282" s="22">
        <v>26.804099999999998</v>
      </c>
      <c r="AS282" s="22">
        <v>-1.3382E-2</v>
      </c>
      <c r="AT282" s="22">
        <v>272</v>
      </c>
      <c r="AU282" s="22">
        <v>0.34979199999999999</v>
      </c>
      <c r="AV282">
        <f t="shared" si="56"/>
        <v>16.520987654320987</v>
      </c>
      <c r="AW282">
        <f t="shared" si="57"/>
        <v>5.7879958567901229</v>
      </c>
      <c r="AX282" s="9"/>
      <c r="AY282" s="22">
        <v>1.2696799999999999</v>
      </c>
      <c r="AZ282" s="22">
        <v>30.4621</v>
      </c>
      <c r="BA282" s="22">
        <v>-1.1334199999999999E-2</v>
      </c>
      <c r="BB282" s="22">
        <v>272</v>
      </c>
      <c r="BC282" s="22">
        <v>1.2686200000000001</v>
      </c>
      <c r="BD282">
        <f t="shared" si="58"/>
        <v>13.992839506172839</v>
      </c>
      <c r="BE282">
        <f t="shared" si="59"/>
        <v>17.766428464197528</v>
      </c>
    </row>
    <row r="283" spans="6:101">
      <c r="F283" s="9"/>
      <c r="G283" s="22">
        <v>0.345306</v>
      </c>
      <c r="H283" s="22">
        <v>8.8097200000000004</v>
      </c>
      <c r="I283" s="22">
        <v>-1.30524E-2</v>
      </c>
      <c r="J283" s="22">
        <v>273</v>
      </c>
      <c r="K283" s="22">
        <v>0.34472700000000001</v>
      </c>
      <c r="L283">
        <f t="shared" si="48"/>
        <v>16.114074074074072</v>
      </c>
      <c r="M283">
        <f t="shared" si="49"/>
        <v>5.5642864622222215</v>
      </c>
      <c r="N283" s="9"/>
      <c r="O283" s="22">
        <v>1.2747200000000001</v>
      </c>
      <c r="P283" s="22">
        <v>12.4678</v>
      </c>
      <c r="Q283" s="22">
        <v>-1.12091E-2</v>
      </c>
      <c r="R283" s="22">
        <v>273</v>
      </c>
      <c r="S283" s="22">
        <v>1.2747200000000001</v>
      </c>
      <c r="T283">
        <f t="shared" si="50"/>
        <v>13.838395061728393</v>
      </c>
      <c r="U283">
        <f t="shared" si="51"/>
        <v>17.640078953086419</v>
      </c>
      <c r="X283" s="9"/>
      <c r="Y283" s="22">
        <v>0.345306</v>
      </c>
      <c r="Z283" s="22">
        <v>17.819900000000001</v>
      </c>
      <c r="AA283" s="22">
        <v>-1.32874E-2</v>
      </c>
      <c r="AB283" s="22">
        <v>273</v>
      </c>
      <c r="AC283" s="22">
        <v>0.34472700000000001</v>
      </c>
      <c r="AD283">
        <f t="shared" si="52"/>
        <v>16.404197530864195</v>
      </c>
      <c r="AE283">
        <f t="shared" si="53"/>
        <v>5.6644678325925915</v>
      </c>
      <c r="AF283" s="9"/>
      <c r="AG283" s="22">
        <v>1.2747200000000001</v>
      </c>
      <c r="AH283" s="22">
        <v>21.478000000000002</v>
      </c>
      <c r="AI283" s="22">
        <v>-1.1261E-2</v>
      </c>
      <c r="AJ283" s="22">
        <v>273</v>
      </c>
      <c r="AK283" s="22">
        <v>1.2741100000000001</v>
      </c>
      <c r="AL283">
        <f t="shared" si="54"/>
        <v>13.90246913580247</v>
      </c>
      <c r="AM283">
        <f t="shared" si="55"/>
        <v>17.721755456790124</v>
      </c>
      <c r="AP283" s="9"/>
      <c r="AQ283" s="22">
        <v>0.345306</v>
      </c>
      <c r="AR283" s="22">
        <v>26.8142</v>
      </c>
      <c r="AS283" s="22">
        <v>-1.3384999999999999E-2</v>
      </c>
      <c r="AT283" s="22">
        <v>273</v>
      </c>
      <c r="AU283" s="22">
        <v>0.34472700000000001</v>
      </c>
      <c r="AV283">
        <f t="shared" si="56"/>
        <v>16.52469135802469</v>
      </c>
      <c r="AW283">
        <f t="shared" si="57"/>
        <v>5.7060750740740733</v>
      </c>
      <c r="AX283" s="9"/>
      <c r="AY283" s="22">
        <v>1.2747200000000001</v>
      </c>
      <c r="AZ283" s="22">
        <v>30.472200000000001</v>
      </c>
      <c r="BA283" s="22">
        <v>-1.1285399999999999E-2</v>
      </c>
      <c r="BB283" s="22">
        <v>273</v>
      </c>
      <c r="BC283" s="22">
        <v>1.2741100000000001</v>
      </c>
      <c r="BD283">
        <f t="shared" si="58"/>
        <v>13.93259259259259</v>
      </c>
      <c r="BE283">
        <f t="shared" si="59"/>
        <v>17.760154429629626</v>
      </c>
    </row>
    <row r="284" spans="6:101">
      <c r="F284" s="9"/>
      <c r="G284" s="22">
        <v>0.34027099999999999</v>
      </c>
      <c r="H284" s="22">
        <v>8.8197899999999994</v>
      </c>
      <c r="I284" s="22">
        <v>-1.30524E-2</v>
      </c>
      <c r="J284" s="22">
        <v>274</v>
      </c>
      <c r="K284" s="22">
        <v>0.33962999999999999</v>
      </c>
      <c r="L284">
        <f t="shared" si="48"/>
        <v>16.114074074074072</v>
      </c>
      <c r="M284">
        <f t="shared" si="49"/>
        <v>5.4831520992592582</v>
      </c>
      <c r="N284" s="9"/>
      <c r="O284" s="22">
        <v>1.2797499999999999</v>
      </c>
      <c r="P284" s="22">
        <v>12.4778</v>
      </c>
      <c r="Q284" s="22">
        <v>-1.1157200000000001E-2</v>
      </c>
      <c r="R284" s="22">
        <v>274</v>
      </c>
      <c r="S284" s="22">
        <v>1.2780800000000001</v>
      </c>
      <c r="T284">
        <f t="shared" si="50"/>
        <v>13.77432098765432</v>
      </c>
      <c r="U284">
        <f t="shared" si="51"/>
        <v>17.627687283950618</v>
      </c>
      <c r="X284" s="9"/>
      <c r="Y284" s="22">
        <v>0.34027099999999999</v>
      </c>
      <c r="Z284" s="22">
        <v>17.829999999999998</v>
      </c>
      <c r="AA284" s="22">
        <v>-1.3281299999999999E-2</v>
      </c>
      <c r="AB284" s="22">
        <v>274</v>
      </c>
      <c r="AC284" s="22">
        <v>0.33966099999999999</v>
      </c>
      <c r="AD284">
        <f t="shared" si="52"/>
        <v>16.396666666666665</v>
      </c>
      <c r="AE284">
        <f t="shared" si="53"/>
        <v>5.5793101633333322</v>
      </c>
      <c r="AF284" s="9"/>
      <c r="AG284" s="22">
        <v>1.2797499999999999</v>
      </c>
      <c r="AH284" s="22">
        <v>21.488</v>
      </c>
      <c r="AI284" s="22">
        <v>-1.12061E-2</v>
      </c>
      <c r="AJ284" s="22">
        <v>274</v>
      </c>
      <c r="AK284" s="22">
        <v>1.2789900000000001</v>
      </c>
      <c r="AL284">
        <f t="shared" si="54"/>
        <v>13.834691358024692</v>
      </c>
      <c r="AM284">
        <f t="shared" si="55"/>
        <v>17.704946265432099</v>
      </c>
      <c r="AP284" s="9"/>
      <c r="AQ284" s="22">
        <v>0.34027099999999999</v>
      </c>
      <c r="AR284" s="22">
        <v>26.824200000000001</v>
      </c>
      <c r="AS284" s="22">
        <v>-1.3384999999999999E-2</v>
      </c>
      <c r="AT284" s="22">
        <v>274</v>
      </c>
      <c r="AU284" s="22">
        <v>0.33969100000000002</v>
      </c>
      <c r="AV284">
        <f t="shared" si="56"/>
        <v>16.52469135802469</v>
      </c>
      <c r="AW284">
        <f t="shared" si="57"/>
        <v>5.6228732530864187</v>
      </c>
      <c r="AX284" s="9"/>
      <c r="AY284" s="22">
        <v>1.2797499999999999</v>
      </c>
      <c r="AZ284" s="22">
        <v>30.482299999999999</v>
      </c>
      <c r="BA284" s="22">
        <v>-1.1239600000000001E-2</v>
      </c>
      <c r="BB284" s="22">
        <v>274</v>
      </c>
      <c r="BC284" s="22">
        <v>1.2789900000000001</v>
      </c>
      <c r="BD284">
        <f t="shared" si="58"/>
        <v>13.876049382716049</v>
      </c>
      <c r="BE284">
        <f t="shared" si="59"/>
        <v>17.757874197530864</v>
      </c>
    </row>
    <row r="285" spans="6:101">
      <c r="F285" s="9"/>
      <c r="G285" s="22">
        <v>0.33523599999999998</v>
      </c>
      <c r="H285" s="22">
        <v>8.82986</v>
      </c>
      <c r="I285" s="22">
        <v>-1.3064600000000001E-2</v>
      </c>
      <c r="J285" s="22">
        <v>275</v>
      </c>
      <c r="K285" s="22">
        <v>0.33465600000000001</v>
      </c>
      <c r="L285">
        <f t="shared" si="48"/>
        <v>16.129135802469136</v>
      </c>
      <c r="M285">
        <f t="shared" si="49"/>
        <v>5.407066969876543</v>
      </c>
      <c r="N285" s="9"/>
      <c r="O285" s="22">
        <v>1.2847900000000001</v>
      </c>
      <c r="P285" s="22">
        <v>12.4879</v>
      </c>
      <c r="Q285" s="22">
        <v>-1.11053E-2</v>
      </c>
      <c r="R285" s="22">
        <v>275</v>
      </c>
      <c r="S285" s="22">
        <v>1.2838700000000001</v>
      </c>
      <c r="T285">
        <f t="shared" si="50"/>
        <v>13.710246913580248</v>
      </c>
      <c r="U285">
        <f t="shared" si="51"/>
        <v>17.614788132098766</v>
      </c>
      <c r="X285" s="9"/>
      <c r="Y285" s="22">
        <v>0.33523599999999998</v>
      </c>
      <c r="Z285" s="22">
        <v>17.8401</v>
      </c>
      <c r="AA285" s="22">
        <v>-1.3284300000000001E-2</v>
      </c>
      <c r="AB285" s="22">
        <v>275</v>
      </c>
      <c r="AC285" s="22">
        <v>0.33462500000000001</v>
      </c>
      <c r="AD285">
        <f t="shared" si="52"/>
        <v>16.400370370370371</v>
      </c>
      <c r="AE285">
        <f t="shared" si="53"/>
        <v>5.4979945614814811</v>
      </c>
      <c r="AF285" s="9"/>
      <c r="AG285" s="22">
        <v>1.2847900000000001</v>
      </c>
      <c r="AH285" s="22">
        <v>21.498100000000001</v>
      </c>
      <c r="AI285" s="22">
        <v>-1.1148099999999999E-2</v>
      </c>
      <c r="AJ285" s="22">
        <v>275</v>
      </c>
      <c r="AK285" s="22">
        <v>1.2838700000000001</v>
      </c>
      <c r="AL285">
        <f t="shared" si="54"/>
        <v>13.763086419753085</v>
      </c>
      <c r="AM285">
        <f t="shared" si="55"/>
        <v>17.682675801234566</v>
      </c>
      <c r="AP285" s="9"/>
      <c r="AQ285" s="22">
        <v>0.33523599999999998</v>
      </c>
      <c r="AR285" s="22">
        <v>26.834299999999999</v>
      </c>
      <c r="AS285" s="22">
        <v>-1.3384999999999999E-2</v>
      </c>
      <c r="AT285" s="22">
        <v>275</v>
      </c>
      <c r="AU285" s="22">
        <v>0.33459499999999998</v>
      </c>
      <c r="AV285">
        <f t="shared" si="56"/>
        <v>16.52469135802469</v>
      </c>
      <c r="AW285">
        <f t="shared" si="57"/>
        <v>5.5396714320987641</v>
      </c>
      <c r="AX285" s="9"/>
      <c r="AY285" s="22">
        <v>1.2847900000000001</v>
      </c>
      <c r="AZ285" s="22">
        <v>30.4923</v>
      </c>
      <c r="BA285" s="22">
        <v>-1.1190800000000001E-2</v>
      </c>
      <c r="BB285" s="22">
        <v>275</v>
      </c>
      <c r="BC285" s="22">
        <v>1.2841800000000001</v>
      </c>
      <c r="BD285">
        <f t="shared" si="58"/>
        <v>13.815802469135802</v>
      </c>
      <c r="BE285">
        <f t="shared" si="59"/>
        <v>17.750404854320987</v>
      </c>
    </row>
    <row r="286" spans="6:101">
      <c r="F286" s="9"/>
      <c r="G286" s="22">
        <v>0.33019999999999999</v>
      </c>
      <c r="H286" s="22">
        <v>8.8399300000000007</v>
      </c>
      <c r="I286" s="22">
        <v>-1.30676E-2</v>
      </c>
      <c r="J286" s="22">
        <v>276</v>
      </c>
      <c r="K286" s="22">
        <v>0.32962000000000002</v>
      </c>
      <c r="L286">
        <f t="shared" si="48"/>
        <v>16.132839506172839</v>
      </c>
      <c r="M286">
        <f t="shared" si="49"/>
        <v>5.3270636049382718</v>
      </c>
      <c r="N286" s="9"/>
      <c r="O286" s="22">
        <v>1.28983</v>
      </c>
      <c r="P286" s="22">
        <v>12.497999999999999</v>
      </c>
      <c r="Q286" s="22">
        <v>-1.1053500000000001E-2</v>
      </c>
      <c r="R286" s="22">
        <v>276</v>
      </c>
      <c r="S286" s="22">
        <v>1.2890600000000001</v>
      </c>
      <c r="T286">
        <f t="shared" si="50"/>
        <v>13.646296296296297</v>
      </c>
      <c r="U286">
        <f t="shared" si="51"/>
        <v>17.601402351851853</v>
      </c>
      <c r="X286" s="9"/>
      <c r="Y286" s="22">
        <v>0.33019999999999999</v>
      </c>
      <c r="Z286" s="22">
        <v>17.850100000000001</v>
      </c>
      <c r="AA286" s="22">
        <v>-1.32874E-2</v>
      </c>
      <c r="AB286" s="22">
        <v>276</v>
      </c>
      <c r="AC286" s="22">
        <v>0.32971200000000001</v>
      </c>
      <c r="AD286">
        <f t="shared" si="52"/>
        <v>16.404197530864195</v>
      </c>
      <c r="AE286">
        <f t="shared" si="53"/>
        <v>5.4166660246913567</v>
      </c>
      <c r="AF286" s="9"/>
      <c r="AG286" s="22">
        <v>1.28983</v>
      </c>
      <c r="AH286" s="22">
        <v>21.508199999999999</v>
      </c>
      <c r="AI286" s="22">
        <v>-1.10931E-2</v>
      </c>
      <c r="AJ286" s="22">
        <v>276</v>
      </c>
      <c r="AK286" s="22">
        <v>1.2887599999999999</v>
      </c>
      <c r="AL286">
        <f t="shared" si="54"/>
        <v>13.695185185185183</v>
      </c>
      <c r="AM286">
        <f t="shared" si="55"/>
        <v>17.664460707407404</v>
      </c>
      <c r="AP286" s="9"/>
      <c r="AQ286" s="22">
        <v>0.33019999999999999</v>
      </c>
      <c r="AR286" s="22">
        <v>26.8444</v>
      </c>
      <c r="AS286" s="22">
        <v>-1.3384999999999999E-2</v>
      </c>
      <c r="AT286" s="22">
        <v>276</v>
      </c>
      <c r="AU286" s="22">
        <v>0.32965100000000003</v>
      </c>
      <c r="AV286">
        <f t="shared" si="56"/>
        <v>16.52469135802469</v>
      </c>
      <c r="AW286">
        <f t="shared" si="57"/>
        <v>5.456453086419752</v>
      </c>
      <c r="AX286" s="9"/>
      <c r="AY286" s="22">
        <v>1.28983</v>
      </c>
      <c r="AZ286" s="22">
        <v>30.502400000000002</v>
      </c>
      <c r="BA286" s="22">
        <v>-1.11389E-2</v>
      </c>
      <c r="BB286" s="22">
        <v>276</v>
      </c>
      <c r="BC286" s="22">
        <v>1.2887599999999999</v>
      </c>
      <c r="BD286">
        <f t="shared" si="58"/>
        <v>13.751728395061727</v>
      </c>
      <c r="BE286">
        <f t="shared" si="59"/>
        <v>17.73739183580247</v>
      </c>
    </row>
    <row r="287" spans="6:101">
      <c r="F287" s="9"/>
      <c r="G287" s="22">
        <v>0.32516499999999998</v>
      </c>
      <c r="H287" s="22">
        <v>8.8500099999999993</v>
      </c>
      <c r="I287" s="22">
        <v>-1.30615E-2</v>
      </c>
      <c r="J287" s="22">
        <v>277</v>
      </c>
      <c r="K287" s="22">
        <v>0.32470700000000002</v>
      </c>
      <c r="L287">
        <f t="shared" si="48"/>
        <v>16.125308641975309</v>
      </c>
      <c r="M287">
        <f t="shared" si="49"/>
        <v>5.2433859845679009</v>
      </c>
      <c r="N287" s="9"/>
      <c r="O287" s="22">
        <v>1.2948599999999999</v>
      </c>
      <c r="P287" s="22">
        <v>12.508100000000001</v>
      </c>
      <c r="Q287" s="22">
        <v>-1.10016E-2</v>
      </c>
      <c r="R287" s="22">
        <v>277</v>
      </c>
      <c r="S287" s="22">
        <v>1.2939499999999999</v>
      </c>
      <c r="T287">
        <f t="shared" si="50"/>
        <v>13.582222222222221</v>
      </c>
      <c r="U287">
        <f t="shared" si="51"/>
        <v>17.587076266666664</v>
      </c>
      <c r="X287" s="9"/>
      <c r="Y287" s="22">
        <v>0.32516499999999998</v>
      </c>
      <c r="Z287" s="22">
        <v>17.860199999999999</v>
      </c>
      <c r="AA287" s="22">
        <v>-1.3290400000000001E-2</v>
      </c>
      <c r="AB287" s="22">
        <v>277</v>
      </c>
      <c r="AC287" s="22">
        <v>0.32455400000000001</v>
      </c>
      <c r="AD287">
        <f t="shared" si="52"/>
        <v>16.407901234567902</v>
      </c>
      <c r="AE287">
        <f t="shared" si="53"/>
        <v>5.3352752049382719</v>
      </c>
      <c r="AF287" s="9"/>
      <c r="AG287" s="22">
        <v>1.2948599999999999</v>
      </c>
      <c r="AH287" s="22">
        <v>21.5183</v>
      </c>
      <c r="AI287" s="22">
        <v>-1.10443E-2</v>
      </c>
      <c r="AJ287" s="22">
        <v>277</v>
      </c>
      <c r="AK287" s="22">
        <v>1.2942499999999999</v>
      </c>
      <c r="AL287">
        <f t="shared" si="54"/>
        <v>13.634938271604938</v>
      </c>
      <c r="AM287">
        <f t="shared" si="55"/>
        <v>17.655336170370369</v>
      </c>
      <c r="AP287" s="9"/>
      <c r="AQ287" s="22">
        <v>0.32516499999999998</v>
      </c>
      <c r="AR287" s="22">
        <v>26.854399999999998</v>
      </c>
      <c r="AS287" s="22">
        <v>-1.33942E-2</v>
      </c>
      <c r="AT287" s="22">
        <v>277</v>
      </c>
      <c r="AU287" s="22">
        <v>0.32455400000000001</v>
      </c>
      <c r="AV287">
        <f t="shared" si="56"/>
        <v>16.536049382716048</v>
      </c>
      <c r="AW287">
        <f t="shared" si="57"/>
        <v>5.3769444975308636</v>
      </c>
      <c r="AX287" s="9"/>
      <c r="AY287" s="22">
        <v>1.2948599999999999</v>
      </c>
      <c r="AZ287" s="22">
        <v>30.512499999999999</v>
      </c>
      <c r="BA287" s="22">
        <v>-1.1087E-2</v>
      </c>
      <c r="BB287" s="22">
        <v>277</v>
      </c>
      <c r="BC287" s="22">
        <v>1.2942499999999999</v>
      </c>
      <c r="BD287">
        <f t="shared" si="58"/>
        <v>13.687654320987654</v>
      </c>
      <c r="BE287">
        <f t="shared" si="59"/>
        <v>17.723596074074074</v>
      </c>
    </row>
    <row r="288" spans="6:101">
      <c r="F288" s="9"/>
      <c r="G288" s="22">
        <v>0.320129</v>
      </c>
      <c r="H288" s="22">
        <v>8.86008</v>
      </c>
      <c r="I288" s="22">
        <v>-1.30615E-2</v>
      </c>
      <c r="J288" s="22">
        <v>278</v>
      </c>
      <c r="K288" s="22">
        <v>0.31961099999999998</v>
      </c>
      <c r="L288">
        <f t="shared" si="48"/>
        <v>16.125308641975309</v>
      </c>
      <c r="M288">
        <f t="shared" si="49"/>
        <v>5.1621789302469132</v>
      </c>
      <c r="N288" s="9"/>
      <c r="O288" s="22">
        <v>1.2999000000000001</v>
      </c>
      <c r="P288" s="22">
        <v>12.5181</v>
      </c>
      <c r="Q288" s="22">
        <v>-1.09528E-2</v>
      </c>
      <c r="R288" s="22">
        <v>278</v>
      </c>
      <c r="S288" s="22">
        <v>1.2994399999999999</v>
      </c>
      <c r="T288">
        <f t="shared" si="50"/>
        <v>13.521975308641975</v>
      </c>
      <c r="U288">
        <f t="shared" si="51"/>
        <v>17.577215703703704</v>
      </c>
      <c r="X288" s="9"/>
      <c r="Y288" s="22">
        <v>0.320129</v>
      </c>
      <c r="Z288" s="22">
        <v>17.8703</v>
      </c>
      <c r="AA288" s="22">
        <v>-1.33057E-2</v>
      </c>
      <c r="AB288" s="22">
        <v>278</v>
      </c>
      <c r="AC288" s="22">
        <v>0.319519</v>
      </c>
      <c r="AD288">
        <f t="shared" si="52"/>
        <v>16.42679012345679</v>
      </c>
      <c r="AE288">
        <f t="shared" si="53"/>
        <v>5.2586918954320989</v>
      </c>
      <c r="AF288" s="9"/>
      <c r="AG288" s="22">
        <v>1.2999000000000001</v>
      </c>
      <c r="AH288" s="22">
        <v>21.528300000000002</v>
      </c>
      <c r="AI288" s="22">
        <v>-1.0992399999999999E-2</v>
      </c>
      <c r="AJ288" s="22">
        <v>278</v>
      </c>
      <c r="AK288" s="22">
        <v>1.2994399999999999</v>
      </c>
      <c r="AL288">
        <f t="shared" si="54"/>
        <v>13.570864197530863</v>
      </c>
      <c r="AM288">
        <f t="shared" si="55"/>
        <v>17.640766370370368</v>
      </c>
      <c r="AP288" s="9"/>
      <c r="AQ288" s="22">
        <v>0.320129</v>
      </c>
      <c r="AR288" s="22">
        <v>26.8645</v>
      </c>
      <c r="AS288" s="22">
        <v>-1.33942E-2</v>
      </c>
      <c r="AT288" s="22">
        <v>278</v>
      </c>
      <c r="AU288" s="22">
        <v>0.31955</v>
      </c>
      <c r="AV288">
        <f t="shared" si="56"/>
        <v>16.536049382716048</v>
      </c>
      <c r="AW288">
        <f t="shared" si="57"/>
        <v>5.2936689528395053</v>
      </c>
      <c r="AX288" s="9"/>
      <c r="AY288" s="22">
        <v>1.2999000000000001</v>
      </c>
      <c r="AZ288" s="22">
        <v>30.522600000000001</v>
      </c>
      <c r="BA288" s="22">
        <v>-1.10352E-2</v>
      </c>
      <c r="BB288" s="22">
        <v>278</v>
      </c>
      <c r="BC288" s="22">
        <v>1.2985199999999999</v>
      </c>
      <c r="BD288">
        <f t="shared" si="58"/>
        <v>13.623703703703704</v>
      </c>
      <c r="BE288">
        <f t="shared" si="59"/>
        <v>17.709452444444445</v>
      </c>
    </row>
    <row r="289" spans="6:57">
      <c r="F289" s="9"/>
      <c r="G289" s="22">
        <v>0.31509399999999999</v>
      </c>
      <c r="H289" s="22">
        <v>8.8701500000000006</v>
      </c>
      <c r="I289" s="22">
        <v>-1.3064600000000001E-2</v>
      </c>
      <c r="J289" s="22">
        <v>279</v>
      </c>
      <c r="K289" s="22">
        <v>0.31454500000000002</v>
      </c>
      <c r="L289">
        <f t="shared" si="48"/>
        <v>16.129135802469136</v>
      </c>
      <c r="M289">
        <f t="shared" si="49"/>
        <v>5.0821939165432095</v>
      </c>
      <c r="N289" s="9"/>
      <c r="O289" s="22">
        <v>1.3049299999999999</v>
      </c>
      <c r="P289" s="22">
        <v>12.5282</v>
      </c>
      <c r="Q289" s="22">
        <v>-1.09009E-2</v>
      </c>
      <c r="R289" s="22">
        <v>279</v>
      </c>
      <c r="S289" s="22">
        <v>1.3037099999999999</v>
      </c>
      <c r="T289">
        <f t="shared" si="50"/>
        <v>13.457901234567899</v>
      </c>
      <c r="U289">
        <f t="shared" si="51"/>
        <v>17.561619058024686</v>
      </c>
      <c r="X289" s="9"/>
      <c r="Y289" s="22">
        <v>0.31509399999999999</v>
      </c>
      <c r="Z289" s="22">
        <v>17.880400000000002</v>
      </c>
      <c r="AA289" s="22">
        <v>-1.32996E-2</v>
      </c>
      <c r="AB289" s="22">
        <v>279</v>
      </c>
      <c r="AC289" s="22">
        <v>0.31454500000000002</v>
      </c>
      <c r="AD289">
        <f t="shared" si="52"/>
        <v>16.41925925925926</v>
      </c>
      <c r="AE289">
        <f t="shared" si="53"/>
        <v>5.1736100770370372</v>
      </c>
      <c r="AF289" s="9"/>
      <c r="AG289" s="22">
        <v>1.3049299999999999</v>
      </c>
      <c r="AH289" s="22">
        <v>21.538399999999999</v>
      </c>
      <c r="AI289" s="22">
        <v>-1.09406E-2</v>
      </c>
      <c r="AJ289" s="22">
        <v>279</v>
      </c>
      <c r="AK289" s="22">
        <v>1.3043199999999999</v>
      </c>
      <c r="AL289">
        <f t="shared" si="54"/>
        <v>13.506913580246913</v>
      </c>
      <c r="AM289">
        <f t="shared" si="55"/>
        <v>17.625576738271604</v>
      </c>
      <c r="AP289" s="9"/>
      <c r="AQ289" s="22">
        <v>0.31509399999999999</v>
      </c>
      <c r="AR289" s="22">
        <v>26.874600000000001</v>
      </c>
      <c r="AS289" s="22">
        <v>-1.34003E-2</v>
      </c>
      <c r="AT289" s="22">
        <v>279</v>
      </c>
      <c r="AU289" s="22">
        <v>0.31451400000000002</v>
      </c>
      <c r="AV289">
        <f t="shared" si="56"/>
        <v>16.543580246913578</v>
      </c>
      <c r="AW289">
        <f t="shared" si="57"/>
        <v>5.212782874320987</v>
      </c>
      <c r="AX289" s="9"/>
      <c r="AY289" s="22">
        <v>1.3049299999999999</v>
      </c>
      <c r="AZ289" s="22">
        <v>30.532599999999999</v>
      </c>
      <c r="BA289" s="22">
        <v>-1.0986299999999999E-2</v>
      </c>
      <c r="BB289" s="22">
        <v>279</v>
      </c>
      <c r="BC289" s="22">
        <v>1.30402</v>
      </c>
      <c r="BD289">
        <f t="shared" si="58"/>
        <v>13.563333333333333</v>
      </c>
      <c r="BE289">
        <f t="shared" si="59"/>
        <v>17.699200566666665</v>
      </c>
    </row>
    <row r="290" spans="6:57">
      <c r="F290" s="9"/>
      <c r="G290" s="22">
        <v>0.31005899999999997</v>
      </c>
      <c r="H290" s="22">
        <v>8.8802199999999996</v>
      </c>
      <c r="I290" s="22">
        <v>-1.30615E-2</v>
      </c>
      <c r="J290" s="22">
        <v>280</v>
      </c>
      <c r="K290" s="22">
        <v>0.30953999999999998</v>
      </c>
      <c r="L290">
        <f t="shared" si="48"/>
        <v>16.125308641975309</v>
      </c>
      <c r="M290">
        <f t="shared" si="49"/>
        <v>4.999797072222222</v>
      </c>
      <c r="N290" s="9"/>
      <c r="O290" s="22">
        <v>1.3099700000000001</v>
      </c>
      <c r="P290" s="22">
        <v>12.5383</v>
      </c>
      <c r="Q290" s="22">
        <v>-1.08398E-2</v>
      </c>
      <c r="R290" s="22">
        <v>280</v>
      </c>
      <c r="S290" s="22">
        <v>1.3085899999999999</v>
      </c>
      <c r="T290">
        <f t="shared" si="50"/>
        <v>13.38246913580247</v>
      </c>
      <c r="U290">
        <f t="shared" si="51"/>
        <v>17.530633093827163</v>
      </c>
      <c r="X290" s="9"/>
      <c r="Y290" s="22">
        <v>0.31005899999999997</v>
      </c>
      <c r="Z290" s="22">
        <v>17.8904</v>
      </c>
      <c r="AA290" s="22">
        <v>-1.3296499999999999E-2</v>
      </c>
      <c r="AB290" s="22">
        <v>280</v>
      </c>
      <c r="AC290" s="22">
        <v>0.309448</v>
      </c>
      <c r="AD290">
        <f t="shared" si="52"/>
        <v>16.415432098765429</v>
      </c>
      <c r="AE290">
        <f t="shared" si="53"/>
        <v>5.08975246111111</v>
      </c>
      <c r="AF290" s="9"/>
      <c r="AG290" s="22">
        <v>1.3099700000000001</v>
      </c>
      <c r="AH290" s="22">
        <v>21.548500000000001</v>
      </c>
      <c r="AI290" s="22">
        <v>-1.0882599999999999E-2</v>
      </c>
      <c r="AJ290" s="22">
        <v>280</v>
      </c>
      <c r="AK290" s="22">
        <v>1.3089</v>
      </c>
      <c r="AL290">
        <f t="shared" si="54"/>
        <v>13.435308641975306</v>
      </c>
      <c r="AM290">
        <f t="shared" si="55"/>
        <v>17.599851261728393</v>
      </c>
      <c r="AP290" s="9"/>
      <c r="AQ290" s="22">
        <v>0.31005899999999997</v>
      </c>
      <c r="AR290" s="22">
        <v>26.884599999999999</v>
      </c>
      <c r="AS290" s="22">
        <v>-1.3406400000000001E-2</v>
      </c>
      <c r="AT290" s="22">
        <v>280</v>
      </c>
      <c r="AU290" s="22">
        <v>0.309479</v>
      </c>
      <c r="AV290">
        <f t="shared" si="56"/>
        <v>16.551111111111108</v>
      </c>
      <c r="AW290">
        <f t="shared" si="57"/>
        <v>5.1318209599999989</v>
      </c>
      <c r="AX290" s="9"/>
      <c r="AY290" s="22">
        <v>1.3099700000000001</v>
      </c>
      <c r="AZ290" s="22">
        <v>30.5427</v>
      </c>
      <c r="BA290" s="22">
        <v>-1.09222E-2</v>
      </c>
      <c r="BB290" s="22">
        <v>280</v>
      </c>
      <c r="BC290" s="22">
        <v>1.3091999999999999</v>
      </c>
      <c r="BD290">
        <f t="shared" si="58"/>
        <v>13.484197530864197</v>
      </c>
      <c r="BE290">
        <f t="shared" si="59"/>
        <v>17.663894239506174</v>
      </c>
    </row>
    <row r="291" spans="6:57">
      <c r="F291" s="9"/>
      <c r="G291" s="22">
        <v>0.30502299999999999</v>
      </c>
      <c r="H291" s="22">
        <v>8.8902900000000002</v>
      </c>
      <c r="I291" s="22">
        <v>-1.3058500000000001E-2</v>
      </c>
      <c r="J291" s="22">
        <v>281</v>
      </c>
      <c r="K291" s="22">
        <v>0.30441299999999999</v>
      </c>
      <c r="L291">
        <f t="shared" si="48"/>
        <v>16.121604938271602</v>
      </c>
      <c r="M291">
        <f t="shared" si="49"/>
        <v>4.9174603030864183</v>
      </c>
      <c r="N291" s="9"/>
      <c r="O291" s="22">
        <v>1.3149999999999999</v>
      </c>
      <c r="P291" s="22">
        <v>12.548299999999999</v>
      </c>
      <c r="Q291" s="22">
        <v>-1.07788E-2</v>
      </c>
      <c r="R291" s="22">
        <v>281</v>
      </c>
      <c r="S291" s="22">
        <v>1.3137799999999999</v>
      </c>
      <c r="T291">
        <f t="shared" si="50"/>
        <v>13.30716049382716</v>
      </c>
      <c r="U291">
        <f t="shared" si="51"/>
        <v>17.498916049382714</v>
      </c>
      <c r="X291" s="9"/>
      <c r="Y291" s="22">
        <v>0.30502299999999999</v>
      </c>
      <c r="Z291" s="22">
        <v>17.900500000000001</v>
      </c>
      <c r="AA291" s="22">
        <v>-1.3296499999999999E-2</v>
      </c>
      <c r="AB291" s="22">
        <v>281</v>
      </c>
      <c r="AC291" s="22">
        <v>0.30444300000000002</v>
      </c>
      <c r="AD291">
        <f t="shared" si="52"/>
        <v>16.415432098765429</v>
      </c>
      <c r="AE291">
        <f t="shared" si="53"/>
        <v>5.0070843450617275</v>
      </c>
      <c r="AF291" s="9"/>
      <c r="AG291" s="22">
        <v>1.3149999999999999</v>
      </c>
      <c r="AH291" s="22">
        <v>21.558499999999999</v>
      </c>
      <c r="AI291" s="22">
        <v>-1.08276E-2</v>
      </c>
      <c r="AJ291" s="22">
        <v>281</v>
      </c>
      <c r="AK291" s="22">
        <v>1.31531</v>
      </c>
      <c r="AL291">
        <f t="shared" si="54"/>
        <v>13.367407407407406</v>
      </c>
      <c r="AM291">
        <f t="shared" si="55"/>
        <v>17.578140740740739</v>
      </c>
      <c r="AP291" s="9"/>
      <c r="AQ291" s="22">
        <v>0.30502299999999999</v>
      </c>
      <c r="AR291" s="22">
        <v>26.8947</v>
      </c>
      <c r="AS291" s="22">
        <v>-1.34094E-2</v>
      </c>
      <c r="AT291" s="22">
        <v>281</v>
      </c>
      <c r="AU291" s="22">
        <v>0.30441299999999999</v>
      </c>
      <c r="AV291">
        <f t="shared" si="56"/>
        <v>16.554814814814815</v>
      </c>
      <c r="AW291">
        <f t="shared" si="57"/>
        <v>5.049599279259259</v>
      </c>
      <c r="AX291" s="9"/>
      <c r="AY291" s="22">
        <v>1.3149999999999999</v>
      </c>
      <c r="AZ291" s="22">
        <v>30.552800000000001</v>
      </c>
      <c r="BA291" s="22">
        <v>-1.08673E-2</v>
      </c>
      <c r="BB291" s="22">
        <v>281</v>
      </c>
      <c r="BC291" s="22">
        <v>1.31409</v>
      </c>
      <c r="BD291">
        <f t="shared" si="58"/>
        <v>13.416419753086419</v>
      </c>
      <c r="BE291">
        <f t="shared" si="59"/>
        <v>17.64259197530864</v>
      </c>
    </row>
    <row r="292" spans="6:57">
      <c r="F292" s="9"/>
      <c r="G292" s="22">
        <v>0.29998799999999998</v>
      </c>
      <c r="H292" s="22">
        <v>8.9003599999999992</v>
      </c>
      <c r="I292" s="22">
        <v>-1.3058500000000001E-2</v>
      </c>
      <c r="J292" s="22">
        <v>282</v>
      </c>
      <c r="K292" s="22">
        <v>0.29946899999999999</v>
      </c>
      <c r="L292">
        <f t="shared" si="48"/>
        <v>16.121604938271602</v>
      </c>
      <c r="M292">
        <f t="shared" si="49"/>
        <v>4.8362880222222211</v>
      </c>
      <c r="N292" s="9"/>
      <c r="O292" s="22">
        <v>1.3200400000000001</v>
      </c>
      <c r="P292" s="22">
        <v>12.558400000000001</v>
      </c>
      <c r="Q292" s="22">
        <v>-1.07178E-2</v>
      </c>
      <c r="R292" s="22">
        <v>282</v>
      </c>
      <c r="S292" s="22">
        <v>1.31897</v>
      </c>
      <c r="T292">
        <f t="shared" si="50"/>
        <v>13.23185185185185</v>
      </c>
      <c r="U292">
        <f t="shared" si="51"/>
        <v>17.466573718518518</v>
      </c>
      <c r="X292" s="9"/>
      <c r="Y292" s="22">
        <v>0.29998799999999998</v>
      </c>
      <c r="Z292" s="22">
        <v>17.910599999999999</v>
      </c>
      <c r="AA292" s="22">
        <v>-1.33057E-2</v>
      </c>
      <c r="AB292" s="22">
        <v>282</v>
      </c>
      <c r="AC292" s="22">
        <v>0.29934699999999997</v>
      </c>
      <c r="AD292">
        <f t="shared" si="52"/>
        <v>16.42679012345679</v>
      </c>
      <c r="AE292">
        <f t="shared" si="53"/>
        <v>4.9278399155555555</v>
      </c>
      <c r="AF292" s="9"/>
      <c r="AG292" s="22">
        <v>1.3200400000000001</v>
      </c>
      <c r="AH292" s="22">
        <v>21.5686</v>
      </c>
      <c r="AI292" s="22">
        <v>-1.07697E-2</v>
      </c>
      <c r="AJ292" s="22">
        <v>282</v>
      </c>
      <c r="AK292" s="22">
        <v>1.3186599999999999</v>
      </c>
      <c r="AL292">
        <f t="shared" si="54"/>
        <v>13.295925925925925</v>
      </c>
      <c r="AM292">
        <f t="shared" si="55"/>
        <v>17.551154059259257</v>
      </c>
      <c r="AP292" s="9"/>
      <c r="AQ292" s="22">
        <v>0.29998799999999998</v>
      </c>
      <c r="AR292" s="22">
        <v>26.904800000000002</v>
      </c>
      <c r="AS292" s="22">
        <v>-1.34155E-2</v>
      </c>
      <c r="AT292" s="22">
        <v>282</v>
      </c>
      <c r="AU292" s="22">
        <v>0.29940800000000001</v>
      </c>
      <c r="AV292">
        <f t="shared" si="56"/>
        <v>16.562345679012346</v>
      </c>
      <c r="AW292">
        <f t="shared" si="57"/>
        <v>4.9685049555555549</v>
      </c>
      <c r="AX292" s="9"/>
      <c r="AY292" s="22">
        <v>1.3200400000000001</v>
      </c>
      <c r="AZ292" s="22">
        <v>30.562799999999999</v>
      </c>
      <c r="BA292" s="22">
        <v>-1.0800199999999999E-2</v>
      </c>
      <c r="BB292" s="22">
        <v>282</v>
      </c>
      <c r="BC292" s="22">
        <v>1.3192699999999999</v>
      </c>
      <c r="BD292">
        <f t="shared" si="58"/>
        <v>13.333580246913579</v>
      </c>
      <c r="BE292">
        <f t="shared" si="59"/>
        <v>17.600859269135803</v>
      </c>
    </row>
    <row r="293" spans="6:57">
      <c r="F293" s="9"/>
      <c r="G293" s="22">
        <v>0.29495199999999999</v>
      </c>
      <c r="H293" s="22">
        <v>8.9104299999999999</v>
      </c>
      <c r="I293" s="22">
        <v>-1.3064600000000001E-2</v>
      </c>
      <c r="J293" s="22">
        <v>283</v>
      </c>
      <c r="K293" s="22">
        <v>0.29443399999999997</v>
      </c>
      <c r="L293">
        <f t="shared" si="48"/>
        <v>16.129135802469136</v>
      </c>
      <c r="M293">
        <f t="shared" si="49"/>
        <v>4.7573208632098769</v>
      </c>
      <c r="N293" s="9"/>
      <c r="O293" s="22">
        <v>1.32507</v>
      </c>
      <c r="P293" s="22">
        <v>12.5685</v>
      </c>
      <c r="Q293" s="22">
        <v>-1.06567E-2</v>
      </c>
      <c r="R293" s="22">
        <v>283</v>
      </c>
      <c r="S293" s="22">
        <v>1.32385</v>
      </c>
      <c r="T293">
        <f t="shared" si="50"/>
        <v>13.15641975308642</v>
      </c>
      <c r="U293">
        <f t="shared" si="51"/>
        <v>17.433177122222222</v>
      </c>
      <c r="X293" s="9"/>
      <c r="Y293" s="22">
        <v>0.29495199999999999</v>
      </c>
      <c r="Z293" s="22">
        <v>17.9206</v>
      </c>
      <c r="AA293" s="22">
        <v>-1.33118E-2</v>
      </c>
      <c r="AB293" s="22">
        <v>283</v>
      </c>
      <c r="AC293" s="22">
        <v>0.29440300000000003</v>
      </c>
      <c r="AD293">
        <f t="shared" si="52"/>
        <v>16.434320987654321</v>
      </c>
      <c r="AE293">
        <f t="shared" si="53"/>
        <v>4.8473358439506171</v>
      </c>
      <c r="AF293" s="9"/>
      <c r="AG293" s="22">
        <v>1.32507</v>
      </c>
      <c r="AH293" s="22">
        <v>21.578700000000001</v>
      </c>
      <c r="AI293" s="22">
        <v>-1.0711699999999999E-2</v>
      </c>
      <c r="AJ293" s="22">
        <v>283</v>
      </c>
      <c r="AK293" s="22">
        <v>1.32416</v>
      </c>
      <c r="AL293">
        <f t="shared" si="54"/>
        <v>13.22432098765432</v>
      </c>
      <c r="AM293">
        <f t="shared" si="55"/>
        <v>17.523151011111111</v>
      </c>
      <c r="AP293" s="9"/>
      <c r="AQ293" s="22">
        <v>0.29495199999999999</v>
      </c>
      <c r="AR293" s="22">
        <v>26.914899999999999</v>
      </c>
      <c r="AS293" s="22">
        <v>-1.3424699999999999E-2</v>
      </c>
      <c r="AT293" s="22">
        <v>283</v>
      </c>
      <c r="AU293" s="22">
        <v>0.29431200000000002</v>
      </c>
      <c r="AV293">
        <f t="shared" si="56"/>
        <v>16.5737037037037</v>
      </c>
      <c r="AW293">
        <f t="shared" si="57"/>
        <v>4.8884470548148133</v>
      </c>
      <c r="AX293" s="9"/>
      <c r="AY293" s="22">
        <v>1.32507</v>
      </c>
      <c r="AZ293" s="22">
        <v>30.572900000000001</v>
      </c>
      <c r="BA293" s="22">
        <v>-1.07361E-2</v>
      </c>
      <c r="BB293" s="22">
        <v>283</v>
      </c>
      <c r="BC293" s="22">
        <v>1.32416</v>
      </c>
      <c r="BD293">
        <f t="shared" si="58"/>
        <v>13.254444444444443</v>
      </c>
      <c r="BE293">
        <f t="shared" si="59"/>
        <v>17.563066699999997</v>
      </c>
    </row>
    <row r="294" spans="6:57">
      <c r="F294" s="9"/>
      <c r="G294" s="22">
        <v>0.28991699999999998</v>
      </c>
      <c r="H294" s="22">
        <v>8.9205000000000005</v>
      </c>
      <c r="I294" s="22">
        <v>-1.30768E-2</v>
      </c>
      <c r="J294" s="22">
        <v>284</v>
      </c>
      <c r="K294" s="22">
        <v>0.28936800000000001</v>
      </c>
      <c r="L294">
        <f t="shared" si="48"/>
        <v>16.144197530864194</v>
      </c>
      <c r="M294">
        <f t="shared" si="49"/>
        <v>4.6804773155555539</v>
      </c>
      <c r="N294" s="9"/>
      <c r="O294" s="22">
        <v>1.3301099999999999</v>
      </c>
      <c r="P294" s="22">
        <v>12.5786</v>
      </c>
      <c r="Q294" s="22">
        <v>-1.0589599999999999E-2</v>
      </c>
      <c r="R294" s="22">
        <v>284</v>
      </c>
      <c r="S294" s="22">
        <v>1.32935</v>
      </c>
      <c r="T294">
        <f t="shared" si="50"/>
        <v>13.073580246913579</v>
      </c>
      <c r="U294">
        <f t="shared" si="51"/>
        <v>17.38929982222222</v>
      </c>
      <c r="X294" s="9"/>
      <c r="Y294" s="22">
        <v>0.28991699999999998</v>
      </c>
      <c r="Z294" s="22">
        <v>17.930700000000002</v>
      </c>
      <c r="AA294" s="22">
        <v>-1.33087E-2</v>
      </c>
      <c r="AB294" s="22">
        <v>284</v>
      </c>
      <c r="AC294" s="22">
        <v>0.28933700000000001</v>
      </c>
      <c r="AD294">
        <f t="shared" si="52"/>
        <v>16.430493827160493</v>
      </c>
      <c r="AE294">
        <f t="shared" si="53"/>
        <v>4.7634794788888888</v>
      </c>
      <c r="AF294" s="9"/>
      <c r="AG294" s="22">
        <v>1.3301099999999999</v>
      </c>
      <c r="AH294" s="22">
        <v>21.588799999999999</v>
      </c>
      <c r="AI294" s="22">
        <v>-1.06537E-2</v>
      </c>
      <c r="AJ294" s="22">
        <v>284</v>
      </c>
      <c r="AK294" s="22">
        <v>1.32904</v>
      </c>
      <c r="AL294">
        <f t="shared" si="54"/>
        <v>13.152716049382715</v>
      </c>
      <c r="AM294">
        <f t="shared" si="55"/>
        <v>17.494559144444441</v>
      </c>
      <c r="AP294" s="9"/>
      <c r="AQ294" s="22">
        <v>0.28991699999999998</v>
      </c>
      <c r="AR294" s="22">
        <v>26.924900000000001</v>
      </c>
      <c r="AS294" s="22">
        <v>-1.3427700000000001E-2</v>
      </c>
      <c r="AT294" s="22">
        <v>284</v>
      </c>
      <c r="AU294" s="22">
        <v>0.28933700000000001</v>
      </c>
      <c r="AV294">
        <f t="shared" si="56"/>
        <v>16.57740740740741</v>
      </c>
      <c r="AW294">
        <f t="shared" si="57"/>
        <v>4.8060722233333335</v>
      </c>
      <c r="AX294" s="9"/>
      <c r="AY294" s="22">
        <v>1.3301099999999999</v>
      </c>
      <c r="AZ294" s="22">
        <v>30.582999999999998</v>
      </c>
      <c r="BA294" s="22">
        <v>-1.0665900000000001E-2</v>
      </c>
      <c r="BB294" s="22">
        <v>284</v>
      </c>
      <c r="BC294" s="22">
        <v>1.32935</v>
      </c>
      <c r="BD294">
        <f t="shared" si="58"/>
        <v>13.167777777777779</v>
      </c>
      <c r="BE294">
        <f t="shared" si="59"/>
        <v>17.5145929</v>
      </c>
    </row>
    <row r="295" spans="6:57">
      <c r="F295" s="9"/>
      <c r="G295" s="22">
        <v>0.28488200000000002</v>
      </c>
      <c r="H295" s="22">
        <v>8.9305699999999995</v>
      </c>
      <c r="I295" s="22">
        <v>-1.3085899999999999E-2</v>
      </c>
      <c r="J295" s="22">
        <v>285</v>
      </c>
      <c r="K295" s="22">
        <v>0.28433199999999997</v>
      </c>
      <c r="L295">
        <f t="shared" si="48"/>
        <v>16.155432098765431</v>
      </c>
      <c r="M295">
        <f t="shared" si="49"/>
        <v>4.6023918071604939</v>
      </c>
      <c r="N295" s="9"/>
      <c r="O295" s="22">
        <v>1.33514</v>
      </c>
      <c r="P295" s="22">
        <v>12.5886</v>
      </c>
      <c r="Q295" s="22">
        <v>-1.0528600000000001E-2</v>
      </c>
      <c r="R295" s="22">
        <v>285</v>
      </c>
      <c r="S295" s="22">
        <v>1.33423</v>
      </c>
      <c r="T295">
        <f t="shared" si="50"/>
        <v>12.998271604938271</v>
      </c>
      <c r="U295">
        <f t="shared" si="51"/>
        <v>17.354512350617284</v>
      </c>
      <c r="X295" s="9"/>
      <c r="Y295" s="22">
        <v>0.28488200000000002</v>
      </c>
      <c r="Z295" s="22">
        <v>17.940799999999999</v>
      </c>
      <c r="AA295" s="22">
        <v>-1.33148E-2</v>
      </c>
      <c r="AB295" s="22">
        <v>285</v>
      </c>
      <c r="AC295" s="22">
        <v>0.28433199999999997</v>
      </c>
      <c r="AD295">
        <f t="shared" si="52"/>
        <v>16.438024691358024</v>
      </c>
      <c r="AE295">
        <f t="shared" si="53"/>
        <v>4.682897350123457</v>
      </c>
      <c r="AF295" s="9"/>
      <c r="AG295" s="22">
        <v>1.33514</v>
      </c>
      <c r="AH295" s="22">
        <v>21.598800000000001</v>
      </c>
      <c r="AI295" s="22">
        <v>-1.0589599999999999E-2</v>
      </c>
      <c r="AJ295" s="22">
        <v>285</v>
      </c>
      <c r="AK295" s="22">
        <v>1.33423</v>
      </c>
      <c r="AL295">
        <f t="shared" si="54"/>
        <v>13.073580246913579</v>
      </c>
      <c r="AM295">
        <f t="shared" si="55"/>
        <v>17.455059930864195</v>
      </c>
      <c r="AP295" s="9"/>
      <c r="AQ295" s="22">
        <v>0.28488200000000002</v>
      </c>
      <c r="AR295" s="22">
        <v>26.934999999999999</v>
      </c>
      <c r="AS295" s="22">
        <v>-1.3424699999999999E-2</v>
      </c>
      <c r="AT295" s="22">
        <v>285</v>
      </c>
      <c r="AU295" s="22">
        <v>0.28433199999999997</v>
      </c>
      <c r="AV295">
        <f t="shared" si="56"/>
        <v>16.5737037037037</v>
      </c>
      <c r="AW295">
        <f t="shared" si="57"/>
        <v>4.7215498585185181</v>
      </c>
      <c r="AX295" s="9"/>
      <c r="AY295" s="22">
        <v>1.33514</v>
      </c>
      <c r="AZ295" s="22">
        <v>30.5931</v>
      </c>
      <c r="BA295" s="22">
        <v>-1.05988E-2</v>
      </c>
      <c r="BB295" s="22">
        <v>285</v>
      </c>
      <c r="BC295" s="22">
        <v>1.33453</v>
      </c>
      <c r="BD295">
        <f t="shared" si="58"/>
        <v>13.084938271604937</v>
      </c>
      <c r="BE295">
        <f t="shared" si="59"/>
        <v>17.470224483950616</v>
      </c>
    </row>
    <row r="296" spans="6:57">
      <c r="F296" s="9"/>
      <c r="G296" s="22">
        <v>0.27984599999999998</v>
      </c>
      <c r="H296" s="22">
        <v>8.9406400000000001</v>
      </c>
      <c r="I296" s="22">
        <v>-1.3089E-2</v>
      </c>
      <c r="J296" s="22">
        <v>286</v>
      </c>
      <c r="K296" s="22">
        <v>0.27932699999999999</v>
      </c>
      <c r="L296">
        <f t="shared" si="48"/>
        <v>16.159259259259258</v>
      </c>
      <c r="M296">
        <f t="shared" si="49"/>
        <v>4.5221040666666656</v>
      </c>
      <c r="N296" s="9"/>
      <c r="O296" s="22">
        <v>1.3401799999999999</v>
      </c>
      <c r="P296" s="22">
        <v>12.598699999999999</v>
      </c>
      <c r="Q296" s="22">
        <v>-1.04584E-2</v>
      </c>
      <c r="R296" s="22">
        <v>286</v>
      </c>
      <c r="S296" s="22">
        <v>1.33911</v>
      </c>
      <c r="T296">
        <f t="shared" si="50"/>
        <v>12.911604938271603</v>
      </c>
      <c r="U296">
        <f t="shared" si="51"/>
        <v>17.303874706172834</v>
      </c>
      <c r="X296" s="9"/>
      <c r="Y296" s="22">
        <v>0.27984599999999998</v>
      </c>
      <c r="Z296" s="22">
        <v>17.950800000000001</v>
      </c>
      <c r="AA296" s="22">
        <v>-1.3317900000000001E-2</v>
      </c>
      <c r="AB296" s="22">
        <v>286</v>
      </c>
      <c r="AC296" s="22">
        <v>0.27929700000000002</v>
      </c>
      <c r="AD296">
        <f t="shared" si="52"/>
        <v>16.441851851851851</v>
      </c>
      <c r="AE296">
        <f t="shared" si="53"/>
        <v>4.6011864733333327</v>
      </c>
      <c r="AF296" s="9"/>
      <c r="AG296" s="22">
        <v>1.3401799999999999</v>
      </c>
      <c r="AH296" s="22">
        <v>21.608899999999998</v>
      </c>
      <c r="AI296" s="22">
        <v>-1.0522500000000001E-2</v>
      </c>
      <c r="AJ296" s="22">
        <v>286</v>
      </c>
      <c r="AK296" s="22">
        <v>1.33911</v>
      </c>
      <c r="AL296">
        <f t="shared" si="54"/>
        <v>12.99074074074074</v>
      </c>
      <c r="AM296">
        <f t="shared" si="55"/>
        <v>17.409930925925924</v>
      </c>
      <c r="AP296" s="9"/>
      <c r="AQ296" s="22">
        <v>0.27984599999999998</v>
      </c>
      <c r="AR296" s="22">
        <v>26.9451</v>
      </c>
      <c r="AS296" s="22">
        <v>-1.3421600000000001E-2</v>
      </c>
      <c r="AT296" s="22">
        <v>286</v>
      </c>
      <c r="AU296" s="22">
        <v>0.27923599999999998</v>
      </c>
      <c r="AV296">
        <f t="shared" si="56"/>
        <v>16.569876543209876</v>
      </c>
      <c r="AW296">
        <f t="shared" si="57"/>
        <v>4.6370136711111103</v>
      </c>
      <c r="AX296" s="9"/>
      <c r="AY296" s="22">
        <v>1.3401799999999999</v>
      </c>
      <c r="AZ296" s="22">
        <v>30.603100000000001</v>
      </c>
      <c r="BA296" s="22">
        <v>-1.0528600000000001E-2</v>
      </c>
      <c r="BB296" s="22">
        <v>286</v>
      </c>
      <c r="BC296" s="22">
        <v>1.33911</v>
      </c>
      <c r="BD296">
        <f t="shared" si="58"/>
        <v>12.998271604938271</v>
      </c>
      <c r="BE296">
        <f t="shared" si="59"/>
        <v>17.420023639506169</v>
      </c>
    </row>
    <row r="297" spans="6:57">
      <c r="F297" s="9"/>
      <c r="G297" s="22">
        <v>0.27481100000000003</v>
      </c>
      <c r="H297" s="22">
        <v>8.9507200000000005</v>
      </c>
      <c r="I297" s="22">
        <v>-1.30951E-2</v>
      </c>
      <c r="J297" s="22">
        <v>287</v>
      </c>
      <c r="K297" s="22">
        <v>0.27429199999999998</v>
      </c>
      <c r="L297">
        <f t="shared" si="48"/>
        <v>16.166790123456789</v>
      </c>
      <c r="M297">
        <f t="shared" si="49"/>
        <v>4.4428117606172837</v>
      </c>
      <c r="N297" s="9"/>
      <c r="O297" s="22">
        <v>1.34521</v>
      </c>
      <c r="P297" s="22">
        <v>12.6088</v>
      </c>
      <c r="Q297" s="22">
        <v>-1.03882E-2</v>
      </c>
      <c r="R297" s="22">
        <v>287</v>
      </c>
      <c r="S297" s="22">
        <v>1.3443000000000001</v>
      </c>
      <c r="T297">
        <f t="shared" si="50"/>
        <v>12.824938271604937</v>
      </c>
      <c r="U297">
        <f t="shared" si="51"/>
        <v>17.252235212345678</v>
      </c>
      <c r="X297" s="9"/>
      <c r="Y297" s="22">
        <v>0.27481100000000003</v>
      </c>
      <c r="Z297" s="22">
        <v>17.960899999999999</v>
      </c>
      <c r="AA297" s="22">
        <v>-1.3333100000000001E-2</v>
      </c>
      <c r="AB297" s="22">
        <v>287</v>
      </c>
      <c r="AC297" s="22">
        <v>0.27429199999999998</v>
      </c>
      <c r="AD297">
        <f t="shared" si="52"/>
        <v>16.460617283950615</v>
      </c>
      <c r="AE297">
        <f t="shared" si="53"/>
        <v>4.5235586964197525</v>
      </c>
      <c r="AF297" s="9"/>
      <c r="AG297" s="22">
        <v>1.34521</v>
      </c>
      <c r="AH297" s="22">
        <v>21.619</v>
      </c>
      <c r="AI297" s="22">
        <v>-1.04584E-2</v>
      </c>
      <c r="AJ297" s="22">
        <v>287</v>
      </c>
      <c r="AK297" s="22">
        <v>1.3446</v>
      </c>
      <c r="AL297">
        <f t="shared" si="54"/>
        <v>12.911604938271603</v>
      </c>
      <c r="AM297">
        <f t="shared" si="55"/>
        <v>17.368820079012345</v>
      </c>
      <c r="AP297" s="9"/>
      <c r="AQ297" s="22">
        <v>0.27481100000000003</v>
      </c>
      <c r="AR297" s="22">
        <v>26.955100000000002</v>
      </c>
      <c r="AS297" s="22">
        <v>-1.34155E-2</v>
      </c>
      <c r="AT297" s="22">
        <v>287</v>
      </c>
      <c r="AU297" s="22">
        <v>0.27426099999999998</v>
      </c>
      <c r="AV297">
        <f t="shared" si="56"/>
        <v>16.562345679012346</v>
      </c>
      <c r="AW297">
        <f t="shared" si="57"/>
        <v>4.5515147783950622</v>
      </c>
      <c r="AX297" s="9"/>
      <c r="AY297" s="22">
        <v>1.34521</v>
      </c>
      <c r="AZ297" s="22">
        <v>30.613199999999999</v>
      </c>
      <c r="BA297" s="22">
        <v>-1.04645E-2</v>
      </c>
      <c r="BB297" s="22">
        <v>287</v>
      </c>
      <c r="BC297" s="22">
        <v>1.34399</v>
      </c>
      <c r="BD297">
        <f t="shared" si="58"/>
        <v>12.919135802469135</v>
      </c>
      <c r="BE297">
        <f t="shared" si="59"/>
        <v>17.378950672839505</v>
      </c>
    </row>
    <row r="298" spans="6:57">
      <c r="F298" s="9"/>
      <c r="G298" s="22">
        <v>0.26977499999999999</v>
      </c>
      <c r="H298" s="22">
        <v>8.9607899999999994</v>
      </c>
      <c r="I298" s="22">
        <v>-1.3089E-2</v>
      </c>
      <c r="J298" s="22">
        <v>288</v>
      </c>
      <c r="K298" s="22">
        <v>0.26925700000000002</v>
      </c>
      <c r="L298">
        <f t="shared" si="48"/>
        <v>16.159259259259258</v>
      </c>
      <c r="M298">
        <f t="shared" si="49"/>
        <v>4.3593641666666665</v>
      </c>
      <c r="N298" s="9"/>
      <c r="O298" s="22">
        <v>1.35025</v>
      </c>
      <c r="P298" s="22">
        <v>12.6188</v>
      </c>
      <c r="Q298" s="22">
        <v>-1.0318000000000001E-2</v>
      </c>
      <c r="R298" s="22">
        <v>288</v>
      </c>
      <c r="S298" s="22">
        <v>1.3494900000000001</v>
      </c>
      <c r="T298">
        <f t="shared" si="50"/>
        <v>12.738271604938271</v>
      </c>
      <c r="U298">
        <f t="shared" si="51"/>
        <v>17.199851234567898</v>
      </c>
      <c r="X298" s="9"/>
      <c r="Y298" s="22">
        <v>0.26977499999999999</v>
      </c>
      <c r="Z298" s="22">
        <v>17.971</v>
      </c>
      <c r="AA298" s="22">
        <v>-1.3345299999999999E-2</v>
      </c>
      <c r="AB298" s="22">
        <v>288</v>
      </c>
      <c r="AC298" s="22">
        <v>0.26925700000000002</v>
      </c>
      <c r="AD298">
        <f t="shared" si="52"/>
        <v>16.475679012345676</v>
      </c>
      <c r="AE298">
        <f t="shared" si="53"/>
        <v>4.4447263055555544</v>
      </c>
      <c r="AF298" s="9"/>
      <c r="AG298" s="22">
        <v>1.35025</v>
      </c>
      <c r="AH298" s="22">
        <v>21.629000000000001</v>
      </c>
      <c r="AI298" s="22">
        <v>-1.03882E-2</v>
      </c>
      <c r="AJ298" s="22">
        <v>288</v>
      </c>
      <c r="AK298" s="22">
        <v>1.34918</v>
      </c>
      <c r="AL298">
        <f t="shared" si="54"/>
        <v>12.824938271604937</v>
      </c>
      <c r="AM298">
        <f t="shared" si="55"/>
        <v>17.316872901234564</v>
      </c>
      <c r="AP298" s="9"/>
      <c r="AQ298" s="22">
        <v>0.26977499999999999</v>
      </c>
      <c r="AR298" s="22">
        <v>26.965199999999999</v>
      </c>
      <c r="AS298" s="22">
        <v>-1.3406400000000001E-2</v>
      </c>
      <c r="AT298" s="22">
        <v>288</v>
      </c>
      <c r="AU298" s="22">
        <v>0.26919599999999999</v>
      </c>
      <c r="AV298">
        <f t="shared" si="56"/>
        <v>16.551111111111108</v>
      </c>
      <c r="AW298">
        <f t="shared" si="57"/>
        <v>4.4650759999999989</v>
      </c>
      <c r="AX298" s="9"/>
      <c r="AY298" s="22">
        <v>1.35025</v>
      </c>
      <c r="AZ298" s="22">
        <v>30.6233</v>
      </c>
      <c r="BA298" s="22">
        <v>-1.03912E-2</v>
      </c>
      <c r="BB298" s="22">
        <v>288</v>
      </c>
      <c r="BC298" s="22">
        <v>1.34918</v>
      </c>
      <c r="BD298">
        <f t="shared" si="58"/>
        <v>12.828641975308642</v>
      </c>
      <c r="BE298">
        <f t="shared" si="59"/>
        <v>17.321873827160495</v>
      </c>
    </row>
    <row r="299" spans="6:57">
      <c r="F299" s="9"/>
      <c r="G299" s="22">
        <v>0.26473999999999998</v>
      </c>
      <c r="H299" s="22">
        <v>8.9708600000000001</v>
      </c>
      <c r="I299" s="22">
        <v>-1.30829E-2</v>
      </c>
      <c r="J299" s="22">
        <v>289</v>
      </c>
      <c r="K299" s="22">
        <v>0.26422099999999998</v>
      </c>
      <c r="L299">
        <f t="shared" si="48"/>
        <v>16.151728395061728</v>
      </c>
      <c r="M299">
        <f t="shared" si="49"/>
        <v>4.2760085753086416</v>
      </c>
      <c r="N299" s="9"/>
      <c r="O299" s="22">
        <v>1.3552900000000001</v>
      </c>
      <c r="P299" s="22">
        <v>12.6289</v>
      </c>
      <c r="Q299" s="22">
        <v>-1.02539E-2</v>
      </c>
      <c r="R299" s="22">
        <v>289</v>
      </c>
      <c r="S299" s="22">
        <v>1.3546800000000001</v>
      </c>
      <c r="T299">
        <f t="shared" si="50"/>
        <v>12.659135802469134</v>
      </c>
      <c r="U299">
        <f t="shared" si="51"/>
        <v>17.156800161728395</v>
      </c>
      <c r="X299" s="9"/>
      <c r="Y299" s="22">
        <v>0.26473999999999998</v>
      </c>
      <c r="Z299" s="22">
        <v>17.981100000000001</v>
      </c>
      <c r="AA299" s="22">
        <v>-1.33484E-2</v>
      </c>
      <c r="AB299" s="22">
        <v>289</v>
      </c>
      <c r="AC299" s="22">
        <v>0.26409899999999997</v>
      </c>
      <c r="AD299">
        <f t="shared" si="52"/>
        <v>16.479506172839503</v>
      </c>
      <c r="AE299">
        <f t="shared" si="53"/>
        <v>4.3627844641975297</v>
      </c>
      <c r="AF299" s="9"/>
      <c r="AG299" s="22">
        <v>1.3552900000000001</v>
      </c>
      <c r="AH299" s="22">
        <v>21.639099999999999</v>
      </c>
      <c r="AI299" s="22">
        <v>-1.0321E-2</v>
      </c>
      <c r="AJ299" s="22">
        <v>289</v>
      </c>
      <c r="AK299" s="22">
        <v>1.3546800000000001</v>
      </c>
      <c r="AL299">
        <f t="shared" si="54"/>
        <v>12.741975308641976</v>
      </c>
      <c r="AM299">
        <f t="shared" si="55"/>
        <v>17.269071716049385</v>
      </c>
      <c r="AP299" s="9"/>
      <c r="AQ299" s="22">
        <v>0.26473999999999998</v>
      </c>
      <c r="AR299" s="22">
        <v>26.975300000000001</v>
      </c>
      <c r="AS299" s="22">
        <v>-1.3418599999999999E-2</v>
      </c>
      <c r="AT299" s="22">
        <v>289</v>
      </c>
      <c r="AU299" s="22">
        <v>0.26412999999999998</v>
      </c>
      <c r="AV299">
        <f t="shared" si="56"/>
        <v>16.566172839506169</v>
      </c>
      <c r="AW299">
        <f t="shared" si="57"/>
        <v>4.3857285975308633</v>
      </c>
      <c r="AX299" s="9"/>
      <c r="AY299" s="22">
        <v>1.3552900000000001</v>
      </c>
      <c r="AZ299" s="22">
        <v>30.633299999999998</v>
      </c>
      <c r="BA299" s="22">
        <v>-1.0318000000000001E-2</v>
      </c>
      <c r="BB299" s="22">
        <v>289</v>
      </c>
      <c r="BC299" s="22">
        <v>1.35406</v>
      </c>
      <c r="BD299">
        <f t="shared" si="58"/>
        <v>12.738271604938271</v>
      </c>
      <c r="BE299">
        <f t="shared" si="59"/>
        <v>17.264052123456789</v>
      </c>
    </row>
    <row r="300" spans="6:57">
      <c r="F300" s="9"/>
      <c r="G300" s="22">
        <v>0.25970500000000002</v>
      </c>
      <c r="H300" s="22">
        <v>8.9809300000000007</v>
      </c>
      <c r="I300" s="22">
        <v>-1.3085899999999999E-2</v>
      </c>
      <c r="J300" s="22">
        <v>290</v>
      </c>
      <c r="K300" s="22">
        <v>0.25915500000000002</v>
      </c>
      <c r="L300">
        <f t="shared" si="48"/>
        <v>16.155432098765431</v>
      </c>
      <c r="M300">
        <f t="shared" si="49"/>
        <v>4.1956464932098765</v>
      </c>
      <c r="N300" s="9"/>
      <c r="O300" s="22">
        <v>1.36032</v>
      </c>
      <c r="P300" s="22">
        <v>12.638999999999999</v>
      </c>
      <c r="Q300" s="22">
        <v>-1.0174600000000001E-2</v>
      </c>
      <c r="R300" s="22">
        <v>290</v>
      </c>
      <c r="S300" s="22">
        <v>1.3592500000000001</v>
      </c>
      <c r="T300">
        <f t="shared" si="50"/>
        <v>12.561234567901234</v>
      </c>
      <c r="U300">
        <f t="shared" si="51"/>
        <v>17.087298607407405</v>
      </c>
      <c r="X300" s="9"/>
      <c r="Y300" s="22">
        <v>0.25970500000000002</v>
      </c>
      <c r="Z300" s="22">
        <v>17.991099999999999</v>
      </c>
      <c r="AA300" s="22">
        <v>-1.33545E-2</v>
      </c>
      <c r="AB300" s="22">
        <v>290</v>
      </c>
      <c r="AC300" s="22">
        <v>0.25912499999999999</v>
      </c>
      <c r="AD300">
        <f t="shared" si="52"/>
        <v>16.487037037037037</v>
      </c>
      <c r="AE300">
        <f t="shared" si="53"/>
        <v>4.2817659537037045</v>
      </c>
      <c r="AF300" s="9"/>
      <c r="AG300" s="22">
        <v>1.36032</v>
      </c>
      <c r="AH300" s="22">
        <v>21.6492</v>
      </c>
      <c r="AI300" s="22">
        <v>-1.02478E-2</v>
      </c>
      <c r="AJ300" s="22">
        <v>290</v>
      </c>
      <c r="AK300" s="22">
        <v>1.3598600000000001</v>
      </c>
      <c r="AL300">
        <f t="shared" si="54"/>
        <v>12.651604938271603</v>
      </c>
      <c r="AM300">
        <f t="shared" si="55"/>
        <v>17.210231229629628</v>
      </c>
      <c r="AP300" s="9"/>
      <c r="AQ300" s="22">
        <v>0.25970500000000002</v>
      </c>
      <c r="AR300" s="22">
        <v>26.985399999999998</v>
      </c>
      <c r="AS300" s="22">
        <v>-1.3427700000000001E-2</v>
      </c>
      <c r="AT300" s="22">
        <v>290</v>
      </c>
      <c r="AU300" s="22">
        <v>0.25912499999999999</v>
      </c>
      <c r="AV300">
        <f t="shared" si="56"/>
        <v>16.57740740740741</v>
      </c>
      <c r="AW300">
        <f t="shared" si="57"/>
        <v>4.3052355907407414</v>
      </c>
      <c r="AX300" s="9"/>
      <c r="AY300" s="22">
        <v>1.36032</v>
      </c>
      <c r="AZ300" s="22">
        <v>30.6434</v>
      </c>
      <c r="BA300" s="22">
        <v>-1.02448E-2</v>
      </c>
      <c r="BB300" s="22">
        <v>290</v>
      </c>
      <c r="BC300" s="22">
        <v>1.3595600000000001</v>
      </c>
      <c r="BD300">
        <f t="shared" si="58"/>
        <v>12.6479012345679</v>
      </c>
      <c r="BE300">
        <f t="shared" si="59"/>
        <v>17.205193007407406</v>
      </c>
    </row>
    <row r="301" spans="6:57">
      <c r="F301" s="9"/>
      <c r="G301" s="22">
        <v>0.25466899999999998</v>
      </c>
      <c r="H301" s="22">
        <v>8.9909999999999997</v>
      </c>
      <c r="I301" s="22">
        <v>-1.30981E-2</v>
      </c>
      <c r="J301" s="22">
        <v>291</v>
      </c>
      <c r="K301" s="22">
        <v>0.25414999999999999</v>
      </c>
      <c r="L301">
        <f t="shared" si="48"/>
        <v>16.170493827160495</v>
      </c>
      <c r="M301">
        <f t="shared" si="49"/>
        <v>4.1181234924691354</v>
      </c>
      <c r="N301" s="9"/>
      <c r="O301" s="22">
        <v>1.3653599999999999</v>
      </c>
      <c r="P301" s="22">
        <v>12.649100000000001</v>
      </c>
      <c r="Q301" s="22">
        <v>-1.0098299999999999E-2</v>
      </c>
      <c r="R301" s="22">
        <v>291</v>
      </c>
      <c r="S301" s="22">
        <v>1.3647499999999999</v>
      </c>
      <c r="T301">
        <f t="shared" si="50"/>
        <v>12.467037037037036</v>
      </c>
      <c r="U301">
        <f t="shared" si="51"/>
        <v>17.021993688888887</v>
      </c>
      <c r="X301" s="9"/>
      <c r="Y301" s="22">
        <v>0.25466899999999998</v>
      </c>
      <c r="Z301" s="22">
        <v>18.001200000000001</v>
      </c>
      <c r="AA301" s="22">
        <v>-1.33575E-2</v>
      </c>
      <c r="AB301" s="22">
        <v>291</v>
      </c>
      <c r="AC301" s="22">
        <v>0.25412000000000001</v>
      </c>
      <c r="AD301">
        <f t="shared" si="52"/>
        <v>16.49074074074074</v>
      </c>
      <c r="AE301">
        <f t="shared" si="53"/>
        <v>4.1996804537037029</v>
      </c>
      <c r="AF301" s="9"/>
      <c r="AG301" s="22">
        <v>1.3653599999999999</v>
      </c>
      <c r="AH301" s="22">
        <v>21.659300000000002</v>
      </c>
      <c r="AI301" s="22">
        <v>-1.0174600000000001E-2</v>
      </c>
      <c r="AJ301" s="22">
        <v>291</v>
      </c>
      <c r="AK301" s="22">
        <v>1.3644400000000001</v>
      </c>
      <c r="AL301">
        <f t="shared" si="54"/>
        <v>12.561234567901234</v>
      </c>
      <c r="AM301">
        <f t="shared" si="55"/>
        <v>17.150607229629628</v>
      </c>
      <c r="AP301" s="9"/>
      <c r="AQ301" s="22">
        <v>0.25466899999999998</v>
      </c>
      <c r="AR301" s="22">
        <v>26.9954</v>
      </c>
      <c r="AS301" s="22">
        <v>-1.3439899999999999E-2</v>
      </c>
      <c r="AT301" s="22">
        <v>291</v>
      </c>
      <c r="AU301" s="22">
        <v>0.25408900000000001</v>
      </c>
      <c r="AV301">
        <f t="shared" si="56"/>
        <v>16.592469135802467</v>
      </c>
      <c r="AW301">
        <f t="shared" si="57"/>
        <v>4.2255875223456778</v>
      </c>
      <c r="AX301" s="9"/>
      <c r="AY301" s="22">
        <v>1.3653599999999999</v>
      </c>
      <c r="AZ301" s="22">
        <v>30.653500000000001</v>
      </c>
      <c r="BA301" s="22">
        <v>-1.0174600000000001E-2</v>
      </c>
      <c r="BB301" s="22">
        <v>291</v>
      </c>
      <c r="BC301" s="22">
        <v>1.3641399999999999</v>
      </c>
      <c r="BD301">
        <f t="shared" si="58"/>
        <v>12.561234567901234</v>
      </c>
      <c r="BE301">
        <f t="shared" si="59"/>
        <v>17.150607229629628</v>
      </c>
    </row>
    <row r="302" spans="6:57">
      <c r="F302" s="9"/>
      <c r="G302" s="22">
        <v>0.24963399999999999</v>
      </c>
      <c r="H302" s="22">
        <v>9.0010700000000003</v>
      </c>
      <c r="I302" s="22">
        <v>-1.31012E-2</v>
      </c>
      <c r="J302" s="22">
        <v>292</v>
      </c>
      <c r="K302" s="22">
        <v>0.24917600000000001</v>
      </c>
      <c r="L302">
        <f t="shared" si="48"/>
        <v>16.174320987654323</v>
      </c>
      <c r="M302">
        <f t="shared" si="49"/>
        <v>4.037660445432099</v>
      </c>
      <c r="N302" s="9"/>
      <c r="O302" s="22">
        <v>1.37039</v>
      </c>
      <c r="P302" s="22">
        <v>12.6591</v>
      </c>
      <c r="Q302" s="22">
        <v>-1.0015899999999999E-2</v>
      </c>
      <c r="R302" s="22">
        <v>292</v>
      </c>
      <c r="S302" s="22">
        <v>1.3696299999999999</v>
      </c>
      <c r="T302">
        <f t="shared" si="50"/>
        <v>12.365308641975307</v>
      </c>
      <c r="U302">
        <f t="shared" si="51"/>
        <v>16.945295309876542</v>
      </c>
      <c r="X302" s="9"/>
      <c r="Y302" s="22">
        <v>0.24963399999999999</v>
      </c>
      <c r="Z302" s="22">
        <v>18.011299999999999</v>
      </c>
      <c r="AA302" s="22">
        <v>-1.33636E-2</v>
      </c>
      <c r="AB302" s="22">
        <v>292</v>
      </c>
      <c r="AC302" s="22">
        <v>0.249115</v>
      </c>
      <c r="AD302">
        <f t="shared" si="52"/>
        <v>16.498271604938271</v>
      </c>
      <c r="AE302">
        <f t="shared" si="53"/>
        <v>4.1185295338271599</v>
      </c>
      <c r="AF302" s="9"/>
      <c r="AG302" s="22">
        <v>1.37039</v>
      </c>
      <c r="AH302" s="22">
        <v>21.6693</v>
      </c>
      <c r="AI302" s="22">
        <v>-1.00952E-2</v>
      </c>
      <c r="AJ302" s="22">
        <v>292</v>
      </c>
      <c r="AK302" s="22">
        <v>1.3693200000000001</v>
      </c>
      <c r="AL302">
        <f t="shared" si="54"/>
        <v>12.463209876543209</v>
      </c>
      <c r="AM302">
        <f t="shared" si="55"/>
        <v>17.079458182716049</v>
      </c>
      <c r="AP302" s="9"/>
      <c r="AQ302" s="22">
        <v>0.24963399999999999</v>
      </c>
      <c r="AR302" s="22">
        <v>27.005500000000001</v>
      </c>
      <c r="AS302" s="22">
        <v>-1.3443E-2</v>
      </c>
      <c r="AT302" s="22">
        <v>292</v>
      </c>
      <c r="AU302" s="22">
        <v>0.249084</v>
      </c>
      <c r="AV302">
        <f t="shared" si="56"/>
        <v>16.596296296296295</v>
      </c>
      <c r="AW302">
        <f t="shared" si="57"/>
        <v>4.1429998296296295</v>
      </c>
      <c r="AX302" s="9"/>
      <c r="AY302" s="22">
        <v>1.37039</v>
      </c>
      <c r="AZ302" s="22">
        <v>30.663599999999999</v>
      </c>
      <c r="BA302" s="22">
        <v>-1.0101300000000001E-2</v>
      </c>
      <c r="BB302" s="22">
        <v>292</v>
      </c>
      <c r="BC302" s="22">
        <v>1.3696299999999999</v>
      </c>
      <c r="BD302">
        <f t="shared" si="58"/>
        <v>12.470740740740741</v>
      </c>
      <c r="BE302">
        <f t="shared" si="59"/>
        <v>17.089778403703704</v>
      </c>
    </row>
    <row r="303" spans="6:57">
      <c r="F303" s="9"/>
      <c r="G303" s="22">
        <v>0.24459800000000001</v>
      </c>
      <c r="H303" s="22">
        <v>9.0111399999999993</v>
      </c>
      <c r="I303" s="22">
        <v>-1.31042E-2</v>
      </c>
      <c r="J303" s="22">
        <v>293</v>
      </c>
      <c r="K303" s="22">
        <v>0.24401900000000001</v>
      </c>
      <c r="L303">
        <f t="shared" si="48"/>
        <v>16.178024691358022</v>
      </c>
      <c r="M303">
        <f t="shared" si="49"/>
        <v>3.9571124834567897</v>
      </c>
      <c r="N303" s="9"/>
      <c r="O303" s="22">
        <v>1.3754299999999999</v>
      </c>
      <c r="P303" s="22">
        <v>12.6692</v>
      </c>
      <c r="Q303" s="22">
        <v>-9.9395799999999999E-3</v>
      </c>
      <c r="R303" s="22">
        <v>293</v>
      </c>
      <c r="S303" s="22">
        <v>1.3745099999999999</v>
      </c>
      <c r="T303">
        <f t="shared" si="50"/>
        <v>12.271086419753086</v>
      </c>
      <c r="U303">
        <f t="shared" si="51"/>
        <v>16.878020394320988</v>
      </c>
      <c r="X303" s="9"/>
      <c r="Y303" s="22">
        <v>0.24459800000000001</v>
      </c>
      <c r="Z303" s="22">
        <v>18.0213</v>
      </c>
      <c r="AA303" s="22">
        <v>-1.33636E-2</v>
      </c>
      <c r="AB303" s="22">
        <v>293</v>
      </c>
      <c r="AC303" s="22">
        <v>0.24395800000000001</v>
      </c>
      <c r="AD303">
        <f t="shared" si="52"/>
        <v>16.498271604938271</v>
      </c>
      <c r="AE303">
        <f t="shared" si="53"/>
        <v>4.0354442380246915</v>
      </c>
      <c r="AF303" s="9"/>
      <c r="AG303" s="22">
        <v>1.3754299999999999</v>
      </c>
      <c r="AH303" s="22">
        <v>21.679400000000001</v>
      </c>
      <c r="AI303" s="22">
        <v>-1.0015899999999999E-2</v>
      </c>
      <c r="AJ303" s="22">
        <v>293</v>
      </c>
      <c r="AK303" s="22">
        <v>1.3748199999999999</v>
      </c>
      <c r="AL303">
        <f t="shared" si="54"/>
        <v>12.365308641975307</v>
      </c>
      <c r="AM303">
        <f t="shared" si="55"/>
        <v>17.007616465432097</v>
      </c>
      <c r="AP303" s="9"/>
      <c r="AQ303" s="22">
        <v>0.24459800000000001</v>
      </c>
      <c r="AR303" s="22">
        <v>27.015599999999999</v>
      </c>
      <c r="AS303" s="22">
        <v>-1.3439899999999999E-2</v>
      </c>
      <c r="AT303" s="22">
        <v>293</v>
      </c>
      <c r="AU303" s="22">
        <v>0.24410999999999999</v>
      </c>
      <c r="AV303">
        <f t="shared" si="56"/>
        <v>16.592469135802467</v>
      </c>
      <c r="AW303">
        <f t="shared" si="57"/>
        <v>4.0584847656790117</v>
      </c>
      <c r="AX303" s="9"/>
      <c r="AY303" s="22">
        <v>1.3754299999999999</v>
      </c>
      <c r="AZ303" s="22">
        <v>30.6736</v>
      </c>
      <c r="BA303" s="22">
        <v>-1.0022E-2</v>
      </c>
      <c r="BB303" s="22">
        <v>293</v>
      </c>
      <c r="BC303" s="22">
        <v>1.3745099999999999</v>
      </c>
      <c r="BD303">
        <f t="shared" si="58"/>
        <v>12.372839506172838</v>
      </c>
      <c r="BE303">
        <f t="shared" si="59"/>
        <v>17.017974641975304</v>
      </c>
    </row>
    <row r="304" spans="6:57">
      <c r="F304" s="9"/>
      <c r="G304" s="22">
        <v>0.239563</v>
      </c>
      <c r="H304" s="22">
        <v>9.02121</v>
      </c>
      <c r="I304" s="22">
        <v>-1.3110399999999999E-2</v>
      </c>
      <c r="J304" s="22">
        <v>294</v>
      </c>
      <c r="K304" s="22">
        <v>0.238983</v>
      </c>
      <c r="L304">
        <f t="shared" si="48"/>
        <v>16.185679012345677</v>
      </c>
      <c r="M304">
        <f t="shared" si="49"/>
        <v>3.8774898212345672</v>
      </c>
      <c r="N304" s="9"/>
      <c r="O304" s="22">
        <v>1.38046</v>
      </c>
      <c r="P304" s="22">
        <v>12.6793</v>
      </c>
      <c r="Q304" s="22">
        <v>-9.85107E-3</v>
      </c>
      <c r="R304" s="22">
        <v>294</v>
      </c>
      <c r="S304" s="22">
        <v>1.3796999999999999</v>
      </c>
      <c r="T304">
        <f t="shared" si="50"/>
        <v>12.161814814814814</v>
      </c>
      <c r="U304">
        <f t="shared" si="51"/>
        <v>16.788898879259261</v>
      </c>
      <c r="X304" s="9"/>
      <c r="Y304" s="22">
        <v>0.239563</v>
      </c>
      <c r="Z304" s="22">
        <v>18.031400000000001</v>
      </c>
      <c r="AA304" s="22">
        <v>-1.33667E-2</v>
      </c>
      <c r="AB304" s="22">
        <v>294</v>
      </c>
      <c r="AC304" s="22">
        <v>0.23907500000000001</v>
      </c>
      <c r="AD304">
        <f t="shared" si="52"/>
        <v>16.502098765432098</v>
      </c>
      <c r="AE304">
        <f t="shared" si="53"/>
        <v>3.9532922865432099</v>
      </c>
      <c r="AF304" s="9"/>
      <c r="AG304" s="22">
        <v>1.38046</v>
      </c>
      <c r="AH304" s="22">
        <v>21.689499999999999</v>
      </c>
      <c r="AI304" s="22">
        <v>-9.9304200000000006E-3</v>
      </c>
      <c r="AJ304" s="22">
        <v>294</v>
      </c>
      <c r="AK304" s="22">
        <v>1.3793899999999999</v>
      </c>
      <c r="AL304">
        <f t="shared" si="54"/>
        <v>12.259777777777778</v>
      </c>
      <c r="AM304">
        <f t="shared" si="55"/>
        <v>16.924132831111113</v>
      </c>
      <c r="AP304" s="9"/>
      <c r="AQ304" s="22">
        <v>0.239563</v>
      </c>
      <c r="AR304" s="22">
        <v>27.025600000000001</v>
      </c>
      <c r="AS304" s="22">
        <v>-1.34308E-2</v>
      </c>
      <c r="AT304" s="22">
        <v>294</v>
      </c>
      <c r="AU304" s="22">
        <v>0.238953</v>
      </c>
      <c r="AV304">
        <f t="shared" si="56"/>
        <v>16.581234567901234</v>
      </c>
      <c r="AW304">
        <f t="shared" si="57"/>
        <v>3.9722502967901234</v>
      </c>
      <c r="AX304" s="9"/>
      <c r="AY304" s="22">
        <v>1.38046</v>
      </c>
      <c r="AZ304" s="22">
        <v>30.683700000000002</v>
      </c>
      <c r="BA304" s="22">
        <v>-9.9365200000000008E-3</v>
      </c>
      <c r="BB304" s="22">
        <v>294</v>
      </c>
      <c r="BC304" s="22">
        <v>1.3796999999999999</v>
      </c>
      <c r="BD304">
        <f t="shared" si="58"/>
        <v>12.267308641975308</v>
      </c>
      <c r="BE304">
        <f t="shared" si="59"/>
        <v>16.934528887901234</v>
      </c>
    </row>
    <row r="305" spans="6:57">
      <c r="F305" s="9"/>
      <c r="G305" s="22">
        <v>0.23452799999999999</v>
      </c>
      <c r="H305" s="22">
        <v>9.0312800000000006</v>
      </c>
      <c r="I305" s="22">
        <v>-1.3113400000000001E-2</v>
      </c>
      <c r="J305" s="22">
        <v>295</v>
      </c>
      <c r="K305" s="22">
        <v>0.23400899999999999</v>
      </c>
      <c r="L305">
        <f t="shared" si="48"/>
        <v>16.18938271604938</v>
      </c>
      <c r="M305">
        <f t="shared" si="49"/>
        <v>3.7968635496296286</v>
      </c>
      <c r="N305" s="9"/>
      <c r="O305" s="22">
        <v>1.3855</v>
      </c>
      <c r="P305" s="22">
        <v>12.689299999999999</v>
      </c>
      <c r="Q305" s="22">
        <v>-9.7747800000000003E-3</v>
      </c>
      <c r="R305" s="22">
        <v>295</v>
      </c>
      <c r="S305" s="22">
        <v>1.3845799999999999</v>
      </c>
      <c r="T305">
        <f t="shared" si="50"/>
        <v>12.06762962962963</v>
      </c>
      <c r="U305">
        <f t="shared" si="51"/>
        <v>16.719700851851851</v>
      </c>
      <c r="X305" s="9"/>
      <c r="Y305" s="22">
        <v>0.23452799999999999</v>
      </c>
      <c r="Z305" s="22">
        <v>18.041499999999999</v>
      </c>
      <c r="AA305" s="22">
        <v>-1.3372800000000001E-2</v>
      </c>
      <c r="AB305" s="22">
        <v>295</v>
      </c>
      <c r="AC305" s="22">
        <v>0.23397799999999999</v>
      </c>
      <c r="AD305">
        <f t="shared" si="52"/>
        <v>16.509629629629632</v>
      </c>
      <c r="AE305">
        <f t="shared" si="53"/>
        <v>3.8719704177777783</v>
      </c>
      <c r="AF305" s="9"/>
      <c r="AG305" s="22">
        <v>1.3855</v>
      </c>
      <c r="AH305" s="22">
        <v>21.6995</v>
      </c>
      <c r="AI305" s="22">
        <v>-9.8449699999999998E-3</v>
      </c>
      <c r="AJ305" s="22">
        <v>295</v>
      </c>
      <c r="AK305" s="22">
        <v>1.3845799999999999</v>
      </c>
      <c r="AL305">
        <f t="shared" si="54"/>
        <v>12.154283950617282</v>
      </c>
      <c r="AM305">
        <f t="shared" si="55"/>
        <v>16.839760413580244</v>
      </c>
      <c r="AP305" s="9"/>
      <c r="AQ305" s="22">
        <v>0.23452799999999999</v>
      </c>
      <c r="AR305" s="22">
        <v>27.035699999999999</v>
      </c>
      <c r="AS305" s="22">
        <v>-1.3433799999999999E-2</v>
      </c>
      <c r="AT305" s="22">
        <v>295</v>
      </c>
      <c r="AU305" s="22">
        <v>0.23407</v>
      </c>
      <c r="AV305">
        <f t="shared" si="56"/>
        <v>16.584938271604937</v>
      </c>
      <c r="AW305">
        <f t="shared" si="57"/>
        <v>3.8896324029629623</v>
      </c>
      <c r="AX305" s="9"/>
      <c r="AY305" s="22">
        <v>1.3855</v>
      </c>
      <c r="AZ305" s="22">
        <v>30.6938</v>
      </c>
      <c r="BA305" s="22">
        <v>-9.8541299999999991E-3</v>
      </c>
      <c r="BB305" s="22">
        <v>295</v>
      </c>
      <c r="BC305" s="22">
        <v>1.3851899999999999</v>
      </c>
      <c r="BD305">
        <f t="shared" si="58"/>
        <v>12.16559259259259</v>
      </c>
      <c r="BE305">
        <f t="shared" si="59"/>
        <v>16.855428537037032</v>
      </c>
    </row>
    <row r="306" spans="6:57">
      <c r="F306" s="9"/>
      <c r="G306" s="22">
        <v>0.229492</v>
      </c>
      <c r="H306" s="22">
        <v>9.0413499999999996</v>
      </c>
      <c r="I306" s="22">
        <v>-1.3113400000000001E-2</v>
      </c>
      <c r="J306" s="22">
        <v>296</v>
      </c>
      <c r="K306" s="22">
        <v>0.22897300000000001</v>
      </c>
      <c r="L306">
        <f t="shared" si="48"/>
        <v>16.18938271604938</v>
      </c>
      <c r="M306">
        <f t="shared" si="49"/>
        <v>3.7153338182716045</v>
      </c>
      <c r="N306" s="9"/>
      <c r="O306" s="22">
        <v>1.39053</v>
      </c>
      <c r="P306" s="22">
        <v>12.699400000000001</v>
      </c>
      <c r="Q306" s="22">
        <v>-9.6923800000000004E-3</v>
      </c>
      <c r="R306" s="22">
        <v>296</v>
      </c>
      <c r="S306" s="22">
        <v>1.3897699999999999</v>
      </c>
      <c r="T306">
        <f t="shared" si="50"/>
        <v>11.965901234567902</v>
      </c>
      <c r="U306">
        <f t="shared" si="51"/>
        <v>16.638944643703706</v>
      </c>
      <c r="X306" s="9"/>
      <c r="Y306" s="22">
        <v>0.229492</v>
      </c>
      <c r="Z306" s="22">
        <v>18.051600000000001</v>
      </c>
      <c r="AA306" s="22">
        <v>-1.3369799999999999E-2</v>
      </c>
      <c r="AB306" s="22">
        <v>296</v>
      </c>
      <c r="AC306" s="22">
        <v>0.22897300000000001</v>
      </c>
      <c r="AD306">
        <f t="shared" si="52"/>
        <v>16.505925925925922</v>
      </c>
      <c r="AE306">
        <f t="shared" si="53"/>
        <v>3.7879779525925916</v>
      </c>
      <c r="AF306" s="9"/>
      <c r="AG306" s="22">
        <v>1.39053</v>
      </c>
      <c r="AH306" s="22">
        <v>21.709599999999998</v>
      </c>
      <c r="AI306" s="22">
        <v>-9.7564699999999997E-3</v>
      </c>
      <c r="AJ306" s="22">
        <v>296</v>
      </c>
      <c r="AK306" s="22">
        <v>1.3897699999999999</v>
      </c>
      <c r="AL306">
        <f t="shared" si="54"/>
        <v>12.045024691358025</v>
      </c>
      <c r="AM306">
        <f t="shared" si="55"/>
        <v>16.748968184074073</v>
      </c>
      <c r="AP306" s="9"/>
      <c r="AQ306" s="22">
        <v>0.229492</v>
      </c>
      <c r="AR306" s="22">
        <v>27.0458</v>
      </c>
      <c r="AS306" s="22">
        <v>-1.3433799999999999E-2</v>
      </c>
      <c r="AT306" s="22">
        <v>296</v>
      </c>
      <c r="AU306" s="22">
        <v>0.22900400000000001</v>
      </c>
      <c r="AV306">
        <f t="shared" si="56"/>
        <v>16.584938271604937</v>
      </c>
      <c r="AW306">
        <f t="shared" si="57"/>
        <v>3.8061106538271603</v>
      </c>
      <c r="AX306" s="9"/>
      <c r="AY306" s="22">
        <v>1.39053</v>
      </c>
      <c r="AZ306" s="22">
        <v>30.703800000000001</v>
      </c>
      <c r="BA306" s="22">
        <v>-9.7656300000000008E-3</v>
      </c>
      <c r="BB306" s="22">
        <v>296</v>
      </c>
      <c r="BC306" s="22">
        <v>1.39008</v>
      </c>
      <c r="BD306">
        <f t="shared" si="58"/>
        <v>12.056333333333335</v>
      </c>
      <c r="BE306">
        <f t="shared" si="59"/>
        <v>16.764693190000003</v>
      </c>
    </row>
    <row r="307" spans="6:57">
      <c r="F307" s="9"/>
      <c r="G307" s="22">
        <v>0.22445699999999999</v>
      </c>
      <c r="H307" s="22">
        <v>9.0514299999999999</v>
      </c>
      <c r="I307" s="22">
        <v>-1.31165E-2</v>
      </c>
      <c r="J307" s="22">
        <v>297</v>
      </c>
      <c r="K307" s="22">
        <v>0.223999</v>
      </c>
      <c r="L307">
        <f t="shared" si="48"/>
        <v>16.193209876543211</v>
      </c>
      <c r="M307">
        <f t="shared" si="49"/>
        <v>3.6346793092592593</v>
      </c>
      <c r="N307" s="9"/>
      <c r="O307" s="22">
        <v>1.39557</v>
      </c>
      <c r="P307" s="22">
        <v>12.7095</v>
      </c>
      <c r="Q307" s="22">
        <v>-9.6069299999999996E-3</v>
      </c>
      <c r="R307" s="22">
        <v>297</v>
      </c>
      <c r="S307" s="22">
        <v>1.3946499999999999</v>
      </c>
      <c r="T307">
        <f t="shared" si="50"/>
        <v>11.860407407407406</v>
      </c>
      <c r="U307">
        <f t="shared" si="51"/>
        <v>16.552028765555555</v>
      </c>
      <c r="X307" s="9"/>
      <c r="Y307" s="22">
        <v>0.22445699999999999</v>
      </c>
      <c r="Z307" s="22">
        <v>18.061599999999999</v>
      </c>
      <c r="AA307" s="22">
        <v>-1.3378900000000001E-2</v>
      </c>
      <c r="AB307" s="22">
        <v>297</v>
      </c>
      <c r="AC307" s="22">
        <v>0.223938</v>
      </c>
      <c r="AD307">
        <f t="shared" si="52"/>
        <v>16.517160493827159</v>
      </c>
      <c r="AE307">
        <f t="shared" si="53"/>
        <v>3.7073922929629624</v>
      </c>
      <c r="AF307" s="9"/>
      <c r="AG307" s="22">
        <v>1.39557</v>
      </c>
      <c r="AH307" s="22">
        <v>21.7197</v>
      </c>
      <c r="AI307" s="22">
        <v>-9.6679699999999997E-3</v>
      </c>
      <c r="AJ307" s="22">
        <v>297</v>
      </c>
      <c r="AK307" s="22">
        <v>1.3946499999999999</v>
      </c>
      <c r="AL307">
        <f t="shared" si="54"/>
        <v>11.935765432098764</v>
      </c>
      <c r="AM307">
        <f t="shared" si="55"/>
        <v>16.657196164074072</v>
      </c>
      <c r="AP307" s="9"/>
      <c r="AQ307" s="22">
        <v>0.22445699999999999</v>
      </c>
      <c r="AR307" s="22">
        <v>27.055900000000001</v>
      </c>
      <c r="AS307" s="22">
        <v>-1.3439899999999999E-2</v>
      </c>
      <c r="AT307" s="22">
        <v>297</v>
      </c>
      <c r="AU307" s="22">
        <v>0.22390699999999999</v>
      </c>
      <c r="AV307">
        <f t="shared" si="56"/>
        <v>16.592469135802467</v>
      </c>
      <c r="AW307">
        <f t="shared" si="57"/>
        <v>3.7242958448148142</v>
      </c>
      <c r="AX307" s="9"/>
      <c r="AY307" s="22">
        <v>1.39557</v>
      </c>
      <c r="AZ307" s="22">
        <v>30.713899999999999</v>
      </c>
      <c r="BA307" s="22">
        <v>-9.6771200000000009E-3</v>
      </c>
      <c r="BB307" s="22">
        <v>297</v>
      </c>
      <c r="BC307" s="22">
        <v>1.3946499999999999</v>
      </c>
      <c r="BD307">
        <f t="shared" si="58"/>
        <v>11.947061728395061</v>
      </c>
      <c r="BE307">
        <f t="shared" si="59"/>
        <v>16.672960936296295</v>
      </c>
    </row>
    <row r="308" spans="6:57">
      <c r="F308" s="9"/>
      <c r="G308" s="22">
        <v>0.219421</v>
      </c>
      <c r="H308" s="22">
        <v>9.0615000000000006</v>
      </c>
      <c r="I308" s="22">
        <v>-1.3119499999999999E-2</v>
      </c>
      <c r="J308" s="22">
        <v>298</v>
      </c>
      <c r="K308" s="22">
        <v>0.21887200000000001</v>
      </c>
      <c r="L308">
        <f t="shared" si="48"/>
        <v>16.19691358024691</v>
      </c>
      <c r="M308">
        <f t="shared" si="49"/>
        <v>3.5539429746913576</v>
      </c>
      <c r="N308" s="9"/>
      <c r="O308" s="22">
        <v>1.4006000000000001</v>
      </c>
      <c r="P308" s="22">
        <v>12.7196</v>
      </c>
      <c r="Q308" s="22">
        <v>-9.5184299999999996E-3</v>
      </c>
      <c r="R308" s="22">
        <v>298</v>
      </c>
      <c r="S308" s="22">
        <v>1.39984</v>
      </c>
      <c r="T308">
        <f t="shared" si="50"/>
        <v>11.751148148148149</v>
      </c>
      <c r="U308">
        <f t="shared" si="51"/>
        <v>16.458658096296297</v>
      </c>
      <c r="X308" s="9"/>
      <c r="Y308" s="22">
        <v>0.219421</v>
      </c>
      <c r="Z308" s="22">
        <v>18.0717</v>
      </c>
      <c r="AA308" s="22">
        <v>-1.33881E-2</v>
      </c>
      <c r="AB308" s="22">
        <v>298</v>
      </c>
      <c r="AC308" s="22">
        <v>0.21887200000000001</v>
      </c>
      <c r="AD308">
        <f t="shared" si="52"/>
        <v>16.528518518518517</v>
      </c>
      <c r="AE308">
        <f t="shared" si="53"/>
        <v>3.6267040618518518</v>
      </c>
      <c r="AF308" s="9"/>
      <c r="AG308" s="22">
        <v>1.4006000000000001</v>
      </c>
      <c r="AH308" s="22">
        <v>21.729800000000001</v>
      </c>
      <c r="AI308" s="22">
        <v>-9.5794699999999997E-3</v>
      </c>
      <c r="AJ308" s="22">
        <v>298</v>
      </c>
      <c r="AK308" s="22">
        <v>1.39984</v>
      </c>
      <c r="AL308">
        <f t="shared" si="54"/>
        <v>11.826506172839505</v>
      </c>
      <c r="AM308">
        <f t="shared" si="55"/>
        <v>16.564204545679011</v>
      </c>
      <c r="AP308" s="9"/>
      <c r="AQ308" s="22">
        <v>0.219421</v>
      </c>
      <c r="AR308" s="22">
        <v>27.065899999999999</v>
      </c>
      <c r="AS308" s="22">
        <v>-1.34491E-2</v>
      </c>
      <c r="AT308" s="22">
        <v>298</v>
      </c>
      <c r="AU308" s="22">
        <v>0.21896399999999999</v>
      </c>
      <c r="AV308">
        <f t="shared" si="56"/>
        <v>16.603827160493829</v>
      </c>
      <c r="AW308">
        <f t="shared" si="57"/>
        <v>3.6432283593827166</v>
      </c>
      <c r="AX308" s="9"/>
      <c r="AY308" s="22">
        <v>1.4006000000000001</v>
      </c>
      <c r="AZ308" s="22">
        <v>30.724</v>
      </c>
      <c r="BA308" s="22">
        <v>-9.5855699999999999E-3</v>
      </c>
      <c r="BB308" s="22">
        <v>298</v>
      </c>
      <c r="BC308" s="22">
        <v>1.40015</v>
      </c>
      <c r="BD308">
        <f t="shared" si="58"/>
        <v>11.834037037037035</v>
      </c>
      <c r="BE308">
        <f t="shared" si="59"/>
        <v>16.574752274074072</v>
      </c>
    </row>
    <row r="309" spans="6:57">
      <c r="F309" s="9"/>
      <c r="G309" s="22">
        <v>0.21438599999999999</v>
      </c>
      <c r="H309" s="22">
        <v>9.0715699999999995</v>
      </c>
      <c r="I309" s="22">
        <v>-1.31226E-2</v>
      </c>
      <c r="J309" s="22">
        <v>299</v>
      </c>
      <c r="K309" s="22">
        <v>0.213867</v>
      </c>
      <c r="L309">
        <f t="shared" si="48"/>
        <v>16.200740740740741</v>
      </c>
      <c r="M309">
        <f t="shared" si="49"/>
        <v>3.4732120044444446</v>
      </c>
      <c r="N309" s="9"/>
      <c r="O309" s="22">
        <v>1.40564</v>
      </c>
      <c r="P309" s="22">
        <v>12.7296</v>
      </c>
      <c r="Q309" s="22">
        <v>-9.4299299999999996E-3</v>
      </c>
      <c r="R309" s="22">
        <v>299</v>
      </c>
      <c r="S309" s="22">
        <v>1.40472</v>
      </c>
      <c r="T309">
        <f t="shared" si="50"/>
        <v>11.641888888888888</v>
      </c>
      <c r="U309">
        <f t="shared" si="51"/>
        <v>16.364304697777776</v>
      </c>
      <c r="X309" s="9"/>
      <c r="Y309" s="22">
        <v>0.21438599999999999</v>
      </c>
      <c r="Z309" s="22">
        <v>18.081800000000001</v>
      </c>
      <c r="AA309" s="22">
        <v>-1.34003E-2</v>
      </c>
      <c r="AB309" s="22">
        <v>299</v>
      </c>
      <c r="AC309" s="22">
        <v>0.213806</v>
      </c>
      <c r="AD309">
        <f t="shared" si="52"/>
        <v>16.543580246913578</v>
      </c>
      <c r="AE309">
        <f t="shared" si="53"/>
        <v>3.5467119948148143</v>
      </c>
      <c r="AF309" s="9"/>
      <c r="AG309" s="22">
        <v>1.40564</v>
      </c>
      <c r="AH309" s="22">
        <v>21.739799999999999</v>
      </c>
      <c r="AI309" s="22">
        <v>-9.4909699999999996E-3</v>
      </c>
      <c r="AJ309" s="22">
        <v>299</v>
      </c>
      <c r="AK309" s="22">
        <v>1.40503</v>
      </c>
      <c r="AL309">
        <f t="shared" si="54"/>
        <v>11.717246913580246</v>
      </c>
      <c r="AM309">
        <f t="shared" si="55"/>
        <v>16.470230951604936</v>
      </c>
      <c r="AP309" s="9"/>
      <c r="AQ309" s="22">
        <v>0.21438599999999999</v>
      </c>
      <c r="AR309" s="22">
        <v>27.076000000000001</v>
      </c>
      <c r="AS309" s="22">
        <v>-1.3461300000000001E-2</v>
      </c>
      <c r="AT309" s="22">
        <v>299</v>
      </c>
      <c r="AU309" s="22">
        <v>0.213837</v>
      </c>
      <c r="AV309">
        <f t="shared" si="56"/>
        <v>16.618888888888886</v>
      </c>
      <c r="AW309">
        <f t="shared" si="57"/>
        <v>3.5628571133333327</v>
      </c>
      <c r="AX309" s="9"/>
      <c r="AY309" s="22">
        <v>1.40564</v>
      </c>
      <c r="AZ309" s="22">
        <v>30.734000000000002</v>
      </c>
      <c r="BA309" s="22">
        <v>-9.4940200000000006E-3</v>
      </c>
      <c r="BB309" s="22">
        <v>299</v>
      </c>
      <c r="BC309" s="22">
        <v>1.40442</v>
      </c>
      <c r="BD309">
        <f t="shared" si="58"/>
        <v>11.721012345679013</v>
      </c>
      <c r="BE309">
        <f t="shared" si="59"/>
        <v>16.475523793580248</v>
      </c>
    </row>
    <row r="310" spans="6:57">
      <c r="F310" s="9"/>
      <c r="G310" s="22">
        <v>0.20935100000000001</v>
      </c>
      <c r="H310" s="22">
        <v>9.0816400000000002</v>
      </c>
      <c r="I310" s="22">
        <v>-1.3147000000000001E-2</v>
      </c>
      <c r="J310" s="22">
        <v>300</v>
      </c>
      <c r="K310" s="22">
        <v>0.20877100000000001</v>
      </c>
      <c r="L310">
        <f t="shared" si="48"/>
        <v>16.230864197530863</v>
      </c>
      <c r="M310">
        <f t="shared" si="49"/>
        <v>3.3979476506172839</v>
      </c>
      <c r="N310" s="9"/>
      <c r="O310" s="22">
        <v>1.4106799999999999</v>
      </c>
      <c r="P310" s="22">
        <v>12.739699999999999</v>
      </c>
      <c r="Q310" s="22">
        <v>-9.3353299999999993E-3</v>
      </c>
      <c r="R310" s="22">
        <v>300</v>
      </c>
      <c r="S310" s="22">
        <v>1.41022</v>
      </c>
      <c r="T310">
        <f t="shared" si="50"/>
        <v>11.525098765432098</v>
      </c>
      <c r="U310">
        <f t="shared" si="51"/>
        <v>16.258226326419752</v>
      </c>
      <c r="X310" s="9"/>
      <c r="Y310" s="22">
        <v>0.20935100000000001</v>
      </c>
      <c r="Z310" s="22">
        <v>18.091799999999999</v>
      </c>
      <c r="AA310" s="22">
        <v>-1.34033E-2</v>
      </c>
      <c r="AB310" s="22">
        <v>300</v>
      </c>
      <c r="AC310" s="22">
        <v>0.20883199999999999</v>
      </c>
      <c r="AD310">
        <f t="shared" si="52"/>
        <v>16.547283950617281</v>
      </c>
      <c r="AE310">
        <f t="shared" si="53"/>
        <v>3.4641904423456786</v>
      </c>
      <c r="AF310" s="9"/>
      <c r="AG310" s="22">
        <v>1.4106799999999999</v>
      </c>
      <c r="AH310" s="22">
        <v>21.7499</v>
      </c>
      <c r="AI310" s="22">
        <v>-9.3994100000000004E-3</v>
      </c>
      <c r="AJ310" s="22">
        <v>300</v>
      </c>
      <c r="AK310" s="22">
        <v>1.40991</v>
      </c>
      <c r="AL310">
        <f t="shared" si="54"/>
        <v>11.60420987654321</v>
      </c>
      <c r="AM310">
        <f t="shared" si="55"/>
        <v>16.369826788641976</v>
      </c>
      <c r="AP310" s="9"/>
      <c r="AQ310" s="22">
        <v>0.20935100000000001</v>
      </c>
      <c r="AR310" s="22">
        <v>27.086099999999998</v>
      </c>
      <c r="AS310" s="22">
        <v>-1.34644E-2</v>
      </c>
      <c r="AT310" s="22">
        <v>300</v>
      </c>
      <c r="AU310" s="22">
        <v>0.20886199999999999</v>
      </c>
      <c r="AV310">
        <f t="shared" si="56"/>
        <v>16.622716049382717</v>
      </c>
      <c r="AW310">
        <f t="shared" si="57"/>
        <v>3.4799822276543213</v>
      </c>
      <c r="AX310" s="9"/>
      <c r="AY310" s="22">
        <v>1.4106799999999999</v>
      </c>
      <c r="AZ310" s="22">
        <v>30.7441</v>
      </c>
      <c r="BA310" s="22">
        <v>-9.4024699999999996E-3</v>
      </c>
      <c r="BB310" s="22">
        <v>300</v>
      </c>
      <c r="BC310" s="22">
        <v>1.40961</v>
      </c>
      <c r="BD310">
        <f t="shared" si="58"/>
        <v>11.607987654320986</v>
      </c>
      <c r="BE310">
        <f t="shared" si="59"/>
        <v>16.37515602419753</v>
      </c>
    </row>
    <row r="311" spans="6:57">
      <c r="F311" s="9"/>
      <c r="G311" s="22">
        <v>0.204315</v>
      </c>
      <c r="H311" s="22">
        <v>9.0917100000000008</v>
      </c>
      <c r="I311" s="22">
        <v>-1.31561E-2</v>
      </c>
      <c r="J311" s="22">
        <v>301</v>
      </c>
      <c r="K311" s="22">
        <v>0.20382700000000001</v>
      </c>
      <c r="L311">
        <f t="shared" si="48"/>
        <v>16.2420987654321</v>
      </c>
      <c r="M311">
        <f t="shared" si="49"/>
        <v>3.3185044092592597</v>
      </c>
      <c r="N311" s="9"/>
      <c r="O311" s="22">
        <v>1.41571</v>
      </c>
      <c r="P311" s="22">
        <v>12.7498</v>
      </c>
      <c r="Q311" s="22">
        <v>-9.2376699999999999E-3</v>
      </c>
      <c r="R311" s="22">
        <v>301</v>
      </c>
      <c r="S311" s="22">
        <v>1.41571</v>
      </c>
      <c r="T311">
        <f t="shared" si="50"/>
        <v>11.404530864197531</v>
      </c>
      <c r="U311">
        <f t="shared" si="51"/>
        <v>16.145508389753086</v>
      </c>
      <c r="X311" s="9"/>
      <c r="Y311" s="22">
        <v>0.204315</v>
      </c>
      <c r="Z311" s="22">
        <v>18.101900000000001</v>
      </c>
      <c r="AA311" s="22">
        <v>-1.34094E-2</v>
      </c>
      <c r="AB311" s="22">
        <v>301</v>
      </c>
      <c r="AC311" s="22">
        <v>0.20382700000000001</v>
      </c>
      <c r="AD311">
        <f t="shared" si="52"/>
        <v>16.554814814814815</v>
      </c>
      <c r="AE311">
        <f t="shared" si="53"/>
        <v>3.382396988888889</v>
      </c>
      <c r="AF311" s="9"/>
      <c r="AG311" s="22">
        <v>1.41571</v>
      </c>
      <c r="AH311" s="22">
        <v>21.76</v>
      </c>
      <c r="AI311" s="22">
        <v>-9.3109100000000004E-3</v>
      </c>
      <c r="AJ311" s="22">
        <v>301</v>
      </c>
      <c r="AK311" s="22">
        <v>1.41449</v>
      </c>
      <c r="AL311">
        <f t="shared" si="54"/>
        <v>11.49495061728395</v>
      </c>
      <c r="AM311">
        <f t="shared" si="55"/>
        <v>16.273516538395061</v>
      </c>
      <c r="AP311" s="9"/>
      <c r="AQ311" s="22">
        <v>0.204315</v>
      </c>
      <c r="AR311" s="22">
        <v>27.0961</v>
      </c>
      <c r="AS311" s="22">
        <v>-1.34644E-2</v>
      </c>
      <c r="AT311" s="22">
        <v>301</v>
      </c>
      <c r="AU311" s="22">
        <v>0.203766</v>
      </c>
      <c r="AV311">
        <f t="shared" si="56"/>
        <v>16.622716049382717</v>
      </c>
      <c r="AW311">
        <f t="shared" si="57"/>
        <v>3.3962702296296299</v>
      </c>
      <c r="AX311" s="9"/>
      <c r="AY311" s="22">
        <v>1.41571</v>
      </c>
      <c r="AZ311" s="22">
        <v>30.754200000000001</v>
      </c>
      <c r="BA311" s="22">
        <v>-9.3078599999999994E-3</v>
      </c>
      <c r="BB311" s="22">
        <v>301</v>
      </c>
      <c r="BC311" s="22">
        <v>1.41479</v>
      </c>
      <c r="BD311">
        <f t="shared" si="58"/>
        <v>11.491185185185184</v>
      </c>
      <c r="BE311">
        <f t="shared" si="59"/>
        <v>16.268185778518518</v>
      </c>
    </row>
    <row r="312" spans="6:57">
      <c r="F312" s="9"/>
      <c r="G312" s="22">
        <v>0.19928000000000001</v>
      </c>
      <c r="H312" s="22">
        <v>9.1017799999999998</v>
      </c>
      <c r="I312" s="22">
        <v>-1.3168300000000001E-2</v>
      </c>
      <c r="J312" s="22">
        <v>302</v>
      </c>
      <c r="K312" s="22">
        <v>0.198822</v>
      </c>
      <c r="L312">
        <f t="shared" si="48"/>
        <v>16.257160493827158</v>
      </c>
      <c r="M312">
        <f t="shared" si="49"/>
        <v>3.2397269432098761</v>
      </c>
      <c r="N312" s="9"/>
      <c r="O312" s="22">
        <v>1.42075</v>
      </c>
      <c r="P312" s="22">
        <v>12.7598</v>
      </c>
      <c r="Q312" s="22">
        <v>-9.1400100000000005E-3</v>
      </c>
      <c r="R312" s="22">
        <v>302</v>
      </c>
      <c r="S312" s="22">
        <v>1.4196800000000001</v>
      </c>
      <c r="T312">
        <f t="shared" si="50"/>
        <v>11.283962962962963</v>
      </c>
      <c r="U312">
        <f t="shared" si="51"/>
        <v>16.03169037962963</v>
      </c>
      <c r="X312" s="9"/>
      <c r="Y312" s="22">
        <v>0.19928000000000001</v>
      </c>
      <c r="Z312" s="22">
        <v>18.111999999999998</v>
      </c>
      <c r="AA312" s="22">
        <v>-1.34308E-2</v>
      </c>
      <c r="AB312" s="22">
        <v>302</v>
      </c>
      <c r="AC312" s="22">
        <v>0.19869999999999999</v>
      </c>
      <c r="AD312">
        <f t="shared" si="52"/>
        <v>16.581234567901234</v>
      </c>
      <c r="AE312">
        <f t="shared" si="53"/>
        <v>3.3043084246913579</v>
      </c>
      <c r="AF312" s="9"/>
      <c r="AG312" s="22">
        <v>1.42075</v>
      </c>
      <c r="AH312" s="22">
        <v>21.77</v>
      </c>
      <c r="AI312" s="22">
        <v>-9.2163100000000001E-3</v>
      </c>
      <c r="AJ312" s="22">
        <v>302</v>
      </c>
      <c r="AK312" s="22">
        <v>1.41998</v>
      </c>
      <c r="AL312">
        <f t="shared" si="54"/>
        <v>11.37816049382716</v>
      </c>
      <c r="AM312">
        <f t="shared" si="55"/>
        <v>16.165521521604937</v>
      </c>
      <c r="AP312" s="9"/>
      <c r="AQ312" s="22">
        <v>0.19928000000000001</v>
      </c>
      <c r="AR312" s="22">
        <v>27.106200000000001</v>
      </c>
      <c r="AS312" s="22">
        <v>-1.34644E-2</v>
      </c>
      <c r="AT312" s="22">
        <v>302</v>
      </c>
      <c r="AU312" s="22">
        <v>0.198853</v>
      </c>
      <c r="AV312">
        <f t="shared" si="56"/>
        <v>16.622716049382717</v>
      </c>
      <c r="AW312">
        <f t="shared" si="57"/>
        <v>3.3125748543209879</v>
      </c>
      <c r="AX312" s="9"/>
      <c r="AY312" s="22">
        <v>1.42075</v>
      </c>
      <c r="AZ312" s="22">
        <v>30.764299999999999</v>
      </c>
      <c r="BA312" s="22">
        <v>-9.2163100000000001E-3</v>
      </c>
      <c r="BB312" s="22">
        <v>302</v>
      </c>
      <c r="BC312" s="22">
        <v>1.4202900000000001</v>
      </c>
      <c r="BD312">
        <f t="shared" si="58"/>
        <v>11.37816049382716</v>
      </c>
      <c r="BE312">
        <f t="shared" si="59"/>
        <v>16.165521521604937</v>
      </c>
    </row>
    <row r="313" spans="6:57">
      <c r="F313" s="9"/>
      <c r="G313" s="22">
        <v>0.194244</v>
      </c>
      <c r="H313" s="22">
        <v>9.1118500000000004</v>
      </c>
      <c r="I313" s="22">
        <v>-1.3162200000000001E-2</v>
      </c>
      <c r="J313" s="22">
        <v>303</v>
      </c>
      <c r="K313" s="22">
        <v>0.19375600000000001</v>
      </c>
      <c r="L313">
        <f t="shared" si="48"/>
        <v>16.249629629629627</v>
      </c>
      <c r="M313">
        <f t="shared" si="49"/>
        <v>3.1563930577777772</v>
      </c>
      <c r="N313" s="9"/>
      <c r="O313" s="22">
        <v>1.42578</v>
      </c>
      <c r="P313" s="22">
        <v>12.7699</v>
      </c>
      <c r="Q313" s="22">
        <v>-9.0454100000000003E-3</v>
      </c>
      <c r="R313" s="22">
        <v>303</v>
      </c>
      <c r="S313" s="22">
        <v>1.42517</v>
      </c>
      <c r="T313">
        <f t="shared" si="50"/>
        <v>11.167172839506172</v>
      </c>
      <c r="U313">
        <f t="shared" si="51"/>
        <v>15.92193169111111</v>
      </c>
      <c r="X313" s="9"/>
      <c r="Y313" s="22">
        <v>0.194244</v>
      </c>
      <c r="Z313" s="22">
        <v>18.1221</v>
      </c>
      <c r="AA313" s="22">
        <v>-1.34308E-2</v>
      </c>
      <c r="AB313" s="22">
        <v>303</v>
      </c>
      <c r="AC313" s="22">
        <v>0.19372600000000001</v>
      </c>
      <c r="AD313">
        <f t="shared" si="52"/>
        <v>16.581234567901234</v>
      </c>
      <c r="AE313">
        <f t="shared" si="53"/>
        <v>3.2208053274074073</v>
      </c>
      <c r="AF313" s="9"/>
      <c r="AG313" s="22">
        <v>1.42578</v>
      </c>
      <c r="AH313" s="22">
        <v>21.780100000000001</v>
      </c>
      <c r="AI313" s="22">
        <v>-9.1247600000000009E-3</v>
      </c>
      <c r="AJ313" s="22">
        <v>303</v>
      </c>
      <c r="AK313" s="22">
        <v>1.42517</v>
      </c>
      <c r="AL313">
        <f t="shared" si="54"/>
        <v>11.265135802469135</v>
      </c>
      <c r="AM313">
        <f t="shared" si="55"/>
        <v>16.061605324444443</v>
      </c>
      <c r="AP313" s="9"/>
      <c r="AQ313" s="22">
        <v>0.194244</v>
      </c>
      <c r="AR313" s="22">
        <v>27.116299999999999</v>
      </c>
      <c r="AS313" s="22">
        <v>-1.3467399999999999E-2</v>
      </c>
      <c r="AT313" s="22">
        <v>303</v>
      </c>
      <c r="AU313" s="22">
        <v>0.19372600000000001</v>
      </c>
      <c r="AV313">
        <f t="shared" si="56"/>
        <v>16.626419753086417</v>
      </c>
      <c r="AW313">
        <f t="shared" si="57"/>
        <v>3.2295822785185178</v>
      </c>
      <c r="AX313" s="9"/>
      <c r="AY313" s="22">
        <v>1.42578</v>
      </c>
      <c r="AZ313" s="22">
        <v>30.7743</v>
      </c>
      <c r="BA313" s="22">
        <v>-9.1186500000000007E-3</v>
      </c>
      <c r="BB313" s="22">
        <v>303</v>
      </c>
      <c r="BC313" s="22">
        <v>1.42517</v>
      </c>
      <c r="BD313">
        <f t="shared" si="58"/>
        <v>11.257592592592593</v>
      </c>
      <c r="BE313">
        <f t="shared" si="59"/>
        <v>16.050850366666666</v>
      </c>
    </row>
    <row r="314" spans="6:57">
      <c r="F314" s="9"/>
      <c r="G314" s="22">
        <v>0.18920899999999999</v>
      </c>
      <c r="H314" s="22">
        <v>9.1219199999999994</v>
      </c>
      <c r="I314" s="22">
        <v>-1.31561E-2</v>
      </c>
      <c r="J314" s="22">
        <v>304</v>
      </c>
      <c r="K314" s="22">
        <v>0.18878200000000001</v>
      </c>
      <c r="L314">
        <f t="shared" si="48"/>
        <v>16.2420987654321</v>
      </c>
      <c r="M314">
        <f t="shared" si="49"/>
        <v>3.0731512653086419</v>
      </c>
      <c r="N314" s="9"/>
      <c r="O314" s="22">
        <v>1.43082</v>
      </c>
      <c r="P314" s="22">
        <v>12.78</v>
      </c>
      <c r="Q314" s="22">
        <v>-8.9477500000000008E-3</v>
      </c>
      <c r="R314" s="22">
        <v>304</v>
      </c>
      <c r="S314" s="22">
        <v>1.4297500000000001</v>
      </c>
      <c r="T314">
        <f t="shared" si="50"/>
        <v>11.046604938271606</v>
      </c>
      <c r="U314">
        <f t="shared" si="51"/>
        <v>15.805703277777781</v>
      </c>
      <c r="X314" s="9"/>
      <c r="Y314" s="22">
        <v>0.18920899999999999</v>
      </c>
      <c r="Z314" s="22">
        <v>18.132100000000001</v>
      </c>
      <c r="AA314" s="22">
        <v>-1.3421600000000001E-2</v>
      </c>
      <c r="AB314" s="22">
        <v>304</v>
      </c>
      <c r="AC314" s="22">
        <v>0.188721</v>
      </c>
      <c r="AD314">
        <f t="shared" si="52"/>
        <v>16.569876543209876</v>
      </c>
      <c r="AE314">
        <f t="shared" si="53"/>
        <v>3.1351697708641972</v>
      </c>
      <c r="AF314" s="9"/>
      <c r="AG314" s="22">
        <v>1.43082</v>
      </c>
      <c r="AH314" s="22">
        <v>21.790199999999999</v>
      </c>
      <c r="AI314" s="22">
        <v>-9.0179400000000003E-3</v>
      </c>
      <c r="AJ314" s="22">
        <v>304</v>
      </c>
      <c r="AK314" s="22">
        <v>1.4297500000000001</v>
      </c>
      <c r="AL314">
        <f t="shared" si="54"/>
        <v>11.13325925925926</v>
      </c>
      <c r="AM314">
        <f t="shared" si="55"/>
        <v>15.929690013333333</v>
      </c>
      <c r="AP314" s="9"/>
      <c r="AQ314" s="22">
        <v>0.18920899999999999</v>
      </c>
      <c r="AR314" s="22">
        <v>27.1264</v>
      </c>
      <c r="AS314" s="22">
        <v>-1.34644E-2</v>
      </c>
      <c r="AT314" s="22">
        <v>304</v>
      </c>
      <c r="AU314" s="22">
        <v>0.18862899999999999</v>
      </c>
      <c r="AV314">
        <f t="shared" si="56"/>
        <v>16.622716049382717</v>
      </c>
      <c r="AW314">
        <f t="shared" si="57"/>
        <v>3.1451674809876544</v>
      </c>
      <c r="AX314" s="9"/>
      <c r="AY314" s="22">
        <v>1.43082</v>
      </c>
      <c r="AZ314" s="22">
        <v>30.784400000000002</v>
      </c>
      <c r="BA314" s="22">
        <v>-9.0118400000000001E-3</v>
      </c>
      <c r="BB314" s="22">
        <v>304</v>
      </c>
      <c r="BC314" s="22">
        <v>1.43005</v>
      </c>
      <c r="BD314">
        <f t="shared" si="58"/>
        <v>11.125728395061728</v>
      </c>
      <c r="BE314">
        <f t="shared" si="59"/>
        <v>15.918914702222221</v>
      </c>
    </row>
    <row r="315" spans="6:57">
      <c r="F315" s="9"/>
      <c r="G315" s="22">
        <v>0.184174</v>
      </c>
      <c r="H315" s="22">
        <v>9.1319900000000001</v>
      </c>
      <c r="I315" s="22">
        <v>-1.3159199999999999E-2</v>
      </c>
      <c r="J315" s="22">
        <v>305</v>
      </c>
      <c r="K315" s="22">
        <v>0.18365500000000001</v>
      </c>
      <c r="L315">
        <f t="shared" si="48"/>
        <v>16.245925925925924</v>
      </c>
      <c r="M315">
        <f t="shared" si="49"/>
        <v>2.9920771614814812</v>
      </c>
      <c r="N315" s="9"/>
      <c r="O315" s="22">
        <v>1.4358500000000001</v>
      </c>
      <c r="P315" s="22">
        <v>12.79</v>
      </c>
      <c r="Q315" s="22">
        <v>-8.8470500000000004E-3</v>
      </c>
      <c r="R315" s="22">
        <v>305</v>
      </c>
      <c r="S315" s="22">
        <v>1.4349400000000001</v>
      </c>
      <c r="T315">
        <f t="shared" si="50"/>
        <v>10.922283950617285</v>
      </c>
      <c r="U315">
        <f t="shared" si="51"/>
        <v>15.682761410493828</v>
      </c>
      <c r="X315" s="9"/>
      <c r="Y315" s="22">
        <v>0.184174</v>
      </c>
      <c r="Z315" s="22">
        <v>18.142199999999999</v>
      </c>
      <c r="AA315" s="22">
        <v>-1.34155E-2</v>
      </c>
      <c r="AB315" s="22">
        <v>305</v>
      </c>
      <c r="AC315" s="22">
        <v>0.18365500000000001</v>
      </c>
      <c r="AD315">
        <f t="shared" si="52"/>
        <v>16.562345679012346</v>
      </c>
      <c r="AE315">
        <f t="shared" si="53"/>
        <v>3.0503534530864198</v>
      </c>
      <c r="AF315" s="9"/>
      <c r="AG315" s="22">
        <v>1.4358500000000001</v>
      </c>
      <c r="AH315" s="22">
        <v>21.8003</v>
      </c>
      <c r="AI315" s="22">
        <v>-8.9111299999999997E-3</v>
      </c>
      <c r="AJ315" s="22">
        <v>305</v>
      </c>
      <c r="AK315" s="22">
        <v>1.4349400000000001</v>
      </c>
      <c r="AL315">
        <f t="shared" si="54"/>
        <v>11.001395061728394</v>
      </c>
      <c r="AM315">
        <f t="shared" si="55"/>
        <v>15.796353099382715</v>
      </c>
      <c r="AP315" s="9"/>
      <c r="AQ315" s="22">
        <v>0.184174</v>
      </c>
      <c r="AR315" s="22">
        <v>27.136399999999998</v>
      </c>
      <c r="AS315" s="22">
        <v>-1.3458299999999999E-2</v>
      </c>
      <c r="AT315" s="22">
        <v>305</v>
      </c>
      <c r="AU315" s="22">
        <v>0.18362400000000001</v>
      </c>
      <c r="AV315">
        <f t="shared" si="56"/>
        <v>16.615185185185183</v>
      </c>
      <c r="AW315">
        <f t="shared" si="57"/>
        <v>3.0600851162962961</v>
      </c>
      <c r="AX315" s="9"/>
      <c r="AY315" s="22">
        <v>1.4358500000000001</v>
      </c>
      <c r="AZ315" s="22">
        <v>30.794499999999999</v>
      </c>
      <c r="BA315" s="22">
        <v>-8.9080800000000005E-3</v>
      </c>
      <c r="BB315" s="22">
        <v>305</v>
      </c>
      <c r="BC315" s="22">
        <v>1.4352400000000001</v>
      </c>
      <c r="BD315">
        <f t="shared" si="58"/>
        <v>10.99762962962963</v>
      </c>
      <c r="BE315">
        <f t="shared" si="59"/>
        <v>15.790946503703704</v>
      </c>
    </row>
    <row r="316" spans="6:57">
      <c r="F316" s="9"/>
      <c r="G316" s="22">
        <v>0.17913799999999999</v>
      </c>
      <c r="H316" s="22">
        <v>9.1420600000000007</v>
      </c>
      <c r="I316" s="22">
        <v>-1.31653E-2</v>
      </c>
      <c r="J316" s="22">
        <v>306</v>
      </c>
      <c r="K316" s="22">
        <v>0.17865</v>
      </c>
      <c r="L316">
        <f t="shared" si="48"/>
        <v>16.253456790123455</v>
      </c>
      <c r="M316">
        <f t="shared" si="49"/>
        <v>2.9116117424691352</v>
      </c>
      <c r="N316" s="9"/>
      <c r="O316" s="22">
        <v>1.44089</v>
      </c>
      <c r="P316" s="22">
        <v>12.8001</v>
      </c>
      <c r="Q316" s="22">
        <v>-8.7432900000000008E-3</v>
      </c>
      <c r="R316" s="22">
        <v>306</v>
      </c>
      <c r="S316" s="22">
        <v>1.4407300000000001</v>
      </c>
      <c r="T316">
        <f t="shared" si="50"/>
        <v>10.794185185185187</v>
      </c>
      <c r="U316">
        <f t="shared" si="51"/>
        <v>15.553233491481484</v>
      </c>
      <c r="X316" s="9"/>
      <c r="Y316" s="22">
        <v>0.17913799999999999</v>
      </c>
      <c r="Z316" s="22">
        <v>18.1523</v>
      </c>
      <c r="AA316" s="22">
        <v>-1.3424699999999999E-2</v>
      </c>
      <c r="AB316" s="22">
        <v>306</v>
      </c>
      <c r="AC316" s="22">
        <v>0.17865</v>
      </c>
      <c r="AD316">
        <f t="shared" si="52"/>
        <v>16.5737037037037</v>
      </c>
      <c r="AE316">
        <f t="shared" si="53"/>
        <v>2.9689801340740734</v>
      </c>
      <c r="AF316" s="9"/>
      <c r="AG316" s="22">
        <v>1.44089</v>
      </c>
      <c r="AH316" s="22">
        <v>21.810300000000002</v>
      </c>
      <c r="AI316" s="22">
        <v>-8.7982200000000007E-3</v>
      </c>
      <c r="AJ316" s="22">
        <v>306</v>
      </c>
      <c r="AK316" s="22">
        <v>1.4401200000000001</v>
      </c>
      <c r="AL316">
        <f t="shared" si="54"/>
        <v>10.862</v>
      </c>
      <c r="AM316">
        <f t="shared" si="55"/>
        <v>15.650947180000001</v>
      </c>
      <c r="AP316" s="9"/>
      <c r="AQ316" s="22">
        <v>0.17913799999999999</v>
      </c>
      <c r="AR316" s="22">
        <v>27.1465</v>
      </c>
      <c r="AS316" s="22">
        <v>-1.3458299999999999E-2</v>
      </c>
      <c r="AT316" s="22">
        <v>306</v>
      </c>
      <c r="AU316" s="22">
        <v>0.178619</v>
      </c>
      <c r="AV316">
        <f t="shared" si="56"/>
        <v>16.615185185185183</v>
      </c>
      <c r="AW316">
        <f t="shared" si="57"/>
        <v>2.976411043703703</v>
      </c>
      <c r="AX316" s="9"/>
      <c r="AY316" s="22">
        <v>1.44089</v>
      </c>
      <c r="AZ316" s="22">
        <v>30.804500000000001</v>
      </c>
      <c r="BA316" s="22">
        <v>-8.8043199999999992E-3</v>
      </c>
      <c r="BB316" s="22">
        <v>306</v>
      </c>
      <c r="BC316" s="22">
        <v>1.4398200000000001</v>
      </c>
      <c r="BD316">
        <f t="shared" si="58"/>
        <v>10.869530864197529</v>
      </c>
      <c r="BE316">
        <f t="shared" si="59"/>
        <v>15.661798326913578</v>
      </c>
    </row>
    <row r="317" spans="6:57">
      <c r="F317" s="9"/>
      <c r="G317" s="22">
        <v>0.17410300000000001</v>
      </c>
      <c r="H317" s="22">
        <v>9.1521399999999993</v>
      </c>
      <c r="I317" s="22">
        <v>-1.3162200000000001E-2</v>
      </c>
      <c r="J317" s="22">
        <v>307</v>
      </c>
      <c r="K317" s="22">
        <v>0.17352300000000001</v>
      </c>
      <c r="L317">
        <f t="shared" si="48"/>
        <v>16.249629629629627</v>
      </c>
      <c r="M317">
        <f t="shared" si="49"/>
        <v>2.8291092674074072</v>
      </c>
      <c r="N317" s="9"/>
      <c r="O317" s="22">
        <v>1.4459200000000001</v>
      </c>
      <c r="P317" s="22">
        <v>12.8102</v>
      </c>
      <c r="Q317" s="22">
        <v>-8.6364700000000003E-3</v>
      </c>
      <c r="R317" s="22">
        <v>307</v>
      </c>
      <c r="S317" s="22">
        <v>1.4450099999999999</v>
      </c>
      <c r="T317">
        <f t="shared" si="50"/>
        <v>10.662308641975308</v>
      </c>
      <c r="U317">
        <f t="shared" si="51"/>
        <v>15.416845311604938</v>
      </c>
      <c r="X317" s="9"/>
      <c r="Y317" s="22">
        <v>0.17410300000000001</v>
      </c>
      <c r="Z317" s="22">
        <v>18.162299999999998</v>
      </c>
      <c r="AA317" s="22">
        <v>-1.34369E-2</v>
      </c>
      <c r="AB317" s="22">
        <v>307</v>
      </c>
      <c r="AC317" s="22">
        <v>0.17355300000000001</v>
      </c>
      <c r="AD317">
        <f t="shared" si="52"/>
        <v>16.588765432098764</v>
      </c>
      <c r="AE317">
        <f t="shared" si="53"/>
        <v>2.8881538280246914</v>
      </c>
      <c r="AF317" s="9"/>
      <c r="AG317" s="22">
        <v>1.4459200000000001</v>
      </c>
      <c r="AH317" s="22">
        <v>21.820399999999999</v>
      </c>
      <c r="AI317" s="22">
        <v>-8.6944599999999993E-3</v>
      </c>
      <c r="AJ317" s="22">
        <v>307</v>
      </c>
      <c r="AK317" s="22">
        <v>1.4450099999999999</v>
      </c>
      <c r="AL317">
        <f t="shared" si="54"/>
        <v>10.733901234567901</v>
      </c>
      <c r="AM317">
        <f t="shared" si="55"/>
        <v>15.52036247308642</v>
      </c>
      <c r="AP317" s="9"/>
      <c r="AQ317" s="22">
        <v>0.17410300000000001</v>
      </c>
      <c r="AR317" s="22">
        <v>27.156600000000001</v>
      </c>
      <c r="AS317" s="22">
        <v>-1.34491E-2</v>
      </c>
      <c r="AT317" s="22">
        <v>307</v>
      </c>
      <c r="AU317" s="22">
        <v>0.17361499999999999</v>
      </c>
      <c r="AV317">
        <f t="shared" si="56"/>
        <v>16.603827160493829</v>
      </c>
      <c r="AW317">
        <f t="shared" si="57"/>
        <v>2.8907761201234572</v>
      </c>
      <c r="AX317" s="9"/>
      <c r="AY317" s="22">
        <v>1.4459200000000001</v>
      </c>
      <c r="AZ317" s="22">
        <v>30.814599999999999</v>
      </c>
      <c r="BA317" s="22">
        <v>-8.6883499999999992E-3</v>
      </c>
      <c r="BB317" s="22">
        <v>307</v>
      </c>
      <c r="BC317" s="22">
        <v>1.4459200000000001</v>
      </c>
      <c r="BD317">
        <f t="shared" si="58"/>
        <v>10.726358024691356</v>
      </c>
      <c r="BE317">
        <f t="shared" si="59"/>
        <v>15.509455595061727</v>
      </c>
    </row>
    <row r="318" spans="6:57">
      <c r="F318" s="9"/>
      <c r="G318" s="22">
        <v>0.169067</v>
      </c>
      <c r="H318" s="22">
        <v>9.16221</v>
      </c>
      <c r="I318" s="22">
        <v>-1.3168300000000001E-2</v>
      </c>
      <c r="J318" s="22">
        <v>308</v>
      </c>
      <c r="K318" s="22">
        <v>0.16857900000000001</v>
      </c>
      <c r="L318">
        <f t="shared" si="48"/>
        <v>16.257160493827158</v>
      </c>
      <c r="M318">
        <f t="shared" si="49"/>
        <v>2.7485493532098761</v>
      </c>
      <c r="N318" s="9"/>
      <c r="O318" s="22">
        <v>1.45096</v>
      </c>
      <c r="P318" s="22">
        <v>12.8203</v>
      </c>
      <c r="Q318" s="22">
        <v>-8.5266100000000004E-3</v>
      </c>
      <c r="R318" s="22">
        <v>308</v>
      </c>
      <c r="S318" s="22">
        <v>1.4498899999999999</v>
      </c>
      <c r="T318">
        <f t="shared" si="50"/>
        <v>10.52667901234568</v>
      </c>
      <c r="U318">
        <f t="shared" si="51"/>
        <v>15.273790179753087</v>
      </c>
      <c r="X318" s="9"/>
      <c r="Y318" s="22">
        <v>0.169067</v>
      </c>
      <c r="Z318" s="22">
        <v>18.1724</v>
      </c>
      <c r="AA318" s="22">
        <v>-1.3446E-2</v>
      </c>
      <c r="AB318" s="22">
        <v>308</v>
      </c>
      <c r="AC318" s="22">
        <v>0.16857900000000001</v>
      </c>
      <c r="AD318">
        <f t="shared" si="52"/>
        <v>16.599999999999998</v>
      </c>
      <c r="AE318">
        <f t="shared" si="53"/>
        <v>2.8065121999999993</v>
      </c>
      <c r="AF318" s="9"/>
      <c r="AG318" s="22">
        <v>1.45096</v>
      </c>
      <c r="AH318" s="22">
        <v>21.830500000000001</v>
      </c>
      <c r="AI318" s="22">
        <v>-8.5845899999999996E-3</v>
      </c>
      <c r="AJ318" s="22">
        <v>308</v>
      </c>
      <c r="AK318" s="22">
        <v>1.4498899999999999</v>
      </c>
      <c r="AL318">
        <f t="shared" si="54"/>
        <v>10.598259259259258</v>
      </c>
      <c r="AM318">
        <f t="shared" si="55"/>
        <v>15.377650254814814</v>
      </c>
      <c r="AP318" s="9"/>
      <c r="AQ318" s="22">
        <v>0.169067</v>
      </c>
      <c r="AR318" s="22">
        <v>27.166599999999999</v>
      </c>
      <c r="AS318" s="22">
        <v>-1.3443E-2</v>
      </c>
      <c r="AT318" s="22">
        <v>308</v>
      </c>
      <c r="AU318" s="22">
        <v>0.16857900000000001</v>
      </c>
      <c r="AV318">
        <f t="shared" si="56"/>
        <v>16.596296296296295</v>
      </c>
      <c r="AW318">
        <f t="shared" si="57"/>
        <v>2.8058860259259255</v>
      </c>
      <c r="AX318" s="9"/>
      <c r="AY318" s="22">
        <v>1.45096</v>
      </c>
      <c r="AZ318" s="22">
        <v>30.8247</v>
      </c>
      <c r="BA318" s="22">
        <v>-8.5815400000000003E-3</v>
      </c>
      <c r="BB318" s="22">
        <v>308</v>
      </c>
      <c r="BC318" s="22">
        <v>1.4501999999999999</v>
      </c>
      <c r="BD318">
        <f t="shared" si="58"/>
        <v>10.594493827160493</v>
      </c>
      <c r="BE318">
        <f t="shared" si="59"/>
        <v>15.372186763456789</v>
      </c>
    </row>
    <row r="319" spans="6:57">
      <c r="F319" s="9"/>
      <c r="G319" s="22">
        <v>0.16403200000000001</v>
      </c>
      <c r="H319" s="22">
        <v>9.1722800000000007</v>
      </c>
      <c r="I319" s="22">
        <v>-1.31805E-2</v>
      </c>
      <c r="J319" s="22">
        <v>309</v>
      </c>
      <c r="K319" s="22">
        <v>0.16351299999999999</v>
      </c>
      <c r="L319">
        <f t="shared" si="48"/>
        <v>16.272222222222219</v>
      </c>
      <c r="M319">
        <f t="shared" si="49"/>
        <v>2.6691651555555551</v>
      </c>
      <c r="N319" s="9"/>
      <c r="O319" s="22">
        <v>1.4559899999999999</v>
      </c>
      <c r="P319" s="22">
        <v>12.830299999999999</v>
      </c>
      <c r="Q319" s="22">
        <v>-8.4045400000000003E-3</v>
      </c>
      <c r="R319" s="22">
        <v>309</v>
      </c>
      <c r="S319" s="22">
        <v>1.4550799999999999</v>
      </c>
      <c r="T319">
        <f t="shared" si="50"/>
        <v>10.375975308641976</v>
      </c>
      <c r="U319">
        <f t="shared" si="51"/>
        <v>15.10731628962963</v>
      </c>
      <c r="X319" s="9"/>
      <c r="Y319" s="22">
        <v>0.16403200000000001</v>
      </c>
      <c r="Z319" s="22">
        <v>18.182500000000001</v>
      </c>
      <c r="AA319" s="22">
        <v>-1.34521E-2</v>
      </c>
      <c r="AB319" s="22">
        <v>309</v>
      </c>
      <c r="AC319" s="22">
        <v>0.16354399999999999</v>
      </c>
      <c r="AD319">
        <f t="shared" si="52"/>
        <v>16.607530864197528</v>
      </c>
      <c r="AE319">
        <f t="shared" si="53"/>
        <v>2.7241665027160491</v>
      </c>
      <c r="AF319" s="9"/>
      <c r="AG319" s="22">
        <v>1.4559899999999999</v>
      </c>
      <c r="AH319" s="22">
        <v>21.840499999999999</v>
      </c>
      <c r="AI319" s="22">
        <v>-8.4777800000000007E-3</v>
      </c>
      <c r="AJ319" s="22">
        <v>309</v>
      </c>
      <c r="AK319" s="22">
        <v>1.4553799999999999</v>
      </c>
      <c r="AL319">
        <f t="shared" si="54"/>
        <v>10.466395061728395</v>
      </c>
      <c r="AM319">
        <f t="shared" si="55"/>
        <v>15.238966545925924</v>
      </c>
      <c r="AP319" s="9"/>
      <c r="AQ319" s="22">
        <v>0.16403200000000001</v>
      </c>
      <c r="AR319" s="22">
        <v>27.1767</v>
      </c>
      <c r="AS319" s="22">
        <v>-1.3443E-2</v>
      </c>
      <c r="AT319" s="22">
        <v>309</v>
      </c>
      <c r="AU319" s="22">
        <v>0.16351299999999999</v>
      </c>
      <c r="AV319">
        <f t="shared" si="56"/>
        <v>16.596296296296295</v>
      </c>
      <c r="AW319">
        <f t="shared" si="57"/>
        <v>2.7223236740740742</v>
      </c>
      <c r="AX319" s="9"/>
      <c r="AY319" s="22">
        <v>1.4559899999999999</v>
      </c>
      <c r="AZ319" s="22">
        <v>30.834800000000001</v>
      </c>
      <c r="BA319" s="22">
        <v>-8.4655800000000003E-3</v>
      </c>
      <c r="BB319" s="22">
        <v>309</v>
      </c>
      <c r="BC319" s="22">
        <v>1.4553799999999999</v>
      </c>
      <c r="BD319">
        <f t="shared" si="58"/>
        <v>10.451333333333332</v>
      </c>
      <c r="BE319">
        <f t="shared" si="59"/>
        <v>15.217036819999997</v>
      </c>
    </row>
    <row r="320" spans="6:57">
      <c r="F320" s="9"/>
      <c r="G320" s="22">
        <v>0.158997</v>
      </c>
      <c r="H320" s="22">
        <v>9.1823499999999996</v>
      </c>
      <c r="I320" s="22">
        <v>-1.31897E-2</v>
      </c>
      <c r="J320" s="22">
        <v>310</v>
      </c>
      <c r="K320" s="22">
        <v>0.15847800000000001</v>
      </c>
      <c r="L320">
        <f t="shared" si="48"/>
        <v>16.28358024691358</v>
      </c>
      <c r="M320">
        <f t="shared" si="49"/>
        <v>2.5890404085185184</v>
      </c>
      <c r="N320" s="9"/>
      <c r="O320" s="22">
        <v>1.4610300000000001</v>
      </c>
      <c r="P320" s="22">
        <v>12.840400000000001</v>
      </c>
      <c r="Q320" s="22">
        <v>-8.2916299999999995E-3</v>
      </c>
      <c r="R320" s="22">
        <v>310</v>
      </c>
      <c r="S320" s="22">
        <v>1.46027</v>
      </c>
      <c r="T320">
        <f t="shared" si="50"/>
        <v>10.236580246913578</v>
      </c>
      <c r="U320">
        <f t="shared" si="51"/>
        <v>14.955950838148144</v>
      </c>
      <c r="X320" s="9"/>
      <c r="Y320" s="22">
        <v>0.158997</v>
      </c>
      <c r="Z320" s="22">
        <v>18.192599999999999</v>
      </c>
      <c r="AA320" s="22">
        <v>-1.34491E-2</v>
      </c>
      <c r="AB320" s="22">
        <v>310</v>
      </c>
      <c r="AC320" s="22">
        <v>0.15856899999999999</v>
      </c>
      <c r="AD320">
        <f t="shared" si="52"/>
        <v>16.603827160493829</v>
      </c>
      <c r="AE320">
        <f t="shared" si="53"/>
        <v>2.6399587070370374</v>
      </c>
      <c r="AF320" s="9"/>
      <c r="AG320" s="22">
        <v>1.4610300000000001</v>
      </c>
      <c r="AH320" s="22">
        <v>21.8506</v>
      </c>
      <c r="AI320" s="22">
        <v>-8.3587599999999998E-3</v>
      </c>
      <c r="AJ320" s="22">
        <v>310</v>
      </c>
      <c r="AK320" s="22">
        <v>1.4599599999999999</v>
      </c>
      <c r="AL320">
        <f t="shared" si="54"/>
        <v>10.319456790123455</v>
      </c>
      <c r="AM320">
        <f t="shared" si="55"/>
        <v>15.077035954074072</v>
      </c>
      <c r="AP320" s="9"/>
      <c r="AQ320" s="22">
        <v>0.158997</v>
      </c>
      <c r="AR320" s="22">
        <v>27.186800000000002</v>
      </c>
      <c r="AS320" s="22">
        <v>-1.34552E-2</v>
      </c>
      <c r="AT320" s="22">
        <v>310</v>
      </c>
      <c r="AU320" s="22">
        <v>0.15853900000000001</v>
      </c>
      <c r="AV320">
        <f t="shared" si="56"/>
        <v>16.611358024691356</v>
      </c>
      <c r="AW320">
        <f t="shared" si="57"/>
        <v>2.6411560918518515</v>
      </c>
      <c r="AX320" s="9"/>
      <c r="AY320" s="22">
        <v>1.4610300000000001</v>
      </c>
      <c r="AZ320" s="22">
        <v>30.844799999999999</v>
      </c>
      <c r="BA320" s="22">
        <v>-8.3526599999999996E-3</v>
      </c>
      <c r="BB320" s="22">
        <v>310</v>
      </c>
      <c r="BC320" s="22">
        <v>1.4605699999999999</v>
      </c>
      <c r="BD320">
        <f t="shared" si="58"/>
        <v>10.311925925925925</v>
      </c>
      <c r="BE320">
        <f t="shared" si="59"/>
        <v>15.066033135555555</v>
      </c>
    </row>
    <row r="321" spans="6:57">
      <c r="F321" s="9"/>
      <c r="G321" s="22">
        <v>0.15396099999999999</v>
      </c>
      <c r="H321" s="22">
        <v>9.1924200000000003</v>
      </c>
      <c r="I321" s="22">
        <v>-1.3201900000000001E-2</v>
      </c>
      <c r="J321" s="22">
        <v>311</v>
      </c>
      <c r="K321" s="22">
        <v>0.153503</v>
      </c>
      <c r="L321">
        <f t="shared" si="48"/>
        <v>16.298641975308641</v>
      </c>
      <c r="M321">
        <f t="shared" si="49"/>
        <v>2.5093552171604934</v>
      </c>
      <c r="N321" s="9"/>
      <c r="O321" s="22">
        <v>1.4660599999999999</v>
      </c>
      <c r="P321" s="22">
        <v>12.8505</v>
      </c>
      <c r="Q321" s="22">
        <v>-8.1726100000000003E-3</v>
      </c>
      <c r="R321" s="22">
        <v>311</v>
      </c>
      <c r="S321" s="22">
        <v>1.46515</v>
      </c>
      <c r="T321">
        <f t="shared" si="50"/>
        <v>10.089641975308641</v>
      </c>
      <c r="U321">
        <f t="shared" si="51"/>
        <v>14.792020514320987</v>
      </c>
      <c r="X321" s="9"/>
      <c r="Y321" s="22">
        <v>0.15396099999999999</v>
      </c>
      <c r="Z321" s="22">
        <v>18.2026</v>
      </c>
      <c r="AA321" s="22">
        <v>-1.3443E-2</v>
      </c>
      <c r="AB321" s="22">
        <v>311</v>
      </c>
      <c r="AC321" s="22">
        <v>0.153442</v>
      </c>
      <c r="AD321">
        <f t="shared" si="52"/>
        <v>16.596296296296295</v>
      </c>
      <c r="AE321">
        <f t="shared" si="53"/>
        <v>2.5551823740740738</v>
      </c>
      <c r="AF321" s="9"/>
      <c r="AG321" s="22">
        <v>1.4660599999999999</v>
      </c>
      <c r="AH321" s="22">
        <v>21.860700000000001</v>
      </c>
      <c r="AI321" s="22">
        <v>-8.2397500000000005E-3</v>
      </c>
      <c r="AJ321" s="22">
        <v>311</v>
      </c>
      <c r="AK321" s="22">
        <v>1.46576</v>
      </c>
      <c r="AL321">
        <f t="shared" si="54"/>
        <v>10.17253086419753</v>
      </c>
      <c r="AM321">
        <f t="shared" si="55"/>
        <v>14.913540598765429</v>
      </c>
      <c r="AP321" s="9"/>
      <c r="AQ321" s="22">
        <v>0.15396099999999999</v>
      </c>
      <c r="AR321" s="22">
        <v>27.1968</v>
      </c>
      <c r="AS321" s="22">
        <v>-1.34644E-2</v>
      </c>
      <c r="AT321" s="22">
        <v>311</v>
      </c>
      <c r="AU321" s="22">
        <v>0.153442</v>
      </c>
      <c r="AV321">
        <f t="shared" si="56"/>
        <v>16.622716049382717</v>
      </c>
      <c r="AW321">
        <f t="shared" si="57"/>
        <v>2.5592499856790121</v>
      </c>
      <c r="AX321" s="9"/>
      <c r="AY321" s="22">
        <v>1.4660599999999999</v>
      </c>
      <c r="AZ321" s="22">
        <v>30.854900000000001</v>
      </c>
      <c r="BA321" s="22">
        <v>-8.2366899999999996E-3</v>
      </c>
      <c r="BB321" s="22">
        <v>311</v>
      </c>
      <c r="BC321" s="22">
        <v>1.4648399999999999</v>
      </c>
      <c r="BD321">
        <f t="shared" si="58"/>
        <v>10.168753086419752</v>
      </c>
      <c r="BE321">
        <f t="shared" si="59"/>
        <v>14.908002149876541</v>
      </c>
    </row>
    <row r="322" spans="6:57">
      <c r="F322" s="9"/>
      <c r="G322" s="22">
        <v>0.148926</v>
      </c>
      <c r="H322" s="22">
        <v>9.2024899999999992</v>
      </c>
      <c r="I322" s="22">
        <v>-1.3195800000000001E-2</v>
      </c>
      <c r="J322" s="22">
        <v>312</v>
      </c>
      <c r="K322" s="22">
        <v>0.14846799999999999</v>
      </c>
      <c r="L322">
        <f t="shared" si="48"/>
        <v>16.29111111111111</v>
      </c>
      <c r="M322">
        <f t="shared" si="49"/>
        <v>2.4261700133333335</v>
      </c>
      <c r="N322" s="9"/>
      <c r="O322" s="22">
        <v>1.4711000000000001</v>
      </c>
      <c r="P322" s="22">
        <v>12.8605</v>
      </c>
      <c r="Q322" s="22">
        <v>-8.0596899999999996E-3</v>
      </c>
      <c r="R322" s="22">
        <v>312</v>
      </c>
      <c r="S322" s="22">
        <v>1.46973</v>
      </c>
      <c r="T322">
        <f t="shared" si="50"/>
        <v>9.9502345679012336</v>
      </c>
      <c r="U322">
        <f t="shared" si="51"/>
        <v>14.637790072839506</v>
      </c>
      <c r="X322" s="9"/>
      <c r="Y322" s="22">
        <v>0.148926</v>
      </c>
      <c r="Z322" s="22">
        <v>18.212700000000002</v>
      </c>
      <c r="AA322" s="22">
        <v>-1.34369E-2</v>
      </c>
      <c r="AB322" s="22">
        <v>312</v>
      </c>
      <c r="AC322" s="22">
        <v>0.14843799999999999</v>
      </c>
      <c r="AD322">
        <f t="shared" si="52"/>
        <v>16.588765432098764</v>
      </c>
      <c r="AE322">
        <f t="shared" si="53"/>
        <v>2.4704984807407406</v>
      </c>
      <c r="AF322" s="9"/>
      <c r="AG322" s="22">
        <v>1.4711000000000001</v>
      </c>
      <c r="AH322" s="22">
        <v>21.870699999999999</v>
      </c>
      <c r="AI322" s="22">
        <v>-8.1115700000000002E-3</v>
      </c>
      <c r="AJ322" s="22">
        <v>312</v>
      </c>
      <c r="AK322" s="22">
        <v>1.47095</v>
      </c>
      <c r="AL322">
        <f t="shared" si="54"/>
        <v>10.014283950617283</v>
      </c>
      <c r="AM322">
        <f t="shared" si="55"/>
        <v>14.732013119753086</v>
      </c>
      <c r="AP322" s="9"/>
      <c r="AQ322" s="22">
        <v>0.148926</v>
      </c>
      <c r="AR322" s="22">
        <v>27.206900000000001</v>
      </c>
      <c r="AS322" s="22">
        <v>-1.34766E-2</v>
      </c>
      <c r="AT322" s="22">
        <v>312</v>
      </c>
      <c r="AU322" s="22">
        <v>0.14840700000000001</v>
      </c>
      <c r="AV322">
        <f t="shared" si="56"/>
        <v>16.637777777777774</v>
      </c>
      <c r="AW322">
        <f t="shared" si="57"/>
        <v>2.4777976933333328</v>
      </c>
      <c r="AX322" s="9"/>
      <c r="AY322" s="22">
        <v>1.4711000000000001</v>
      </c>
      <c r="AZ322" s="22">
        <v>30.864999999999998</v>
      </c>
      <c r="BA322" s="22">
        <v>-8.1146199999999995E-3</v>
      </c>
      <c r="BB322" s="22">
        <v>312</v>
      </c>
      <c r="BC322" s="22">
        <v>1.4700299999999999</v>
      </c>
      <c r="BD322">
        <f t="shared" si="58"/>
        <v>10.018049382716047</v>
      </c>
      <c r="BE322">
        <f t="shared" si="59"/>
        <v>14.737552446913577</v>
      </c>
    </row>
    <row r="323" spans="6:57">
      <c r="F323" s="9"/>
      <c r="G323" s="22">
        <v>0.14388999999999999</v>
      </c>
      <c r="H323" s="22">
        <v>9.2125599999999999</v>
      </c>
      <c r="I323" s="22">
        <v>-1.31866E-2</v>
      </c>
      <c r="J323" s="22">
        <v>313</v>
      </c>
      <c r="K323" s="22">
        <v>0.143433</v>
      </c>
      <c r="L323">
        <f t="shared" si="48"/>
        <v>16.279753086419749</v>
      </c>
      <c r="M323">
        <f t="shared" si="49"/>
        <v>2.3424936716049376</v>
      </c>
      <c r="N323" s="9"/>
      <c r="O323" s="22">
        <v>1.47614</v>
      </c>
      <c r="P323" s="22">
        <v>12.8706</v>
      </c>
      <c r="Q323" s="22">
        <v>-7.9406700000000004E-3</v>
      </c>
      <c r="R323" s="22">
        <v>313</v>
      </c>
      <c r="S323" s="22">
        <v>1.4749099999999999</v>
      </c>
      <c r="T323">
        <f t="shared" si="50"/>
        <v>9.8032962962962955</v>
      </c>
      <c r="U323">
        <f t="shared" si="51"/>
        <v>14.471037794814814</v>
      </c>
      <c r="X323" s="9"/>
      <c r="Y323" s="22">
        <v>0.14388999999999999</v>
      </c>
      <c r="Z323" s="22">
        <v>18.222799999999999</v>
      </c>
      <c r="AA323" s="22">
        <v>-1.34369E-2</v>
      </c>
      <c r="AB323" s="22">
        <v>313</v>
      </c>
      <c r="AC323" s="22">
        <v>0.14346300000000001</v>
      </c>
      <c r="AD323">
        <f t="shared" si="52"/>
        <v>16.588765432098764</v>
      </c>
      <c r="AE323">
        <f t="shared" si="53"/>
        <v>2.3869574580246908</v>
      </c>
      <c r="AF323" s="9"/>
      <c r="AG323" s="22">
        <v>1.47614</v>
      </c>
      <c r="AH323" s="22">
        <v>21.880800000000001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9.8711234567901247</v>
      </c>
      <c r="AM323">
        <f t="shared" si="55"/>
        <v>14.571160179506174</v>
      </c>
      <c r="AP323" s="9"/>
      <c r="AQ323" s="22">
        <v>0.14388999999999999</v>
      </c>
      <c r="AR323" s="22">
        <v>27.216999999999999</v>
      </c>
      <c r="AS323" s="22">
        <v>-1.3494900000000001E-2</v>
      </c>
      <c r="AT323" s="22">
        <v>313</v>
      </c>
      <c r="AU323" s="22">
        <v>0.143402</v>
      </c>
      <c r="AV323">
        <f t="shared" si="56"/>
        <v>16.660370370370369</v>
      </c>
      <c r="AW323">
        <f t="shared" si="57"/>
        <v>2.3972606925925923</v>
      </c>
      <c r="AX323" s="9"/>
      <c r="AY323" s="22">
        <v>1.47614</v>
      </c>
      <c r="AZ323" s="22">
        <v>30.875</v>
      </c>
      <c r="BA323" s="22">
        <v>-7.9833999999999999E-3</v>
      </c>
      <c r="BB323" s="22">
        <v>313</v>
      </c>
      <c r="BC323" s="22">
        <v>1.4755199999999999</v>
      </c>
      <c r="BD323">
        <f t="shared" si="58"/>
        <v>9.8560493827160478</v>
      </c>
      <c r="BE323">
        <f t="shared" si="59"/>
        <v>14.548908735802467</v>
      </c>
    </row>
    <row r="324" spans="6:57">
      <c r="F324" s="9"/>
      <c r="G324" s="22">
        <v>0.13885500000000001</v>
      </c>
      <c r="H324" s="22">
        <v>9.2226300000000005</v>
      </c>
      <c r="I324" s="22">
        <v>-1.31836E-2</v>
      </c>
      <c r="J324" s="22">
        <v>314</v>
      </c>
      <c r="K324" s="22">
        <v>0.13836699999999999</v>
      </c>
      <c r="L324">
        <f t="shared" si="48"/>
        <v>16.276049382716046</v>
      </c>
      <c r="M324">
        <f t="shared" si="49"/>
        <v>2.2600108370370369</v>
      </c>
      <c r="N324" s="9"/>
      <c r="O324" s="22">
        <v>1.4811700000000001</v>
      </c>
      <c r="P324" s="22">
        <v>12.880699999999999</v>
      </c>
      <c r="Q324" s="22">
        <v>-7.8216599999999994E-3</v>
      </c>
      <c r="R324" s="22">
        <v>314</v>
      </c>
      <c r="S324" s="22">
        <v>1.48102</v>
      </c>
      <c r="T324">
        <f t="shared" si="50"/>
        <v>9.6563703703703698</v>
      </c>
      <c r="U324">
        <f t="shared" si="51"/>
        <v>14.302726101481481</v>
      </c>
      <c r="X324" s="9"/>
      <c r="Y324" s="22">
        <v>0.13885500000000001</v>
      </c>
      <c r="Z324" s="22">
        <v>18.232800000000001</v>
      </c>
      <c r="AA324" s="22">
        <v>-1.3439899999999999E-2</v>
      </c>
      <c r="AB324" s="22">
        <v>314</v>
      </c>
      <c r="AC324" s="22">
        <v>0.13836699999999999</v>
      </c>
      <c r="AD324">
        <f t="shared" si="52"/>
        <v>16.592469135802467</v>
      </c>
      <c r="AE324">
        <f t="shared" si="53"/>
        <v>2.3039473018518519</v>
      </c>
      <c r="AF324" s="9"/>
      <c r="AG324" s="22">
        <v>1.4811700000000001</v>
      </c>
      <c r="AH324" s="22">
        <v>21.890899999999998</v>
      </c>
      <c r="AI324" s="22">
        <v>-7.8704799999999991E-3</v>
      </c>
      <c r="AJ324" s="22">
        <v>314</v>
      </c>
      <c r="AK324" s="22">
        <v>1.48071</v>
      </c>
      <c r="AL324">
        <f t="shared" si="54"/>
        <v>9.7166419753086402</v>
      </c>
      <c r="AM324">
        <f t="shared" si="55"/>
        <v>14.3919985945679</v>
      </c>
      <c r="AP324" s="9"/>
      <c r="AQ324" s="22">
        <v>0.13885500000000001</v>
      </c>
      <c r="AR324" s="22">
        <v>27.2271</v>
      </c>
      <c r="AS324" s="22">
        <v>-1.3507099999999999E-2</v>
      </c>
      <c r="AT324" s="22">
        <v>314</v>
      </c>
      <c r="AU324" s="22">
        <v>0.13836699999999999</v>
      </c>
      <c r="AV324">
        <f t="shared" si="56"/>
        <v>16.67543209876543</v>
      </c>
      <c r="AW324">
        <f t="shared" si="57"/>
        <v>2.3154671240740741</v>
      </c>
      <c r="AX324" s="9"/>
      <c r="AY324" s="22">
        <v>1.4811700000000001</v>
      </c>
      <c r="AZ324" s="22">
        <v>30.885100000000001</v>
      </c>
      <c r="BA324" s="22">
        <v>-7.8582800000000005E-3</v>
      </c>
      <c r="BB324" s="22">
        <v>314</v>
      </c>
      <c r="BC324" s="22">
        <v>1.48041</v>
      </c>
      <c r="BD324">
        <f t="shared" si="58"/>
        <v>9.7015802469135792</v>
      </c>
      <c r="BE324">
        <f t="shared" si="59"/>
        <v>14.369689614320986</v>
      </c>
    </row>
    <row r="325" spans="6:57">
      <c r="F325" s="9"/>
      <c r="G325" s="22">
        <v>0.13381999999999999</v>
      </c>
      <c r="H325" s="22">
        <v>9.2326999999999995</v>
      </c>
      <c r="I325" s="22">
        <v>-1.31897E-2</v>
      </c>
      <c r="J325" s="22">
        <v>315</v>
      </c>
      <c r="K325" s="22">
        <v>0.13333100000000001</v>
      </c>
      <c r="L325">
        <f t="shared" si="48"/>
        <v>16.28358024691358</v>
      </c>
      <c r="M325">
        <f t="shared" si="49"/>
        <v>2.1790687086419753</v>
      </c>
      <c r="N325" s="9"/>
      <c r="O325" s="22">
        <v>1.48621</v>
      </c>
      <c r="P325" s="22">
        <v>12.8908</v>
      </c>
      <c r="Q325" s="22">
        <v>-7.6934799999999999E-3</v>
      </c>
      <c r="R325" s="22">
        <v>315</v>
      </c>
      <c r="S325" s="22">
        <v>1.48529</v>
      </c>
      <c r="T325">
        <f t="shared" si="50"/>
        <v>9.4981234567901218</v>
      </c>
      <c r="U325">
        <f t="shared" si="51"/>
        <v>14.116206062716047</v>
      </c>
      <c r="X325" s="9"/>
      <c r="Y325" s="22">
        <v>0.13381999999999999</v>
      </c>
      <c r="Z325" s="22">
        <v>18.242899999999999</v>
      </c>
      <c r="AA325" s="22">
        <v>-1.3439899999999999E-2</v>
      </c>
      <c r="AB325" s="22">
        <v>315</v>
      </c>
      <c r="AC325" s="22">
        <v>0.13324</v>
      </c>
      <c r="AD325">
        <f t="shared" si="52"/>
        <v>16.592469135802467</v>
      </c>
      <c r="AE325">
        <f t="shared" si="53"/>
        <v>2.2204042197530862</v>
      </c>
      <c r="AF325" s="9"/>
      <c r="AG325" s="22">
        <v>1.48621</v>
      </c>
      <c r="AH325" s="22">
        <v>21.901</v>
      </c>
      <c r="AI325" s="22">
        <v>-7.7453599999999997E-3</v>
      </c>
      <c r="AJ325" s="22">
        <v>315</v>
      </c>
      <c r="AK325" s="22">
        <v>1.48499</v>
      </c>
      <c r="AL325">
        <f t="shared" si="54"/>
        <v>9.5621728395061716</v>
      </c>
      <c r="AM325">
        <f t="shared" si="55"/>
        <v>14.211396895802467</v>
      </c>
      <c r="AP325" s="9"/>
      <c r="AQ325" s="22">
        <v>0.13381999999999999</v>
      </c>
      <c r="AR325" s="22">
        <v>27.237100000000002</v>
      </c>
      <c r="AS325" s="22">
        <v>-1.3522299999999999E-2</v>
      </c>
      <c r="AT325" s="22">
        <v>315</v>
      </c>
      <c r="AU325" s="22">
        <v>0.13333100000000001</v>
      </c>
      <c r="AV325">
        <f t="shared" si="56"/>
        <v>16.694197530864194</v>
      </c>
      <c r="AW325">
        <f t="shared" si="57"/>
        <v>2.2340175135802465</v>
      </c>
      <c r="AX325" s="9"/>
      <c r="AY325" s="22">
        <v>1.48621</v>
      </c>
      <c r="AZ325" s="22">
        <v>30.895199999999999</v>
      </c>
      <c r="BA325" s="22">
        <v>-7.7270500000000001E-3</v>
      </c>
      <c r="BB325" s="22">
        <v>315</v>
      </c>
      <c r="BC325" s="22">
        <v>1.4859</v>
      </c>
      <c r="BD325">
        <f t="shared" si="58"/>
        <v>9.539567901234566</v>
      </c>
      <c r="BE325">
        <f t="shared" si="59"/>
        <v>14.177801210493824</v>
      </c>
    </row>
    <row r="326" spans="6:57">
      <c r="F326" s="9"/>
      <c r="G326" s="22">
        <v>0.12878400000000001</v>
      </c>
      <c r="H326" s="22">
        <v>9.2427700000000002</v>
      </c>
      <c r="I326" s="22">
        <v>-1.3195800000000001E-2</v>
      </c>
      <c r="J326" s="22">
        <v>316</v>
      </c>
      <c r="K326" s="22">
        <v>0.12826499999999999</v>
      </c>
      <c r="L326">
        <f t="shared" si="48"/>
        <v>16.29111111111111</v>
      </c>
      <c r="M326">
        <f t="shared" si="49"/>
        <v>2.0980344533333333</v>
      </c>
      <c r="N326" s="9"/>
      <c r="O326" s="22">
        <v>1.4912399999999999</v>
      </c>
      <c r="P326" s="22">
        <v>12.9008</v>
      </c>
      <c r="Q326" s="22">
        <v>-7.5714099999999998E-3</v>
      </c>
      <c r="R326" s="22">
        <v>316</v>
      </c>
      <c r="S326" s="22">
        <v>1.49017</v>
      </c>
      <c r="T326">
        <f t="shared" si="50"/>
        <v>9.3474197530864185</v>
      </c>
      <c r="U326">
        <f t="shared" si="51"/>
        <v>13.939246232592589</v>
      </c>
      <c r="X326" s="9"/>
      <c r="Y326" s="22">
        <v>0.12878400000000001</v>
      </c>
      <c r="Z326" s="22">
        <v>18.253</v>
      </c>
      <c r="AA326" s="22">
        <v>-1.3443E-2</v>
      </c>
      <c r="AB326" s="22">
        <v>316</v>
      </c>
      <c r="AC326" s="22">
        <v>0.12829599999999999</v>
      </c>
      <c r="AD326">
        <f t="shared" si="52"/>
        <v>16.596296296296295</v>
      </c>
      <c r="AE326">
        <f t="shared" si="53"/>
        <v>2.1373374222222221</v>
      </c>
      <c r="AF326" s="9"/>
      <c r="AG326" s="22">
        <v>1.4912399999999999</v>
      </c>
      <c r="AH326" s="22">
        <v>21.911000000000001</v>
      </c>
      <c r="AI326" s="22">
        <v>-7.6171900000000002E-3</v>
      </c>
      <c r="AJ326" s="22">
        <v>316</v>
      </c>
      <c r="AK326" s="22">
        <v>1.49017</v>
      </c>
      <c r="AL326">
        <f t="shared" si="54"/>
        <v>9.4039382716049396</v>
      </c>
      <c r="AM326">
        <f t="shared" si="55"/>
        <v>14.023528908148149</v>
      </c>
      <c r="AP326" s="9"/>
      <c r="AQ326" s="22">
        <v>0.12878400000000001</v>
      </c>
      <c r="AR326" s="22">
        <v>27.247199999999999</v>
      </c>
      <c r="AS326" s="22">
        <v>-1.35406E-2</v>
      </c>
      <c r="AT326" s="22">
        <v>316</v>
      </c>
      <c r="AU326" s="22">
        <v>0.12823499999999999</v>
      </c>
      <c r="AV326">
        <f t="shared" si="56"/>
        <v>16.716790123456789</v>
      </c>
      <c r="AW326">
        <f t="shared" si="57"/>
        <v>2.1528550992592592</v>
      </c>
      <c r="AX326" s="9"/>
      <c r="AY326" s="22">
        <v>1.4912399999999999</v>
      </c>
      <c r="AZ326" s="22">
        <v>30.9053</v>
      </c>
      <c r="BA326" s="22">
        <v>-7.5958299999999996E-3</v>
      </c>
      <c r="BB326" s="22">
        <v>316</v>
      </c>
      <c r="BC326" s="22">
        <v>1.49078</v>
      </c>
      <c r="BD326">
        <f t="shared" si="58"/>
        <v>9.3775679012345652</v>
      </c>
      <c r="BE326">
        <f t="shared" si="59"/>
        <v>13.984204357037033</v>
      </c>
    </row>
    <row r="327" spans="6:57">
      <c r="F327" s="9"/>
      <c r="G327" s="22">
        <v>0.123749</v>
      </c>
      <c r="H327" s="22">
        <v>9.2528500000000005</v>
      </c>
      <c r="I327" s="22">
        <v>-1.3201900000000001E-2</v>
      </c>
      <c r="J327" s="22">
        <v>317</v>
      </c>
      <c r="K327" s="22">
        <v>0.12325999999999999</v>
      </c>
      <c r="L327">
        <f t="shared" si="48"/>
        <v>16.298641975308641</v>
      </c>
      <c r="M327">
        <f t="shared" si="49"/>
        <v>2.0169406458024688</v>
      </c>
      <c r="N327" s="9"/>
      <c r="O327" s="22">
        <v>1.4962800000000001</v>
      </c>
      <c r="P327" s="22">
        <v>12.9109</v>
      </c>
      <c r="Q327" s="22">
        <v>-7.43408E-3</v>
      </c>
      <c r="R327" s="22">
        <v>317</v>
      </c>
      <c r="S327" s="22">
        <v>1.49475</v>
      </c>
      <c r="T327">
        <f t="shared" si="50"/>
        <v>9.1778765432098766</v>
      </c>
      <c r="U327">
        <f t="shared" si="51"/>
        <v>13.732673114074075</v>
      </c>
      <c r="X327" s="9"/>
      <c r="Y327" s="22">
        <v>0.123749</v>
      </c>
      <c r="Z327" s="22">
        <v>18.263100000000001</v>
      </c>
      <c r="AA327" s="22">
        <v>-1.3439899999999999E-2</v>
      </c>
      <c r="AB327" s="22">
        <v>317</v>
      </c>
      <c r="AC327" s="22">
        <v>0.123169</v>
      </c>
      <c r="AD327">
        <f t="shared" si="52"/>
        <v>16.592469135802467</v>
      </c>
      <c r="AE327">
        <f t="shared" si="53"/>
        <v>2.0533014630864197</v>
      </c>
      <c r="AF327" s="9"/>
      <c r="AG327" s="22">
        <v>1.4962800000000001</v>
      </c>
      <c r="AH327" s="22">
        <v>21.921099999999999</v>
      </c>
      <c r="AI327" s="22">
        <v>-7.4890099999999999E-3</v>
      </c>
      <c r="AJ327" s="22">
        <v>317</v>
      </c>
      <c r="AK327" s="22">
        <v>1.49536</v>
      </c>
      <c r="AL327">
        <f t="shared" si="54"/>
        <v>9.2456913580246898</v>
      </c>
      <c r="AM327">
        <f t="shared" si="55"/>
        <v>13.834143065185183</v>
      </c>
      <c r="AP327" s="9"/>
      <c r="AQ327" s="22">
        <v>0.123749</v>
      </c>
      <c r="AR327" s="22">
        <v>27.257300000000001</v>
      </c>
      <c r="AS327" s="22">
        <v>-1.3543700000000001E-2</v>
      </c>
      <c r="AT327" s="22">
        <v>317</v>
      </c>
      <c r="AU327" s="22">
        <v>0.12323000000000001</v>
      </c>
      <c r="AV327">
        <f t="shared" si="56"/>
        <v>16.720617283950617</v>
      </c>
      <c r="AW327">
        <f t="shared" si="57"/>
        <v>2.0691596682716047</v>
      </c>
      <c r="AX327" s="9"/>
      <c r="AY327" s="22">
        <v>1.4962800000000001</v>
      </c>
      <c r="AZ327" s="22">
        <v>30.915299999999998</v>
      </c>
      <c r="BA327" s="22">
        <v>-7.4584999999999999E-3</v>
      </c>
      <c r="BB327" s="22">
        <v>317</v>
      </c>
      <c r="BC327" s="22">
        <v>1.49536</v>
      </c>
      <c r="BD327">
        <f t="shared" si="58"/>
        <v>9.2080246913580233</v>
      </c>
      <c r="BE327">
        <f t="shared" si="59"/>
        <v>13.777783185185184</v>
      </c>
    </row>
    <row r="328" spans="6:57">
      <c r="F328" s="9"/>
      <c r="G328" s="22">
        <v>0.118713</v>
      </c>
      <c r="H328" s="22">
        <v>9.2629199999999994</v>
      </c>
      <c r="I328" s="22">
        <v>-1.3205E-2</v>
      </c>
      <c r="J328" s="22">
        <v>318</v>
      </c>
      <c r="K328" s="22">
        <v>0.11819499999999999</v>
      </c>
      <c r="L328">
        <f t="shared" si="48"/>
        <v>16.302469135802468</v>
      </c>
      <c r="M328">
        <f t="shared" si="49"/>
        <v>1.9353150185185184</v>
      </c>
      <c r="N328" s="9"/>
      <c r="O328" s="22">
        <v>1.5013099999999999</v>
      </c>
      <c r="P328" s="22">
        <v>12.920999999999999</v>
      </c>
      <c r="Q328" s="22">
        <v>-7.3059099999999997E-3</v>
      </c>
      <c r="R328" s="22">
        <v>318</v>
      </c>
      <c r="S328" s="22">
        <v>1.5005500000000001</v>
      </c>
      <c r="T328">
        <f t="shared" si="50"/>
        <v>9.019641975308641</v>
      </c>
      <c r="U328">
        <f t="shared" si="51"/>
        <v>13.541278693950614</v>
      </c>
      <c r="X328" s="9"/>
      <c r="Y328" s="22">
        <v>0.118713</v>
      </c>
      <c r="Z328" s="22">
        <v>18.273099999999999</v>
      </c>
      <c r="AA328" s="22">
        <v>-1.34369E-2</v>
      </c>
      <c r="AB328" s="22">
        <v>318</v>
      </c>
      <c r="AC328" s="22">
        <v>0.118225</v>
      </c>
      <c r="AD328">
        <f t="shared" si="52"/>
        <v>16.588765432098764</v>
      </c>
      <c r="AE328">
        <f t="shared" si="53"/>
        <v>1.9693021107407407</v>
      </c>
      <c r="AF328" s="9"/>
      <c r="AG328" s="22">
        <v>1.5013099999999999</v>
      </c>
      <c r="AH328" s="22">
        <v>21.9312</v>
      </c>
      <c r="AI328" s="22">
        <v>-7.3547400000000002E-3</v>
      </c>
      <c r="AJ328" s="22">
        <v>318</v>
      </c>
      <c r="AK328" s="22">
        <v>1.4999400000000001</v>
      </c>
      <c r="AL328">
        <f t="shared" si="54"/>
        <v>9.0799259259259255</v>
      </c>
      <c r="AM328">
        <f t="shared" si="55"/>
        <v>13.63178359185185</v>
      </c>
      <c r="AP328" s="9"/>
      <c r="AQ328" s="22">
        <v>0.118713</v>
      </c>
      <c r="AR328" s="22">
        <v>27.267299999999999</v>
      </c>
      <c r="AS328" s="22">
        <v>-1.35376E-2</v>
      </c>
      <c r="AT328" s="22">
        <v>318</v>
      </c>
      <c r="AU328" s="22">
        <v>0.11816400000000001</v>
      </c>
      <c r="AV328">
        <f t="shared" si="56"/>
        <v>16.713086419753086</v>
      </c>
      <c r="AW328">
        <f t="shared" si="57"/>
        <v>1.9840606281481481</v>
      </c>
      <c r="AX328" s="9"/>
      <c r="AY328" s="22">
        <v>1.5013099999999999</v>
      </c>
      <c r="AZ328" s="22">
        <v>30.9254</v>
      </c>
      <c r="BA328" s="22">
        <v>-7.3242200000000002E-3</v>
      </c>
      <c r="BB328" s="22">
        <v>318</v>
      </c>
      <c r="BC328" s="22">
        <v>1.50024</v>
      </c>
      <c r="BD328">
        <f t="shared" si="58"/>
        <v>9.0422469135802466</v>
      </c>
      <c r="BE328">
        <f t="shared" si="59"/>
        <v>13.575215713827159</v>
      </c>
    </row>
    <row r="329" spans="6:57">
      <c r="F329" s="9"/>
      <c r="G329" s="22">
        <v>0.113678</v>
      </c>
      <c r="H329" s="22">
        <v>9.2729900000000001</v>
      </c>
      <c r="I329" s="22">
        <v>-1.3201900000000001E-2</v>
      </c>
      <c r="J329" s="22">
        <v>319</v>
      </c>
      <c r="K329" s="22">
        <v>0.11322</v>
      </c>
      <c r="L329">
        <f t="shared" si="48"/>
        <v>16.298641975308641</v>
      </c>
      <c r="M329">
        <f t="shared" si="49"/>
        <v>1.8527970224691357</v>
      </c>
      <c r="N329" s="9"/>
      <c r="O329" s="22">
        <v>1.5063500000000001</v>
      </c>
      <c r="P329" s="22">
        <v>12.930999999999999</v>
      </c>
      <c r="Q329" s="22">
        <v>-7.1655299999999998E-3</v>
      </c>
      <c r="R329" s="22">
        <v>319</v>
      </c>
      <c r="S329" s="22">
        <v>1.50543</v>
      </c>
      <c r="T329">
        <f t="shared" si="50"/>
        <v>8.846333333333332</v>
      </c>
      <c r="U329">
        <f t="shared" si="51"/>
        <v>13.325674216666666</v>
      </c>
      <c r="X329" s="9"/>
      <c r="Y329" s="22">
        <v>0.113678</v>
      </c>
      <c r="Z329" s="22">
        <v>18.283200000000001</v>
      </c>
      <c r="AA329" s="22">
        <v>-1.3446E-2</v>
      </c>
      <c r="AB329" s="22">
        <v>319</v>
      </c>
      <c r="AC329" s="22">
        <v>0.11319</v>
      </c>
      <c r="AD329">
        <f t="shared" si="52"/>
        <v>16.599999999999998</v>
      </c>
      <c r="AE329">
        <f t="shared" si="53"/>
        <v>1.8870547999999998</v>
      </c>
      <c r="AF329" s="9"/>
      <c r="AG329" s="22">
        <v>1.5063500000000001</v>
      </c>
      <c r="AH329" s="22">
        <v>21.941199999999998</v>
      </c>
      <c r="AI329" s="22">
        <v>-7.2204599999999997E-3</v>
      </c>
      <c r="AJ329" s="22">
        <v>319</v>
      </c>
      <c r="AK329" s="22">
        <v>1.50543</v>
      </c>
      <c r="AL329">
        <f t="shared" si="54"/>
        <v>8.914148148148147</v>
      </c>
      <c r="AM329">
        <f t="shared" si="55"/>
        <v>13.427827062962962</v>
      </c>
      <c r="AP329" s="9"/>
      <c r="AQ329" s="22">
        <v>0.113678</v>
      </c>
      <c r="AR329" s="22">
        <v>27.2774</v>
      </c>
      <c r="AS329" s="22">
        <v>-1.35315E-2</v>
      </c>
      <c r="AT329" s="22">
        <v>319</v>
      </c>
      <c r="AU329" s="22">
        <v>0.11319</v>
      </c>
      <c r="AV329">
        <f t="shared" si="56"/>
        <v>16.705555555555552</v>
      </c>
      <c r="AW329">
        <f t="shared" si="57"/>
        <v>1.899054144444444</v>
      </c>
      <c r="AX329" s="9"/>
      <c r="AY329" s="22">
        <v>1.5063500000000001</v>
      </c>
      <c r="AZ329" s="22">
        <v>30.935500000000001</v>
      </c>
      <c r="BA329" s="22">
        <v>-7.1838400000000004E-3</v>
      </c>
      <c r="BB329" s="22">
        <v>319</v>
      </c>
      <c r="BC329" s="22">
        <v>1.5051300000000001</v>
      </c>
      <c r="BD329">
        <f t="shared" si="58"/>
        <v>8.8689382716049376</v>
      </c>
      <c r="BE329">
        <f t="shared" si="59"/>
        <v>13.359725165432099</v>
      </c>
    </row>
    <row r="330" spans="6:57">
      <c r="F330" s="9"/>
      <c r="G330" s="22">
        <v>0.108643</v>
      </c>
      <c r="H330" s="22">
        <v>9.2830600000000008</v>
      </c>
      <c r="I330" s="22">
        <v>-1.32111E-2</v>
      </c>
      <c r="J330" s="22">
        <v>320</v>
      </c>
      <c r="K330" s="22">
        <v>0.108185</v>
      </c>
      <c r="L330">
        <f t="shared" si="48"/>
        <v>16.309999999999999</v>
      </c>
      <c r="M330">
        <f t="shared" si="49"/>
        <v>1.7719673299999998</v>
      </c>
      <c r="N330" s="9"/>
      <c r="O330" s="22">
        <v>1.5113799999999999</v>
      </c>
      <c r="P330" s="22">
        <v>12.9411</v>
      </c>
      <c r="Q330" s="22">
        <v>-7.0343000000000003E-3</v>
      </c>
      <c r="R330" s="22">
        <v>320</v>
      </c>
      <c r="S330" s="22">
        <v>1.5097</v>
      </c>
      <c r="T330">
        <f t="shared" si="50"/>
        <v>8.6843209876543206</v>
      </c>
      <c r="U330">
        <f t="shared" si="51"/>
        <v>13.125309054320986</v>
      </c>
      <c r="X330" s="9"/>
      <c r="Y330" s="22">
        <v>0.108643</v>
      </c>
      <c r="Z330" s="22">
        <v>18.293299999999999</v>
      </c>
      <c r="AA330" s="22">
        <v>-1.3461300000000001E-2</v>
      </c>
      <c r="AB330" s="22">
        <v>320</v>
      </c>
      <c r="AC330" s="22">
        <v>0.108154</v>
      </c>
      <c r="AD330">
        <f t="shared" si="52"/>
        <v>16.618888888888886</v>
      </c>
      <c r="AE330">
        <f t="shared" si="53"/>
        <v>1.8055259455555552</v>
      </c>
      <c r="AF330" s="9"/>
      <c r="AG330" s="22">
        <v>1.5113799999999999</v>
      </c>
      <c r="AH330" s="22">
        <v>21.9513</v>
      </c>
      <c r="AI330" s="22">
        <v>-7.0770299999999998E-3</v>
      </c>
      <c r="AJ330" s="22">
        <v>320</v>
      </c>
      <c r="AK330" s="22">
        <v>1.51031</v>
      </c>
      <c r="AL330">
        <f t="shared" si="54"/>
        <v>8.7370740740740729</v>
      </c>
      <c r="AM330">
        <f t="shared" si="55"/>
        <v>13.205039014074071</v>
      </c>
      <c r="AP330" s="9"/>
      <c r="AQ330" s="22">
        <v>0.108643</v>
      </c>
      <c r="AR330" s="22">
        <v>27.287500000000001</v>
      </c>
      <c r="AS330" s="22">
        <v>-1.35315E-2</v>
      </c>
      <c r="AT330" s="22">
        <v>320</v>
      </c>
      <c r="AU330" s="22">
        <v>0.10809299999999999</v>
      </c>
      <c r="AV330">
        <f t="shared" si="56"/>
        <v>16.705555555555552</v>
      </c>
      <c r="AW330">
        <f t="shared" si="57"/>
        <v>1.8149416722222218</v>
      </c>
      <c r="AX330" s="9"/>
      <c r="AY330" s="22">
        <v>1.5113799999999999</v>
      </c>
      <c r="AZ330" s="22">
        <v>30.945499999999999</v>
      </c>
      <c r="BA330" s="22">
        <v>-7.0465099999999998E-3</v>
      </c>
      <c r="BB330" s="22">
        <v>320</v>
      </c>
      <c r="BC330" s="22">
        <v>1.51031</v>
      </c>
      <c r="BD330">
        <f t="shared" si="58"/>
        <v>8.6993950617283939</v>
      </c>
      <c r="BE330">
        <f t="shared" si="59"/>
        <v>13.148091708395059</v>
      </c>
    </row>
    <row r="331" spans="6:57">
      <c r="F331" s="9"/>
      <c r="G331" s="22">
        <v>0.103607</v>
      </c>
      <c r="H331" s="22">
        <v>9.2931299999999997</v>
      </c>
      <c r="I331" s="22">
        <v>-1.32263E-2</v>
      </c>
      <c r="J331" s="22">
        <v>321</v>
      </c>
      <c r="K331" s="22">
        <v>0.103088</v>
      </c>
      <c r="L331">
        <f t="shared" si="48"/>
        <v>16.328765432098766</v>
      </c>
      <c r="M331">
        <f t="shared" si="49"/>
        <v>1.6917744001234569</v>
      </c>
      <c r="N331" s="9"/>
      <c r="O331" s="22">
        <v>1.5164200000000001</v>
      </c>
      <c r="P331" s="22">
        <v>12.9512</v>
      </c>
      <c r="Q331" s="22">
        <v>-6.8878200000000002E-3</v>
      </c>
      <c r="R331" s="22">
        <v>321</v>
      </c>
      <c r="S331" s="22">
        <v>1.5152000000000001</v>
      </c>
      <c r="T331">
        <f t="shared" si="50"/>
        <v>8.5034814814814812</v>
      </c>
      <c r="U331">
        <f t="shared" si="51"/>
        <v>12.894849388148149</v>
      </c>
      <c r="X331" s="9"/>
      <c r="Y331" s="22">
        <v>0.103607</v>
      </c>
      <c r="Z331" s="22">
        <v>18.3033</v>
      </c>
      <c r="AA331" s="22">
        <v>-1.34644E-2</v>
      </c>
      <c r="AB331" s="22">
        <v>321</v>
      </c>
      <c r="AC331" s="22">
        <v>0.103119</v>
      </c>
      <c r="AD331">
        <f t="shared" si="52"/>
        <v>16.622716049382717</v>
      </c>
      <c r="AE331">
        <f t="shared" si="53"/>
        <v>1.7222297417283952</v>
      </c>
      <c r="AF331" s="9"/>
      <c r="AG331" s="22">
        <v>1.5164200000000001</v>
      </c>
      <c r="AH331" s="22">
        <v>21.961400000000001</v>
      </c>
      <c r="AI331" s="22">
        <v>-6.9397E-3</v>
      </c>
      <c r="AJ331" s="22">
        <v>321</v>
      </c>
      <c r="AK331" s="22">
        <v>1.5155000000000001</v>
      </c>
      <c r="AL331">
        <f t="shared" si="54"/>
        <v>8.5675308641975292</v>
      </c>
      <c r="AM331">
        <f t="shared" si="55"/>
        <v>12.991975153086418</v>
      </c>
      <c r="AP331" s="9"/>
      <c r="AQ331" s="22">
        <v>0.103607</v>
      </c>
      <c r="AR331" s="22">
        <v>27.297599999999999</v>
      </c>
      <c r="AS331" s="22">
        <v>-1.35254E-2</v>
      </c>
      <c r="AT331" s="22">
        <v>321</v>
      </c>
      <c r="AU331" s="22">
        <v>0.103119</v>
      </c>
      <c r="AV331">
        <f t="shared" si="56"/>
        <v>16.698024691358025</v>
      </c>
      <c r="AW331">
        <f t="shared" si="57"/>
        <v>1.7300322441975311</v>
      </c>
      <c r="AX331" s="9"/>
      <c r="AY331" s="22">
        <v>1.5164200000000001</v>
      </c>
      <c r="AZ331" s="22">
        <v>30.9556</v>
      </c>
      <c r="BA331" s="22">
        <v>-6.9030799999999998E-3</v>
      </c>
      <c r="BB331" s="22">
        <v>321</v>
      </c>
      <c r="BC331" s="22">
        <v>1.5158100000000001</v>
      </c>
      <c r="BD331">
        <f t="shared" si="58"/>
        <v>8.5223209876543198</v>
      </c>
      <c r="BE331">
        <f t="shared" si="59"/>
        <v>12.923417992098765</v>
      </c>
    </row>
    <row r="332" spans="6:57">
      <c r="F332" s="9"/>
      <c r="G332" s="22">
        <v>9.8571800000000001E-2</v>
      </c>
      <c r="H332" s="22">
        <v>9.3032000000000004</v>
      </c>
      <c r="I332" s="22">
        <v>-1.32446E-2</v>
      </c>
      <c r="J332" s="22">
        <v>322</v>
      </c>
      <c r="K332" s="22">
        <v>9.8083500000000004E-2</v>
      </c>
      <c r="L332">
        <f t="shared" ref="L332:L372" si="60">-I332/$F$2*1000</f>
        <v>16.351358024691358</v>
      </c>
      <c r="M332">
        <f t="shared" ref="M332:M372" si="61">L332*G332</f>
        <v>1.6117827929382715</v>
      </c>
      <c r="N332" s="9"/>
      <c r="O332" s="22">
        <v>1.52145</v>
      </c>
      <c r="P332" s="22">
        <v>12.9613</v>
      </c>
      <c r="Q332" s="22">
        <v>-6.7504899999999996E-3</v>
      </c>
      <c r="R332" s="22">
        <v>322</v>
      </c>
      <c r="S332" s="22">
        <v>1.5206900000000001</v>
      </c>
      <c r="T332">
        <f t="shared" ref="T332:T372" si="62">-Q332/$F$2*1000</f>
        <v>8.3339382716049375</v>
      </c>
      <c r="U332">
        <f t="shared" ref="U332:U372" si="63">T332*O332</f>
        <v>12.679670383333331</v>
      </c>
      <c r="X332" s="9"/>
      <c r="Y332" s="22">
        <v>9.8571800000000001E-2</v>
      </c>
      <c r="Z332" s="22">
        <v>18.313400000000001</v>
      </c>
      <c r="AA332" s="22">
        <v>-1.3458299999999999E-2</v>
      </c>
      <c r="AB332" s="22">
        <v>322</v>
      </c>
      <c r="AC332" s="22">
        <v>9.8144499999999996E-2</v>
      </c>
      <c r="AD332">
        <f t="shared" ref="AD332:AD372" si="64">-AA332/$F$2*1000</f>
        <v>16.615185185185183</v>
      </c>
      <c r="AE332">
        <f t="shared" ref="AE332:AE372" si="65">AD332*Y332</f>
        <v>1.6377887110370368</v>
      </c>
      <c r="AF332" s="9"/>
      <c r="AG332" s="22">
        <v>1.52145</v>
      </c>
      <c r="AH332" s="22">
        <v>21.971499999999999</v>
      </c>
      <c r="AI332" s="22">
        <v>-6.7901599999999999E-3</v>
      </c>
      <c r="AJ332" s="22">
        <v>322</v>
      </c>
      <c r="AK332" s="22">
        <v>1.5206900000000001</v>
      </c>
      <c r="AL332">
        <f t="shared" ref="AL332:AL372" si="66">-AI332/$F$2*1000</f>
        <v>8.3829135802469139</v>
      </c>
      <c r="AM332">
        <f t="shared" ref="AM332:AM372" si="67">AL332*AG332</f>
        <v>12.754183866666667</v>
      </c>
      <c r="AP332" s="9"/>
      <c r="AQ332" s="22">
        <v>9.8571800000000001E-2</v>
      </c>
      <c r="AR332" s="22">
        <v>27.307600000000001</v>
      </c>
      <c r="AS332" s="22">
        <v>-1.35132E-2</v>
      </c>
      <c r="AT332" s="22">
        <v>322</v>
      </c>
      <c r="AU332" s="22">
        <v>9.8022499999999999E-2</v>
      </c>
      <c r="AV332">
        <f t="shared" ref="AV332:AV372" si="68">-AS332/$F$2*1000</f>
        <v>16.682962962962961</v>
      </c>
      <c r="AW332">
        <f t="shared" ref="AW332:AW372" si="69">AV332*AQ332</f>
        <v>1.6444696885925925</v>
      </c>
      <c r="AX332" s="9"/>
      <c r="AY332" s="22">
        <v>1.52145</v>
      </c>
      <c r="AZ332" s="22">
        <v>30.965699999999998</v>
      </c>
      <c r="BA332" s="22">
        <v>-6.7657500000000001E-3</v>
      </c>
      <c r="BB332" s="22">
        <v>322</v>
      </c>
      <c r="BC332" s="22">
        <v>1.5206900000000001</v>
      </c>
      <c r="BD332">
        <f t="shared" ref="BD332:BD372" si="70">-BA332/$F$2*1000</f>
        <v>8.3527777777777761</v>
      </c>
      <c r="BE332">
        <f t="shared" ref="BE332:BE372" si="71">BD332*AY332</f>
        <v>12.708333749999998</v>
      </c>
    </row>
    <row r="333" spans="6:57">
      <c r="F333" s="9"/>
      <c r="G333" s="22">
        <v>9.3536400000000006E-2</v>
      </c>
      <c r="H333" s="22">
        <v>9.3132699999999993</v>
      </c>
      <c r="I333" s="22">
        <v>-1.3247699999999999E-2</v>
      </c>
      <c r="J333" s="22">
        <v>323</v>
      </c>
      <c r="K333" s="22">
        <v>9.3017600000000006E-2</v>
      </c>
      <c r="L333">
        <f t="shared" si="60"/>
        <v>16.355185185185185</v>
      </c>
      <c r="M333">
        <f t="shared" si="61"/>
        <v>1.5298051435555555</v>
      </c>
      <c r="N333" s="9"/>
      <c r="O333" s="22">
        <v>1.5264899999999999</v>
      </c>
      <c r="P333" s="22">
        <v>12.971299999999999</v>
      </c>
      <c r="Q333" s="22">
        <v>-6.5948500000000002E-3</v>
      </c>
      <c r="R333" s="22">
        <v>323</v>
      </c>
      <c r="S333" s="22">
        <v>1.5258799999999999</v>
      </c>
      <c r="T333">
        <f t="shared" si="62"/>
        <v>8.14179012345679</v>
      </c>
      <c r="U333">
        <f t="shared" si="63"/>
        <v>12.428361205555554</v>
      </c>
      <c r="X333" s="9"/>
      <c r="Y333" s="22">
        <v>9.3536400000000006E-2</v>
      </c>
      <c r="Z333" s="22">
        <v>18.323499999999999</v>
      </c>
      <c r="AA333" s="22">
        <v>-1.3446E-2</v>
      </c>
      <c r="AB333" s="22">
        <v>323</v>
      </c>
      <c r="AC333" s="22">
        <v>9.3078599999999997E-2</v>
      </c>
      <c r="AD333">
        <f t="shared" si="64"/>
        <v>16.599999999999998</v>
      </c>
      <c r="AE333">
        <f t="shared" si="65"/>
        <v>1.55270424</v>
      </c>
      <c r="AF333" s="9"/>
      <c r="AG333" s="22">
        <v>1.5264899999999999</v>
      </c>
      <c r="AH333" s="22">
        <v>21.9815</v>
      </c>
      <c r="AI333" s="22">
        <v>-6.6375699999999998E-3</v>
      </c>
      <c r="AJ333" s="22">
        <v>323</v>
      </c>
      <c r="AK333" s="22">
        <v>1.5258799999999999</v>
      </c>
      <c r="AL333">
        <f t="shared" si="66"/>
        <v>8.1945308641975299</v>
      </c>
      <c r="AM333">
        <f t="shared" si="67"/>
        <v>12.508869418888887</v>
      </c>
      <c r="AP333" s="9"/>
      <c r="AQ333" s="22">
        <v>9.3536400000000006E-2</v>
      </c>
      <c r="AR333" s="22">
        <v>27.317699999999999</v>
      </c>
      <c r="AS333" s="22">
        <v>-1.35132E-2</v>
      </c>
      <c r="AT333" s="22">
        <v>323</v>
      </c>
      <c r="AU333" s="22">
        <v>9.3048099999999995E-2</v>
      </c>
      <c r="AV333">
        <f t="shared" si="68"/>
        <v>16.682962962962961</v>
      </c>
      <c r="AW333">
        <f t="shared" si="69"/>
        <v>1.5604642968888889</v>
      </c>
      <c r="AX333" s="9"/>
      <c r="AY333" s="22">
        <v>1.5264899999999999</v>
      </c>
      <c r="AZ333" s="22">
        <v>30.9758</v>
      </c>
      <c r="BA333" s="22">
        <v>-6.6131599999999999E-3</v>
      </c>
      <c r="BB333" s="22">
        <v>323</v>
      </c>
      <c r="BC333" s="22">
        <v>1.5255700000000001</v>
      </c>
      <c r="BD333">
        <f t="shared" si="70"/>
        <v>8.1643950617283938</v>
      </c>
      <c r="BE333">
        <f t="shared" si="71"/>
        <v>12.462867417777774</v>
      </c>
    </row>
    <row r="334" spans="6:57">
      <c r="F334" s="9"/>
      <c r="G334" s="22">
        <v>8.8500999999999996E-2</v>
      </c>
      <c r="H334" s="22">
        <v>9.32334</v>
      </c>
      <c r="I334" s="22">
        <v>-1.3250700000000001E-2</v>
      </c>
      <c r="J334" s="22">
        <v>324</v>
      </c>
      <c r="K334" s="22">
        <v>8.8012699999999999E-2</v>
      </c>
      <c r="L334">
        <f t="shared" si="60"/>
        <v>16.358888888888888</v>
      </c>
      <c r="M334">
        <f t="shared" si="61"/>
        <v>1.4477780255555555</v>
      </c>
      <c r="N334" s="9"/>
      <c r="O334" s="22">
        <v>1.53152</v>
      </c>
      <c r="P334" s="22">
        <v>12.981400000000001</v>
      </c>
      <c r="Q334" s="22">
        <v>-6.4514200000000002E-3</v>
      </c>
      <c r="R334" s="22">
        <v>324</v>
      </c>
      <c r="S334" s="22">
        <v>1.5304599999999999</v>
      </c>
      <c r="T334">
        <f t="shared" si="62"/>
        <v>7.9647160493827149</v>
      </c>
      <c r="U334">
        <f t="shared" si="63"/>
        <v>12.198121923950616</v>
      </c>
      <c r="X334" s="9"/>
      <c r="Y334" s="22">
        <v>8.8500999999999996E-2</v>
      </c>
      <c r="Z334" s="22">
        <v>18.333500000000001</v>
      </c>
      <c r="AA334" s="22">
        <v>-1.34491E-2</v>
      </c>
      <c r="AB334" s="22">
        <v>324</v>
      </c>
      <c r="AC334" s="22">
        <v>8.8043200000000002E-2</v>
      </c>
      <c r="AD334">
        <f t="shared" si="64"/>
        <v>16.603827160493829</v>
      </c>
      <c r="AE334">
        <f t="shared" si="65"/>
        <v>1.4694553075308643</v>
      </c>
      <c r="AF334" s="9"/>
      <c r="AG334" s="22">
        <v>1.53152</v>
      </c>
      <c r="AH334" s="22">
        <v>21.991599999999998</v>
      </c>
      <c r="AI334" s="22">
        <v>-6.4849900000000004E-3</v>
      </c>
      <c r="AJ334" s="22">
        <v>324</v>
      </c>
      <c r="AK334" s="22">
        <v>1.5307599999999999</v>
      </c>
      <c r="AL334">
        <f t="shared" si="66"/>
        <v>8.00616049382716</v>
      </c>
      <c r="AM334">
        <f t="shared" si="67"/>
        <v>12.261594919506171</v>
      </c>
      <c r="AP334" s="9"/>
      <c r="AQ334" s="22">
        <v>8.8500999999999996E-2</v>
      </c>
      <c r="AR334" s="22">
        <v>27.3278</v>
      </c>
      <c r="AS334" s="22">
        <v>-1.3507099999999999E-2</v>
      </c>
      <c r="AT334" s="22">
        <v>324</v>
      </c>
      <c r="AU334" s="22">
        <v>8.8012699999999999E-2</v>
      </c>
      <c r="AV334">
        <f t="shared" si="68"/>
        <v>16.67543209876543</v>
      </c>
      <c r="AW334">
        <f t="shared" si="69"/>
        <v>1.4757924161728393</v>
      </c>
      <c r="AX334" s="9"/>
      <c r="AY334" s="22">
        <v>1.53152</v>
      </c>
      <c r="AZ334" s="22">
        <v>30.985800000000001</v>
      </c>
      <c r="BA334" s="22">
        <v>-6.4666699999999999E-3</v>
      </c>
      <c r="BB334" s="22">
        <v>324</v>
      </c>
      <c r="BC334" s="22">
        <v>1.5304599999999999</v>
      </c>
      <c r="BD334">
        <f t="shared" si="70"/>
        <v>7.983543209876542</v>
      </c>
      <c r="BE334">
        <f t="shared" si="71"/>
        <v>12.226956096790122</v>
      </c>
    </row>
    <row r="335" spans="6:57">
      <c r="F335" s="9"/>
      <c r="G335" s="22">
        <v>8.3465600000000001E-2</v>
      </c>
      <c r="H335" s="22">
        <v>9.3334100000000007</v>
      </c>
      <c r="I335" s="22">
        <v>-1.32599E-2</v>
      </c>
      <c r="J335" s="22">
        <v>325</v>
      </c>
      <c r="K335" s="22">
        <v>8.3007800000000007E-2</v>
      </c>
      <c r="L335">
        <f t="shared" si="60"/>
        <v>16.370246913580246</v>
      </c>
      <c r="M335">
        <f t="shared" si="61"/>
        <v>1.3663524807901235</v>
      </c>
      <c r="N335" s="9"/>
      <c r="O335" s="22">
        <v>1.5365599999999999</v>
      </c>
      <c r="P335" s="22">
        <v>12.9915</v>
      </c>
      <c r="Q335" s="22">
        <v>-6.29578E-3</v>
      </c>
      <c r="R335" s="22">
        <v>325</v>
      </c>
      <c r="S335" s="22">
        <v>1.5356399999999999</v>
      </c>
      <c r="T335">
        <f t="shared" si="62"/>
        <v>7.7725679012345674</v>
      </c>
      <c r="U335">
        <f t="shared" si="63"/>
        <v>11.943016934320987</v>
      </c>
      <c r="X335" s="9"/>
      <c r="Y335" s="22">
        <v>8.3465600000000001E-2</v>
      </c>
      <c r="Z335" s="22">
        <v>18.343599999999999</v>
      </c>
      <c r="AA335" s="22">
        <v>-1.3443E-2</v>
      </c>
      <c r="AB335" s="22">
        <v>325</v>
      </c>
      <c r="AC335" s="22">
        <v>8.2946800000000001E-2</v>
      </c>
      <c r="AD335">
        <f t="shared" si="64"/>
        <v>16.596296296296295</v>
      </c>
      <c r="AE335">
        <f t="shared" si="65"/>
        <v>1.385219828148148</v>
      </c>
      <c r="AF335" s="9"/>
      <c r="AG335" s="22">
        <v>1.5365599999999999</v>
      </c>
      <c r="AH335" s="22">
        <v>22.0017</v>
      </c>
      <c r="AI335" s="22">
        <v>-6.3385000000000004E-3</v>
      </c>
      <c r="AJ335" s="22">
        <v>325</v>
      </c>
      <c r="AK335" s="22">
        <v>1.5362499999999999</v>
      </c>
      <c r="AL335">
        <f t="shared" si="66"/>
        <v>7.8253086419753091</v>
      </c>
      <c r="AM335">
        <f t="shared" si="67"/>
        <v>12.024056246913581</v>
      </c>
      <c r="AP335" s="9"/>
      <c r="AQ335" s="22">
        <v>8.3465600000000001E-2</v>
      </c>
      <c r="AR335" s="22">
        <v>27.337800000000001</v>
      </c>
      <c r="AS335" s="22">
        <v>-1.3501000000000001E-2</v>
      </c>
      <c r="AT335" s="22">
        <v>325</v>
      </c>
      <c r="AU335" s="22">
        <v>8.2946800000000001E-2</v>
      </c>
      <c r="AV335">
        <f t="shared" si="68"/>
        <v>16.667901234567903</v>
      </c>
      <c r="AW335">
        <f t="shared" si="69"/>
        <v>1.3911963772839508</v>
      </c>
      <c r="AX335" s="9"/>
      <c r="AY335" s="22">
        <v>1.5365599999999999</v>
      </c>
      <c r="AZ335" s="22">
        <v>30.995899999999999</v>
      </c>
      <c r="BA335" s="22">
        <v>-6.3049300000000003E-3</v>
      </c>
      <c r="BB335" s="22">
        <v>325</v>
      </c>
      <c r="BC335" s="22">
        <v>1.5356399999999999</v>
      </c>
      <c r="BD335">
        <f t="shared" si="70"/>
        <v>7.783864197530864</v>
      </c>
      <c r="BE335">
        <f t="shared" si="71"/>
        <v>11.960374371358023</v>
      </c>
    </row>
    <row r="336" spans="6:57">
      <c r="F336" s="9"/>
      <c r="G336" s="22">
        <v>7.8430200000000005E-2</v>
      </c>
      <c r="H336" s="22">
        <v>9.3434799999999996</v>
      </c>
      <c r="I336" s="22">
        <v>-1.3256799999999999E-2</v>
      </c>
      <c r="J336" s="22">
        <v>326</v>
      </c>
      <c r="K336" s="22">
        <v>7.7880900000000003E-2</v>
      </c>
      <c r="L336">
        <f t="shared" si="60"/>
        <v>16.366419753086415</v>
      </c>
      <c r="M336">
        <f t="shared" si="61"/>
        <v>1.2836215745185182</v>
      </c>
      <c r="N336" s="9"/>
      <c r="O336" s="22">
        <v>1.5416000000000001</v>
      </c>
      <c r="P336" s="22">
        <v>13.0015</v>
      </c>
      <c r="Q336" s="22">
        <v>-6.1462399999999999E-3</v>
      </c>
      <c r="R336" s="22">
        <v>326</v>
      </c>
      <c r="S336" s="22">
        <v>1.5408299999999999</v>
      </c>
      <c r="T336">
        <f t="shared" si="62"/>
        <v>7.5879506172839504</v>
      </c>
      <c r="U336">
        <f t="shared" si="63"/>
        <v>11.697584671604938</v>
      </c>
      <c r="X336" s="9"/>
      <c r="Y336" s="22">
        <v>7.8430200000000005E-2</v>
      </c>
      <c r="Z336" s="22">
        <v>18.3537</v>
      </c>
      <c r="AA336" s="22">
        <v>-1.3439899999999999E-2</v>
      </c>
      <c r="AB336" s="22">
        <v>326</v>
      </c>
      <c r="AC336" s="22">
        <v>7.7880900000000003E-2</v>
      </c>
      <c r="AD336">
        <f t="shared" si="64"/>
        <v>16.592469135802467</v>
      </c>
      <c r="AE336">
        <f t="shared" si="65"/>
        <v>1.3013506728148148</v>
      </c>
      <c r="AF336" s="9"/>
      <c r="AG336" s="22">
        <v>1.5416000000000001</v>
      </c>
      <c r="AH336" s="22">
        <v>22.011700000000001</v>
      </c>
      <c r="AI336" s="22">
        <v>-6.1828600000000001E-3</v>
      </c>
      <c r="AJ336" s="22">
        <v>326</v>
      </c>
      <c r="AK336" s="22">
        <v>1.5402199999999999</v>
      </c>
      <c r="AL336">
        <f t="shared" si="66"/>
        <v>7.6331604938271607</v>
      </c>
      <c r="AM336">
        <f t="shared" si="67"/>
        <v>11.767280217283952</v>
      </c>
      <c r="AP336" s="9"/>
      <c r="AQ336" s="22">
        <v>7.8430200000000005E-2</v>
      </c>
      <c r="AR336" s="22">
        <v>27.347899999999999</v>
      </c>
      <c r="AS336" s="22">
        <v>-1.3494900000000001E-2</v>
      </c>
      <c r="AT336" s="22">
        <v>326</v>
      </c>
      <c r="AU336" s="22">
        <v>7.7941899999999995E-2</v>
      </c>
      <c r="AV336">
        <f t="shared" si="68"/>
        <v>16.660370370370369</v>
      </c>
      <c r="AW336">
        <f t="shared" si="69"/>
        <v>1.3066761802222222</v>
      </c>
      <c r="AX336" s="9"/>
      <c r="AY336" s="22">
        <v>1.5416000000000001</v>
      </c>
      <c r="AZ336" s="22">
        <v>31.006</v>
      </c>
      <c r="BA336" s="22">
        <v>-6.1554000000000001E-3</v>
      </c>
      <c r="BB336" s="22">
        <v>326</v>
      </c>
      <c r="BC336" s="22">
        <v>1.54053</v>
      </c>
      <c r="BD336">
        <f t="shared" si="70"/>
        <v>7.5992592592592585</v>
      </c>
      <c r="BE336">
        <f t="shared" si="71"/>
        <v>11.715018074074074</v>
      </c>
    </row>
    <row r="337" spans="6:57">
      <c r="F337" s="9"/>
      <c r="G337" s="22">
        <v>7.3394799999999996E-2</v>
      </c>
      <c r="H337" s="22">
        <v>9.3535599999999999</v>
      </c>
      <c r="I337" s="22">
        <v>-1.32599E-2</v>
      </c>
      <c r="J337" s="22">
        <v>327</v>
      </c>
      <c r="K337" s="22">
        <v>7.2937000000000002E-2</v>
      </c>
      <c r="L337">
        <f t="shared" si="60"/>
        <v>16.370246913580246</v>
      </c>
      <c r="M337">
        <f t="shared" si="61"/>
        <v>1.2014909981728394</v>
      </c>
      <c r="N337" s="9"/>
      <c r="O337" s="22">
        <v>1.5466299999999999</v>
      </c>
      <c r="P337" s="22">
        <v>13.0116</v>
      </c>
      <c r="Q337" s="22">
        <v>-5.9845000000000002E-3</v>
      </c>
      <c r="R337" s="22">
        <v>327</v>
      </c>
      <c r="S337" s="22">
        <v>1.54572</v>
      </c>
      <c r="T337">
        <f t="shared" si="62"/>
        <v>7.3882716049382715</v>
      </c>
      <c r="U337">
        <f t="shared" si="63"/>
        <v>11.426922512345678</v>
      </c>
      <c r="X337" s="9"/>
      <c r="Y337" s="22">
        <v>7.3394799999999996E-2</v>
      </c>
      <c r="Z337" s="22">
        <v>18.363800000000001</v>
      </c>
      <c r="AA337" s="22">
        <v>-1.3439899999999999E-2</v>
      </c>
      <c r="AB337" s="22">
        <v>327</v>
      </c>
      <c r="AC337" s="22">
        <v>7.2906499999999999E-2</v>
      </c>
      <c r="AD337">
        <f t="shared" si="64"/>
        <v>16.592469135802467</v>
      </c>
      <c r="AE337">
        <f t="shared" si="65"/>
        <v>1.2178009537283949</v>
      </c>
      <c r="AF337" s="9"/>
      <c r="AG337" s="22">
        <v>1.5466299999999999</v>
      </c>
      <c r="AH337" s="22">
        <v>22.021799999999999</v>
      </c>
      <c r="AI337" s="22">
        <v>-6.0241699999999997E-3</v>
      </c>
      <c r="AJ337" s="22">
        <v>327</v>
      </c>
      <c r="AK337" s="22">
        <v>1.5460199999999999</v>
      </c>
      <c r="AL337">
        <f t="shared" si="66"/>
        <v>7.4372469135802461</v>
      </c>
      <c r="AM337">
        <f t="shared" si="67"/>
        <v>11.502669193950616</v>
      </c>
      <c r="AP337" s="9"/>
      <c r="AQ337" s="22">
        <v>7.3394799999999996E-2</v>
      </c>
      <c r="AR337" s="22">
        <v>27.358000000000001</v>
      </c>
      <c r="AS337" s="22">
        <v>-1.3504E-2</v>
      </c>
      <c r="AT337" s="22">
        <v>327</v>
      </c>
      <c r="AU337" s="22">
        <v>7.2845499999999994E-2</v>
      </c>
      <c r="AV337">
        <f t="shared" si="68"/>
        <v>16.671604938271606</v>
      </c>
      <c r="AW337">
        <f t="shared" si="69"/>
        <v>1.2236091101234567</v>
      </c>
      <c r="AX337" s="9"/>
      <c r="AY337" s="22">
        <v>1.5466299999999999</v>
      </c>
      <c r="AZ337" s="22">
        <v>31.015999999999998</v>
      </c>
      <c r="BA337" s="22">
        <v>-5.9875500000000003E-3</v>
      </c>
      <c r="BB337" s="22">
        <v>327</v>
      </c>
      <c r="BC337" s="22">
        <v>1.5460199999999999</v>
      </c>
      <c r="BD337">
        <f t="shared" si="70"/>
        <v>7.3920370370370376</v>
      </c>
      <c r="BE337">
        <f t="shared" si="71"/>
        <v>11.432746242592593</v>
      </c>
    </row>
    <row r="338" spans="6:57">
      <c r="F338" s="9"/>
      <c r="G338" s="22">
        <v>6.8359400000000001E-2</v>
      </c>
      <c r="H338" s="22">
        <v>9.3636300000000006</v>
      </c>
      <c r="I338" s="22">
        <v>-1.3266E-2</v>
      </c>
      <c r="J338" s="22">
        <v>328</v>
      </c>
      <c r="K338" s="22">
        <v>6.7901600000000006E-2</v>
      </c>
      <c r="L338">
        <f t="shared" si="60"/>
        <v>16.377777777777776</v>
      </c>
      <c r="M338">
        <f t="shared" si="61"/>
        <v>1.1195750622222223</v>
      </c>
      <c r="N338" s="9"/>
      <c r="O338" s="22">
        <v>1.5516700000000001</v>
      </c>
      <c r="P338" s="22">
        <v>13.021699999999999</v>
      </c>
      <c r="Q338" s="22">
        <v>-5.8288599999999999E-3</v>
      </c>
      <c r="R338" s="22">
        <v>328</v>
      </c>
      <c r="S338" s="22">
        <v>1.5502899999999999</v>
      </c>
      <c r="T338">
        <f t="shared" si="62"/>
        <v>7.1961234567901231</v>
      </c>
      <c r="U338">
        <f t="shared" si="63"/>
        <v>11.166008884197531</v>
      </c>
      <c r="X338" s="9"/>
      <c r="Y338" s="22">
        <v>6.8359400000000001E-2</v>
      </c>
      <c r="Z338" s="22">
        <v>18.373799999999999</v>
      </c>
      <c r="AA338" s="22">
        <v>-1.3443E-2</v>
      </c>
      <c r="AB338" s="22">
        <v>328</v>
      </c>
      <c r="AC338" s="22">
        <v>6.7871100000000004E-2</v>
      </c>
      <c r="AD338">
        <f t="shared" si="64"/>
        <v>16.596296296296295</v>
      </c>
      <c r="AE338">
        <f t="shared" si="65"/>
        <v>1.1345128570370369</v>
      </c>
      <c r="AF338" s="9"/>
      <c r="AG338" s="22">
        <v>1.5516700000000001</v>
      </c>
      <c r="AH338" s="22">
        <v>22.0319</v>
      </c>
      <c r="AI338" s="22">
        <v>-5.85938E-3</v>
      </c>
      <c r="AJ338" s="22">
        <v>328</v>
      </c>
      <c r="AK338" s="22">
        <v>1.5508999999999999</v>
      </c>
      <c r="AL338">
        <f t="shared" si="66"/>
        <v>7.233802469135802</v>
      </c>
      <c r="AM338">
        <f t="shared" si="67"/>
        <v>11.224474277283951</v>
      </c>
      <c r="AP338" s="9"/>
      <c r="AQ338" s="22">
        <v>6.8359400000000001E-2</v>
      </c>
      <c r="AR338" s="22">
        <v>27.368099999999998</v>
      </c>
      <c r="AS338" s="22">
        <v>-1.3504E-2</v>
      </c>
      <c r="AT338" s="22">
        <v>328</v>
      </c>
      <c r="AU338" s="22">
        <v>6.7932099999999995E-2</v>
      </c>
      <c r="AV338">
        <f t="shared" si="68"/>
        <v>16.671604938271606</v>
      </c>
      <c r="AW338">
        <f t="shared" si="69"/>
        <v>1.1396609106172841</v>
      </c>
      <c r="AX338" s="9"/>
      <c r="AY338" s="22">
        <v>1.5516700000000001</v>
      </c>
      <c r="AZ338" s="22">
        <v>31.0261</v>
      </c>
      <c r="BA338" s="22">
        <v>-5.8258099999999998E-3</v>
      </c>
      <c r="BB338" s="22">
        <v>328</v>
      </c>
      <c r="BC338" s="22">
        <v>1.5508999999999999</v>
      </c>
      <c r="BD338">
        <f t="shared" si="70"/>
        <v>7.1923580246913579</v>
      </c>
      <c r="BE338">
        <f t="shared" si="71"/>
        <v>11.16016617617284</v>
      </c>
    </row>
    <row r="339" spans="6:57">
      <c r="F339" s="9"/>
      <c r="G339" s="22">
        <v>6.3324000000000005E-2</v>
      </c>
      <c r="H339" s="22">
        <v>9.3736999999999995</v>
      </c>
      <c r="I339" s="22">
        <v>-1.32721E-2</v>
      </c>
      <c r="J339" s="22">
        <v>329</v>
      </c>
      <c r="K339" s="22">
        <v>6.2774700000000003E-2</v>
      </c>
      <c r="L339">
        <f t="shared" si="60"/>
        <v>16.385308641975307</v>
      </c>
      <c r="M339">
        <f t="shared" si="61"/>
        <v>1.0375832844444444</v>
      </c>
      <c r="N339" s="9"/>
      <c r="O339" s="22">
        <v>1.5567</v>
      </c>
      <c r="P339" s="22">
        <v>13.0318</v>
      </c>
      <c r="Q339" s="22">
        <v>-5.65491E-3</v>
      </c>
      <c r="R339" s="22">
        <v>329</v>
      </c>
      <c r="S339" s="22">
        <v>1.55609</v>
      </c>
      <c r="T339">
        <f t="shared" si="62"/>
        <v>6.9813703703703691</v>
      </c>
      <c r="U339">
        <f t="shared" si="63"/>
        <v>10.867899255555553</v>
      </c>
      <c r="X339" s="9"/>
      <c r="Y339" s="22">
        <v>6.3324000000000005E-2</v>
      </c>
      <c r="Z339" s="22">
        <v>18.383900000000001</v>
      </c>
      <c r="AA339" s="22">
        <v>-1.34552E-2</v>
      </c>
      <c r="AB339" s="22">
        <v>329</v>
      </c>
      <c r="AC339" s="22">
        <v>6.28967E-2</v>
      </c>
      <c r="AD339">
        <f t="shared" si="64"/>
        <v>16.611358024691356</v>
      </c>
      <c r="AE339">
        <f t="shared" si="65"/>
        <v>1.0518976355555556</v>
      </c>
      <c r="AF339" s="9"/>
      <c r="AG339" s="22">
        <v>1.5567</v>
      </c>
      <c r="AH339" s="22">
        <v>22.042000000000002</v>
      </c>
      <c r="AI339" s="22">
        <v>-5.6945800000000003E-3</v>
      </c>
      <c r="AJ339" s="22">
        <v>329</v>
      </c>
      <c r="AK339" s="22">
        <v>1.55579</v>
      </c>
      <c r="AL339">
        <f t="shared" si="66"/>
        <v>7.0303456790123455</v>
      </c>
      <c r="AM339">
        <f t="shared" si="67"/>
        <v>10.944139118518518</v>
      </c>
      <c r="AP339" s="9"/>
      <c r="AQ339" s="22">
        <v>6.3324000000000005E-2</v>
      </c>
      <c r="AR339" s="22">
        <v>27.3781</v>
      </c>
      <c r="AS339" s="22">
        <v>-1.3501000000000001E-2</v>
      </c>
      <c r="AT339" s="22">
        <v>329</v>
      </c>
      <c r="AU339" s="22">
        <v>6.2774700000000003E-2</v>
      </c>
      <c r="AV339">
        <f t="shared" si="68"/>
        <v>16.667901234567903</v>
      </c>
      <c r="AW339">
        <f t="shared" si="69"/>
        <v>1.055478177777778</v>
      </c>
      <c r="AX339" s="9"/>
      <c r="AY339" s="22">
        <v>1.5567</v>
      </c>
      <c r="AZ339" s="22">
        <v>31.036200000000001</v>
      </c>
      <c r="BA339" s="22">
        <v>-5.65491E-3</v>
      </c>
      <c r="BB339" s="22">
        <v>329</v>
      </c>
      <c r="BC339" s="22">
        <v>1.55609</v>
      </c>
      <c r="BD339">
        <f t="shared" si="70"/>
        <v>6.9813703703703691</v>
      </c>
      <c r="BE339">
        <f t="shared" si="71"/>
        <v>10.867899255555553</v>
      </c>
    </row>
    <row r="340" spans="6:57">
      <c r="F340" s="9"/>
      <c r="G340" s="22">
        <v>5.8288600000000003E-2</v>
      </c>
      <c r="H340" s="22">
        <v>9.3837700000000002</v>
      </c>
      <c r="I340" s="22">
        <v>-1.32782E-2</v>
      </c>
      <c r="J340" s="22">
        <v>330</v>
      </c>
      <c r="K340" s="22">
        <v>5.7800299999999999E-2</v>
      </c>
      <c r="L340">
        <f t="shared" si="60"/>
        <v>16.392839506172837</v>
      </c>
      <c r="M340">
        <f t="shared" si="61"/>
        <v>0.95551566483950612</v>
      </c>
      <c r="N340" s="9"/>
      <c r="O340" s="22">
        <v>1.5617399999999999</v>
      </c>
      <c r="P340" s="22">
        <v>13.0418</v>
      </c>
      <c r="Q340" s="22">
        <v>-5.4931600000000004E-3</v>
      </c>
      <c r="R340" s="22">
        <v>330</v>
      </c>
      <c r="S340" s="22">
        <v>1.56097</v>
      </c>
      <c r="T340">
        <f t="shared" si="62"/>
        <v>6.7816790123456787</v>
      </c>
      <c r="U340">
        <f t="shared" si="63"/>
        <v>10.591219380740739</v>
      </c>
      <c r="X340" s="9"/>
      <c r="Y340" s="22">
        <v>5.8288600000000003E-2</v>
      </c>
      <c r="Z340" s="22">
        <v>18.393999999999998</v>
      </c>
      <c r="AA340" s="22">
        <v>-1.34644E-2</v>
      </c>
      <c r="AB340" s="22">
        <v>330</v>
      </c>
      <c r="AC340" s="22">
        <v>5.77393E-2</v>
      </c>
      <c r="AD340">
        <f t="shared" si="64"/>
        <v>16.622716049382717</v>
      </c>
      <c r="AE340">
        <f t="shared" si="65"/>
        <v>0.96891484671604944</v>
      </c>
      <c r="AF340" s="9"/>
      <c r="AG340" s="22">
        <v>1.5617399999999999</v>
      </c>
      <c r="AH340" s="22">
        <v>22.052</v>
      </c>
      <c r="AI340" s="22">
        <v>-5.5267299999999997E-3</v>
      </c>
      <c r="AJ340" s="22">
        <v>330</v>
      </c>
      <c r="AK340" s="22">
        <v>1.56097</v>
      </c>
      <c r="AL340">
        <f t="shared" si="66"/>
        <v>6.8231234567901229</v>
      </c>
      <c r="AM340">
        <f t="shared" si="67"/>
        <v>10.655944827407406</v>
      </c>
      <c r="AP340" s="9"/>
      <c r="AQ340" s="22">
        <v>5.8288600000000003E-2</v>
      </c>
      <c r="AR340" s="22">
        <v>27.388200000000001</v>
      </c>
      <c r="AS340" s="22">
        <v>-1.3504E-2</v>
      </c>
      <c r="AT340" s="22">
        <v>330</v>
      </c>
      <c r="AU340" s="22">
        <v>5.7830800000000002E-2</v>
      </c>
      <c r="AV340">
        <f t="shared" si="68"/>
        <v>16.671604938271606</v>
      </c>
      <c r="AW340">
        <f t="shared" si="69"/>
        <v>0.97176451160493837</v>
      </c>
      <c r="AX340" s="9"/>
      <c r="AY340" s="22">
        <v>1.5617399999999999</v>
      </c>
      <c r="AZ340" s="22">
        <v>31.046299999999999</v>
      </c>
      <c r="BA340" s="22">
        <v>-5.4901100000000003E-3</v>
      </c>
      <c r="BB340" s="22">
        <v>330</v>
      </c>
      <c r="BC340" s="22">
        <v>1.56158</v>
      </c>
      <c r="BD340">
        <f t="shared" si="70"/>
        <v>6.7779135802469135</v>
      </c>
      <c r="BE340">
        <f t="shared" si="71"/>
        <v>10.585338754814813</v>
      </c>
    </row>
    <row r="341" spans="6:57">
      <c r="F341" s="9"/>
      <c r="G341" s="22">
        <v>5.3253200000000001E-2</v>
      </c>
      <c r="H341" s="22">
        <v>9.3938400000000009</v>
      </c>
      <c r="I341" s="22">
        <v>-1.3290400000000001E-2</v>
      </c>
      <c r="J341" s="22">
        <v>331</v>
      </c>
      <c r="K341" s="22">
        <v>5.2825900000000002E-2</v>
      </c>
      <c r="L341">
        <f t="shared" si="60"/>
        <v>16.407901234567902</v>
      </c>
      <c r="M341">
        <f t="shared" si="61"/>
        <v>0.87377324602469142</v>
      </c>
      <c r="N341" s="9"/>
      <c r="O341" s="22">
        <v>1.56677</v>
      </c>
      <c r="P341" s="22">
        <v>13.0519</v>
      </c>
      <c r="Q341" s="22">
        <v>-5.3161600000000003E-3</v>
      </c>
      <c r="R341" s="22">
        <v>331</v>
      </c>
      <c r="S341" s="22">
        <v>1.56555</v>
      </c>
      <c r="T341">
        <f t="shared" si="62"/>
        <v>6.5631604938271604</v>
      </c>
      <c r="U341">
        <f t="shared" si="63"/>
        <v>10.28296296691358</v>
      </c>
      <c r="X341" s="9"/>
      <c r="Y341" s="22">
        <v>5.3253200000000001E-2</v>
      </c>
      <c r="Z341" s="22">
        <v>18.404</v>
      </c>
      <c r="AA341" s="22">
        <v>-1.3473499999999999E-2</v>
      </c>
      <c r="AB341" s="22">
        <v>331</v>
      </c>
      <c r="AC341" s="22">
        <v>5.2856399999999998E-2</v>
      </c>
      <c r="AD341">
        <f t="shared" si="64"/>
        <v>16.633950617283947</v>
      </c>
      <c r="AE341">
        <f t="shared" si="65"/>
        <v>0.88581109901234545</v>
      </c>
      <c r="AF341" s="9"/>
      <c r="AG341" s="22">
        <v>1.56677</v>
      </c>
      <c r="AH341" s="22">
        <v>22.062100000000001</v>
      </c>
      <c r="AI341" s="22">
        <v>-5.3558299999999998E-3</v>
      </c>
      <c r="AJ341" s="22">
        <v>331</v>
      </c>
      <c r="AK341" s="22">
        <v>1.56616</v>
      </c>
      <c r="AL341">
        <f t="shared" si="66"/>
        <v>6.612135802469135</v>
      </c>
      <c r="AM341">
        <f t="shared" si="67"/>
        <v>10.359696011234567</v>
      </c>
      <c r="AP341" s="9"/>
      <c r="AQ341" s="22">
        <v>5.3253200000000001E-2</v>
      </c>
      <c r="AR341" s="22">
        <v>27.398299999999999</v>
      </c>
      <c r="AS341" s="22">
        <v>-1.3507099999999999E-2</v>
      </c>
      <c r="AT341" s="22">
        <v>331</v>
      </c>
      <c r="AU341" s="22">
        <v>5.2795399999999999E-2</v>
      </c>
      <c r="AV341">
        <f t="shared" si="68"/>
        <v>16.67543209876543</v>
      </c>
      <c r="AW341">
        <f t="shared" si="69"/>
        <v>0.88802012064197522</v>
      </c>
      <c r="AX341" s="9"/>
      <c r="AY341" s="22">
        <v>1.56677</v>
      </c>
      <c r="AZ341" s="22">
        <v>31.0563</v>
      </c>
      <c r="BA341" s="22">
        <v>-5.3131100000000002E-3</v>
      </c>
      <c r="BB341" s="22">
        <v>331</v>
      </c>
      <c r="BC341" s="22">
        <v>1.56555</v>
      </c>
      <c r="BD341">
        <f t="shared" si="70"/>
        <v>6.5593950617283951</v>
      </c>
      <c r="BE341">
        <f t="shared" si="71"/>
        <v>10.277063400864197</v>
      </c>
    </row>
    <row r="342" spans="6:57">
      <c r="F342" s="9"/>
      <c r="G342" s="22">
        <v>4.8217799999999998E-2</v>
      </c>
      <c r="H342" s="22">
        <v>9.4039099999999998</v>
      </c>
      <c r="I342" s="22">
        <v>-1.3296499999999999E-2</v>
      </c>
      <c r="J342" s="22">
        <v>332</v>
      </c>
      <c r="K342" s="22">
        <v>4.8150600000000002E-2</v>
      </c>
      <c r="L342">
        <f t="shared" si="60"/>
        <v>16.415432098765429</v>
      </c>
      <c r="M342">
        <f t="shared" si="61"/>
        <v>0.79151602185185166</v>
      </c>
      <c r="N342" s="9"/>
      <c r="O342" s="22">
        <v>1.5718099999999999</v>
      </c>
      <c r="P342" s="22">
        <v>13.061999999999999</v>
      </c>
      <c r="Q342" s="22">
        <v>-5.1483199999999996E-3</v>
      </c>
      <c r="R342" s="22">
        <v>332</v>
      </c>
      <c r="S342" s="22">
        <v>1.57074</v>
      </c>
      <c r="T342">
        <f t="shared" si="62"/>
        <v>6.3559506172839493</v>
      </c>
      <c r="U342">
        <f t="shared" si="63"/>
        <v>9.9903467397530843</v>
      </c>
      <c r="X342" s="9"/>
      <c r="Y342" s="22">
        <v>4.8217799999999998E-2</v>
      </c>
      <c r="Z342" s="22">
        <v>18.414100000000001</v>
      </c>
      <c r="AA342" s="22">
        <v>-1.34796E-2</v>
      </c>
      <c r="AB342" s="22">
        <v>332</v>
      </c>
      <c r="AC342" s="22">
        <v>4.8162799999999999E-2</v>
      </c>
      <c r="AD342">
        <f t="shared" si="64"/>
        <v>16.641481481481478</v>
      </c>
      <c r="AE342">
        <f t="shared" si="65"/>
        <v>0.80241562577777759</v>
      </c>
      <c r="AF342" s="9"/>
      <c r="AG342" s="22">
        <v>1.5718099999999999</v>
      </c>
      <c r="AH342" s="22">
        <v>22.072199999999999</v>
      </c>
      <c r="AI342" s="22">
        <v>-5.1788299999999997E-3</v>
      </c>
      <c r="AJ342" s="22">
        <v>332</v>
      </c>
      <c r="AK342" s="22">
        <v>1.57074</v>
      </c>
      <c r="AL342">
        <f t="shared" si="66"/>
        <v>6.3936172839506167</v>
      </c>
      <c r="AM342">
        <f t="shared" si="67"/>
        <v>10.049551583086417</v>
      </c>
      <c r="AP342" s="9"/>
      <c r="AQ342" s="22">
        <v>4.8217799999999998E-2</v>
      </c>
      <c r="AR342" s="22">
        <v>27.408300000000001</v>
      </c>
      <c r="AS342" s="22">
        <v>-1.3504E-2</v>
      </c>
      <c r="AT342" s="22">
        <v>332</v>
      </c>
      <c r="AU342" s="22">
        <v>4.8172E-2</v>
      </c>
      <c r="AV342">
        <f t="shared" si="68"/>
        <v>16.671604938271606</v>
      </c>
      <c r="AW342">
        <f t="shared" si="69"/>
        <v>0.80386811259259261</v>
      </c>
      <c r="AX342" s="9"/>
      <c r="AY342" s="22">
        <v>1.5718099999999999</v>
      </c>
      <c r="AZ342" s="22">
        <v>31.066400000000002</v>
      </c>
      <c r="BA342" s="22">
        <v>-5.1452599999999996E-3</v>
      </c>
      <c r="BB342" s="22">
        <v>332</v>
      </c>
      <c r="BC342" s="22">
        <v>1.57074</v>
      </c>
      <c r="BD342">
        <f t="shared" si="70"/>
        <v>6.3521728395061716</v>
      </c>
      <c r="BE342">
        <f t="shared" si="71"/>
        <v>9.9844087908641956</v>
      </c>
    </row>
    <row r="343" spans="6:57">
      <c r="F343" s="9"/>
      <c r="G343" s="22">
        <v>4.3182400000000003E-2</v>
      </c>
      <c r="H343" s="22">
        <v>9.4139800000000005</v>
      </c>
      <c r="I343" s="22">
        <v>-1.3302599999999999E-2</v>
      </c>
      <c r="J343" s="22">
        <v>333</v>
      </c>
      <c r="K343" s="22">
        <v>4.3170199999999999E-2</v>
      </c>
      <c r="L343">
        <f t="shared" si="60"/>
        <v>16.422962962962963</v>
      </c>
      <c r="M343">
        <f t="shared" si="61"/>
        <v>0.70918295585185187</v>
      </c>
      <c r="N343" s="9"/>
      <c r="O343" s="22">
        <v>1.57684</v>
      </c>
      <c r="P343" s="22">
        <v>13.071999999999999</v>
      </c>
      <c r="Q343" s="22">
        <v>-4.9649000000000004E-3</v>
      </c>
      <c r="R343" s="22">
        <v>333</v>
      </c>
      <c r="S343" s="22">
        <v>1.5759300000000001</v>
      </c>
      <c r="T343">
        <f t="shared" si="62"/>
        <v>6.1295061728395064</v>
      </c>
      <c r="U343">
        <f t="shared" si="63"/>
        <v>9.6652505135802471</v>
      </c>
      <c r="X343" s="9"/>
      <c r="Y343" s="22">
        <v>4.3182400000000003E-2</v>
      </c>
      <c r="Z343" s="22">
        <v>18.424199999999999</v>
      </c>
      <c r="AA343" s="22">
        <v>-1.3473499999999999E-2</v>
      </c>
      <c r="AB343" s="22">
        <v>333</v>
      </c>
      <c r="AC343" s="22">
        <v>4.3154900000000003E-2</v>
      </c>
      <c r="AD343">
        <f t="shared" si="64"/>
        <v>16.633950617283947</v>
      </c>
      <c r="AE343">
        <f t="shared" si="65"/>
        <v>0.71829390913580238</v>
      </c>
      <c r="AF343" s="9"/>
      <c r="AG343" s="22">
        <v>1.57684</v>
      </c>
      <c r="AH343" s="22">
        <v>22.0822</v>
      </c>
      <c r="AI343" s="22">
        <v>-4.9957300000000003E-3</v>
      </c>
      <c r="AJ343" s="22">
        <v>333</v>
      </c>
      <c r="AK343" s="22">
        <v>1.5765400000000001</v>
      </c>
      <c r="AL343">
        <f t="shared" si="66"/>
        <v>6.1675679012345679</v>
      </c>
      <c r="AM343">
        <f t="shared" si="67"/>
        <v>9.7252677693827163</v>
      </c>
      <c r="AP343" s="9"/>
      <c r="AQ343" s="22">
        <v>4.3182400000000003E-2</v>
      </c>
      <c r="AR343" s="22">
        <v>27.418399999999998</v>
      </c>
      <c r="AS343" s="22">
        <v>-1.3507099999999999E-2</v>
      </c>
      <c r="AT343" s="22">
        <v>333</v>
      </c>
      <c r="AU343" s="22">
        <v>4.3154900000000003E-2</v>
      </c>
      <c r="AV343">
        <f t="shared" si="68"/>
        <v>16.67543209876543</v>
      </c>
      <c r="AW343">
        <f t="shared" si="69"/>
        <v>0.72008517906172831</v>
      </c>
      <c r="AX343" s="9"/>
      <c r="AY343" s="22">
        <v>1.57684</v>
      </c>
      <c r="AZ343" s="22">
        <v>31.076499999999999</v>
      </c>
      <c r="BA343" s="22">
        <v>-4.95941E-3</v>
      </c>
      <c r="BB343" s="22">
        <v>333</v>
      </c>
      <c r="BC343" s="22">
        <v>1.5765400000000001</v>
      </c>
      <c r="BD343">
        <f t="shared" si="70"/>
        <v>6.1227283950617277</v>
      </c>
      <c r="BE343">
        <f t="shared" si="71"/>
        <v>9.6545630424691353</v>
      </c>
    </row>
    <row r="344" spans="6:57">
      <c r="F344" s="9"/>
      <c r="G344" s="22">
        <v>3.8147E-2</v>
      </c>
      <c r="H344" s="22">
        <v>9.4240499999999994</v>
      </c>
      <c r="I344" s="22">
        <v>-1.32935E-2</v>
      </c>
      <c r="J344" s="22">
        <v>334</v>
      </c>
      <c r="K344" s="22">
        <v>3.8088999999999998E-2</v>
      </c>
      <c r="L344">
        <f t="shared" si="60"/>
        <v>16.411728395061726</v>
      </c>
      <c r="M344">
        <f t="shared" si="61"/>
        <v>0.62605820308641968</v>
      </c>
      <c r="N344" s="9"/>
      <c r="O344" s="22">
        <v>1.58188</v>
      </c>
      <c r="P344" s="22">
        <v>13.082100000000001</v>
      </c>
      <c r="Q344" s="22">
        <v>-4.7888200000000001E-3</v>
      </c>
      <c r="R344" s="22">
        <v>334</v>
      </c>
      <c r="S344" s="22">
        <v>1.58142</v>
      </c>
      <c r="T344">
        <f t="shared" si="62"/>
        <v>5.9121234567901233</v>
      </c>
      <c r="U344">
        <f t="shared" si="63"/>
        <v>9.3522698538271598</v>
      </c>
      <c r="X344" s="9"/>
      <c r="Y344" s="22">
        <v>3.8147E-2</v>
      </c>
      <c r="Z344" s="22">
        <v>18.4343</v>
      </c>
      <c r="AA344" s="22">
        <v>-1.34827E-2</v>
      </c>
      <c r="AB344" s="22">
        <v>334</v>
      </c>
      <c r="AC344" s="22">
        <v>3.8064599999999997E-2</v>
      </c>
      <c r="AD344">
        <f t="shared" si="64"/>
        <v>16.645308641975308</v>
      </c>
      <c r="AE344">
        <f t="shared" si="65"/>
        <v>0.63496858876543205</v>
      </c>
      <c r="AF344" s="9"/>
      <c r="AG344" s="22">
        <v>1.58188</v>
      </c>
      <c r="AH344" s="22">
        <v>22.092300000000002</v>
      </c>
      <c r="AI344" s="22">
        <v>-4.8156700000000002E-3</v>
      </c>
      <c r="AJ344" s="22">
        <v>334</v>
      </c>
      <c r="AK344" s="22">
        <v>1.5805100000000001</v>
      </c>
      <c r="AL344">
        <f t="shared" si="66"/>
        <v>5.9452716049382719</v>
      </c>
      <c r="AM344">
        <f t="shared" si="67"/>
        <v>9.4047062464197531</v>
      </c>
      <c r="AP344" s="9"/>
      <c r="AQ344" s="22">
        <v>3.8147E-2</v>
      </c>
      <c r="AR344" s="22">
        <v>27.4285</v>
      </c>
      <c r="AS344" s="22">
        <v>-1.3504E-2</v>
      </c>
      <c r="AT344" s="22">
        <v>334</v>
      </c>
      <c r="AU344" s="22">
        <v>3.8088999999999998E-2</v>
      </c>
      <c r="AV344">
        <f t="shared" si="68"/>
        <v>16.671604938271606</v>
      </c>
      <c r="AW344">
        <f t="shared" si="69"/>
        <v>0.63597171358024696</v>
      </c>
      <c r="AX344" s="9"/>
      <c r="AY344" s="22">
        <v>1.58188</v>
      </c>
      <c r="AZ344" s="22">
        <v>31.086500000000001</v>
      </c>
      <c r="BA344" s="22">
        <v>-4.7818000000000001E-3</v>
      </c>
      <c r="BB344" s="22">
        <v>334</v>
      </c>
      <c r="BC344" s="22">
        <v>1.5811200000000001</v>
      </c>
      <c r="BD344">
        <f t="shared" si="70"/>
        <v>5.9034567901234567</v>
      </c>
      <c r="BE344">
        <f t="shared" si="71"/>
        <v>9.3385602271604942</v>
      </c>
    </row>
    <row r="345" spans="6:57">
      <c r="F345" s="9"/>
      <c r="G345" s="22">
        <v>3.3111599999999998E-2</v>
      </c>
      <c r="H345" s="22">
        <v>9.4341200000000001</v>
      </c>
      <c r="I345" s="22">
        <v>-1.3290400000000001E-2</v>
      </c>
      <c r="J345" s="22">
        <v>335</v>
      </c>
      <c r="K345" s="22">
        <v>3.3029200000000002E-2</v>
      </c>
      <c r="L345">
        <f t="shared" si="60"/>
        <v>16.407901234567902</v>
      </c>
      <c r="M345">
        <f t="shared" si="61"/>
        <v>0.54329186251851846</v>
      </c>
      <c r="N345" s="9"/>
      <c r="O345" s="22">
        <v>1.58691</v>
      </c>
      <c r="P345" s="22">
        <v>13.0922</v>
      </c>
      <c r="Q345" s="22">
        <v>-4.6020499999999999E-3</v>
      </c>
      <c r="R345" s="22">
        <v>335</v>
      </c>
      <c r="S345" s="22">
        <v>1.58569</v>
      </c>
      <c r="T345">
        <f t="shared" si="62"/>
        <v>5.6815432098765433</v>
      </c>
      <c r="U345">
        <f t="shared" si="63"/>
        <v>9.0160977351851859</v>
      </c>
      <c r="X345" s="9"/>
      <c r="Y345" s="22">
        <v>3.3111599999999998E-2</v>
      </c>
      <c r="Z345" s="22">
        <v>18.444299999999998</v>
      </c>
      <c r="AA345" s="22">
        <v>-1.34827E-2</v>
      </c>
      <c r="AB345" s="22">
        <v>335</v>
      </c>
      <c r="AC345" s="22">
        <v>3.3053600000000002E-2</v>
      </c>
      <c r="AD345">
        <f t="shared" si="64"/>
        <v>16.645308641975308</v>
      </c>
      <c r="AE345">
        <f t="shared" si="65"/>
        <v>0.55115280162962954</v>
      </c>
      <c r="AF345" s="9"/>
      <c r="AG345" s="22">
        <v>1.58691</v>
      </c>
      <c r="AH345" s="22">
        <v>22.102399999999999</v>
      </c>
      <c r="AI345" s="22">
        <v>-4.6246300000000002E-3</v>
      </c>
      <c r="AJ345" s="22">
        <v>335</v>
      </c>
      <c r="AK345" s="22">
        <v>1.5860000000000001</v>
      </c>
      <c r="AL345">
        <f t="shared" si="66"/>
        <v>5.7094197530864204</v>
      </c>
      <c r="AM345">
        <f t="shared" si="67"/>
        <v>9.0603353003703724</v>
      </c>
      <c r="AP345" s="9"/>
      <c r="AQ345" s="22">
        <v>3.3111599999999998E-2</v>
      </c>
      <c r="AR345" s="22">
        <v>27.438600000000001</v>
      </c>
      <c r="AS345" s="22">
        <v>-1.3501000000000001E-2</v>
      </c>
      <c r="AT345" s="22">
        <v>335</v>
      </c>
      <c r="AU345" s="22">
        <v>3.3053600000000002E-2</v>
      </c>
      <c r="AV345">
        <f t="shared" si="68"/>
        <v>16.667901234567903</v>
      </c>
      <c r="AW345">
        <f t="shared" si="69"/>
        <v>0.55190087851851855</v>
      </c>
      <c r="AX345" s="9"/>
      <c r="AY345" s="22">
        <v>1.58691</v>
      </c>
      <c r="AZ345" s="22">
        <v>31.096599999999999</v>
      </c>
      <c r="BA345" s="22">
        <v>-4.5922899999999997E-3</v>
      </c>
      <c r="BB345" s="22">
        <v>335</v>
      </c>
      <c r="BC345" s="22">
        <v>1.58569</v>
      </c>
      <c r="BD345">
        <f t="shared" si="70"/>
        <v>5.6694938271604931</v>
      </c>
      <c r="BE345">
        <f t="shared" si="71"/>
        <v>8.9969764492592592</v>
      </c>
    </row>
    <row r="346" spans="6:57">
      <c r="F346" s="9"/>
      <c r="G346" s="22">
        <v>2.8076199999999999E-2</v>
      </c>
      <c r="H346" s="22">
        <v>9.4441900000000008</v>
      </c>
      <c r="I346" s="22">
        <v>-1.32874E-2</v>
      </c>
      <c r="J346" s="22">
        <v>336</v>
      </c>
      <c r="K346" s="22">
        <v>2.8002900000000001E-2</v>
      </c>
      <c r="L346">
        <f t="shared" si="60"/>
        <v>16.404197530864195</v>
      </c>
      <c r="M346">
        <f t="shared" si="61"/>
        <v>0.46056753071604928</v>
      </c>
      <c r="N346" s="9"/>
      <c r="O346" s="22">
        <v>1.59195</v>
      </c>
      <c r="P346" s="22">
        <v>13.1023</v>
      </c>
      <c r="Q346" s="22">
        <v>-4.42108E-3</v>
      </c>
      <c r="R346" s="22">
        <v>336</v>
      </c>
      <c r="S346" s="22">
        <v>1.5908800000000001</v>
      </c>
      <c r="T346">
        <f t="shared" si="62"/>
        <v>5.4581234567901227</v>
      </c>
      <c r="U346">
        <f t="shared" si="63"/>
        <v>8.689059637037035</v>
      </c>
      <c r="X346" s="9"/>
      <c r="Y346" s="22">
        <v>2.8076199999999999E-2</v>
      </c>
      <c r="Z346" s="22">
        <v>18.4544</v>
      </c>
      <c r="AA346" s="22">
        <v>-1.34827E-2</v>
      </c>
      <c r="AB346" s="22">
        <v>336</v>
      </c>
      <c r="AC346" s="22">
        <v>2.7987700000000001E-2</v>
      </c>
      <c r="AD346">
        <f t="shared" si="64"/>
        <v>16.645308641975308</v>
      </c>
      <c r="AE346">
        <f t="shared" si="65"/>
        <v>0.46733701449382714</v>
      </c>
      <c r="AF346" s="9"/>
      <c r="AG346" s="22">
        <v>1.59195</v>
      </c>
      <c r="AH346" s="22">
        <v>22.112500000000001</v>
      </c>
      <c r="AI346" s="22">
        <v>-4.4372600000000002E-3</v>
      </c>
      <c r="AJ346" s="22">
        <v>336</v>
      </c>
      <c r="AK346" s="22">
        <v>1.5905800000000001</v>
      </c>
      <c r="AL346">
        <f t="shared" si="66"/>
        <v>5.4780987654320983</v>
      </c>
      <c r="AM346">
        <f t="shared" si="67"/>
        <v>8.7208593296296293</v>
      </c>
      <c r="AP346" s="9"/>
      <c r="AQ346" s="22">
        <v>2.8076199999999999E-2</v>
      </c>
      <c r="AR346" s="22">
        <v>27.448599999999999</v>
      </c>
      <c r="AS346" s="22">
        <v>-1.3501000000000001E-2</v>
      </c>
      <c r="AT346" s="22">
        <v>336</v>
      </c>
      <c r="AU346" s="22">
        <v>2.8012100000000002E-2</v>
      </c>
      <c r="AV346">
        <f t="shared" si="68"/>
        <v>16.667901234567903</v>
      </c>
      <c r="AW346">
        <f t="shared" si="69"/>
        <v>0.46797132864197538</v>
      </c>
      <c r="AX346" s="9"/>
      <c r="AY346" s="22">
        <v>1.59195</v>
      </c>
      <c r="AZ346" s="22">
        <v>31.1067</v>
      </c>
      <c r="BA346" s="22">
        <v>-4.4061300000000003E-3</v>
      </c>
      <c r="BB346" s="22">
        <v>336</v>
      </c>
      <c r="BC346" s="22">
        <v>1.5908800000000001</v>
      </c>
      <c r="BD346">
        <f t="shared" si="70"/>
        <v>5.4396666666666667</v>
      </c>
      <c r="BE346">
        <f t="shared" si="71"/>
        <v>8.6596773499999991</v>
      </c>
    </row>
    <row r="347" spans="6:57">
      <c r="F347" s="9"/>
      <c r="G347" s="22">
        <v>2.30408E-2</v>
      </c>
      <c r="H347" s="22">
        <v>9.4542699999999993</v>
      </c>
      <c r="I347" s="22">
        <v>-1.32874E-2</v>
      </c>
      <c r="J347" s="22">
        <v>337</v>
      </c>
      <c r="K347" s="22">
        <v>2.2936999999999999E-2</v>
      </c>
      <c r="L347">
        <f t="shared" si="60"/>
        <v>16.404197530864195</v>
      </c>
      <c r="M347">
        <f t="shared" si="61"/>
        <v>0.37796583446913573</v>
      </c>
      <c r="N347" s="9"/>
      <c r="O347" s="22">
        <v>1.5969800000000001</v>
      </c>
      <c r="P347" s="22">
        <v>13.112299999999999</v>
      </c>
      <c r="Q347" s="22">
        <v>-4.2303499999999999E-3</v>
      </c>
      <c r="R347" s="22">
        <v>337</v>
      </c>
      <c r="S347" s="22">
        <v>1.5960700000000001</v>
      </c>
      <c r="T347">
        <f t="shared" si="62"/>
        <v>5.2226543209876546</v>
      </c>
      <c r="U347">
        <f t="shared" si="63"/>
        <v>8.3404744975308649</v>
      </c>
      <c r="X347" s="9"/>
      <c r="Y347" s="22">
        <v>2.30408E-2</v>
      </c>
      <c r="Z347" s="22">
        <v>18.464500000000001</v>
      </c>
      <c r="AA347" s="22">
        <v>-1.34796E-2</v>
      </c>
      <c r="AB347" s="22">
        <v>337</v>
      </c>
      <c r="AC347" s="22">
        <v>2.2970600000000001E-2</v>
      </c>
      <c r="AD347">
        <f t="shared" si="64"/>
        <v>16.641481481481478</v>
      </c>
      <c r="AE347">
        <f t="shared" si="65"/>
        <v>0.38343304651851845</v>
      </c>
      <c r="AF347" s="9"/>
      <c r="AG347" s="22">
        <v>1.5969800000000001</v>
      </c>
      <c r="AH347" s="22">
        <v>22.122499999999999</v>
      </c>
      <c r="AI347" s="22">
        <v>-4.2462200000000002E-3</v>
      </c>
      <c r="AJ347" s="22">
        <v>337</v>
      </c>
      <c r="AK347" s="22">
        <v>1.5957600000000001</v>
      </c>
      <c r="AL347">
        <f t="shared" si="66"/>
        <v>5.2422469135802467</v>
      </c>
      <c r="AM347">
        <f t="shared" si="67"/>
        <v>8.3717634760493826</v>
      </c>
      <c r="AP347" s="9"/>
      <c r="AQ347" s="22">
        <v>2.30408E-2</v>
      </c>
      <c r="AR347" s="22">
        <v>27.4587</v>
      </c>
      <c r="AS347" s="22">
        <v>-1.3516200000000001E-2</v>
      </c>
      <c r="AT347" s="22">
        <v>337</v>
      </c>
      <c r="AU347" s="22">
        <v>2.2952299999999998E-2</v>
      </c>
      <c r="AV347">
        <f t="shared" si="68"/>
        <v>16.686666666666664</v>
      </c>
      <c r="AW347">
        <f t="shared" si="69"/>
        <v>0.38447414933333329</v>
      </c>
      <c r="AX347" s="9"/>
      <c r="AY347" s="22">
        <v>1.5969800000000001</v>
      </c>
      <c r="AZ347" s="22">
        <v>31.116700000000002</v>
      </c>
      <c r="BA347" s="22">
        <v>-4.2114300000000004E-3</v>
      </c>
      <c r="BB347" s="22">
        <v>337</v>
      </c>
      <c r="BC347" s="22">
        <v>1.5963700000000001</v>
      </c>
      <c r="BD347">
        <f t="shared" si="70"/>
        <v>5.1992962962962963</v>
      </c>
      <c r="BE347">
        <f t="shared" si="71"/>
        <v>8.3031721992592598</v>
      </c>
    </row>
    <row r="348" spans="6:57">
      <c r="F348" s="9"/>
      <c r="G348" s="22">
        <v>1.8005400000000001E-2</v>
      </c>
      <c r="H348" s="22">
        <v>9.46434</v>
      </c>
      <c r="I348" s="22">
        <v>-1.3284300000000001E-2</v>
      </c>
      <c r="J348" s="22">
        <v>338</v>
      </c>
      <c r="K348" s="22">
        <v>1.7898600000000001E-2</v>
      </c>
      <c r="L348">
        <f t="shared" si="60"/>
        <v>16.400370370370371</v>
      </c>
      <c r="M348">
        <f t="shared" si="61"/>
        <v>0.29529522866666669</v>
      </c>
      <c r="N348" s="9"/>
      <c r="O348" s="22">
        <v>1.60202</v>
      </c>
      <c r="P348" s="22">
        <v>13.122400000000001</v>
      </c>
      <c r="Q348" s="22">
        <v>-4.0414400000000003E-3</v>
      </c>
      <c r="R348" s="22">
        <v>338</v>
      </c>
      <c r="S348" s="22">
        <v>1.6012599999999999</v>
      </c>
      <c r="T348">
        <f t="shared" si="62"/>
        <v>4.9894320987654321</v>
      </c>
      <c r="U348">
        <f t="shared" si="63"/>
        <v>7.9931700108641976</v>
      </c>
      <c r="X348" s="9"/>
      <c r="Y348" s="22">
        <v>1.8005400000000001E-2</v>
      </c>
      <c r="Z348" s="22">
        <v>18.474499999999999</v>
      </c>
      <c r="AA348" s="22">
        <v>-1.3473499999999999E-2</v>
      </c>
      <c r="AB348" s="22">
        <v>338</v>
      </c>
      <c r="AC348" s="22">
        <v>1.7910800000000001E-2</v>
      </c>
      <c r="AD348">
        <f t="shared" si="64"/>
        <v>16.633950617283947</v>
      </c>
      <c r="AE348">
        <f t="shared" si="65"/>
        <v>0.29950093444444442</v>
      </c>
      <c r="AF348" s="9"/>
      <c r="AG348" s="22">
        <v>1.60202</v>
      </c>
      <c r="AH348" s="22">
        <v>22.1326</v>
      </c>
      <c r="AI348" s="22">
        <v>-4.0521200000000002E-3</v>
      </c>
      <c r="AJ348" s="22">
        <v>338</v>
      </c>
      <c r="AK348" s="22">
        <v>1.6006499999999999</v>
      </c>
      <c r="AL348">
        <f t="shared" si="66"/>
        <v>5.0026172839506176</v>
      </c>
      <c r="AM348">
        <f t="shared" si="67"/>
        <v>8.0142929412345687</v>
      </c>
      <c r="AP348" s="9"/>
      <c r="AQ348" s="22">
        <v>1.8005400000000001E-2</v>
      </c>
      <c r="AR348" s="22">
        <v>27.468800000000002</v>
      </c>
      <c r="AS348" s="22">
        <v>-1.35254E-2</v>
      </c>
      <c r="AT348" s="22">
        <v>338</v>
      </c>
      <c r="AU348" s="22">
        <v>1.79016E-2</v>
      </c>
      <c r="AV348">
        <f t="shared" si="68"/>
        <v>16.698024691358025</v>
      </c>
      <c r="AW348">
        <f t="shared" si="69"/>
        <v>0.3006546137777778</v>
      </c>
      <c r="AX348" s="9"/>
      <c r="AY348" s="22">
        <v>1.60202</v>
      </c>
      <c r="AZ348" s="22">
        <v>31.126799999999999</v>
      </c>
      <c r="BA348" s="22">
        <v>-4.0148900000000001E-3</v>
      </c>
      <c r="BB348" s="22">
        <v>338</v>
      </c>
      <c r="BC348" s="22">
        <v>1.6012599999999999</v>
      </c>
      <c r="BD348">
        <f t="shared" si="70"/>
        <v>4.9566543209876546</v>
      </c>
      <c r="BE348">
        <f t="shared" si="71"/>
        <v>7.9406593553086422</v>
      </c>
    </row>
    <row r="349" spans="6:57">
      <c r="F349" s="9"/>
      <c r="G349" s="22">
        <v>1.2970000000000001E-2</v>
      </c>
      <c r="H349" s="22">
        <v>9.4744100000000007</v>
      </c>
      <c r="I349" s="22">
        <v>-1.3281299999999999E-2</v>
      </c>
      <c r="J349" s="22">
        <v>339</v>
      </c>
      <c r="K349" s="22">
        <v>1.2851E-2</v>
      </c>
      <c r="L349">
        <f t="shared" si="60"/>
        <v>16.396666666666665</v>
      </c>
      <c r="M349">
        <f t="shared" si="61"/>
        <v>0.21266476666666664</v>
      </c>
      <c r="N349" s="9"/>
      <c r="O349" s="22">
        <v>1.6070599999999999</v>
      </c>
      <c r="P349" s="22">
        <v>13.1325</v>
      </c>
      <c r="Q349" s="22">
        <v>-3.8436899999999999E-3</v>
      </c>
      <c r="R349" s="22">
        <v>339</v>
      </c>
      <c r="S349" s="22">
        <v>1.6061399999999999</v>
      </c>
      <c r="T349">
        <f t="shared" si="62"/>
        <v>4.7452962962962957</v>
      </c>
      <c r="U349">
        <f t="shared" si="63"/>
        <v>7.6259758659259242</v>
      </c>
      <c r="X349" s="9"/>
      <c r="Y349" s="22">
        <v>1.2970000000000001E-2</v>
      </c>
      <c r="Z349" s="22">
        <v>18.4846</v>
      </c>
      <c r="AA349" s="22">
        <v>-1.3461300000000001E-2</v>
      </c>
      <c r="AB349" s="22">
        <v>339</v>
      </c>
      <c r="AC349" s="22">
        <v>1.28845E-2</v>
      </c>
      <c r="AD349">
        <f t="shared" si="64"/>
        <v>16.618888888888886</v>
      </c>
      <c r="AE349">
        <f t="shared" si="65"/>
        <v>0.21554698888888887</v>
      </c>
      <c r="AF349" s="9"/>
      <c r="AG349" s="22">
        <v>1.6070599999999999</v>
      </c>
      <c r="AH349" s="22">
        <v>22.142700000000001</v>
      </c>
      <c r="AI349" s="22">
        <v>-3.8519299999999999E-3</v>
      </c>
      <c r="AJ349" s="22">
        <v>339</v>
      </c>
      <c r="AK349" s="22">
        <v>1.6061399999999999</v>
      </c>
      <c r="AL349">
        <f t="shared" si="66"/>
        <v>4.7554691358024694</v>
      </c>
      <c r="AM349">
        <f t="shared" si="67"/>
        <v>7.6423242293827158</v>
      </c>
      <c r="AP349" s="9"/>
      <c r="AQ349" s="22">
        <v>1.2970000000000001E-2</v>
      </c>
      <c r="AR349" s="22">
        <v>27.4788</v>
      </c>
      <c r="AS349" s="22">
        <v>-1.35345E-2</v>
      </c>
      <c r="AT349" s="22">
        <v>339</v>
      </c>
      <c r="AU349" s="22">
        <v>1.28906E-2</v>
      </c>
      <c r="AV349">
        <f t="shared" si="68"/>
        <v>16.709259259259255</v>
      </c>
      <c r="AW349">
        <f t="shared" si="69"/>
        <v>0.21671909259259256</v>
      </c>
      <c r="AX349" s="9"/>
      <c r="AY349" s="22">
        <v>1.6070599999999999</v>
      </c>
      <c r="AZ349" s="22">
        <v>31.136900000000001</v>
      </c>
      <c r="BA349" s="22">
        <v>-3.8104200000000001E-3</v>
      </c>
      <c r="BB349" s="22">
        <v>339</v>
      </c>
      <c r="BC349" s="22">
        <v>1.6064499999999999</v>
      </c>
      <c r="BD349">
        <f t="shared" si="70"/>
        <v>4.7042222222222225</v>
      </c>
      <c r="BE349">
        <f t="shared" si="71"/>
        <v>7.5599673644444447</v>
      </c>
    </row>
    <row r="350" spans="6:57">
      <c r="F350" s="9"/>
      <c r="G350" s="22">
        <v>7.9345700000000002E-3</v>
      </c>
      <c r="H350" s="22">
        <v>9.4844799999999996</v>
      </c>
      <c r="I350" s="22">
        <v>-1.32874E-2</v>
      </c>
      <c r="J350" s="22">
        <v>340</v>
      </c>
      <c r="K350" s="22">
        <v>7.7850300000000001E-3</v>
      </c>
      <c r="L350">
        <f t="shared" si="60"/>
        <v>16.404197530864195</v>
      </c>
      <c r="M350">
        <f t="shared" si="61"/>
        <v>0.13016025360246913</v>
      </c>
      <c r="N350" s="9"/>
      <c r="O350" s="22">
        <v>1.61209</v>
      </c>
      <c r="P350" s="22">
        <v>13.1425</v>
      </c>
      <c r="Q350" s="22">
        <v>-3.6483800000000001E-3</v>
      </c>
      <c r="R350" s="22">
        <v>340</v>
      </c>
      <c r="S350" s="22">
        <v>1.6110199999999999</v>
      </c>
      <c r="T350">
        <f t="shared" si="62"/>
        <v>4.5041728395061726</v>
      </c>
      <c r="U350">
        <f t="shared" si="63"/>
        <v>7.2611319928395064</v>
      </c>
      <c r="X350" s="9"/>
      <c r="Y350" s="22">
        <v>7.9345700000000002E-3</v>
      </c>
      <c r="Z350" s="22">
        <v>18.494700000000002</v>
      </c>
      <c r="AA350" s="22">
        <v>-1.34644E-2</v>
      </c>
      <c r="AB350" s="22">
        <v>340</v>
      </c>
      <c r="AC350" s="22">
        <v>7.7972400000000004E-3</v>
      </c>
      <c r="AD350">
        <f t="shared" si="64"/>
        <v>16.622716049382717</v>
      </c>
      <c r="AE350">
        <f t="shared" si="65"/>
        <v>0.13189410408395064</v>
      </c>
      <c r="AF350" s="9"/>
      <c r="AG350" s="22">
        <v>1.61209</v>
      </c>
      <c r="AH350" s="22">
        <v>22.152699999999999</v>
      </c>
      <c r="AI350" s="22">
        <v>-3.6517300000000002E-3</v>
      </c>
      <c r="AJ350" s="22">
        <v>340</v>
      </c>
      <c r="AK350" s="22">
        <v>1.6113299999999999</v>
      </c>
      <c r="AL350">
        <f t="shared" si="66"/>
        <v>4.5083086419753089</v>
      </c>
      <c r="AM350">
        <f t="shared" si="67"/>
        <v>7.2677992786419754</v>
      </c>
      <c r="AP350" s="9"/>
      <c r="AQ350" s="22">
        <v>7.9345700000000002E-3</v>
      </c>
      <c r="AR350" s="22">
        <v>27.488900000000001</v>
      </c>
      <c r="AS350" s="22">
        <v>-1.3543700000000001E-2</v>
      </c>
      <c r="AT350" s="22">
        <v>340</v>
      </c>
      <c r="AU350" s="22">
        <v>7.7880900000000001E-3</v>
      </c>
      <c r="AV350">
        <f t="shared" si="68"/>
        <v>16.720617283950617</v>
      </c>
      <c r="AW350">
        <f t="shared" si="69"/>
        <v>0.13267090828271605</v>
      </c>
      <c r="AX350" s="9"/>
      <c r="AY350" s="22">
        <v>1.61209</v>
      </c>
      <c r="AZ350" s="22">
        <v>31.146999999999998</v>
      </c>
      <c r="BA350" s="22">
        <v>-3.60626E-3</v>
      </c>
      <c r="BB350" s="22">
        <v>340</v>
      </c>
      <c r="BC350" s="22">
        <v>1.6110199999999999</v>
      </c>
      <c r="BD350">
        <f t="shared" si="70"/>
        <v>4.452172839506173</v>
      </c>
      <c r="BE350">
        <f t="shared" si="71"/>
        <v>7.1773033128395065</v>
      </c>
    </row>
    <row r="351" spans="6:57">
      <c r="F351" s="9"/>
      <c r="G351" s="22">
        <v>2.89917E-3</v>
      </c>
      <c r="H351" s="22">
        <v>9.4945500000000003</v>
      </c>
      <c r="I351" s="22">
        <v>-1.3290400000000001E-2</v>
      </c>
      <c r="J351" s="22">
        <v>341</v>
      </c>
      <c r="K351" s="22">
        <v>2.8198199999999998E-3</v>
      </c>
      <c r="L351">
        <f t="shared" si="60"/>
        <v>16.407901234567902</v>
      </c>
      <c r="M351">
        <f t="shared" si="61"/>
        <v>4.7569295022222222E-2</v>
      </c>
      <c r="N351" s="9"/>
      <c r="O351" s="22">
        <v>1.61713</v>
      </c>
      <c r="P351" s="22">
        <v>13.1526</v>
      </c>
      <c r="Q351" s="22">
        <v>-3.4399399999999998E-3</v>
      </c>
      <c r="R351" s="22">
        <v>341</v>
      </c>
      <c r="S351" s="22">
        <v>1.6162099999999999</v>
      </c>
      <c r="T351">
        <f t="shared" si="62"/>
        <v>4.2468395061728392</v>
      </c>
      <c r="U351">
        <f t="shared" si="63"/>
        <v>6.867691570617283</v>
      </c>
      <c r="X351" s="9"/>
      <c r="Y351" s="22">
        <v>2.89917E-3</v>
      </c>
      <c r="Z351" s="22">
        <v>18.504799999999999</v>
      </c>
      <c r="AA351" s="22">
        <v>-1.3467399999999999E-2</v>
      </c>
      <c r="AB351" s="22">
        <v>341</v>
      </c>
      <c r="AC351" s="22">
        <v>2.7832E-3</v>
      </c>
      <c r="AD351">
        <f t="shared" si="64"/>
        <v>16.626419753086417</v>
      </c>
      <c r="AE351">
        <f t="shared" si="65"/>
        <v>4.8202817355555545E-2</v>
      </c>
      <c r="AF351" s="9"/>
      <c r="AG351" s="22">
        <v>1.61713</v>
      </c>
      <c r="AH351" s="22">
        <v>22.162800000000001</v>
      </c>
      <c r="AI351" s="22">
        <v>-3.4420800000000001E-3</v>
      </c>
      <c r="AJ351" s="22">
        <v>341</v>
      </c>
      <c r="AK351" s="22">
        <v>1.6162099999999999</v>
      </c>
      <c r="AL351">
        <f t="shared" si="66"/>
        <v>4.2494814814814816</v>
      </c>
      <c r="AM351">
        <f t="shared" si="67"/>
        <v>6.8719639881481482</v>
      </c>
      <c r="AP351" s="9"/>
      <c r="AQ351" s="22">
        <v>2.89917E-3</v>
      </c>
      <c r="AR351" s="22">
        <v>27.498999999999999</v>
      </c>
      <c r="AS351" s="22">
        <v>-1.35406E-2</v>
      </c>
      <c r="AT351" s="22">
        <v>341</v>
      </c>
      <c r="AU351" s="22">
        <v>2.7801499999999999E-3</v>
      </c>
      <c r="AV351">
        <f t="shared" si="68"/>
        <v>16.716790123456789</v>
      </c>
      <c r="AW351">
        <f t="shared" si="69"/>
        <v>4.8464816422222216E-2</v>
      </c>
      <c r="AX351" s="9"/>
      <c r="AY351" s="22">
        <v>1.61713</v>
      </c>
      <c r="AZ351" s="22">
        <v>31.157</v>
      </c>
      <c r="BA351" s="22">
        <v>-3.3969099999999999E-3</v>
      </c>
      <c r="BB351" s="22">
        <v>341</v>
      </c>
      <c r="BC351" s="22">
        <v>1.61591</v>
      </c>
      <c r="BD351">
        <f t="shared" si="70"/>
        <v>4.1937160493827159</v>
      </c>
      <c r="BE351">
        <f t="shared" si="71"/>
        <v>6.781784034938271</v>
      </c>
    </row>
    <row r="352" spans="6:57">
      <c r="F352" s="9"/>
      <c r="G352" s="22">
        <v>-2.1362299999999998E-3</v>
      </c>
      <c r="H352" s="22">
        <v>9.5046199999999992</v>
      </c>
      <c r="I352" s="22">
        <v>-1.3302599999999999E-2</v>
      </c>
      <c r="J352" s="22">
        <v>342</v>
      </c>
      <c r="K352" s="22">
        <v>-2.28882E-3</v>
      </c>
      <c r="L352">
        <f t="shared" si="60"/>
        <v>16.422962962962963</v>
      </c>
      <c r="M352">
        <f t="shared" si="61"/>
        <v>-3.5083226170370366E-2</v>
      </c>
      <c r="N352" s="9"/>
      <c r="O352" s="22">
        <v>1.62216</v>
      </c>
      <c r="P352" s="22">
        <v>13.162699999999999</v>
      </c>
      <c r="Q352" s="22">
        <v>-3.2333399999999999E-3</v>
      </c>
      <c r="R352" s="22">
        <v>342</v>
      </c>
      <c r="S352" s="22">
        <v>1.6214</v>
      </c>
      <c r="T352">
        <f t="shared" si="62"/>
        <v>3.9917777777777772</v>
      </c>
      <c r="U352">
        <f t="shared" si="63"/>
        <v>6.4753022399999995</v>
      </c>
      <c r="X352" s="9"/>
      <c r="Y352" s="22">
        <v>-2.1362299999999998E-3</v>
      </c>
      <c r="Z352" s="22">
        <v>18.514800000000001</v>
      </c>
      <c r="AA352" s="22">
        <v>-1.34705E-2</v>
      </c>
      <c r="AB352" s="22">
        <v>342</v>
      </c>
      <c r="AC352" s="22">
        <v>-2.3010299999999999E-3</v>
      </c>
      <c r="AD352">
        <f t="shared" si="64"/>
        <v>16.630246913580244</v>
      </c>
      <c r="AE352">
        <f t="shared" si="65"/>
        <v>-3.5526032364197518E-2</v>
      </c>
      <c r="AF352" s="9"/>
      <c r="AG352" s="22">
        <v>1.62216</v>
      </c>
      <c r="AH352" s="22">
        <v>22.172899999999998</v>
      </c>
      <c r="AI352" s="22">
        <v>-3.2385299999999999E-3</v>
      </c>
      <c r="AJ352" s="22">
        <v>342</v>
      </c>
      <c r="AK352" s="22">
        <v>1.6216999999999999</v>
      </c>
      <c r="AL352">
        <f t="shared" si="66"/>
        <v>3.9981851851851844</v>
      </c>
      <c r="AM352">
        <f t="shared" si="67"/>
        <v>6.4856960799999985</v>
      </c>
      <c r="AP352" s="9"/>
      <c r="AQ352" s="22">
        <v>-2.1362299999999998E-3</v>
      </c>
      <c r="AR352" s="22">
        <v>27.5091</v>
      </c>
      <c r="AS352" s="22">
        <v>-1.3546799999999999E-2</v>
      </c>
      <c r="AT352" s="22">
        <v>342</v>
      </c>
      <c r="AU352" s="22">
        <v>-2.2979699999999999E-3</v>
      </c>
      <c r="AV352">
        <f t="shared" si="68"/>
        <v>16.72444444444444</v>
      </c>
      <c r="AW352">
        <f t="shared" si="69"/>
        <v>-3.5727259955555542E-2</v>
      </c>
      <c r="AX352" s="9"/>
      <c r="AY352" s="22">
        <v>1.62216</v>
      </c>
      <c r="AZ352" s="22">
        <v>31.167100000000001</v>
      </c>
      <c r="BA352" s="22">
        <v>-3.18695E-3</v>
      </c>
      <c r="BB352" s="22">
        <v>342</v>
      </c>
      <c r="BC352" s="22">
        <v>1.6214</v>
      </c>
      <c r="BD352">
        <f t="shared" si="70"/>
        <v>3.9345061728395057</v>
      </c>
      <c r="BE352">
        <f t="shared" si="71"/>
        <v>6.3823985333333324</v>
      </c>
    </row>
    <row r="353" spans="6:57">
      <c r="F353" s="9"/>
      <c r="G353" s="22">
        <v>-7.17163E-3</v>
      </c>
      <c r="H353" s="22">
        <v>9.5146899999999999</v>
      </c>
      <c r="I353" s="22">
        <v>-1.33057E-2</v>
      </c>
      <c r="J353" s="22">
        <v>343</v>
      </c>
      <c r="K353" s="22">
        <v>-7.3638899999999997E-3</v>
      </c>
      <c r="L353">
        <f t="shared" si="60"/>
        <v>16.42679012345679</v>
      </c>
      <c r="M353">
        <f t="shared" si="61"/>
        <v>-0.11780686085308642</v>
      </c>
      <c r="N353" s="9"/>
      <c r="O353" s="22">
        <v>1.6272</v>
      </c>
      <c r="P353" s="22">
        <v>13.172700000000001</v>
      </c>
      <c r="Q353" s="22">
        <v>-3.01849E-3</v>
      </c>
      <c r="R353" s="22">
        <v>343</v>
      </c>
      <c r="S353" s="22">
        <v>1.6262799999999999</v>
      </c>
      <c r="T353">
        <f t="shared" si="62"/>
        <v>3.7265308641975303</v>
      </c>
      <c r="U353">
        <f t="shared" si="63"/>
        <v>6.0638110222222217</v>
      </c>
      <c r="X353" s="9"/>
      <c r="Y353" s="22">
        <v>-7.17163E-3</v>
      </c>
      <c r="Z353" s="22">
        <v>18.524899999999999</v>
      </c>
      <c r="AA353" s="22">
        <v>-1.3473499999999999E-2</v>
      </c>
      <c r="AB353" s="22">
        <v>343</v>
      </c>
      <c r="AC353" s="22">
        <v>-7.34558E-3</v>
      </c>
      <c r="AD353">
        <f t="shared" si="64"/>
        <v>16.633950617283947</v>
      </c>
      <c r="AE353">
        <f t="shared" si="65"/>
        <v>-0.11929253926543207</v>
      </c>
      <c r="AF353" s="9"/>
      <c r="AG353" s="22">
        <v>1.6272</v>
      </c>
      <c r="AH353" s="22">
        <v>22.1829</v>
      </c>
      <c r="AI353" s="22">
        <v>-3.02338E-3</v>
      </c>
      <c r="AJ353" s="22">
        <v>343</v>
      </c>
      <c r="AK353" s="22">
        <v>1.62598</v>
      </c>
      <c r="AL353">
        <f t="shared" si="66"/>
        <v>3.7325679012345674</v>
      </c>
      <c r="AM353">
        <f t="shared" si="67"/>
        <v>6.0736344888888878</v>
      </c>
      <c r="AP353" s="9"/>
      <c r="AQ353" s="22">
        <v>-7.17163E-3</v>
      </c>
      <c r="AR353" s="22">
        <v>27.519100000000002</v>
      </c>
      <c r="AS353" s="22">
        <v>-1.35406E-2</v>
      </c>
      <c r="AT353" s="22">
        <v>343</v>
      </c>
      <c r="AU353" s="22">
        <v>-7.3669399999999998E-3</v>
      </c>
      <c r="AV353">
        <f t="shared" si="68"/>
        <v>16.716790123456789</v>
      </c>
      <c r="AW353">
        <f t="shared" si="69"/>
        <v>-0.11988663355308642</v>
      </c>
      <c r="AX353" s="9"/>
      <c r="AY353" s="22">
        <v>1.6272</v>
      </c>
      <c r="AZ353" s="22">
        <v>31.177199999999999</v>
      </c>
      <c r="BA353" s="22">
        <v>-2.9696700000000002E-3</v>
      </c>
      <c r="BB353" s="22">
        <v>343</v>
      </c>
      <c r="BC353" s="22">
        <v>1.62659</v>
      </c>
      <c r="BD353">
        <f t="shared" si="70"/>
        <v>3.6662592592592591</v>
      </c>
      <c r="BE353">
        <f t="shared" si="71"/>
        <v>5.9657370666666667</v>
      </c>
    </row>
    <row r="354" spans="6:57">
      <c r="F354" s="9"/>
      <c r="G354" s="22">
        <v>-1.2207000000000001E-2</v>
      </c>
      <c r="H354" s="22">
        <v>9.5247600000000006</v>
      </c>
      <c r="I354" s="22">
        <v>-1.33087E-2</v>
      </c>
      <c r="J354" s="22">
        <v>344</v>
      </c>
      <c r="K354" s="22">
        <v>-1.24023E-2</v>
      </c>
      <c r="L354">
        <f t="shared" si="60"/>
        <v>16.430493827160493</v>
      </c>
      <c r="M354">
        <f t="shared" si="61"/>
        <v>-0.20056703814814816</v>
      </c>
      <c r="N354" s="9"/>
      <c r="O354" s="22">
        <v>1.6322300000000001</v>
      </c>
      <c r="P354" s="22">
        <v>13.1828</v>
      </c>
      <c r="Q354" s="22">
        <v>-2.8060899999999998E-3</v>
      </c>
      <c r="R354" s="22">
        <v>344</v>
      </c>
      <c r="S354" s="22">
        <v>1.6311599999999999</v>
      </c>
      <c r="T354">
        <f t="shared" si="62"/>
        <v>3.464308641975308</v>
      </c>
      <c r="U354">
        <f t="shared" si="63"/>
        <v>5.6545484946913573</v>
      </c>
      <c r="X354" s="9"/>
      <c r="Y354" s="22">
        <v>-1.2207000000000001E-2</v>
      </c>
      <c r="Z354" s="22">
        <v>18.535</v>
      </c>
      <c r="AA354" s="22">
        <v>-1.34766E-2</v>
      </c>
      <c r="AB354" s="22">
        <v>344</v>
      </c>
      <c r="AC354" s="22">
        <v>-1.23962E-2</v>
      </c>
      <c r="AD354">
        <f t="shared" si="64"/>
        <v>16.637777777777774</v>
      </c>
      <c r="AE354">
        <f t="shared" si="65"/>
        <v>-0.20309735333333331</v>
      </c>
      <c r="AF354" s="9"/>
      <c r="AG354" s="22">
        <v>1.6322300000000001</v>
      </c>
      <c r="AH354" s="22">
        <v>22.193000000000001</v>
      </c>
      <c r="AI354" s="22">
        <v>-2.8146400000000002E-3</v>
      </c>
      <c r="AJ354" s="22">
        <v>344</v>
      </c>
      <c r="AK354" s="22">
        <v>1.6311599999999999</v>
      </c>
      <c r="AL354">
        <f t="shared" si="66"/>
        <v>3.4748641975308643</v>
      </c>
      <c r="AM354">
        <f t="shared" si="67"/>
        <v>5.6717775891358029</v>
      </c>
      <c r="AP354" s="9"/>
      <c r="AQ354" s="22">
        <v>-1.2207000000000001E-2</v>
      </c>
      <c r="AR354" s="22">
        <v>27.529199999999999</v>
      </c>
      <c r="AS354" s="22">
        <v>-1.3546799999999999E-2</v>
      </c>
      <c r="AT354" s="22">
        <v>344</v>
      </c>
      <c r="AU354" s="22">
        <v>-1.23993E-2</v>
      </c>
      <c r="AV354">
        <f t="shared" si="68"/>
        <v>16.72444444444444</v>
      </c>
      <c r="AW354">
        <f t="shared" si="69"/>
        <v>-0.20415529333333329</v>
      </c>
      <c r="AX354" s="9"/>
      <c r="AY354" s="22">
        <v>1.6322300000000001</v>
      </c>
      <c r="AZ354" s="22">
        <v>31.187200000000001</v>
      </c>
      <c r="BA354" s="22">
        <v>-2.75574E-3</v>
      </c>
      <c r="BB354" s="22">
        <v>344</v>
      </c>
      <c r="BC354" s="22">
        <v>1.6317699999999999</v>
      </c>
      <c r="BD354">
        <f t="shared" si="70"/>
        <v>3.4021481481481479</v>
      </c>
      <c r="BE354">
        <f t="shared" si="71"/>
        <v>5.5530882718518519</v>
      </c>
    </row>
    <row r="355" spans="6:57">
      <c r="F355" s="9"/>
      <c r="G355" s="22">
        <v>-1.7242400000000001E-2</v>
      </c>
      <c r="H355" s="22">
        <v>9.5348299999999995</v>
      </c>
      <c r="I355" s="22">
        <v>-1.3327E-2</v>
      </c>
      <c r="J355" s="22">
        <v>345</v>
      </c>
      <c r="K355" s="22">
        <v>-1.7431599999999998E-2</v>
      </c>
      <c r="L355">
        <f t="shared" si="60"/>
        <v>16.453086419753085</v>
      </c>
      <c r="M355">
        <f t="shared" si="61"/>
        <v>-0.28369069728395063</v>
      </c>
      <c r="N355" s="9"/>
      <c r="O355" s="22">
        <v>1.63727</v>
      </c>
      <c r="P355" s="22">
        <v>13.1929</v>
      </c>
      <c r="Q355" s="22">
        <v>-2.5845299999999998E-3</v>
      </c>
      <c r="R355" s="22">
        <v>345</v>
      </c>
      <c r="S355" s="22">
        <v>1.63635</v>
      </c>
      <c r="T355">
        <f t="shared" si="62"/>
        <v>3.190777777777777</v>
      </c>
      <c r="U355">
        <f t="shared" si="63"/>
        <v>5.2241647322222207</v>
      </c>
      <c r="X355" s="9"/>
      <c r="Y355" s="22">
        <v>-1.7242400000000001E-2</v>
      </c>
      <c r="Z355" s="22">
        <v>18.545000000000002</v>
      </c>
      <c r="AA355" s="22">
        <v>-1.34796E-2</v>
      </c>
      <c r="AB355" s="22">
        <v>345</v>
      </c>
      <c r="AC355" s="22">
        <v>-1.7477400000000001E-2</v>
      </c>
      <c r="AD355">
        <f t="shared" si="64"/>
        <v>16.641481481481478</v>
      </c>
      <c r="AE355">
        <f t="shared" si="65"/>
        <v>-0.28693908029629628</v>
      </c>
      <c r="AF355" s="9"/>
      <c r="AG355" s="22">
        <v>1.63727</v>
      </c>
      <c r="AH355" s="22">
        <v>22.203099999999999</v>
      </c>
      <c r="AI355" s="22">
        <v>-2.5918600000000001E-3</v>
      </c>
      <c r="AJ355" s="22">
        <v>345</v>
      </c>
      <c r="AK355" s="22">
        <v>1.63666</v>
      </c>
      <c r="AL355">
        <f t="shared" si="66"/>
        <v>3.1998271604938271</v>
      </c>
      <c r="AM355">
        <f t="shared" si="67"/>
        <v>5.2389810150617286</v>
      </c>
      <c r="AP355" s="9"/>
      <c r="AQ355" s="22">
        <v>-1.7242400000000001E-2</v>
      </c>
      <c r="AR355" s="22">
        <v>27.539300000000001</v>
      </c>
      <c r="AS355" s="22">
        <v>-1.3549800000000001E-2</v>
      </c>
      <c r="AT355" s="22">
        <v>345</v>
      </c>
      <c r="AU355" s="22">
        <v>-1.7440799999999999E-2</v>
      </c>
      <c r="AV355">
        <f t="shared" si="68"/>
        <v>16.728148148148147</v>
      </c>
      <c r="AW355">
        <f t="shared" si="69"/>
        <v>-0.28843342162962965</v>
      </c>
      <c r="AX355" s="9"/>
      <c r="AY355" s="22">
        <v>1.63727</v>
      </c>
      <c r="AZ355" s="22">
        <v>31.197299999999998</v>
      </c>
      <c r="BA355" s="22">
        <v>-2.53082E-3</v>
      </c>
      <c r="BB355" s="22">
        <v>345</v>
      </c>
      <c r="BC355" s="22">
        <v>1.63635</v>
      </c>
      <c r="BD355">
        <f t="shared" si="70"/>
        <v>3.1244691358024692</v>
      </c>
      <c r="BE355">
        <f t="shared" si="71"/>
        <v>5.1155995819753084</v>
      </c>
    </row>
    <row r="356" spans="6:57">
      <c r="F356" s="9"/>
      <c r="G356" s="22">
        <v>-2.22778E-2</v>
      </c>
      <c r="H356" s="22">
        <v>9.5449000000000002</v>
      </c>
      <c r="I356" s="22">
        <v>-1.3333100000000001E-2</v>
      </c>
      <c r="J356" s="22">
        <v>346</v>
      </c>
      <c r="K356" s="22">
        <v>-2.2515899999999998E-2</v>
      </c>
      <c r="L356">
        <f t="shared" si="60"/>
        <v>16.460617283950615</v>
      </c>
      <c r="M356">
        <f t="shared" si="61"/>
        <v>-0.366706339728395</v>
      </c>
      <c r="N356" s="9"/>
      <c r="O356" s="22">
        <v>1.6423000000000001</v>
      </c>
      <c r="P356" s="22">
        <v>13.202999999999999</v>
      </c>
      <c r="Q356" s="22">
        <v>-2.36542E-3</v>
      </c>
      <c r="R356" s="22">
        <v>346</v>
      </c>
      <c r="S356" s="22">
        <v>1.64124</v>
      </c>
      <c r="T356">
        <f t="shared" si="62"/>
        <v>2.9202716049382711</v>
      </c>
      <c r="U356">
        <f t="shared" si="63"/>
        <v>4.7959620567901231</v>
      </c>
      <c r="X356" s="9"/>
      <c r="Y356" s="22">
        <v>-2.22778E-2</v>
      </c>
      <c r="Z356" s="22">
        <v>18.555099999999999</v>
      </c>
      <c r="AA356" s="22">
        <v>-1.34827E-2</v>
      </c>
      <c r="AB356" s="22">
        <v>346</v>
      </c>
      <c r="AC356" s="22">
        <v>-2.2512799999999999E-2</v>
      </c>
      <c r="AD356">
        <f t="shared" si="64"/>
        <v>16.645308641975308</v>
      </c>
      <c r="AE356">
        <f t="shared" si="65"/>
        <v>-0.37082085686419752</v>
      </c>
      <c r="AF356" s="9"/>
      <c r="AG356" s="22">
        <v>1.6423000000000001</v>
      </c>
      <c r="AH356" s="22">
        <v>22.213200000000001</v>
      </c>
      <c r="AI356" s="22">
        <v>-2.3730499999999998E-3</v>
      </c>
      <c r="AJ356" s="22">
        <v>346</v>
      </c>
      <c r="AK356" s="22">
        <v>1.64154</v>
      </c>
      <c r="AL356">
        <f t="shared" si="66"/>
        <v>2.9296913580246908</v>
      </c>
      <c r="AM356">
        <f t="shared" si="67"/>
        <v>4.8114321172839496</v>
      </c>
      <c r="AP356" s="9"/>
      <c r="AQ356" s="22">
        <v>-2.22778E-2</v>
      </c>
      <c r="AR356" s="22">
        <v>27.549299999999999</v>
      </c>
      <c r="AS356" s="22">
        <v>-1.3543700000000001E-2</v>
      </c>
      <c r="AT356" s="22">
        <v>346</v>
      </c>
      <c r="AU356" s="22">
        <v>-2.25098E-2</v>
      </c>
      <c r="AV356">
        <f t="shared" si="68"/>
        <v>16.720617283950617</v>
      </c>
      <c r="AW356">
        <f t="shared" si="69"/>
        <v>-0.37249856772839507</v>
      </c>
      <c r="AX356" s="9"/>
      <c r="AY356" s="22">
        <v>1.6423000000000001</v>
      </c>
      <c r="AZ356" s="22">
        <v>31.2074</v>
      </c>
      <c r="BA356" s="22">
        <v>-2.3065199999999998E-3</v>
      </c>
      <c r="BB356" s="22">
        <v>346</v>
      </c>
      <c r="BC356" s="22">
        <v>1.64124</v>
      </c>
      <c r="BD356">
        <f t="shared" si="70"/>
        <v>2.8475555555555552</v>
      </c>
      <c r="BE356">
        <f t="shared" si="71"/>
        <v>4.6765404888888886</v>
      </c>
    </row>
    <row r="357" spans="6:57">
      <c r="F357" s="9"/>
      <c r="G357" s="22">
        <v>-2.7313199999999999E-2</v>
      </c>
      <c r="H357" s="22">
        <v>9.5549800000000005</v>
      </c>
      <c r="I357" s="22">
        <v>-1.3327E-2</v>
      </c>
      <c r="J357" s="22">
        <v>347</v>
      </c>
      <c r="K357" s="22">
        <v>-2.75421E-2</v>
      </c>
      <c r="L357">
        <f t="shared" si="60"/>
        <v>16.453086419753085</v>
      </c>
      <c r="M357">
        <f t="shared" si="61"/>
        <v>-0.44938643999999994</v>
      </c>
      <c r="N357" s="9"/>
      <c r="O357" s="22">
        <v>1.64734</v>
      </c>
      <c r="P357" s="22">
        <v>13.212999999999999</v>
      </c>
      <c r="Q357" s="22">
        <v>-2.1398900000000002E-3</v>
      </c>
      <c r="R357" s="22">
        <v>347</v>
      </c>
      <c r="S357" s="22">
        <v>1.64673</v>
      </c>
      <c r="T357">
        <f t="shared" si="62"/>
        <v>2.6418395061728397</v>
      </c>
      <c r="U357">
        <f t="shared" si="63"/>
        <v>4.3520078920987659</v>
      </c>
      <c r="X357" s="9"/>
      <c r="Y357" s="22">
        <v>-2.7313199999999999E-2</v>
      </c>
      <c r="Z357" s="22">
        <v>18.565200000000001</v>
      </c>
      <c r="AA357" s="22">
        <v>-1.34857E-2</v>
      </c>
      <c r="AB357" s="22">
        <v>347</v>
      </c>
      <c r="AC357" s="22">
        <v>-2.7536000000000001E-2</v>
      </c>
      <c r="AD357">
        <f t="shared" si="64"/>
        <v>16.649012345679012</v>
      </c>
      <c r="AE357">
        <f t="shared" si="65"/>
        <v>-0.45473780399999997</v>
      </c>
      <c r="AF357" s="9"/>
      <c r="AG357" s="22">
        <v>1.64734</v>
      </c>
      <c r="AH357" s="22">
        <v>22.223199999999999</v>
      </c>
      <c r="AI357" s="22">
        <v>-2.13715E-3</v>
      </c>
      <c r="AJ357" s="22">
        <v>347</v>
      </c>
      <c r="AK357" s="22">
        <v>1.64612</v>
      </c>
      <c r="AL357">
        <f t="shared" si="66"/>
        <v>2.6384567901234566</v>
      </c>
      <c r="AM357">
        <f t="shared" si="67"/>
        <v>4.346435408641975</v>
      </c>
      <c r="AP357" s="9"/>
      <c r="AQ357" s="22">
        <v>-2.7313199999999999E-2</v>
      </c>
      <c r="AR357" s="22">
        <v>27.5594</v>
      </c>
      <c r="AS357" s="22">
        <v>-1.3546799999999999E-2</v>
      </c>
      <c r="AT357" s="22">
        <v>347</v>
      </c>
      <c r="AU357" s="22">
        <v>-2.7536000000000001E-2</v>
      </c>
      <c r="AV357">
        <f t="shared" si="68"/>
        <v>16.72444444444444</v>
      </c>
      <c r="AW357">
        <f t="shared" si="69"/>
        <v>-0.45679809599999988</v>
      </c>
      <c r="AX357" s="9"/>
      <c r="AY357" s="22">
        <v>1.64734</v>
      </c>
      <c r="AZ357" s="22">
        <v>31.217500000000001</v>
      </c>
      <c r="BA357" s="22">
        <v>-2.0721400000000001E-3</v>
      </c>
      <c r="BB357" s="22">
        <v>347</v>
      </c>
      <c r="BC357" s="22">
        <v>1.64612</v>
      </c>
      <c r="BD357">
        <f t="shared" si="70"/>
        <v>2.5581975308641978</v>
      </c>
      <c r="BE357">
        <f t="shared" si="71"/>
        <v>4.2142211204938276</v>
      </c>
    </row>
    <row r="358" spans="6:57">
      <c r="F358" s="9"/>
      <c r="G358" s="22">
        <v>-3.2348599999999998E-2</v>
      </c>
      <c r="H358" s="22">
        <v>9.5650499999999994</v>
      </c>
      <c r="I358" s="22">
        <v>-1.33209E-2</v>
      </c>
      <c r="J358" s="22">
        <v>348</v>
      </c>
      <c r="K358" s="22">
        <v>-3.2553100000000001E-2</v>
      </c>
      <c r="L358">
        <f t="shared" si="60"/>
        <v>16.445555555555554</v>
      </c>
      <c r="M358">
        <f t="shared" si="61"/>
        <v>-0.53199069844444435</v>
      </c>
      <c r="N358" s="9"/>
      <c r="O358" s="22">
        <v>1.6523699999999999</v>
      </c>
      <c r="P358" s="22">
        <v>13.223100000000001</v>
      </c>
      <c r="Q358" s="22">
        <v>-1.9143700000000001E-3</v>
      </c>
      <c r="R358" s="22">
        <v>348</v>
      </c>
      <c r="S358" s="22">
        <v>1.651</v>
      </c>
      <c r="T358">
        <f t="shared" si="62"/>
        <v>2.3634197530864198</v>
      </c>
      <c r="U358">
        <f t="shared" si="63"/>
        <v>3.9052438974074071</v>
      </c>
      <c r="X358" s="9"/>
      <c r="Y358" s="22">
        <v>-3.2348599999999998E-2</v>
      </c>
      <c r="Z358" s="22">
        <v>18.575299999999999</v>
      </c>
      <c r="AA358" s="22">
        <v>-1.3494900000000001E-2</v>
      </c>
      <c r="AB358" s="22">
        <v>348</v>
      </c>
      <c r="AC358" s="22">
        <v>-3.2620200000000002E-2</v>
      </c>
      <c r="AD358">
        <f t="shared" si="64"/>
        <v>16.660370370370369</v>
      </c>
      <c r="AE358">
        <f t="shared" si="65"/>
        <v>-0.53893965696296287</v>
      </c>
      <c r="AF358" s="9"/>
      <c r="AG358" s="22">
        <v>1.6523699999999999</v>
      </c>
      <c r="AH358" s="22">
        <v>22.2333</v>
      </c>
      <c r="AI358" s="22">
        <v>-1.9104E-3</v>
      </c>
      <c r="AJ358" s="22">
        <v>348</v>
      </c>
      <c r="AK358" s="22">
        <v>1.65161</v>
      </c>
      <c r="AL358">
        <f t="shared" si="66"/>
        <v>2.3585185185185185</v>
      </c>
      <c r="AM358">
        <f t="shared" si="67"/>
        <v>3.8971452444444439</v>
      </c>
      <c r="AP358" s="9"/>
      <c r="AQ358" s="22">
        <v>-3.2348599999999998E-2</v>
      </c>
      <c r="AR358" s="22">
        <v>27.569500000000001</v>
      </c>
      <c r="AS358" s="22">
        <v>-1.3546799999999999E-2</v>
      </c>
      <c r="AT358" s="22">
        <v>348</v>
      </c>
      <c r="AU358" s="22">
        <v>-3.2562300000000002E-2</v>
      </c>
      <c r="AV358">
        <f t="shared" si="68"/>
        <v>16.72444444444444</v>
      </c>
      <c r="AW358">
        <f t="shared" si="69"/>
        <v>-0.54101236355555538</v>
      </c>
      <c r="AX358" s="9"/>
      <c r="AY358" s="22">
        <v>1.6523699999999999</v>
      </c>
      <c r="AZ358" s="22">
        <v>31.227499999999999</v>
      </c>
      <c r="BA358" s="22">
        <v>-1.8362400000000001E-3</v>
      </c>
      <c r="BB358" s="22">
        <v>348</v>
      </c>
      <c r="BC358" s="22">
        <v>1.6513100000000001</v>
      </c>
      <c r="BD358">
        <f t="shared" si="70"/>
        <v>2.2669629629629626</v>
      </c>
      <c r="BE358">
        <f t="shared" si="71"/>
        <v>3.7458615911111104</v>
      </c>
    </row>
    <row r="359" spans="6:57">
      <c r="F359" s="9"/>
      <c r="G359" s="22">
        <v>-3.7384000000000001E-2</v>
      </c>
      <c r="H359" s="22">
        <v>9.5751200000000001</v>
      </c>
      <c r="I359" s="22">
        <v>-1.3333100000000001E-2</v>
      </c>
      <c r="J359" s="22">
        <v>349</v>
      </c>
      <c r="K359" s="22">
        <v>-3.7619E-2</v>
      </c>
      <c r="L359">
        <f t="shared" si="60"/>
        <v>16.460617283950615</v>
      </c>
      <c r="M359">
        <f t="shared" si="61"/>
        <v>-0.61536371654320976</v>
      </c>
      <c r="N359" s="9"/>
      <c r="O359" s="22">
        <v>1.65741</v>
      </c>
      <c r="P359" s="22">
        <v>13.2332</v>
      </c>
      <c r="Q359" s="22">
        <v>-1.6799899999999999E-3</v>
      </c>
      <c r="R359" s="22">
        <v>349</v>
      </c>
      <c r="S359" s="22">
        <v>1.6568000000000001</v>
      </c>
      <c r="T359">
        <f t="shared" si="62"/>
        <v>2.0740617283950615</v>
      </c>
      <c r="U359">
        <f t="shared" si="63"/>
        <v>3.4375706492592593</v>
      </c>
      <c r="X359" s="9"/>
      <c r="Y359" s="22">
        <v>-3.7384000000000001E-2</v>
      </c>
      <c r="Z359" s="22">
        <v>18.5853</v>
      </c>
      <c r="AA359" s="22">
        <v>-1.3501000000000001E-2</v>
      </c>
      <c r="AB359" s="22">
        <v>349</v>
      </c>
      <c r="AC359" s="22">
        <v>-3.7652600000000001E-2</v>
      </c>
      <c r="AD359">
        <f t="shared" si="64"/>
        <v>16.667901234567903</v>
      </c>
      <c r="AE359">
        <f t="shared" si="65"/>
        <v>-0.62311281975308652</v>
      </c>
      <c r="AF359" s="9"/>
      <c r="AG359" s="22">
        <v>1.65741</v>
      </c>
      <c r="AH359" s="22">
        <v>22.243400000000001</v>
      </c>
      <c r="AI359" s="22">
        <v>-1.66687E-3</v>
      </c>
      <c r="AJ359" s="22">
        <v>349</v>
      </c>
      <c r="AK359" s="22">
        <v>1.65649</v>
      </c>
      <c r="AL359">
        <f t="shared" si="66"/>
        <v>2.057864197530864</v>
      </c>
      <c r="AM359">
        <f t="shared" si="67"/>
        <v>3.4107246996296294</v>
      </c>
      <c r="AP359" s="9"/>
      <c r="AQ359" s="22">
        <v>-3.7384000000000001E-2</v>
      </c>
      <c r="AR359" s="22">
        <v>27.579499999999999</v>
      </c>
      <c r="AS359" s="22">
        <v>-1.35529E-2</v>
      </c>
      <c r="AT359" s="22">
        <v>349</v>
      </c>
      <c r="AU359" s="22">
        <v>-3.76038E-2</v>
      </c>
      <c r="AV359">
        <f t="shared" si="68"/>
        <v>16.731975308641974</v>
      </c>
      <c r="AW359">
        <f t="shared" si="69"/>
        <v>-0.62550816493827155</v>
      </c>
      <c r="AX359" s="9"/>
      <c r="AY359" s="22">
        <v>1.65741</v>
      </c>
      <c r="AZ359" s="22">
        <v>31.2376</v>
      </c>
      <c r="BA359" s="22">
        <v>-1.5991200000000001E-3</v>
      </c>
      <c r="BB359" s="22">
        <v>349</v>
      </c>
      <c r="BC359" s="22">
        <v>1.6561900000000001</v>
      </c>
      <c r="BD359">
        <f t="shared" si="70"/>
        <v>1.9742222222222223</v>
      </c>
      <c r="BE359">
        <f t="shared" si="71"/>
        <v>3.2720956533333334</v>
      </c>
    </row>
    <row r="360" spans="6:57">
      <c r="F360" s="9"/>
      <c r="G360" s="22">
        <v>-4.2419400000000003E-2</v>
      </c>
      <c r="H360" s="22">
        <v>9.5851900000000008</v>
      </c>
      <c r="I360" s="22">
        <v>-1.3336199999999999E-2</v>
      </c>
      <c r="J360" s="22">
        <v>350</v>
      </c>
      <c r="K360" s="22">
        <v>-4.2703199999999997E-2</v>
      </c>
      <c r="L360">
        <f t="shared" si="60"/>
        <v>16.464444444444442</v>
      </c>
      <c r="M360">
        <f t="shared" si="61"/>
        <v>-0.69841185466666666</v>
      </c>
      <c r="N360" s="9"/>
      <c r="O360" s="22">
        <v>1.66245</v>
      </c>
      <c r="P360" s="22">
        <v>13.2432</v>
      </c>
      <c r="Q360" s="22">
        <v>-1.4431800000000001E-3</v>
      </c>
      <c r="R360" s="22">
        <v>350</v>
      </c>
      <c r="S360" s="22">
        <v>1.66168</v>
      </c>
      <c r="T360">
        <f t="shared" si="62"/>
        <v>1.7817037037037038</v>
      </c>
      <c r="U360">
        <f t="shared" si="63"/>
        <v>2.9619933222222223</v>
      </c>
      <c r="X360" s="9"/>
      <c r="Y360" s="22">
        <v>-4.2419400000000003E-2</v>
      </c>
      <c r="Z360" s="22">
        <v>18.595400000000001</v>
      </c>
      <c r="AA360" s="22">
        <v>-1.3501000000000001E-2</v>
      </c>
      <c r="AB360" s="22">
        <v>350</v>
      </c>
      <c r="AC360" s="22">
        <v>-4.2694099999999999E-2</v>
      </c>
      <c r="AD360">
        <f t="shared" si="64"/>
        <v>16.667901234567903</v>
      </c>
      <c r="AE360">
        <f t="shared" si="65"/>
        <v>-0.70704236962962974</v>
      </c>
      <c r="AF360" s="9"/>
      <c r="AG360" s="22">
        <v>1.66245</v>
      </c>
      <c r="AH360" s="22">
        <v>22.253399999999999</v>
      </c>
      <c r="AI360" s="22">
        <v>-1.4321900000000001E-3</v>
      </c>
      <c r="AJ360" s="22">
        <v>350</v>
      </c>
      <c r="AK360" s="22">
        <v>1.66168</v>
      </c>
      <c r="AL360">
        <f t="shared" si="66"/>
        <v>1.7681358024691358</v>
      </c>
      <c r="AM360">
        <f t="shared" si="67"/>
        <v>2.9394373648148147</v>
      </c>
      <c r="AP360" s="9"/>
      <c r="AQ360" s="22">
        <v>-4.2419400000000003E-2</v>
      </c>
      <c r="AR360" s="22">
        <v>27.589600000000001</v>
      </c>
      <c r="AS360" s="22">
        <v>-1.35651E-2</v>
      </c>
      <c r="AT360" s="22">
        <v>350</v>
      </c>
      <c r="AU360" s="22">
        <v>-4.2694099999999999E-2</v>
      </c>
      <c r="AV360">
        <f t="shared" si="68"/>
        <v>16.747037037037035</v>
      </c>
      <c r="AW360">
        <f t="shared" si="69"/>
        <v>-0.71039926288888888</v>
      </c>
      <c r="AX360" s="9"/>
      <c r="AY360" s="22">
        <v>1.66245</v>
      </c>
      <c r="AZ360" s="22">
        <v>31.247699999999998</v>
      </c>
      <c r="BA360" s="22">
        <v>-1.36108E-3</v>
      </c>
      <c r="BB360" s="22">
        <v>350</v>
      </c>
      <c r="BC360" s="22">
        <v>1.6613800000000001</v>
      </c>
      <c r="BD360">
        <f t="shared" si="70"/>
        <v>1.6803456790123454</v>
      </c>
      <c r="BE360">
        <f t="shared" si="71"/>
        <v>2.7934906740740737</v>
      </c>
    </row>
    <row r="361" spans="6:57">
      <c r="F361" s="9"/>
      <c r="G361" s="22">
        <v>-4.7454799999999998E-2</v>
      </c>
      <c r="H361" s="22">
        <v>9.5952599999999997</v>
      </c>
      <c r="I361" s="22">
        <v>-1.3339200000000001E-2</v>
      </c>
      <c r="J361" s="22">
        <v>351</v>
      </c>
      <c r="K361" s="22">
        <v>-4.77478E-2</v>
      </c>
      <c r="L361">
        <f t="shared" si="60"/>
        <v>16.468148148148149</v>
      </c>
      <c r="M361">
        <f t="shared" si="61"/>
        <v>-0.78149267674074074</v>
      </c>
      <c r="N361" s="9"/>
      <c r="O361" s="22">
        <v>1.6674800000000001</v>
      </c>
      <c r="P361" s="22">
        <v>13.253299999999999</v>
      </c>
      <c r="Q361" s="22">
        <v>-1.2002600000000001E-3</v>
      </c>
      <c r="R361" s="22">
        <v>351</v>
      </c>
      <c r="S361" s="22">
        <v>1.66656</v>
      </c>
      <c r="T361">
        <f t="shared" si="62"/>
        <v>1.4818024691358025</v>
      </c>
      <c r="U361">
        <f t="shared" si="63"/>
        <v>2.4708759812345682</v>
      </c>
      <c r="X361" s="9"/>
      <c r="Y361" s="22">
        <v>-4.7454799999999998E-2</v>
      </c>
      <c r="Z361" s="22">
        <v>18.605499999999999</v>
      </c>
      <c r="AA361" s="22">
        <v>-1.3507099999999999E-2</v>
      </c>
      <c r="AB361" s="22">
        <v>351</v>
      </c>
      <c r="AC361" s="22">
        <v>-4.7732499999999997E-2</v>
      </c>
      <c r="AD361">
        <f t="shared" si="64"/>
        <v>16.67543209876543</v>
      </c>
      <c r="AE361">
        <f t="shared" si="65"/>
        <v>-0.79132929516049366</v>
      </c>
      <c r="AF361" s="9"/>
      <c r="AG361" s="22">
        <v>1.6674800000000001</v>
      </c>
      <c r="AH361" s="22">
        <v>22.263500000000001</v>
      </c>
      <c r="AI361" s="22">
        <v>-1.1816400000000001E-3</v>
      </c>
      <c r="AJ361" s="22">
        <v>351</v>
      </c>
      <c r="AK361" s="22">
        <v>1.6671800000000001</v>
      </c>
      <c r="AL361">
        <f t="shared" si="66"/>
        <v>1.458814814814815</v>
      </c>
      <c r="AM361">
        <f t="shared" si="67"/>
        <v>2.432544527407408</v>
      </c>
      <c r="AP361" s="9"/>
      <c r="AQ361" s="22">
        <v>-4.7454799999999998E-2</v>
      </c>
      <c r="AR361" s="22">
        <v>27.599699999999999</v>
      </c>
      <c r="AS361" s="22">
        <v>-1.35712E-2</v>
      </c>
      <c r="AT361" s="22">
        <v>351</v>
      </c>
      <c r="AU361" s="22">
        <v>-4.77478E-2</v>
      </c>
      <c r="AV361">
        <f t="shared" si="68"/>
        <v>16.754567901234566</v>
      </c>
      <c r="AW361">
        <f t="shared" si="69"/>
        <v>-0.79508466883950601</v>
      </c>
      <c r="AX361" s="9"/>
      <c r="AY361" s="22">
        <v>1.6674800000000001</v>
      </c>
      <c r="AZ361" s="22">
        <v>31.2577</v>
      </c>
      <c r="BA361" s="22">
        <v>-1.1123699999999999E-3</v>
      </c>
      <c r="BB361" s="22">
        <v>351</v>
      </c>
      <c r="BC361" s="22">
        <v>1.6668700000000001</v>
      </c>
      <c r="BD361">
        <f t="shared" si="70"/>
        <v>1.373296296296296</v>
      </c>
      <c r="BE361">
        <f t="shared" si="71"/>
        <v>2.289944108148148</v>
      </c>
    </row>
    <row r="362" spans="6:57">
      <c r="F362" s="9"/>
      <c r="G362" s="22">
        <v>-5.2490200000000001E-2</v>
      </c>
      <c r="H362" s="22">
        <v>9.6053300000000004</v>
      </c>
      <c r="I362" s="22">
        <v>-1.33545E-2</v>
      </c>
      <c r="J362" s="22">
        <v>352</v>
      </c>
      <c r="K362" s="22">
        <v>-5.2978499999999998E-2</v>
      </c>
      <c r="L362">
        <f t="shared" si="60"/>
        <v>16.487037037037037</v>
      </c>
      <c r="M362">
        <f t="shared" si="61"/>
        <v>-0.86540787148148146</v>
      </c>
      <c r="N362" s="9"/>
      <c r="O362" s="22">
        <v>1.67252</v>
      </c>
      <c r="P362" s="22">
        <v>13.263400000000001</v>
      </c>
      <c r="Q362" s="22">
        <v>-9.5733600000000004E-4</v>
      </c>
      <c r="R362" s="22">
        <v>352</v>
      </c>
      <c r="S362" s="22">
        <v>1.6714500000000001</v>
      </c>
      <c r="T362">
        <f t="shared" si="62"/>
        <v>1.1818962962962962</v>
      </c>
      <c r="U362">
        <f t="shared" si="63"/>
        <v>1.9767451934814813</v>
      </c>
      <c r="X362" s="9"/>
      <c r="Y362" s="22">
        <v>-5.2490200000000001E-2</v>
      </c>
      <c r="Z362" s="22">
        <v>18.615500000000001</v>
      </c>
      <c r="AA362" s="22">
        <v>-1.35132E-2</v>
      </c>
      <c r="AB362" s="22">
        <v>352</v>
      </c>
      <c r="AC362" s="22">
        <v>-5.2948000000000002E-2</v>
      </c>
      <c r="AD362">
        <f t="shared" si="64"/>
        <v>16.682962962962961</v>
      </c>
      <c r="AE362">
        <f t="shared" si="65"/>
        <v>-0.87569206251851839</v>
      </c>
      <c r="AF362" s="9"/>
      <c r="AG362" s="22">
        <v>1.67252</v>
      </c>
      <c r="AH362" s="22">
        <v>22.273599999999998</v>
      </c>
      <c r="AI362" s="22">
        <v>-9.4177200000000001E-4</v>
      </c>
      <c r="AJ362" s="22">
        <v>352</v>
      </c>
      <c r="AK362" s="22">
        <v>1.6708400000000001</v>
      </c>
      <c r="AL362">
        <f t="shared" si="66"/>
        <v>1.1626814814814814</v>
      </c>
      <c r="AM362">
        <f t="shared" si="67"/>
        <v>1.9446080314074072</v>
      </c>
      <c r="AP362" s="9"/>
      <c r="AQ362" s="22">
        <v>-5.2490200000000001E-2</v>
      </c>
      <c r="AR362" s="22">
        <v>27.6098</v>
      </c>
      <c r="AS362" s="22">
        <v>-1.35712E-2</v>
      </c>
      <c r="AT362" s="22">
        <v>352</v>
      </c>
      <c r="AU362" s="22">
        <v>-5.2917499999999999E-2</v>
      </c>
      <c r="AV362">
        <f t="shared" si="68"/>
        <v>16.754567901234566</v>
      </c>
      <c r="AW362">
        <f t="shared" si="69"/>
        <v>-0.87945062004938257</v>
      </c>
      <c r="AX362" s="9"/>
      <c r="AY362" s="22">
        <v>1.67252</v>
      </c>
      <c r="AZ362" s="22">
        <v>31.267800000000001</v>
      </c>
      <c r="BA362" s="22">
        <v>-8.6059600000000004E-4</v>
      </c>
      <c r="BB362" s="22">
        <v>352</v>
      </c>
      <c r="BC362" s="22">
        <v>1.6717500000000001</v>
      </c>
      <c r="BD362">
        <f t="shared" si="70"/>
        <v>1.0624641975308642</v>
      </c>
      <c r="BE362">
        <f t="shared" si="71"/>
        <v>1.7769926196543209</v>
      </c>
    </row>
    <row r="363" spans="6:57">
      <c r="F363" s="9"/>
      <c r="G363" s="22">
        <v>-5.7525600000000003E-2</v>
      </c>
      <c r="H363" s="22">
        <v>9.6153999999999993</v>
      </c>
      <c r="I363" s="22">
        <v>-1.33575E-2</v>
      </c>
      <c r="J363" s="22">
        <v>353</v>
      </c>
      <c r="K363" s="22">
        <v>-5.7952900000000002E-2</v>
      </c>
      <c r="L363">
        <f t="shared" si="60"/>
        <v>16.49074074074074</v>
      </c>
      <c r="M363">
        <f t="shared" si="61"/>
        <v>-0.94863975555555557</v>
      </c>
      <c r="N363" s="9"/>
      <c r="O363" s="22">
        <v>1.6775500000000001</v>
      </c>
      <c r="P363" s="22">
        <v>13.2735</v>
      </c>
      <c r="Q363" s="22">
        <v>-7.0587199999999997E-4</v>
      </c>
      <c r="R363" s="22">
        <v>353</v>
      </c>
      <c r="S363" s="22">
        <v>1.6760299999999999</v>
      </c>
      <c r="T363">
        <f t="shared" si="62"/>
        <v>0.87144691358024684</v>
      </c>
      <c r="U363">
        <f t="shared" si="63"/>
        <v>1.4618957698765431</v>
      </c>
      <c r="X363" s="9"/>
      <c r="Y363" s="22">
        <v>-5.7525600000000003E-2</v>
      </c>
      <c r="Z363" s="22">
        <v>18.625599999999999</v>
      </c>
      <c r="AA363" s="22">
        <v>-1.35193E-2</v>
      </c>
      <c r="AB363" s="22">
        <v>353</v>
      </c>
      <c r="AC363" s="22">
        <v>-5.78918E-2</v>
      </c>
      <c r="AD363">
        <f t="shared" si="64"/>
        <v>16.690493827160495</v>
      </c>
      <c r="AE363">
        <f t="shared" si="65"/>
        <v>-0.96013067170370381</v>
      </c>
      <c r="AF363" s="9"/>
      <c r="AG363" s="22">
        <v>1.6775500000000001</v>
      </c>
      <c r="AH363" s="22">
        <v>22.2837</v>
      </c>
      <c r="AI363" s="22">
        <v>-6.8145800000000002E-4</v>
      </c>
      <c r="AJ363" s="22">
        <v>353</v>
      </c>
      <c r="AK363" s="22">
        <v>1.6760299999999999</v>
      </c>
      <c r="AL363">
        <f t="shared" si="66"/>
        <v>0.84130617283950615</v>
      </c>
      <c r="AM363">
        <f t="shared" si="67"/>
        <v>1.4113331702469136</v>
      </c>
      <c r="AP363" s="9"/>
      <c r="AQ363" s="22">
        <v>-5.7525600000000003E-2</v>
      </c>
      <c r="AR363" s="22">
        <v>27.619800000000001</v>
      </c>
      <c r="AS363" s="22">
        <v>-1.35681E-2</v>
      </c>
      <c r="AT363" s="22">
        <v>353</v>
      </c>
      <c r="AU363" s="22">
        <v>-5.7922399999999999E-2</v>
      </c>
      <c r="AV363">
        <f t="shared" si="68"/>
        <v>16.750740740740738</v>
      </c>
      <c r="AW363">
        <f t="shared" si="69"/>
        <v>-0.96359641155555553</v>
      </c>
      <c r="AX363" s="9"/>
      <c r="AY363" s="22">
        <v>1.6775500000000001</v>
      </c>
      <c r="AZ363" s="22">
        <v>31.277899999999999</v>
      </c>
      <c r="BA363" s="22">
        <v>-6.0241699999999995E-4</v>
      </c>
      <c r="BB363" s="22">
        <v>353</v>
      </c>
      <c r="BC363" s="22">
        <v>1.6766399999999999</v>
      </c>
      <c r="BD363">
        <f t="shared" si="70"/>
        <v>0.74372469135802466</v>
      </c>
      <c r="BE363">
        <f t="shared" si="71"/>
        <v>1.2476353559876543</v>
      </c>
    </row>
    <row r="364" spans="6:57">
      <c r="F364" s="9"/>
      <c r="G364" s="22">
        <v>-6.2561000000000005E-2</v>
      </c>
      <c r="H364" s="22">
        <v>9.62547</v>
      </c>
      <c r="I364" s="22">
        <v>-1.33575E-2</v>
      </c>
      <c r="J364" s="22">
        <v>354</v>
      </c>
      <c r="K364" s="22">
        <v>-6.2988299999999997E-2</v>
      </c>
      <c r="L364">
        <f t="shared" si="60"/>
        <v>16.49074074074074</v>
      </c>
      <c r="M364">
        <f t="shared" si="61"/>
        <v>-1.0316772314814815</v>
      </c>
      <c r="N364" s="9"/>
      <c r="O364" s="22">
        <v>1.68259</v>
      </c>
      <c r="P364" s="22">
        <v>13.2835</v>
      </c>
      <c r="Q364" s="22">
        <v>-4.50958E-4</v>
      </c>
      <c r="R364" s="22">
        <v>354</v>
      </c>
      <c r="S364" s="22">
        <v>1.6824300000000001</v>
      </c>
      <c r="T364">
        <f t="shared" si="62"/>
        <v>0.55673827160493827</v>
      </c>
      <c r="U364">
        <f t="shared" si="63"/>
        <v>0.93676224841975309</v>
      </c>
      <c r="X364" s="9"/>
      <c r="Y364" s="22">
        <v>-6.2561000000000005E-2</v>
      </c>
      <c r="Z364" s="22">
        <v>18.6357</v>
      </c>
      <c r="AA364" s="22">
        <v>-1.35254E-2</v>
      </c>
      <c r="AB364" s="22">
        <v>354</v>
      </c>
      <c r="AC364" s="22">
        <v>-6.2957799999999994E-2</v>
      </c>
      <c r="AD364">
        <f t="shared" si="64"/>
        <v>16.698024691358025</v>
      </c>
      <c r="AE364">
        <f t="shared" si="65"/>
        <v>-1.0446451227160496</v>
      </c>
      <c r="AF364" s="9"/>
      <c r="AG364" s="22">
        <v>1.68259</v>
      </c>
      <c r="AH364" s="22">
        <v>22.293700000000001</v>
      </c>
      <c r="AI364" s="22">
        <v>-4.3167100000000001E-4</v>
      </c>
      <c r="AJ364" s="22">
        <v>354</v>
      </c>
      <c r="AK364" s="22">
        <v>1.6821299999999999</v>
      </c>
      <c r="AL364">
        <f t="shared" si="66"/>
        <v>0.53292716049382705</v>
      </c>
      <c r="AM364">
        <f t="shared" si="67"/>
        <v>0.89669791097530849</v>
      </c>
      <c r="AP364" s="9"/>
      <c r="AQ364" s="22">
        <v>-6.2561000000000005E-2</v>
      </c>
      <c r="AR364" s="22">
        <v>27.629899999999999</v>
      </c>
      <c r="AS364" s="22">
        <v>-1.3583400000000001E-2</v>
      </c>
      <c r="AT364" s="22">
        <v>354</v>
      </c>
      <c r="AU364" s="22">
        <v>-6.2957799999999994E-2</v>
      </c>
      <c r="AV364">
        <f t="shared" si="68"/>
        <v>16.76962962962963</v>
      </c>
      <c r="AW364">
        <f t="shared" si="69"/>
        <v>-1.0491247992592594</v>
      </c>
      <c r="AX364" s="9"/>
      <c r="AY364" s="22">
        <v>1.68259</v>
      </c>
      <c r="AZ364" s="22">
        <v>31.288</v>
      </c>
      <c r="BA364" s="22">
        <v>-3.3947799999999999E-4</v>
      </c>
      <c r="BB364" s="22">
        <v>354</v>
      </c>
      <c r="BC364" s="22">
        <v>1.6815199999999999</v>
      </c>
      <c r="BD364">
        <f t="shared" si="70"/>
        <v>0.41910864197530862</v>
      </c>
      <c r="BE364">
        <f t="shared" si="71"/>
        <v>0.70518800990123454</v>
      </c>
    </row>
    <row r="365" spans="6:57">
      <c r="F365" s="9"/>
      <c r="G365" s="22">
        <v>-6.7596400000000001E-2</v>
      </c>
      <c r="H365" s="22">
        <v>9.6355400000000007</v>
      </c>
      <c r="I365" s="22">
        <v>-1.3351399999999999E-2</v>
      </c>
      <c r="J365" s="22">
        <v>355</v>
      </c>
      <c r="K365" s="22">
        <v>-6.8054199999999995E-2</v>
      </c>
      <c r="L365">
        <f t="shared" si="60"/>
        <v>16.483209876543206</v>
      </c>
      <c r="M365">
        <f t="shared" si="61"/>
        <v>-1.1142056480987652</v>
      </c>
      <c r="N365" s="9"/>
      <c r="O365" s="22">
        <v>1.6876199999999999</v>
      </c>
      <c r="P365" s="22">
        <v>13.2936</v>
      </c>
      <c r="Q365" s="22">
        <v>-1.92993E-4</v>
      </c>
      <c r="R365" s="22">
        <v>355</v>
      </c>
      <c r="S365" s="22">
        <v>1.6867099999999999</v>
      </c>
      <c r="T365">
        <f t="shared" si="62"/>
        <v>0.23826296296296293</v>
      </c>
      <c r="U365">
        <f t="shared" si="63"/>
        <v>0.40209734155555549</v>
      </c>
      <c r="X365" s="9"/>
      <c r="Y365" s="22">
        <v>-6.7596400000000001E-2</v>
      </c>
      <c r="Z365" s="22">
        <v>18.645700000000001</v>
      </c>
      <c r="AA365" s="22">
        <v>-1.35345E-2</v>
      </c>
      <c r="AB365" s="22">
        <v>355</v>
      </c>
      <c r="AC365" s="22">
        <v>-6.8023700000000006E-2</v>
      </c>
      <c r="AD365">
        <f t="shared" si="64"/>
        <v>16.709259259259255</v>
      </c>
      <c r="AE365">
        <f t="shared" si="65"/>
        <v>-1.1294857725925924</v>
      </c>
      <c r="AF365" s="9"/>
      <c r="AG365" s="22">
        <v>1.6876199999999999</v>
      </c>
      <c r="AH365" s="22">
        <v>22.303799999999999</v>
      </c>
      <c r="AI365" s="22">
        <v>-1.6503899999999999E-4</v>
      </c>
      <c r="AJ365" s="22">
        <v>355</v>
      </c>
      <c r="AK365" s="22">
        <v>1.6867099999999999</v>
      </c>
      <c r="AL365">
        <f t="shared" si="66"/>
        <v>0.20375185185185182</v>
      </c>
      <c r="AM365">
        <f t="shared" si="67"/>
        <v>0.34385570022222217</v>
      </c>
      <c r="AP365" s="9"/>
      <c r="AQ365" s="22">
        <v>-6.7596400000000001E-2</v>
      </c>
      <c r="AR365" s="22">
        <v>27.64</v>
      </c>
      <c r="AS365" s="22">
        <v>-1.35864E-2</v>
      </c>
      <c r="AT365" s="22">
        <v>355</v>
      </c>
      <c r="AU365" s="22">
        <v>-6.8054199999999995E-2</v>
      </c>
      <c r="AV365">
        <f t="shared" si="68"/>
        <v>16.77333333333333</v>
      </c>
      <c r="AW365">
        <f t="shared" si="69"/>
        <v>-1.1338169493333332</v>
      </c>
      <c r="AX365" s="9"/>
      <c r="AY365" s="22">
        <v>1.6876199999999999</v>
      </c>
      <c r="AZ365" s="22">
        <v>31.297999999999998</v>
      </c>
      <c r="BA365" s="25">
        <v>-7.5378399999999996E-5</v>
      </c>
      <c r="BB365" s="22">
        <v>355</v>
      </c>
      <c r="BC365" s="22">
        <v>1.6867099999999999</v>
      </c>
      <c r="BD365">
        <f t="shared" si="70"/>
        <v>9.3059753086419741E-2</v>
      </c>
      <c r="BE365">
        <f t="shared" si="71"/>
        <v>0.15704950050370367</v>
      </c>
    </row>
    <row r="366" spans="6:57">
      <c r="F366" s="9"/>
      <c r="G366" s="22">
        <v>-7.2631799999999996E-2</v>
      </c>
      <c r="H366" s="22">
        <v>9.6456099999999996</v>
      </c>
      <c r="I366" s="22">
        <v>-1.33423E-2</v>
      </c>
      <c r="J366" s="22">
        <v>356</v>
      </c>
      <c r="K366" s="22">
        <v>-7.3028599999999999E-2</v>
      </c>
      <c r="L366">
        <f t="shared" si="60"/>
        <v>16.471975308641973</v>
      </c>
      <c r="M366">
        <f t="shared" si="61"/>
        <v>-1.1963892162222221</v>
      </c>
      <c r="N366" s="9"/>
      <c r="O366" s="22">
        <v>1.6926600000000001</v>
      </c>
      <c r="P366" s="22">
        <v>13.303699999999999</v>
      </c>
      <c r="Q366" s="25">
        <v>6.9366499999999994E-5</v>
      </c>
      <c r="R366" s="22">
        <v>356</v>
      </c>
      <c r="S366" s="22">
        <v>1.6915899999999999</v>
      </c>
      <c r="T366">
        <f t="shared" si="62"/>
        <v>-8.5637654320987647E-2</v>
      </c>
      <c r="U366">
        <f t="shared" si="63"/>
        <v>-0.14495543196296296</v>
      </c>
      <c r="X366" s="9"/>
      <c r="Y366" s="22">
        <v>-7.2631799999999996E-2</v>
      </c>
      <c r="Z366" s="22">
        <v>18.655799999999999</v>
      </c>
      <c r="AA366" s="22">
        <v>-1.35315E-2</v>
      </c>
      <c r="AB366" s="22">
        <v>356</v>
      </c>
      <c r="AC366" s="22">
        <v>-7.3028599999999999E-2</v>
      </c>
      <c r="AD366">
        <f t="shared" si="64"/>
        <v>16.705555555555552</v>
      </c>
      <c r="AE366">
        <f t="shared" si="65"/>
        <v>-1.2133545699999997</v>
      </c>
      <c r="AF366" s="9"/>
      <c r="AG366" s="22">
        <v>1.6926600000000001</v>
      </c>
      <c r="AH366" s="22">
        <v>22.3139</v>
      </c>
      <c r="AI366" s="25">
        <v>9.7168000000000002E-5</v>
      </c>
      <c r="AJ366" s="22">
        <v>356</v>
      </c>
      <c r="AK366" s="22">
        <v>1.6912799999999999</v>
      </c>
      <c r="AL366">
        <f t="shared" si="66"/>
        <v>-0.11996049382716049</v>
      </c>
      <c r="AM366">
        <f t="shared" si="67"/>
        <v>-0.2030523294814815</v>
      </c>
      <c r="AP366" s="9"/>
      <c r="AQ366" s="22">
        <v>-7.2631799999999996E-2</v>
      </c>
      <c r="AR366" s="22">
        <v>27.65</v>
      </c>
      <c r="AS366" s="22">
        <v>-1.36078E-2</v>
      </c>
      <c r="AT366" s="22">
        <v>356</v>
      </c>
      <c r="AU366" s="22">
        <v>-7.3028599999999999E-2</v>
      </c>
      <c r="AV366">
        <f t="shared" si="68"/>
        <v>16.799753086419752</v>
      </c>
      <c r="AW366">
        <f t="shared" si="69"/>
        <v>-1.2201963062222221</v>
      </c>
      <c r="AX366" s="9"/>
      <c r="AY366" s="22">
        <v>1.6926600000000001</v>
      </c>
      <c r="AZ366" s="22">
        <v>31.3081</v>
      </c>
      <c r="BA366" s="22">
        <v>1.9455000000000001E-4</v>
      </c>
      <c r="BB366" s="22">
        <v>356</v>
      </c>
      <c r="BC366" s="22">
        <v>1.6915899999999999</v>
      </c>
      <c r="BD366">
        <f t="shared" si="70"/>
        <v>-0.2401851851851852</v>
      </c>
      <c r="BE366">
        <f t="shared" si="71"/>
        <v>-0.40655185555555556</v>
      </c>
    </row>
    <row r="367" spans="6:57">
      <c r="F367" s="9"/>
      <c r="G367" s="22">
        <v>-7.7667200000000006E-2</v>
      </c>
      <c r="H367" s="22">
        <v>9.6556899999999999</v>
      </c>
      <c r="I367" s="22">
        <v>-1.33423E-2</v>
      </c>
      <c r="J367" s="22">
        <v>357</v>
      </c>
      <c r="K367" s="22">
        <v>-7.8063999999999995E-2</v>
      </c>
      <c r="L367">
        <f t="shared" si="60"/>
        <v>16.471975308641973</v>
      </c>
      <c r="M367">
        <f t="shared" si="61"/>
        <v>-1.2793322006913579</v>
      </c>
      <c r="N367" s="9"/>
      <c r="O367" s="22">
        <v>1.6976899999999999</v>
      </c>
      <c r="P367" s="22">
        <v>13.313700000000001</v>
      </c>
      <c r="Q367" s="22">
        <v>3.3639500000000002E-4</v>
      </c>
      <c r="R367" s="22">
        <v>357</v>
      </c>
      <c r="S367" s="22">
        <v>1.6964699999999999</v>
      </c>
      <c r="T367">
        <f t="shared" si="62"/>
        <v>-0.41530246913580249</v>
      </c>
      <c r="U367">
        <f t="shared" si="63"/>
        <v>-0.70505484882716052</v>
      </c>
      <c r="X367" s="9"/>
      <c r="Y367" s="22">
        <v>-7.7667200000000006E-2</v>
      </c>
      <c r="Z367" s="22">
        <v>18.665900000000001</v>
      </c>
      <c r="AA367" s="22">
        <v>-1.3528399999999999E-2</v>
      </c>
      <c r="AB367" s="22">
        <v>357</v>
      </c>
      <c r="AC367" s="22">
        <v>-7.8033400000000003E-2</v>
      </c>
      <c r="AD367">
        <f t="shared" si="64"/>
        <v>16.701728395061725</v>
      </c>
      <c r="AE367">
        <f t="shared" si="65"/>
        <v>-1.2971764796049381</v>
      </c>
      <c r="AF367" s="9"/>
      <c r="AG367" s="22">
        <v>1.6976899999999999</v>
      </c>
      <c r="AH367" s="22">
        <v>22.323899999999998</v>
      </c>
      <c r="AI367" s="22">
        <v>3.7521400000000002E-4</v>
      </c>
      <c r="AJ367" s="22">
        <v>357</v>
      </c>
      <c r="AK367" s="22">
        <v>1.6964699999999999</v>
      </c>
      <c r="AL367">
        <f t="shared" si="66"/>
        <v>-0.46322716049382712</v>
      </c>
      <c r="AM367">
        <f t="shared" si="67"/>
        <v>-0.78641611809876533</v>
      </c>
      <c r="AP367" s="9"/>
      <c r="AQ367" s="22">
        <v>-7.7667200000000006E-2</v>
      </c>
      <c r="AR367" s="22">
        <v>27.6601</v>
      </c>
      <c r="AS367" s="22">
        <v>-1.3616899999999999E-2</v>
      </c>
      <c r="AT367" s="22">
        <v>357</v>
      </c>
      <c r="AU367" s="22">
        <v>-7.80029E-2</v>
      </c>
      <c r="AV367">
        <f t="shared" si="68"/>
        <v>16.810987654320986</v>
      </c>
      <c r="AW367">
        <f t="shared" si="69"/>
        <v>-1.3056623403456789</v>
      </c>
      <c r="AX367" s="9"/>
      <c r="AY367" s="22">
        <v>1.6976899999999999</v>
      </c>
      <c r="AZ367" s="22">
        <v>31.318200000000001</v>
      </c>
      <c r="BA367" s="22">
        <v>4.67102E-4</v>
      </c>
      <c r="BB367" s="22">
        <v>357</v>
      </c>
      <c r="BC367" s="22">
        <v>1.6970799999999999</v>
      </c>
      <c r="BD367">
        <f t="shared" si="70"/>
        <v>-0.57666913580246915</v>
      </c>
      <c r="BE367">
        <f t="shared" si="71"/>
        <v>-0.97900542516049383</v>
      </c>
    </row>
    <row r="368" spans="6:57">
      <c r="F368" s="9"/>
      <c r="G368" s="22">
        <v>-8.2702600000000001E-2</v>
      </c>
      <c r="H368" s="22">
        <v>9.6657600000000006</v>
      </c>
      <c r="I368" s="22">
        <v>-1.3339200000000001E-2</v>
      </c>
      <c r="J368" s="22">
        <v>358</v>
      </c>
      <c r="K368" s="22">
        <v>-8.3129900000000007E-2</v>
      </c>
      <c r="L368">
        <f t="shared" si="60"/>
        <v>16.468148148148149</v>
      </c>
      <c r="M368">
        <f t="shared" si="61"/>
        <v>-1.3619586690370371</v>
      </c>
      <c r="N368" s="9"/>
      <c r="O368" s="22">
        <v>1.7027300000000001</v>
      </c>
      <c r="P368" s="22">
        <v>13.3238</v>
      </c>
      <c r="Q368" s="22">
        <v>6.0394300000000001E-4</v>
      </c>
      <c r="R368" s="22">
        <v>358</v>
      </c>
      <c r="S368" s="22">
        <v>1.70197</v>
      </c>
      <c r="T368">
        <f t="shared" si="62"/>
        <v>-0.74560864197530852</v>
      </c>
      <c r="U368">
        <f t="shared" si="63"/>
        <v>-1.2695702029506171</v>
      </c>
      <c r="X368" s="9"/>
      <c r="Y368" s="22">
        <v>-8.2702600000000001E-2</v>
      </c>
      <c r="Z368" s="22">
        <v>18.675999999999998</v>
      </c>
      <c r="AA368" s="22">
        <v>-1.35193E-2</v>
      </c>
      <c r="AB368" s="22">
        <v>358</v>
      </c>
      <c r="AC368" s="22">
        <v>-8.3099400000000004E-2</v>
      </c>
      <c r="AD368">
        <f t="shared" si="64"/>
        <v>16.690493827160495</v>
      </c>
      <c r="AE368">
        <f t="shared" si="65"/>
        <v>-1.3803472347901236</v>
      </c>
      <c r="AF368" s="9"/>
      <c r="AG368" s="22">
        <v>1.7027300000000001</v>
      </c>
      <c r="AH368" s="22">
        <v>22.334</v>
      </c>
      <c r="AI368" s="22">
        <v>6.4178499999999997E-4</v>
      </c>
      <c r="AJ368" s="22">
        <v>358</v>
      </c>
      <c r="AK368" s="22">
        <v>1.70166</v>
      </c>
      <c r="AL368">
        <f t="shared" si="66"/>
        <v>-0.79232716049382712</v>
      </c>
      <c r="AM368">
        <f t="shared" si="67"/>
        <v>-1.3491192259876543</v>
      </c>
      <c r="AP368" s="9"/>
      <c r="AQ368" s="22">
        <v>-8.2702600000000001E-2</v>
      </c>
      <c r="AR368" s="22">
        <v>27.670200000000001</v>
      </c>
      <c r="AS368" s="22">
        <v>-1.3610799999999999E-2</v>
      </c>
      <c r="AT368" s="22">
        <v>358</v>
      </c>
      <c r="AU368" s="22">
        <v>-8.3129900000000007E-2</v>
      </c>
      <c r="AV368">
        <f t="shared" si="68"/>
        <v>16.803456790123455</v>
      </c>
      <c r="AW368">
        <f t="shared" si="69"/>
        <v>-1.3896895655308641</v>
      </c>
      <c r="AX368" s="9"/>
      <c r="AY368" s="22">
        <v>1.7027300000000001</v>
      </c>
      <c r="AZ368" s="22">
        <v>31.328199999999999</v>
      </c>
      <c r="BA368" s="22">
        <v>7.4096700000000004E-4</v>
      </c>
      <c r="BB368" s="22">
        <v>358</v>
      </c>
      <c r="BC368" s="22">
        <v>1.70166</v>
      </c>
      <c r="BD368">
        <f t="shared" si="70"/>
        <v>-0.91477407407407407</v>
      </c>
      <c r="BE368">
        <f t="shared" si="71"/>
        <v>-1.5576132591481482</v>
      </c>
    </row>
    <row r="369" spans="6:57">
      <c r="F369" s="9"/>
      <c r="G369" s="22">
        <v>-8.7737999999999997E-2</v>
      </c>
      <c r="H369" s="22">
        <v>9.6758299999999995</v>
      </c>
      <c r="I369" s="22">
        <v>-1.33484E-2</v>
      </c>
      <c r="J369" s="22">
        <v>359</v>
      </c>
      <c r="K369" s="22">
        <v>-8.8165300000000002E-2</v>
      </c>
      <c r="L369">
        <f t="shared" si="60"/>
        <v>16.479506172839503</v>
      </c>
      <c r="M369">
        <f t="shared" si="61"/>
        <v>-1.4458789125925924</v>
      </c>
      <c r="N369" s="9"/>
      <c r="O369" s="22">
        <v>1.7077599999999999</v>
      </c>
      <c r="P369" s="22">
        <v>13.3339</v>
      </c>
      <c r="Q369" s="22">
        <v>8.8165300000000004E-4</v>
      </c>
      <c r="R369" s="22">
        <v>359</v>
      </c>
      <c r="S369" s="22">
        <v>1.7065399999999999</v>
      </c>
      <c r="T369">
        <f t="shared" si="62"/>
        <v>-1.0884604938271605</v>
      </c>
      <c r="U369">
        <f t="shared" si="63"/>
        <v>-1.8588292929382715</v>
      </c>
      <c r="X369" s="9"/>
      <c r="Y369" s="22">
        <v>-8.7737999999999997E-2</v>
      </c>
      <c r="Z369" s="22">
        <v>18.686</v>
      </c>
      <c r="AA369" s="22">
        <v>-1.35132E-2</v>
      </c>
      <c r="AB369" s="22">
        <v>359</v>
      </c>
      <c r="AC369" s="22">
        <v>-8.8134799999999999E-2</v>
      </c>
      <c r="AD369">
        <f t="shared" si="64"/>
        <v>16.682962962962961</v>
      </c>
      <c r="AE369">
        <f t="shared" si="65"/>
        <v>-1.4637298044444442</v>
      </c>
      <c r="AF369" s="9"/>
      <c r="AG369" s="22">
        <v>1.7077599999999999</v>
      </c>
      <c r="AH369" s="22">
        <v>22.344100000000001</v>
      </c>
      <c r="AI369" s="22">
        <v>9.2529299999999999E-4</v>
      </c>
      <c r="AJ369" s="22">
        <v>359</v>
      </c>
      <c r="AK369" s="22">
        <v>1.7065399999999999</v>
      </c>
      <c r="AL369">
        <f t="shared" si="66"/>
        <v>-1.1423370370370369</v>
      </c>
      <c r="AM369">
        <f t="shared" si="67"/>
        <v>-1.95083749837037</v>
      </c>
      <c r="AP369" s="9"/>
      <c r="AQ369" s="22">
        <v>-8.7737999999999997E-2</v>
      </c>
      <c r="AR369" s="22">
        <v>27.680299999999999</v>
      </c>
      <c r="AS369" s="22">
        <v>-1.36017E-2</v>
      </c>
      <c r="AT369" s="22">
        <v>359</v>
      </c>
      <c r="AU369" s="22">
        <v>-8.8134799999999999E-2</v>
      </c>
      <c r="AV369">
        <f t="shared" si="68"/>
        <v>16.792222222222222</v>
      </c>
      <c r="AW369">
        <f t="shared" si="69"/>
        <v>-1.4733159933333333</v>
      </c>
      <c r="AX369" s="9"/>
      <c r="AY369" s="22">
        <v>1.7077599999999999</v>
      </c>
      <c r="AZ369" s="22">
        <v>31.3383</v>
      </c>
      <c r="BA369" s="22">
        <v>1.02356E-3</v>
      </c>
      <c r="BB369" s="22">
        <v>359</v>
      </c>
      <c r="BC369" s="22">
        <v>1.7071499999999999</v>
      </c>
      <c r="BD369">
        <f t="shared" si="70"/>
        <v>-1.2636543209876541</v>
      </c>
      <c r="BE369">
        <f t="shared" si="71"/>
        <v>-2.1580183032098761</v>
      </c>
    </row>
    <row r="370" spans="6:57">
      <c r="F370" s="9"/>
      <c r="G370" s="22">
        <v>-9.2773400000000006E-2</v>
      </c>
      <c r="H370" s="22">
        <v>9.6859000000000002</v>
      </c>
      <c r="I370" s="22">
        <v>-1.33484E-2</v>
      </c>
      <c r="J370" s="22">
        <v>360</v>
      </c>
      <c r="K370" s="22">
        <v>-9.32312E-2</v>
      </c>
      <c r="L370">
        <f t="shared" si="60"/>
        <v>16.479506172839503</v>
      </c>
      <c r="M370">
        <f t="shared" si="61"/>
        <v>-1.5288598179753086</v>
      </c>
      <c r="N370" s="9"/>
      <c r="O370" s="22">
        <v>1.7128000000000001</v>
      </c>
      <c r="P370" s="22">
        <v>13.343999999999999</v>
      </c>
      <c r="Q370" s="22">
        <v>1.1611900000000001E-3</v>
      </c>
      <c r="R370" s="22">
        <v>360</v>
      </c>
      <c r="S370" s="22">
        <v>1.71143</v>
      </c>
      <c r="T370">
        <f t="shared" si="62"/>
        <v>-1.4335679012345679</v>
      </c>
      <c r="U370">
        <f t="shared" si="63"/>
        <v>-2.4554151012345682</v>
      </c>
      <c r="X370" s="9"/>
      <c r="Y370" s="22">
        <v>-9.2773400000000006E-2</v>
      </c>
      <c r="Z370" s="22">
        <v>18.696100000000001</v>
      </c>
      <c r="AA370" s="22">
        <v>-1.3507099999999999E-2</v>
      </c>
      <c r="AB370" s="22">
        <v>360</v>
      </c>
      <c r="AC370" s="22">
        <v>-9.3261700000000003E-2</v>
      </c>
      <c r="AD370">
        <f t="shared" si="64"/>
        <v>16.67543209876543</v>
      </c>
      <c r="AE370">
        <f t="shared" si="65"/>
        <v>-1.5470365322716049</v>
      </c>
      <c r="AF370" s="9"/>
      <c r="AG370" s="22">
        <v>1.7128000000000001</v>
      </c>
      <c r="AH370" s="22">
        <v>22.354199999999999</v>
      </c>
      <c r="AI370" s="22">
        <v>1.2026999999999999E-3</v>
      </c>
      <c r="AJ370" s="22">
        <v>360</v>
      </c>
      <c r="AK370" s="22">
        <v>1.71173</v>
      </c>
      <c r="AL370">
        <f t="shared" si="66"/>
        <v>-1.4848148148148146</v>
      </c>
      <c r="AM370">
        <f t="shared" si="67"/>
        <v>-2.5431908148148148</v>
      </c>
      <c r="AP370" s="9"/>
      <c r="AQ370" s="22">
        <v>-9.2773400000000006E-2</v>
      </c>
      <c r="AR370" s="22">
        <v>27.690300000000001</v>
      </c>
      <c r="AS370" s="22">
        <v>-1.35925E-2</v>
      </c>
      <c r="AT370" s="22">
        <v>360</v>
      </c>
      <c r="AU370" s="22">
        <v>-9.3139600000000003E-2</v>
      </c>
      <c r="AV370">
        <f t="shared" si="68"/>
        <v>16.780864197530864</v>
      </c>
      <c r="AW370">
        <f t="shared" si="69"/>
        <v>-1.55681782654321</v>
      </c>
      <c r="AX370" s="9"/>
      <c r="AY370" s="22">
        <v>1.7128000000000001</v>
      </c>
      <c r="AZ370" s="22">
        <v>31.348400000000002</v>
      </c>
      <c r="BA370" s="22">
        <v>1.3104200000000001E-3</v>
      </c>
      <c r="BB370" s="22">
        <v>360</v>
      </c>
      <c r="BC370" s="22">
        <v>1.71204</v>
      </c>
      <c r="BD370">
        <f t="shared" si="70"/>
        <v>-1.6178024691358024</v>
      </c>
      <c r="BE370">
        <f t="shared" si="71"/>
        <v>-2.7709720691358024</v>
      </c>
    </row>
    <row r="371" spans="6:57">
      <c r="F371" s="9"/>
      <c r="G371" s="22">
        <v>-9.7808800000000001E-2</v>
      </c>
      <c r="H371" s="22">
        <v>9.6959700000000009</v>
      </c>
      <c r="I371" s="22">
        <v>-1.33575E-2</v>
      </c>
      <c r="J371" s="22">
        <v>361</v>
      </c>
      <c r="K371" s="22">
        <v>-9.8236100000000007E-2</v>
      </c>
      <c r="L371">
        <f t="shared" si="60"/>
        <v>16.49074074074074</v>
      </c>
      <c r="M371">
        <f t="shared" si="61"/>
        <v>-1.612939562962963</v>
      </c>
      <c r="N371" s="9"/>
      <c r="O371" s="22">
        <v>1.71783</v>
      </c>
      <c r="P371" s="22">
        <v>13.353999999999999</v>
      </c>
      <c r="Q371" s="22">
        <v>1.44684E-3</v>
      </c>
      <c r="R371" s="22">
        <v>361</v>
      </c>
      <c r="S371" s="22">
        <v>1.71692</v>
      </c>
      <c r="T371">
        <f t="shared" si="62"/>
        <v>-1.7862222222222219</v>
      </c>
      <c r="U371">
        <f t="shared" si="63"/>
        <v>-3.0684261199999994</v>
      </c>
      <c r="X371" s="9"/>
      <c r="Y371" s="22">
        <v>-9.7808800000000001E-2</v>
      </c>
      <c r="Z371" s="22">
        <v>18.706199999999999</v>
      </c>
      <c r="AA371" s="22">
        <v>-1.34979E-2</v>
      </c>
      <c r="AB371" s="22">
        <v>361</v>
      </c>
      <c r="AC371" s="22">
        <v>-9.8266599999999996E-2</v>
      </c>
      <c r="AD371">
        <f t="shared" si="64"/>
        <v>16.664074074074072</v>
      </c>
      <c r="AE371">
        <f t="shared" si="65"/>
        <v>-1.6298930882962961</v>
      </c>
      <c r="AF371" s="9"/>
      <c r="AG371" s="22">
        <v>1.71783</v>
      </c>
      <c r="AH371" s="22">
        <v>22.3642</v>
      </c>
      <c r="AI371" s="22">
        <v>1.5002399999999999E-3</v>
      </c>
      <c r="AJ371" s="22">
        <v>361</v>
      </c>
      <c r="AK371" s="22">
        <v>1.71692</v>
      </c>
      <c r="AL371">
        <f t="shared" si="66"/>
        <v>-1.8521481481481479</v>
      </c>
      <c r="AM371">
        <f t="shared" si="67"/>
        <v>-3.181675653333333</v>
      </c>
      <c r="AP371" s="9"/>
      <c r="AQ371" s="22">
        <v>-9.7808800000000001E-2</v>
      </c>
      <c r="AR371" s="22">
        <v>27.700399999999998</v>
      </c>
      <c r="AS371" s="22">
        <v>-1.35925E-2</v>
      </c>
      <c r="AT371" s="22">
        <v>361</v>
      </c>
      <c r="AU371" s="22">
        <v>-9.8236100000000007E-2</v>
      </c>
      <c r="AV371">
        <f t="shared" si="68"/>
        <v>16.780864197530864</v>
      </c>
      <c r="AW371">
        <f t="shared" si="69"/>
        <v>-1.6413161901234568</v>
      </c>
      <c r="AX371" s="9"/>
      <c r="AY371" s="22">
        <v>1.71783</v>
      </c>
      <c r="AZ371" s="22">
        <v>31.358499999999999</v>
      </c>
      <c r="BA371" s="22">
        <v>1.60126E-3</v>
      </c>
      <c r="BB371" s="22">
        <v>361</v>
      </c>
      <c r="BC371" s="22">
        <v>1.71722</v>
      </c>
      <c r="BD371">
        <f t="shared" si="70"/>
        <v>-1.9768641975308641</v>
      </c>
      <c r="BE371">
        <f t="shared" si="71"/>
        <v>-3.3959166244444443</v>
      </c>
    </row>
    <row r="372" spans="6:57">
      <c r="F372" s="9"/>
      <c r="G372" s="22">
        <v>-0.102844</v>
      </c>
      <c r="H372" s="22">
        <v>9.7060399999999998</v>
      </c>
      <c r="I372" s="22">
        <v>-1.33575E-2</v>
      </c>
      <c r="J372" s="22">
        <v>362</v>
      </c>
      <c r="K372" s="22">
        <v>-0.103149</v>
      </c>
      <c r="L372">
        <f t="shared" si="60"/>
        <v>16.49074074074074</v>
      </c>
      <c r="M372">
        <f t="shared" si="61"/>
        <v>-1.6959737407407407</v>
      </c>
      <c r="N372" s="9"/>
      <c r="O372" s="22">
        <v>1.7228699999999999</v>
      </c>
      <c r="P372" s="22">
        <v>13.364100000000001</v>
      </c>
      <c r="Q372" s="22">
        <v>1.74103E-3</v>
      </c>
      <c r="R372" s="22">
        <v>362</v>
      </c>
      <c r="S372" s="22">
        <v>1.7215</v>
      </c>
      <c r="T372">
        <f t="shared" si="62"/>
        <v>-2.1494197530864199</v>
      </c>
      <c r="U372">
        <f t="shared" si="63"/>
        <v>-3.70317081</v>
      </c>
      <c r="X372" s="9"/>
      <c r="Y372" s="22">
        <v>-0.102844</v>
      </c>
      <c r="Z372" s="22">
        <v>18.716200000000001</v>
      </c>
      <c r="AA372" s="22">
        <v>-1.3507099999999999E-2</v>
      </c>
      <c r="AB372" s="22">
        <v>362</v>
      </c>
      <c r="AC372" s="22">
        <v>-0.10317999999999999</v>
      </c>
      <c r="AD372">
        <f t="shared" si="64"/>
        <v>16.67543209876543</v>
      </c>
      <c r="AE372">
        <f t="shared" si="65"/>
        <v>-1.7149681387654321</v>
      </c>
      <c r="AF372" s="9"/>
      <c r="AG372" s="22">
        <v>1.7228699999999999</v>
      </c>
      <c r="AH372" s="22">
        <v>22.374300000000002</v>
      </c>
      <c r="AI372" s="22">
        <v>1.7898600000000001E-3</v>
      </c>
      <c r="AJ372" s="22">
        <v>362</v>
      </c>
      <c r="AK372" s="22">
        <v>1.7218</v>
      </c>
      <c r="AL372">
        <f t="shared" si="66"/>
        <v>-2.2097037037037039</v>
      </c>
      <c r="AM372">
        <f t="shared" si="67"/>
        <v>-3.8070322200000004</v>
      </c>
      <c r="AP372" s="9"/>
      <c r="AQ372" s="22">
        <v>-0.102844</v>
      </c>
      <c r="AR372" s="22">
        <v>27.7105</v>
      </c>
      <c r="AS372" s="22">
        <v>-1.3589499999999999E-2</v>
      </c>
      <c r="AT372" s="22">
        <v>362</v>
      </c>
      <c r="AU372" s="22">
        <v>-0.103149</v>
      </c>
      <c r="AV372">
        <f t="shared" si="68"/>
        <v>16.777160493827161</v>
      </c>
      <c r="AW372">
        <f t="shared" si="69"/>
        <v>-1.7254302938271606</v>
      </c>
      <c r="AX372" s="9"/>
      <c r="AY372" s="22">
        <v>1.7228699999999999</v>
      </c>
      <c r="AZ372" s="22">
        <v>31.368500000000001</v>
      </c>
      <c r="BA372" s="22">
        <v>1.8981899999999999E-3</v>
      </c>
      <c r="BB372" s="22">
        <v>362</v>
      </c>
      <c r="BC372" s="22">
        <v>1.72272</v>
      </c>
      <c r="BD372">
        <f t="shared" si="70"/>
        <v>-2.3434444444444442</v>
      </c>
      <c r="BE372">
        <f t="shared" si="71"/>
        <v>-4.037450129999999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S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17.081546103703705</v>
      </c>
      <c r="M2" s="8" t="s">
        <v>14</v>
      </c>
      <c r="N2" s="9"/>
      <c r="O2" s="2">
        <f>ABS(S7-S6)/ABS(T7-T6)*1000</f>
        <v>672.28207377052763</v>
      </c>
      <c r="P2" s="2"/>
      <c r="Q2" s="6" t="s">
        <v>15</v>
      </c>
      <c r="R2" s="2"/>
      <c r="S2" s="7" t="s">
        <v>13</v>
      </c>
      <c r="T2" s="3">
        <f>T4*Q6*T9/100*100</f>
        <v>16.304717703703702</v>
      </c>
      <c r="U2" s="8" t="s">
        <v>14</v>
      </c>
      <c r="X2" s="9"/>
      <c r="Y2" s="2">
        <f>ABS(AC7-AC6)/ABS(AD7-AD6)*1000</f>
        <v>1352.9672999989232</v>
      </c>
      <c r="Z2" s="2"/>
      <c r="AA2" s="6" t="s">
        <v>12</v>
      </c>
      <c r="AB2" s="2"/>
      <c r="AC2" s="7" t="s">
        <v>13</v>
      </c>
      <c r="AD2" s="3">
        <f>AD4*AA6*AD9/100*100</f>
        <v>16.993520487654319</v>
      </c>
      <c r="AE2" s="8" t="s">
        <v>14</v>
      </c>
      <c r="AF2" s="9"/>
      <c r="AG2" s="2">
        <f>ABS(AK7-AK6)/ABS(AL7-AL6)*1000</f>
        <v>662.23627258091722</v>
      </c>
      <c r="AH2" s="2"/>
      <c r="AI2" s="6" t="s">
        <v>15</v>
      </c>
      <c r="AJ2" s="2"/>
      <c r="AK2" s="7" t="s">
        <v>13</v>
      </c>
      <c r="AL2" s="3">
        <f>AL4*AI6*AL9/100*100</f>
        <v>16.239463333333333</v>
      </c>
      <c r="AM2" s="8" t="s">
        <v>14</v>
      </c>
      <c r="AP2" s="9"/>
      <c r="AQ2" s="2">
        <f>ABS(AU7-AU6)/ABS(AV7-AV6)*1000</f>
        <v>3561.4555434772096</v>
      </c>
      <c r="AR2" s="2"/>
      <c r="AS2" s="6" t="s">
        <v>12</v>
      </c>
      <c r="AT2" s="2"/>
      <c r="AU2" s="7" t="s">
        <v>13</v>
      </c>
      <c r="AV2" s="3">
        <f>AV4*AS6*AV9/100*100</f>
        <v>17.34452812345679</v>
      </c>
      <c r="AW2" s="8" t="s">
        <v>14</v>
      </c>
      <c r="AX2" s="9"/>
      <c r="AY2" s="2">
        <f>ABS(BC7-BC6)/ABS(BD7-BD6)*1000</f>
        <v>453.27423913044282</v>
      </c>
      <c r="AZ2" s="2"/>
      <c r="BA2" s="6" t="s">
        <v>15</v>
      </c>
      <c r="BB2" s="2"/>
      <c r="BC2" s="7" t="s">
        <v>13</v>
      </c>
      <c r="BD2" s="3">
        <f>BD4*BA6*BD9/100*100</f>
        <v>16.602094760493824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1.6839599999999999</v>
      </c>
      <c r="J3" s="2"/>
      <c r="K3" s="10">
        <f>INDEX(L11:L1056,MATCH(I3,K11:K1056,0))</f>
        <v>-0.28275802469135797</v>
      </c>
      <c r="L3" s="35" t="s">
        <v>16</v>
      </c>
      <c r="M3" s="11">
        <f>M9</f>
        <v>17.081546103703705</v>
      </c>
      <c r="N3" s="9"/>
      <c r="O3" s="2" t="s">
        <v>44</v>
      </c>
      <c r="P3" s="2"/>
      <c r="Q3" s="2">
        <f>INDEX(S11:S1056,MATCH(0,T11:T1056,-1))</f>
        <v>1.66656</v>
      </c>
      <c r="R3" s="2"/>
      <c r="S3" s="10">
        <f>INDEX(T11:T1056,MATCH(Q3,S11:S1056,0))</f>
        <v>0.14113456790123458</v>
      </c>
      <c r="T3" s="35" t="s">
        <v>16</v>
      </c>
      <c r="U3" s="11">
        <f>U9</f>
        <v>16.304717703703702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-9.8824197530864202E-2</v>
      </c>
      <c r="AD3" s="35" t="s">
        <v>16</v>
      </c>
      <c r="AE3" s="11">
        <f>AE9</f>
        <v>16.993520487654319</v>
      </c>
      <c r="AF3" s="9"/>
      <c r="AG3" s="2" t="s">
        <v>44</v>
      </c>
      <c r="AH3" s="2"/>
      <c r="AI3" s="2">
        <f>INDEX(AK11:AK1056,MATCH(0,AL11:AL1056,-1))</f>
        <v>1.66656</v>
      </c>
      <c r="AJ3" s="2"/>
      <c r="AK3" s="10">
        <f>INDEX(AL11:AL1056,MATCH(AI3,AK11:AK1056,0))</f>
        <v>0.137179012345679</v>
      </c>
      <c r="AL3" s="35" t="s">
        <v>16</v>
      </c>
      <c r="AM3" s="11">
        <f>AM9</f>
        <v>16.239463333333333</v>
      </c>
      <c r="AP3" s="9"/>
      <c r="AQ3" s="2" t="s">
        <v>44</v>
      </c>
      <c r="AR3" s="2"/>
      <c r="AS3" s="2">
        <f>INDEX(AU11:AU856,MATCH(0,AV11:AV856,1))</f>
        <v>1.6787700000000001</v>
      </c>
      <c r="AT3" s="2"/>
      <c r="AU3" s="10">
        <f>INDEX(AV11:AV1056,MATCH(AS3,AU11:AU1056,0))</f>
        <v>-8.9292222222222231E-2</v>
      </c>
      <c r="AV3" s="35" t="s">
        <v>16</v>
      </c>
      <c r="AW3" s="11">
        <f>AW9</f>
        <v>17.34452812345679</v>
      </c>
      <c r="AX3" s="9"/>
      <c r="AY3" s="2" t="s">
        <v>44</v>
      </c>
      <c r="AZ3" s="2"/>
      <c r="BA3" s="2">
        <f>INDEX(BC11:BC1056,MATCH(0,BD11:BD1056,-1))</f>
        <v>1.6711400000000001</v>
      </c>
      <c r="BB3" s="2"/>
      <c r="BC3" s="10">
        <f>INDEX(BD11:BD1056,MATCH(BA3,BC11:BC1056,0))</f>
        <v>0.28814567901234567</v>
      </c>
      <c r="BD3" s="35" t="s">
        <v>16</v>
      </c>
      <c r="BE3" s="11">
        <f>BE9</f>
        <v>16.602094760493824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16.791031362909166</v>
      </c>
      <c r="H4" s="2"/>
      <c r="I4" s="2">
        <f>INDEX(K11:K1000,1+MATCH(0,L11:L856,1))</f>
        <v>1.6787700000000001</v>
      </c>
      <c r="J4" s="2"/>
      <c r="K4" s="10">
        <f>INDEX(L11:L1056,MATCH(I4,K11:K1056,0))</f>
        <v>2.6335555555555556E-2</v>
      </c>
      <c r="L4" s="34">
        <f>M3/(I6*L9)</f>
        <v>0.60320572380452486</v>
      </c>
      <c r="M4" s="8" t="s">
        <v>17</v>
      </c>
      <c r="N4" s="9"/>
      <c r="O4" s="2">
        <f>ABS(Q3-Q4)/ABS(S3-S4)*1000</f>
        <v>19.845247163533077</v>
      </c>
      <c r="P4" s="2"/>
      <c r="Q4" s="2">
        <f>INDEX(S11:S856,1+MATCH(0,T11:T856,-1))</f>
        <v>1.6720600000000001</v>
      </c>
      <c r="R4" s="2"/>
      <c r="S4" s="10">
        <f>INDEX(T11:T856,MATCH(Q4,S11:S856,0))</f>
        <v>-0.13600987654320987</v>
      </c>
      <c r="T4" s="34">
        <f>U3/(Q6*T9)</f>
        <v>0.58331152139299214</v>
      </c>
      <c r="U4" s="8" t="s">
        <v>17</v>
      </c>
      <c r="X4" s="9"/>
      <c r="Y4" s="2">
        <f>ABS(AA3-AA4)/ABS(AC3-AC4)*1000</f>
        <v>18.5743655460535</v>
      </c>
      <c r="Z4" s="2"/>
      <c r="AA4" s="2">
        <f>INDEX(AC11:AC1000,1+MATCH(0,AD11:AD856,1))</f>
        <v>1.6684000000000001</v>
      </c>
      <c r="AB4" s="2"/>
      <c r="AC4" s="10">
        <f>INDEX(AD11:AD1056,MATCH(AA4,AC11:AC1056,0))</f>
        <v>0.19674444444444444</v>
      </c>
      <c r="AD4" s="34">
        <f>AE3/(AA6*AD9)</f>
        <v>0.60355249374417241</v>
      </c>
      <c r="AE4" s="8" t="s">
        <v>17</v>
      </c>
      <c r="AF4" s="9"/>
      <c r="AG4" s="2">
        <f>ABS(AI3-AI4)/ABS(AK3-AK4)*1000</f>
        <v>17.506121330516709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-0.14215185185185183</v>
      </c>
      <c r="AL4" s="34">
        <f>AM3/(AI6*AL9)</f>
        <v>0.5818335927704672</v>
      </c>
      <c r="AM4" s="8" t="s">
        <v>17</v>
      </c>
      <c r="AP4" s="9"/>
      <c r="AQ4" s="2">
        <f>ABS(AS3-AS4)/ABS(AU3-AU4)*1000</f>
        <v>16.042292430925961</v>
      </c>
      <c r="AR4" s="2"/>
      <c r="AS4" s="2">
        <f>INDEX(AU11:AU1000,1+MATCH(0,AV11:AV856,1))</f>
        <v>1.6738900000000001</v>
      </c>
      <c r="AT4" s="2"/>
      <c r="AU4" s="10">
        <f>INDEX(AV11:AV1056,MATCH(AS4,AU11:AU1056,0))</f>
        <v>0.21490370370370368</v>
      </c>
      <c r="AV4" s="34">
        <f>AW3/(AS6*AV9)</f>
        <v>0.62220835761697924</v>
      </c>
      <c r="AW4" s="8" t="s">
        <v>17</v>
      </c>
      <c r="AX4" s="9"/>
      <c r="AY4" s="2">
        <f>ABS(BA3-BA4)/ABS(BC3-BC4)*1000</f>
        <v>17.839115695188386</v>
      </c>
      <c r="AZ4" s="2"/>
      <c r="BA4" s="2">
        <f>INDEX(BC11:BC856,1+MATCH(0,BD11:BD856,-1))</f>
        <v>1.6763300000000001</v>
      </c>
      <c r="BB4" s="2"/>
      <c r="BC4" s="10">
        <f>INDEX(BD11:BD856,MATCH(BA4,BC11:BC856,0))</f>
        <v>-2.7880246913580243E-3</v>
      </c>
      <c r="BD4" s="34">
        <f>BE3/(BA6*BD9)</f>
        <v>0.59646168099051355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13.811975308641975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13.653827160493826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13.796913580246912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13.209259259259259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14.139753086419754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13.729135802469134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1.6792122011392931</v>
      </c>
      <c r="J6" s="34"/>
      <c r="K6" s="13">
        <f>INDEX(K11:K1056,MATCH(L6,L11:L1056,0))</f>
        <v>2.95715E-3</v>
      </c>
      <c r="L6" s="10">
        <f>INDEX(L11:L1056,MATCH(0,K11:K1056,-1))</f>
        <v>16.863827160493827</v>
      </c>
      <c r="M6" s="8" t="s">
        <v>22</v>
      </c>
      <c r="N6" s="9"/>
      <c r="O6" s="2"/>
      <c r="P6" s="2"/>
      <c r="Q6" s="36">
        <f>(Q3-Q4)/(S3-S4)*(-S4)+Q4</f>
        <v>1.6693608503833184</v>
      </c>
      <c r="R6" s="36"/>
      <c r="S6" s="13">
        <f>INDEX(S11:S1056,MATCH(T6,T11:T1056,0))</f>
        <v>-4.4464099999999996E-3</v>
      </c>
      <c r="T6" s="10">
        <f>INDEX(T11:T1056,MATCH(0,S11:S1056,1))</f>
        <v>16.750740740740738</v>
      </c>
      <c r="U6" s="8" t="s">
        <v>22</v>
      </c>
      <c r="X6" s="9"/>
      <c r="Y6" s="2"/>
      <c r="Z6" s="2"/>
      <c r="AA6" s="34">
        <f>(AA3-AA4)/(AC3-AC4)*(-AC4)+AA4</f>
        <v>1.6720544032302664</v>
      </c>
      <c r="AB6" s="34"/>
      <c r="AC6" s="13">
        <f>INDEX(AC11:AC1056,MATCH(AD6,AD11:AD1056,0))</f>
        <v>2.9388399999999999E-3</v>
      </c>
      <c r="AD6" s="10">
        <f>INDEX(AD11:AD1056,MATCH(0,AC11:AC1056,-1))</f>
        <v>16.841234567901232</v>
      </c>
      <c r="AE6" s="8" t="s">
        <v>22</v>
      </c>
      <c r="AF6" s="9"/>
      <c r="AG6" s="2"/>
      <c r="AH6" s="2"/>
      <c r="AI6" s="36">
        <f>(AI3-AI4)/(AK3-AK4)*(-AK4)+AI4</f>
        <v>1.668961472434124</v>
      </c>
      <c r="AJ6" s="36"/>
      <c r="AK6" s="13">
        <f>INDEX(AK11:AK1056,MATCH(AL6,AL11:AL1056,0))</f>
        <v>-4.4280999999999999E-3</v>
      </c>
      <c r="AL6" s="10">
        <f>INDEX(AL11:AL1056,MATCH(0,AK11:AK1056,1))</f>
        <v>16.716790123456789</v>
      </c>
      <c r="AM6" s="8" t="s">
        <v>22</v>
      </c>
      <c r="AP6" s="9"/>
      <c r="AQ6" s="2"/>
      <c r="AR6" s="2"/>
      <c r="AS6" s="34">
        <f>(AS3-AS4)/(AU3-AU4)*(-AU4)+AS4</f>
        <v>1.677337548059304</v>
      </c>
      <c r="AT6" s="34"/>
      <c r="AU6" s="13">
        <f>INDEX(AU11:AU1056,MATCH(AV6,AV11:AV1056,0))</f>
        <v>1.3058500000000001E-2</v>
      </c>
      <c r="AV6" s="10">
        <f>INDEX(AV11:AV1056,MATCH(0,AU11:AU1056,-1))</f>
        <v>16.622716049382717</v>
      </c>
      <c r="AW6" s="8" t="s">
        <v>22</v>
      </c>
      <c r="AX6" s="9"/>
      <c r="AY6" s="2"/>
      <c r="AZ6" s="2"/>
      <c r="BA6" s="36">
        <f>(BA3-BA4)/(BC3-BC4)*(-BC4)+BA4</f>
        <v>1.6762802641049699</v>
      </c>
      <c r="BB6" s="36"/>
      <c r="BC6" s="13">
        <f>INDEX(BC11:BC1056,MATCH(BD6,BD11:BD1056,0))</f>
        <v>-4.48181E-2</v>
      </c>
      <c r="BD6" s="10">
        <f>INDEX(BD11:BD1056,MATCH(0,BC11:BC1056,1))</f>
        <v>16.505925925925922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-3.2464600000000003E-2</v>
      </c>
      <c r="L7" s="10">
        <f>INDEX(L11:L856,1+MATCH(0,K11:K856,-1))</f>
        <v>16.863827160493827</v>
      </c>
      <c r="M7" s="12">
        <f>INDEX(K11:K1056,MATCH(M9,M11:M1056,0))</f>
        <v>1.23627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16.743209876543208</v>
      </c>
      <c r="U7" s="12">
        <f>INDEX(S11:S1056,MATCH(U9,U11:U1056,0))</f>
        <v>1.19293</v>
      </c>
      <c r="X7" s="9"/>
      <c r="Y7" s="2"/>
      <c r="Z7" s="2"/>
      <c r="AA7" s="2"/>
      <c r="AB7" s="2"/>
      <c r="AC7" s="13">
        <f>INDEX(AC11:AC856,MATCH(AD7,AD11:AD856,1))</f>
        <v>7.9498299999999997E-3</v>
      </c>
      <c r="AD7" s="10">
        <f>INDEX(AD11:AD856,1+MATCH(0,AC11:AC856,-1))</f>
        <v>16.844938271604939</v>
      </c>
      <c r="AE7" s="12">
        <f>INDEX(AC11:AC1056,MATCH(AE9,AE11:AE1056,0))</f>
        <v>1.2313799999999999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16.72444444444444</v>
      </c>
      <c r="AM7" s="12">
        <f>INDEX(AK11:AK1056,MATCH(AM9,AM11:AM1056,0))</f>
        <v>1.2283299999999999</v>
      </c>
      <c r="AP7" s="9"/>
      <c r="AQ7" s="2"/>
      <c r="AR7" s="2"/>
      <c r="AS7" s="2"/>
      <c r="AT7" s="2"/>
      <c r="AU7" s="13">
        <f>INDEX(AU11:AU856,MATCH(AV7,AV11:AV856,1))</f>
        <v>-2.73926E-2</v>
      </c>
      <c r="AV7" s="10">
        <f>INDEX(AV11:AV856,1+MATCH(0,AU11:AU856,-1))</f>
        <v>16.611358024691356</v>
      </c>
      <c r="AW7" s="12">
        <f>INDEX(AU11:AU1056,MATCH(AW9,AW11:AW1056,0))</f>
        <v>1.2262</v>
      </c>
      <c r="AX7" s="9"/>
      <c r="AY7" s="2"/>
      <c r="AZ7" s="2"/>
      <c r="BA7" s="2"/>
      <c r="BB7" s="2"/>
      <c r="BC7" s="13">
        <f>INDEX(BC11:BC1056,MATCH(BD7,BD11:BD1056,0))</f>
        <v>-5.5114700000000003E-2</v>
      </c>
      <c r="BD7" s="10">
        <f>INDEX(BD11:BD1056,1+MATCH(0,BC11:BC1056,1))</f>
        <v>16.483209876543206</v>
      </c>
      <c r="BE7" s="12">
        <f>INDEX(BC11:BC1056,MATCH(BE9,BE11:BE1056,0))</f>
        <v>1.2084999999999999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4.547763974547756</v>
      </c>
      <c r="J9" s="2"/>
      <c r="K9" s="2"/>
      <c r="L9" s="3">
        <f>(L6-L7)/(K6-K7)*(-K7)+L7</f>
        <v>16.863827160493827</v>
      </c>
      <c r="M9" s="16">
        <f>MAX(M11:M1056)</f>
        <v>17.081546103703705</v>
      </c>
      <c r="N9" s="9"/>
      <c r="O9" s="2"/>
      <c r="P9" s="2"/>
      <c r="Q9" s="2"/>
      <c r="R9" s="2"/>
      <c r="S9" s="2"/>
      <c r="T9" s="3">
        <f>(T6-T7)/(S6-S7)*(-S7)+T7</f>
        <v>16.744126835397314</v>
      </c>
      <c r="U9" s="16">
        <f>MAX(U11:U1056)</f>
        <v>16.304717703703702</v>
      </c>
      <c r="X9" s="9"/>
      <c r="Y9" s="2"/>
      <c r="Z9" s="2"/>
      <c r="AA9" s="15">
        <f>(MAX(AD2,AL2)-MIN(AD2,AL2))/MAX(AD2,AL2)%</f>
        <v>4.437321594832591</v>
      </c>
      <c r="AB9" s="2"/>
      <c r="AC9" s="2"/>
      <c r="AD9" s="3">
        <f>(AD6-AD7)/(AC6-AC7)*(-AC7)+AD7</f>
        <v>16.839062423755543</v>
      </c>
      <c r="AE9" s="16">
        <f>MAX(AE11:AE1056)</f>
        <v>16.993520487654319</v>
      </c>
      <c r="AF9" s="9"/>
      <c r="AG9" s="2"/>
      <c r="AH9" s="2"/>
      <c r="AI9" s="2"/>
      <c r="AJ9" s="2"/>
      <c r="AK9" s="2"/>
      <c r="AL9" s="3">
        <f>(AL6-AL7)/(AK6-AK7)*(-AK7)+AL7</f>
        <v>16.723476709775511</v>
      </c>
      <c r="AM9" s="16">
        <f>MAX(AM11:AM1056)</f>
        <v>16.239463333333333</v>
      </c>
      <c r="AP9" s="9"/>
      <c r="AQ9" s="2"/>
      <c r="AR9" s="2"/>
      <c r="AS9" s="15">
        <f>(MAX(AV2,BD2)-MIN(AV2,BD2))/MAX(AV2,BD2)%</f>
        <v>4.280504823644625</v>
      </c>
      <c r="AT9" s="2"/>
      <c r="AU9" s="2"/>
      <c r="AV9" s="3">
        <f>(AV6-AV7)/(AU6-AU7)*(-AU7)+AV7</f>
        <v>16.619049430540901</v>
      </c>
      <c r="AW9" s="16">
        <f>MAX(AW11:AW1056)</f>
        <v>17.34452812345679</v>
      </c>
      <c r="AX9" s="9"/>
      <c r="AY9" s="2"/>
      <c r="AZ9" s="2"/>
      <c r="BA9" s="2"/>
      <c r="BB9" s="2"/>
      <c r="BC9" s="2"/>
      <c r="BD9" s="3">
        <f>(BD6-BD7)/(BC6-BC7)*(-BC7)+BD7</f>
        <v>16.604802270820304</v>
      </c>
      <c r="BE9" s="16">
        <f>MAX(BE11:BE1056)</f>
        <v>16.602094760493824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1.6792122011392931</v>
      </c>
      <c r="B11" s="19">
        <f>IFERROR(L9,0)</f>
        <v>16.863827160493827</v>
      </c>
      <c r="C11" s="20">
        <f>IFERROR(L4,0)</f>
        <v>0.60320572380452486</v>
      </c>
      <c r="D11" s="21">
        <f>IFERROR(L2,0)</f>
        <v>17.081546103703705</v>
      </c>
      <c r="E11" s="21">
        <f>IFERROR(I9,0)</f>
        <v>4.547763974547756</v>
      </c>
      <c r="F11" s="9"/>
      <c r="G11" s="22">
        <v>1.69495</v>
      </c>
      <c r="H11" s="22">
        <v>5.07639</v>
      </c>
      <c r="I11" s="22">
        <v>7.6415999999999995E-4</v>
      </c>
      <c r="J11" s="22">
        <v>1</v>
      </c>
      <c r="K11" s="22">
        <v>1.69434</v>
      </c>
      <c r="L11">
        <f>-I11/$F$2*1000</f>
        <v>-0.94340740740740725</v>
      </c>
      <c r="M11">
        <f>L11*G11</f>
        <v>-1.599028385185185</v>
      </c>
      <c r="N11" s="9"/>
      <c r="O11" s="22">
        <v>-9.49097E-2</v>
      </c>
      <c r="P11" s="22">
        <v>8.6941600000000001</v>
      </c>
      <c r="Q11" s="22">
        <v>-1.35712E-2</v>
      </c>
      <c r="R11" s="22">
        <v>1</v>
      </c>
      <c r="S11" s="22">
        <v>-9.5275899999999997E-2</v>
      </c>
      <c r="T11">
        <f>-Q11/$F$2*1000</f>
        <v>16.754567901234566</v>
      </c>
      <c r="U11">
        <f>T11*O11</f>
        <v>-1.5901710131358022</v>
      </c>
      <c r="V11" s="23"/>
      <c r="W11" s="24"/>
      <c r="X11" s="9"/>
      <c r="Y11" s="22">
        <v>1.69495</v>
      </c>
      <c r="Z11" s="22">
        <v>13.970599999999999</v>
      </c>
      <c r="AA11" s="22">
        <v>1.11298E-3</v>
      </c>
      <c r="AB11" s="22">
        <v>1</v>
      </c>
      <c r="AC11" s="22">
        <v>1.69434</v>
      </c>
      <c r="AD11">
        <f>-AA11/$F$2*1000</f>
        <v>-1.3740493827160492</v>
      </c>
      <c r="AE11">
        <f>AD11*Y11</f>
        <v>-2.3289450012345676</v>
      </c>
      <c r="AF11" s="9"/>
      <c r="AG11" s="22">
        <v>-9.49097E-2</v>
      </c>
      <c r="AH11" s="22">
        <v>17.5884</v>
      </c>
      <c r="AI11" s="22">
        <v>-1.35529E-2</v>
      </c>
      <c r="AJ11" s="22">
        <v>1</v>
      </c>
      <c r="AK11" s="22">
        <v>-9.5367400000000005E-2</v>
      </c>
      <c r="AL11">
        <f>-AI11/$F$2*1000</f>
        <v>16.731975308641974</v>
      </c>
      <c r="AM11">
        <f>AL11*AG11</f>
        <v>-1.5880267569506172</v>
      </c>
      <c r="AP11" s="9"/>
      <c r="AQ11" s="22">
        <v>1.69495</v>
      </c>
      <c r="AR11" s="22">
        <v>22.905799999999999</v>
      </c>
      <c r="AS11" s="22">
        <v>8.74634E-4</v>
      </c>
      <c r="AT11" s="22">
        <v>1</v>
      </c>
      <c r="AU11" s="22">
        <v>1.6940299999999999</v>
      </c>
      <c r="AV11">
        <f>-AS11/$F$2*1000</f>
        <v>-1.0797950617283949</v>
      </c>
      <c r="AW11">
        <f>AV11*AQ11</f>
        <v>-1.8301986398765429</v>
      </c>
      <c r="AX11" s="9"/>
      <c r="AY11" s="22">
        <v>-9.49097E-2</v>
      </c>
      <c r="AZ11" s="22">
        <v>26.523599999999998</v>
      </c>
      <c r="BA11" s="22">
        <v>-1.3330099999999999E-2</v>
      </c>
      <c r="BB11" s="22">
        <v>1</v>
      </c>
      <c r="BC11" s="22">
        <v>-9.5306399999999999E-2</v>
      </c>
      <c r="BD11">
        <f>-BA11/$F$2*1000</f>
        <v>16.456913580246912</v>
      </c>
      <c r="BE11">
        <f>BD11*AY11</f>
        <v>-1.5619207308271603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1.6693608503833184</v>
      </c>
      <c r="B12" s="19">
        <f>IFERROR(T9,0)</f>
        <v>16.744126835397314</v>
      </c>
      <c r="C12" s="20">
        <f>IFERROR(T4,0)</f>
        <v>0.58331152139299214</v>
      </c>
      <c r="D12" s="21">
        <f>IFERROR(T2,0)</f>
        <v>16.304717703703702</v>
      </c>
      <c r="E12" s="21"/>
      <c r="F12" s="9"/>
      <c r="G12" s="22">
        <v>1.68991</v>
      </c>
      <c r="H12" s="22">
        <v>5.0864599999999998</v>
      </c>
      <c r="I12" s="22">
        <v>4.8980699999999998E-4</v>
      </c>
      <c r="J12" s="22">
        <v>2</v>
      </c>
      <c r="K12" s="22">
        <v>1.6891499999999999</v>
      </c>
      <c r="L12">
        <f t="shared" ref="L12:L75" si="0">-I12/$F$2*1000</f>
        <v>-0.6046999999999999</v>
      </c>
      <c r="M12">
        <f t="shared" ref="M12:M75" si="1">L12*G12</f>
        <v>-1.0218885769999999</v>
      </c>
      <c r="N12" s="9"/>
      <c r="O12" s="22">
        <v>-8.9874300000000004E-2</v>
      </c>
      <c r="P12" s="22">
        <v>8.7042300000000008</v>
      </c>
      <c r="Q12" s="22">
        <v>-1.35773E-2</v>
      </c>
      <c r="R12" s="22">
        <v>2</v>
      </c>
      <c r="S12" s="22">
        <v>-9.0301500000000007E-2</v>
      </c>
      <c r="T12">
        <f t="shared" ref="T12:T75" si="2">-Q12/$F$2*1000</f>
        <v>16.7620987654321</v>
      </c>
      <c r="U12">
        <f t="shared" ref="U12:U75" si="3">T12*O12</f>
        <v>-1.5064818930740742</v>
      </c>
      <c r="V12" s="23"/>
      <c r="W12" s="24"/>
      <c r="X12" s="9"/>
      <c r="Y12" s="22">
        <v>1.68991</v>
      </c>
      <c r="Z12" s="22">
        <v>13.980700000000001</v>
      </c>
      <c r="AA12" s="22">
        <v>8.3831800000000001E-4</v>
      </c>
      <c r="AB12" s="22">
        <v>2</v>
      </c>
      <c r="AC12" s="22">
        <v>1.6891499999999999</v>
      </c>
      <c r="AD12">
        <f t="shared" ref="AD12:AD75" si="4">-AA12/$F$2*1000</f>
        <v>-1.0349604938271606</v>
      </c>
      <c r="AE12">
        <f t="shared" ref="AE12:AE75" si="5">AD12*Y12</f>
        <v>-1.748990088123457</v>
      </c>
      <c r="AF12" s="9"/>
      <c r="AG12" s="22">
        <v>-8.9874300000000004E-2</v>
      </c>
      <c r="AH12" s="22">
        <v>17.598400000000002</v>
      </c>
      <c r="AI12" s="22">
        <v>-1.3555899999999999E-2</v>
      </c>
      <c r="AJ12" s="22">
        <v>2</v>
      </c>
      <c r="AK12" s="22">
        <v>-9.0362499999999998E-2</v>
      </c>
      <c r="AL12">
        <f t="shared" ref="AL12:AL75" si="6">-AI12/$F$2*1000</f>
        <v>16.735679012345678</v>
      </c>
      <c r="AM12">
        <f t="shared" ref="AM12:AM75" si="7">AL12*AG12</f>
        <v>-1.5041074362592592</v>
      </c>
      <c r="AP12" s="9"/>
      <c r="AQ12" s="22">
        <v>1.68991</v>
      </c>
      <c r="AR12" s="22">
        <v>22.915900000000001</v>
      </c>
      <c r="AS12" s="22">
        <v>5.9204099999999996E-4</v>
      </c>
      <c r="AT12" s="22">
        <v>2</v>
      </c>
      <c r="AU12" s="22">
        <v>1.6888399999999999</v>
      </c>
      <c r="AV12">
        <f t="shared" ref="AV12:AV75" si="8">-AS12/$F$2*1000</f>
        <v>-0.73091481481481468</v>
      </c>
      <c r="AW12">
        <f t="shared" ref="AW12:AW75" si="9">AV12*AQ12</f>
        <v>-1.2351802547037034</v>
      </c>
      <c r="AX12" s="9"/>
      <c r="AY12" s="22">
        <v>-8.9874300000000004E-2</v>
      </c>
      <c r="AZ12" s="22">
        <v>26.5337</v>
      </c>
      <c r="BA12" s="22">
        <v>-1.33423E-2</v>
      </c>
      <c r="BB12" s="22">
        <v>2</v>
      </c>
      <c r="BC12" s="22">
        <v>-9.0271000000000004E-2</v>
      </c>
      <c r="BD12">
        <f t="shared" ref="BD12:BD75" si="10">-BA12/$F$2*1000</f>
        <v>16.471975308641973</v>
      </c>
      <c r="BE12">
        <f t="shared" ref="BE12:BE75" si="11">BD12*AY12</f>
        <v>-1.4804072504814814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1.6720544032302664</v>
      </c>
      <c r="B13" s="19">
        <f>IFERROR(AD9,0)</f>
        <v>16.839062423755543</v>
      </c>
      <c r="C13" s="20">
        <f>IFERROR(AD4,0)</f>
        <v>0.60355249374417241</v>
      </c>
      <c r="D13" s="21">
        <f>IFERROR(AD2,0)</f>
        <v>16.993520487654319</v>
      </c>
      <c r="E13" s="21">
        <f>IFERROR(AA9,0)</f>
        <v>4.437321594832591</v>
      </c>
      <c r="F13" s="9"/>
      <c r="G13" s="22">
        <v>1.6848799999999999</v>
      </c>
      <c r="H13" s="22">
        <v>5.0965299999999996</v>
      </c>
      <c r="I13" s="22">
        <v>2.29034E-4</v>
      </c>
      <c r="J13" s="22">
        <v>3</v>
      </c>
      <c r="K13" s="22">
        <v>1.6839599999999999</v>
      </c>
      <c r="L13">
        <f t="shared" si="0"/>
        <v>-0.28275802469135797</v>
      </c>
      <c r="M13">
        <f t="shared" si="1"/>
        <v>-0.47641334064197521</v>
      </c>
      <c r="N13" s="9"/>
      <c r="O13" s="22">
        <v>-8.4838899999999995E-2</v>
      </c>
      <c r="P13" s="22">
        <v>8.7142999999999997</v>
      </c>
      <c r="Q13" s="22">
        <v>-1.3583400000000001E-2</v>
      </c>
      <c r="R13" s="22">
        <v>3</v>
      </c>
      <c r="S13" s="22">
        <v>-8.5266099999999997E-2</v>
      </c>
      <c r="T13">
        <f t="shared" si="2"/>
        <v>16.76962962962963</v>
      </c>
      <c r="U13">
        <f t="shared" si="3"/>
        <v>-1.4227169311851851</v>
      </c>
      <c r="V13" s="23"/>
      <c r="W13" s="24"/>
      <c r="X13" s="9"/>
      <c r="Y13" s="22">
        <v>1.6848799999999999</v>
      </c>
      <c r="Z13" s="22">
        <v>13.9907</v>
      </c>
      <c r="AA13" s="22">
        <v>5.78003E-4</v>
      </c>
      <c r="AB13" s="22">
        <v>3</v>
      </c>
      <c r="AC13" s="22">
        <v>1.6839599999999999</v>
      </c>
      <c r="AD13">
        <f t="shared" si="4"/>
        <v>-0.71358395061728397</v>
      </c>
      <c r="AE13">
        <f t="shared" si="5"/>
        <v>-1.2023033267160494</v>
      </c>
      <c r="AF13" s="9"/>
      <c r="AG13" s="22">
        <v>-8.4838899999999995E-2</v>
      </c>
      <c r="AH13" s="22">
        <v>17.608499999999999</v>
      </c>
      <c r="AI13" s="22">
        <v>-1.35529E-2</v>
      </c>
      <c r="AJ13" s="22">
        <v>3</v>
      </c>
      <c r="AK13" s="22">
        <v>-8.5266099999999997E-2</v>
      </c>
      <c r="AL13">
        <f t="shared" si="6"/>
        <v>16.731975308641974</v>
      </c>
      <c r="AM13">
        <f t="shared" si="7"/>
        <v>-1.4195223800123455</v>
      </c>
      <c r="AP13" s="9"/>
      <c r="AQ13" s="22">
        <v>1.6848799999999999</v>
      </c>
      <c r="AR13" s="22">
        <v>22.925999999999998</v>
      </c>
      <c r="AS13" s="22">
        <v>3.2522600000000002E-4</v>
      </c>
      <c r="AT13" s="22">
        <v>3</v>
      </c>
      <c r="AU13" s="22">
        <v>1.6842699999999999</v>
      </c>
      <c r="AV13">
        <f t="shared" si="8"/>
        <v>-0.40151358024691358</v>
      </c>
      <c r="AW13">
        <f t="shared" si="9"/>
        <v>-0.67650220108641967</v>
      </c>
      <c r="AX13" s="9"/>
      <c r="AY13" s="22">
        <v>-8.4838899999999995E-2</v>
      </c>
      <c r="AZ13" s="22">
        <v>26.543700000000001</v>
      </c>
      <c r="BA13" s="22">
        <v>-1.33575E-2</v>
      </c>
      <c r="BB13" s="22">
        <v>3</v>
      </c>
      <c r="BC13" s="22">
        <v>-8.5266099999999997E-2</v>
      </c>
      <c r="BD13">
        <f t="shared" si="10"/>
        <v>16.49074074074074</v>
      </c>
      <c r="BE13">
        <f t="shared" si="11"/>
        <v>-1.3990563046296296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1.668961472434124</v>
      </c>
      <c r="B14" s="19">
        <f>IFERROR(AL9,0)</f>
        <v>16.723476709775511</v>
      </c>
      <c r="C14" s="20">
        <f>IFERROR(AL4,0)</f>
        <v>0.5818335927704672</v>
      </c>
      <c r="D14" s="21">
        <f>IFERROR(AL2,0)</f>
        <v>16.239463333333333</v>
      </c>
      <c r="E14" s="21"/>
      <c r="F14" s="9"/>
      <c r="G14" s="22">
        <v>1.67984</v>
      </c>
      <c r="H14" s="22">
        <v>5.1066000000000003</v>
      </c>
      <c r="I14" s="25">
        <v>-2.1331800000000001E-5</v>
      </c>
      <c r="J14" s="22">
        <v>4</v>
      </c>
      <c r="K14" s="22">
        <v>1.6787700000000001</v>
      </c>
      <c r="L14">
        <f t="shared" si="0"/>
        <v>2.6335555555555556E-2</v>
      </c>
      <c r="M14">
        <f t="shared" si="1"/>
        <v>4.4239519644444447E-2</v>
      </c>
      <c r="N14" s="9"/>
      <c r="O14" s="22">
        <v>-7.9803499999999999E-2</v>
      </c>
      <c r="P14" s="22">
        <v>8.7243700000000004</v>
      </c>
      <c r="Q14" s="22">
        <v>-1.35925E-2</v>
      </c>
      <c r="R14" s="22">
        <v>4</v>
      </c>
      <c r="S14" s="22">
        <v>-8.0261200000000005E-2</v>
      </c>
      <c r="T14">
        <f t="shared" si="2"/>
        <v>16.780864197530864</v>
      </c>
      <c r="U14">
        <f t="shared" si="3"/>
        <v>-1.3391716959876543</v>
      </c>
      <c r="V14" s="23"/>
      <c r="W14" s="24"/>
      <c r="X14" s="9"/>
      <c r="Y14" s="22">
        <v>1.67984</v>
      </c>
      <c r="Z14" s="22">
        <v>14.0008</v>
      </c>
      <c r="AA14" s="22">
        <v>3.3053599999999998E-4</v>
      </c>
      <c r="AB14" s="22">
        <v>4</v>
      </c>
      <c r="AC14" s="22">
        <v>1.6787700000000001</v>
      </c>
      <c r="AD14">
        <f t="shared" si="4"/>
        <v>-0.40806913580246912</v>
      </c>
      <c r="AE14">
        <f t="shared" si="5"/>
        <v>-0.68549085708641977</v>
      </c>
      <c r="AF14" s="9"/>
      <c r="AG14" s="22">
        <v>-7.9803499999999999E-2</v>
      </c>
      <c r="AH14" s="22">
        <v>17.618600000000001</v>
      </c>
      <c r="AI14" s="22">
        <v>-1.35529E-2</v>
      </c>
      <c r="AJ14" s="22">
        <v>4</v>
      </c>
      <c r="AK14" s="22">
        <v>-8.0200199999999999E-2</v>
      </c>
      <c r="AL14">
        <f t="shared" si="6"/>
        <v>16.731975308641974</v>
      </c>
      <c r="AM14">
        <f t="shared" si="7"/>
        <v>-1.3352701915432097</v>
      </c>
      <c r="AP14" s="9"/>
      <c r="AQ14" s="22">
        <v>1.67984</v>
      </c>
      <c r="AR14" s="22">
        <v>22.936</v>
      </c>
      <c r="AS14" s="25">
        <v>7.2326700000000007E-5</v>
      </c>
      <c r="AT14" s="22">
        <v>4</v>
      </c>
      <c r="AU14" s="22">
        <v>1.6787700000000001</v>
      </c>
      <c r="AV14">
        <f t="shared" si="8"/>
        <v>-8.9292222222222231E-2</v>
      </c>
      <c r="AW14">
        <f t="shared" si="9"/>
        <v>-0.14999664657777778</v>
      </c>
      <c r="AX14" s="9"/>
      <c r="AY14" s="22">
        <v>-7.9803499999999999E-2</v>
      </c>
      <c r="AZ14" s="22">
        <v>26.553799999999999</v>
      </c>
      <c r="BA14" s="22">
        <v>-1.33636E-2</v>
      </c>
      <c r="BB14" s="22">
        <v>4</v>
      </c>
      <c r="BC14" s="22">
        <v>-8.0200199999999999E-2</v>
      </c>
      <c r="BD14">
        <f t="shared" si="10"/>
        <v>16.498271604938271</v>
      </c>
      <c r="BE14">
        <f t="shared" si="11"/>
        <v>-1.3166198180246913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1.677337548059304</v>
      </c>
      <c r="B15" s="19">
        <f>IFERROR(AV9,0)</f>
        <v>16.619049430540901</v>
      </c>
      <c r="C15" s="20">
        <f>IFERROR(AV4,0)</f>
        <v>0.62220835761697924</v>
      </c>
      <c r="D15" s="21">
        <f>IFERROR(AV2,0)</f>
        <v>17.34452812345679</v>
      </c>
      <c r="E15" s="21">
        <f>IFERROR(AS9,0)</f>
        <v>4.280504823644625</v>
      </c>
      <c r="F15" s="9"/>
      <c r="G15" s="22">
        <v>1.6748000000000001</v>
      </c>
      <c r="H15" s="22">
        <v>5.1166700000000001</v>
      </c>
      <c r="I15" s="22">
        <v>-2.7197300000000001E-4</v>
      </c>
      <c r="J15" s="22">
        <v>5</v>
      </c>
      <c r="K15" s="22">
        <v>1.6738900000000001</v>
      </c>
      <c r="L15">
        <f t="shared" si="0"/>
        <v>0.33576913580246914</v>
      </c>
      <c r="M15">
        <f t="shared" si="1"/>
        <v>0.5623461486419753</v>
      </c>
      <c r="N15" s="9"/>
      <c r="O15" s="22">
        <v>-7.4768100000000004E-2</v>
      </c>
      <c r="P15" s="22">
        <v>8.7344399999999993</v>
      </c>
      <c r="Q15" s="22">
        <v>-1.3595599999999999E-2</v>
      </c>
      <c r="R15" s="22">
        <v>5</v>
      </c>
      <c r="S15" s="22">
        <v>-7.5134300000000001E-2</v>
      </c>
      <c r="T15">
        <f t="shared" si="2"/>
        <v>16.784691358024691</v>
      </c>
      <c r="U15">
        <f t="shared" si="3"/>
        <v>-1.254959481925926</v>
      </c>
      <c r="V15" s="23"/>
      <c r="W15" s="24"/>
      <c r="X15" s="9"/>
      <c r="Y15" s="22">
        <v>1.6748000000000001</v>
      </c>
      <c r="Z15" s="22">
        <v>14.010899999999999</v>
      </c>
      <c r="AA15" s="25">
        <v>8.0047600000000002E-5</v>
      </c>
      <c r="AB15" s="22">
        <v>5</v>
      </c>
      <c r="AC15" s="22">
        <v>1.6738900000000001</v>
      </c>
      <c r="AD15">
        <f t="shared" si="4"/>
        <v>-9.8824197530864202E-2</v>
      </c>
      <c r="AE15">
        <f t="shared" si="5"/>
        <v>-0.16551076602469136</v>
      </c>
      <c r="AF15" s="9"/>
      <c r="AG15" s="22">
        <v>-7.4768100000000004E-2</v>
      </c>
      <c r="AH15" s="22">
        <v>17.628699999999998</v>
      </c>
      <c r="AI15" s="22">
        <v>-1.3559E-2</v>
      </c>
      <c r="AJ15" s="22">
        <v>5</v>
      </c>
      <c r="AK15" s="22">
        <v>-7.5103799999999998E-2</v>
      </c>
      <c r="AL15">
        <f t="shared" si="6"/>
        <v>16.739506172839505</v>
      </c>
      <c r="AM15">
        <f t="shared" si="7"/>
        <v>-1.2515810714814815</v>
      </c>
      <c r="AP15" s="9"/>
      <c r="AQ15" s="22">
        <v>1.6748000000000001</v>
      </c>
      <c r="AR15" s="22">
        <v>22.946100000000001</v>
      </c>
      <c r="AS15" s="22">
        <v>-1.74072E-4</v>
      </c>
      <c r="AT15" s="22">
        <v>5</v>
      </c>
      <c r="AU15" s="22">
        <v>1.6738900000000001</v>
      </c>
      <c r="AV15">
        <f t="shared" si="8"/>
        <v>0.21490370370370368</v>
      </c>
      <c r="AW15">
        <f t="shared" si="9"/>
        <v>0.35992072296296296</v>
      </c>
      <c r="AX15" s="9"/>
      <c r="AY15" s="22">
        <v>-7.4768100000000004E-2</v>
      </c>
      <c r="AZ15" s="22">
        <v>26.5639</v>
      </c>
      <c r="BA15" s="22">
        <v>-1.33575E-2</v>
      </c>
      <c r="BB15" s="22">
        <v>5</v>
      </c>
      <c r="BC15" s="22">
        <v>-7.5134300000000001E-2</v>
      </c>
      <c r="BD15">
        <f t="shared" si="10"/>
        <v>16.49074074074074</v>
      </c>
      <c r="BE15">
        <f t="shared" si="11"/>
        <v>-1.2329813527777778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1.6762802641049699</v>
      </c>
      <c r="B16" s="19">
        <f>IFERROR(BD9,0)</f>
        <v>16.604802270820304</v>
      </c>
      <c r="C16" s="20">
        <f>IFERROR(BD4,0)</f>
        <v>0.59646168099051355</v>
      </c>
      <c r="D16" s="21">
        <f>IFERROR(BD2,0)</f>
        <v>16.602094760493824</v>
      </c>
      <c r="E16" s="21"/>
      <c r="F16" s="9"/>
      <c r="G16" s="22">
        <v>1.66977</v>
      </c>
      <c r="H16" s="22">
        <v>5.1267500000000004</v>
      </c>
      <c r="I16" s="22">
        <v>-5.1147499999999995E-4</v>
      </c>
      <c r="J16" s="22">
        <v>6</v>
      </c>
      <c r="K16" s="22">
        <v>1.6687000000000001</v>
      </c>
      <c r="L16">
        <f t="shared" si="0"/>
        <v>0.63145061728395047</v>
      </c>
      <c r="M16">
        <f t="shared" si="1"/>
        <v>1.0543772972222221</v>
      </c>
      <c r="N16" s="9"/>
      <c r="O16" s="22">
        <v>-6.9732699999999995E-2</v>
      </c>
      <c r="P16" s="22">
        <v>8.74451</v>
      </c>
      <c r="Q16" s="22">
        <v>-1.36017E-2</v>
      </c>
      <c r="R16" s="22">
        <v>6</v>
      </c>
      <c r="S16" s="22">
        <v>-7.0129399999999995E-2</v>
      </c>
      <c r="T16">
        <f t="shared" si="2"/>
        <v>16.792222222222222</v>
      </c>
      <c r="U16">
        <f t="shared" si="3"/>
        <v>-1.1709669945555554</v>
      </c>
      <c r="V16" s="23"/>
      <c r="W16" s="24"/>
      <c r="X16" s="9"/>
      <c r="Y16" s="22">
        <v>1.66977</v>
      </c>
      <c r="Z16" s="22">
        <v>14.021000000000001</v>
      </c>
      <c r="AA16" s="22">
        <v>-1.5936300000000001E-4</v>
      </c>
      <c r="AB16" s="22">
        <v>6</v>
      </c>
      <c r="AC16" s="22">
        <v>1.6684000000000001</v>
      </c>
      <c r="AD16">
        <f t="shared" si="4"/>
        <v>0.19674444444444444</v>
      </c>
      <c r="AE16">
        <f t="shared" si="5"/>
        <v>0.32851797100000002</v>
      </c>
      <c r="AF16" s="9"/>
      <c r="AG16" s="22">
        <v>-6.9732699999999995E-2</v>
      </c>
      <c r="AH16" s="22">
        <v>17.6387</v>
      </c>
      <c r="AI16" s="22">
        <v>-1.3559E-2</v>
      </c>
      <c r="AJ16" s="22">
        <v>6</v>
      </c>
      <c r="AK16" s="22">
        <v>-7.0159899999999997E-2</v>
      </c>
      <c r="AL16">
        <f t="shared" si="6"/>
        <v>16.739506172839505</v>
      </c>
      <c r="AM16">
        <f t="shared" si="7"/>
        <v>-1.1672909620987653</v>
      </c>
      <c r="AP16" s="9"/>
      <c r="AQ16" s="22">
        <v>1.66977</v>
      </c>
      <c r="AR16" s="22">
        <v>22.956199999999999</v>
      </c>
      <c r="AS16" s="22">
        <v>-4.19617E-4</v>
      </c>
      <c r="AT16" s="22">
        <v>6</v>
      </c>
      <c r="AU16" s="22">
        <v>1.6687000000000001</v>
      </c>
      <c r="AV16">
        <f t="shared" si="8"/>
        <v>0.51804567901234566</v>
      </c>
      <c r="AW16">
        <f t="shared" si="9"/>
        <v>0.86501713344444442</v>
      </c>
      <c r="AX16" s="9"/>
      <c r="AY16" s="22">
        <v>-6.9732699999999995E-2</v>
      </c>
      <c r="AZ16" s="22">
        <v>26.573899999999998</v>
      </c>
      <c r="BA16" s="22">
        <v>-1.3345299999999999E-2</v>
      </c>
      <c r="BB16" s="22">
        <v>6</v>
      </c>
      <c r="BC16" s="22">
        <v>-7.0098900000000006E-2</v>
      </c>
      <c r="BD16">
        <f t="shared" si="10"/>
        <v>16.475679012345676</v>
      </c>
      <c r="BE16">
        <f t="shared" si="11"/>
        <v>-1.1488935818641972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5.1368200000000002</v>
      </c>
      <c r="I17" s="22">
        <v>-7.4737499999999999E-4</v>
      </c>
      <c r="J17" s="22">
        <v>7</v>
      </c>
      <c r="K17" s="22">
        <v>1.6638200000000001</v>
      </c>
      <c r="L17">
        <f t="shared" si="0"/>
        <v>0.92268518518518516</v>
      </c>
      <c r="M17">
        <f t="shared" si="1"/>
        <v>1.5360217083333334</v>
      </c>
      <c r="N17" s="9"/>
      <c r="O17" s="22">
        <v>-6.4697299999999999E-2</v>
      </c>
      <c r="P17" s="22">
        <v>8.7545800000000007</v>
      </c>
      <c r="Q17" s="22">
        <v>-1.36017E-2</v>
      </c>
      <c r="R17" s="22">
        <v>7</v>
      </c>
      <c r="S17" s="22">
        <v>-6.5124500000000002E-2</v>
      </c>
      <c r="T17">
        <f t="shared" si="2"/>
        <v>16.792222222222222</v>
      </c>
      <c r="U17">
        <f t="shared" si="3"/>
        <v>-1.0864114387777777</v>
      </c>
      <c r="V17" s="23"/>
      <c r="W17" s="24"/>
      <c r="X17" s="9"/>
      <c r="Y17" s="22">
        <v>1.66473</v>
      </c>
      <c r="Z17" s="22">
        <v>14.031000000000001</v>
      </c>
      <c r="AA17" s="22">
        <v>-4.0133699999999998E-4</v>
      </c>
      <c r="AB17" s="22">
        <v>7</v>
      </c>
      <c r="AC17" s="22">
        <v>1.66351</v>
      </c>
      <c r="AD17">
        <f t="shared" si="4"/>
        <v>0.49547777777777774</v>
      </c>
      <c r="AE17">
        <f t="shared" si="5"/>
        <v>0.82483672099999994</v>
      </c>
      <c r="AF17" s="9"/>
      <c r="AG17" s="22">
        <v>-6.4697299999999999E-2</v>
      </c>
      <c r="AH17" s="22">
        <v>17.648800000000001</v>
      </c>
      <c r="AI17" s="22">
        <v>-1.3559E-2</v>
      </c>
      <c r="AJ17" s="22">
        <v>7</v>
      </c>
      <c r="AK17" s="22">
        <v>-6.5032999999999994E-2</v>
      </c>
      <c r="AL17">
        <f t="shared" si="6"/>
        <v>16.739506172839505</v>
      </c>
      <c r="AM17">
        <f t="shared" si="7"/>
        <v>-1.0830008527160493</v>
      </c>
      <c r="AP17" s="9"/>
      <c r="AQ17" s="22">
        <v>1.66473</v>
      </c>
      <c r="AR17" s="22">
        <v>22.966200000000001</v>
      </c>
      <c r="AS17" s="22">
        <v>-6.5002400000000002E-4</v>
      </c>
      <c r="AT17" s="22">
        <v>7</v>
      </c>
      <c r="AU17" s="22">
        <v>1.66412</v>
      </c>
      <c r="AV17">
        <f t="shared" si="8"/>
        <v>0.80249876543209875</v>
      </c>
      <c r="AW17">
        <f t="shared" si="9"/>
        <v>1.3359437697777778</v>
      </c>
      <c r="AX17" s="9"/>
      <c r="AY17" s="22">
        <v>-6.4697299999999999E-2</v>
      </c>
      <c r="AZ17" s="22">
        <v>26.584</v>
      </c>
      <c r="BA17" s="22">
        <v>-1.3345299999999999E-2</v>
      </c>
      <c r="BB17" s="22">
        <v>7</v>
      </c>
      <c r="BC17" s="22">
        <v>-6.5063499999999996E-2</v>
      </c>
      <c r="BD17">
        <f t="shared" si="10"/>
        <v>16.475679012345676</v>
      </c>
      <c r="BE17">
        <f t="shared" si="11"/>
        <v>-1.0659319477654319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5.14689</v>
      </c>
      <c r="I18" s="22">
        <v>-9.7930900000000004E-4</v>
      </c>
      <c r="J18" s="22">
        <v>8</v>
      </c>
      <c r="K18" s="22">
        <v>1.65863</v>
      </c>
      <c r="L18">
        <f t="shared" si="0"/>
        <v>1.2090234567901232</v>
      </c>
      <c r="M18">
        <f t="shared" si="1"/>
        <v>2.0066162312345677</v>
      </c>
      <c r="N18" s="9"/>
      <c r="O18" s="22">
        <v>-5.9661899999999997E-2</v>
      </c>
      <c r="P18" s="22">
        <v>8.7646599999999992</v>
      </c>
      <c r="Q18" s="22">
        <v>-1.36078E-2</v>
      </c>
      <c r="R18" s="22">
        <v>8</v>
      </c>
      <c r="S18" s="22">
        <v>-6.0089099999999999E-2</v>
      </c>
      <c r="T18">
        <f t="shared" si="2"/>
        <v>16.799753086419752</v>
      </c>
      <c r="U18">
        <f t="shared" si="3"/>
        <v>-1.0023051886666665</v>
      </c>
      <c r="V18" s="23"/>
      <c r="W18" s="24"/>
      <c r="X18" s="9"/>
      <c r="Y18" s="22">
        <v>1.6597</v>
      </c>
      <c r="Z18" s="22">
        <v>14.0411</v>
      </c>
      <c r="AA18" s="22">
        <v>-6.3201900000000005E-4</v>
      </c>
      <c r="AB18" s="22">
        <v>8</v>
      </c>
      <c r="AC18" s="22">
        <v>1.6589400000000001</v>
      </c>
      <c r="AD18">
        <f t="shared" si="4"/>
        <v>0.78027037037037039</v>
      </c>
      <c r="AE18">
        <f t="shared" si="5"/>
        <v>1.2950147337037037</v>
      </c>
      <c r="AF18" s="9"/>
      <c r="AG18" s="22">
        <v>-5.9661899999999997E-2</v>
      </c>
      <c r="AH18" s="22">
        <v>17.658899999999999</v>
      </c>
      <c r="AI18" s="22">
        <v>-1.3561999999999999E-2</v>
      </c>
      <c r="AJ18" s="22">
        <v>8</v>
      </c>
      <c r="AK18" s="22">
        <v>-6.0089099999999999E-2</v>
      </c>
      <c r="AL18">
        <f t="shared" si="6"/>
        <v>16.743209876543208</v>
      </c>
      <c r="AM18">
        <f t="shared" si="7"/>
        <v>-0.99893171333333319</v>
      </c>
      <c r="AP18" s="9"/>
      <c r="AQ18" s="22">
        <v>1.6597</v>
      </c>
      <c r="AR18" s="22">
        <v>22.976299999999998</v>
      </c>
      <c r="AS18" s="22">
        <v>-8.8012699999999997E-4</v>
      </c>
      <c r="AT18" s="22">
        <v>8</v>
      </c>
      <c r="AU18" s="22">
        <v>1.65863</v>
      </c>
      <c r="AV18">
        <f t="shared" si="8"/>
        <v>1.0865765432098764</v>
      </c>
      <c r="AW18">
        <f t="shared" si="9"/>
        <v>1.8033910887654319</v>
      </c>
      <c r="AX18" s="9"/>
      <c r="AY18" s="22">
        <v>-5.9661899999999997E-2</v>
      </c>
      <c r="AZ18" s="22">
        <v>26.594100000000001</v>
      </c>
      <c r="BA18" s="22">
        <v>-1.33423E-2</v>
      </c>
      <c r="BB18" s="22">
        <v>8</v>
      </c>
      <c r="BC18" s="22">
        <v>-6.0089099999999999E-2</v>
      </c>
      <c r="BD18">
        <f t="shared" si="10"/>
        <v>16.471975308641973</v>
      </c>
      <c r="BE18">
        <f t="shared" si="11"/>
        <v>-0.98274934366666644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5.1569599999999998</v>
      </c>
      <c r="I19" s="22">
        <v>-1.20667E-3</v>
      </c>
      <c r="J19" s="22">
        <v>9</v>
      </c>
      <c r="K19" s="22">
        <v>1.6537500000000001</v>
      </c>
      <c r="L19">
        <f t="shared" si="0"/>
        <v>1.489716049382716</v>
      </c>
      <c r="M19">
        <f t="shared" si="1"/>
        <v>2.464973558271605</v>
      </c>
      <c r="N19" s="9"/>
      <c r="O19" s="22">
        <v>-5.4626500000000001E-2</v>
      </c>
      <c r="P19" s="22">
        <v>8.7747299999999999</v>
      </c>
      <c r="Q19" s="22">
        <v>-1.3604700000000001E-2</v>
      </c>
      <c r="R19" s="22">
        <v>9</v>
      </c>
      <c r="S19" s="22">
        <v>-5.4992699999999999E-2</v>
      </c>
      <c r="T19">
        <f t="shared" si="2"/>
        <v>16.795925925925925</v>
      </c>
      <c r="U19">
        <f t="shared" si="3"/>
        <v>-0.91750264759259259</v>
      </c>
      <c r="V19" s="23"/>
      <c r="W19" s="24"/>
      <c r="X19" s="9"/>
      <c r="Y19" s="22">
        <v>1.65466</v>
      </c>
      <c r="Z19" s="22">
        <v>14.0512</v>
      </c>
      <c r="AA19" s="22">
        <v>-8.6120599999999999E-4</v>
      </c>
      <c r="AB19" s="22">
        <v>9</v>
      </c>
      <c r="AC19" s="22">
        <v>1.65344</v>
      </c>
      <c r="AD19">
        <f t="shared" si="4"/>
        <v>1.0632172839506171</v>
      </c>
      <c r="AE19">
        <f t="shared" si="5"/>
        <v>1.7592631110617281</v>
      </c>
      <c r="AF19" s="9"/>
      <c r="AG19" s="22">
        <v>-5.4626500000000001E-2</v>
      </c>
      <c r="AH19" s="22">
        <v>17.668900000000001</v>
      </c>
      <c r="AI19" s="22">
        <v>-1.3559E-2</v>
      </c>
      <c r="AJ19" s="22">
        <v>9</v>
      </c>
      <c r="AK19" s="22">
        <v>-5.5053699999999997E-2</v>
      </c>
      <c r="AL19">
        <f t="shared" si="6"/>
        <v>16.739506172839505</v>
      </c>
      <c r="AM19">
        <f t="shared" si="7"/>
        <v>-0.91442063395061723</v>
      </c>
      <c r="AP19" s="9"/>
      <c r="AQ19" s="22">
        <v>1.65466</v>
      </c>
      <c r="AR19" s="22">
        <v>22.9864</v>
      </c>
      <c r="AS19" s="22">
        <v>-1.1090099999999999E-3</v>
      </c>
      <c r="AT19" s="22">
        <v>9</v>
      </c>
      <c r="AU19" s="22">
        <v>1.6531400000000001</v>
      </c>
      <c r="AV19">
        <f t="shared" si="8"/>
        <v>1.369148148148148</v>
      </c>
      <c r="AW19">
        <f t="shared" si="9"/>
        <v>2.2654746748148145</v>
      </c>
      <c r="AX19" s="9"/>
      <c r="AY19" s="22">
        <v>-5.4626500000000001E-2</v>
      </c>
      <c r="AZ19" s="22">
        <v>26.604199999999999</v>
      </c>
      <c r="BA19" s="22">
        <v>-1.3351399999999999E-2</v>
      </c>
      <c r="BB19" s="22">
        <v>9</v>
      </c>
      <c r="BC19" s="22">
        <v>-5.5114700000000003E-2</v>
      </c>
      <c r="BD19">
        <f t="shared" si="10"/>
        <v>16.483209876543206</v>
      </c>
      <c r="BE19">
        <f t="shared" si="11"/>
        <v>-0.90042006432098753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5.1670299999999996</v>
      </c>
      <c r="I20" s="22">
        <v>-1.43311E-3</v>
      </c>
      <c r="J20" s="22">
        <v>10</v>
      </c>
      <c r="K20" s="22">
        <v>1.64856</v>
      </c>
      <c r="L20">
        <f t="shared" si="0"/>
        <v>1.7692716049382715</v>
      </c>
      <c r="M20">
        <f t="shared" si="1"/>
        <v>2.9186435176543206</v>
      </c>
      <c r="N20" s="9"/>
      <c r="O20" s="22">
        <v>-4.9591099999999999E-2</v>
      </c>
      <c r="P20" s="22">
        <v>8.7848000000000006</v>
      </c>
      <c r="Q20" s="22">
        <v>-1.3604700000000001E-2</v>
      </c>
      <c r="R20" s="22">
        <v>10</v>
      </c>
      <c r="S20" s="22">
        <v>-4.9987799999999999E-2</v>
      </c>
      <c r="T20">
        <f t="shared" si="2"/>
        <v>16.795925925925925</v>
      </c>
      <c r="U20">
        <f t="shared" si="3"/>
        <v>-0.83292844218518514</v>
      </c>
      <c r="V20" s="23"/>
      <c r="W20" s="24"/>
      <c r="X20" s="9"/>
      <c r="Y20" s="22">
        <v>1.6496299999999999</v>
      </c>
      <c r="Z20" s="22">
        <v>14.061199999999999</v>
      </c>
      <c r="AA20" s="22">
        <v>-1.08734E-3</v>
      </c>
      <c r="AB20" s="22">
        <v>10</v>
      </c>
      <c r="AC20" s="22">
        <v>1.6494800000000001</v>
      </c>
      <c r="AD20">
        <f t="shared" si="4"/>
        <v>1.3423950617283948</v>
      </c>
      <c r="AE20">
        <f t="shared" si="5"/>
        <v>2.2144551656790119</v>
      </c>
      <c r="AF20" s="9"/>
      <c r="AG20" s="22">
        <v>-4.9591099999999999E-2</v>
      </c>
      <c r="AH20" s="22">
        <v>17.678999999999998</v>
      </c>
      <c r="AI20" s="22">
        <v>-1.35529E-2</v>
      </c>
      <c r="AJ20" s="22">
        <v>10</v>
      </c>
      <c r="AK20" s="22">
        <v>-4.9957300000000003E-2</v>
      </c>
      <c r="AL20">
        <f t="shared" si="6"/>
        <v>16.731975308641974</v>
      </c>
      <c r="AM20">
        <f t="shared" si="7"/>
        <v>-0.82975706072839506</v>
      </c>
      <c r="AP20" s="9"/>
      <c r="AQ20" s="22">
        <v>1.6496299999999999</v>
      </c>
      <c r="AR20" s="22">
        <v>22.996500000000001</v>
      </c>
      <c r="AS20" s="22">
        <v>-1.33942E-3</v>
      </c>
      <c r="AT20" s="22">
        <v>10</v>
      </c>
      <c r="AU20" s="22">
        <v>1.64825</v>
      </c>
      <c r="AV20">
        <f t="shared" si="8"/>
        <v>1.6536049382716049</v>
      </c>
      <c r="AW20">
        <f t="shared" si="9"/>
        <v>2.7278363143209874</v>
      </c>
      <c r="AX20" s="9"/>
      <c r="AY20" s="22">
        <v>-4.9591099999999999E-2</v>
      </c>
      <c r="AZ20" s="22">
        <v>26.6142</v>
      </c>
      <c r="BA20" s="22">
        <v>-1.33606E-2</v>
      </c>
      <c r="BB20" s="22">
        <v>10</v>
      </c>
      <c r="BC20" s="22">
        <v>-4.9987799999999999E-2</v>
      </c>
      <c r="BD20">
        <f t="shared" si="10"/>
        <v>16.494567901234568</v>
      </c>
      <c r="BE20">
        <f t="shared" si="11"/>
        <v>-0.8179837662469136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5.1771000000000003</v>
      </c>
      <c r="I21" s="22">
        <v>-1.64886E-3</v>
      </c>
      <c r="J21" s="22">
        <v>11</v>
      </c>
      <c r="K21" s="22">
        <v>1.64368</v>
      </c>
      <c r="L21">
        <f t="shared" si="0"/>
        <v>2.0356296296296295</v>
      </c>
      <c r="M21">
        <f t="shared" si="1"/>
        <v>3.3477761325925921</v>
      </c>
      <c r="N21" s="9"/>
      <c r="O21" s="22">
        <v>-4.4555699999999997E-2</v>
      </c>
      <c r="P21" s="22">
        <v>8.7948699999999995</v>
      </c>
      <c r="Q21" s="22">
        <v>-1.3604700000000001E-2</v>
      </c>
      <c r="R21" s="22">
        <v>11</v>
      </c>
      <c r="S21" s="22">
        <v>-4.4821199999999999E-2</v>
      </c>
      <c r="T21">
        <f t="shared" si="2"/>
        <v>16.795925925925925</v>
      </c>
      <c r="U21">
        <f t="shared" si="3"/>
        <v>-0.74835423677777768</v>
      </c>
      <c r="V21" s="23"/>
      <c r="W21" s="24"/>
      <c r="X21" s="9"/>
      <c r="Y21" s="22">
        <v>1.64459</v>
      </c>
      <c r="Z21" s="22">
        <v>14.071300000000001</v>
      </c>
      <c r="AA21" s="22">
        <v>-1.3091999999999999E-3</v>
      </c>
      <c r="AB21" s="22">
        <v>11</v>
      </c>
      <c r="AC21" s="22">
        <v>1.64398</v>
      </c>
      <c r="AD21">
        <f t="shared" si="4"/>
        <v>1.6162962962962961</v>
      </c>
      <c r="AE21">
        <f t="shared" si="5"/>
        <v>2.6581447259259257</v>
      </c>
      <c r="AF21" s="9"/>
      <c r="AG21" s="22">
        <v>-4.4555699999999997E-2</v>
      </c>
      <c r="AH21" s="22">
        <v>17.6891</v>
      </c>
      <c r="AI21" s="22">
        <v>-1.3543700000000001E-2</v>
      </c>
      <c r="AJ21" s="22">
        <v>11</v>
      </c>
      <c r="AK21" s="22">
        <v>-4.4839499999999997E-2</v>
      </c>
      <c r="AL21">
        <f t="shared" si="6"/>
        <v>16.720617283950617</v>
      </c>
      <c r="AM21">
        <f t="shared" si="7"/>
        <v>-0.74499880751851844</v>
      </c>
      <c r="AP21" s="9"/>
      <c r="AQ21" s="22">
        <v>1.64459</v>
      </c>
      <c r="AR21" s="22">
        <v>23.006499999999999</v>
      </c>
      <c r="AS21" s="22">
        <v>-1.5548700000000001E-3</v>
      </c>
      <c r="AT21" s="22">
        <v>11</v>
      </c>
      <c r="AU21" s="22">
        <v>1.64368</v>
      </c>
      <c r="AV21">
        <f t="shared" si="8"/>
        <v>1.9195925925925925</v>
      </c>
      <c r="AW21">
        <f t="shared" si="9"/>
        <v>3.1569427818518516</v>
      </c>
      <c r="AX21" s="9"/>
      <c r="AY21" s="22">
        <v>-4.4555699999999997E-2</v>
      </c>
      <c r="AZ21" s="22">
        <v>26.624300000000002</v>
      </c>
      <c r="BA21" s="22">
        <v>-1.3369799999999999E-2</v>
      </c>
      <c r="BB21" s="22">
        <v>11</v>
      </c>
      <c r="BC21" s="22">
        <v>-4.48181E-2</v>
      </c>
      <c r="BD21">
        <f t="shared" si="10"/>
        <v>16.505925925925922</v>
      </c>
      <c r="BE21">
        <f t="shared" si="11"/>
        <v>-0.73543308377777761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5.1871700000000001</v>
      </c>
      <c r="I22" s="22">
        <v>-1.86615E-3</v>
      </c>
      <c r="J22" s="22">
        <v>12</v>
      </c>
      <c r="K22" s="22">
        <v>1.63879</v>
      </c>
      <c r="L22">
        <f t="shared" si="0"/>
        <v>2.3038888888888889</v>
      </c>
      <c r="M22">
        <f t="shared" si="1"/>
        <v>3.7773640666666664</v>
      </c>
      <c r="N22" s="9"/>
      <c r="O22" s="22">
        <v>-3.9520300000000001E-2</v>
      </c>
      <c r="P22" s="22">
        <v>8.8049400000000002</v>
      </c>
      <c r="Q22" s="22">
        <v>-1.36017E-2</v>
      </c>
      <c r="R22" s="22">
        <v>12</v>
      </c>
      <c r="S22" s="22">
        <v>-3.9779700000000001E-2</v>
      </c>
      <c r="T22">
        <f t="shared" si="2"/>
        <v>16.792222222222222</v>
      </c>
      <c r="U22">
        <f t="shared" si="3"/>
        <v>-0.66363365988888889</v>
      </c>
      <c r="V22" s="23"/>
      <c r="W22" s="24"/>
      <c r="X22" s="9"/>
      <c r="Y22" s="22">
        <v>1.6395599999999999</v>
      </c>
      <c r="Z22" s="22">
        <v>14.0814</v>
      </c>
      <c r="AA22" s="22">
        <v>-1.5267900000000001E-3</v>
      </c>
      <c r="AB22" s="22">
        <v>12</v>
      </c>
      <c r="AC22" s="22">
        <v>1.63879</v>
      </c>
      <c r="AD22">
        <f t="shared" si="4"/>
        <v>1.8849259259259259</v>
      </c>
      <c r="AE22">
        <f t="shared" si="5"/>
        <v>3.0904491511111107</v>
      </c>
      <c r="AF22" s="9"/>
      <c r="AG22" s="22">
        <v>-3.9520300000000001E-2</v>
      </c>
      <c r="AH22" s="22">
        <v>17.699200000000001</v>
      </c>
      <c r="AI22" s="22">
        <v>-1.3549800000000001E-2</v>
      </c>
      <c r="AJ22" s="22">
        <v>12</v>
      </c>
      <c r="AK22" s="22">
        <v>-3.9767499999999997E-2</v>
      </c>
      <c r="AL22">
        <f t="shared" si="6"/>
        <v>16.728148148148147</v>
      </c>
      <c r="AM22">
        <f t="shared" si="7"/>
        <v>-0.66110143325925919</v>
      </c>
      <c r="AP22" s="9"/>
      <c r="AQ22" s="22">
        <v>1.6395599999999999</v>
      </c>
      <c r="AR22" s="22">
        <v>23.0166</v>
      </c>
      <c r="AS22" s="22">
        <v>-1.77338E-3</v>
      </c>
      <c r="AT22" s="22">
        <v>12</v>
      </c>
      <c r="AU22" s="22">
        <v>1.63879</v>
      </c>
      <c r="AV22">
        <f t="shared" si="8"/>
        <v>2.1893580246913578</v>
      </c>
      <c r="AW22">
        <f t="shared" si="9"/>
        <v>3.5895838429629623</v>
      </c>
      <c r="AX22" s="9"/>
      <c r="AY22" s="22">
        <v>-3.9520300000000001E-2</v>
      </c>
      <c r="AZ22" s="22">
        <v>26.634399999999999</v>
      </c>
      <c r="BA22" s="22">
        <v>-1.3382E-2</v>
      </c>
      <c r="BB22" s="22">
        <v>12</v>
      </c>
      <c r="BC22" s="22">
        <v>-3.9776600000000002E-2</v>
      </c>
      <c r="BD22">
        <f t="shared" si="10"/>
        <v>16.520987654320987</v>
      </c>
      <c r="BE22">
        <f t="shared" si="11"/>
        <v>-0.65291438839506166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5.1972399999999999</v>
      </c>
      <c r="I23" s="22">
        <v>-2.0800800000000002E-3</v>
      </c>
      <c r="J23" s="22">
        <v>13</v>
      </c>
      <c r="K23" s="22">
        <v>1.63361</v>
      </c>
      <c r="L23">
        <f t="shared" si="0"/>
        <v>2.5680000000000001</v>
      </c>
      <c r="M23">
        <f t="shared" si="1"/>
        <v>4.19744736</v>
      </c>
      <c r="N23" s="9"/>
      <c r="O23" s="22">
        <v>-3.4484899999999999E-2</v>
      </c>
      <c r="P23" s="22">
        <v>8.8150099999999991</v>
      </c>
      <c r="Q23" s="22">
        <v>-1.35925E-2</v>
      </c>
      <c r="R23" s="22">
        <v>13</v>
      </c>
      <c r="S23" s="22">
        <v>-3.4701500000000003E-2</v>
      </c>
      <c r="T23">
        <f t="shared" si="2"/>
        <v>16.780864197530864</v>
      </c>
      <c r="U23">
        <f t="shared" si="3"/>
        <v>-0.57868642376543211</v>
      </c>
      <c r="V23" s="23"/>
      <c r="W23" s="24"/>
      <c r="X23" s="9"/>
      <c r="Y23" s="22">
        <v>1.63452</v>
      </c>
      <c r="Z23" s="22">
        <v>14.0915</v>
      </c>
      <c r="AA23" s="22">
        <v>-1.74194E-3</v>
      </c>
      <c r="AB23" s="22">
        <v>13</v>
      </c>
      <c r="AC23" s="22">
        <v>1.63422</v>
      </c>
      <c r="AD23">
        <f t="shared" si="4"/>
        <v>2.1505432098765431</v>
      </c>
      <c r="AE23">
        <f t="shared" si="5"/>
        <v>3.5151058874074073</v>
      </c>
      <c r="AF23" s="9"/>
      <c r="AG23" s="22">
        <v>-3.4484899999999999E-2</v>
      </c>
      <c r="AH23" s="22">
        <v>17.709199999999999</v>
      </c>
      <c r="AI23" s="22">
        <v>-1.3549800000000001E-2</v>
      </c>
      <c r="AJ23" s="22">
        <v>13</v>
      </c>
      <c r="AK23" s="22">
        <v>-3.4719800000000002E-2</v>
      </c>
      <c r="AL23">
        <f t="shared" si="6"/>
        <v>16.728148148148147</v>
      </c>
      <c r="AM23">
        <f t="shared" si="7"/>
        <v>-0.57686851607407397</v>
      </c>
      <c r="AP23" s="9"/>
      <c r="AQ23" s="22">
        <v>1.63452</v>
      </c>
      <c r="AR23" s="22">
        <v>23.026700000000002</v>
      </c>
      <c r="AS23" s="22">
        <v>-1.9818100000000001E-3</v>
      </c>
      <c r="AT23" s="22">
        <v>13</v>
      </c>
      <c r="AU23" s="22">
        <v>1.63391</v>
      </c>
      <c r="AV23">
        <f t="shared" si="8"/>
        <v>2.4466790123456787</v>
      </c>
      <c r="AW23">
        <f t="shared" si="9"/>
        <v>3.9991457792592588</v>
      </c>
      <c r="AX23" s="9"/>
      <c r="AY23" s="22">
        <v>-3.4484899999999999E-2</v>
      </c>
      <c r="AZ23" s="22">
        <v>26.644400000000001</v>
      </c>
      <c r="BA23" s="22">
        <v>-1.3378900000000001E-2</v>
      </c>
      <c r="BB23" s="22">
        <v>13</v>
      </c>
      <c r="BC23" s="22">
        <v>-3.4695400000000001E-2</v>
      </c>
      <c r="BD23">
        <f t="shared" si="10"/>
        <v>16.517160493827159</v>
      </c>
      <c r="BE23">
        <f t="shared" si="11"/>
        <v>-0.56959262791358023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5.2073099999999997</v>
      </c>
      <c r="I24" s="22">
        <v>-2.2830200000000002E-3</v>
      </c>
      <c r="J24" s="22">
        <v>14</v>
      </c>
      <c r="K24" s="22">
        <v>1.62781</v>
      </c>
      <c r="L24">
        <f t="shared" si="0"/>
        <v>2.8185432098765433</v>
      </c>
      <c r="M24">
        <f t="shared" si="1"/>
        <v>4.5927879750617286</v>
      </c>
      <c r="N24" s="9"/>
      <c r="O24" s="22">
        <v>-2.94495E-2</v>
      </c>
      <c r="P24" s="22">
        <v>8.8250799999999998</v>
      </c>
      <c r="Q24" s="22">
        <v>-1.35864E-2</v>
      </c>
      <c r="R24" s="22">
        <v>14</v>
      </c>
      <c r="S24" s="22">
        <v>-2.97241E-2</v>
      </c>
      <c r="T24">
        <f t="shared" si="2"/>
        <v>16.77333333333333</v>
      </c>
      <c r="U24">
        <f t="shared" si="3"/>
        <v>-0.49396627999999992</v>
      </c>
      <c r="V24" s="23"/>
      <c r="W24" s="24"/>
      <c r="X24" s="9"/>
      <c r="Y24" s="22">
        <v>1.6294900000000001</v>
      </c>
      <c r="Z24" s="22">
        <v>14.1015</v>
      </c>
      <c r="AA24" s="22">
        <v>-1.9586199999999999E-3</v>
      </c>
      <c r="AB24" s="22">
        <v>14</v>
      </c>
      <c r="AC24" s="22">
        <v>1.62903</v>
      </c>
      <c r="AD24">
        <f t="shared" si="4"/>
        <v>2.4180493827160494</v>
      </c>
      <c r="AE24">
        <f t="shared" si="5"/>
        <v>3.9401872886419755</v>
      </c>
      <c r="AF24" s="9"/>
      <c r="AG24" s="22">
        <v>-2.94495E-2</v>
      </c>
      <c r="AH24" s="22">
        <v>17.7193</v>
      </c>
      <c r="AI24" s="22">
        <v>-1.3549800000000001E-2</v>
      </c>
      <c r="AJ24" s="22">
        <v>14</v>
      </c>
      <c r="AK24" s="22">
        <v>-2.9687499999999999E-2</v>
      </c>
      <c r="AL24">
        <f t="shared" si="6"/>
        <v>16.728148148148147</v>
      </c>
      <c r="AM24">
        <f t="shared" si="7"/>
        <v>-0.49263559888888886</v>
      </c>
      <c r="AP24" s="9"/>
      <c r="AQ24" s="22">
        <v>1.6294900000000001</v>
      </c>
      <c r="AR24" s="22">
        <v>23.0367</v>
      </c>
      <c r="AS24" s="22">
        <v>-2.19696E-3</v>
      </c>
      <c r="AT24" s="22">
        <v>14</v>
      </c>
      <c r="AU24" s="22">
        <v>1.62903</v>
      </c>
      <c r="AV24">
        <f t="shared" si="8"/>
        <v>2.7122962962962962</v>
      </c>
      <c r="AW24">
        <f t="shared" si="9"/>
        <v>4.4196596918518516</v>
      </c>
      <c r="AX24" s="9"/>
      <c r="AY24" s="22">
        <v>-2.94495E-2</v>
      </c>
      <c r="AZ24" s="22">
        <v>26.654499999999999</v>
      </c>
      <c r="BA24" s="22">
        <v>-1.3372800000000001E-2</v>
      </c>
      <c r="BB24" s="22">
        <v>14</v>
      </c>
      <c r="BC24" s="22">
        <v>-2.9663100000000001E-2</v>
      </c>
      <c r="BD24">
        <f t="shared" si="10"/>
        <v>16.509629629629632</v>
      </c>
      <c r="BE24">
        <f t="shared" si="11"/>
        <v>-0.48620033777777788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5.2173800000000004</v>
      </c>
      <c r="I25" s="22">
        <v>-2.4874900000000002E-3</v>
      </c>
      <c r="J25" s="22">
        <v>15</v>
      </c>
      <c r="K25" s="22">
        <v>1.62384</v>
      </c>
      <c r="L25">
        <f t="shared" si="0"/>
        <v>3.0709753086419753</v>
      </c>
      <c r="M25">
        <f t="shared" si="1"/>
        <v>4.988645840123457</v>
      </c>
      <c r="N25" s="9"/>
      <c r="O25" s="22">
        <v>-2.4414100000000001E-2</v>
      </c>
      <c r="P25" s="22">
        <v>8.8351500000000005</v>
      </c>
      <c r="Q25" s="22">
        <v>-1.3583400000000001E-2</v>
      </c>
      <c r="R25" s="22">
        <v>15</v>
      </c>
      <c r="S25" s="22">
        <v>-2.4646000000000001E-2</v>
      </c>
      <c r="T25">
        <f t="shared" si="2"/>
        <v>16.76962962962963</v>
      </c>
      <c r="U25">
        <f t="shared" si="3"/>
        <v>-0.40941541474074078</v>
      </c>
      <c r="V25" s="23"/>
      <c r="W25" s="24"/>
      <c r="X25" s="9"/>
      <c r="Y25" s="22">
        <v>1.6244499999999999</v>
      </c>
      <c r="Z25" s="22">
        <v>14.111599999999999</v>
      </c>
      <c r="AA25" s="22">
        <v>-2.1688800000000002E-3</v>
      </c>
      <c r="AB25" s="22">
        <v>15</v>
      </c>
      <c r="AC25" s="22">
        <v>1.6229199999999999</v>
      </c>
      <c r="AD25">
        <f t="shared" si="4"/>
        <v>2.6776296296296298</v>
      </c>
      <c r="AE25">
        <f t="shared" si="5"/>
        <v>4.3496754518518523</v>
      </c>
      <c r="AF25" s="9"/>
      <c r="AG25" s="22">
        <v>-2.4414100000000001E-2</v>
      </c>
      <c r="AH25" s="22">
        <v>17.729399999999998</v>
      </c>
      <c r="AI25" s="22">
        <v>-1.3549800000000001E-2</v>
      </c>
      <c r="AJ25" s="22">
        <v>15</v>
      </c>
      <c r="AK25" s="22">
        <v>-2.4649000000000001E-2</v>
      </c>
      <c r="AL25">
        <f t="shared" si="6"/>
        <v>16.728148148148147</v>
      </c>
      <c r="AM25">
        <f t="shared" si="7"/>
        <v>-0.4084026817037037</v>
      </c>
      <c r="AP25" s="9"/>
      <c r="AQ25" s="22">
        <v>1.6244499999999999</v>
      </c>
      <c r="AR25" s="22">
        <v>23.046800000000001</v>
      </c>
      <c r="AS25" s="22">
        <v>-2.4038699999999998E-3</v>
      </c>
      <c r="AT25" s="22">
        <v>15</v>
      </c>
      <c r="AU25" s="22">
        <v>1.62354</v>
      </c>
      <c r="AV25">
        <f t="shared" si="8"/>
        <v>2.9677407407407403</v>
      </c>
      <c r="AW25">
        <f t="shared" si="9"/>
        <v>4.8209464462962952</v>
      </c>
      <c r="AX25" s="9"/>
      <c r="AY25" s="22">
        <v>-2.4414100000000001E-2</v>
      </c>
      <c r="AZ25" s="22">
        <v>26.6646</v>
      </c>
      <c r="BA25" s="22">
        <v>-1.33636E-2</v>
      </c>
      <c r="BB25" s="22">
        <v>15</v>
      </c>
      <c r="BC25" s="22">
        <v>-2.46216E-2</v>
      </c>
      <c r="BD25">
        <f t="shared" si="10"/>
        <v>16.498271604938271</v>
      </c>
      <c r="BE25">
        <f t="shared" si="11"/>
        <v>-0.40279045279012343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5.2274599999999998</v>
      </c>
      <c r="I26" s="22">
        <v>-2.6889000000000001E-3</v>
      </c>
      <c r="J26" s="22">
        <v>16</v>
      </c>
      <c r="K26" s="22">
        <v>1.61835</v>
      </c>
      <c r="L26">
        <f t="shared" si="0"/>
        <v>3.3196296296296293</v>
      </c>
      <c r="M26">
        <f t="shared" si="1"/>
        <v>5.3758746148148147</v>
      </c>
      <c r="N26" s="9"/>
      <c r="O26" s="22">
        <v>-1.9378699999999999E-2</v>
      </c>
      <c r="P26" s="22">
        <v>8.8452199999999994</v>
      </c>
      <c r="Q26" s="22">
        <v>-1.35803E-2</v>
      </c>
      <c r="R26" s="22">
        <v>16</v>
      </c>
      <c r="S26" s="22">
        <v>-1.95801E-2</v>
      </c>
      <c r="T26">
        <f t="shared" si="2"/>
        <v>16.765802469135803</v>
      </c>
      <c r="U26">
        <f t="shared" si="3"/>
        <v>-0.32489945630864198</v>
      </c>
      <c r="V26" s="23"/>
      <c r="W26" s="24"/>
      <c r="X26" s="9"/>
      <c r="Y26" s="22">
        <v>1.6194200000000001</v>
      </c>
      <c r="Z26" s="22">
        <v>14.121700000000001</v>
      </c>
      <c r="AA26" s="22">
        <v>-2.3696899999999998E-3</v>
      </c>
      <c r="AB26" s="22">
        <v>16</v>
      </c>
      <c r="AC26" s="22">
        <v>1.6180399999999999</v>
      </c>
      <c r="AD26">
        <f t="shared" si="4"/>
        <v>2.925543209876543</v>
      </c>
      <c r="AE26">
        <f t="shared" si="5"/>
        <v>4.7376831849382715</v>
      </c>
      <c r="AF26" s="9"/>
      <c r="AG26" s="22">
        <v>-1.9378699999999999E-2</v>
      </c>
      <c r="AH26" s="22">
        <v>17.7394</v>
      </c>
      <c r="AI26" s="22">
        <v>-1.35529E-2</v>
      </c>
      <c r="AJ26" s="22">
        <v>16</v>
      </c>
      <c r="AK26" s="22">
        <v>-1.9598399999999998E-2</v>
      </c>
      <c r="AL26">
        <f t="shared" si="6"/>
        <v>16.731975308641974</v>
      </c>
      <c r="AM26">
        <f t="shared" si="7"/>
        <v>-0.3242439299135802</v>
      </c>
      <c r="AP26" s="9"/>
      <c r="AQ26" s="22">
        <v>1.6194200000000001</v>
      </c>
      <c r="AR26" s="22">
        <v>23.056899999999999</v>
      </c>
      <c r="AS26" s="22">
        <v>-2.6147499999999999E-3</v>
      </c>
      <c r="AT26" s="22">
        <v>16</v>
      </c>
      <c r="AU26" s="22">
        <v>1.61835</v>
      </c>
      <c r="AV26">
        <f t="shared" si="8"/>
        <v>3.2280864197530863</v>
      </c>
      <c r="AW26">
        <f t="shared" si="9"/>
        <v>5.2276277098765433</v>
      </c>
      <c r="AX26" s="9"/>
      <c r="AY26" s="22">
        <v>-1.9378699999999999E-2</v>
      </c>
      <c r="AZ26" s="22">
        <v>26.674700000000001</v>
      </c>
      <c r="BA26" s="22">
        <v>-1.33667E-2</v>
      </c>
      <c r="BB26" s="22">
        <v>16</v>
      </c>
      <c r="BC26" s="22">
        <v>-1.9625900000000002E-2</v>
      </c>
      <c r="BD26">
        <f t="shared" si="10"/>
        <v>16.502098765432098</v>
      </c>
      <c r="BE26">
        <f t="shared" si="11"/>
        <v>-0.319789221345679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5.2375299999999996</v>
      </c>
      <c r="I27" s="22">
        <v>-2.8866600000000001E-3</v>
      </c>
      <c r="J27" s="22">
        <v>17</v>
      </c>
      <c r="K27" s="22">
        <v>1.6131599999999999</v>
      </c>
      <c r="L27">
        <f t="shared" si="0"/>
        <v>3.5637777777777777</v>
      </c>
      <c r="M27">
        <f t="shared" si="1"/>
        <v>5.7532915688888888</v>
      </c>
      <c r="N27" s="9"/>
      <c r="O27" s="22">
        <v>-1.43433E-2</v>
      </c>
      <c r="P27" s="22">
        <v>8.8552900000000001</v>
      </c>
      <c r="Q27" s="22">
        <v>-1.35773E-2</v>
      </c>
      <c r="R27" s="22">
        <v>17</v>
      </c>
      <c r="S27" s="22">
        <v>-1.4556899999999999E-2</v>
      </c>
      <c r="T27">
        <f t="shared" si="2"/>
        <v>16.7620987654321</v>
      </c>
      <c r="U27">
        <f t="shared" si="3"/>
        <v>-0.24042381122222223</v>
      </c>
      <c r="X27" s="9"/>
      <c r="Y27" s="22">
        <v>1.6143799999999999</v>
      </c>
      <c r="Z27" s="22">
        <v>14.1317</v>
      </c>
      <c r="AA27" s="22">
        <v>-2.5744600000000002E-3</v>
      </c>
      <c r="AB27" s="22">
        <v>17</v>
      </c>
      <c r="AC27" s="22">
        <v>1.6140699999999999</v>
      </c>
      <c r="AD27">
        <f t="shared" si="4"/>
        <v>3.1783456790123457</v>
      </c>
      <c r="AE27">
        <f t="shared" si="5"/>
        <v>5.1310576972839508</v>
      </c>
      <c r="AF27" s="9"/>
      <c r="AG27" s="22">
        <v>-1.43433E-2</v>
      </c>
      <c r="AH27" s="22">
        <v>17.749500000000001</v>
      </c>
      <c r="AI27" s="22">
        <v>-1.35529E-2</v>
      </c>
      <c r="AJ27" s="22">
        <v>17</v>
      </c>
      <c r="AK27" s="22">
        <v>-1.4511100000000001E-2</v>
      </c>
      <c r="AL27">
        <f t="shared" si="6"/>
        <v>16.731975308641974</v>
      </c>
      <c r="AM27">
        <f t="shared" si="7"/>
        <v>-0.23999174144444443</v>
      </c>
      <c r="AP27" s="9"/>
      <c r="AQ27" s="22">
        <v>1.6143799999999999</v>
      </c>
      <c r="AR27" s="22">
        <v>23.067</v>
      </c>
      <c r="AS27" s="22">
        <v>-2.8131100000000002E-3</v>
      </c>
      <c r="AT27" s="22">
        <v>17</v>
      </c>
      <c r="AU27" s="22">
        <v>1.6137699999999999</v>
      </c>
      <c r="AV27">
        <f t="shared" si="8"/>
        <v>3.4729753086419755</v>
      </c>
      <c r="AW27">
        <f t="shared" si="9"/>
        <v>5.6067018787654321</v>
      </c>
      <c r="AX27" s="9"/>
      <c r="AY27" s="22">
        <v>-1.43433E-2</v>
      </c>
      <c r="AZ27" s="22">
        <v>26.684699999999999</v>
      </c>
      <c r="BA27" s="22">
        <v>-1.33759E-2</v>
      </c>
      <c r="BB27" s="22">
        <v>17</v>
      </c>
      <c r="BC27" s="22">
        <v>-1.45325E-2</v>
      </c>
      <c r="BD27">
        <f t="shared" si="10"/>
        <v>16.513456790123456</v>
      </c>
      <c r="BE27">
        <f t="shared" si="11"/>
        <v>-0.23685746477777778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5.2476000000000003</v>
      </c>
      <c r="I28" s="22">
        <v>-3.0807500000000002E-3</v>
      </c>
      <c r="J28" s="22">
        <v>18</v>
      </c>
      <c r="K28" s="22">
        <v>1.6085799999999999</v>
      </c>
      <c r="L28">
        <f t="shared" si="0"/>
        <v>3.8033950617283954</v>
      </c>
      <c r="M28">
        <f t="shared" si="1"/>
        <v>6.120955808641976</v>
      </c>
      <c r="N28" s="9"/>
      <c r="O28" s="22">
        <v>-9.3078599999999994E-3</v>
      </c>
      <c r="P28" s="22">
        <v>8.8653700000000004</v>
      </c>
      <c r="Q28" s="22">
        <v>-1.35773E-2</v>
      </c>
      <c r="R28" s="22">
        <v>18</v>
      </c>
      <c r="S28" s="22">
        <v>-9.4970699999999998E-3</v>
      </c>
      <c r="T28">
        <f t="shared" si="2"/>
        <v>16.7620987654321</v>
      </c>
      <c r="U28">
        <f t="shared" si="3"/>
        <v>-0.15601926861481483</v>
      </c>
      <c r="X28" s="9"/>
      <c r="Y28" s="22">
        <v>1.60934</v>
      </c>
      <c r="Z28" s="22">
        <v>14.1418</v>
      </c>
      <c r="AA28" s="22">
        <v>-2.7716099999999999E-3</v>
      </c>
      <c r="AB28" s="22">
        <v>18</v>
      </c>
      <c r="AC28" s="22">
        <v>1.6082799999999999</v>
      </c>
      <c r="AD28">
        <f t="shared" si="4"/>
        <v>3.4217407407407405</v>
      </c>
      <c r="AE28">
        <f t="shared" si="5"/>
        <v>5.5067442437037037</v>
      </c>
      <c r="AF28" s="9"/>
      <c r="AG28" s="22">
        <v>-9.3078599999999994E-3</v>
      </c>
      <c r="AH28" s="22">
        <v>17.759599999999999</v>
      </c>
      <c r="AI28" s="22">
        <v>-1.35376E-2</v>
      </c>
      <c r="AJ28" s="22">
        <v>18</v>
      </c>
      <c r="AK28" s="22">
        <v>-9.4848599999999995E-3</v>
      </c>
      <c r="AL28">
        <f t="shared" si="6"/>
        <v>16.713086419753086</v>
      </c>
      <c r="AM28">
        <f t="shared" si="7"/>
        <v>-0.15556306856296295</v>
      </c>
      <c r="AP28" s="9"/>
      <c r="AQ28" s="22">
        <v>1.60934</v>
      </c>
      <c r="AR28" s="22">
        <v>23.077000000000002</v>
      </c>
      <c r="AS28" s="22">
        <v>-3.0178800000000001E-3</v>
      </c>
      <c r="AT28" s="22">
        <v>18</v>
      </c>
      <c r="AU28" s="22">
        <v>1.6085799999999999</v>
      </c>
      <c r="AV28">
        <f t="shared" si="8"/>
        <v>3.7257777777777776</v>
      </c>
      <c r="AW28">
        <f t="shared" si="9"/>
        <v>5.9960432088888886</v>
      </c>
      <c r="AX28" s="9"/>
      <c r="AY28" s="22">
        <v>-9.3078599999999994E-3</v>
      </c>
      <c r="AZ28" s="22">
        <v>26.694800000000001</v>
      </c>
      <c r="BA28" s="22">
        <v>-1.3382E-2</v>
      </c>
      <c r="BB28" s="22">
        <v>18</v>
      </c>
      <c r="BC28" s="22">
        <v>-9.50317E-3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5.2576700000000001</v>
      </c>
      <c r="I29" s="22">
        <v>-3.2742299999999999E-3</v>
      </c>
      <c r="J29" s="22">
        <v>19</v>
      </c>
      <c r="K29" s="22">
        <v>1.6036999999999999</v>
      </c>
      <c r="L29">
        <f t="shared" si="0"/>
        <v>4.042259259259259</v>
      </c>
      <c r="M29">
        <f t="shared" si="1"/>
        <v>6.4850369522222211</v>
      </c>
      <c r="N29" s="9"/>
      <c r="O29" s="22">
        <v>-4.2724599999999996E-3</v>
      </c>
      <c r="P29" s="22">
        <v>8.8754399999999993</v>
      </c>
      <c r="Q29" s="22">
        <v>-1.35681E-2</v>
      </c>
      <c r="R29" s="22">
        <v>19</v>
      </c>
      <c r="S29" s="22">
        <v>-4.4464099999999996E-3</v>
      </c>
      <c r="T29">
        <f t="shared" si="2"/>
        <v>16.750740740740738</v>
      </c>
      <c r="U29">
        <f t="shared" si="3"/>
        <v>-7.1566869785185172E-2</v>
      </c>
      <c r="X29" s="9"/>
      <c r="Y29" s="22">
        <v>1.6043099999999999</v>
      </c>
      <c r="Z29" s="22">
        <v>14.151899999999999</v>
      </c>
      <c r="AA29" s="22">
        <v>-2.9699700000000002E-3</v>
      </c>
      <c r="AB29" s="22">
        <v>19</v>
      </c>
      <c r="AC29" s="22">
        <v>1.6030899999999999</v>
      </c>
      <c r="AD29">
        <f t="shared" si="4"/>
        <v>3.6666296296296297</v>
      </c>
      <c r="AE29">
        <f t="shared" si="5"/>
        <v>5.8824105811111105</v>
      </c>
      <c r="AF29" s="9"/>
      <c r="AG29" s="22">
        <v>-4.2724599999999996E-3</v>
      </c>
      <c r="AH29" s="22">
        <v>17.7697</v>
      </c>
      <c r="AI29" s="22">
        <v>-1.35406E-2</v>
      </c>
      <c r="AJ29" s="22">
        <v>19</v>
      </c>
      <c r="AK29" s="22">
        <v>-4.4280999999999999E-3</v>
      </c>
      <c r="AL29">
        <f t="shared" si="6"/>
        <v>16.716790123456789</v>
      </c>
      <c r="AM29">
        <f t="shared" si="7"/>
        <v>-7.1421817130864193E-2</v>
      </c>
      <c r="AP29" s="9"/>
      <c r="AQ29" s="22">
        <v>1.6043099999999999</v>
      </c>
      <c r="AR29" s="22">
        <v>23.0871</v>
      </c>
      <c r="AS29" s="22">
        <v>-3.2101400000000002E-3</v>
      </c>
      <c r="AT29" s="22">
        <v>19</v>
      </c>
      <c r="AU29" s="22">
        <v>1.6036999999999999</v>
      </c>
      <c r="AV29">
        <f t="shared" si="8"/>
        <v>3.9631358024691359</v>
      </c>
      <c r="AW29">
        <f t="shared" si="9"/>
        <v>6.3580983992592586</v>
      </c>
      <c r="AX29" s="9"/>
      <c r="AY29" s="22">
        <v>-4.2724599999999996E-3</v>
      </c>
      <c r="AZ29" s="22">
        <v>26.704899999999999</v>
      </c>
      <c r="BA29" s="22">
        <v>-1.3369799999999999E-2</v>
      </c>
      <c r="BB29" s="22">
        <v>19</v>
      </c>
      <c r="BC29" s="22">
        <v>-4.4342000000000001E-3</v>
      </c>
      <c r="BD29">
        <f t="shared" si="10"/>
        <v>16.505925925925922</v>
      </c>
      <c r="BE29">
        <f t="shared" si="11"/>
        <v>-7.0520908281481456E-2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5.2677399999999999</v>
      </c>
      <c r="I30" s="22">
        <v>-3.4613000000000001E-3</v>
      </c>
      <c r="J30" s="22">
        <v>20</v>
      </c>
      <c r="K30" s="22">
        <v>1.5985100000000001</v>
      </c>
      <c r="L30">
        <f t="shared" si="0"/>
        <v>4.2732098765432092</v>
      </c>
      <c r="M30">
        <f t="shared" si="1"/>
        <v>6.834016359259258</v>
      </c>
      <c r="N30" s="9"/>
      <c r="O30" s="22">
        <v>7.6293900000000002E-4</v>
      </c>
      <c r="P30" s="22">
        <v>8.88551</v>
      </c>
      <c r="Q30" s="22">
        <v>-1.3561999999999999E-2</v>
      </c>
      <c r="R30" s="22">
        <v>20</v>
      </c>
      <c r="S30" s="22">
        <v>6.1645500000000002E-4</v>
      </c>
      <c r="T30">
        <f t="shared" si="2"/>
        <v>16.743209876543208</v>
      </c>
      <c r="U30">
        <f t="shared" si="3"/>
        <v>1.2774047799999999E-2</v>
      </c>
      <c r="X30" s="9"/>
      <c r="Y30" s="22">
        <v>1.59927</v>
      </c>
      <c r="Z30" s="22">
        <v>14.161899999999999</v>
      </c>
      <c r="AA30" s="22">
        <v>-3.1619299999999999E-3</v>
      </c>
      <c r="AB30" s="22">
        <v>20</v>
      </c>
      <c r="AC30" s="22">
        <v>1.5982099999999999</v>
      </c>
      <c r="AD30">
        <f t="shared" si="4"/>
        <v>3.9036172839506169</v>
      </c>
      <c r="AE30">
        <f t="shared" si="5"/>
        <v>6.2429380137037027</v>
      </c>
      <c r="AF30" s="9"/>
      <c r="AG30" s="22">
        <v>7.6293900000000002E-4</v>
      </c>
      <c r="AH30" s="22">
        <v>17.779699999999998</v>
      </c>
      <c r="AI30" s="22">
        <v>-1.3546799999999999E-2</v>
      </c>
      <c r="AJ30" s="22">
        <v>20</v>
      </c>
      <c r="AK30" s="22">
        <v>6.4086899999999997E-4</v>
      </c>
      <c r="AL30">
        <f t="shared" si="6"/>
        <v>16.72444444444444</v>
      </c>
      <c r="AM30">
        <f t="shared" si="7"/>
        <v>1.2759730919999997E-2</v>
      </c>
      <c r="AP30" s="9"/>
      <c r="AQ30" s="22">
        <v>1.59927</v>
      </c>
      <c r="AR30" s="22">
        <v>23.097200000000001</v>
      </c>
      <c r="AS30" s="22">
        <v>-3.40851E-3</v>
      </c>
      <c r="AT30" s="22">
        <v>20</v>
      </c>
      <c r="AU30" s="22">
        <v>1.5982099999999999</v>
      </c>
      <c r="AV30">
        <f t="shared" si="8"/>
        <v>4.2080370370370375</v>
      </c>
      <c r="AW30">
        <f t="shared" si="9"/>
        <v>6.7297873922222227</v>
      </c>
      <c r="AX30" s="9"/>
      <c r="AY30" s="22">
        <v>7.6293900000000002E-4</v>
      </c>
      <c r="AZ30" s="22">
        <v>26.7149</v>
      </c>
      <c r="BA30" s="22">
        <v>-1.3351399999999999E-2</v>
      </c>
      <c r="BB30" s="22">
        <v>20</v>
      </c>
      <c r="BC30" s="22">
        <v>6.3171400000000002E-4</v>
      </c>
      <c r="BD30">
        <f t="shared" si="10"/>
        <v>16.483209876543206</v>
      </c>
      <c r="BE30">
        <f t="shared" si="11"/>
        <v>1.2575683659999998E-2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5.2778099999999997</v>
      </c>
      <c r="I31" s="22">
        <v>-3.6447099999999998E-3</v>
      </c>
      <c r="J31" s="22">
        <v>21</v>
      </c>
      <c r="K31" s="22">
        <v>1.5930200000000001</v>
      </c>
      <c r="L31">
        <f t="shared" si="0"/>
        <v>4.4996419753086414</v>
      </c>
      <c r="M31">
        <f t="shared" si="1"/>
        <v>7.1735092227160493</v>
      </c>
      <c r="N31" s="9"/>
      <c r="O31" s="22">
        <v>5.7983399999999999E-3</v>
      </c>
      <c r="P31" s="22">
        <v>8.8955800000000007</v>
      </c>
      <c r="Q31" s="22">
        <v>-1.3561999999999999E-2</v>
      </c>
      <c r="R31" s="22">
        <v>21</v>
      </c>
      <c r="S31" s="22">
        <v>5.62744E-3</v>
      </c>
      <c r="T31">
        <f t="shared" si="2"/>
        <v>16.743209876543208</v>
      </c>
      <c r="U31">
        <f t="shared" si="3"/>
        <v>9.7082823555555545E-2</v>
      </c>
      <c r="X31" s="9"/>
      <c r="Y31" s="22">
        <v>1.5942400000000001</v>
      </c>
      <c r="Z31" s="22">
        <v>14.172000000000001</v>
      </c>
      <c r="AA31" s="22">
        <v>-3.3572400000000001E-3</v>
      </c>
      <c r="AB31" s="22">
        <v>21</v>
      </c>
      <c r="AC31" s="22">
        <v>1.5936300000000001</v>
      </c>
      <c r="AD31">
        <f t="shared" si="4"/>
        <v>4.1447407407407404</v>
      </c>
      <c r="AE31">
        <f t="shared" si="5"/>
        <v>6.6077114785185183</v>
      </c>
      <c r="AF31" s="9"/>
      <c r="AG31" s="22">
        <v>5.7983399999999999E-3</v>
      </c>
      <c r="AH31" s="22">
        <v>17.7898</v>
      </c>
      <c r="AI31" s="22">
        <v>-1.3549800000000001E-2</v>
      </c>
      <c r="AJ31" s="22">
        <v>21</v>
      </c>
      <c r="AK31" s="22">
        <v>5.6854200000000001E-3</v>
      </c>
      <c r="AL31">
        <f t="shared" si="6"/>
        <v>16.728148148148147</v>
      </c>
      <c r="AM31">
        <f t="shared" si="7"/>
        <v>9.6995490533333326E-2</v>
      </c>
      <c r="AP31" s="9"/>
      <c r="AQ31" s="22">
        <v>1.5942400000000001</v>
      </c>
      <c r="AR31" s="22">
        <v>23.107199999999999</v>
      </c>
      <c r="AS31" s="22">
        <v>-3.59283E-3</v>
      </c>
      <c r="AT31" s="22">
        <v>21</v>
      </c>
      <c r="AU31" s="22">
        <v>1.5930200000000001</v>
      </c>
      <c r="AV31">
        <f t="shared" si="8"/>
        <v>4.4355925925925925</v>
      </c>
      <c r="AW31">
        <f t="shared" si="9"/>
        <v>7.0713991348148149</v>
      </c>
      <c r="AX31" s="9"/>
      <c r="AY31" s="22">
        <v>5.7983399999999999E-3</v>
      </c>
      <c r="AZ31" s="22">
        <v>26.725000000000001</v>
      </c>
      <c r="BA31" s="22">
        <v>-1.3336199999999999E-2</v>
      </c>
      <c r="BB31" s="22">
        <v>21</v>
      </c>
      <c r="BC31" s="22">
        <v>5.6457499999999997E-3</v>
      </c>
      <c r="BD31">
        <f t="shared" si="10"/>
        <v>16.464444444444442</v>
      </c>
      <c r="BE31">
        <f t="shared" si="11"/>
        <v>9.5466446799999993E-2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5.2878800000000004</v>
      </c>
      <c r="I32" s="22">
        <v>-3.82629E-3</v>
      </c>
      <c r="J32" s="22">
        <v>22</v>
      </c>
      <c r="K32" s="22">
        <v>1.5884400000000001</v>
      </c>
      <c r="L32">
        <f t="shared" si="0"/>
        <v>4.7238148148148147</v>
      </c>
      <c r="M32">
        <f t="shared" si="1"/>
        <v>7.5070865037037029</v>
      </c>
      <c r="N32" s="9"/>
      <c r="O32" s="22">
        <v>1.08337E-2</v>
      </c>
      <c r="P32" s="22">
        <v>8.9056499999999996</v>
      </c>
      <c r="Q32" s="22">
        <v>-1.3561999999999999E-2</v>
      </c>
      <c r="R32" s="22">
        <v>22</v>
      </c>
      <c r="S32" s="22">
        <v>1.0699500000000001E-2</v>
      </c>
      <c r="T32">
        <f t="shared" si="2"/>
        <v>16.743209876543208</v>
      </c>
      <c r="U32">
        <f t="shared" si="3"/>
        <v>0.18139091283950615</v>
      </c>
      <c r="X32" s="9"/>
      <c r="Y32" s="22">
        <v>1.5891999999999999</v>
      </c>
      <c r="Z32" s="22">
        <v>14.1821</v>
      </c>
      <c r="AA32" s="22">
        <v>-3.53973E-3</v>
      </c>
      <c r="AB32" s="22">
        <v>22</v>
      </c>
      <c r="AC32" s="22">
        <v>1.58813</v>
      </c>
      <c r="AD32">
        <f t="shared" si="4"/>
        <v>4.3700370370370365</v>
      </c>
      <c r="AE32">
        <f t="shared" si="5"/>
        <v>6.9448628592592581</v>
      </c>
      <c r="AF32" s="9"/>
      <c r="AG32" s="22">
        <v>1.08337E-2</v>
      </c>
      <c r="AH32" s="22">
        <v>17.799900000000001</v>
      </c>
      <c r="AI32" s="22">
        <v>-1.3549800000000001E-2</v>
      </c>
      <c r="AJ32" s="22">
        <v>22</v>
      </c>
      <c r="AK32" s="22">
        <v>1.0726899999999999E-2</v>
      </c>
      <c r="AL32">
        <f t="shared" si="6"/>
        <v>16.728148148148147</v>
      </c>
      <c r="AM32">
        <f t="shared" si="7"/>
        <v>0.18122773859259259</v>
      </c>
      <c r="AP32" s="9"/>
      <c r="AQ32" s="22">
        <v>1.5891999999999999</v>
      </c>
      <c r="AR32" s="22">
        <v>23.1173</v>
      </c>
      <c r="AS32" s="22">
        <v>-3.7844799999999998E-3</v>
      </c>
      <c r="AT32" s="22">
        <v>22</v>
      </c>
      <c r="AU32" s="22">
        <v>1.58813</v>
      </c>
      <c r="AV32">
        <f t="shared" si="8"/>
        <v>4.6721975308641968</v>
      </c>
      <c r="AW32">
        <f t="shared" si="9"/>
        <v>7.425056316049381</v>
      </c>
      <c r="AX32" s="9"/>
      <c r="AY32" s="22">
        <v>1.08337E-2</v>
      </c>
      <c r="AZ32" s="22">
        <v>26.735099999999999</v>
      </c>
      <c r="BA32" s="22">
        <v>-1.3333100000000001E-2</v>
      </c>
      <c r="BB32" s="22">
        <v>22</v>
      </c>
      <c r="BC32" s="22">
        <v>1.06842E-2</v>
      </c>
      <c r="BD32">
        <f t="shared" si="10"/>
        <v>16.460617283950615</v>
      </c>
      <c r="BE32">
        <f t="shared" si="11"/>
        <v>0.17832938946913579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5.2979500000000002</v>
      </c>
      <c r="I33" s="22">
        <v>-4.0081800000000001E-3</v>
      </c>
      <c r="J33" s="22">
        <v>23</v>
      </c>
      <c r="K33" s="22">
        <v>1.5835600000000001</v>
      </c>
      <c r="L33">
        <f t="shared" si="0"/>
        <v>4.9483703703703705</v>
      </c>
      <c r="M33">
        <f t="shared" si="1"/>
        <v>7.8390598896296302</v>
      </c>
      <c r="N33" s="9"/>
      <c r="O33" s="22">
        <v>1.5869100000000001E-2</v>
      </c>
      <c r="P33" s="22">
        <v>8.9157200000000003</v>
      </c>
      <c r="Q33" s="22">
        <v>-1.3561999999999999E-2</v>
      </c>
      <c r="R33" s="22">
        <v>23</v>
      </c>
      <c r="S33" s="22">
        <v>1.5768399999999998E-2</v>
      </c>
      <c r="T33">
        <f t="shared" si="2"/>
        <v>16.743209876543208</v>
      </c>
      <c r="U33">
        <f t="shared" si="3"/>
        <v>0.26569967185185184</v>
      </c>
      <c r="X33" s="9"/>
      <c r="Y33" s="22">
        <v>1.5841700000000001</v>
      </c>
      <c r="Z33" s="22">
        <v>14.1922</v>
      </c>
      <c r="AA33" s="22">
        <v>-3.7286400000000001E-3</v>
      </c>
      <c r="AB33" s="22">
        <v>23</v>
      </c>
      <c r="AC33" s="22">
        <v>1.5835600000000001</v>
      </c>
      <c r="AD33">
        <f t="shared" si="4"/>
        <v>4.6032592592592589</v>
      </c>
      <c r="AE33">
        <f t="shared" si="5"/>
        <v>7.2923452207407404</v>
      </c>
      <c r="AF33" s="9"/>
      <c r="AG33" s="22">
        <v>1.5869100000000001E-2</v>
      </c>
      <c r="AH33" s="22">
        <v>17.809899999999999</v>
      </c>
      <c r="AI33" s="22">
        <v>-1.35376E-2</v>
      </c>
      <c r="AJ33" s="22">
        <v>23</v>
      </c>
      <c r="AK33" s="22">
        <v>1.5756200000000001E-2</v>
      </c>
      <c r="AL33">
        <f t="shared" si="6"/>
        <v>16.713086419753086</v>
      </c>
      <c r="AM33">
        <f t="shared" si="7"/>
        <v>0.26522163970370372</v>
      </c>
      <c r="AP33" s="9"/>
      <c r="AQ33" s="22">
        <v>1.5841700000000001</v>
      </c>
      <c r="AR33" s="22">
        <v>23.127400000000002</v>
      </c>
      <c r="AS33" s="22">
        <v>-3.9663700000000003E-3</v>
      </c>
      <c r="AT33" s="22">
        <v>23</v>
      </c>
      <c r="AU33" s="22">
        <v>1.5835600000000001</v>
      </c>
      <c r="AV33">
        <f t="shared" si="8"/>
        <v>4.8967530864197535</v>
      </c>
      <c r="AW33">
        <f t="shared" si="9"/>
        <v>7.7572893369135816</v>
      </c>
      <c r="AX33" s="9"/>
      <c r="AY33" s="22">
        <v>1.5869100000000001E-2</v>
      </c>
      <c r="AZ33" s="22">
        <v>26.745200000000001</v>
      </c>
      <c r="BA33" s="22">
        <v>-1.3333100000000001E-2</v>
      </c>
      <c r="BB33" s="22">
        <v>23</v>
      </c>
      <c r="BC33" s="22">
        <v>1.57501E-2</v>
      </c>
      <c r="BD33">
        <f t="shared" si="10"/>
        <v>16.460617283950615</v>
      </c>
      <c r="BE33">
        <f t="shared" si="11"/>
        <v>0.26121518174074071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5.30802</v>
      </c>
      <c r="I34" s="22">
        <v>-4.18579E-3</v>
      </c>
      <c r="J34" s="22">
        <v>24</v>
      </c>
      <c r="K34" s="22">
        <v>1.5783700000000001</v>
      </c>
      <c r="L34">
        <f t="shared" si="0"/>
        <v>5.1676419753086416</v>
      </c>
      <c r="M34">
        <f t="shared" si="1"/>
        <v>8.1603784724691355</v>
      </c>
      <c r="N34" s="9"/>
      <c r="O34" s="22">
        <v>2.0904499999999999E-2</v>
      </c>
      <c r="P34" s="22">
        <v>8.9257899999999992</v>
      </c>
      <c r="Q34" s="22">
        <v>-1.3555899999999999E-2</v>
      </c>
      <c r="R34" s="22">
        <v>24</v>
      </c>
      <c r="S34" s="22">
        <v>2.0800800000000001E-2</v>
      </c>
      <c r="T34">
        <f t="shared" si="2"/>
        <v>16.735679012345678</v>
      </c>
      <c r="U34">
        <f t="shared" si="3"/>
        <v>0.34985100191358021</v>
      </c>
      <c r="X34" s="9"/>
      <c r="Y34" s="22">
        <v>1.5791299999999999</v>
      </c>
      <c r="Z34" s="22">
        <v>14.202199999999999</v>
      </c>
      <c r="AA34" s="22">
        <v>-3.9071699999999997E-3</v>
      </c>
      <c r="AB34" s="22">
        <v>24</v>
      </c>
      <c r="AC34" s="22">
        <v>1.5777600000000001</v>
      </c>
      <c r="AD34">
        <f t="shared" si="4"/>
        <v>4.8236666666666661</v>
      </c>
      <c r="AE34">
        <f t="shared" si="5"/>
        <v>7.6171967433333316</v>
      </c>
      <c r="AF34" s="9"/>
      <c r="AG34" s="22">
        <v>2.0904499999999999E-2</v>
      </c>
      <c r="AH34" s="22">
        <v>17.82</v>
      </c>
      <c r="AI34" s="22">
        <v>-1.35315E-2</v>
      </c>
      <c r="AJ34" s="22">
        <v>24</v>
      </c>
      <c r="AK34" s="22">
        <v>2.0803800000000001E-2</v>
      </c>
      <c r="AL34">
        <f t="shared" si="6"/>
        <v>16.705555555555552</v>
      </c>
      <c r="AM34">
        <f t="shared" si="7"/>
        <v>0.34922128611111103</v>
      </c>
      <c r="AP34" s="9"/>
      <c r="AQ34" s="22">
        <v>1.5791299999999999</v>
      </c>
      <c r="AR34" s="22">
        <v>23.137499999999999</v>
      </c>
      <c r="AS34" s="22">
        <v>-4.1494799999999997E-3</v>
      </c>
      <c r="AT34" s="22">
        <v>24</v>
      </c>
      <c r="AU34" s="22">
        <v>1.5777600000000001</v>
      </c>
      <c r="AV34">
        <f t="shared" si="8"/>
        <v>5.1228148148148147</v>
      </c>
      <c r="AW34">
        <f t="shared" si="9"/>
        <v>8.0895905585185179</v>
      </c>
      <c r="AX34" s="9"/>
      <c r="AY34" s="22">
        <v>2.0904499999999999E-2</v>
      </c>
      <c r="AZ34" s="22">
        <v>26.755199999999999</v>
      </c>
      <c r="BA34" s="22">
        <v>-1.3336199999999999E-2</v>
      </c>
      <c r="BB34" s="22">
        <v>24</v>
      </c>
      <c r="BC34" s="22">
        <v>2.08069E-2</v>
      </c>
      <c r="BD34">
        <f t="shared" si="10"/>
        <v>16.464444444444442</v>
      </c>
      <c r="BE34">
        <f t="shared" si="11"/>
        <v>0.34418097888888882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5.3180899999999998</v>
      </c>
      <c r="I35" s="22">
        <v>-4.3627900000000001E-3</v>
      </c>
      <c r="J35" s="22">
        <v>25</v>
      </c>
      <c r="K35" s="22">
        <v>1.5728800000000001</v>
      </c>
      <c r="L35">
        <f t="shared" si="0"/>
        <v>5.3861604938271599</v>
      </c>
      <c r="M35">
        <f t="shared" si="1"/>
        <v>8.4783552333333319</v>
      </c>
      <c r="N35" s="9"/>
      <c r="O35" s="22">
        <v>2.5939899999999998E-2</v>
      </c>
      <c r="P35" s="22">
        <v>8.9358599999999999</v>
      </c>
      <c r="Q35" s="22">
        <v>-1.3546799999999999E-2</v>
      </c>
      <c r="R35" s="22">
        <v>25</v>
      </c>
      <c r="S35" s="22">
        <v>2.5842299999999999E-2</v>
      </c>
      <c r="T35">
        <f t="shared" si="2"/>
        <v>16.72444444444444</v>
      </c>
      <c r="U35">
        <f t="shared" si="3"/>
        <v>0.43383041644444431</v>
      </c>
      <c r="X35" s="9"/>
      <c r="Y35" s="22">
        <v>1.5741000000000001</v>
      </c>
      <c r="Z35" s="22">
        <v>14.212300000000001</v>
      </c>
      <c r="AA35" s="22">
        <v>-4.0896600000000002E-3</v>
      </c>
      <c r="AB35" s="22">
        <v>25</v>
      </c>
      <c r="AC35" s="22">
        <v>1.57318</v>
      </c>
      <c r="AD35">
        <f t="shared" si="4"/>
        <v>5.0489629629629622</v>
      </c>
      <c r="AE35">
        <f t="shared" si="5"/>
        <v>7.9475725999999991</v>
      </c>
      <c r="AF35" s="9"/>
      <c r="AG35" s="22">
        <v>2.5939899999999998E-2</v>
      </c>
      <c r="AH35" s="22">
        <v>17.830100000000002</v>
      </c>
      <c r="AI35" s="22">
        <v>-1.35345E-2</v>
      </c>
      <c r="AJ35" s="22">
        <v>25</v>
      </c>
      <c r="AK35" s="22">
        <v>2.58789E-2</v>
      </c>
      <c r="AL35">
        <f t="shared" si="6"/>
        <v>16.709259259259255</v>
      </c>
      <c r="AM35">
        <f t="shared" si="7"/>
        <v>0.43343651425925911</v>
      </c>
      <c r="AP35" s="9"/>
      <c r="AQ35" s="22">
        <v>1.5741000000000001</v>
      </c>
      <c r="AR35" s="22">
        <v>23.147500000000001</v>
      </c>
      <c r="AS35" s="22">
        <v>-4.3228099999999998E-3</v>
      </c>
      <c r="AT35" s="22">
        <v>25</v>
      </c>
      <c r="AU35" s="22">
        <v>1.5734900000000001</v>
      </c>
      <c r="AV35">
        <f t="shared" si="8"/>
        <v>5.3368024691358018</v>
      </c>
      <c r="AW35">
        <f t="shared" si="9"/>
        <v>8.4006607666666664</v>
      </c>
      <c r="AX35" s="9"/>
      <c r="AY35" s="22">
        <v>2.5939899999999998E-2</v>
      </c>
      <c r="AZ35" s="22">
        <v>26.7653</v>
      </c>
      <c r="BA35" s="22">
        <v>-1.33423E-2</v>
      </c>
      <c r="BB35" s="22">
        <v>25</v>
      </c>
      <c r="BC35" s="22">
        <v>2.58514E-2</v>
      </c>
      <c r="BD35">
        <f t="shared" si="10"/>
        <v>16.471975308641973</v>
      </c>
      <c r="BE35">
        <f t="shared" si="11"/>
        <v>0.42728139230864187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5.3281700000000001</v>
      </c>
      <c r="I36" s="22">
        <v>-4.5391800000000003E-3</v>
      </c>
      <c r="J36" s="22">
        <v>26</v>
      </c>
      <c r="K36" s="22">
        <v>1.5686</v>
      </c>
      <c r="L36">
        <f t="shared" si="0"/>
        <v>5.6039259259259264</v>
      </c>
      <c r="M36">
        <f t="shared" si="1"/>
        <v>8.7928960133333334</v>
      </c>
      <c r="N36" s="9"/>
      <c r="O36" s="22">
        <v>3.0975300000000001E-2</v>
      </c>
      <c r="P36" s="22">
        <v>8.9459300000000006</v>
      </c>
      <c r="Q36" s="22">
        <v>-1.35406E-2</v>
      </c>
      <c r="R36" s="22">
        <v>26</v>
      </c>
      <c r="S36" s="22">
        <v>3.09235E-2</v>
      </c>
      <c r="T36">
        <f t="shared" si="2"/>
        <v>16.716790123456789</v>
      </c>
      <c r="U36">
        <f t="shared" si="3"/>
        <v>0.51780758911111113</v>
      </c>
      <c r="X36" s="9"/>
      <c r="Y36" s="22">
        <v>1.5690599999999999</v>
      </c>
      <c r="Z36" s="22">
        <v>14.2224</v>
      </c>
      <c r="AA36" s="22">
        <v>-4.2611699999999999E-3</v>
      </c>
      <c r="AB36" s="22">
        <v>26</v>
      </c>
      <c r="AC36" s="22">
        <v>1.56799</v>
      </c>
      <c r="AD36">
        <f t="shared" si="4"/>
        <v>5.2607037037037028</v>
      </c>
      <c r="AE36">
        <f t="shared" si="5"/>
        <v>8.2543597533333308</v>
      </c>
      <c r="AF36" s="9"/>
      <c r="AG36" s="22">
        <v>3.0975300000000001E-2</v>
      </c>
      <c r="AH36" s="22">
        <v>17.8401</v>
      </c>
      <c r="AI36" s="22">
        <v>-1.35376E-2</v>
      </c>
      <c r="AJ36" s="22">
        <v>26</v>
      </c>
      <c r="AK36" s="22">
        <v>3.0917400000000001E-2</v>
      </c>
      <c r="AL36">
        <f t="shared" si="6"/>
        <v>16.713086419753086</v>
      </c>
      <c r="AM36">
        <f t="shared" si="7"/>
        <v>0.51769286577777773</v>
      </c>
      <c r="AP36" s="9"/>
      <c r="AQ36" s="22">
        <v>1.5690599999999999</v>
      </c>
      <c r="AR36" s="22">
        <v>23.157599999999999</v>
      </c>
      <c r="AS36" s="22">
        <v>-4.5050000000000003E-3</v>
      </c>
      <c r="AT36" s="22">
        <v>26</v>
      </c>
      <c r="AU36" s="22">
        <v>1.56799</v>
      </c>
      <c r="AV36">
        <f t="shared" si="8"/>
        <v>5.5617283950617287</v>
      </c>
      <c r="AW36">
        <f t="shared" si="9"/>
        <v>8.7266855555555551</v>
      </c>
      <c r="AX36" s="9"/>
      <c r="AY36" s="22">
        <v>3.0975300000000001E-2</v>
      </c>
      <c r="AZ36" s="22">
        <v>26.775400000000001</v>
      </c>
      <c r="BA36" s="22">
        <v>-1.33423E-2</v>
      </c>
      <c r="BB36" s="22">
        <v>26</v>
      </c>
      <c r="BC36" s="22">
        <v>3.0911299999999999E-2</v>
      </c>
      <c r="BD36">
        <f t="shared" si="10"/>
        <v>16.471975308641973</v>
      </c>
      <c r="BE36">
        <f t="shared" si="11"/>
        <v>0.51022437677777777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5.3382399999999999</v>
      </c>
      <c r="I37" s="22">
        <v>-4.7122199999999996E-3</v>
      </c>
      <c r="J37" s="22">
        <v>27</v>
      </c>
      <c r="K37" s="22">
        <v>1.56403</v>
      </c>
      <c r="L37">
        <f t="shared" si="0"/>
        <v>5.8175555555555549</v>
      </c>
      <c r="M37">
        <f t="shared" si="1"/>
        <v>9.098831415555555</v>
      </c>
      <c r="N37" s="9"/>
      <c r="O37" s="22">
        <v>3.60107E-2</v>
      </c>
      <c r="P37" s="22">
        <v>8.9559999999999995</v>
      </c>
      <c r="Q37" s="22">
        <v>-1.3543700000000001E-2</v>
      </c>
      <c r="R37" s="22">
        <v>27</v>
      </c>
      <c r="S37" s="22">
        <v>3.5916099999999999E-2</v>
      </c>
      <c r="T37">
        <f t="shared" si="2"/>
        <v>16.720617283950617</v>
      </c>
      <c r="U37">
        <f t="shared" si="3"/>
        <v>0.60212113282716051</v>
      </c>
      <c r="X37" s="9"/>
      <c r="Y37" s="22">
        <v>1.56403</v>
      </c>
      <c r="Z37" s="22">
        <v>14.2324</v>
      </c>
      <c r="AA37" s="22">
        <v>-4.4375600000000001E-3</v>
      </c>
      <c r="AB37" s="22">
        <v>27</v>
      </c>
      <c r="AC37" s="22">
        <v>1.56311</v>
      </c>
      <c r="AD37">
        <f t="shared" si="4"/>
        <v>5.4784691358024684</v>
      </c>
      <c r="AE37">
        <f t="shared" si="5"/>
        <v>8.5684900824691344</v>
      </c>
      <c r="AF37" s="9"/>
      <c r="AG37" s="22">
        <v>3.60107E-2</v>
      </c>
      <c r="AH37" s="22">
        <v>17.850200000000001</v>
      </c>
      <c r="AI37" s="22">
        <v>-1.35376E-2</v>
      </c>
      <c r="AJ37" s="22">
        <v>27</v>
      </c>
      <c r="AK37" s="22">
        <v>3.5937499999999997E-2</v>
      </c>
      <c r="AL37">
        <f t="shared" si="6"/>
        <v>16.713086419753086</v>
      </c>
      <c r="AM37">
        <f t="shared" si="7"/>
        <v>0.60184994113580248</v>
      </c>
      <c r="AP37" s="9"/>
      <c r="AQ37" s="22">
        <v>1.56403</v>
      </c>
      <c r="AR37" s="22">
        <v>23.1677</v>
      </c>
      <c r="AS37" s="22">
        <v>-4.6728500000000001E-3</v>
      </c>
      <c r="AT37" s="22">
        <v>27</v>
      </c>
      <c r="AU37" s="22">
        <v>1.56311</v>
      </c>
      <c r="AV37">
        <f t="shared" si="8"/>
        <v>5.7689506172839504</v>
      </c>
      <c r="AW37">
        <f t="shared" si="9"/>
        <v>9.0228118339506178</v>
      </c>
      <c r="AX37" s="9"/>
      <c r="AY37" s="22">
        <v>3.60107E-2</v>
      </c>
      <c r="AZ37" s="22">
        <v>26.785399999999999</v>
      </c>
      <c r="BA37" s="22">
        <v>-1.33423E-2</v>
      </c>
      <c r="BB37" s="22">
        <v>27</v>
      </c>
      <c r="BC37" s="22">
        <v>3.5949700000000001E-2</v>
      </c>
      <c r="BD37">
        <f t="shared" si="10"/>
        <v>16.471975308641973</v>
      </c>
      <c r="BE37">
        <f t="shared" si="11"/>
        <v>0.59316736124691349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5.3483099999999997</v>
      </c>
      <c r="I38" s="22">
        <v>-4.8788499999999997E-3</v>
      </c>
      <c r="J38" s="22">
        <v>28</v>
      </c>
      <c r="K38" s="22">
        <v>1.55823</v>
      </c>
      <c r="L38">
        <f t="shared" si="0"/>
        <v>6.0232716049382704</v>
      </c>
      <c r="M38">
        <f t="shared" si="1"/>
        <v>9.3902201993827141</v>
      </c>
      <c r="N38" s="9"/>
      <c r="O38" s="22">
        <v>4.1046100000000002E-2</v>
      </c>
      <c r="P38" s="22">
        <v>8.9660799999999998</v>
      </c>
      <c r="Q38" s="22">
        <v>-1.35345E-2</v>
      </c>
      <c r="R38" s="22">
        <v>28</v>
      </c>
      <c r="S38" s="22">
        <v>4.1006500000000001E-2</v>
      </c>
      <c r="T38">
        <f t="shared" si="2"/>
        <v>16.709259259259255</v>
      </c>
      <c r="U38">
        <f t="shared" si="3"/>
        <v>0.68584992648148135</v>
      </c>
      <c r="X38" s="9"/>
      <c r="Y38" s="22">
        <v>1.5589900000000001</v>
      </c>
      <c r="Z38" s="22">
        <v>14.2425</v>
      </c>
      <c r="AA38" s="22">
        <v>-4.6035800000000003E-3</v>
      </c>
      <c r="AB38" s="22">
        <v>28</v>
      </c>
      <c r="AC38" s="22">
        <v>1.55853</v>
      </c>
      <c r="AD38">
        <f t="shared" si="4"/>
        <v>5.6834320987654321</v>
      </c>
      <c r="AE38">
        <f t="shared" si="5"/>
        <v>8.8604138076543215</v>
      </c>
      <c r="AF38" s="9"/>
      <c r="AG38" s="22">
        <v>4.1046100000000002E-2</v>
      </c>
      <c r="AH38" s="22">
        <v>17.860299999999999</v>
      </c>
      <c r="AI38" s="22">
        <v>-1.3522299999999999E-2</v>
      </c>
      <c r="AJ38" s="22">
        <v>28</v>
      </c>
      <c r="AK38" s="22">
        <v>4.0979000000000002E-2</v>
      </c>
      <c r="AL38">
        <f t="shared" si="6"/>
        <v>16.694197530864194</v>
      </c>
      <c r="AM38">
        <f t="shared" si="7"/>
        <v>0.68523170127160482</v>
      </c>
      <c r="AP38" s="9"/>
      <c r="AQ38" s="22">
        <v>1.5589900000000001</v>
      </c>
      <c r="AR38" s="22">
        <v>23.177700000000002</v>
      </c>
      <c r="AS38" s="22">
        <v>-4.8458900000000003E-3</v>
      </c>
      <c r="AT38" s="22">
        <v>28</v>
      </c>
      <c r="AU38" s="22">
        <v>1.55792</v>
      </c>
      <c r="AV38">
        <f t="shared" si="8"/>
        <v>5.9825802469135798</v>
      </c>
      <c r="AW38">
        <f t="shared" si="9"/>
        <v>9.3267827791358027</v>
      </c>
      <c r="AX38" s="9"/>
      <c r="AY38" s="22">
        <v>4.1046100000000002E-2</v>
      </c>
      <c r="AZ38" s="22">
        <v>26.795500000000001</v>
      </c>
      <c r="BA38" s="22">
        <v>-1.3345299999999999E-2</v>
      </c>
      <c r="BB38" s="22">
        <v>28</v>
      </c>
      <c r="BC38" s="22">
        <v>4.0991199999999998E-2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5.3583800000000004</v>
      </c>
      <c r="I39" s="22">
        <v>-5.0415E-3</v>
      </c>
      <c r="J39" s="22">
        <v>29</v>
      </c>
      <c r="K39" s="22">
        <v>1.55304</v>
      </c>
      <c r="L39">
        <f t="shared" si="0"/>
        <v>6.2240740740740739</v>
      </c>
      <c r="M39">
        <f t="shared" si="1"/>
        <v>9.6719621481481486</v>
      </c>
      <c r="N39" s="9"/>
      <c r="O39" s="22">
        <v>4.6081499999999997E-2</v>
      </c>
      <c r="P39" s="22">
        <v>8.9761500000000005</v>
      </c>
      <c r="Q39" s="22">
        <v>-1.35376E-2</v>
      </c>
      <c r="R39" s="22">
        <v>29</v>
      </c>
      <c r="S39" s="22">
        <v>4.6041899999999997E-2</v>
      </c>
      <c r="T39">
        <f t="shared" si="2"/>
        <v>16.713086419753086</v>
      </c>
      <c r="U39">
        <f t="shared" si="3"/>
        <v>0.77016409185185175</v>
      </c>
      <c r="X39" s="9"/>
      <c r="Y39" s="22">
        <v>1.55396</v>
      </c>
      <c r="Z39" s="22">
        <v>14.252599999999999</v>
      </c>
      <c r="AA39" s="22">
        <v>-4.7732499999999997E-3</v>
      </c>
      <c r="AB39" s="22">
        <v>29</v>
      </c>
      <c r="AC39" s="22">
        <v>1.55304</v>
      </c>
      <c r="AD39">
        <f t="shared" si="4"/>
        <v>5.8929012345679004</v>
      </c>
      <c r="AE39">
        <f t="shared" si="5"/>
        <v>9.1573328024691349</v>
      </c>
      <c r="AF39" s="9"/>
      <c r="AG39" s="22">
        <v>4.6081499999999997E-2</v>
      </c>
      <c r="AH39" s="22">
        <v>17.8704</v>
      </c>
      <c r="AI39" s="22">
        <v>-1.35132E-2</v>
      </c>
      <c r="AJ39" s="22">
        <v>29</v>
      </c>
      <c r="AK39" s="22">
        <v>4.6020499999999999E-2</v>
      </c>
      <c r="AL39">
        <f t="shared" si="6"/>
        <v>16.682962962962961</v>
      </c>
      <c r="AM39">
        <f t="shared" si="7"/>
        <v>0.76877595777777763</v>
      </c>
      <c r="AP39" s="9"/>
      <c r="AQ39" s="22">
        <v>1.55396</v>
      </c>
      <c r="AR39" s="22">
        <v>23.187799999999999</v>
      </c>
      <c r="AS39" s="22">
        <v>-5.01404E-3</v>
      </c>
      <c r="AT39" s="22">
        <v>29</v>
      </c>
      <c r="AU39" s="22">
        <v>1.55365</v>
      </c>
      <c r="AV39">
        <f t="shared" si="8"/>
        <v>6.1901728395061726</v>
      </c>
      <c r="AW39">
        <f t="shared" si="9"/>
        <v>9.619280985679012</v>
      </c>
      <c r="AX39" s="9"/>
      <c r="AY39" s="22">
        <v>4.6081499999999997E-2</v>
      </c>
      <c r="AZ39" s="22">
        <v>26.805599999999998</v>
      </c>
      <c r="BA39" s="22">
        <v>-1.33484E-2</v>
      </c>
      <c r="BB39" s="22">
        <v>29</v>
      </c>
      <c r="BC39" s="22">
        <v>4.6023599999999998E-2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5.3684500000000002</v>
      </c>
      <c r="I40" s="22">
        <v>-5.1971400000000003E-3</v>
      </c>
      <c r="J40" s="22">
        <v>30</v>
      </c>
      <c r="K40" s="22">
        <v>1.5478499999999999</v>
      </c>
      <c r="L40">
        <f t="shared" si="0"/>
        <v>6.4162222222222223</v>
      </c>
      <c r="M40">
        <f t="shared" si="1"/>
        <v>9.9382149244444449</v>
      </c>
      <c r="N40" s="9"/>
      <c r="O40" s="22">
        <v>5.11169E-2</v>
      </c>
      <c r="P40" s="22">
        <v>8.9862199999999994</v>
      </c>
      <c r="Q40" s="22">
        <v>-1.35376E-2</v>
      </c>
      <c r="R40" s="22">
        <v>30</v>
      </c>
      <c r="S40" s="22">
        <v>5.0689699999999997E-2</v>
      </c>
      <c r="T40">
        <f t="shared" si="2"/>
        <v>16.713086419753086</v>
      </c>
      <c r="U40">
        <f t="shared" si="3"/>
        <v>0.8543211672098765</v>
      </c>
      <c r="X40" s="9"/>
      <c r="Y40" s="22">
        <v>1.5489200000000001</v>
      </c>
      <c r="Z40" s="22">
        <v>14.262700000000001</v>
      </c>
      <c r="AA40" s="22">
        <v>-4.9252300000000001E-3</v>
      </c>
      <c r="AB40" s="22">
        <v>30</v>
      </c>
      <c r="AC40" s="22">
        <v>1.54816</v>
      </c>
      <c r="AD40">
        <f t="shared" si="4"/>
        <v>6.08053086419753</v>
      </c>
      <c r="AE40">
        <f t="shared" si="5"/>
        <v>9.4182558661728386</v>
      </c>
      <c r="AF40" s="9"/>
      <c r="AG40" s="22">
        <v>5.11169E-2</v>
      </c>
      <c r="AH40" s="22">
        <v>17.880400000000002</v>
      </c>
      <c r="AI40" s="22">
        <v>-1.3501000000000001E-2</v>
      </c>
      <c r="AJ40" s="22">
        <v>30</v>
      </c>
      <c r="AK40" s="22">
        <v>5.05981E-2</v>
      </c>
      <c r="AL40">
        <f t="shared" si="6"/>
        <v>16.667901234567903</v>
      </c>
      <c r="AM40">
        <f t="shared" si="7"/>
        <v>0.85201144061728407</v>
      </c>
      <c r="AP40" s="9"/>
      <c r="AQ40" s="22">
        <v>1.5489200000000001</v>
      </c>
      <c r="AR40" s="22">
        <v>23.197900000000001</v>
      </c>
      <c r="AS40" s="22">
        <v>-5.1818799999999998E-3</v>
      </c>
      <c r="AT40" s="22">
        <v>30</v>
      </c>
      <c r="AU40" s="22">
        <v>1.54816</v>
      </c>
      <c r="AV40">
        <f t="shared" si="8"/>
        <v>6.3973827160493819</v>
      </c>
      <c r="AW40">
        <f t="shared" si="9"/>
        <v>9.9090340365432095</v>
      </c>
      <c r="AX40" s="9"/>
      <c r="AY40" s="22">
        <v>5.11169E-2</v>
      </c>
      <c r="AZ40" s="22">
        <v>26.8157</v>
      </c>
      <c r="BA40" s="22">
        <v>-1.33606E-2</v>
      </c>
      <c r="BB40" s="22">
        <v>30</v>
      </c>
      <c r="BC40" s="22">
        <v>5.0689699999999997E-2</v>
      </c>
      <c r="BD40">
        <f t="shared" si="10"/>
        <v>16.494567901234568</v>
      </c>
      <c r="BE40">
        <f t="shared" si="11"/>
        <v>0.84315117795061723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5.37852</v>
      </c>
      <c r="I41" s="22">
        <v>-5.3558299999999998E-3</v>
      </c>
      <c r="J41" s="22">
        <v>31</v>
      </c>
      <c r="K41" s="22">
        <v>1.54297</v>
      </c>
      <c r="L41">
        <f t="shared" si="0"/>
        <v>6.612135802469135</v>
      </c>
      <c r="M41">
        <f t="shared" si="1"/>
        <v>10.208344222716047</v>
      </c>
      <c r="N41" s="9"/>
      <c r="O41" s="22">
        <v>5.6152300000000002E-2</v>
      </c>
      <c r="P41" s="22">
        <v>8.9962900000000001</v>
      </c>
      <c r="Q41" s="22">
        <v>-1.35376E-2</v>
      </c>
      <c r="R41" s="22">
        <v>31</v>
      </c>
      <c r="S41" s="22">
        <v>5.5633500000000002E-2</v>
      </c>
      <c r="T41">
        <f t="shared" si="2"/>
        <v>16.713086419753086</v>
      </c>
      <c r="U41">
        <f t="shared" si="3"/>
        <v>0.93847824256790124</v>
      </c>
      <c r="X41" s="9"/>
      <c r="Y41" s="22">
        <v>1.5438799999999999</v>
      </c>
      <c r="Z41" s="22">
        <v>14.2727</v>
      </c>
      <c r="AA41" s="22">
        <v>-5.0872799999999996E-3</v>
      </c>
      <c r="AB41" s="22">
        <v>31</v>
      </c>
      <c r="AC41" s="22">
        <v>1.54297</v>
      </c>
      <c r="AD41">
        <f t="shared" si="4"/>
        <v>6.2805925925925923</v>
      </c>
      <c r="AE41">
        <f t="shared" si="5"/>
        <v>9.6964812918518515</v>
      </c>
      <c r="AF41" s="9"/>
      <c r="AG41" s="22">
        <v>5.6152300000000002E-2</v>
      </c>
      <c r="AH41" s="22">
        <v>17.890499999999999</v>
      </c>
      <c r="AI41" s="22">
        <v>-1.3507099999999999E-2</v>
      </c>
      <c r="AJ41" s="22">
        <v>31</v>
      </c>
      <c r="AK41" s="22">
        <v>5.5664100000000001E-2</v>
      </c>
      <c r="AL41">
        <f t="shared" si="6"/>
        <v>16.67543209876543</v>
      </c>
      <c r="AM41">
        <f t="shared" si="7"/>
        <v>0.93636386583950615</v>
      </c>
      <c r="AP41" s="9"/>
      <c r="AQ41" s="22">
        <v>1.5438799999999999</v>
      </c>
      <c r="AR41" s="22">
        <v>23.207899999999999</v>
      </c>
      <c r="AS41" s="22">
        <v>-5.3436300000000003E-3</v>
      </c>
      <c r="AT41" s="22">
        <v>31</v>
      </c>
      <c r="AU41" s="22">
        <v>1.54297</v>
      </c>
      <c r="AV41">
        <f t="shared" si="8"/>
        <v>6.5970740740740741</v>
      </c>
      <c r="AW41">
        <f t="shared" si="9"/>
        <v>10.185090721481481</v>
      </c>
      <c r="AX41" s="9"/>
      <c r="AY41" s="22">
        <v>5.6152300000000002E-2</v>
      </c>
      <c r="AZ41" s="22">
        <v>26.825700000000001</v>
      </c>
      <c r="BA41" s="22">
        <v>-1.3369799999999999E-2</v>
      </c>
      <c r="BB41" s="22">
        <v>31</v>
      </c>
      <c r="BC41" s="22">
        <v>5.5633500000000002E-2</v>
      </c>
      <c r="BD41">
        <f t="shared" si="10"/>
        <v>16.505925925925922</v>
      </c>
      <c r="BE41">
        <f t="shared" si="11"/>
        <v>0.92684570437037017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5.3885899999999998</v>
      </c>
      <c r="I42" s="22">
        <v>-5.5145300000000001E-3</v>
      </c>
      <c r="J42" s="22">
        <v>32</v>
      </c>
      <c r="K42" s="22">
        <v>1.53748</v>
      </c>
      <c r="L42">
        <f t="shared" si="0"/>
        <v>6.8080617283950611</v>
      </c>
      <c r="M42">
        <f t="shared" si="1"/>
        <v>10.47658579074074</v>
      </c>
      <c r="N42" s="9"/>
      <c r="O42" s="22">
        <v>6.1187699999999998E-2</v>
      </c>
      <c r="P42" s="22">
        <v>9.0063600000000008</v>
      </c>
      <c r="Q42" s="22">
        <v>-1.35345E-2</v>
      </c>
      <c r="R42" s="22">
        <v>32</v>
      </c>
      <c r="S42" s="22">
        <v>6.0699500000000003E-2</v>
      </c>
      <c r="T42">
        <f t="shared" si="2"/>
        <v>16.709259259259255</v>
      </c>
      <c r="U42">
        <f t="shared" si="3"/>
        <v>1.0224011427777775</v>
      </c>
      <c r="X42" s="9"/>
      <c r="Y42" s="22">
        <v>1.5388500000000001</v>
      </c>
      <c r="Z42" s="22">
        <v>14.2828</v>
      </c>
      <c r="AA42" s="22">
        <v>-5.2429199999999999E-3</v>
      </c>
      <c r="AB42" s="22">
        <v>32</v>
      </c>
      <c r="AC42" s="22">
        <v>1.5371699999999999</v>
      </c>
      <c r="AD42">
        <f t="shared" si="4"/>
        <v>6.4727407407407398</v>
      </c>
      <c r="AE42">
        <f t="shared" si="5"/>
        <v>9.960577088888888</v>
      </c>
      <c r="AF42" s="9"/>
      <c r="AG42" s="22">
        <v>6.1187699999999998E-2</v>
      </c>
      <c r="AH42" s="22">
        <v>17.900600000000001</v>
      </c>
      <c r="AI42" s="22">
        <v>-1.35132E-2</v>
      </c>
      <c r="AJ42" s="22">
        <v>32</v>
      </c>
      <c r="AK42" s="22">
        <v>6.0729999999999999E-2</v>
      </c>
      <c r="AL42">
        <f t="shared" si="6"/>
        <v>16.682962962962961</v>
      </c>
      <c r="AM42">
        <f t="shared" si="7"/>
        <v>1.0207921328888887</v>
      </c>
      <c r="AP42" s="9"/>
      <c r="AQ42" s="22">
        <v>1.5388500000000001</v>
      </c>
      <c r="AR42" s="22">
        <v>23.218</v>
      </c>
      <c r="AS42" s="22">
        <v>-5.5023199999999998E-3</v>
      </c>
      <c r="AT42" s="22">
        <v>32</v>
      </c>
      <c r="AU42" s="22">
        <v>1.53748</v>
      </c>
      <c r="AV42">
        <f t="shared" si="8"/>
        <v>6.7929876543209868</v>
      </c>
      <c r="AW42">
        <f t="shared" si="9"/>
        <v>10.45338905185185</v>
      </c>
      <c r="AX42" s="9"/>
      <c r="AY42" s="22">
        <v>6.1187699999999998E-2</v>
      </c>
      <c r="AZ42" s="22">
        <v>26.835799999999999</v>
      </c>
      <c r="BA42" s="22">
        <v>-1.3369799999999999E-2</v>
      </c>
      <c r="BB42" s="22">
        <v>32</v>
      </c>
      <c r="BC42" s="22">
        <v>6.0760500000000002E-2</v>
      </c>
      <c r="BD42">
        <f t="shared" si="10"/>
        <v>16.505925925925922</v>
      </c>
      <c r="BE42">
        <f t="shared" si="11"/>
        <v>1.0099596437777776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5.3986599999999996</v>
      </c>
      <c r="I43" s="22">
        <v>-5.6671100000000004E-3</v>
      </c>
      <c r="J43" s="22">
        <v>33</v>
      </c>
      <c r="K43" s="22">
        <v>1.5341199999999999</v>
      </c>
      <c r="L43">
        <f t="shared" si="0"/>
        <v>6.9964320987654318</v>
      </c>
      <c r="M43">
        <f t="shared" si="1"/>
        <v>10.731197517407406</v>
      </c>
      <c r="N43" s="9"/>
      <c r="O43" s="22">
        <v>6.6223099999999993E-2</v>
      </c>
      <c r="P43" s="22">
        <v>9.0164299999999997</v>
      </c>
      <c r="Q43" s="22">
        <v>-1.3528399999999999E-2</v>
      </c>
      <c r="R43" s="22">
        <v>33</v>
      </c>
      <c r="S43" s="22">
        <v>6.5704299999999993E-2</v>
      </c>
      <c r="T43">
        <f t="shared" si="2"/>
        <v>16.701728395061725</v>
      </c>
      <c r="U43">
        <f t="shared" si="3"/>
        <v>1.1060402296790119</v>
      </c>
      <c r="X43" s="9"/>
      <c r="Y43" s="22">
        <v>1.5338099999999999</v>
      </c>
      <c r="Z43" s="22">
        <v>14.292899999999999</v>
      </c>
      <c r="AA43" s="22">
        <v>-5.4046600000000004E-3</v>
      </c>
      <c r="AB43" s="22">
        <v>33</v>
      </c>
      <c r="AC43" s="22">
        <v>1.5328999999999999</v>
      </c>
      <c r="AD43">
        <f t="shared" si="4"/>
        <v>6.6724197530864195</v>
      </c>
      <c r="AE43">
        <f t="shared" si="5"/>
        <v>10.23422414148148</v>
      </c>
      <c r="AF43" s="9"/>
      <c r="AG43" s="22">
        <v>6.6223099999999993E-2</v>
      </c>
      <c r="AH43" s="22">
        <v>17.910599999999999</v>
      </c>
      <c r="AI43" s="22">
        <v>-1.35132E-2</v>
      </c>
      <c r="AJ43" s="22">
        <v>33</v>
      </c>
      <c r="AK43" s="22">
        <v>6.5734899999999999E-2</v>
      </c>
      <c r="AL43">
        <f t="shared" si="6"/>
        <v>16.682962962962961</v>
      </c>
      <c r="AM43">
        <f t="shared" si="7"/>
        <v>1.1047975245925923</v>
      </c>
      <c r="AP43" s="9"/>
      <c r="AQ43" s="22">
        <v>1.5338099999999999</v>
      </c>
      <c r="AR43" s="22">
        <v>23.228100000000001</v>
      </c>
      <c r="AS43" s="22">
        <v>-5.6579600000000001E-3</v>
      </c>
      <c r="AT43" s="22">
        <v>33</v>
      </c>
      <c r="AU43" s="22">
        <v>1.5325899999999999</v>
      </c>
      <c r="AV43">
        <f t="shared" si="8"/>
        <v>6.9851358024691352</v>
      </c>
      <c r="AW43">
        <f t="shared" si="9"/>
        <v>10.713871145185184</v>
      </c>
      <c r="AX43" s="9"/>
      <c r="AY43" s="22">
        <v>6.6223099999999993E-2</v>
      </c>
      <c r="AZ43" s="22">
        <v>26.8459</v>
      </c>
      <c r="BA43" s="22">
        <v>-1.33606E-2</v>
      </c>
      <c r="BB43" s="22">
        <v>33</v>
      </c>
      <c r="BC43" s="22">
        <v>6.5795900000000004E-2</v>
      </c>
      <c r="BD43">
        <f t="shared" si="10"/>
        <v>16.494567901234568</v>
      </c>
      <c r="BE43">
        <f t="shared" si="11"/>
        <v>1.0923214195802469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5.4087300000000003</v>
      </c>
      <c r="I44" s="22">
        <v>-5.8258099999999998E-3</v>
      </c>
      <c r="J44" s="22">
        <v>34</v>
      </c>
      <c r="K44" s="22">
        <v>1.5280199999999999</v>
      </c>
      <c r="L44">
        <f t="shared" si="0"/>
        <v>7.1923580246913579</v>
      </c>
      <c r="M44">
        <f t="shared" si="1"/>
        <v>10.995533100987654</v>
      </c>
      <c r="N44" s="9"/>
      <c r="O44" s="22">
        <v>7.1258500000000002E-2</v>
      </c>
      <c r="P44" s="22">
        <v>9.0265000000000004</v>
      </c>
      <c r="Q44" s="22">
        <v>-1.3522299999999999E-2</v>
      </c>
      <c r="R44" s="22">
        <v>34</v>
      </c>
      <c r="S44" s="22">
        <v>7.0770299999999994E-2</v>
      </c>
      <c r="T44">
        <f t="shared" si="2"/>
        <v>16.694197530864194</v>
      </c>
      <c r="U44">
        <f t="shared" si="3"/>
        <v>1.1896034747530861</v>
      </c>
      <c r="X44" s="9"/>
      <c r="Y44" s="22">
        <v>1.52878</v>
      </c>
      <c r="Z44" s="22">
        <v>14.302899999999999</v>
      </c>
      <c r="AA44" s="22">
        <v>-5.5572499999999997E-3</v>
      </c>
      <c r="AB44" s="22">
        <v>34</v>
      </c>
      <c r="AC44" s="22">
        <v>1.5283199999999999</v>
      </c>
      <c r="AD44">
        <f t="shared" si="4"/>
        <v>6.8608024691358018</v>
      </c>
      <c r="AE44">
        <f t="shared" si="5"/>
        <v>10.488657598765432</v>
      </c>
      <c r="AF44" s="9"/>
      <c r="AG44" s="22">
        <v>7.1258500000000002E-2</v>
      </c>
      <c r="AH44" s="22">
        <v>17.9207</v>
      </c>
      <c r="AI44" s="22">
        <v>-1.3516200000000001E-2</v>
      </c>
      <c r="AJ44" s="22">
        <v>34</v>
      </c>
      <c r="AK44" s="22">
        <v>7.07092E-2</v>
      </c>
      <c r="AL44">
        <f t="shared" si="6"/>
        <v>16.686666666666664</v>
      </c>
      <c r="AM44">
        <f t="shared" si="7"/>
        <v>1.1890668366666666</v>
      </c>
      <c r="AP44" s="9"/>
      <c r="AQ44" s="22">
        <v>1.52878</v>
      </c>
      <c r="AR44" s="22">
        <v>23.238199999999999</v>
      </c>
      <c r="AS44" s="22">
        <v>-5.8136000000000004E-3</v>
      </c>
      <c r="AT44" s="22">
        <v>34</v>
      </c>
      <c r="AU44" s="22">
        <v>1.5277099999999999</v>
      </c>
      <c r="AV44">
        <f t="shared" si="8"/>
        <v>7.1772839506172845</v>
      </c>
      <c r="AW44">
        <f t="shared" si="9"/>
        <v>10.972488158024692</v>
      </c>
      <c r="AX44" s="9"/>
      <c r="AY44" s="22">
        <v>7.1258500000000002E-2</v>
      </c>
      <c r="AZ44" s="22">
        <v>26.855899999999998</v>
      </c>
      <c r="BA44" s="22">
        <v>-1.3351399999999999E-2</v>
      </c>
      <c r="BB44" s="22">
        <v>34</v>
      </c>
      <c r="BC44" s="22">
        <v>7.0800799999999997E-2</v>
      </c>
      <c r="BD44">
        <f t="shared" si="10"/>
        <v>16.483209876543206</v>
      </c>
      <c r="BE44">
        <f t="shared" si="11"/>
        <v>1.1745688109876542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5.4188000000000001</v>
      </c>
      <c r="I45" s="22">
        <v>-5.9783900000000001E-3</v>
      </c>
      <c r="J45" s="22">
        <v>35</v>
      </c>
      <c r="K45" s="22">
        <v>1.5231300000000001</v>
      </c>
      <c r="L45">
        <f t="shared" si="0"/>
        <v>7.3807283950617277</v>
      </c>
      <c r="M45">
        <f t="shared" si="1"/>
        <v>11.246311084691358</v>
      </c>
      <c r="N45" s="9"/>
      <c r="O45" s="22">
        <v>7.6293899999999998E-2</v>
      </c>
      <c r="P45" s="22">
        <v>9.0365699999999993</v>
      </c>
      <c r="Q45" s="22">
        <v>-1.35193E-2</v>
      </c>
      <c r="R45" s="22">
        <v>35</v>
      </c>
      <c r="S45" s="22">
        <v>7.5866699999999995E-2</v>
      </c>
      <c r="T45">
        <f t="shared" si="2"/>
        <v>16.690493827160495</v>
      </c>
      <c r="U45">
        <f t="shared" si="3"/>
        <v>1.273382867</v>
      </c>
      <c r="X45" s="9"/>
      <c r="Y45" s="22">
        <v>1.5237400000000001</v>
      </c>
      <c r="Z45" s="22">
        <v>14.313000000000001</v>
      </c>
      <c r="AA45" s="22">
        <v>-5.71289E-3</v>
      </c>
      <c r="AB45" s="22">
        <v>35</v>
      </c>
      <c r="AC45" s="22">
        <v>1.5231300000000001</v>
      </c>
      <c r="AD45">
        <f t="shared" si="4"/>
        <v>7.0529506172839502</v>
      </c>
      <c r="AE45">
        <f t="shared" si="5"/>
        <v>10.746862973580248</v>
      </c>
      <c r="AF45" s="9"/>
      <c r="AG45" s="22">
        <v>7.6293899999999998E-2</v>
      </c>
      <c r="AH45" s="22">
        <v>17.930800000000001</v>
      </c>
      <c r="AI45" s="22">
        <v>-1.3510100000000001E-2</v>
      </c>
      <c r="AJ45" s="22">
        <v>35</v>
      </c>
      <c r="AK45" s="22">
        <v>7.5897199999999998E-2</v>
      </c>
      <c r="AL45">
        <f t="shared" si="6"/>
        <v>16.679135802469133</v>
      </c>
      <c r="AM45">
        <f t="shared" si="7"/>
        <v>1.2725163189999997</v>
      </c>
      <c r="AP45" s="9"/>
      <c r="AQ45" s="22">
        <v>1.5237400000000001</v>
      </c>
      <c r="AR45" s="22">
        <v>23.248200000000001</v>
      </c>
      <c r="AS45" s="22">
        <v>-5.9661899999999997E-3</v>
      </c>
      <c r="AT45" s="22">
        <v>35</v>
      </c>
      <c r="AU45" s="22">
        <v>1.5231300000000001</v>
      </c>
      <c r="AV45">
        <f t="shared" si="8"/>
        <v>7.3656666666666659</v>
      </c>
      <c r="AW45">
        <f t="shared" si="9"/>
        <v>11.223360926666667</v>
      </c>
      <c r="AX45" s="9"/>
      <c r="AY45" s="22">
        <v>7.6293899999999998E-2</v>
      </c>
      <c r="AZ45" s="22">
        <v>26.866</v>
      </c>
      <c r="BA45" s="22">
        <v>-1.33423E-2</v>
      </c>
      <c r="BB45" s="22">
        <v>35</v>
      </c>
      <c r="BC45" s="22">
        <v>7.5866699999999995E-2</v>
      </c>
      <c r="BD45">
        <f t="shared" si="10"/>
        <v>16.471975308641973</v>
      </c>
      <c r="BE45">
        <f t="shared" si="11"/>
        <v>1.2567112369999998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5.4288800000000004</v>
      </c>
      <c r="I46" s="22">
        <v>-6.12183E-3</v>
      </c>
      <c r="J46" s="22">
        <v>36</v>
      </c>
      <c r="K46" s="22">
        <v>1.5179400000000001</v>
      </c>
      <c r="L46">
        <f t="shared" si="0"/>
        <v>7.5578148148148143</v>
      </c>
      <c r="M46">
        <f t="shared" si="1"/>
        <v>11.478128937407407</v>
      </c>
      <c r="N46" s="9"/>
      <c r="O46" s="22">
        <v>8.1329299999999993E-2</v>
      </c>
      <c r="P46" s="22">
        <v>9.04664</v>
      </c>
      <c r="Q46" s="22">
        <v>-1.35193E-2</v>
      </c>
      <c r="R46" s="22">
        <v>36</v>
      </c>
      <c r="S46" s="22">
        <v>8.0871600000000002E-2</v>
      </c>
      <c r="T46">
        <f t="shared" si="2"/>
        <v>16.690493827160495</v>
      </c>
      <c r="U46">
        <f t="shared" si="3"/>
        <v>1.357426179617284</v>
      </c>
      <c r="X46" s="9"/>
      <c r="Y46" s="22">
        <v>1.51871</v>
      </c>
      <c r="Z46" s="22">
        <v>14.3231</v>
      </c>
      <c r="AA46" s="22">
        <v>-5.85938E-3</v>
      </c>
      <c r="AB46" s="22">
        <v>36</v>
      </c>
      <c r="AC46" s="22">
        <v>1.5176400000000001</v>
      </c>
      <c r="AD46">
        <f t="shared" si="4"/>
        <v>7.233802469135802</v>
      </c>
      <c r="AE46">
        <f t="shared" si="5"/>
        <v>10.986048147901235</v>
      </c>
      <c r="AF46" s="9"/>
      <c r="AG46" s="22">
        <v>8.1329299999999993E-2</v>
      </c>
      <c r="AH46" s="22">
        <v>17.940899999999999</v>
      </c>
      <c r="AI46" s="22">
        <v>-1.3510100000000001E-2</v>
      </c>
      <c r="AJ46" s="22">
        <v>36</v>
      </c>
      <c r="AK46" s="22">
        <v>8.0902100000000005E-2</v>
      </c>
      <c r="AL46">
        <f t="shared" si="6"/>
        <v>16.679135802469133</v>
      </c>
      <c r="AM46">
        <f t="shared" si="7"/>
        <v>1.3565024394197527</v>
      </c>
      <c r="AP46" s="9"/>
      <c r="AQ46" s="22">
        <v>1.51871</v>
      </c>
      <c r="AR46" s="22">
        <v>23.258299999999998</v>
      </c>
      <c r="AS46" s="22">
        <v>-6.12183E-3</v>
      </c>
      <c r="AT46" s="22">
        <v>36</v>
      </c>
      <c r="AU46" s="22">
        <v>1.5176400000000001</v>
      </c>
      <c r="AV46">
        <f t="shared" si="8"/>
        <v>7.5578148148148143</v>
      </c>
      <c r="AW46">
        <f t="shared" si="9"/>
        <v>11.478128937407407</v>
      </c>
      <c r="AX46" s="9"/>
      <c r="AY46" s="22">
        <v>8.1329299999999993E-2</v>
      </c>
      <c r="AZ46" s="22">
        <v>26.876100000000001</v>
      </c>
      <c r="BA46" s="22">
        <v>-1.33423E-2</v>
      </c>
      <c r="BB46" s="22">
        <v>36</v>
      </c>
      <c r="BC46" s="22">
        <v>8.0932599999999993E-2</v>
      </c>
      <c r="BD46">
        <f t="shared" si="10"/>
        <v>16.471975308641973</v>
      </c>
      <c r="BE46">
        <f t="shared" si="11"/>
        <v>1.3396542214691356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5.4389500000000002</v>
      </c>
      <c r="I47" s="22">
        <v>-6.26831E-3</v>
      </c>
      <c r="J47" s="22">
        <v>37</v>
      </c>
      <c r="K47" s="22">
        <v>1.5127600000000001</v>
      </c>
      <c r="L47">
        <f t="shared" si="0"/>
        <v>7.7386543209876546</v>
      </c>
      <c r="M47">
        <f t="shared" si="1"/>
        <v>11.713768886049383</v>
      </c>
      <c r="N47" s="9"/>
      <c r="O47" s="22">
        <v>8.6364700000000003E-2</v>
      </c>
      <c r="P47" s="22">
        <v>9.0567100000000007</v>
      </c>
      <c r="Q47" s="22">
        <v>-1.35254E-2</v>
      </c>
      <c r="R47" s="22">
        <v>37</v>
      </c>
      <c r="S47" s="22">
        <v>8.5906999999999997E-2</v>
      </c>
      <c r="T47">
        <f t="shared" si="2"/>
        <v>16.698024691358025</v>
      </c>
      <c r="U47">
        <f t="shared" si="3"/>
        <v>1.4421198930617285</v>
      </c>
      <c r="X47" s="9"/>
      <c r="Y47" s="22">
        <v>1.5136700000000001</v>
      </c>
      <c r="Z47" s="22">
        <v>14.3332</v>
      </c>
      <c r="AA47" s="22">
        <v>-6.0119600000000002E-3</v>
      </c>
      <c r="AB47" s="22">
        <v>37</v>
      </c>
      <c r="AC47" s="22">
        <v>1.5127600000000001</v>
      </c>
      <c r="AD47">
        <f t="shared" si="4"/>
        <v>7.4221728395061728</v>
      </c>
      <c r="AE47">
        <f t="shared" si="5"/>
        <v>11.23472036197531</v>
      </c>
      <c r="AF47" s="9"/>
      <c r="AG47" s="22">
        <v>8.6364700000000003E-2</v>
      </c>
      <c r="AH47" s="22">
        <v>17.950900000000001</v>
      </c>
      <c r="AI47" s="22">
        <v>-1.3510100000000001E-2</v>
      </c>
      <c r="AJ47" s="22">
        <v>37</v>
      </c>
      <c r="AK47" s="22">
        <v>8.5968000000000003E-2</v>
      </c>
      <c r="AL47">
        <f t="shared" si="6"/>
        <v>16.679135802469133</v>
      </c>
      <c r="AM47">
        <f t="shared" si="7"/>
        <v>1.4404885598395061</v>
      </c>
      <c r="AP47" s="9"/>
      <c r="AQ47" s="22">
        <v>1.5136700000000001</v>
      </c>
      <c r="AR47" s="22">
        <v>23.2684</v>
      </c>
      <c r="AS47" s="22">
        <v>-6.2622099999999998E-3</v>
      </c>
      <c r="AT47" s="22">
        <v>37</v>
      </c>
      <c r="AU47" s="22">
        <v>1.5121500000000001</v>
      </c>
      <c r="AV47">
        <f t="shared" si="8"/>
        <v>7.7311234567901224</v>
      </c>
      <c r="AW47">
        <f t="shared" si="9"/>
        <v>11.702369642839505</v>
      </c>
      <c r="AX47" s="9"/>
      <c r="AY47" s="22">
        <v>8.6364700000000003E-2</v>
      </c>
      <c r="AZ47" s="22">
        <v>26.886099999999999</v>
      </c>
      <c r="BA47" s="22">
        <v>-1.3345299999999999E-2</v>
      </c>
      <c r="BB47" s="22">
        <v>37</v>
      </c>
      <c r="BC47" s="22">
        <v>8.5876499999999995E-2</v>
      </c>
      <c r="BD47">
        <f t="shared" si="10"/>
        <v>16.475679012345676</v>
      </c>
      <c r="BE47">
        <f t="shared" si="11"/>
        <v>1.4229170751975306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5.44902</v>
      </c>
      <c r="I48" s="22">
        <v>-6.4086899999999999E-3</v>
      </c>
      <c r="J48" s="22">
        <v>38</v>
      </c>
      <c r="K48" s="22">
        <v>1.50787</v>
      </c>
      <c r="L48">
        <f t="shared" si="0"/>
        <v>7.9119629629629626</v>
      </c>
      <c r="M48">
        <f t="shared" si="1"/>
        <v>11.936303804444444</v>
      </c>
      <c r="N48" s="9"/>
      <c r="O48" s="22">
        <v>9.1400099999999998E-2</v>
      </c>
      <c r="P48" s="22">
        <v>9.0667899999999992</v>
      </c>
      <c r="Q48" s="22">
        <v>-1.3522299999999999E-2</v>
      </c>
      <c r="R48" s="22">
        <v>38</v>
      </c>
      <c r="S48" s="22">
        <v>9.0972899999999995E-2</v>
      </c>
      <c r="T48">
        <f t="shared" si="2"/>
        <v>16.694197530864194</v>
      </c>
      <c r="U48">
        <f t="shared" si="3"/>
        <v>1.5258513237407405</v>
      </c>
      <c r="X48" s="9"/>
      <c r="Y48" s="22">
        <v>1.50864</v>
      </c>
      <c r="Z48" s="22">
        <v>14.3432</v>
      </c>
      <c r="AA48" s="22">
        <v>-6.1523400000000001E-3</v>
      </c>
      <c r="AB48" s="22">
        <v>38</v>
      </c>
      <c r="AC48" s="22">
        <v>1.5075700000000001</v>
      </c>
      <c r="AD48">
        <f t="shared" si="4"/>
        <v>7.5954814814814808</v>
      </c>
      <c r="AE48">
        <f t="shared" si="5"/>
        <v>11.458847182222222</v>
      </c>
      <c r="AF48" s="9"/>
      <c r="AG48" s="22">
        <v>9.1400099999999998E-2</v>
      </c>
      <c r="AH48" s="22">
        <v>17.960999999999999</v>
      </c>
      <c r="AI48" s="22">
        <v>-1.3504E-2</v>
      </c>
      <c r="AJ48" s="22">
        <v>38</v>
      </c>
      <c r="AK48" s="22">
        <v>9.0942400000000007E-2</v>
      </c>
      <c r="AL48">
        <f t="shared" si="6"/>
        <v>16.671604938271606</v>
      </c>
      <c r="AM48">
        <f t="shared" si="7"/>
        <v>1.5237863585185187</v>
      </c>
      <c r="AP48" s="9"/>
      <c r="AQ48" s="22">
        <v>1.50864</v>
      </c>
      <c r="AR48" s="22">
        <v>23.278400000000001</v>
      </c>
      <c r="AS48" s="22">
        <v>-6.4086899999999999E-3</v>
      </c>
      <c r="AT48" s="22">
        <v>38</v>
      </c>
      <c r="AU48" s="22">
        <v>1.50726</v>
      </c>
      <c r="AV48">
        <f t="shared" si="8"/>
        <v>7.9119629629629626</v>
      </c>
      <c r="AW48">
        <f t="shared" si="9"/>
        <v>11.936303804444444</v>
      </c>
      <c r="AX48" s="9"/>
      <c r="AY48" s="22">
        <v>9.1400099999999998E-2</v>
      </c>
      <c r="AZ48" s="22">
        <v>26.8962</v>
      </c>
      <c r="BA48" s="22">
        <v>-1.3345299999999999E-2</v>
      </c>
      <c r="BB48" s="22">
        <v>38</v>
      </c>
      <c r="BC48" s="22">
        <v>9.1003399999999998E-2</v>
      </c>
      <c r="BD48">
        <f t="shared" si="10"/>
        <v>16.475679012345676</v>
      </c>
      <c r="BE48">
        <f t="shared" si="11"/>
        <v>1.505878709296296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5.4590899999999998</v>
      </c>
      <c r="I49" s="22">
        <v>-6.5460199999999996E-3</v>
      </c>
      <c r="J49" s="22">
        <v>39</v>
      </c>
      <c r="K49" s="22">
        <v>1.50238</v>
      </c>
      <c r="L49">
        <f t="shared" si="0"/>
        <v>8.0815061728395055</v>
      </c>
      <c r="M49">
        <f t="shared" si="1"/>
        <v>12.15135268148148</v>
      </c>
      <c r="N49" s="9"/>
      <c r="O49" s="22">
        <v>9.6435499999999993E-2</v>
      </c>
      <c r="P49" s="22">
        <v>9.0768599999999999</v>
      </c>
      <c r="Q49" s="22">
        <v>-1.3522299999999999E-2</v>
      </c>
      <c r="R49" s="22">
        <v>39</v>
      </c>
      <c r="S49" s="22">
        <v>9.5886200000000005E-2</v>
      </c>
      <c r="T49">
        <f t="shared" si="2"/>
        <v>16.694197530864194</v>
      </c>
      <c r="U49">
        <f t="shared" si="3"/>
        <v>1.6099132859876539</v>
      </c>
      <c r="X49" s="9"/>
      <c r="Y49" s="22">
        <v>1.5036</v>
      </c>
      <c r="Z49" s="22">
        <v>14.353300000000001</v>
      </c>
      <c r="AA49" s="22">
        <v>-6.2988300000000001E-3</v>
      </c>
      <c r="AB49" s="22">
        <v>39</v>
      </c>
      <c r="AC49" s="22">
        <v>1.50299</v>
      </c>
      <c r="AD49">
        <f t="shared" si="4"/>
        <v>7.7763333333333327</v>
      </c>
      <c r="AE49">
        <f t="shared" si="5"/>
        <v>11.692494799999999</v>
      </c>
      <c r="AF49" s="9"/>
      <c r="AG49" s="22">
        <v>9.6435499999999993E-2</v>
      </c>
      <c r="AH49" s="22">
        <v>17.9711</v>
      </c>
      <c r="AI49" s="22">
        <v>-1.34979E-2</v>
      </c>
      <c r="AJ49" s="22">
        <v>39</v>
      </c>
      <c r="AK49" s="22">
        <v>9.5886200000000005E-2</v>
      </c>
      <c r="AL49">
        <f t="shared" si="6"/>
        <v>16.664074074074072</v>
      </c>
      <c r="AM49">
        <f t="shared" si="7"/>
        <v>1.60700831537037</v>
      </c>
      <c r="AP49" s="9"/>
      <c r="AQ49" s="22">
        <v>1.5036</v>
      </c>
      <c r="AR49" s="22">
        <v>23.288499999999999</v>
      </c>
      <c r="AS49" s="22">
        <v>-6.5521199999999998E-3</v>
      </c>
      <c r="AT49" s="22">
        <v>39</v>
      </c>
      <c r="AU49" s="22">
        <v>1.5026900000000001</v>
      </c>
      <c r="AV49">
        <f t="shared" si="8"/>
        <v>8.0890370370370377</v>
      </c>
      <c r="AW49">
        <f t="shared" si="9"/>
        <v>12.16267608888889</v>
      </c>
      <c r="AX49" s="9"/>
      <c r="AY49" s="22">
        <v>9.6435499999999993E-2</v>
      </c>
      <c r="AZ49" s="22">
        <v>26.906300000000002</v>
      </c>
      <c r="BA49" s="22">
        <v>-1.33423E-2</v>
      </c>
      <c r="BB49" s="22">
        <v>39</v>
      </c>
      <c r="BC49" s="22">
        <v>9.5947299999999999E-2</v>
      </c>
      <c r="BD49">
        <f t="shared" si="10"/>
        <v>16.471975308641973</v>
      </c>
      <c r="BE49">
        <f t="shared" si="11"/>
        <v>1.5884831748765429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5.4691599999999996</v>
      </c>
      <c r="I50" s="22">
        <v>-6.67725E-3</v>
      </c>
      <c r="J50" s="22">
        <v>40</v>
      </c>
      <c r="K50" s="22">
        <v>1.4978</v>
      </c>
      <c r="L50">
        <f t="shared" si="0"/>
        <v>8.2435185185185187</v>
      </c>
      <c r="M50">
        <f t="shared" si="1"/>
        <v>12.353489546296297</v>
      </c>
      <c r="N50" s="9"/>
      <c r="O50" s="22">
        <v>0.10147100000000001</v>
      </c>
      <c r="P50" s="22">
        <v>9.0869300000000006</v>
      </c>
      <c r="Q50" s="22">
        <v>-1.3510100000000001E-2</v>
      </c>
      <c r="R50" s="22">
        <v>40</v>
      </c>
      <c r="S50" s="22">
        <v>0.100952</v>
      </c>
      <c r="T50">
        <f t="shared" si="2"/>
        <v>16.679135802469133</v>
      </c>
      <c r="U50">
        <f t="shared" si="3"/>
        <v>1.6924485890123455</v>
      </c>
      <c r="X50" s="9"/>
      <c r="Y50" s="22">
        <v>1.49857</v>
      </c>
      <c r="Z50" s="22">
        <v>14.3634</v>
      </c>
      <c r="AA50" s="22">
        <v>-6.4361599999999998E-3</v>
      </c>
      <c r="AB50" s="22">
        <v>40</v>
      </c>
      <c r="AC50" s="22">
        <v>1.4975000000000001</v>
      </c>
      <c r="AD50">
        <f t="shared" si="4"/>
        <v>7.9458765432098755</v>
      </c>
      <c r="AE50">
        <f t="shared" si="5"/>
        <v>11.907452211358022</v>
      </c>
      <c r="AF50" s="9"/>
      <c r="AG50" s="22">
        <v>0.10147100000000001</v>
      </c>
      <c r="AH50" s="22">
        <v>17.981100000000001</v>
      </c>
      <c r="AI50" s="22">
        <v>-1.34888E-2</v>
      </c>
      <c r="AJ50" s="22">
        <v>40</v>
      </c>
      <c r="AK50" s="22">
        <v>0.100952</v>
      </c>
      <c r="AL50">
        <f t="shared" si="6"/>
        <v>16.652839506172839</v>
      </c>
      <c r="AM50">
        <f t="shared" si="7"/>
        <v>1.6897802775308641</v>
      </c>
      <c r="AP50" s="9"/>
      <c r="AQ50" s="22">
        <v>1.49857</v>
      </c>
      <c r="AR50" s="22">
        <v>23.2986</v>
      </c>
      <c r="AS50" s="22">
        <v>-6.6894500000000004E-3</v>
      </c>
      <c r="AT50" s="22">
        <v>40</v>
      </c>
      <c r="AU50" s="22">
        <v>1.4978</v>
      </c>
      <c r="AV50">
        <f t="shared" si="8"/>
        <v>8.2585802469135796</v>
      </c>
      <c r="AW50">
        <f t="shared" si="9"/>
        <v>12.376060600617283</v>
      </c>
      <c r="AX50" s="9"/>
      <c r="AY50" s="22">
        <v>0.10147100000000001</v>
      </c>
      <c r="AZ50" s="22">
        <v>26.916399999999999</v>
      </c>
      <c r="BA50" s="22">
        <v>-1.33423E-2</v>
      </c>
      <c r="BB50" s="22">
        <v>40</v>
      </c>
      <c r="BC50" s="22">
        <v>0.10101300000000001</v>
      </c>
      <c r="BD50">
        <f t="shared" si="10"/>
        <v>16.471975308641973</v>
      </c>
      <c r="BE50">
        <f t="shared" si="11"/>
        <v>1.6714278065432098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5.4792300000000003</v>
      </c>
      <c r="I51" s="22">
        <v>-6.8115199999999997E-3</v>
      </c>
      <c r="J51" s="22">
        <v>41</v>
      </c>
      <c r="K51" s="22">
        <v>1.49231</v>
      </c>
      <c r="L51">
        <f t="shared" si="0"/>
        <v>8.409283950617283</v>
      </c>
      <c r="M51">
        <f t="shared" si="1"/>
        <v>12.559517858765432</v>
      </c>
      <c r="N51" s="9"/>
      <c r="O51" s="22">
        <v>0.106506</v>
      </c>
      <c r="P51" s="22">
        <v>9.0969999999999995</v>
      </c>
      <c r="Q51" s="22">
        <v>-1.3501000000000001E-2</v>
      </c>
      <c r="R51" s="22">
        <v>41</v>
      </c>
      <c r="S51" s="22">
        <v>0.106049</v>
      </c>
      <c r="T51">
        <f t="shared" si="2"/>
        <v>16.667901234567903</v>
      </c>
      <c r="U51">
        <f t="shared" si="3"/>
        <v>1.7752314888888892</v>
      </c>
      <c r="X51" s="9"/>
      <c r="Y51" s="22">
        <v>1.49353</v>
      </c>
      <c r="Z51" s="22">
        <v>14.3734</v>
      </c>
      <c r="AA51" s="22">
        <v>-6.5765399999999996E-3</v>
      </c>
      <c r="AB51" s="22">
        <v>41</v>
      </c>
      <c r="AC51" s="22">
        <v>1.49261</v>
      </c>
      <c r="AD51">
        <f t="shared" si="4"/>
        <v>8.1191851851851844</v>
      </c>
      <c r="AE51">
        <f t="shared" si="5"/>
        <v>12.126246649629628</v>
      </c>
      <c r="AF51" s="9"/>
      <c r="AG51" s="22">
        <v>0.106506</v>
      </c>
      <c r="AH51" s="22">
        <v>17.991199999999999</v>
      </c>
      <c r="AI51" s="22">
        <v>-1.3473499999999999E-2</v>
      </c>
      <c r="AJ51" s="22">
        <v>41</v>
      </c>
      <c r="AK51" s="22">
        <v>0.106049</v>
      </c>
      <c r="AL51">
        <f t="shared" si="6"/>
        <v>16.633950617283947</v>
      </c>
      <c r="AM51">
        <f t="shared" si="7"/>
        <v>1.7716155444444441</v>
      </c>
      <c r="AP51" s="9"/>
      <c r="AQ51" s="22">
        <v>1.49353</v>
      </c>
      <c r="AR51" s="22">
        <v>23.308700000000002</v>
      </c>
      <c r="AS51" s="22">
        <v>-6.8328900000000003E-3</v>
      </c>
      <c r="AT51" s="22">
        <v>41</v>
      </c>
      <c r="AU51" s="22">
        <v>1.4932300000000001</v>
      </c>
      <c r="AV51">
        <f t="shared" si="8"/>
        <v>8.4356666666666662</v>
      </c>
      <c r="AW51">
        <f t="shared" si="9"/>
        <v>12.598921236666666</v>
      </c>
      <c r="AX51" s="9"/>
      <c r="AY51" s="22">
        <v>0.106506</v>
      </c>
      <c r="AZ51" s="22">
        <v>26.926400000000001</v>
      </c>
      <c r="BA51" s="22">
        <v>-1.33545E-2</v>
      </c>
      <c r="BB51" s="22">
        <v>41</v>
      </c>
      <c r="BC51" s="22">
        <v>0.106018</v>
      </c>
      <c r="BD51">
        <f t="shared" si="10"/>
        <v>16.487037037037037</v>
      </c>
      <c r="BE51">
        <f t="shared" si="11"/>
        <v>1.7559683666666668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5.4893000000000001</v>
      </c>
      <c r="I52" s="22">
        <v>-6.9397E-3</v>
      </c>
      <c r="J52" s="22">
        <v>42</v>
      </c>
      <c r="K52" s="22">
        <v>1.48743</v>
      </c>
      <c r="L52">
        <f t="shared" si="0"/>
        <v>8.5675308641975292</v>
      </c>
      <c r="M52">
        <f t="shared" si="1"/>
        <v>12.752684016049381</v>
      </c>
      <c r="N52" s="9"/>
      <c r="O52" s="22">
        <v>0.111542</v>
      </c>
      <c r="P52" s="22">
        <v>9.1070700000000002</v>
      </c>
      <c r="Q52" s="22">
        <v>-1.34979E-2</v>
      </c>
      <c r="R52" s="22">
        <v>42</v>
      </c>
      <c r="S52" s="22">
        <v>0.111023</v>
      </c>
      <c r="T52">
        <f t="shared" si="2"/>
        <v>16.664074074074072</v>
      </c>
      <c r="U52">
        <f t="shared" si="3"/>
        <v>1.8587441503703703</v>
      </c>
      <c r="X52" s="9"/>
      <c r="Y52" s="22">
        <v>1.4884900000000001</v>
      </c>
      <c r="Z52" s="22">
        <v>14.3835</v>
      </c>
      <c r="AA52" s="22">
        <v>-6.7138700000000003E-3</v>
      </c>
      <c r="AB52" s="22">
        <v>42</v>
      </c>
      <c r="AC52" s="22">
        <v>1.48773</v>
      </c>
      <c r="AD52">
        <f t="shared" si="4"/>
        <v>8.2887283950617281</v>
      </c>
      <c r="AE52">
        <f t="shared" si="5"/>
        <v>12.337689328765432</v>
      </c>
      <c r="AF52" s="9"/>
      <c r="AG52" s="22">
        <v>0.111542</v>
      </c>
      <c r="AH52" s="22">
        <v>18.001300000000001</v>
      </c>
      <c r="AI52" s="22">
        <v>-1.3458299999999999E-2</v>
      </c>
      <c r="AJ52" s="22">
        <v>42</v>
      </c>
      <c r="AK52" s="22">
        <v>0.111053</v>
      </c>
      <c r="AL52">
        <f t="shared" si="6"/>
        <v>16.615185185185183</v>
      </c>
      <c r="AM52">
        <f t="shared" si="7"/>
        <v>1.8532909859259257</v>
      </c>
      <c r="AP52" s="9"/>
      <c r="AQ52" s="22">
        <v>1.4884900000000001</v>
      </c>
      <c r="AR52" s="22">
        <v>23.3187</v>
      </c>
      <c r="AS52" s="22">
        <v>-6.9641099999999999E-3</v>
      </c>
      <c r="AT52" s="22">
        <v>42</v>
      </c>
      <c r="AU52" s="22">
        <v>1.48804</v>
      </c>
      <c r="AV52">
        <f t="shared" si="8"/>
        <v>8.597666666666667</v>
      </c>
      <c r="AW52">
        <f t="shared" si="9"/>
        <v>12.797540856666668</v>
      </c>
      <c r="AX52" s="9"/>
      <c r="AY52" s="22">
        <v>0.111542</v>
      </c>
      <c r="AZ52" s="22">
        <v>26.936499999999999</v>
      </c>
      <c r="BA52" s="22">
        <v>-1.33484E-2</v>
      </c>
      <c r="BB52" s="22">
        <v>42</v>
      </c>
      <c r="BC52" s="22">
        <v>0.111084</v>
      </c>
      <c r="BD52">
        <f t="shared" si="10"/>
        <v>16.479506172839503</v>
      </c>
      <c r="BE52">
        <f t="shared" si="11"/>
        <v>1.838157077530864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5.4993699999999999</v>
      </c>
      <c r="I53" s="22">
        <v>-7.0678700000000004E-3</v>
      </c>
      <c r="J53" s="22">
        <v>43</v>
      </c>
      <c r="K53" s="22">
        <v>1.48254</v>
      </c>
      <c r="L53">
        <f t="shared" si="0"/>
        <v>8.7257654320987648</v>
      </c>
      <c r="M53">
        <f t="shared" si="1"/>
        <v>12.944323987901234</v>
      </c>
      <c r="N53" s="9"/>
      <c r="O53" s="22">
        <v>0.116577</v>
      </c>
      <c r="P53" s="22">
        <v>9.1171399999999991</v>
      </c>
      <c r="Q53" s="22">
        <v>-1.34918E-2</v>
      </c>
      <c r="R53" s="22">
        <v>43</v>
      </c>
      <c r="S53" s="22">
        <v>0.116089</v>
      </c>
      <c r="T53">
        <f t="shared" si="2"/>
        <v>16.656543209876542</v>
      </c>
      <c r="U53">
        <f t="shared" si="3"/>
        <v>1.9417698377777777</v>
      </c>
      <c r="X53" s="9"/>
      <c r="Y53" s="22">
        <v>1.48346</v>
      </c>
      <c r="Z53" s="22">
        <v>14.393599999999999</v>
      </c>
      <c r="AA53" s="22">
        <v>-6.8542500000000001E-3</v>
      </c>
      <c r="AB53" s="22">
        <v>43</v>
      </c>
      <c r="AC53" s="22">
        <v>1.48254</v>
      </c>
      <c r="AD53">
        <f t="shared" si="4"/>
        <v>8.462037037037037</v>
      </c>
      <c r="AE53">
        <f t="shared" si="5"/>
        <v>12.553093462962963</v>
      </c>
      <c r="AF53" s="9"/>
      <c r="AG53" s="22">
        <v>0.116577</v>
      </c>
      <c r="AH53" s="22">
        <v>18.011399999999998</v>
      </c>
      <c r="AI53" s="22">
        <v>-1.3458299999999999E-2</v>
      </c>
      <c r="AJ53" s="22">
        <v>43</v>
      </c>
      <c r="AK53" s="22">
        <v>0.116089</v>
      </c>
      <c r="AL53">
        <f t="shared" si="6"/>
        <v>16.615185185185183</v>
      </c>
      <c r="AM53">
        <f t="shared" si="7"/>
        <v>1.936948443333333</v>
      </c>
      <c r="AP53" s="9"/>
      <c r="AQ53" s="22">
        <v>1.48346</v>
      </c>
      <c r="AR53" s="22">
        <v>23.328800000000001</v>
      </c>
      <c r="AS53" s="22">
        <v>-7.0892300000000002E-3</v>
      </c>
      <c r="AT53" s="22">
        <v>43</v>
      </c>
      <c r="AU53" s="22">
        <v>1.48224</v>
      </c>
      <c r="AV53">
        <f t="shared" si="8"/>
        <v>8.7521358024691356</v>
      </c>
      <c r="AW53">
        <f t="shared" si="9"/>
        <v>12.983443377530865</v>
      </c>
      <c r="AX53" s="9"/>
      <c r="AY53" s="22">
        <v>0.116577</v>
      </c>
      <c r="AZ53" s="22">
        <v>26.9466</v>
      </c>
      <c r="BA53" s="22">
        <v>-1.33423E-2</v>
      </c>
      <c r="BB53" s="22">
        <v>43</v>
      </c>
      <c r="BC53" s="22">
        <v>0.11605799999999999</v>
      </c>
      <c r="BD53">
        <f t="shared" si="10"/>
        <v>16.471975308641973</v>
      </c>
      <c r="BE53">
        <f t="shared" si="11"/>
        <v>1.9202534655555552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5.5094399999999997</v>
      </c>
      <c r="I54" s="22">
        <v>-7.1990999999999999E-3</v>
      </c>
      <c r="J54" s="22">
        <v>44</v>
      </c>
      <c r="K54" s="22">
        <v>1.47705</v>
      </c>
      <c r="L54">
        <f t="shared" si="0"/>
        <v>8.887777777777778</v>
      </c>
      <c r="M54">
        <f t="shared" si="1"/>
        <v>13.139868422222223</v>
      </c>
      <c r="N54" s="9"/>
      <c r="O54" s="22">
        <v>0.121613</v>
      </c>
      <c r="P54" s="22">
        <v>9.1272099999999998</v>
      </c>
      <c r="Q54" s="22">
        <v>-1.34796E-2</v>
      </c>
      <c r="R54" s="22">
        <v>44</v>
      </c>
      <c r="S54" s="22">
        <v>0.121185</v>
      </c>
      <c r="T54">
        <f t="shared" si="2"/>
        <v>16.641481481481478</v>
      </c>
      <c r="U54">
        <f t="shared" si="3"/>
        <v>2.0238204874074071</v>
      </c>
      <c r="X54" s="9"/>
      <c r="Y54" s="22">
        <v>1.4784200000000001</v>
      </c>
      <c r="Z54" s="22">
        <v>14.403700000000001</v>
      </c>
      <c r="AA54" s="22">
        <v>-6.9793700000000004E-3</v>
      </c>
      <c r="AB54" s="22">
        <v>44</v>
      </c>
      <c r="AC54" s="22">
        <v>1.47797</v>
      </c>
      <c r="AD54">
        <f t="shared" si="4"/>
        <v>8.6165061728395056</v>
      </c>
      <c r="AE54">
        <f t="shared" si="5"/>
        <v>12.738815056049383</v>
      </c>
      <c r="AF54" s="9"/>
      <c r="AG54" s="22">
        <v>0.121613</v>
      </c>
      <c r="AH54" s="22">
        <v>18.0214</v>
      </c>
      <c r="AI54" s="22">
        <v>-1.3461300000000001E-2</v>
      </c>
      <c r="AJ54" s="22">
        <v>44</v>
      </c>
      <c r="AK54" s="22">
        <v>0.121124</v>
      </c>
      <c r="AL54">
        <f t="shared" si="6"/>
        <v>16.618888888888886</v>
      </c>
      <c r="AM54">
        <f t="shared" si="7"/>
        <v>2.0210729344444442</v>
      </c>
      <c r="AP54" s="9"/>
      <c r="AQ54" s="22">
        <v>1.4784200000000001</v>
      </c>
      <c r="AR54" s="22">
        <v>23.338899999999999</v>
      </c>
      <c r="AS54" s="22">
        <v>-7.2143600000000004E-3</v>
      </c>
      <c r="AT54" s="22">
        <v>44</v>
      </c>
      <c r="AU54" s="22">
        <v>1.47766</v>
      </c>
      <c r="AV54">
        <f t="shared" si="8"/>
        <v>8.9066172839506166</v>
      </c>
      <c r="AW54">
        <f t="shared" si="9"/>
        <v>13.167721124938272</v>
      </c>
      <c r="AX54" s="9"/>
      <c r="AY54" s="22">
        <v>0.121613</v>
      </c>
      <c r="AZ54" s="22">
        <v>26.956600000000002</v>
      </c>
      <c r="BA54" s="22">
        <v>-1.3333100000000001E-2</v>
      </c>
      <c r="BB54" s="22">
        <v>44</v>
      </c>
      <c r="BC54" s="22">
        <v>0.121124</v>
      </c>
      <c r="BD54">
        <f t="shared" si="10"/>
        <v>16.460617283950615</v>
      </c>
      <c r="BE54">
        <f t="shared" si="11"/>
        <v>2.0018250497530863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5.5195100000000004</v>
      </c>
      <c r="I55" s="22">
        <v>-7.3242200000000002E-3</v>
      </c>
      <c r="J55" s="22">
        <v>45</v>
      </c>
      <c r="K55" s="22">
        <v>1.47217</v>
      </c>
      <c r="L55">
        <f t="shared" si="0"/>
        <v>9.0422469135802466</v>
      </c>
      <c r="M55">
        <f t="shared" si="1"/>
        <v>13.322756179999999</v>
      </c>
      <c r="N55" s="9"/>
      <c r="O55" s="22">
        <v>0.12664800000000001</v>
      </c>
      <c r="P55" s="22">
        <v>9.1372800000000005</v>
      </c>
      <c r="Q55" s="22">
        <v>-1.34705E-2</v>
      </c>
      <c r="R55" s="22">
        <v>45</v>
      </c>
      <c r="S55" s="22">
        <v>0.12612899999999999</v>
      </c>
      <c r="T55">
        <f t="shared" si="2"/>
        <v>16.630246913580244</v>
      </c>
      <c r="U55">
        <f t="shared" si="3"/>
        <v>2.106187511111111</v>
      </c>
      <c r="X55" s="9"/>
      <c r="Y55" s="22">
        <v>1.47339</v>
      </c>
      <c r="Z55" s="22">
        <v>14.4137</v>
      </c>
      <c r="AA55" s="22">
        <v>-7.1044899999999998E-3</v>
      </c>
      <c r="AB55" s="22">
        <v>45</v>
      </c>
      <c r="AC55" s="22">
        <v>1.4724699999999999</v>
      </c>
      <c r="AD55">
        <f t="shared" si="4"/>
        <v>8.7709753086419759</v>
      </c>
      <c r="AE55">
        <f t="shared" si="5"/>
        <v>12.92306731</v>
      </c>
      <c r="AF55" s="9"/>
      <c r="AG55" s="22">
        <v>0.12664800000000001</v>
      </c>
      <c r="AH55" s="22">
        <v>18.031500000000001</v>
      </c>
      <c r="AI55" s="22">
        <v>-1.3467399999999999E-2</v>
      </c>
      <c r="AJ55" s="22">
        <v>45</v>
      </c>
      <c r="AK55" s="22">
        <v>0.12609899999999999</v>
      </c>
      <c r="AL55">
        <f t="shared" si="6"/>
        <v>16.626419753086417</v>
      </c>
      <c r="AM55">
        <f t="shared" si="7"/>
        <v>2.1057028088888887</v>
      </c>
      <c r="AP55" s="9"/>
      <c r="AQ55" s="22">
        <v>1.47339</v>
      </c>
      <c r="AR55" s="22">
        <v>23.3489</v>
      </c>
      <c r="AS55" s="22">
        <v>-7.3425299999999999E-3</v>
      </c>
      <c r="AT55" s="22">
        <v>45</v>
      </c>
      <c r="AU55" s="22">
        <v>1.4730799999999999</v>
      </c>
      <c r="AV55">
        <f t="shared" si="8"/>
        <v>9.0648518518518522</v>
      </c>
      <c r="AW55">
        <f t="shared" si="9"/>
        <v>13.35606207</v>
      </c>
      <c r="AX55" s="9"/>
      <c r="AY55" s="22">
        <v>0.12664800000000001</v>
      </c>
      <c r="AZ55" s="22">
        <v>26.966699999999999</v>
      </c>
      <c r="BA55" s="22">
        <v>-1.3327E-2</v>
      </c>
      <c r="BB55" s="22">
        <v>45</v>
      </c>
      <c r="BC55" s="22">
        <v>0.12615999999999999</v>
      </c>
      <c r="BD55">
        <f t="shared" si="10"/>
        <v>16.453086419753085</v>
      </c>
      <c r="BE55">
        <f t="shared" si="11"/>
        <v>2.0837504888888887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5.5295899999999998</v>
      </c>
      <c r="I56" s="22">
        <v>-7.4523899999999997E-3</v>
      </c>
      <c r="J56" s="22">
        <v>46</v>
      </c>
      <c r="K56" s="22">
        <v>1.46759</v>
      </c>
      <c r="L56">
        <f t="shared" si="0"/>
        <v>9.2004814814814821</v>
      </c>
      <c r="M56">
        <f t="shared" si="1"/>
        <v>13.509526983333334</v>
      </c>
      <c r="N56" s="9"/>
      <c r="O56" s="22">
        <v>0.13168299999999999</v>
      </c>
      <c r="P56" s="22">
        <v>9.1473499999999994</v>
      </c>
      <c r="Q56" s="22">
        <v>-1.34644E-2</v>
      </c>
      <c r="R56" s="22">
        <v>46</v>
      </c>
      <c r="S56" s="22">
        <v>0.13122600000000001</v>
      </c>
      <c r="T56">
        <f t="shared" si="2"/>
        <v>16.622716049382717</v>
      </c>
      <c r="U56">
        <f t="shared" si="3"/>
        <v>2.1889291175308641</v>
      </c>
      <c r="X56" s="9"/>
      <c r="Y56" s="22">
        <v>1.46835</v>
      </c>
      <c r="Z56" s="22">
        <v>14.4238</v>
      </c>
      <c r="AA56" s="22">
        <v>-7.2235099999999998E-3</v>
      </c>
      <c r="AB56" s="22">
        <v>46</v>
      </c>
      <c r="AC56" s="22">
        <v>1.46759</v>
      </c>
      <c r="AD56">
        <f t="shared" si="4"/>
        <v>8.9179135802469123</v>
      </c>
      <c r="AE56">
        <f t="shared" si="5"/>
        <v>13.094618405555554</v>
      </c>
      <c r="AF56" s="9"/>
      <c r="AG56" s="22">
        <v>0.13168299999999999</v>
      </c>
      <c r="AH56" s="22">
        <v>18.041599999999999</v>
      </c>
      <c r="AI56" s="22">
        <v>-1.3473499999999999E-2</v>
      </c>
      <c r="AJ56" s="22">
        <v>46</v>
      </c>
      <c r="AK56" s="22">
        <v>0.13119500000000001</v>
      </c>
      <c r="AL56">
        <f t="shared" si="6"/>
        <v>16.633950617283947</v>
      </c>
      <c r="AM56">
        <f t="shared" si="7"/>
        <v>2.190408519135802</v>
      </c>
      <c r="AP56" s="9"/>
      <c r="AQ56" s="22">
        <v>1.46835</v>
      </c>
      <c r="AR56" s="22">
        <v>23.359000000000002</v>
      </c>
      <c r="AS56" s="22">
        <v>-7.4737500000000004E-3</v>
      </c>
      <c r="AT56" s="22">
        <v>46</v>
      </c>
      <c r="AU56" s="22">
        <v>1.4679</v>
      </c>
      <c r="AV56">
        <f t="shared" si="8"/>
        <v>9.226851851851853</v>
      </c>
      <c r="AW56">
        <f t="shared" si="9"/>
        <v>13.548247916666668</v>
      </c>
      <c r="AX56" s="9"/>
      <c r="AY56" s="22">
        <v>0.13168299999999999</v>
      </c>
      <c r="AZ56" s="22">
        <v>26.976800000000001</v>
      </c>
      <c r="BA56" s="22">
        <v>-1.33118E-2</v>
      </c>
      <c r="BB56" s="22">
        <v>46</v>
      </c>
      <c r="BC56" s="22">
        <v>0.13122600000000001</v>
      </c>
      <c r="BD56">
        <f t="shared" si="10"/>
        <v>16.434320987654321</v>
      </c>
      <c r="BE56">
        <f t="shared" si="11"/>
        <v>2.1641206906172838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5.5396599999999996</v>
      </c>
      <c r="I57" s="22">
        <v>-7.58057E-3</v>
      </c>
      <c r="J57" s="22">
        <v>47</v>
      </c>
      <c r="K57" s="22">
        <v>1.4623999999999999</v>
      </c>
      <c r="L57">
        <f t="shared" si="0"/>
        <v>9.3587283950617284</v>
      </c>
      <c r="M57">
        <f t="shared" si="1"/>
        <v>13.694814435061728</v>
      </c>
      <c r="N57" s="9"/>
      <c r="O57" s="22">
        <v>0.13671900000000001</v>
      </c>
      <c r="P57" s="22">
        <v>9.1574200000000001</v>
      </c>
      <c r="Q57" s="22">
        <v>-1.34644E-2</v>
      </c>
      <c r="R57" s="22">
        <v>47</v>
      </c>
      <c r="S57" s="22">
        <v>0.13619999999999999</v>
      </c>
      <c r="T57">
        <f t="shared" si="2"/>
        <v>16.622716049382717</v>
      </c>
      <c r="U57">
        <f t="shared" si="3"/>
        <v>2.2726411155555559</v>
      </c>
      <c r="X57" s="9"/>
      <c r="Y57" s="22">
        <v>1.46332</v>
      </c>
      <c r="Z57" s="22">
        <v>14.4339</v>
      </c>
      <c r="AA57" s="22">
        <v>-7.3486300000000001E-3</v>
      </c>
      <c r="AB57" s="22">
        <v>47</v>
      </c>
      <c r="AC57" s="22">
        <v>1.4621</v>
      </c>
      <c r="AD57">
        <f t="shared" si="4"/>
        <v>9.0723827160493808</v>
      </c>
      <c r="AE57">
        <f t="shared" si="5"/>
        <v>13.275799076049379</v>
      </c>
      <c r="AF57" s="9"/>
      <c r="AG57" s="22">
        <v>0.13671900000000001</v>
      </c>
      <c r="AH57" s="22">
        <v>18.051600000000001</v>
      </c>
      <c r="AI57" s="22">
        <v>-1.34766E-2</v>
      </c>
      <c r="AJ57" s="22">
        <v>47</v>
      </c>
      <c r="AK57" s="22">
        <v>0.13622999999999999</v>
      </c>
      <c r="AL57">
        <f t="shared" si="6"/>
        <v>16.637777777777774</v>
      </c>
      <c r="AM57">
        <f t="shared" si="7"/>
        <v>2.2747003399999999</v>
      </c>
      <c r="AP57" s="9"/>
      <c r="AQ57" s="22">
        <v>1.46332</v>
      </c>
      <c r="AR57" s="22">
        <v>23.3691</v>
      </c>
      <c r="AS57" s="22">
        <v>-7.5988799999999997E-3</v>
      </c>
      <c r="AT57" s="22">
        <v>47</v>
      </c>
      <c r="AU57" s="22">
        <v>1.46271</v>
      </c>
      <c r="AV57">
        <f t="shared" si="8"/>
        <v>9.3813333333333322</v>
      </c>
      <c r="AW57">
        <f t="shared" si="9"/>
        <v>13.727892693333331</v>
      </c>
      <c r="AX57" s="9"/>
      <c r="AY57" s="22">
        <v>0.13671900000000001</v>
      </c>
      <c r="AZ57" s="22">
        <v>26.986899999999999</v>
      </c>
      <c r="BA57" s="22">
        <v>-1.32996E-2</v>
      </c>
      <c r="BB57" s="22">
        <v>47</v>
      </c>
      <c r="BC57" s="22">
        <v>0.13619999999999999</v>
      </c>
      <c r="BD57">
        <f t="shared" si="10"/>
        <v>16.41925925925926</v>
      </c>
      <c r="BE57">
        <f t="shared" si="11"/>
        <v>2.2448247066666669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5.5497300000000003</v>
      </c>
      <c r="I58" s="22">
        <v>-7.6995800000000001E-3</v>
      </c>
      <c r="J58" s="22">
        <v>48</v>
      </c>
      <c r="K58" s="22">
        <v>1.4578199999999999</v>
      </c>
      <c r="L58">
        <f t="shared" si="0"/>
        <v>9.5056543209876541</v>
      </c>
      <c r="M58">
        <f t="shared" si="1"/>
        <v>13.861905583209877</v>
      </c>
      <c r="N58" s="9"/>
      <c r="O58" s="22">
        <v>0.14175399999999999</v>
      </c>
      <c r="P58" s="22">
        <v>9.1675000000000004</v>
      </c>
      <c r="Q58" s="22">
        <v>-1.3461300000000001E-2</v>
      </c>
      <c r="R58" s="22">
        <v>48</v>
      </c>
      <c r="S58" s="22">
        <v>0.141235</v>
      </c>
      <c r="T58">
        <f t="shared" si="2"/>
        <v>16.618888888888886</v>
      </c>
      <c r="U58">
        <f t="shared" si="3"/>
        <v>2.3557939755555548</v>
      </c>
      <c r="X58" s="9"/>
      <c r="Y58" s="22">
        <v>1.45828</v>
      </c>
      <c r="Z58" s="22">
        <v>14.443899999999999</v>
      </c>
      <c r="AA58" s="22">
        <v>-7.4737500000000004E-3</v>
      </c>
      <c r="AB58" s="22">
        <v>48</v>
      </c>
      <c r="AC58" s="22">
        <v>1.4572099999999999</v>
      </c>
      <c r="AD58">
        <f t="shared" si="4"/>
        <v>9.226851851851853</v>
      </c>
      <c r="AE58">
        <f t="shared" si="5"/>
        <v>13.45533351851852</v>
      </c>
      <c r="AF58" s="9"/>
      <c r="AG58" s="22">
        <v>0.14175399999999999</v>
      </c>
      <c r="AH58" s="22">
        <v>18.061699999999998</v>
      </c>
      <c r="AI58" s="22">
        <v>-1.34857E-2</v>
      </c>
      <c r="AJ58" s="22">
        <v>48</v>
      </c>
      <c r="AK58" s="22">
        <v>0.141235</v>
      </c>
      <c r="AL58">
        <f t="shared" si="6"/>
        <v>16.649012345679012</v>
      </c>
      <c r="AM58">
        <f t="shared" si="7"/>
        <v>2.3600640960493826</v>
      </c>
      <c r="AP58" s="9"/>
      <c r="AQ58" s="22">
        <v>1.45828</v>
      </c>
      <c r="AR58" s="22">
        <v>23.379200000000001</v>
      </c>
      <c r="AS58" s="22">
        <v>-7.7209499999999999E-3</v>
      </c>
      <c r="AT58" s="22">
        <v>48</v>
      </c>
      <c r="AU58" s="22">
        <v>1.4575199999999999</v>
      </c>
      <c r="AV58">
        <f t="shared" si="8"/>
        <v>9.5320370370370373</v>
      </c>
      <c r="AW58">
        <f t="shared" si="9"/>
        <v>13.900378970370371</v>
      </c>
      <c r="AX58" s="9"/>
      <c r="AY58" s="22">
        <v>0.14175399999999999</v>
      </c>
      <c r="AZ58" s="22">
        <v>26.9969</v>
      </c>
      <c r="BA58" s="22">
        <v>-1.3290400000000001E-2</v>
      </c>
      <c r="BB58" s="22">
        <v>48</v>
      </c>
      <c r="BC58" s="22">
        <v>0.141296</v>
      </c>
      <c r="BD58">
        <f t="shared" si="10"/>
        <v>16.407901234567902</v>
      </c>
      <c r="BE58">
        <f t="shared" si="11"/>
        <v>2.3258856316049381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5.5598000000000001</v>
      </c>
      <c r="I59" s="22">
        <v>-7.8216599999999994E-3</v>
      </c>
      <c r="J59" s="22">
        <v>49</v>
      </c>
      <c r="K59" s="22">
        <v>1.4526399999999999</v>
      </c>
      <c r="L59">
        <f t="shared" si="0"/>
        <v>9.6563703703703698</v>
      </c>
      <c r="M59">
        <f t="shared" si="1"/>
        <v>14.03312024074074</v>
      </c>
      <c r="N59" s="9"/>
      <c r="O59" s="22">
        <v>0.14679</v>
      </c>
      <c r="P59" s="22">
        <v>9.1775699999999993</v>
      </c>
      <c r="Q59" s="22">
        <v>-1.3467399999999999E-2</v>
      </c>
      <c r="R59" s="22">
        <v>49</v>
      </c>
      <c r="S59" s="22">
        <v>0.14627100000000001</v>
      </c>
      <c r="T59">
        <f t="shared" si="2"/>
        <v>16.626419753086417</v>
      </c>
      <c r="U59">
        <f t="shared" si="3"/>
        <v>2.4405921555555552</v>
      </c>
      <c r="X59" s="9"/>
      <c r="Y59" s="22">
        <v>1.4532499999999999</v>
      </c>
      <c r="Z59" s="22">
        <v>14.454000000000001</v>
      </c>
      <c r="AA59" s="22">
        <v>-7.5927700000000004E-3</v>
      </c>
      <c r="AB59" s="22">
        <v>49</v>
      </c>
      <c r="AC59" s="22">
        <v>1.4529399999999999</v>
      </c>
      <c r="AD59">
        <f t="shared" si="4"/>
        <v>9.3737901234567893</v>
      </c>
      <c r="AE59">
        <f t="shared" si="5"/>
        <v>13.622460496913579</v>
      </c>
      <c r="AF59" s="9"/>
      <c r="AG59" s="22">
        <v>0.14679</v>
      </c>
      <c r="AH59" s="22">
        <v>18.0718</v>
      </c>
      <c r="AI59" s="22">
        <v>-1.34857E-2</v>
      </c>
      <c r="AJ59" s="22">
        <v>49</v>
      </c>
      <c r="AK59" s="22">
        <v>0.14633199999999999</v>
      </c>
      <c r="AL59">
        <f t="shared" si="6"/>
        <v>16.649012345679012</v>
      </c>
      <c r="AM59">
        <f t="shared" si="7"/>
        <v>2.4439085222222223</v>
      </c>
      <c r="AP59" s="9"/>
      <c r="AQ59" s="22">
        <v>1.4532499999999999</v>
      </c>
      <c r="AR59" s="22">
        <v>23.389199999999999</v>
      </c>
      <c r="AS59" s="22">
        <v>-7.8430199999999992E-3</v>
      </c>
      <c r="AT59" s="22">
        <v>49</v>
      </c>
      <c r="AU59" s="22">
        <v>1.4517199999999999</v>
      </c>
      <c r="AV59">
        <f t="shared" si="8"/>
        <v>9.6827407407407389</v>
      </c>
      <c r="AW59">
        <f t="shared" si="9"/>
        <v>14.071442981481479</v>
      </c>
      <c r="AX59" s="9"/>
      <c r="AY59" s="22">
        <v>0.14679</v>
      </c>
      <c r="AZ59" s="22">
        <v>27.007000000000001</v>
      </c>
      <c r="BA59" s="22">
        <v>-1.32935E-2</v>
      </c>
      <c r="BB59" s="22">
        <v>49</v>
      </c>
      <c r="BC59" s="22">
        <v>0.14630099999999999</v>
      </c>
      <c r="BD59">
        <f t="shared" si="10"/>
        <v>16.411728395061726</v>
      </c>
      <c r="BE59">
        <f t="shared" si="11"/>
        <v>2.409077611111111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5.5698699999999999</v>
      </c>
      <c r="I60" s="22">
        <v>-7.92847E-3</v>
      </c>
      <c r="J60" s="22">
        <v>50</v>
      </c>
      <c r="K60" s="22">
        <v>1.4474499999999999</v>
      </c>
      <c r="L60">
        <f t="shared" si="0"/>
        <v>9.7882345679012346</v>
      </c>
      <c r="M60">
        <f t="shared" si="1"/>
        <v>14.175419183580248</v>
      </c>
      <c r="N60" s="9"/>
      <c r="O60" s="22">
        <v>0.15182499999999999</v>
      </c>
      <c r="P60" s="22">
        <v>9.18764</v>
      </c>
      <c r="Q60" s="22">
        <v>-1.34644E-2</v>
      </c>
      <c r="R60" s="22">
        <v>50</v>
      </c>
      <c r="S60" s="22">
        <v>0.151306</v>
      </c>
      <c r="T60">
        <f t="shared" si="2"/>
        <v>16.622716049382717</v>
      </c>
      <c r="U60">
        <f t="shared" si="3"/>
        <v>2.5237438641975309</v>
      </c>
      <c r="X60" s="9"/>
      <c r="Y60" s="22">
        <v>1.44821</v>
      </c>
      <c r="Z60" s="22">
        <v>14.4641</v>
      </c>
      <c r="AA60" s="22">
        <v>-7.7117899999999996E-3</v>
      </c>
      <c r="AB60" s="22">
        <v>50</v>
      </c>
      <c r="AC60" s="22">
        <v>1.4468399999999999</v>
      </c>
      <c r="AD60">
        <f t="shared" si="4"/>
        <v>9.5207283950617274</v>
      </c>
      <c r="AE60">
        <f t="shared" si="5"/>
        <v>13.788014069012345</v>
      </c>
      <c r="AF60" s="9"/>
      <c r="AG60" s="22">
        <v>0.15182499999999999</v>
      </c>
      <c r="AH60" s="22">
        <v>18.081900000000001</v>
      </c>
      <c r="AI60" s="22">
        <v>-1.34796E-2</v>
      </c>
      <c r="AJ60" s="22">
        <v>50</v>
      </c>
      <c r="AK60" s="22">
        <v>0.15127599999999999</v>
      </c>
      <c r="AL60">
        <f t="shared" si="6"/>
        <v>16.641481481481478</v>
      </c>
      <c r="AM60">
        <f t="shared" si="7"/>
        <v>2.5265929259259252</v>
      </c>
      <c r="AP60" s="9"/>
      <c r="AQ60" s="22">
        <v>1.44821</v>
      </c>
      <c r="AR60" s="22">
        <v>23.3993</v>
      </c>
      <c r="AS60" s="22">
        <v>-7.9650899999999993E-3</v>
      </c>
      <c r="AT60" s="22">
        <v>50</v>
      </c>
      <c r="AU60" s="22">
        <v>1.4477500000000001</v>
      </c>
      <c r="AV60">
        <f t="shared" si="8"/>
        <v>9.833444444444444</v>
      </c>
      <c r="AW60">
        <f t="shared" si="9"/>
        <v>14.240892578888888</v>
      </c>
      <c r="AX60" s="9"/>
      <c r="AY60" s="22">
        <v>0.15182499999999999</v>
      </c>
      <c r="AZ60" s="22">
        <v>27.017099999999999</v>
      </c>
      <c r="BA60" s="22">
        <v>-1.32996E-2</v>
      </c>
      <c r="BB60" s="22">
        <v>50</v>
      </c>
      <c r="BC60" s="22">
        <v>0.151337</v>
      </c>
      <c r="BD60">
        <f t="shared" si="10"/>
        <v>16.41925925925926</v>
      </c>
      <c r="BE60">
        <f t="shared" si="11"/>
        <v>2.4928540370370369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5.5799399999999997</v>
      </c>
      <c r="I61" s="22">
        <v>-8.04443E-3</v>
      </c>
      <c r="J61" s="22">
        <v>51</v>
      </c>
      <c r="K61" s="22">
        <v>1.4425699999999999</v>
      </c>
      <c r="L61">
        <f t="shared" si="0"/>
        <v>9.9313950617283933</v>
      </c>
      <c r="M61">
        <f t="shared" si="1"/>
        <v>14.332790725185182</v>
      </c>
      <c r="N61" s="9"/>
      <c r="O61" s="22">
        <v>0.15686</v>
      </c>
      <c r="P61" s="22">
        <v>9.1977100000000007</v>
      </c>
      <c r="Q61" s="22">
        <v>-1.3461300000000001E-2</v>
      </c>
      <c r="R61" s="22">
        <v>51</v>
      </c>
      <c r="S61" s="22">
        <v>0.15634200000000001</v>
      </c>
      <c r="T61">
        <f t="shared" si="2"/>
        <v>16.618888888888886</v>
      </c>
      <c r="U61">
        <f t="shared" si="3"/>
        <v>2.6068389111111108</v>
      </c>
      <c r="X61" s="9"/>
      <c r="Y61" s="22">
        <v>1.4431799999999999</v>
      </c>
      <c r="Z61" s="22">
        <v>14.4742</v>
      </c>
      <c r="AA61" s="22">
        <v>-7.8247100000000003E-3</v>
      </c>
      <c r="AB61" s="22">
        <v>51</v>
      </c>
      <c r="AC61" s="22">
        <v>1.4425699999999999</v>
      </c>
      <c r="AD61">
        <f t="shared" si="4"/>
        <v>9.6601358024691351</v>
      </c>
      <c r="AE61">
        <f t="shared" si="5"/>
        <v>13.941314787407405</v>
      </c>
      <c r="AF61" s="9"/>
      <c r="AG61" s="22">
        <v>0.15686</v>
      </c>
      <c r="AH61" s="22">
        <v>18.091899999999999</v>
      </c>
      <c r="AI61" s="22">
        <v>-1.34796E-2</v>
      </c>
      <c r="AJ61" s="22">
        <v>51</v>
      </c>
      <c r="AK61" s="22">
        <v>0.15631100000000001</v>
      </c>
      <c r="AL61">
        <f t="shared" si="6"/>
        <v>16.641481481481478</v>
      </c>
      <c r="AM61">
        <f t="shared" si="7"/>
        <v>2.6103827851851844</v>
      </c>
      <c r="AP61" s="9"/>
      <c r="AQ61" s="22">
        <v>1.4431799999999999</v>
      </c>
      <c r="AR61" s="22">
        <v>23.409400000000002</v>
      </c>
      <c r="AS61" s="22">
        <v>-8.0810499999999993E-3</v>
      </c>
      <c r="AT61" s="22">
        <v>51</v>
      </c>
      <c r="AU61" s="22">
        <v>1.4422600000000001</v>
      </c>
      <c r="AV61">
        <f t="shared" si="8"/>
        <v>9.9766049382716027</v>
      </c>
      <c r="AW61">
        <f t="shared" si="9"/>
        <v>14.398036714814811</v>
      </c>
      <c r="AX61" s="9"/>
      <c r="AY61" s="22">
        <v>0.15686</v>
      </c>
      <c r="AZ61" s="22">
        <v>27.027100000000001</v>
      </c>
      <c r="BA61" s="22">
        <v>-1.33148E-2</v>
      </c>
      <c r="BB61" s="22">
        <v>51</v>
      </c>
      <c r="BC61" s="22">
        <v>0.15640299999999999</v>
      </c>
      <c r="BD61">
        <f t="shared" si="10"/>
        <v>16.438024691358024</v>
      </c>
      <c r="BE61">
        <f t="shared" si="11"/>
        <v>2.5784685530864198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5.5900100000000004</v>
      </c>
      <c r="I62" s="22">
        <v>-8.1542999999999997E-3</v>
      </c>
      <c r="J62" s="22">
        <v>52</v>
      </c>
      <c r="K62" s="22">
        <v>1.4373800000000001</v>
      </c>
      <c r="L62">
        <f t="shared" si="0"/>
        <v>10.067037037037036</v>
      </c>
      <c r="M62">
        <f t="shared" si="1"/>
        <v>14.477808644444442</v>
      </c>
      <c r="N62" s="9"/>
      <c r="O62" s="22">
        <v>0.16189600000000001</v>
      </c>
      <c r="P62" s="22">
        <v>9.2077799999999996</v>
      </c>
      <c r="Q62" s="22">
        <v>-1.3458299999999999E-2</v>
      </c>
      <c r="R62" s="22">
        <v>52</v>
      </c>
      <c r="S62" s="22">
        <v>0.16140699999999999</v>
      </c>
      <c r="T62">
        <f t="shared" si="2"/>
        <v>16.615185185185183</v>
      </c>
      <c r="U62">
        <f t="shared" si="3"/>
        <v>2.6899320207407404</v>
      </c>
      <c r="X62" s="9"/>
      <c r="Y62" s="22">
        <v>1.43814</v>
      </c>
      <c r="Z62" s="22">
        <v>14.4842</v>
      </c>
      <c r="AA62" s="22">
        <v>-7.9406700000000004E-3</v>
      </c>
      <c r="AB62" s="22">
        <v>52</v>
      </c>
      <c r="AC62" s="22">
        <v>1.4367700000000001</v>
      </c>
      <c r="AD62">
        <f t="shared" si="4"/>
        <v>9.8032962962962955</v>
      </c>
      <c r="AE62">
        <f t="shared" si="5"/>
        <v>14.098512535555555</v>
      </c>
      <c r="AF62" s="9"/>
      <c r="AG62" s="22">
        <v>0.16189600000000001</v>
      </c>
      <c r="AH62" s="22">
        <v>18.102</v>
      </c>
      <c r="AI62" s="22">
        <v>-1.34766E-2</v>
      </c>
      <c r="AJ62" s="22">
        <v>52</v>
      </c>
      <c r="AK62" s="22">
        <v>0.16137699999999999</v>
      </c>
      <c r="AL62">
        <f t="shared" si="6"/>
        <v>16.637777777777774</v>
      </c>
      <c r="AM62">
        <f t="shared" si="7"/>
        <v>2.6935896711111109</v>
      </c>
      <c r="AP62" s="9"/>
      <c r="AQ62" s="22">
        <v>1.43814</v>
      </c>
      <c r="AR62" s="22">
        <v>23.4194</v>
      </c>
      <c r="AS62" s="22">
        <v>-8.1970199999999993E-3</v>
      </c>
      <c r="AT62" s="22">
        <v>52</v>
      </c>
      <c r="AU62" s="22">
        <v>1.4376800000000001</v>
      </c>
      <c r="AV62">
        <f t="shared" si="8"/>
        <v>10.119777777777776</v>
      </c>
      <c r="AW62">
        <f t="shared" si="9"/>
        <v>14.553657213333329</v>
      </c>
      <c r="AX62" s="9"/>
      <c r="AY62" s="22">
        <v>0.16189600000000001</v>
      </c>
      <c r="AZ62" s="22">
        <v>27.037199999999999</v>
      </c>
      <c r="BA62" s="22">
        <v>-1.33209E-2</v>
      </c>
      <c r="BB62" s="22">
        <v>52</v>
      </c>
      <c r="BC62" s="22">
        <v>0.16140699999999999</v>
      </c>
      <c r="BD62">
        <f t="shared" si="10"/>
        <v>16.445555555555554</v>
      </c>
      <c r="BE62">
        <f t="shared" si="11"/>
        <v>2.6624696622222221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5.6000800000000002</v>
      </c>
      <c r="I63" s="22">
        <v>-8.2733200000000007E-3</v>
      </c>
      <c r="J63" s="22">
        <v>53</v>
      </c>
      <c r="K63" s="22">
        <v>1.4321900000000001</v>
      </c>
      <c r="L63">
        <f t="shared" si="0"/>
        <v>10.213975308641976</v>
      </c>
      <c r="M63">
        <f t="shared" si="1"/>
        <v>14.637750154567902</v>
      </c>
      <c r="N63" s="9"/>
      <c r="O63" s="22">
        <v>0.166931</v>
      </c>
      <c r="P63" s="22">
        <v>9.2178500000000003</v>
      </c>
      <c r="Q63" s="22">
        <v>-1.3461300000000001E-2</v>
      </c>
      <c r="R63" s="22">
        <v>53</v>
      </c>
      <c r="S63" s="22">
        <v>0.166412</v>
      </c>
      <c r="T63">
        <f t="shared" si="2"/>
        <v>16.618888888888886</v>
      </c>
      <c r="U63">
        <f t="shared" si="3"/>
        <v>2.7742077411111108</v>
      </c>
      <c r="X63" s="9"/>
      <c r="Y63" s="22">
        <v>1.4331100000000001</v>
      </c>
      <c r="Z63" s="22">
        <v>14.494300000000001</v>
      </c>
      <c r="AA63" s="22">
        <v>-8.0535899999999994E-3</v>
      </c>
      <c r="AB63" s="22">
        <v>53</v>
      </c>
      <c r="AC63" s="22">
        <v>1.4321900000000001</v>
      </c>
      <c r="AD63">
        <f t="shared" si="4"/>
        <v>9.9427037037037014</v>
      </c>
      <c r="AE63">
        <f t="shared" si="5"/>
        <v>14.248988104814812</v>
      </c>
      <c r="AF63" s="9"/>
      <c r="AG63" s="22">
        <v>0.166931</v>
      </c>
      <c r="AH63" s="22">
        <v>18.112100000000002</v>
      </c>
      <c r="AI63" s="22">
        <v>-1.3467399999999999E-2</v>
      </c>
      <c r="AJ63" s="22">
        <v>53</v>
      </c>
      <c r="AK63" s="22">
        <v>0.166412</v>
      </c>
      <c r="AL63">
        <f t="shared" si="6"/>
        <v>16.626419753086417</v>
      </c>
      <c r="AM63">
        <f t="shared" si="7"/>
        <v>2.7754648758024687</v>
      </c>
      <c r="AP63" s="9"/>
      <c r="AQ63" s="22">
        <v>1.4331100000000001</v>
      </c>
      <c r="AR63" s="22">
        <v>23.429500000000001</v>
      </c>
      <c r="AS63" s="22">
        <v>-8.3129899999999993E-3</v>
      </c>
      <c r="AT63" s="22">
        <v>53</v>
      </c>
      <c r="AU63" s="22">
        <v>1.4321900000000001</v>
      </c>
      <c r="AV63">
        <f t="shared" si="8"/>
        <v>10.26295061728395</v>
      </c>
      <c r="AW63">
        <f t="shared" si="9"/>
        <v>14.707937159135803</v>
      </c>
      <c r="AX63" s="9"/>
      <c r="AY63" s="22">
        <v>0.166931</v>
      </c>
      <c r="AZ63" s="22">
        <v>27.0473</v>
      </c>
      <c r="BA63" s="22">
        <v>-1.33209E-2</v>
      </c>
      <c r="BB63" s="22">
        <v>53</v>
      </c>
      <c r="BC63" s="22">
        <v>0.166412</v>
      </c>
      <c r="BD63">
        <f t="shared" si="10"/>
        <v>16.445555555555554</v>
      </c>
      <c r="BE63">
        <f t="shared" si="11"/>
        <v>2.7452730344444443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5.61015</v>
      </c>
      <c r="I64" s="22">
        <v>-8.3801299999999995E-3</v>
      </c>
      <c r="J64" s="22">
        <v>54</v>
      </c>
      <c r="K64" s="22">
        <v>1.427</v>
      </c>
      <c r="L64">
        <f t="shared" si="0"/>
        <v>10.345839506172839</v>
      </c>
      <c r="M64">
        <f t="shared" si="1"/>
        <v>14.774583023580245</v>
      </c>
      <c r="N64" s="9"/>
      <c r="O64" s="22">
        <v>0.17196700000000001</v>
      </c>
      <c r="P64" s="22">
        <v>9.2279199999999992</v>
      </c>
      <c r="Q64" s="22">
        <v>-1.3458299999999999E-2</v>
      </c>
      <c r="R64" s="22">
        <v>54</v>
      </c>
      <c r="S64" s="22">
        <v>0.17147799999999999</v>
      </c>
      <c r="T64">
        <f t="shared" si="2"/>
        <v>16.615185185185183</v>
      </c>
      <c r="U64">
        <f t="shared" si="3"/>
        <v>2.8572635507407407</v>
      </c>
      <c r="X64" s="9"/>
      <c r="Y64" s="22">
        <v>1.42807</v>
      </c>
      <c r="Z64" s="22">
        <v>14.5044</v>
      </c>
      <c r="AA64" s="22">
        <v>-8.1695599999999993E-3</v>
      </c>
      <c r="AB64" s="22">
        <v>54</v>
      </c>
      <c r="AC64" s="22">
        <v>1.427</v>
      </c>
      <c r="AD64">
        <f t="shared" si="4"/>
        <v>10.085876543209876</v>
      </c>
      <c r="AE64">
        <f t="shared" si="5"/>
        <v>14.403337715061728</v>
      </c>
      <c r="AF64" s="9"/>
      <c r="AG64" s="22">
        <v>0.17196700000000001</v>
      </c>
      <c r="AH64" s="22">
        <v>18.1221</v>
      </c>
      <c r="AI64" s="22">
        <v>-1.34552E-2</v>
      </c>
      <c r="AJ64" s="22">
        <v>54</v>
      </c>
      <c r="AK64" s="22">
        <v>0.17138700000000001</v>
      </c>
      <c r="AL64">
        <f t="shared" si="6"/>
        <v>16.611358024691356</v>
      </c>
      <c r="AM64">
        <f t="shared" si="7"/>
        <v>2.8566054054320986</v>
      </c>
      <c r="AP64" s="9"/>
      <c r="AQ64" s="22">
        <v>1.42807</v>
      </c>
      <c r="AR64" s="22">
        <v>23.439599999999999</v>
      </c>
      <c r="AS64" s="22">
        <v>-8.4228500000000008E-3</v>
      </c>
      <c r="AT64" s="22">
        <v>54</v>
      </c>
      <c r="AU64" s="22">
        <v>1.4273100000000001</v>
      </c>
      <c r="AV64">
        <f t="shared" si="8"/>
        <v>10.39858024691358</v>
      </c>
      <c r="AW64">
        <f t="shared" si="9"/>
        <v>14.849900493209876</v>
      </c>
      <c r="AX64" s="9"/>
      <c r="AY64" s="22">
        <v>0.17196700000000001</v>
      </c>
      <c r="AZ64" s="22">
        <v>27.057400000000001</v>
      </c>
      <c r="BA64" s="22">
        <v>-1.33148E-2</v>
      </c>
      <c r="BB64" s="22">
        <v>54</v>
      </c>
      <c r="BC64" s="22">
        <v>0.17144799999999999</v>
      </c>
      <c r="BD64">
        <f t="shared" si="10"/>
        <v>16.438024691358024</v>
      </c>
      <c r="BE64">
        <f t="shared" si="11"/>
        <v>2.8267977920987652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5.6202199999999998</v>
      </c>
      <c r="I65" s="22">
        <v>-8.4869400000000001E-3</v>
      </c>
      <c r="J65" s="22">
        <v>55</v>
      </c>
      <c r="K65" s="22">
        <v>1.42181</v>
      </c>
      <c r="L65">
        <f t="shared" si="0"/>
        <v>10.477703703703703</v>
      </c>
      <c r="M65">
        <f t="shared" si="1"/>
        <v>14.910086701481481</v>
      </c>
      <c r="N65" s="9"/>
      <c r="O65" s="22">
        <v>0.17700199999999999</v>
      </c>
      <c r="P65" s="22">
        <v>9.2379899999999999</v>
      </c>
      <c r="Q65" s="22">
        <v>-1.3446E-2</v>
      </c>
      <c r="R65" s="22">
        <v>55</v>
      </c>
      <c r="S65" s="22">
        <v>0.176453</v>
      </c>
      <c r="T65">
        <f t="shared" si="2"/>
        <v>16.599999999999998</v>
      </c>
      <c r="U65">
        <f t="shared" si="3"/>
        <v>2.9382331999999995</v>
      </c>
      <c r="X65" s="9"/>
      <c r="Y65" s="22">
        <v>1.42303</v>
      </c>
      <c r="Z65" s="22">
        <v>14.5144</v>
      </c>
      <c r="AA65" s="22">
        <v>-8.2794199999999991E-3</v>
      </c>
      <c r="AB65" s="22">
        <v>55</v>
      </c>
      <c r="AC65" s="22">
        <v>1.4221200000000001</v>
      </c>
      <c r="AD65">
        <f t="shared" si="4"/>
        <v>10.221506172839504</v>
      </c>
      <c r="AE65">
        <f t="shared" si="5"/>
        <v>14.5455099291358</v>
      </c>
      <c r="AF65" s="9"/>
      <c r="AG65" s="22">
        <v>0.17700199999999999</v>
      </c>
      <c r="AH65" s="22">
        <v>18.132200000000001</v>
      </c>
      <c r="AI65" s="22">
        <v>-1.3446E-2</v>
      </c>
      <c r="AJ65" s="22">
        <v>55</v>
      </c>
      <c r="AK65" s="22">
        <v>0.176483</v>
      </c>
      <c r="AL65">
        <f t="shared" si="6"/>
        <v>16.599999999999998</v>
      </c>
      <c r="AM65">
        <f t="shared" si="7"/>
        <v>2.9382331999999995</v>
      </c>
      <c r="AP65" s="9"/>
      <c r="AQ65" s="22">
        <v>1.42303</v>
      </c>
      <c r="AR65" s="22">
        <v>23.4497</v>
      </c>
      <c r="AS65" s="22">
        <v>-8.5296599999999997E-3</v>
      </c>
      <c r="AT65" s="22">
        <v>55</v>
      </c>
      <c r="AU65" s="22">
        <v>1.4221200000000001</v>
      </c>
      <c r="AV65">
        <f t="shared" si="8"/>
        <v>10.530444444444443</v>
      </c>
      <c r="AW65">
        <f t="shared" si="9"/>
        <v>14.985138357777776</v>
      </c>
      <c r="AX65" s="9"/>
      <c r="AY65" s="22">
        <v>0.17700199999999999</v>
      </c>
      <c r="AZ65" s="22">
        <v>27.067399999999999</v>
      </c>
      <c r="BA65" s="22">
        <v>-1.33118E-2</v>
      </c>
      <c r="BB65" s="22">
        <v>55</v>
      </c>
      <c r="BC65" s="22">
        <v>0.176483</v>
      </c>
      <c r="BD65">
        <f t="shared" si="10"/>
        <v>16.434320987654321</v>
      </c>
      <c r="BE65">
        <f t="shared" si="11"/>
        <v>2.90890768345679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5.6303000000000001</v>
      </c>
      <c r="I66" s="22">
        <v>-8.5876500000000005E-3</v>
      </c>
      <c r="J66" s="22">
        <v>56</v>
      </c>
      <c r="K66" s="22">
        <v>1.41754</v>
      </c>
      <c r="L66">
        <f t="shared" si="0"/>
        <v>10.602037037037036</v>
      </c>
      <c r="M66">
        <f t="shared" si="1"/>
        <v>15.033688518518517</v>
      </c>
      <c r="N66" s="9"/>
      <c r="O66" s="22">
        <v>0.182037</v>
      </c>
      <c r="P66" s="22">
        <v>9.2480600000000006</v>
      </c>
      <c r="Q66" s="22">
        <v>-1.34369E-2</v>
      </c>
      <c r="R66" s="22">
        <v>56</v>
      </c>
      <c r="S66" s="22">
        <v>0.18148800000000001</v>
      </c>
      <c r="T66">
        <f t="shared" si="2"/>
        <v>16.588765432098764</v>
      </c>
      <c r="U66">
        <f t="shared" si="3"/>
        <v>3.0197690929629628</v>
      </c>
      <c r="X66" s="9"/>
      <c r="Y66" s="22">
        <v>1.4179999999999999</v>
      </c>
      <c r="Z66" s="22">
        <v>14.5245</v>
      </c>
      <c r="AA66" s="22">
        <v>-8.3862299999999997E-3</v>
      </c>
      <c r="AB66" s="22">
        <v>56</v>
      </c>
      <c r="AC66" s="22">
        <v>1.41693</v>
      </c>
      <c r="AD66">
        <f t="shared" si="4"/>
        <v>10.353370370370369</v>
      </c>
      <c r="AE66">
        <f t="shared" si="5"/>
        <v>14.681079185185183</v>
      </c>
      <c r="AF66" s="9"/>
      <c r="AG66" s="22">
        <v>0.182037</v>
      </c>
      <c r="AH66" s="22">
        <v>18.142299999999999</v>
      </c>
      <c r="AI66" s="22">
        <v>-1.34369E-2</v>
      </c>
      <c r="AJ66" s="22">
        <v>56</v>
      </c>
      <c r="AK66" s="22">
        <v>0.18151900000000001</v>
      </c>
      <c r="AL66">
        <f t="shared" si="6"/>
        <v>16.588765432098764</v>
      </c>
      <c r="AM66">
        <f t="shared" si="7"/>
        <v>3.0197690929629628</v>
      </c>
      <c r="AP66" s="9"/>
      <c r="AQ66" s="22">
        <v>1.4179999999999999</v>
      </c>
      <c r="AR66" s="22">
        <v>23.459700000000002</v>
      </c>
      <c r="AS66" s="22">
        <v>-8.6364700000000003E-3</v>
      </c>
      <c r="AT66" s="22">
        <v>56</v>
      </c>
      <c r="AU66" s="22">
        <v>1.41693</v>
      </c>
      <c r="AV66">
        <f t="shared" si="8"/>
        <v>10.662308641975308</v>
      </c>
      <c r="AW66">
        <f t="shared" si="9"/>
        <v>15.119153654320986</v>
      </c>
      <c r="AX66" s="9"/>
      <c r="AY66" s="22">
        <v>0.182037</v>
      </c>
      <c r="AZ66" s="22">
        <v>27.077500000000001</v>
      </c>
      <c r="BA66" s="22">
        <v>-1.33118E-2</v>
      </c>
      <c r="BB66" s="22">
        <v>56</v>
      </c>
      <c r="BC66" s="22">
        <v>0.18154899999999999</v>
      </c>
      <c r="BD66">
        <f t="shared" si="10"/>
        <v>16.434320987654321</v>
      </c>
      <c r="BE66">
        <f t="shared" si="11"/>
        <v>2.9916544896296298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5.6403699999999999</v>
      </c>
      <c r="I67" s="22">
        <v>-8.6883499999999992E-3</v>
      </c>
      <c r="J67" s="22">
        <v>57</v>
      </c>
      <c r="K67" s="22">
        <v>1.41235</v>
      </c>
      <c r="L67">
        <f t="shared" si="0"/>
        <v>10.726358024691356</v>
      </c>
      <c r="M67">
        <f t="shared" si="1"/>
        <v>15.155914834567898</v>
      </c>
      <c r="N67" s="9"/>
      <c r="O67" s="22">
        <v>0.18707299999999999</v>
      </c>
      <c r="P67" s="22">
        <v>9.2581299999999995</v>
      </c>
      <c r="Q67" s="22">
        <v>-1.34308E-2</v>
      </c>
      <c r="R67" s="22">
        <v>57</v>
      </c>
      <c r="S67" s="22">
        <v>0.186554</v>
      </c>
      <c r="T67">
        <f t="shared" si="2"/>
        <v>16.581234567901234</v>
      </c>
      <c r="U67">
        <f t="shared" si="3"/>
        <v>3.1019012943209874</v>
      </c>
      <c r="X67" s="9"/>
      <c r="Y67" s="22">
        <v>1.41296</v>
      </c>
      <c r="Z67" s="22">
        <v>14.534599999999999</v>
      </c>
      <c r="AA67" s="22">
        <v>-8.4899899999999993E-3</v>
      </c>
      <c r="AB67" s="22">
        <v>57</v>
      </c>
      <c r="AC67" s="22">
        <v>1.41205</v>
      </c>
      <c r="AD67">
        <f t="shared" si="4"/>
        <v>10.481469135802469</v>
      </c>
      <c r="AE67">
        <f t="shared" si="5"/>
        <v>14.809896630123456</v>
      </c>
      <c r="AF67" s="9"/>
      <c r="AG67" s="22">
        <v>0.18707299999999999</v>
      </c>
      <c r="AH67" s="22">
        <v>18.1523</v>
      </c>
      <c r="AI67" s="22">
        <v>-1.34308E-2</v>
      </c>
      <c r="AJ67" s="22">
        <v>57</v>
      </c>
      <c r="AK67" s="22">
        <v>0.18649299999999999</v>
      </c>
      <c r="AL67">
        <f t="shared" si="6"/>
        <v>16.581234567901234</v>
      </c>
      <c r="AM67">
        <f t="shared" si="7"/>
        <v>3.1019012943209874</v>
      </c>
      <c r="AP67" s="9"/>
      <c r="AQ67" s="22">
        <v>1.41296</v>
      </c>
      <c r="AR67" s="22">
        <v>23.469799999999999</v>
      </c>
      <c r="AS67" s="22">
        <v>-8.7402299999999999E-3</v>
      </c>
      <c r="AT67" s="22">
        <v>57</v>
      </c>
      <c r="AU67" s="22">
        <v>1.41205</v>
      </c>
      <c r="AV67">
        <f t="shared" si="8"/>
        <v>10.790407407407406</v>
      </c>
      <c r="AW67">
        <f t="shared" si="9"/>
        <v>15.246414050370367</v>
      </c>
      <c r="AX67" s="9"/>
      <c r="AY67" s="22">
        <v>0.18707299999999999</v>
      </c>
      <c r="AZ67" s="22">
        <v>27.087599999999998</v>
      </c>
      <c r="BA67" s="22">
        <v>-1.3296499999999999E-2</v>
      </c>
      <c r="BB67" s="22">
        <v>57</v>
      </c>
      <c r="BC67" s="22">
        <v>0.18652299999999999</v>
      </c>
      <c r="BD67">
        <f t="shared" si="10"/>
        <v>16.415432098765429</v>
      </c>
      <c r="BE67">
        <f t="shared" si="11"/>
        <v>3.0708841290123448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5.6504399999999997</v>
      </c>
      <c r="I68" s="22">
        <v>-8.7829599999999994E-3</v>
      </c>
      <c r="J68" s="22">
        <v>58</v>
      </c>
      <c r="K68" s="22">
        <v>1.40778</v>
      </c>
      <c r="L68">
        <f t="shared" si="0"/>
        <v>10.84316049382716</v>
      </c>
      <c r="M68">
        <f t="shared" si="1"/>
        <v>15.266410954074072</v>
      </c>
      <c r="N68" s="9"/>
      <c r="O68" s="22">
        <v>0.192108</v>
      </c>
      <c r="P68" s="22">
        <v>9.2682099999999998</v>
      </c>
      <c r="Q68" s="22">
        <v>-1.3427700000000001E-2</v>
      </c>
      <c r="R68" s="22">
        <v>58</v>
      </c>
      <c r="S68" s="22">
        <v>0.19155900000000001</v>
      </c>
      <c r="T68">
        <f t="shared" si="2"/>
        <v>16.57740740740741</v>
      </c>
      <c r="U68">
        <f t="shared" si="3"/>
        <v>3.1846525822222227</v>
      </c>
      <c r="X68" s="9"/>
      <c r="Y68" s="22">
        <v>1.4079299999999999</v>
      </c>
      <c r="Z68" s="22">
        <v>14.544600000000001</v>
      </c>
      <c r="AA68" s="22">
        <v>-8.5967999999999999E-3</v>
      </c>
      <c r="AB68" s="22">
        <v>58</v>
      </c>
      <c r="AC68" s="22">
        <v>1.40717</v>
      </c>
      <c r="AD68">
        <f t="shared" si="4"/>
        <v>10.613333333333332</v>
      </c>
      <c r="AE68">
        <f t="shared" si="5"/>
        <v>14.942830399999997</v>
      </c>
      <c r="AF68" s="9"/>
      <c r="AG68" s="22">
        <v>0.192108</v>
      </c>
      <c r="AH68" s="22">
        <v>18.162400000000002</v>
      </c>
      <c r="AI68" s="22">
        <v>-1.3424699999999999E-2</v>
      </c>
      <c r="AJ68" s="22">
        <v>58</v>
      </c>
      <c r="AK68" s="22">
        <v>0.191528</v>
      </c>
      <c r="AL68">
        <f t="shared" si="6"/>
        <v>16.5737037037037</v>
      </c>
      <c r="AM68">
        <f t="shared" si="7"/>
        <v>3.1839410711111102</v>
      </c>
      <c r="AP68" s="9"/>
      <c r="AQ68" s="22">
        <v>1.4079299999999999</v>
      </c>
      <c r="AR68" s="22">
        <v>23.479900000000001</v>
      </c>
      <c r="AS68" s="22">
        <v>-8.8409400000000003E-3</v>
      </c>
      <c r="AT68" s="22">
        <v>58</v>
      </c>
      <c r="AU68" s="22">
        <v>1.40717</v>
      </c>
      <c r="AV68">
        <f t="shared" si="8"/>
        <v>10.91474074074074</v>
      </c>
      <c r="AW68">
        <f t="shared" si="9"/>
        <v>15.367190931111109</v>
      </c>
      <c r="AX68" s="9"/>
      <c r="AY68" s="22">
        <v>0.192108</v>
      </c>
      <c r="AZ68" s="22">
        <v>27.0976</v>
      </c>
      <c r="BA68" s="22">
        <v>-1.3281299999999999E-2</v>
      </c>
      <c r="BB68" s="22">
        <v>58</v>
      </c>
      <c r="BC68" s="22">
        <v>0.19155900000000001</v>
      </c>
      <c r="BD68">
        <f t="shared" si="10"/>
        <v>16.396666666666665</v>
      </c>
      <c r="BE68">
        <f t="shared" si="11"/>
        <v>3.1499308399999997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5.6605100000000004</v>
      </c>
      <c r="I69" s="22">
        <v>-8.8806200000000005E-3</v>
      </c>
      <c r="J69" s="22">
        <v>59</v>
      </c>
      <c r="K69" s="22">
        <v>1.40106</v>
      </c>
      <c r="L69">
        <f t="shared" si="0"/>
        <v>10.963728395061729</v>
      </c>
      <c r="M69">
        <f t="shared" si="1"/>
        <v>15.380904928148148</v>
      </c>
      <c r="N69" s="9"/>
      <c r="O69" s="22">
        <v>0.19714400000000001</v>
      </c>
      <c r="P69" s="22">
        <v>9.2782800000000005</v>
      </c>
      <c r="Q69" s="22">
        <v>-1.3427700000000001E-2</v>
      </c>
      <c r="R69" s="22">
        <v>59</v>
      </c>
      <c r="S69" s="22">
        <v>0.19662499999999999</v>
      </c>
      <c r="T69">
        <f t="shared" si="2"/>
        <v>16.57740740740741</v>
      </c>
      <c r="U69">
        <f t="shared" si="3"/>
        <v>3.2681364059259268</v>
      </c>
      <c r="X69" s="9"/>
      <c r="Y69" s="22">
        <v>1.40289</v>
      </c>
      <c r="Z69" s="22">
        <v>14.5547</v>
      </c>
      <c r="AA69" s="22">
        <v>-8.6975100000000003E-3</v>
      </c>
      <c r="AB69" s="22">
        <v>59</v>
      </c>
      <c r="AC69" s="22">
        <v>1.40167</v>
      </c>
      <c r="AD69">
        <f t="shared" si="4"/>
        <v>10.737666666666666</v>
      </c>
      <c r="AE69">
        <f t="shared" si="5"/>
        <v>15.063765189999998</v>
      </c>
      <c r="AF69" s="9"/>
      <c r="AG69" s="22">
        <v>0.19714400000000001</v>
      </c>
      <c r="AH69" s="22">
        <v>18.172499999999999</v>
      </c>
      <c r="AI69" s="22">
        <v>-1.3412500000000001E-2</v>
      </c>
      <c r="AJ69" s="22">
        <v>59</v>
      </c>
      <c r="AK69" s="22">
        <v>0.196655</v>
      </c>
      <c r="AL69">
        <f t="shared" si="6"/>
        <v>16.558641975308642</v>
      </c>
      <c r="AM69">
        <f t="shared" si="7"/>
        <v>3.2644369135802473</v>
      </c>
      <c r="AP69" s="9"/>
      <c r="AQ69" s="22">
        <v>1.40289</v>
      </c>
      <c r="AR69" s="22">
        <v>23.489899999999999</v>
      </c>
      <c r="AS69" s="22">
        <v>-8.9385999999999997E-3</v>
      </c>
      <c r="AT69" s="22">
        <v>59</v>
      </c>
      <c r="AU69" s="22">
        <v>1.40198</v>
      </c>
      <c r="AV69">
        <f t="shared" si="8"/>
        <v>11.035308641975307</v>
      </c>
      <c r="AW69">
        <f t="shared" si="9"/>
        <v>15.481324140740739</v>
      </c>
      <c r="AX69" s="9"/>
      <c r="AY69" s="22">
        <v>0.19714400000000001</v>
      </c>
      <c r="AZ69" s="22">
        <v>27.107700000000001</v>
      </c>
      <c r="BA69" s="22">
        <v>-1.32599E-2</v>
      </c>
      <c r="BB69" s="22">
        <v>59</v>
      </c>
      <c r="BC69" s="22">
        <v>0.19662499999999999</v>
      </c>
      <c r="BD69">
        <f t="shared" si="10"/>
        <v>16.370246913580246</v>
      </c>
      <c r="BE69">
        <f t="shared" si="11"/>
        <v>3.2272959575308642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5.6705800000000002</v>
      </c>
      <c r="I70" s="22">
        <v>-8.97827E-3</v>
      </c>
      <c r="J70" s="22">
        <v>60</v>
      </c>
      <c r="K70" s="22">
        <v>1.3964799999999999</v>
      </c>
      <c r="L70">
        <f t="shared" si="0"/>
        <v>11.084283950617284</v>
      </c>
      <c r="M70">
        <f t="shared" si="1"/>
        <v>15.494277163209878</v>
      </c>
      <c r="N70" s="9"/>
      <c r="O70" s="22">
        <v>0.202179</v>
      </c>
      <c r="P70" s="22">
        <v>9.2883499999999994</v>
      </c>
      <c r="Q70" s="22">
        <v>-1.34308E-2</v>
      </c>
      <c r="R70" s="22">
        <v>60</v>
      </c>
      <c r="S70" s="22">
        <v>0.20172100000000001</v>
      </c>
      <c r="T70">
        <f t="shared" si="2"/>
        <v>16.581234567901234</v>
      </c>
      <c r="U70">
        <f t="shared" si="3"/>
        <v>3.3523774237037034</v>
      </c>
      <c r="X70" s="9"/>
      <c r="Y70" s="22">
        <v>1.3978600000000001</v>
      </c>
      <c r="Z70" s="22">
        <v>14.5648</v>
      </c>
      <c r="AA70" s="22">
        <v>-8.7921100000000005E-3</v>
      </c>
      <c r="AB70" s="22">
        <v>60</v>
      </c>
      <c r="AC70" s="22">
        <v>1.3970899999999999</v>
      </c>
      <c r="AD70">
        <f t="shared" si="4"/>
        <v>10.854456790123457</v>
      </c>
      <c r="AE70">
        <f t="shared" si="5"/>
        <v>15.173010968641977</v>
      </c>
      <c r="AF70" s="9"/>
      <c r="AG70" s="22">
        <v>0.202179</v>
      </c>
      <c r="AH70" s="22">
        <v>18.182600000000001</v>
      </c>
      <c r="AI70" s="22">
        <v>-1.34033E-2</v>
      </c>
      <c r="AJ70" s="22">
        <v>60</v>
      </c>
      <c r="AK70" s="22">
        <v>0.20166000000000001</v>
      </c>
      <c r="AL70">
        <f t="shared" si="6"/>
        <v>16.547283950617281</v>
      </c>
      <c r="AM70">
        <f t="shared" si="7"/>
        <v>3.3455133218518514</v>
      </c>
      <c r="AP70" s="9"/>
      <c r="AQ70" s="22">
        <v>1.3978600000000001</v>
      </c>
      <c r="AR70" s="22">
        <v>23.5</v>
      </c>
      <c r="AS70" s="22">
        <v>-9.0393100000000001E-3</v>
      </c>
      <c r="AT70" s="22">
        <v>60</v>
      </c>
      <c r="AU70" s="22">
        <v>1.3974</v>
      </c>
      <c r="AV70">
        <f t="shared" si="8"/>
        <v>11.159641975308642</v>
      </c>
      <c r="AW70">
        <f t="shared" si="9"/>
        <v>15.599617131604939</v>
      </c>
      <c r="AX70" s="9"/>
      <c r="AY70" s="22">
        <v>0.202179</v>
      </c>
      <c r="AZ70" s="22">
        <v>27.117799999999999</v>
      </c>
      <c r="BA70" s="22">
        <v>-1.32599E-2</v>
      </c>
      <c r="BB70" s="22">
        <v>60</v>
      </c>
      <c r="BC70" s="22">
        <v>0.201599</v>
      </c>
      <c r="BD70">
        <f t="shared" si="10"/>
        <v>16.370246913580246</v>
      </c>
      <c r="BE70">
        <f t="shared" si="11"/>
        <v>3.3097201507407403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5.68065</v>
      </c>
      <c r="I71" s="22">
        <v>-9.0789800000000004E-3</v>
      </c>
      <c r="J71" s="22">
        <v>61</v>
      </c>
      <c r="K71" s="22">
        <v>1.3922099999999999</v>
      </c>
      <c r="L71">
        <f t="shared" si="0"/>
        <v>11.208617283950616</v>
      </c>
      <c r="M71">
        <f t="shared" si="1"/>
        <v>15.611586325432096</v>
      </c>
      <c r="N71" s="9"/>
      <c r="O71" s="22">
        <v>0.20721400000000001</v>
      </c>
      <c r="P71" s="22">
        <v>9.2984200000000001</v>
      </c>
      <c r="Q71" s="22">
        <v>-1.3433799999999999E-2</v>
      </c>
      <c r="R71" s="22">
        <v>61</v>
      </c>
      <c r="S71" s="22">
        <v>0.20666499999999999</v>
      </c>
      <c r="T71">
        <f t="shared" si="2"/>
        <v>16.584938271604937</v>
      </c>
      <c r="U71">
        <f t="shared" si="3"/>
        <v>3.4366313990123456</v>
      </c>
      <c r="X71" s="9"/>
      <c r="Y71" s="22">
        <v>1.3928199999999999</v>
      </c>
      <c r="Z71" s="22">
        <v>14.5749</v>
      </c>
      <c r="AA71" s="22">
        <v>-8.8836699999999998E-3</v>
      </c>
      <c r="AB71" s="22">
        <v>61</v>
      </c>
      <c r="AC71" s="22">
        <v>1.39191</v>
      </c>
      <c r="AD71">
        <f t="shared" si="4"/>
        <v>10.967493827160492</v>
      </c>
      <c r="AE71">
        <f t="shared" si="5"/>
        <v>15.275744752345677</v>
      </c>
      <c r="AF71" s="9"/>
      <c r="AG71" s="22">
        <v>0.20721400000000001</v>
      </c>
      <c r="AH71" s="22">
        <v>18.192599999999999</v>
      </c>
      <c r="AI71" s="22">
        <v>-1.33911E-2</v>
      </c>
      <c r="AJ71" s="22">
        <v>61</v>
      </c>
      <c r="AK71" s="22">
        <v>0.20669599999999999</v>
      </c>
      <c r="AL71">
        <f t="shared" si="6"/>
        <v>16.53222222222222</v>
      </c>
      <c r="AM71">
        <f t="shared" si="7"/>
        <v>3.4257078955555551</v>
      </c>
      <c r="AP71" s="9"/>
      <c r="AQ71" s="22">
        <v>1.3928199999999999</v>
      </c>
      <c r="AR71" s="22">
        <v>23.510100000000001</v>
      </c>
      <c r="AS71" s="22">
        <v>-9.1369599999999995E-3</v>
      </c>
      <c r="AT71" s="22">
        <v>61</v>
      </c>
      <c r="AU71" s="22">
        <v>1.3922099999999999</v>
      </c>
      <c r="AV71">
        <f t="shared" si="8"/>
        <v>11.280197530864196</v>
      </c>
      <c r="AW71">
        <f t="shared" si="9"/>
        <v>15.71128472493827</v>
      </c>
      <c r="AX71" s="9"/>
      <c r="AY71" s="22">
        <v>0.20721400000000001</v>
      </c>
      <c r="AZ71" s="22">
        <v>27.1279</v>
      </c>
      <c r="BA71" s="22">
        <v>-1.32538E-2</v>
      </c>
      <c r="BB71" s="22">
        <v>61</v>
      </c>
      <c r="BC71" s="22">
        <v>0.20666499999999999</v>
      </c>
      <c r="BD71">
        <f t="shared" si="10"/>
        <v>16.362716049382716</v>
      </c>
      <c r="BE71">
        <f t="shared" si="11"/>
        <v>3.3905838434567901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5.6907199999999998</v>
      </c>
      <c r="I72" s="22">
        <v>-9.1613800000000002E-3</v>
      </c>
      <c r="J72" s="22">
        <v>62</v>
      </c>
      <c r="K72" s="22">
        <v>1.38672</v>
      </c>
      <c r="L72">
        <f t="shared" si="0"/>
        <v>11.310345679012347</v>
      </c>
      <c r="M72">
        <f t="shared" si="1"/>
        <v>15.696384629876546</v>
      </c>
      <c r="N72" s="9"/>
      <c r="O72" s="22">
        <v>0.21224999999999999</v>
      </c>
      <c r="P72" s="22">
        <v>9.3084900000000008</v>
      </c>
      <c r="Q72" s="22">
        <v>-1.3424699999999999E-2</v>
      </c>
      <c r="R72" s="22">
        <v>62</v>
      </c>
      <c r="S72" s="22">
        <v>0.2117</v>
      </c>
      <c r="T72">
        <f t="shared" si="2"/>
        <v>16.5737037037037</v>
      </c>
      <c r="U72">
        <f t="shared" si="3"/>
        <v>3.5177686111111104</v>
      </c>
      <c r="X72" s="9"/>
      <c r="Y72" s="22">
        <v>1.3877900000000001</v>
      </c>
      <c r="Z72" s="22">
        <v>14.584899999999999</v>
      </c>
      <c r="AA72" s="22">
        <v>-8.9843800000000001E-3</v>
      </c>
      <c r="AB72" s="22">
        <v>62</v>
      </c>
      <c r="AC72" s="22">
        <v>1.38672</v>
      </c>
      <c r="AD72">
        <f t="shared" si="4"/>
        <v>11.091827160493827</v>
      </c>
      <c r="AE72">
        <f t="shared" si="5"/>
        <v>15.393126815061729</v>
      </c>
      <c r="AF72" s="9"/>
      <c r="AG72" s="22">
        <v>0.21224999999999999</v>
      </c>
      <c r="AH72" s="22">
        <v>18.2027</v>
      </c>
      <c r="AI72" s="22">
        <v>-1.3382E-2</v>
      </c>
      <c r="AJ72" s="22">
        <v>62</v>
      </c>
      <c r="AK72" s="22">
        <v>0.211731</v>
      </c>
      <c r="AL72">
        <f t="shared" si="6"/>
        <v>16.520987654320987</v>
      </c>
      <c r="AM72">
        <f t="shared" si="7"/>
        <v>3.5065796296296292</v>
      </c>
      <c r="AP72" s="9"/>
      <c r="AQ72" s="22">
        <v>1.3877900000000001</v>
      </c>
      <c r="AR72" s="22">
        <v>23.520199999999999</v>
      </c>
      <c r="AS72" s="22">
        <v>-9.2315699999999997E-3</v>
      </c>
      <c r="AT72" s="22">
        <v>62</v>
      </c>
      <c r="AU72" s="22">
        <v>1.3864099999999999</v>
      </c>
      <c r="AV72">
        <f t="shared" si="8"/>
        <v>11.396999999999998</v>
      </c>
      <c r="AW72">
        <f t="shared" si="9"/>
        <v>15.816642629999999</v>
      </c>
      <c r="AX72" s="9"/>
      <c r="AY72" s="22">
        <v>0.21224999999999999</v>
      </c>
      <c r="AZ72" s="22">
        <v>27.137899999999998</v>
      </c>
      <c r="BA72" s="22">
        <v>-1.32538E-2</v>
      </c>
      <c r="BB72" s="22">
        <v>62</v>
      </c>
      <c r="BC72" s="22">
        <v>0.211731</v>
      </c>
      <c r="BD72">
        <f t="shared" si="10"/>
        <v>16.362716049382716</v>
      </c>
      <c r="BE72">
        <f t="shared" si="11"/>
        <v>3.4729864814814815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5.7007899999999996</v>
      </c>
      <c r="I73" s="22">
        <v>-9.2498800000000003E-3</v>
      </c>
      <c r="J73" s="22">
        <v>63</v>
      </c>
      <c r="K73" s="22">
        <v>1.3815299999999999</v>
      </c>
      <c r="L73">
        <f t="shared" si="0"/>
        <v>11.419604938271604</v>
      </c>
      <c r="M73">
        <f t="shared" si="1"/>
        <v>15.790458728395059</v>
      </c>
      <c r="N73" s="9"/>
      <c r="O73" s="22">
        <v>0.21728500000000001</v>
      </c>
      <c r="P73" s="22">
        <v>9.3185599999999997</v>
      </c>
      <c r="Q73" s="22">
        <v>-1.3418599999999999E-2</v>
      </c>
      <c r="R73" s="22">
        <v>63</v>
      </c>
      <c r="S73" s="22">
        <v>0.21673600000000001</v>
      </c>
      <c r="T73">
        <f t="shared" si="2"/>
        <v>16.566172839506169</v>
      </c>
      <c r="U73">
        <f t="shared" si="3"/>
        <v>3.599580865432098</v>
      </c>
      <c r="X73" s="9"/>
      <c r="Y73" s="22">
        <v>1.3827499999999999</v>
      </c>
      <c r="Z73" s="22">
        <v>14.595000000000001</v>
      </c>
      <c r="AA73" s="22">
        <v>-9.0759299999999994E-3</v>
      </c>
      <c r="AB73" s="22">
        <v>63</v>
      </c>
      <c r="AC73" s="22">
        <v>1.38245</v>
      </c>
      <c r="AD73">
        <f t="shared" si="4"/>
        <v>11.204851851851851</v>
      </c>
      <c r="AE73">
        <f t="shared" si="5"/>
        <v>15.493508898148146</v>
      </c>
      <c r="AF73" s="9"/>
      <c r="AG73" s="22">
        <v>0.21728500000000001</v>
      </c>
      <c r="AH73" s="22">
        <v>18.212800000000001</v>
      </c>
      <c r="AI73" s="22">
        <v>-1.33759E-2</v>
      </c>
      <c r="AJ73" s="22">
        <v>63</v>
      </c>
      <c r="AK73" s="22">
        <v>0.21676599999999999</v>
      </c>
      <c r="AL73">
        <f t="shared" si="6"/>
        <v>16.513456790123456</v>
      </c>
      <c r="AM73">
        <f t="shared" si="7"/>
        <v>3.5881264586419754</v>
      </c>
      <c r="AP73" s="9"/>
      <c r="AQ73" s="22">
        <v>1.3827499999999999</v>
      </c>
      <c r="AR73" s="22">
        <v>23.530200000000001</v>
      </c>
      <c r="AS73" s="22">
        <v>-9.3231200000000007E-3</v>
      </c>
      <c r="AT73" s="22">
        <v>63</v>
      </c>
      <c r="AU73" s="22">
        <v>1.38184</v>
      </c>
      <c r="AV73">
        <f t="shared" si="8"/>
        <v>11.510024691358025</v>
      </c>
      <c r="AW73">
        <f t="shared" si="9"/>
        <v>15.915486641975308</v>
      </c>
      <c r="AX73" s="9"/>
      <c r="AY73" s="22">
        <v>0.21728500000000001</v>
      </c>
      <c r="AZ73" s="22">
        <v>27.148</v>
      </c>
      <c r="BA73" s="22">
        <v>-1.3241599999999999E-2</v>
      </c>
      <c r="BB73" s="22">
        <v>63</v>
      </c>
      <c r="BC73" s="22">
        <v>0.21667500000000001</v>
      </c>
      <c r="BD73">
        <f t="shared" si="10"/>
        <v>16.347654320987651</v>
      </c>
      <c r="BE73">
        <f t="shared" si="11"/>
        <v>3.5521000691358018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5.7108600000000003</v>
      </c>
      <c r="I74" s="22">
        <v>-9.3353299999999993E-3</v>
      </c>
      <c r="J74" s="22">
        <v>64</v>
      </c>
      <c r="K74" s="22">
        <v>1.3766499999999999</v>
      </c>
      <c r="L74">
        <f t="shared" si="0"/>
        <v>11.525098765432098</v>
      </c>
      <c r="M74">
        <f t="shared" si="1"/>
        <v>15.878359071111111</v>
      </c>
      <c r="N74" s="9"/>
      <c r="O74" s="22">
        <v>0.22232099999999999</v>
      </c>
      <c r="P74" s="22">
        <v>9.3286300000000004</v>
      </c>
      <c r="Q74" s="22">
        <v>-1.34033E-2</v>
      </c>
      <c r="R74" s="22">
        <v>64</v>
      </c>
      <c r="S74" s="22">
        <v>0.221802</v>
      </c>
      <c r="T74">
        <f t="shared" si="2"/>
        <v>16.547283950617281</v>
      </c>
      <c r="U74">
        <f t="shared" si="3"/>
        <v>3.6788087151851845</v>
      </c>
      <c r="X74" s="9"/>
      <c r="Y74" s="22">
        <v>1.3777200000000001</v>
      </c>
      <c r="Z74" s="22">
        <v>14.6051</v>
      </c>
      <c r="AA74" s="22">
        <v>-9.1705299999999997E-3</v>
      </c>
      <c r="AB74" s="22">
        <v>64</v>
      </c>
      <c r="AC74" s="22">
        <v>1.3769499999999999</v>
      </c>
      <c r="AD74">
        <f t="shared" si="4"/>
        <v>11.321641975308642</v>
      </c>
      <c r="AE74">
        <f t="shared" si="5"/>
        <v>15.598052582222223</v>
      </c>
      <c r="AF74" s="9"/>
      <c r="AG74" s="22">
        <v>0.22232099999999999</v>
      </c>
      <c r="AH74" s="22">
        <v>18.222799999999999</v>
      </c>
      <c r="AI74" s="22">
        <v>-1.3372800000000001E-2</v>
      </c>
      <c r="AJ74" s="22">
        <v>64</v>
      </c>
      <c r="AK74" s="22">
        <v>0.22174099999999999</v>
      </c>
      <c r="AL74">
        <f t="shared" si="6"/>
        <v>16.509629629629632</v>
      </c>
      <c r="AM74">
        <f t="shared" si="7"/>
        <v>3.6704373688888894</v>
      </c>
      <c r="AP74" s="9"/>
      <c r="AQ74" s="22">
        <v>1.3777200000000001</v>
      </c>
      <c r="AR74" s="22">
        <v>23.540299999999998</v>
      </c>
      <c r="AS74" s="22">
        <v>-9.4085699999999998E-3</v>
      </c>
      <c r="AT74" s="22">
        <v>64</v>
      </c>
      <c r="AU74" s="22">
        <v>1.3769499999999999</v>
      </c>
      <c r="AV74">
        <f t="shared" si="8"/>
        <v>11.615518518518519</v>
      </c>
      <c r="AW74">
        <f t="shared" si="9"/>
        <v>16.002932173333335</v>
      </c>
      <c r="AX74" s="9"/>
      <c r="AY74" s="22">
        <v>0.22232099999999999</v>
      </c>
      <c r="AZ74" s="22">
        <v>27.158100000000001</v>
      </c>
      <c r="BA74" s="22">
        <v>-1.3235500000000001E-2</v>
      </c>
      <c r="BB74" s="22">
        <v>64</v>
      </c>
      <c r="BC74" s="22">
        <v>0.22174099999999999</v>
      </c>
      <c r="BD74">
        <f t="shared" si="10"/>
        <v>16.340123456790124</v>
      </c>
      <c r="BE74">
        <f t="shared" si="11"/>
        <v>3.6327525870370372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5.7209300000000001</v>
      </c>
      <c r="I75" s="22">
        <v>-9.4299299999999996E-3</v>
      </c>
      <c r="J75" s="22">
        <v>65</v>
      </c>
      <c r="K75" s="22">
        <v>1.3717699999999999</v>
      </c>
      <c r="L75">
        <f t="shared" si="0"/>
        <v>11.641888888888888</v>
      </c>
      <c r="M75">
        <f t="shared" si="1"/>
        <v>15.980588039999997</v>
      </c>
      <c r="N75" s="9"/>
      <c r="O75" s="22">
        <v>0.227356</v>
      </c>
      <c r="P75" s="22">
        <v>9.3386999999999993</v>
      </c>
      <c r="Q75" s="22">
        <v>-1.34003E-2</v>
      </c>
      <c r="R75" s="22">
        <v>65</v>
      </c>
      <c r="S75" s="22">
        <v>0.22686799999999999</v>
      </c>
      <c r="T75">
        <f t="shared" si="2"/>
        <v>16.543580246913578</v>
      </c>
      <c r="U75">
        <f t="shared" si="3"/>
        <v>3.7612822306172835</v>
      </c>
      <c r="X75" s="9"/>
      <c r="Y75" s="22">
        <v>1.3726799999999999</v>
      </c>
      <c r="Z75" s="22">
        <v>14.6151</v>
      </c>
      <c r="AA75" s="22">
        <v>-9.2681900000000008E-3</v>
      </c>
      <c r="AB75" s="22">
        <v>65</v>
      </c>
      <c r="AC75" s="22">
        <v>1.3717699999999999</v>
      </c>
      <c r="AD75">
        <f t="shared" si="4"/>
        <v>11.44220987654321</v>
      </c>
      <c r="AE75">
        <f t="shared" si="5"/>
        <v>15.706492653333331</v>
      </c>
      <c r="AF75" s="9"/>
      <c r="AG75" s="22">
        <v>0.227356</v>
      </c>
      <c r="AH75" s="22">
        <v>18.232900000000001</v>
      </c>
      <c r="AI75" s="22">
        <v>-1.3369799999999999E-2</v>
      </c>
      <c r="AJ75" s="22">
        <v>65</v>
      </c>
      <c r="AK75" s="22">
        <v>0.22680700000000001</v>
      </c>
      <c r="AL75">
        <f t="shared" si="6"/>
        <v>16.505925925925922</v>
      </c>
      <c r="AM75">
        <f t="shared" si="7"/>
        <v>3.7527212948148141</v>
      </c>
      <c r="AP75" s="9"/>
      <c r="AQ75" s="22">
        <v>1.3726799999999999</v>
      </c>
      <c r="AR75" s="22">
        <v>23.5504</v>
      </c>
      <c r="AS75" s="22">
        <v>-9.5001200000000008E-3</v>
      </c>
      <c r="AT75" s="22">
        <v>65</v>
      </c>
      <c r="AU75" s="22">
        <v>1.3714599999999999</v>
      </c>
      <c r="AV75">
        <f t="shared" si="8"/>
        <v>11.728543209876545</v>
      </c>
      <c r="AW75">
        <f t="shared" si="9"/>
        <v>16.099536693333334</v>
      </c>
      <c r="AX75" s="9"/>
      <c r="AY75" s="22">
        <v>0.227356</v>
      </c>
      <c r="AZ75" s="22">
        <v>27.168099999999999</v>
      </c>
      <c r="BA75" s="22">
        <v>-1.32324E-2</v>
      </c>
      <c r="BB75" s="22">
        <v>65</v>
      </c>
      <c r="BC75" s="22">
        <v>0.22683700000000001</v>
      </c>
      <c r="BD75">
        <f t="shared" si="10"/>
        <v>16.336296296296297</v>
      </c>
      <c r="BE75">
        <f t="shared" si="11"/>
        <v>3.7141549807407408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5.7310100000000004</v>
      </c>
      <c r="I76" s="22">
        <v>-9.5062299999999992E-3</v>
      </c>
      <c r="J76" s="22">
        <v>66</v>
      </c>
      <c r="K76" s="22">
        <v>1.3671899999999999</v>
      </c>
      <c r="L76">
        <f t="shared" ref="L76:L139" si="12">-I76/$F$2*1000</f>
        <v>11.736086419753084</v>
      </c>
      <c r="M76">
        <f t="shared" ref="M76:M139" si="13">L76*G76</f>
        <v>16.050858591975306</v>
      </c>
      <c r="N76" s="9"/>
      <c r="O76" s="22">
        <v>0.23239099999999999</v>
      </c>
      <c r="P76" s="22">
        <v>9.34877</v>
      </c>
      <c r="Q76" s="22">
        <v>-1.3406400000000001E-2</v>
      </c>
      <c r="R76" s="22">
        <v>66</v>
      </c>
      <c r="S76" s="22">
        <v>0.231873</v>
      </c>
      <c r="T76">
        <f t="shared" ref="T76:T139" si="14">-Q76/$F$2*1000</f>
        <v>16.551111111111108</v>
      </c>
      <c r="U76">
        <f t="shared" ref="U76:U139" si="15">T76*O76</f>
        <v>3.8463292622222212</v>
      </c>
      <c r="X76" s="9"/>
      <c r="Y76" s="22">
        <v>1.36765</v>
      </c>
      <c r="Z76" s="22">
        <v>14.6252</v>
      </c>
      <c r="AA76" s="22">
        <v>-9.3597400000000001E-3</v>
      </c>
      <c r="AB76" s="22">
        <v>66</v>
      </c>
      <c r="AC76" s="22">
        <v>1.3668800000000001</v>
      </c>
      <c r="AD76">
        <f t="shared" ref="AD76:AD139" si="16">-AA76/$F$2*1000</f>
        <v>11.555234567901234</v>
      </c>
      <c r="AE76">
        <f t="shared" ref="AE76:AE139" si="17">AD76*Y76</f>
        <v>15.803516556790123</v>
      </c>
      <c r="AF76" s="9"/>
      <c r="AG76" s="22">
        <v>0.23239099999999999</v>
      </c>
      <c r="AH76" s="22">
        <v>18.242999999999999</v>
      </c>
      <c r="AI76" s="22">
        <v>-1.33636E-2</v>
      </c>
      <c r="AJ76" s="22">
        <v>66</v>
      </c>
      <c r="AK76" s="22">
        <v>0.23181199999999999</v>
      </c>
      <c r="AL76">
        <f t="shared" ref="AL76:AL139" si="18">-AI76/$F$2*1000</f>
        <v>16.498271604938271</v>
      </c>
      <c r="AM76">
        <f t="shared" ref="AM76:AM139" si="19">AL76*AG76</f>
        <v>3.8340498365432096</v>
      </c>
      <c r="AP76" s="9"/>
      <c r="AQ76" s="22">
        <v>1.36765</v>
      </c>
      <c r="AR76" s="22">
        <v>23.560400000000001</v>
      </c>
      <c r="AS76" s="22">
        <v>-9.5916700000000001E-3</v>
      </c>
      <c r="AT76" s="22">
        <v>66</v>
      </c>
      <c r="AU76" s="22">
        <v>1.3668800000000001</v>
      </c>
      <c r="AV76">
        <f t="shared" ref="AV76:AV139" si="20">-AS76/$F$2*1000</f>
        <v>11.841567901234567</v>
      </c>
      <c r="AW76">
        <f t="shared" ref="AW76:AW139" si="21">AV76*AQ76</f>
        <v>16.195120340123456</v>
      </c>
      <c r="AX76" s="9"/>
      <c r="AY76" s="22">
        <v>0.23239099999999999</v>
      </c>
      <c r="AZ76" s="22">
        <v>27.1782</v>
      </c>
      <c r="BA76" s="22">
        <v>-1.32324E-2</v>
      </c>
      <c r="BB76" s="22">
        <v>66</v>
      </c>
      <c r="BC76" s="22">
        <v>0.23181199999999999</v>
      </c>
      <c r="BD76">
        <f t="shared" ref="BD76:BD139" si="22">-BA76/$F$2*1000</f>
        <v>16.336296296296297</v>
      </c>
      <c r="BE76">
        <f t="shared" ref="BE76:BE139" si="23">BD76*AY76</f>
        <v>3.7964082325925923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5.7410800000000002</v>
      </c>
      <c r="I77" s="22">
        <v>-9.5916700000000001E-3</v>
      </c>
      <c r="J77" s="22">
        <v>67</v>
      </c>
      <c r="K77" s="22">
        <v>1.3613900000000001</v>
      </c>
      <c r="L77">
        <f t="shared" si="12"/>
        <v>11.841567901234567</v>
      </c>
      <c r="M77">
        <f t="shared" si="13"/>
        <v>16.135438837901233</v>
      </c>
      <c r="N77" s="9"/>
      <c r="O77" s="22">
        <v>0.237427</v>
      </c>
      <c r="P77" s="22">
        <v>9.3588400000000007</v>
      </c>
      <c r="Q77" s="22">
        <v>-1.34003E-2</v>
      </c>
      <c r="R77" s="22">
        <v>67</v>
      </c>
      <c r="S77" s="22">
        <v>0.23690800000000001</v>
      </c>
      <c r="T77">
        <f t="shared" si="14"/>
        <v>16.543580246913578</v>
      </c>
      <c r="U77">
        <f t="shared" si="15"/>
        <v>3.9278926272839501</v>
      </c>
      <c r="X77" s="9"/>
      <c r="Y77" s="22">
        <v>1.3626100000000001</v>
      </c>
      <c r="Z77" s="22">
        <v>14.635300000000001</v>
      </c>
      <c r="AA77" s="22">
        <v>-9.4421399999999999E-3</v>
      </c>
      <c r="AB77" s="22">
        <v>67</v>
      </c>
      <c r="AC77" s="22">
        <v>1.3616900000000001</v>
      </c>
      <c r="AD77">
        <f t="shared" si="16"/>
        <v>11.656962962962963</v>
      </c>
      <c r="AE77">
        <f t="shared" si="17"/>
        <v>15.883894302962965</v>
      </c>
      <c r="AF77" s="9"/>
      <c r="AG77" s="22">
        <v>0.237427</v>
      </c>
      <c r="AH77" s="22">
        <v>18.2531</v>
      </c>
      <c r="AI77" s="22">
        <v>-1.33575E-2</v>
      </c>
      <c r="AJ77" s="22">
        <v>67</v>
      </c>
      <c r="AK77" s="22">
        <v>0.236877</v>
      </c>
      <c r="AL77">
        <f t="shared" si="18"/>
        <v>16.49074074074074</v>
      </c>
      <c r="AM77">
        <f t="shared" si="19"/>
        <v>3.915347101851852</v>
      </c>
      <c r="AP77" s="9"/>
      <c r="AQ77" s="22">
        <v>1.3626100000000001</v>
      </c>
      <c r="AR77" s="22">
        <v>23.570499999999999</v>
      </c>
      <c r="AS77" s="22">
        <v>-9.68018E-3</v>
      </c>
      <c r="AT77" s="22">
        <v>67</v>
      </c>
      <c r="AU77" s="22">
        <v>1.3610800000000001</v>
      </c>
      <c r="AV77">
        <f t="shared" si="20"/>
        <v>11.950839506172839</v>
      </c>
      <c r="AW77">
        <f t="shared" si="21"/>
        <v>16.284333419506172</v>
      </c>
      <c r="AX77" s="9"/>
      <c r="AY77" s="22">
        <v>0.237427</v>
      </c>
      <c r="AZ77" s="22">
        <v>27.188300000000002</v>
      </c>
      <c r="BA77" s="22">
        <v>-1.32233E-2</v>
      </c>
      <c r="BB77" s="22">
        <v>67</v>
      </c>
      <c r="BC77" s="22">
        <v>0.23690800000000001</v>
      </c>
      <c r="BD77">
        <f t="shared" si="22"/>
        <v>16.32506172839506</v>
      </c>
      <c r="BE77">
        <f t="shared" si="23"/>
        <v>3.876010430987654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5.75115</v>
      </c>
      <c r="I78" s="22">
        <v>-9.6679699999999997E-3</v>
      </c>
      <c r="J78" s="22">
        <v>68</v>
      </c>
      <c r="K78" s="22">
        <v>1.3571200000000001</v>
      </c>
      <c r="L78">
        <f t="shared" si="12"/>
        <v>11.935765432098764</v>
      </c>
      <c r="M78">
        <f t="shared" si="13"/>
        <v>16.203637077654317</v>
      </c>
      <c r="N78" s="9"/>
      <c r="O78" s="22">
        <v>0.24246200000000001</v>
      </c>
      <c r="P78" s="22">
        <v>9.3689199999999992</v>
      </c>
      <c r="Q78" s="22">
        <v>-1.33972E-2</v>
      </c>
      <c r="R78" s="22">
        <v>68</v>
      </c>
      <c r="S78" s="22">
        <v>0.24185200000000001</v>
      </c>
      <c r="T78">
        <f t="shared" si="14"/>
        <v>16.539753086419751</v>
      </c>
      <c r="U78">
        <f t="shared" si="15"/>
        <v>4.0102616128395061</v>
      </c>
      <c r="X78" s="9"/>
      <c r="Y78" s="22">
        <v>1.3575699999999999</v>
      </c>
      <c r="Z78" s="22">
        <v>14.6454</v>
      </c>
      <c r="AA78" s="22">
        <v>-9.5306399999999999E-3</v>
      </c>
      <c r="AB78" s="22">
        <v>68</v>
      </c>
      <c r="AC78" s="22">
        <v>1.3565100000000001</v>
      </c>
      <c r="AD78">
        <f t="shared" si="16"/>
        <v>11.766222222222222</v>
      </c>
      <c r="AE78">
        <f t="shared" si="17"/>
        <v>15.973470302222221</v>
      </c>
      <c r="AF78" s="9"/>
      <c r="AG78" s="22">
        <v>0.24246200000000001</v>
      </c>
      <c r="AH78" s="22">
        <v>18.263100000000001</v>
      </c>
      <c r="AI78" s="22">
        <v>-1.3345299999999999E-2</v>
      </c>
      <c r="AJ78" s="22">
        <v>68</v>
      </c>
      <c r="AK78" s="22">
        <v>0.24191299999999999</v>
      </c>
      <c r="AL78">
        <f t="shared" si="18"/>
        <v>16.475679012345676</v>
      </c>
      <c r="AM78">
        <f t="shared" si="19"/>
        <v>3.9947260846913575</v>
      </c>
      <c r="AP78" s="9"/>
      <c r="AQ78" s="22">
        <v>1.3575699999999999</v>
      </c>
      <c r="AR78" s="22">
        <v>23.5806</v>
      </c>
      <c r="AS78" s="22">
        <v>-9.7686800000000001E-3</v>
      </c>
      <c r="AT78" s="22">
        <v>68</v>
      </c>
      <c r="AU78" s="22">
        <v>1.3568100000000001</v>
      </c>
      <c r="AV78">
        <f t="shared" si="20"/>
        <v>12.060098765432098</v>
      </c>
      <c r="AW78">
        <f t="shared" si="21"/>
        <v>16.372428280987652</v>
      </c>
      <c r="AX78" s="9"/>
      <c r="AY78" s="22">
        <v>0.24246200000000001</v>
      </c>
      <c r="AZ78" s="22">
        <v>27.1983</v>
      </c>
      <c r="BA78" s="22">
        <v>-1.32111E-2</v>
      </c>
      <c r="BB78" s="22">
        <v>68</v>
      </c>
      <c r="BC78" s="22">
        <v>0.24191299999999999</v>
      </c>
      <c r="BD78">
        <f t="shared" si="22"/>
        <v>16.309999999999999</v>
      </c>
      <c r="BE78">
        <f t="shared" si="23"/>
        <v>3.95455522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5.7612199999999998</v>
      </c>
      <c r="I79" s="22">
        <v>-9.7412100000000001E-3</v>
      </c>
      <c r="J79" s="22">
        <v>69</v>
      </c>
      <c r="K79" s="22">
        <v>1.35101</v>
      </c>
      <c r="L79">
        <f t="shared" si="12"/>
        <v>12.026185185185184</v>
      </c>
      <c r="M79">
        <f t="shared" si="13"/>
        <v>16.265896510370371</v>
      </c>
      <c r="N79" s="9"/>
      <c r="O79" s="22">
        <v>0.247498</v>
      </c>
      <c r="P79" s="22">
        <v>9.3789899999999999</v>
      </c>
      <c r="Q79" s="22">
        <v>-1.33942E-2</v>
      </c>
      <c r="R79" s="22">
        <v>69</v>
      </c>
      <c r="S79" s="22">
        <v>0.246918</v>
      </c>
      <c r="T79">
        <f t="shared" si="14"/>
        <v>16.536049382716048</v>
      </c>
      <c r="U79">
        <f t="shared" si="15"/>
        <v>4.092639150123456</v>
      </c>
      <c r="X79" s="9"/>
      <c r="Y79" s="22">
        <v>1.3525400000000001</v>
      </c>
      <c r="Z79" s="22">
        <v>14.6554</v>
      </c>
      <c r="AA79" s="22">
        <v>-9.61914E-3</v>
      </c>
      <c r="AB79" s="22">
        <v>69</v>
      </c>
      <c r="AC79" s="22">
        <v>1.3513200000000001</v>
      </c>
      <c r="AD79">
        <f t="shared" si="16"/>
        <v>11.875481481481479</v>
      </c>
      <c r="AE79">
        <f t="shared" si="17"/>
        <v>16.062063722962961</v>
      </c>
      <c r="AF79" s="9"/>
      <c r="AG79" s="22">
        <v>0.247498</v>
      </c>
      <c r="AH79" s="22">
        <v>18.273199999999999</v>
      </c>
      <c r="AI79" s="22">
        <v>-1.3345299999999999E-2</v>
      </c>
      <c r="AJ79" s="22">
        <v>69</v>
      </c>
      <c r="AK79" s="22">
        <v>0.246948</v>
      </c>
      <c r="AL79">
        <f t="shared" si="18"/>
        <v>16.475679012345676</v>
      </c>
      <c r="AM79">
        <f t="shared" si="19"/>
        <v>4.0776976041975299</v>
      </c>
      <c r="AP79" s="9"/>
      <c r="AQ79" s="22">
        <v>1.3525400000000001</v>
      </c>
      <c r="AR79" s="22">
        <v>23.590599999999998</v>
      </c>
      <c r="AS79" s="22">
        <v>-9.8541299999999991E-3</v>
      </c>
      <c r="AT79" s="22">
        <v>69</v>
      </c>
      <c r="AU79" s="22">
        <v>1.3513200000000001</v>
      </c>
      <c r="AV79">
        <f t="shared" si="20"/>
        <v>12.16559259259259</v>
      </c>
      <c r="AW79">
        <f t="shared" si="21"/>
        <v>16.454450605185183</v>
      </c>
      <c r="AX79" s="9"/>
      <c r="AY79" s="22">
        <v>0.247498</v>
      </c>
      <c r="AZ79" s="22">
        <v>27.208400000000001</v>
      </c>
      <c r="BA79" s="22">
        <v>-1.31927E-2</v>
      </c>
      <c r="BB79" s="22">
        <v>69</v>
      </c>
      <c r="BC79" s="22">
        <v>0.246979</v>
      </c>
      <c r="BD79">
        <f t="shared" si="22"/>
        <v>16.287283950617283</v>
      </c>
      <c r="BE79">
        <f t="shared" si="23"/>
        <v>4.0310702032098762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5.7712899999999996</v>
      </c>
      <c r="I80" s="22">
        <v>-9.8174999999999998E-3</v>
      </c>
      <c r="J80" s="22">
        <v>70</v>
      </c>
      <c r="K80" s="22">
        <v>1.3470500000000001</v>
      </c>
      <c r="L80">
        <f t="shared" si="12"/>
        <v>12.12037037037037</v>
      </c>
      <c r="M80">
        <f t="shared" si="13"/>
        <v>16.332199074074072</v>
      </c>
      <c r="N80" s="9"/>
      <c r="O80" s="22">
        <v>0.25253300000000001</v>
      </c>
      <c r="P80" s="22">
        <v>9.3890600000000006</v>
      </c>
      <c r="Q80" s="22">
        <v>-1.33972E-2</v>
      </c>
      <c r="R80" s="22">
        <v>70</v>
      </c>
      <c r="S80" s="22">
        <v>0.25204500000000002</v>
      </c>
      <c r="T80">
        <f t="shared" si="14"/>
        <v>16.539753086419751</v>
      </c>
      <c r="U80">
        <f t="shared" si="15"/>
        <v>4.1768334661728392</v>
      </c>
      <c r="X80" s="9"/>
      <c r="Y80" s="22">
        <v>1.3474999999999999</v>
      </c>
      <c r="Z80" s="22">
        <v>14.6655</v>
      </c>
      <c r="AA80" s="22">
        <v>-9.7015399999999998E-3</v>
      </c>
      <c r="AB80" s="22">
        <v>70</v>
      </c>
      <c r="AC80" s="22">
        <v>1.34674</v>
      </c>
      <c r="AD80">
        <f t="shared" si="16"/>
        <v>11.977209876543208</v>
      </c>
      <c r="AE80">
        <f t="shared" si="17"/>
        <v>16.139290308641971</v>
      </c>
      <c r="AF80" s="9"/>
      <c r="AG80" s="22">
        <v>0.25253300000000001</v>
      </c>
      <c r="AH80" s="22">
        <v>18.283300000000001</v>
      </c>
      <c r="AI80" s="22">
        <v>-1.33484E-2</v>
      </c>
      <c r="AJ80" s="22">
        <v>70</v>
      </c>
      <c r="AK80" s="22">
        <v>0.25198399999999999</v>
      </c>
      <c r="AL80">
        <f t="shared" si="18"/>
        <v>16.479506172839503</v>
      </c>
      <c r="AM80">
        <f t="shared" si="19"/>
        <v>4.1616191323456784</v>
      </c>
      <c r="AP80" s="9"/>
      <c r="AQ80" s="22">
        <v>1.3474999999999999</v>
      </c>
      <c r="AR80" s="22">
        <v>23.6007</v>
      </c>
      <c r="AS80" s="22">
        <v>-9.9395799999999999E-3</v>
      </c>
      <c r="AT80" s="22">
        <v>70</v>
      </c>
      <c r="AU80" s="22">
        <v>1.34674</v>
      </c>
      <c r="AV80">
        <f t="shared" si="20"/>
        <v>12.271086419753086</v>
      </c>
      <c r="AW80">
        <f t="shared" si="21"/>
        <v>16.535288950617282</v>
      </c>
      <c r="AX80" s="9"/>
      <c r="AY80" s="22">
        <v>0.25253300000000001</v>
      </c>
      <c r="AZ80" s="22">
        <v>27.218499999999999</v>
      </c>
      <c r="BA80" s="22">
        <v>-1.31775E-2</v>
      </c>
      <c r="BB80" s="22">
        <v>70</v>
      </c>
      <c r="BC80" s="22">
        <v>0.251892</v>
      </c>
      <c r="BD80">
        <f t="shared" si="22"/>
        <v>16.268518518518519</v>
      </c>
      <c r="BE80">
        <f t="shared" si="23"/>
        <v>4.108337787037037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5.7813600000000003</v>
      </c>
      <c r="I81" s="22">
        <v>-9.8968500000000004E-3</v>
      </c>
      <c r="J81" s="22">
        <v>71</v>
      </c>
      <c r="K81" s="22">
        <v>1.3412500000000001</v>
      </c>
      <c r="L81">
        <f t="shared" si="12"/>
        <v>12.218333333333332</v>
      </c>
      <c r="M81">
        <f t="shared" si="13"/>
        <v>16.40274595</v>
      </c>
      <c r="N81" s="9"/>
      <c r="O81" s="22">
        <v>0.25756800000000002</v>
      </c>
      <c r="P81" s="22">
        <v>9.3991299999999995</v>
      </c>
      <c r="Q81" s="22">
        <v>-1.33972E-2</v>
      </c>
      <c r="R81" s="22">
        <v>71</v>
      </c>
      <c r="S81" s="22">
        <v>0.25698900000000002</v>
      </c>
      <c r="T81">
        <f t="shared" si="14"/>
        <v>16.539753086419751</v>
      </c>
      <c r="U81">
        <f t="shared" si="15"/>
        <v>4.2601111229629627</v>
      </c>
      <c r="X81" s="9"/>
      <c r="Y81" s="22">
        <v>1.3424700000000001</v>
      </c>
      <c r="Z81" s="22">
        <v>14.675599999999999</v>
      </c>
      <c r="AA81" s="22">
        <v>-9.7778299999999995E-3</v>
      </c>
      <c r="AB81" s="22">
        <v>71</v>
      </c>
      <c r="AC81" s="22">
        <v>1.3418600000000001</v>
      </c>
      <c r="AD81">
        <f t="shared" si="16"/>
        <v>12.071395061728394</v>
      </c>
      <c r="AE81">
        <f t="shared" si="17"/>
        <v>16.205485728518518</v>
      </c>
      <c r="AF81" s="9"/>
      <c r="AG81" s="22">
        <v>0.25756800000000002</v>
      </c>
      <c r="AH81" s="22">
        <v>18.293299999999999</v>
      </c>
      <c r="AI81" s="22">
        <v>-1.33423E-2</v>
      </c>
      <c r="AJ81" s="22">
        <v>71</v>
      </c>
      <c r="AK81" s="22">
        <v>0.25692700000000002</v>
      </c>
      <c r="AL81">
        <f t="shared" si="18"/>
        <v>16.471975308641973</v>
      </c>
      <c r="AM81">
        <f t="shared" si="19"/>
        <v>4.2426537362962957</v>
      </c>
      <c r="AP81" s="9"/>
      <c r="AQ81" s="22">
        <v>1.3424700000000001</v>
      </c>
      <c r="AR81" s="22">
        <v>23.610800000000001</v>
      </c>
      <c r="AS81" s="22">
        <v>-1.0022E-2</v>
      </c>
      <c r="AT81" s="22">
        <v>71</v>
      </c>
      <c r="AU81" s="22">
        <v>1.34155</v>
      </c>
      <c r="AV81">
        <f t="shared" si="20"/>
        <v>12.372839506172838</v>
      </c>
      <c r="AW81">
        <f t="shared" si="21"/>
        <v>16.61016585185185</v>
      </c>
      <c r="AX81" s="9"/>
      <c r="AY81" s="22">
        <v>0.25756800000000002</v>
      </c>
      <c r="AZ81" s="22">
        <v>27.2286</v>
      </c>
      <c r="BA81" s="22">
        <v>-1.31653E-2</v>
      </c>
      <c r="BB81" s="22">
        <v>71</v>
      </c>
      <c r="BC81" s="22">
        <v>0.25698900000000002</v>
      </c>
      <c r="BD81">
        <f t="shared" si="22"/>
        <v>16.253456790123455</v>
      </c>
      <c r="BE81">
        <f t="shared" si="23"/>
        <v>4.1863703585185181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5.7914300000000001</v>
      </c>
      <c r="I82" s="22">
        <v>-9.9731400000000001E-3</v>
      </c>
      <c r="J82" s="22">
        <v>72</v>
      </c>
      <c r="K82" s="22">
        <v>1.33606</v>
      </c>
      <c r="L82">
        <f t="shared" si="12"/>
        <v>12.312518518518518</v>
      </c>
      <c r="M82">
        <f t="shared" si="13"/>
        <v>16.46713164222222</v>
      </c>
      <c r="N82" s="9"/>
      <c r="O82" s="22">
        <v>0.262604</v>
      </c>
      <c r="P82" s="22">
        <v>9.4092000000000002</v>
      </c>
      <c r="Q82" s="22">
        <v>-1.33911E-2</v>
      </c>
      <c r="R82" s="22">
        <v>72</v>
      </c>
      <c r="S82" s="22">
        <v>0.26205400000000001</v>
      </c>
      <c r="T82">
        <f t="shared" si="14"/>
        <v>16.53222222222222</v>
      </c>
      <c r="U82">
        <f t="shared" si="15"/>
        <v>4.3414276844444437</v>
      </c>
      <c r="X82" s="9"/>
      <c r="Y82" s="22">
        <v>1.3374299999999999</v>
      </c>
      <c r="Z82" s="22">
        <v>14.685600000000001</v>
      </c>
      <c r="AA82" s="22">
        <v>-9.8541299999999991E-3</v>
      </c>
      <c r="AB82" s="22">
        <v>72</v>
      </c>
      <c r="AC82" s="22">
        <v>1.33667</v>
      </c>
      <c r="AD82">
        <f t="shared" si="16"/>
        <v>12.16559259259259</v>
      </c>
      <c r="AE82">
        <f t="shared" si="17"/>
        <v>16.270628501111108</v>
      </c>
      <c r="AF82" s="9"/>
      <c r="AG82" s="22">
        <v>0.262604</v>
      </c>
      <c r="AH82" s="22">
        <v>18.3034</v>
      </c>
      <c r="AI82" s="22">
        <v>-1.3339200000000001E-2</v>
      </c>
      <c r="AJ82" s="22">
        <v>72</v>
      </c>
      <c r="AK82" s="22">
        <v>0.26208500000000001</v>
      </c>
      <c r="AL82">
        <f t="shared" si="18"/>
        <v>16.468148148148149</v>
      </c>
      <c r="AM82">
        <f t="shared" si="19"/>
        <v>4.3246015762962964</v>
      </c>
      <c r="AP82" s="9"/>
      <c r="AQ82" s="22">
        <v>1.3374299999999999</v>
      </c>
      <c r="AR82" s="22">
        <v>23.620899999999999</v>
      </c>
      <c r="AS82" s="22">
        <v>-1.0101300000000001E-2</v>
      </c>
      <c r="AT82" s="22">
        <v>72</v>
      </c>
      <c r="AU82" s="22">
        <v>1.33606</v>
      </c>
      <c r="AV82">
        <f t="shared" si="20"/>
        <v>12.470740740740741</v>
      </c>
      <c r="AW82">
        <f t="shared" si="21"/>
        <v>16.678742788888886</v>
      </c>
      <c r="AX82" s="9"/>
      <c r="AY82" s="22">
        <v>0.262604</v>
      </c>
      <c r="AZ82" s="22">
        <v>27.238600000000002</v>
      </c>
      <c r="BA82" s="22">
        <v>-1.31714E-2</v>
      </c>
      <c r="BB82" s="22">
        <v>72</v>
      </c>
      <c r="BC82" s="22">
        <v>0.26205400000000001</v>
      </c>
      <c r="BD82">
        <f t="shared" si="22"/>
        <v>16.260987654320989</v>
      </c>
      <c r="BE82">
        <f t="shared" si="23"/>
        <v>4.270200401975309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5.8014999999999999</v>
      </c>
      <c r="I83" s="22">
        <v>-1.00494E-2</v>
      </c>
      <c r="J83" s="22">
        <v>73</v>
      </c>
      <c r="K83" s="22">
        <v>1.33148</v>
      </c>
      <c r="L83">
        <f t="shared" si="12"/>
        <v>12.406666666666666</v>
      </c>
      <c r="M83">
        <f t="shared" si="13"/>
        <v>16.530642666666665</v>
      </c>
      <c r="N83" s="9"/>
      <c r="O83" s="22">
        <v>0.26763900000000002</v>
      </c>
      <c r="P83" s="22">
        <v>9.4192699999999991</v>
      </c>
      <c r="Q83" s="22">
        <v>-1.3378900000000001E-2</v>
      </c>
      <c r="R83" s="22">
        <v>73</v>
      </c>
      <c r="S83" s="22">
        <v>0.26715100000000003</v>
      </c>
      <c r="T83">
        <f t="shared" si="14"/>
        <v>16.517160493827159</v>
      </c>
      <c r="U83">
        <f t="shared" si="15"/>
        <v>4.420636317407407</v>
      </c>
      <c r="X83" s="9"/>
      <c r="Y83" s="22">
        <v>1.3324</v>
      </c>
      <c r="Z83" s="22">
        <v>14.6957</v>
      </c>
      <c r="AA83" s="22">
        <v>-9.9273699999999996E-3</v>
      </c>
      <c r="AB83" s="22">
        <v>73</v>
      </c>
      <c r="AC83" s="22">
        <v>1.33118</v>
      </c>
      <c r="AD83">
        <f t="shared" si="16"/>
        <v>12.256012345679011</v>
      </c>
      <c r="AE83">
        <f t="shared" si="17"/>
        <v>16.329910849382713</v>
      </c>
      <c r="AF83" s="9"/>
      <c r="AG83" s="22">
        <v>0.26763900000000002</v>
      </c>
      <c r="AH83" s="22">
        <v>18.313500000000001</v>
      </c>
      <c r="AI83" s="22">
        <v>-1.33423E-2</v>
      </c>
      <c r="AJ83" s="22">
        <v>73</v>
      </c>
      <c r="AK83" s="22">
        <v>0.26702900000000002</v>
      </c>
      <c r="AL83">
        <f t="shared" si="18"/>
        <v>16.471975308641973</v>
      </c>
      <c r="AM83">
        <f t="shared" si="19"/>
        <v>4.4085429996296295</v>
      </c>
      <c r="AP83" s="9"/>
      <c r="AQ83" s="22">
        <v>1.3324</v>
      </c>
      <c r="AR83" s="22">
        <v>23.6309</v>
      </c>
      <c r="AS83" s="22">
        <v>-1.0174600000000001E-2</v>
      </c>
      <c r="AT83" s="22">
        <v>73</v>
      </c>
      <c r="AU83" s="22">
        <v>1.33118</v>
      </c>
      <c r="AV83">
        <f t="shared" si="20"/>
        <v>12.561234567901234</v>
      </c>
      <c r="AW83">
        <f t="shared" si="21"/>
        <v>16.736588938271606</v>
      </c>
      <c r="AX83" s="9"/>
      <c r="AY83" s="22">
        <v>0.26763900000000002</v>
      </c>
      <c r="AZ83" s="22">
        <v>27.248699999999999</v>
      </c>
      <c r="BA83" s="22">
        <v>-1.31714E-2</v>
      </c>
      <c r="BB83" s="22">
        <v>73</v>
      </c>
      <c r="BC83" s="22">
        <v>0.26712000000000002</v>
      </c>
      <c r="BD83">
        <f t="shared" si="22"/>
        <v>16.260987654320989</v>
      </c>
      <c r="BE83">
        <f t="shared" si="23"/>
        <v>4.352074474814815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5.8115699999999997</v>
      </c>
      <c r="I84" s="22">
        <v>-1.0119599999999999E-2</v>
      </c>
      <c r="J84" s="22">
        <v>74</v>
      </c>
      <c r="K84" s="22">
        <v>1.3266</v>
      </c>
      <c r="L84">
        <f t="shared" si="12"/>
        <v>12.493333333333332</v>
      </c>
      <c r="M84">
        <f t="shared" si="13"/>
        <v>16.583150933333332</v>
      </c>
      <c r="N84" s="9"/>
      <c r="O84" s="22">
        <v>0.272675</v>
      </c>
      <c r="P84" s="22">
        <v>9.4293399999999998</v>
      </c>
      <c r="Q84" s="22">
        <v>-1.33759E-2</v>
      </c>
      <c r="R84" s="22">
        <v>74</v>
      </c>
      <c r="S84" s="22">
        <v>0.27209499999999998</v>
      </c>
      <c r="T84">
        <f t="shared" si="14"/>
        <v>16.513456790123456</v>
      </c>
      <c r="U84">
        <f t="shared" si="15"/>
        <v>4.5028068302469135</v>
      </c>
      <c r="X84" s="9"/>
      <c r="Y84" s="22">
        <v>1.3273600000000001</v>
      </c>
      <c r="Z84" s="22">
        <v>14.7058</v>
      </c>
      <c r="AA84" s="22">
        <v>-1.00006E-2</v>
      </c>
      <c r="AB84" s="22">
        <v>74</v>
      </c>
      <c r="AC84" s="22">
        <v>1.32629</v>
      </c>
      <c r="AD84">
        <f t="shared" si="16"/>
        <v>12.346419753086419</v>
      </c>
      <c r="AE84">
        <f t="shared" si="17"/>
        <v>16.388143723456789</v>
      </c>
      <c r="AF84" s="9"/>
      <c r="AG84" s="22">
        <v>0.272675</v>
      </c>
      <c r="AH84" s="22">
        <v>18.323599999999999</v>
      </c>
      <c r="AI84" s="22">
        <v>-1.33423E-2</v>
      </c>
      <c r="AJ84" s="22">
        <v>74</v>
      </c>
      <c r="AK84" s="22">
        <v>0.27206399999999997</v>
      </c>
      <c r="AL84">
        <f t="shared" si="18"/>
        <v>16.471975308641973</v>
      </c>
      <c r="AM84">
        <f t="shared" si="19"/>
        <v>4.49149586728395</v>
      </c>
      <c r="AP84" s="9"/>
      <c r="AQ84" s="22">
        <v>1.3273600000000001</v>
      </c>
      <c r="AR84" s="22">
        <v>23.640999999999998</v>
      </c>
      <c r="AS84" s="22">
        <v>-1.02478E-2</v>
      </c>
      <c r="AT84" s="22">
        <v>74</v>
      </c>
      <c r="AU84" s="22">
        <v>1.3266</v>
      </c>
      <c r="AV84">
        <f t="shared" si="20"/>
        <v>12.651604938271603</v>
      </c>
      <c r="AW84">
        <f t="shared" si="21"/>
        <v>16.793234330864198</v>
      </c>
      <c r="AX84" s="9"/>
      <c r="AY84" s="22">
        <v>0.272675</v>
      </c>
      <c r="AZ84" s="22">
        <v>27.258800000000001</v>
      </c>
      <c r="BA84" s="22">
        <v>-1.3168300000000001E-2</v>
      </c>
      <c r="BB84" s="22">
        <v>74</v>
      </c>
      <c r="BC84" s="22">
        <v>0.272034</v>
      </c>
      <c r="BD84">
        <f t="shared" si="22"/>
        <v>16.257160493827158</v>
      </c>
      <c r="BE84">
        <f t="shared" si="23"/>
        <v>4.4329212376543206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5.8216400000000004</v>
      </c>
      <c r="I85" s="22">
        <v>-1.01929E-2</v>
      </c>
      <c r="J85" s="22">
        <v>75</v>
      </c>
      <c r="K85" s="22">
        <v>1.32141</v>
      </c>
      <c r="L85">
        <f t="shared" si="12"/>
        <v>12.583827160493826</v>
      </c>
      <c r="M85">
        <f t="shared" si="13"/>
        <v>16.639972169135799</v>
      </c>
      <c r="N85" s="9"/>
      <c r="O85" s="22">
        <v>0.27771000000000001</v>
      </c>
      <c r="P85" s="22">
        <v>9.4394100000000005</v>
      </c>
      <c r="Q85" s="22">
        <v>-1.3372800000000001E-2</v>
      </c>
      <c r="R85" s="22">
        <v>75</v>
      </c>
      <c r="S85" s="22">
        <v>0.27716099999999999</v>
      </c>
      <c r="T85">
        <f t="shared" si="14"/>
        <v>16.509629629629632</v>
      </c>
      <c r="U85">
        <f t="shared" si="15"/>
        <v>4.5848892444444456</v>
      </c>
      <c r="X85" s="9"/>
      <c r="Y85" s="22">
        <v>1.32233</v>
      </c>
      <c r="Z85" s="22">
        <v>14.7159</v>
      </c>
      <c r="AA85" s="22">
        <v>-1.00769E-2</v>
      </c>
      <c r="AB85" s="22">
        <v>75</v>
      </c>
      <c r="AC85" s="22">
        <v>1.32111</v>
      </c>
      <c r="AD85">
        <f t="shared" si="16"/>
        <v>12.440617283950616</v>
      </c>
      <c r="AE85">
        <f t="shared" si="17"/>
        <v>16.450601453086417</v>
      </c>
      <c r="AF85" s="9"/>
      <c r="AG85" s="22">
        <v>0.27771000000000001</v>
      </c>
      <c r="AH85" s="22">
        <v>18.333600000000001</v>
      </c>
      <c r="AI85" s="22">
        <v>-1.3339200000000001E-2</v>
      </c>
      <c r="AJ85" s="22">
        <v>75</v>
      </c>
      <c r="AK85" s="22">
        <v>0.27712999999999999</v>
      </c>
      <c r="AL85">
        <f t="shared" si="18"/>
        <v>16.468148148148149</v>
      </c>
      <c r="AM85">
        <f t="shared" si="19"/>
        <v>4.573369422222223</v>
      </c>
      <c r="AP85" s="9"/>
      <c r="AQ85" s="22">
        <v>1.32233</v>
      </c>
      <c r="AR85" s="22">
        <v>23.6511</v>
      </c>
      <c r="AS85" s="22">
        <v>-1.03149E-2</v>
      </c>
      <c r="AT85" s="22">
        <v>75</v>
      </c>
      <c r="AU85" s="22">
        <v>1.32172</v>
      </c>
      <c r="AV85">
        <f t="shared" si="20"/>
        <v>12.734444444444444</v>
      </c>
      <c r="AW85">
        <f t="shared" si="21"/>
        <v>16.839137922222221</v>
      </c>
      <c r="AX85" s="9"/>
      <c r="AY85" s="22">
        <v>0.27771000000000001</v>
      </c>
      <c r="AZ85" s="22">
        <v>27.268799999999999</v>
      </c>
      <c r="BA85" s="22">
        <v>-1.3174399999999999E-2</v>
      </c>
      <c r="BB85" s="22">
        <v>75</v>
      </c>
      <c r="BC85" s="22">
        <v>0.27716099999999999</v>
      </c>
      <c r="BD85">
        <f t="shared" si="22"/>
        <v>16.264691358024692</v>
      </c>
      <c r="BE85">
        <f t="shared" si="23"/>
        <v>4.5168674370370372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5.8317199999999998</v>
      </c>
      <c r="I86" s="22">
        <v>-1.02661E-2</v>
      </c>
      <c r="J86" s="22">
        <v>76</v>
      </c>
      <c r="K86" s="22">
        <v>1.31653</v>
      </c>
      <c r="L86">
        <f t="shared" si="12"/>
        <v>12.674197530864197</v>
      </c>
      <c r="M86">
        <f t="shared" si="13"/>
        <v>16.695593665432099</v>
      </c>
      <c r="N86" s="9"/>
      <c r="O86" s="22">
        <v>0.28274500000000002</v>
      </c>
      <c r="P86" s="22">
        <v>9.4494799999999994</v>
      </c>
      <c r="Q86" s="22">
        <v>-1.33636E-2</v>
      </c>
      <c r="R86" s="22">
        <v>76</v>
      </c>
      <c r="S86" s="22">
        <v>0.28222700000000001</v>
      </c>
      <c r="T86">
        <f t="shared" si="14"/>
        <v>16.498271604938271</v>
      </c>
      <c r="U86">
        <f t="shared" si="15"/>
        <v>4.6648038049382716</v>
      </c>
      <c r="X86" s="9"/>
      <c r="Y86" s="22">
        <v>1.3172900000000001</v>
      </c>
      <c r="Z86" s="22">
        <v>14.725899999999999</v>
      </c>
      <c r="AA86" s="22">
        <v>-1.01563E-2</v>
      </c>
      <c r="AB86" s="22">
        <v>76</v>
      </c>
      <c r="AC86" s="22">
        <v>1.31653</v>
      </c>
      <c r="AD86">
        <f t="shared" si="16"/>
        <v>12.538641975308641</v>
      </c>
      <c r="AE86">
        <f t="shared" si="17"/>
        <v>16.51702768765432</v>
      </c>
      <c r="AF86" s="9"/>
      <c r="AG86" s="22">
        <v>0.28274500000000002</v>
      </c>
      <c r="AH86" s="22">
        <v>18.343699999999998</v>
      </c>
      <c r="AI86" s="22">
        <v>-1.3333100000000001E-2</v>
      </c>
      <c r="AJ86" s="22">
        <v>76</v>
      </c>
      <c r="AK86" s="22">
        <v>0.28216599999999997</v>
      </c>
      <c r="AL86">
        <f t="shared" si="18"/>
        <v>16.460617283950615</v>
      </c>
      <c r="AM86">
        <f t="shared" si="19"/>
        <v>4.6541572339506168</v>
      </c>
      <c r="AP86" s="9"/>
      <c r="AQ86" s="22">
        <v>1.3172900000000001</v>
      </c>
      <c r="AR86" s="22">
        <v>23.661100000000001</v>
      </c>
      <c r="AS86" s="22">
        <v>-1.03821E-2</v>
      </c>
      <c r="AT86" s="22">
        <v>76</v>
      </c>
      <c r="AU86" s="22">
        <v>1.31653</v>
      </c>
      <c r="AV86">
        <f t="shared" si="20"/>
        <v>12.817407407407407</v>
      </c>
      <c r="AW86">
        <f t="shared" si="21"/>
        <v>16.884242603703704</v>
      </c>
      <c r="AX86" s="9"/>
      <c r="AY86" s="22">
        <v>0.28274500000000002</v>
      </c>
      <c r="AZ86" s="22">
        <v>27.2789</v>
      </c>
      <c r="BA86" s="22">
        <v>-1.31866E-2</v>
      </c>
      <c r="BB86" s="22">
        <v>76</v>
      </c>
      <c r="BC86" s="22">
        <v>0.28216599999999997</v>
      </c>
      <c r="BD86">
        <f t="shared" si="22"/>
        <v>16.279753086419749</v>
      </c>
      <c r="BE86">
        <f t="shared" si="23"/>
        <v>4.603018786419752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5.8417899999999996</v>
      </c>
      <c r="I87" s="22">
        <v>-1.03363E-2</v>
      </c>
      <c r="J87" s="22">
        <v>77</v>
      </c>
      <c r="K87" s="22">
        <v>1.31165</v>
      </c>
      <c r="L87">
        <f t="shared" si="12"/>
        <v>12.760864197530864</v>
      </c>
      <c r="M87">
        <f t="shared" si="13"/>
        <v>16.745571651851851</v>
      </c>
      <c r="N87" s="9"/>
      <c r="O87" s="22">
        <v>0.28778100000000001</v>
      </c>
      <c r="P87" s="22">
        <v>9.4595500000000001</v>
      </c>
      <c r="Q87" s="22">
        <v>-1.3351399999999999E-2</v>
      </c>
      <c r="R87" s="22">
        <v>77</v>
      </c>
      <c r="S87" s="22">
        <v>0.28726200000000002</v>
      </c>
      <c r="T87">
        <f t="shared" si="14"/>
        <v>16.483209876543206</v>
      </c>
      <c r="U87">
        <f t="shared" si="15"/>
        <v>4.743554621481481</v>
      </c>
      <c r="X87" s="9"/>
      <c r="Y87" s="22">
        <v>1.31226</v>
      </c>
      <c r="Z87" s="22">
        <v>14.736000000000001</v>
      </c>
      <c r="AA87" s="22">
        <v>-1.02325E-2</v>
      </c>
      <c r="AB87" s="22">
        <v>77</v>
      </c>
      <c r="AC87" s="22">
        <v>1.3119499999999999</v>
      </c>
      <c r="AD87">
        <f t="shared" si="16"/>
        <v>12.632716049382715</v>
      </c>
      <c r="AE87">
        <f t="shared" si="17"/>
        <v>16.577407962962962</v>
      </c>
      <c r="AF87" s="9"/>
      <c r="AG87" s="22">
        <v>0.28778100000000001</v>
      </c>
      <c r="AH87" s="22">
        <v>18.3538</v>
      </c>
      <c r="AI87" s="22">
        <v>-1.3324000000000001E-2</v>
      </c>
      <c r="AJ87" s="22">
        <v>77</v>
      </c>
      <c r="AK87" s="22">
        <v>0.287323</v>
      </c>
      <c r="AL87">
        <f t="shared" si="18"/>
        <v>16.449382716049382</v>
      </c>
      <c r="AM87">
        <f t="shared" si="19"/>
        <v>4.7338198074074072</v>
      </c>
      <c r="AP87" s="9"/>
      <c r="AQ87" s="22">
        <v>1.31226</v>
      </c>
      <c r="AR87" s="22">
        <v>23.671199999999999</v>
      </c>
      <c r="AS87" s="22">
        <v>-1.0452299999999999E-2</v>
      </c>
      <c r="AT87" s="22">
        <v>77</v>
      </c>
      <c r="AU87" s="22">
        <v>1.31104</v>
      </c>
      <c r="AV87">
        <f t="shared" si="20"/>
        <v>12.904074074074073</v>
      </c>
      <c r="AW87">
        <f t="shared" si="21"/>
        <v>16.933500244444442</v>
      </c>
      <c r="AX87" s="9"/>
      <c r="AY87" s="22">
        <v>0.28778100000000001</v>
      </c>
      <c r="AZ87" s="22">
        <v>27.289000000000001</v>
      </c>
      <c r="BA87" s="22">
        <v>-1.31927E-2</v>
      </c>
      <c r="BB87" s="22">
        <v>77</v>
      </c>
      <c r="BC87" s="22">
        <v>0.28726200000000002</v>
      </c>
      <c r="BD87">
        <f t="shared" si="22"/>
        <v>16.287283950617283</v>
      </c>
      <c r="BE87">
        <f t="shared" si="23"/>
        <v>4.6871708625925921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5.8518600000000003</v>
      </c>
      <c r="I88" s="22">
        <v>-1.03882E-2</v>
      </c>
      <c r="J88" s="22">
        <v>78</v>
      </c>
      <c r="K88" s="22">
        <v>1.3067599999999999</v>
      </c>
      <c r="L88">
        <f t="shared" si="12"/>
        <v>12.824938271604937</v>
      </c>
      <c r="M88">
        <f t="shared" si="13"/>
        <v>16.765015807407405</v>
      </c>
      <c r="N88" s="9"/>
      <c r="O88" s="22">
        <v>0.29281600000000002</v>
      </c>
      <c r="P88" s="22">
        <v>9.4696300000000004</v>
      </c>
      <c r="Q88" s="22">
        <v>-1.33423E-2</v>
      </c>
      <c r="R88" s="22">
        <v>78</v>
      </c>
      <c r="S88" s="22">
        <v>0.29220600000000002</v>
      </c>
      <c r="T88">
        <f t="shared" si="14"/>
        <v>16.471975308641973</v>
      </c>
      <c r="U88">
        <f t="shared" si="15"/>
        <v>4.8232579219753084</v>
      </c>
      <c r="X88" s="9"/>
      <c r="Y88" s="22">
        <v>1.30722</v>
      </c>
      <c r="Z88" s="22">
        <v>14.7461</v>
      </c>
      <c r="AA88" s="22">
        <v>-1.03027E-2</v>
      </c>
      <c r="AB88" s="22">
        <v>78</v>
      </c>
      <c r="AC88" s="22">
        <v>1.3061499999999999</v>
      </c>
      <c r="AD88">
        <f t="shared" si="16"/>
        <v>12.719382716049381</v>
      </c>
      <c r="AE88">
        <f t="shared" si="17"/>
        <v>16.627031474074073</v>
      </c>
      <c r="AF88" s="9"/>
      <c r="AG88" s="22">
        <v>0.29281600000000002</v>
      </c>
      <c r="AH88" s="22">
        <v>18.363800000000001</v>
      </c>
      <c r="AI88" s="22">
        <v>-1.33148E-2</v>
      </c>
      <c r="AJ88" s="22">
        <v>78</v>
      </c>
      <c r="AK88" s="22">
        <v>0.292236</v>
      </c>
      <c r="AL88">
        <f t="shared" si="18"/>
        <v>16.438024691358024</v>
      </c>
      <c r="AM88">
        <f t="shared" si="19"/>
        <v>4.8133166380246912</v>
      </c>
      <c r="AP88" s="9"/>
      <c r="AQ88" s="22">
        <v>1.30722</v>
      </c>
      <c r="AR88" s="22">
        <v>23.6813</v>
      </c>
      <c r="AS88" s="22">
        <v>-1.05164E-2</v>
      </c>
      <c r="AT88" s="22">
        <v>78</v>
      </c>
      <c r="AU88" s="22">
        <v>1.3067599999999999</v>
      </c>
      <c r="AV88">
        <f t="shared" si="20"/>
        <v>12.98320987654321</v>
      </c>
      <c r="AW88">
        <f t="shared" si="21"/>
        <v>16.971911614814815</v>
      </c>
      <c r="AX88" s="9"/>
      <c r="AY88" s="22">
        <v>0.29281600000000002</v>
      </c>
      <c r="AZ88" s="22">
        <v>27.299099999999999</v>
      </c>
      <c r="BA88" s="22">
        <v>-1.31927E-2</v>
      </c>
      <c r="BB88" s="22">
        <v>78</v>
      </c>
      <c r="BC88" s="22">
        <v>0.292267</v>
      </c>
      <c r="BD88">
        <f t="shared" si="22"/>
        <v>16.287283950617283</v>
      </c>
      <c r="BE88">
        <f t="shared" si="23"/>
        <v>4.769177337283951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5.8619300000000001</v>
      </c>
      <c r="I89" s="22">
        <v>-1.0452299999999999E-2</v>
      </c>
      <c r="J89" s="22">
        <v>79</v>
      </c>
      <c r="K89" s="22">
        <v>1.3015699999999999</v>
      </c>
      <c r="L89">
        <f t="shared" si="12"/>
        <v>12.904074074074073</v>
      </c>
      <c r="M89">
        <f t="shared" si="13"/>
        <v>16.803556218518516</v>
      </c>
      <c r="N89" s="9"/>
      <c r="O89" s="22">
        <v>0.29785200000000001</v>
      </c>
      <c r="P89" s="22">
        <v>9.4796999999999993</v>
      </c>
      <c r="Q89" s="22">
        <v>-1.3336199999999999E-2</v>
      </c>
      <c r="R89" s="22">
        <v>79</v>
      </c>
      <c r="S89" s="22">
        <v>0.29727199999999998</v>
      </c>
      <c r="T89">
        <f t="shared" si="14"/>
        <v>16.464444444444442</v>
      </c>
      <c r="U89">
        <f t="shared" si="15"/>
        <v>4.9039677066666663</v>
      </c>
      <c r="X89" s="9"/>
      <c r="Y89" s="22">
        <v>1.30219</v>
      </c>
      <c r="Z89" s="22">
        <v>14.7561</v>
      </c>
      <c r="AA89" s="22">
        <v>-1.0372899999999999E-2</v>
      </c>
      <c r="AB89" s="22">
        <v>79</v>
      </c>
      <c r="AC89" s="22">
        <v>1.3015699999999999</v>
      </c>
      <c r="AD89">
        <f t="shared" si="16"/>
        <v>12.806049382716049</v>
      </c>
      <c r="AE89">
        <f t="shared" si="17"/>
        <v>16.675909445679011</v>
      </c>
      <c r="AF89" s="9"/>
      <c r="AG89" s="22">
        <v>0.29785200000000001</v>
      </c>
      <c r="AH89" s="22">
        <v>18.373899999999999</v>
      </c>
      <c r="AI89" s="22">
        <v>-1.33057E-2</v>
      </c>
      <c r="AJ89" s="22">
        <v>79</v>
      </c>
      <c r="AK89" s="22">
        <v>0.29724099999999998</v>
      </c>
      <c r="AL89">
        <f t="shared" si="18"/>
        <v>16.42679012345679</v>
      </c>
      <c r="AM89">
        <f t="shared" si="19"/>
        <v>4.8927522918518518</v>
      </c>
      <c r="AP89" s="9"/>
      <c r="AQ89" s="22">
        <v>1.30219</v>
      </c>
      <c r="AR89" s="22">
        <v>23.691400000000002</v>
      </c>
      <c r="AS89" s="22">
        <v>-1.05927E-2</v>
      </c>
      <c r="AT89" s="22">
        <v>79</v>
      </c>
      <c r="AU89" s="22">
        <v>1.3012699999999999</v>
      </c>
      <c r="AV89">
        <f t="shared" si="20"/>
        <v>13.077407407407408</v>
      </c>
      <c r="AW89">
        <f t="shared" si="21"/>
        <v>17.029269151851853</v>
      </c>
      <c r="AX89" s="9"/>
      <c r="AY89" s="22">
        <v>0.29785200000000001</v>
      </c>
      <c r="AZ89" s="22">
        <v>27.309100000000001</v>
      </c>
      <c r="BA89" s="22">
        <v>-1.31866E-2</v>
      </c>
      <c r="BB89" s="22">
        <v>79</v>
      </c>
      <c r="BC89" s="22">
        <v>0.29727199999999998</v>
      </c>
      <c r="BD89">
        <f t="shared" si="22"/>
        <v>16.279753086419749</v>
      </c>
      <c r="BE89">
        <f t="shared" si="23"/>
        <v>4.8489570162962954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5.8719999999999999</v>
      </c>
      <c r="I90" s="22">
        <v>-1.05164E-2</v>
      </c>
      <c r="J90" s="22">
        <v>80</v>
      </c>
      <c r="K90" s="22">
        <v>1.2963899999999999</v>
      </c>
      <c r="L90">
        <f t="shared" si="12"/>
        <v>12.98320987654321</v>
      </c>
      <c r="M90">
        <f t="shared" si="13"/>
        <v>16.841170691358027</v>
      </c>
      <c r="N90" s="9"/>
      <c r="O90" s="22">
        <v>0.30288700000000002</v>
      </c>
      <c r="P90" s="22">
        <v>9.48977</v>
      </c>
      <c r="Q90" s="22">
        <v>-1.33209E-2</v>
      </c>
      <c r="R90" s="22">
        <v>80</v>
      </c>
      <c r="S90" s="22">
        <v>0.30230699999999999</v>
      </c>
      <c r="T90">
        <f t="shared" si="14"/>
        <v>16.445555555555554</v>
      </c>
      <c r="U90">
        <f t="shared" si="15"/>
        <v>4.9811449855555558</v>
      </c>
      <c r="X90" s="9"/>
      <c r="Y90" s="22">
        <v>1.29715</v>
      </c>
      <c r="Z90" s="22">
        <v>14.7662</v>
      </c>
      <c r="AA90" s="22">
        <v>-1.0446199999999999E-2</v>
      </c>
      <c r="AB90" s="22">
        <v>80</v>
      </c>
      <c r="AC90" s="22">
        <v>1.2963899999999999</v>
      </c>
      <c r="AD90">
        <f t="shared" si="16"/>
        <v>12.896543209876542</v>
      </c>
      <c r="AE90">
        <f t="shared" si="17"/>
        <v>16.728751024691356</v>
      </c>
      <c r="AF90" s="9"/>
      <c r="AG90" s="22">
        <v>0.30288700000000002</v>
      </c>
      <c r="AH90" s="22">
        <v>18.384</v>
      </c>
      <c r="AI90" s="22">
        <v>-1.33057E-2</v>
      </c>
      <c r="AJ90" s="22">
        <v>80</v>
      </c>
      <c r="AK90" s="22">
        <v>0.30227700000000002</v>
      </c>
      <c r="AL90">
        <f t="shared" si="18"/>
        <v>16.42679012345679</v>
      </c>
      <c r="AM90">
        <f t="shared" si="19"/>
        <v>4.9754611801234567</v>
      </c>
      <c r="AP90" s="9"/>
      <c r="AQ90" s="22">
        <v>1.29715</v>
      </c>
      <c r="AR90" s="22">
        <v>23.7014</v>
      </c>
      <c r="AS90" s="22">
        <v>-1.0665900000000001E-2</v>
      </c>
      <c r="AT90" s="22">
        <v>80</v>
      </c>
      <c r="AU90" s="22">
        <v>1.2963899999999999</v>
      </c>
      <c r="AV90">
        <f t="shared" si="20"/>
        <v>13.167777777777779</v>
      </c>
      <c r="AW90">
        <f t="shared" si="21"/>
        <v>17.080582944444448</v>
      </c>
      <c r="AX90" s="9"/>
      <c r="AY90" s="22">
        <v>0.30288700000000002</v>
      </c>
      <c r="AZ90" s="22">
        <v>27.319199999999999</v>
      </c>
      <c r="BA90" s="22">
        <v>-1.31775E-2</v>
      </c>
      <c r="BB90" s="22">
        <v>80</v>
      </c>
      <c r="BC90" s="22">
        <v>0.30230699999999999</v>
      </c>
      <c r="BD90">
        <f t="shared" si="22"/>
        <v>16.268518518518519</v>
      </c>
      <c r="BE90">
        <f t="shared" si="23"/>
        <v>4.9275227685185188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5.8820699999999997</v>
      </c>
      <c r="I91" s="22">
        <v>-1.0577400000000001E-2</v>
      </c>
      <c r="J91" s="22">
        <v>81</v>
      </c>
      <c r="K91" s="22">
        <v>1.2915000000000001</v>
      </c>
      <c r="L91">
        <f t="shared" si="12"/>
        <v>13.058518518518518</v>
      </c>
      <c r="M91">
        <f t="shared" si="13"/>
        <v>16.873042362962963</v>
      </c>
      <c r="N91" s="9"/>
      <c r="O91" s="22">
        <v>0.30792199999999997</v>
      </c>
      <c r="P91" s="22">
        <v>9.4998400000000007</v>
      </c>
      <c r="Q91" s="22">
        <v>-1.33118E-2</v>
      </c>
      <c r="R91" s="22">
        <v>81</v>
      </c>
      <c r="S91" s="22">
        <v>0.30734299999999998</v>
      </c>
      <c r="T91">
        <f t="shared" si="14"/>
        <v>16.434320987654321</v>
      </c>
      <c r="U91">
        <f t="shared" si="15"/>
        <v>5.0604889871604932</v>
      </c>
      <c r="X91" s="9"/>
      <c r="Y91" s="22">
        <v>1.2921100000000001</v>
      </c>
      <c r="Z91" s="22">
        <v>14.776300000000001</v>
      </c>
      <c r="AA91" s="22">
        <v>-1.05194E-2</v>
      </c>
      <c r="AB91" s="22">
        <v>81</v>
      </c>
      <c r="AC91" s="22">
        <v>1.2911999999999999</v>
      </c>
      <c r="AD91">
        <f t="shared" si="16"/>
        <v>12.986913580246913</v>
      </c>
      <c r="AE91">
        <f t="shared" si="17"/>
        <v>16.780520906172839</v>
      </c>
      <c r="AF91" s="9"/>
      <c r="AG91" s="22">
        <v>0.30792199999999997</v>
      </c>
      <c r="AH91" s="22">
        <v>18.394100000000002</v>
      </c>
      <c r="AI91" s="22">
        <v>-1.32996E-2</v>
      </c>
      <c r="AJ91" s="22">
        <v>81</v>
      </c>
      <c r="AK91" s="22">
        <v>0.30737300000000001</v>
      </c>
      <c r="AL91">
        <f t="shared" si="18"/>
        <v>16.41925925925926</v>
      </c>
      <c r="AM91">
        <f t="shared" si="19"/>
        <v>5.0558511496296292</v>
      </c>
      <c r="AP91" s="9"/>
      <c r="AQ91" s="22">
        <v>1.2921100000000001</v>
      </c>
      <c r="AR91" s="22">
        <v>23.711500000000001</v>
      </c>
      <c r="AS91" s="22">
        <v>-1.0732999999999999E-2</v>
      </c>
      <c r="AT91" s="22">
        <v>81</v>
      </c>
      <c r="AU91" s="22">
        <v>1.2915000000000001</v>
      </c>
      <c r="AV91">
        <f t="shared" si="20"/>
        <v>13.250617283950616</v>
      </c>
      <c r="AW91">
        <f t="shared" si="21"/>
        <v>17.121255098765431</v>
      </c>
      <c r="AX91" s="9"/>
      <c r="AY91" s="22">
        <v>0.30792199999999997</v>
      </c>
      <c r="AZ91" s="22">
        <v>27.3293</v>
      </c>
      <c r="BA91" s="22">
        <v>-1.3168300000000001E-2</v>
      </c>
      <c r="BB91" s="22">
        <v>81</v>
      </c>
      <c r="BC91" s="22">
        <v>0.30734299999999998</v>
      </c>
      <c r="BD91">
        <f t="shared" si="22"/>
        <v>16.257160493827158</v>
      </c>
      <c r="BE91">
        <f t="shared" si="23"/>
        <v>5.0059373735802453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5.8921400000000004</v>
      </c>
      <c r="I92" s="22">
        <v>-1.0638399999999999E-2</v>
      </c>
      <c r="J92" s="22">
        <v>82</v>
      </c>
      <c r="K92" s="22">
        <v>1.2863199999999999</v>
      </c>
      <c r="L92">
        <f t="shared" si="12"/>
        <v>13.133827160493826</v>
      </c>
      <c r="M92">
        <f t="shared" si="13"/>
        <v>16.904286261728394</v>
      </c>
      <c r="N92" s="9"/>
      <c r="O92" s="22">
        <v>0.31295800000000001</v>
      </c>
      <c r="P92" s="22">
        <v>9.5099099999999996</v>
      </c>
      <c r="Q92" s="22">
        <v>-1.3302599999999999E-2</v>
      </c>
      <c r="R92" s="22">
        <v>82</v>
      </c>
      <c r="S92" s="22">
        <v>0.31237799999999999</v>
      </c>
      <c r="T92">
        <f t="shared" si="14"/>
        <v>16.422962962962963</v>
      </c>
      <c r="U92">
        <f t="shared" si="15"/>
        <v>5.1396976429629628</v>
      </c>
      <c r="X92" s="9"/>
      <c r="Y92" s="22">
        <v>1.28708</v>
      </c>
      <c r="Z92" s="22">
        <v>14.7864</v>
      </c>
      <c r="AA92" s="22">
        <v>-1.0577400000000001E-2</v>
      </c>
      <c r="AB92" s="22">
        <v>82</v>
      </c>
      <c r="AC92" s="22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2">
        <v>0.31295800000000001</v>
      </c>
      <c r="AH92" s="22">
        <v>18.4041</v>
      </c>
      <c r="AI92" s="22">
        <v>-1.32874E-2</v>
      </c>
      <c r="AJ92" s="22">
        <v>82</v>
      </c>
      <c r="AK92" s="22">
        <v>0.31237799999999999</v>
      </c>
      <c r="AL92">
        <f t="shared" si="18"/>
        <v>16.404197530864195</v>
      </c>
      <c r="AM92">
        <f t="shared" si="19"/>
        <v>5.1338248508641966</v>
      </c>
      <c r="AP92" s="9"/>
      <c r="AQ92" s="22">
        <v>1.28708</v>
      </c>
      <c r="AR92" s="22">
        <v>23.721599999999999</v>
      </c>
      <c r="AS92" s="22">
        <v>-1.07971E-2</v>
      </c>
      <c r="AT92" s="22">
        <v>82</v>
      </c>
      <c r="AU92" s="22">
        <v>1.2860100000000001</v>
      </c>
      <c r="AV92">
        <f t="shared" si="20"/>
        <v>13.329753086419753</v>
      </c>
      <c r="AW92">
        <f t="shared" si="21"/>
        <v>17.156458602469137</v>
      </c>
      <c r="AX92" s="9"/>
      <c r="AY92" s="22">
        <v>0.31295800000000001</v>
      </c>
      <c r="AZ92" s="22">
        <v>27.339300000000001</v>
      </c>
      <c r="BA92" s="22">
        <v>-1.31653E-2</v>
      </c>
      <c r="BB92" s="22">
        <v>82</v>
      </c>
      <c r="BC92" s="22">
        <v>0.31237799999999999</v>
      </c>
      <c r="BD92">
        <f t="shared" si="22"/>
        <v>16.253456790123455</v>
      </c>
      <c r="BE92">
        <f t="shared" si="23"/>
        <v>5.0866493301234561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5.9022100000000002</v>
      </c>
      <c r="I93" s="22">
        <v>-1.0699500000000001E-2</v>
      </c>
      <c r="J93" s="22">
        <v>83</v>
      </c>
      <c r="K93" s="22">
        <v>1.2811300000000001</v>
      </c>
      <c r="L93">
        <f t="shared" si="12"/>
        <v>13.209259259259259</v>
      </c>
      <c r="M93">
        <f t="shared" si="13"/>
        <v>16.934798740740742</v>
      </c>
      <c r="N93" s="9"/>
      <c r="O93" s="22">
        <v>0.31799300000000003</v>
      </c>
      <c r="P93" s="22">
        <v>9.5199800000000003</v>
      </c>
      <c r="Q93" s="22">
        <v>-1.32996E-2</v>
      </c>
      <c r="R93" s="22">
        <v>83</v>
      </c>
      <c r="S93" s="22">
        <v>0.31738300000000003</v>
      </c>
      <c r="T93">
        <f t="shared" si="14"/>
        <v>16.41925925925926</v>
      </c>
      <c r="U93">
        <f t="shared" si="15"/>
        <v>5.22120950962963</v>
      </c>
      <c r="X93" s="9"/>
      <c r="Y93" s="22">
        <v>1.2820400000000001</v>
      </c>
      <c r="Z93" s="22">
        <v>14.7964</v>
      </c>
      <c r="AA93" s="22">
        <v>-1.06354E-2</v>
      </c>
      <c r="AB93" s="22">
        <v>83</v>
      </c>
      <c r="AC93" s="22">
        <v>1.2811300000000001</v>
      </c>
      <c r="AD93">
        <f t="shared" si="16"/>
        <v>13.130123456790121</v>
      </c>
      <c r="AE93">
        <f t="shared" si="17"/>
        <v>16.83334347654321</v>
      </c>
      <c r="AF93" s="9"/>
      <c r="AG93" s="22">
        <v>0.31799300000000003</v>
      </c>
      <c r="AH93" s="22">
        <v>18.414200000000001</v>
      </c>
      <c r="AI93" s="22">
        <v>-1.3284300000000001E-2</v>
      </c>
      <c r="AJ93" s="22">
        <v>83</v>
      </c>
      <c r="AK93" s="22">
        <v>0.31735200000000002</v>
      </c>
      <c r="AL93">
        <f t="shared" si="18"/>
        <v>16.400370370370371</v>
      </c>
      <c r="AM93">
        <f t="shared" si="19"/>
        <v>5.2152029751851856</v>
      </c>
      <c r="AP93" s="9"/>
      <c r="AQ93" s="22">
        <v>1.2820400000000001</v>
      </c>
      <c r="AR93" s="22">
        <v>23.7316</v>
      </c>
      <c r="AS93" s="22">
        <v>-1.08612E-2</v>
      </c>
      <c r="AT93" s="22">
        <v>83</v>
      </c>
      <c r="AU93" s="22">
        <v>1.2805200000000001</v>
      </c>
      <c r="AV93">
        <f t="shared" si="20"/>
        <v>13.408888888888887</v>
      </c>
      <c r="AW93">
        <f t="shared" si="21"/>
        <v>17.190731911111111</v>
      </c>
      <c r="AX93" s="9"/>
      <c r="AY93" s="22">
        <v>0.31799300000000003</v>
      </c>
      <c r="AZ93" s="22">
        <v>27.349399999999999</v>
      </c>
      <c r="BA93" s="22">
        <v>-1.3159199999999999E-2</v>
      </c>
      <c r="BB93" s="22">
        <v>83</v>
      </c>
      <c r="BC93" s="22">
        <v>0.317444</v>
      </c>
      <c r="BD93">
        <f t="shared" si="22"/>
        <v>16.245925925925924</v>
      </c>
      <c r="BE93">
        <f t="shared" si="23"/>
        <v>5.1660907229629629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5.91228</v>
      </c>
      <c r="I94" s="22">
        <v>-1.07574E-2</v>
      </c>
      <c r="J94" s="22">
        <v>84</v>
      </c>
      <c r="K94" s="22">
        <v>1.2759400000000001</v>
      </c>
      <c r="L94">
        <f t="shared" si="12"/>
        <v>13.280740740740741</v>
      </c>
      <c r="M94">
        <f t="shared" si="13"/>
        <v>16.959638733333335</v>
      </c>
      <c r="N94" s="9"/>
      <c r="O94" s="22">
        <v>0.32302900000000001</v>
      </c>
      <c r="P94" s="22">
        <v>9.5300499999999992</v>
      </c>
      <c r="Q94" s="22">
        <v>-1.32935E-2</v>
      </c>
      <c r="R94" s="22">
        <v>84</v>
      </c>
      <c r="S94" s="22">
        <v>0.32241799999999998</v>
      </c>
      <c r="T94">
        <f t="shared" si="14"/>
        <v>16.411728395061726</v>
      </c>
      <c r="U94">
        <f t="shared" si="15"/>
        <v>5.3014642117283941</v>
      </c>
      <c r="X94" s="9"/>
      <c r="Y94" s="22">
        <v>1.27701</v>
      </c>
      <c r="Z94" s="22">
        <v>14.8065</v>
      </c>
      <c r="AA94" s="22">
        <v>-1.06903E-2</v>
      </c>
      <c r="AB94" s="22">
        <v>84</v>
      </c>
      <c r="AC94" s="22">
        <v>1.2762500000000001</v>
      </c>
      <c r="AD94">
        <f t="shared" si="16"/>
        <v>13.197901234567899</v>
      </c>
      <c r="AE94">
        <f t="shared" si="17"/>
        <v>16.853851855555554</v>
      </c>
      <c r="AF94" s="9"/>
      <c r="AG94" s="22">
        <v>0.32302900000000001</v>
      </c>
      <c r="AH94" s="22">
        <v>18.424299999999999</v>
      </c>
      <c r="AI94" s="22">
        <v>-1.32874E-2</v>
      </c>
      <c r="AJ94" s="22">
        <v>84</v>
      </c>
      <c r="AK94" s="22">
        <v>0.32244899999999999</v>
      </c>
      <c r="AL94">
        <f t="shared" si="18"/>
        <v>16.404197530864195</v>
      </c>
      <c r="AM94">
        <f t="shared" si="19"/>
        <v>5.2990315241975301</v>
      </c>
      <c r="AP94" s="9"/>
      <c r="AQ94" s="22">
        <v>1.27701</v>
      </c>
      <c r="AR94" s="22">
        <v>23.741700000000002</v>
      </c>
      <c r="AS94" s="22">
        <v>-1.0925300000000001E-2</v>
      </c>
      <c r="AT94" s="22">
        <v>84</v>
      </c>
      <c r="AU94" s="22">
        <v>1.2762500000000001</v>
      </c>
      <c r="AV94">
        <f t="shared" si="20"/>
        <v>13.488024691358024</v>
      </c>
      <c r="AW94">
        <f t="shared" si="21"/>
        <v>17.22434241111111</v>
      </c>
      <c r="AX94" s="9"/>
      <c r="AY94" s="22">
        <v>0.32302900000000001</v>
      </c>
      <c r="AZ94" s="22">
        <v>27.359500000000001</v>
      </c>
      <c r="BA94" s="22">
        <v>-1.31561E-2</v>
      </c>
      <c r="BB94" s="22">
        <v>84</v>
      </c>
      <c r="BC94" s="22">
        <v>0.32238800000000001</v>
      </c>
      <c r="BD94">
        <f t="shared" si="22"/>
        <v>16.2420987654321</v>
      </c>
      <c r="BE94">
        <f t="shared" si="23"/>
        <v>5.2466689220987659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5.9223499999999998</v>
      </c>
      <c r="I95" s="22">
        <v>-1.08124E-2</v>
      </c>
      <c r="J95" s="22">
        <v>85</v>
      </c>
      <c r="K95" s="22">
        <v>1.27136</v>
      </c>
      <c r="L95">
        <f t="shared" si="12"/>
        <v>13.348641975308642</v>
      </c>
      <c r="M95">
        <f t="shared" si="13"/>
        <v>16.979072133333332</v>
      </c>
      <c r="N95" s="9"/>
      <c r="O95" s="22">
        <v>0.32806400000000002</v>
      </c>
      <c r="P95" s="22">
        <v>9.5401199999999999</v>
      </c>
      <c r="Q95" s="22">
        <v>-1.3296499999999999E-2</v>
      </c>
      <c r="R95" s="22">
        <v>85</v>
      </c>
      <c r="S95" s="22">
        <v>0.32742300000000002</v>
      </c>
      <c r="T95">
        <f t="shared" si="14"/>
        <v>16.415432098765429</v>
      </c>
      <c r="U95">
        <f t="shared" si="15"/>
        <v>5.3853123160493821</v>
      </c>
      <c r="X95" s="9"/>
      <c r="Y95" s="22">
        <v>1.27197</v>
      </c>
      <c r="Z95" s="22">
        <v>14.816599999999999</v>
      </c>
      <c r="AA95" s="22">
        <v>-1.07422E-2</v>
      </c>
      <c r="AB95" s="22">
        <v>85</v>
      </c>
      <c r="AC95" s="22">
        <v>1.2710600000000001</v>
      </c>
      <c r="AD95">
        <f t="shared" si="16"/>
        <v>13.261975308641976</v>
      </c>
      <c r="AE95">
        <f t="shared" si="17"/>
        <v>16.868834733333333</v>
      </c>
      <c r="AF95" s="9"/>
      <c r="AG95" s="22">
        <v>0.32806400000000002</v>
      </c>
      <c r="AH95" s="22">
        <v>18.4343</v>
      </c>
      <c r="AI95" s="22">
        <v>-1.32782E-2</v>
      </c>
      <c r="AJ95" s="22">
        <v>85</v>
      </c>
      <c r="AK95" s="22">
        <v>0.32742300000000002</v>
      </c>
      <c r="AL95">
        <f t="shared" si="18"/>
        <v>16.392839506172837</v>
      </c>
      <c r="AM95">
        <f t="shared" si="19"/>
        <v>5.3779004997530864</v>
      </c>
      <c r="AP95" s="9"/>
      <c r="AQ95" s="22">
        <v>1.27197</v>
      </c>
      <c r="AR95" s="22">
        <v>23.751799999999999</v>
      </c>
      <c r="AS95" s="22">
        <v>-1.0986299999999999E-2</v>
      </c>
      <c r="AT95" s="22">
        <v>85</v>
      </c>
      <c r="AU95" s="22">
        <v>1.2710600000000001</v>
      </c>
      <c r="AV95">
        <f t="shared" si="20"/>
        <v>13.563333333333333</v>
      </c>
      <c r="AW95">
        <f t="shared" si="21"/>
        <v>17.252153100000001</v>
      </c>
      <c r="AX95" s="9"/>
      <c r="AY95" s="22">
        <v>0.32806400000000002</v>
      </c>
      <c r="AZ95" s="22">
        <v>27.369599999999998</v>
      </c>
      <c r="BA95" s="22">
        <v>-1.3153099999999999E-2</v>
      </c>
      <c r="BB95" s="22">
        <v>85</v>
      </c>
      <c r="BC95" s="22">
        <v>0.32745400000000002</v>
      </c>
      <c r="BD95">
        <f t="shared" si="22"/>
        <v>16.238395061728394</v>
      </c>
      <c r="BE95">
        <f t="shared" si="23"/>
        <v>5.3272328375308637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5.9324300000000001</v>
      </c>
      <c r="I96" s="22">
        <v>-1.08734E-2</v>
      </c>
      <c r="J96" s="22">
        <v>86</v>
      </c>
      <c r="K96" s="22">
        <v>1.26617</v>
      </c>
      <c r="L96">
        <f t="shared" si="12"/>
        <v>13.42395061728395</v>
      </c>
      <c r="M96">
        <f t="shared" si="13"/>
        <v>17.007339995061727</v>
      </c>
      <c r="N96" s="9"/>
      <c r="O96" s="22">
        <v>0.33309899999999998</v>
      </c>
      <c r="P96" s="22">
        <v>9.5501900000000006</v>
      </c>
      <c r="Q96" s="22">
        <v>-1.3296499999999999E-2</v>
      </c>
      <c r="R96" s="22">
        <v>86</v>
      </c>
      <c r="S96" s="22">
        <v>0.33251999999999998</v>
      </c>
      <c r="T96">
        <f t="shared" si="14"/>
        <v>16.415432098765429</v>
      </c>
      <c r="U96">
        <f t="shared" si="15"/>
        <v>5.4679640166666648</v>
      </c>
      <c r="X96" s="9"/>
      <c r="Y96" s="22">
        <v>1.26694</v>
      </c>
      <c r="Z96" s="22">
        <v>14.826599999999999</v>
      </c>
      <c r="AA96" s="22">
        <v>-1.0800199999999999E-2</v>
      </c>
      <c r="AB96" s="22">
        <v>86</v>
      </c>
      <c r="AC96" s="22">
        <v>1.26678</v>
      </c>
      <c r="AD96">
        <f t="shared" si="16"/>
        <v>13.333580246913579</v>
      </c>
      <c r="AE96">
        <f t="shared" si="17"/>
        <v>16.892846158024689</v>
      </c>
      <c r="AF96" s="9"/>
      <c r="AG96" s="22">
        <v>0.33309899999999998</v>
      </c>
      <c r="AH96" s="22">
        <v>18.444400000000002</v>
      </c>
      <c r="AI96" s="22">
        <v>-1.32782E-2</v>
      </c>
      <c r="AJ96" s="22">
        <v>86</v>
      </c>
      <c r="AK96" s="22">
        <v>0.33255000000000001</v>
      </c>
      <c r="AL96">
        <f t="shared" si="18"/>
        <v>16.392839506172837</v>
      </c>
      <c r="AM96">
        <f t="shared" si="19"/>
        <v>5.4604384466666653</v>
      </c>
      <c r="AP96" s="9"/>
      <c r="AQ96" s="22">
        <v>1.26694</v>
      </c>
      <c r="AR96" s="22">
        <v>23.761900000000001</v>
      </c>
      <c r="AS96" s="22">
        <v>-1.10382E-2</v>
      </c>
      <c r="AT96" s="22">
        <v>86</v>
      </c>
      <c r="AU96" s="22">
        <v>1.26556</v>
      </c>
      <c r="AV96">
        <f t="shared" si="20"/>
        <v>13.627407407407405</v>
      </c>
      <c r="AW96">
        <f t="shared" si="21"/>
        <v>17.265107540740736</v>
      </c>
      <c r="AX96" s="9"/>
      <c r="AY96" s="22">
        <v>0.33309899999999998</v>
      </c>
      <c r="AZ96" s="22">
        <v>27.3796</v>
      </c>
      <c r="BA96" s="22">
        <v>-1.31439E-2</v>
      </c>
      <c r="BB96" s="22">
        <v>86</v>
      </c>
      <c r="BC96" s="22">
        <v>0.33248899999999998</v>
      </c>
      <c r="BD96">
        <f t="shared" si="22"/>
        <v>16.227037037037036</v>
      </c>
      <c r="BE96">
        <f t="shared" si="23"/>
        <v>5.4052098099999997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5.9424999999999999</v>
      </c>
      <c r="I97" s="22">
        <v>-1.0931400000000001E-2</v>
      </c>
      <c r="J97" s="22">
        <v>87</v>
      </c>
      <c r="K97" s="22">
        <v>1.2609900000000001</v>
      </c>
      <c r="L97">
        <f t="shared" si="12"/>
        <v>13.495555555555557</v>
      </c>
      <c r="M97">
        <f t="shared" si="13"/>
        <v>17.030041555555556</v>
      </c>
      <c r="N97" s="9"/>
      <c r="O97" s="22">
        <v>0.33813500000000002</v>
      </c>
      <c r="P97" s="22">
        <v>9.5602599999999995</v>
      </c>
      <c r="Q97" s="22">
        <v>-1.3290400000000001E-2</v>
      </c>
      <c r="R97" s="22">
        <v>87</v>
      </c>
      <c r="S97" s="22">
        <v>0.33755499999999999</v>
      </c>
      <c r="T97">
        <f t="shared" si="14"/>
        <v>16.407901234567902</v>
      </c>
      <c r="U97">
        <f t="shared" si="15"/>
        <v>5.5480856839506174</v>
      </c>
      <c r="X97" s="9"/>
      <c r="Y97" s="22">
        <v>1.2619</v>
      </c>
      <c r="Z97" s="22">
        <v>14.8367</v>
      </c>
      <c r="AA97" s="22">
        <v>-1.08582E-2</v>
      </c>
      <c r="AB97" s="22">
        <v>87</v>
      </c>
      <c r="AC97" s="22">
        <v>1.2616000000000001</v>
      </c>
      <c r="AD97">
        <f t="shared" si="16"/>
        <v>13.405185185185186</v>
      </c>
      <c r="AE97">
        <f t="shared" si="17"/>
        <v>16.916003185185186</v>
      </c>
      <c r="AF97" s="9"/>
      <c r="AG97" s="22">
        <v>0.33813500000000002</v>
      </c>
      <c r="AH97" s="22">
        <v>18.454499999999999</v>
      </c>
      <c r="AI97" s="22">
        <v>-1.32721E-2</v>
      </c>
      <c r="AJ97" s="22">
        <v>87</v>
      </c>
      <c r="AK97" s="22">
        <v>0.33749400000000002</v>
      </c>
      <c r="AL97">
        <f t="shared" si="18"/>
        <v>16.385308641975307</v>
      </c>
      <c r="AM97">
        <f t="shared" si="19"/>
        <v>5.5404463376543207</v>
      </c>
      <c r="AP97" s="9"/>
      <c r="AQ97" s="22">
        <v>1.2619</v>
      </c>
      <c r="AR97" s="22">
        <v>23.771899999999999</v>
      </c>
      <c r="AS97" s="22">
        <v>-1.1087E-2</v>
      </c>
      <c r="AT97" s="22">
        <v>87</v>
      </c>
      <c r="AU97" s="22">
        <v>1.2603800000000001</v>
      </c>
      <c r="AV97">
        <f t="shared" si="20"/>
        <v>13.687654320987654</v>
      </c>
      <c r="AW97">
        <f t="shared" si="21"/>
        <v>17.27245098765432</v>
      </c>
      <c r="AX97" s="9"/>
      <c r="AY97" s="22">
        <v>0.33813500000000002</v>
      </c>
      <c r="AZ97" s="22">
        <v>27.389700000000001</v>
      </c>
      <c r="BA97" s="22">
        <v>-1.315E-2</v>
      </c>
      <c r="BB97" s="22">
        <v>87</v>
      </c>
      <c r="BC97" s="22">
        <v>0.33758500000000002</v>
      </c>
      <c r="BD97">
        <f t="shared" si="22"/>
        <v>16.234567901234566</v>
      </c>
      <c r="BE97">
        <f t="shared" si="23"/>
        <v>5.4894756172839507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5.9525699999999997</v>
      </c>
      <c r="I98" s="22">
        <v>-1.0980200000000001E-2</v>
      </c>
      <c r="J98" s="22">
        <v>88</v>
      </c>
      <c r="K98" s="22">
        <v>1.2561</v>
      </c>
      <c r="L98">
        <f t="shared" si="12"/>
        <v>13.555802469135802</v>
      </c>
      <c r="M98">
        <f t="shared" si="13"/>
        <v>17.037881449382716</v>
      </c>
      <c r="N98" s="9"/>
      <c r="O98" s="22">
        <v>0.34316999999999998</v>
      </c>
      <c r="P98" s="22">
        <v>9.5703399999999998</v>
      </c>
      <c r="Q98" s="22">
        <v>-1.3269E-2</v>
      </c>
      <c r="R98" s="22">
        <v>88</v>
      </c>
      <c r="S98" s="22">
        <v>0.34262100000000001</v>
      </c>
      <c r="T98">
        <f t="shared" si="14"/>
        <v>16.38148148148148</v>
      </c>
      <c r="U98">
        <f t="shared" si="15"/>
        <v>5.6216329999999992</v>
      </c>
      <c r="X98" s="9"/>
      <c r="Y98" s="22">
        <v>1.2568699999999999</v>
      </c>
      <c r="Z98" s="22">
        <v>14.8468</v>
      </c>
      <c r="AA98" s="22">
        <v>-1.09222E-2</v>
      </c>
      <c r="AB98" s="22">
        <v>88</v>
      </c>
      <c r="AC98" s="22">
        <v>1.2558</v>
      </c>
      <c r="AD98">
        <f t="shared" si="16"/>
        <v>13.484197530864197</v>
      </c>
      <c r="AE98">
        <f t="shared" si="17"/>
        <v>16.947883350617282</v>
      </c>
      <c r="AF98" s="9"/>
      <c r="AG98" s="22">
        <v>0.34316999999999998</v>
      </c>
      <c r="AH98" s="22">
        <v>18.464500000000001</v>
      </c>
      <c r="AI98" s="22">
        <v>-1.32599E-2</v>
      </c>
      <c r="AJ98" s="22">
        <v>88</v>
      </c>
      <c r="AK98" s="22">
        <v>0.34252899999999997</v>
      </c>
      <c r="AL98">
        <f t="shared" si="18"/>
        <v>16.370246913580246</v>
      </c>
      <c r="AM98">
        <f t="shared" si="19"/>
        <v>5.6177776333333327</v>
      </c>
      <c r="AP98" s="9"/>
      <c r="AQ98" s="22">
        <v>1.2568699999999999</v>
      </c>
      <c r="AR98" s="22">
        <v>23.782</v>
      </c>
      <c r="AS98" s="22">
        <v>-1.11389E-2</v>
      </c>
      <c r="AT98" s="22">
        <v>88</v>
      </c>
      <c r="AU98" s="22">
        <v>1.2558</v>
      </c>
      <c r="AV98">
        <f t="shared" si="20"/>
        <v>13.751728395061727</v>
      </c>
      <c r="AW98">
        <f t="shared" si="21"/>
        <v>17.284134867901233</v>
      </c>
      <c r="AX98" s="9"/>
      <c r="AY98" s="22">
        <v>0.34316999999999998</v>
      </c>
      <c r="AZ98" s="22">
        <v>27.399799999999999</v>
      </c>
      <c r="BA98" s="22">
        <v>-1.3159199999999999E-2</v>
      </c>
      <c r="BB98" s="22">
        <v>88</v>
      </c>
      <c r="BC98" s="22">
        <v>0.34252899999999997</v>
      </c>
      <c r="BD98">
        <f t="shared" si="22"/>
        <v>16.245925925925924</v>
      </c>
      <c r="BE98">
        <f t="shared" si="23"/>
        <v>5.5751143999999986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5.9626400000000004</v>
      </c>
      <c r="I99" s="22">
        <v>-1.10382E-2</v>
      </c>
      <c r="J99" s="22">
        <v>89</v>
      </c>
      <c r="K99" s="22">
        <v>1.25092</v>
      </c>
      <c r="L99">
        <f t="shared" si="12"/>
        <v>13.627407407407405</v>
      </c>
      <c r="M99">
        <f t="shared" si="13"/>
        <v>17.059197414814811</v>
      </c>
      <c r="N99" s="9"/>
      <c r="O99" s="22">
        <v>0.34820600000000002</v>
      </c>
      <c r="P99" s="22">
        <v>9.5804100000000005</v>
      </c>
      <c r="Q99" s="22">
        <v>-1.3256799999999999E-2</v>
      </c>
      <c r="R99" s="22">
        <v>89</v>
      </c>
      <c r="S99" s="22">
        <v>0.34762599999999999</v>
      </c>
      <c r="T99">
        <f t="shared" si="14"/>
        <v>16.366419753086415</v>
      </c>
      <c r="U99">
        <f t="shared" si="15"/>
        <v>5.6988855565432086</v>
      </c>
      <c r="X99" s="9"/>
      <c r="Y99" s="22">
        <v>1.25183</v>
      </c>
      <c r="Z99" s="22">
        <v>14.8568</v>
      </c>
      <c r="AA99" s="22">
        <v>-1.0977199999999999E-2</v>
      </c>
      <c r="AB99" s="22">
        <v>89</v>
      </c>
      <c r="AC99" s="22">
        <v>1.25061</v>
      </c>
      <c r="AD99">
        <f t="shared" si="16"/>
        <v>13.552098765432097</v>
      </c>
      <c r="AE99">
        <f t="shared" si="17"/>
        <v>16.964923797530862</v>
      </c>
      <c r="AF99" s="9"/>
      <c r="AG99" s="22">
        <v>0.34820600000000002</v>
      </c>
      <c r="AH99" s="22">
        <v>18.474599999999999</v>
      </c>
      <c r="AI99" s="22">
        <v>-1.3256799999999999E-2</v>
      </c>
      <c r="AJ99" s="22">
        <v>89</v>
      </c>
      <c r="AK99" s="22">
        <v>0.34759499999999999</v>
      </c>
      <c r="AL99">
        <f t="shared" si="18"/>
        <v>16.366419753086415</v>
      </c>
      <c r="AM99">
        <f t="shared" si="19"/>
        <v>5.6988855565432086</v>
      </c>
      <c r="AP99" s="9"/>
      <c r="AQ99" s="22">
        <v>1.25183</v>
      </c>
      <c r="AR99" s="22">
        <v>23.792100000000001</v>
      </c>
      <c r="AS99" s="22">
        <v>-1.1190800000000001E-2</v>
      </c>
      <c r="AT99" s="22">
        <v>89</v>
      </c>
      <c r="AU99" s="22">
        <v>1.25092</v>
      </c>
      <c r="AV99">
        <f t="shared" si="20"/>
        <v>13.815802469135802</v>
      </c>
      <c r="AW99">
        <f t="shared" si="21"/>
        <v>17.295036004938272</v>
      </c>
      <c r="AX99" s="9"/>
      <c r="AY99" s="22">
        <v>0.34820600000000002</v>
      </c>
      <c r="AZ99" s="22">
        <v>27.409800000000001</v>
      </c>
      <c r="BA99" s="22">
        <v>-1.31714E-2</v>
      </c>
      <c r="BB99" s="22">
        <v>89</v>
      </c>
      <c r="BC99" s="22">
        <v>0.34756500000000001</v>
      </c>
      <c r="BD99">
        <f t="shared" si="22"/>
        <v>16.260987654320989</v>
      </c>
      <c r="BE99">
        <f t="shared" si="23"/>
        <v>5.6621734671604944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5.9727100000000002</v>
      </c>
      <c r="I100" s="22">
        <v>-1.10901E-2</v>
      </c>
      <c r="J100" s="22">
        <v>90</v>
      </c>
      <c r="K100" s="22">
        <v>1.24512</v>
      </c>
      <c r="L100">
        <f t="shared" si="12"/>
        <v>13.691481481481482</v>
      </c>
      <c r="M100">
        <f t="shared" si="13"/>
        <v>17.07053911111111</v>
      </c>
      <c r="N100" s="9"/>
      <c r="O100" s="22">
        <v>0.35324100000000003</v>
      </c>
      <c r="P100" s="22">
        <v>9.5904799999999994</v>
      </c>
      <c r="Q100" s="22">
        <v>-1.32538E-2</v>
      </c>
      <c r="R100" s="22">
        <v>90</v>
      </c>
      <c r="S100" s="22">
        <v>0.35260000000000002</v>
      </c>
      <c r="T100">
        <f t="shared" si="14"/>
        <v>16.362716049382716</v>
      </c>
      <c r="U100">
        <f t="shared" si="15"/>
        <v>5.7799821800000002</v>
      </c>
      <c r="X100" s="9"/>
      <c r="Y100" s="22">
        <v>1.2467999999999999</v>
      </c>
      <c r="Z100" s="22">
        <v>14.866899999999999</v>
      </c>
      <c r="AA100" s="22">
        <v>-1.10291E-2</v>
      </c>
      <c r="AB100" s="22">
        <v>90</v>
      </c>
      <c r="AC100" s="22">
        <v>1.24573</v>
      </c>
      <c r="AD100">
        <f t="shared" si="16"/>
        <v>13.616172839506172</v>
      </c>
      <c r="AE100">
        <f t="shared" si="17"/>
        <v>16.976644296296293</v>
      </c>
      <c r="AF100" s="9"/>
      <c r="AG100" s="22">
        <v>0.35324100000000003</v>
      </c>
      <c r="AH100" s="22">
        <v>18.4847</v>
      </c>
      <c r="AI100" s="22">
        <v>-1.3250700000000001E-2</v>
      </c>
      <c r="AJ100" s="22">
        <v>90</v>
      </c>
      <c r="AK100" s="22">
        <v>0.352661</v>
      </c>
      <c r="AL100">
        <f t="shared" si="18"/>
        <v>16.358888888888888</v>
      </c>
      <c r="AM100">
        <f t="shared" si="19"/>
        <v>5.7786302699999998</v>
      </c>
      <c r="AP100" s="9"/>
      <c r="AQ100" s="22">
        <v>1.2467999999999999</v>
      </c>
      <c r="AR100" s="22">
        <v>23.802099999999999</v>
      </c>
      <c r="AS100" s="22">
        <v>-1.1245700000000001E-2</v>
      </c>
      <c r="AT100" s="22">
        <v>90</v>
      </c>
      <c r="AU100" s="22">
        <v>1.24603</v>
      </c>
      <c r="AV100">
        <f t="shared" si="20"/>
        <v>13.883580246913581</v>
      </c>
      <c r="AW100">
        <f t="shared" si="21"/>
        <v>17.310047851851852</v>
      </c>
      <c r="AX100" s="9"/>
      <c r="AY100" s="22">
        <v>0.35324100000000003</v>
      </c>
      <c r="AZ100" s="22">
        <v>27.419899999999998</v>
      </c>
      <c r="BA100" s="22">
        <v>-1.31714E-2</v>
      </c>
      <c r="BB100" s="22">
        <v>90</v>
      </c>
      <c r="BC100" s="22">
        <v>0.35263100000000003</v>
      </c>
      <c r="BD100">
        <f t="shared" si="22"/>
        <v>16.260987654320989</v>
      </c>
      <c r="BE100">
        <f t="shared" si="23"/>
        <v>5.7440475400000004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5.98278</v>
      </c>
      <c r="I101" s="22">
        <v>-1.1135900000000001E-2</v>
      </c>
      <c r="J101" s="22">
        <v>91</v>
      </c>
      <c r="K101" s="22">
        <v>1.2408399999999999</v>
      </c>
      <c r="L101">
        <f t="shared" si="12"/>
        <v>13.748024691358024</v>
      </c>
      <c r="M101">
        <f t="shared" si="13"/>
        <v>17.07174714074074</v>
      </c>
      <c r="N101" s="9"/>
      <c r="O101" s="22">
        <v>0.35827599999999998</v>
      </c>
      <c r="P101" s="22">
        <v>9.6005500000000001</v>
      </c>
      <c r="Q101" s="22">
        <v>-1.32538E-2</v>
      </c>
      <c r="R101" s="22">
        <v>91</v>
      </c>
      <c r="S101" s="22">
        <v>0.35769699999999999</v>
      </c>
      <c r="T101">
        <f t="shared" si="14"/>
        <v>16.362716049382716</v>
      </c>
      <c r="U101">
        <f t="shared" si="15"/>
        <v>5.8623684553086415</v>
      </c>
      <c r="X101" s="9"/>
      <c r="Y101" s="22">
        <v>1.24176</v>
      </c>
      <c r="Z101" s="22">
        <v>14.877000000000001</v>
      </c>
      <c r="AA101" s="22">
        <v>-1.10779E-2</v>
      </c>
      <c r="AB101" s="22">
        <v>91</v>
      </c>
      <c r="AC101" s="22">
        <v>1.24054</v>
      </c>
      <c r="AD101">
        <f t="shared" si="16"/>
        <v>13.676419753086419</v>
      </c>
      <c r="AE101">
        <f t="shared" si="17"/>
        <v>16.982830992592593</v>
      </c>
      <c r="AF101" s="9"/>
      <c r="AG101" s="22">
        <v>0.35827599999999998</v>
      </c>
      <c r="AH101" s="22">
        <v>18.494800000000001</v>
      </c>
      <c r="AI101" s="22">
        <v>-1.32446E-2</v>
      </c>
      <c r="AJ101" s="22">
        <v>91</v>
      </c>
      <c r="AK101" s="22">
        <v>0.35769699999999999</v>
      </c>
      <c r="AL101">
        <f t="shared" si="18"/>
        <v>16.351358024691358</v>
      </c>
      <c r="AM101">
        <f t="shared" si="19"/>
        <v>5.8582991476543205</v>
      </c>
      <c r="AP101" s="9"/>
      <c r="AQ101" s="22">
        <v>1.24176</v>
      </c>
      <c r="AR101" s="22">
        <v>23.812200000000001</v>
      </c>
      <c r="AS101" s="22">
        <v>-1.13037E-2</v>
      </c>
      <c r="AT101" s="22">
        <v>91</v>
      </c>
      <c r="AU101" s="22">
        <v>1.24115</v>
      </c>
      <c r="AV101">
        <f t="shared" si="20"/>
        <v>13.955185185185183</v>
      </c>
      <c r="AW101">
        <f t="shared" si="21"/>
        <v>17.328990755555552</v>
      </c>
      <c r="AX101" s="9"/>
      <c r="AY101" s="22">
        <v>0.35827599999999998</v>
      </c>
      <c r="AZ101" s="22">
        <v>27.43</v>
      </c>
      <c r="BA101" s="22">
        <v>-1.31653E-2</v>
      </c>
      <c r="BB101" s="22">
        <v>91</v>
      </c>
      <c r="BC101" s="22">
        <v>0.35766599999999998</v>
      </c>
      <c r="BD101">
        <f t="shared" si="22"/>
        <v>16.253456790123455</v>
      </c>
      <c r="BE101">
        <f t="shared" si="23"/>
        <v>5.8232234849382705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5.9928499999999998</v>
      </c>
      <c r="I102" s="22">
        <v>-1.11877E-2</v>
      </c>
      <c r="J102" s="22">
        <v>92</v>
      </c>
      <c r="K102" s="22">
        <v>1.23627</v>
      </c>
      <c r="L102">
        <f t="shared" si="12"/>
        <v>13.811975308641975</v>
      </c>
      <c r="M102">
        <f t="shared" si="13"/>
        <v>17.081546103703705</v>
      </c>
      <c r="N102" s="9"/>
      <c r="O102" s="22">
        <v>0.36331200000000002</v>
      </c>
      <c r="P102" s="22">
        <v>9.6106200000000008</v>
      </c>
      <c r="Q102" s="22">
        <v>-1.3256799999999999E-2</v>
      </c>
      <c r="R102" s="22">
        <v>92</v>
      </c>
      <c r="S102" s="22">
        <v>0.362701</v>
      </c>
      <c r="T102">
        <f t="shared" si="14"/>
        <v>16.366419753086415</v>
      </c>
      <c r="U102">
        <f t="shared" si="15"/>
        <v>5.946116693333332</v>
      </c>
      <c r="X102" s="9"/>
      <c r="Y102" s="22">
        <v>1.23672</v>
      </c>
      <c r="Z102" s="22">
        <v>14.8871</v>
      </c>
      <c r="AA102" s="22">
        <v>-1.11237E-2</v>
      </c>
      <c r="AB102" s="22">
        <v>92</v>
      </c>
      <c r="AC102" s="22">
        <v>1.23566</v>
      </c>
      <c r="AD102">
        <f t="shared" si="16"/>
        <v>13.732962962962963</v>
      </c>
      <c r="AE102">
        <f t="shared" si="17"/>
        <v>16.983829955555557</v>
      </c>
      <c r="AF102" s="9"/>
      <c r="AG102" s="22">
        <v>0.36331200000000002</v>
      </c>
      <c r="AH102" s="22">
        <v>18.504799999999999</v>
      </c>
      <c r="AI102" s="22">
        <v>-1.3241599999999999E-2</v>
      </c>
      <c r="AJ102" s="22">
        <v>92</v>
      </c>
      <c r="AK102" s="22">
        <v>0.362701</v>
      </c>
      <c r="AL102">
        <f t="shared" si="18"/>
        <v>16.347654320987651</v>
      </c>
      <c r="AM102">
        <f t="shared" si="19"/>
        <v>5.9392989866666657</v>
      </c>
      <c r="AP102" s="9"/>
      <c r="AQ102" s="22">
        <v>1.23672</v>
      </c>
      <c r="AR102" s="22">
        <v>23.822299999999998</v>
      </c>
      <c r="AS102" s="22">
        <v>-1.13525E-2</v>
      </c>
      <c r="AT102" s="22">
        <v>92</v>
      </c>
      <c r="AU102" s="22">
        <v>1.2353499999999999</v>
      </c>
      <c r="AV102">
        <f t="shared" si="20"/>
        <v>14.015432098765432</v>
      </c>
      <c r="AW102">
        <f t="shared" si="21"/>
        <v>17.333165185185187</v>
      </c>
      <c r="AX102" s="9"/>
      <c r="AY102" s="22">
        <v>0.36331200000000002</v>
      </c>
      <c r="AZ102" s="22">
        <v>27.440100000000001</v>
      </c>
      <c r="BA102" s="22">
        <v>-1.31561E-2</v>
      </c>
      <c r="BB102" s="22">
        <v>92</v>
      </c>
      <c r="BC102" s="22">
        <v>0.362701</v>
      </c>
      <c r="BD102">
        <f t="shared" si="22"/>
        <v>16.2420987654321</v>
      </c>
      <c r="BE102">
        <f t="shared" si="23"/>
        <v>5.9009493866666674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6.0029199999999996</v>
      </c>
      <c r="I103" s="22">
        <v>-1.12183E-2</v>
      </c>
      <c r="J103" s="22">
        <v>93</v>
      </c>
      <c r="K103" s="22">
        <v>1.2307699999999999</v>
      </c>
      <c r="L103">
        <f t="shared" si="12"/>
        <v>13.849753086419753</v>
      </c>
      <c r="M103">
        <f t="shared" si="13"/>
        <v>17.058602379012346</v>
      </c>
      <c r="N103" s="9"/>
      <c r="O103" s="22">
        <v>0.36834699999999998</v>
      </c>
      <c r="P103" s="22">
        <v>9.6206899999999997</v>
      </c>
      <c r="Q103" s="22">
        <v>-1.32599E-2</v>
      </c>
      <c r="R103" s="22">
        <v>93</v>
      </c>
      <c r="S103" s="22">
        <v>0.36773699999999998</v>
      </c>
      <c r="T103">
        <f t="shared" si="14"/>
        <v>16.370246913580246</v>
      </c>
      <c r="U103">
        <f t="shared" si="15"/>
        <v>6.0299313398765424</v>
      </c>
      <c r="X103" s="9"/>
      <c r="Y103" s="22">
        <v>1.23169</v>
      </c>
      <c r="Z103" s="22">
        <v>14.8971</v>
      </c>
      <c r="AA103" s="22">
        <v>-1.11755E-2</v>
      </c>
      <c r="AB103" s="22">
        <v>93</v>
      </c>
      <c r="AC103" s="22">
        <v>1.2313799999999999</v>
      </c>
      <c r="AD103">
        <f t="shared" si="16"/>
        <v>13.796913580246912</v>
      </c>
      <c r="AE103">
        <f t="shared" si="17"/>
        <v>16.993520487654319</v>
      </c>
      <c r="AF103" s="9"/>
      <c r="AG103" s="22">
        <v>0.36834699999999998</v>
      </c>
      <c r="AH103" s="22">
        <v>18.514900000000001</v>
      </c>
      <c r="AI103" s="22">
        <v>-1.32385E-2</v>
      </c>
      <c r="AJ103" s="22">
        <v>93</v>
      </c>
      <c r="AK103" s="22">
        <v>0.36770599999999998</v>
      </c>
      <c r="AL103">
        <f t="shared" si="18"/>
        <v>16.343827160493824</v>
      </c>
      <c r="AM103">
        <f t="shared" si="19"/>
        <v>6.0201997030864183</v>
      </c>
      <c r="AP103" s="9"/>
      <c r="AQ103" s="22">
        <v>1.23169</v>
      </c>
      <c r="AR103" s="22">
        <v>23.8324</v>
      </c>
      <c r="AS103" s="22">
        <v>-1.14044E-2</v>
      </c>
      <c r="AT103" s="22">
        <v>93</v>
      </c>
      <c r="AU103" s="22">
        <v>1.23047</v>
      </c>
      <c r="AV103">
        <f t="shared" si="20"/>
        <v>14.079506172839505</v>
      </c>
      <c r="AW103">
        <f t="shared" si="21"/>
        <v>17.341586958024688</v>
      </c>
      <c r="AX103" s="9"/>
      <c r="AY103" s="22">
        <v>0.36834699999999998</v>
      </c>
      <c r="AZ103" s="22">
        <v>27.450099999999999</v>
      </c>
      <c r="BA103" s="22">
        <v>-1.31439E-2</v>
      </c>
      <c r="BB103" s="22">
        <v>93</v>
      </c>
      <c r="BC103" s="22">
        <v>0.36773699999999998</v>
      </c>
      <c r="BD103">
        <f t="shared" si="22"/>
        <v>16.227037037037036</v>
      </c>
      <c r="BE103">
        <f t="shared" si="23"/>
        <v>5.9771804114814806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6.0129900000000003</v>
      </c>
      <c r="I104" s="22">
        <v>-1.1261E-2</v>
      </c>
      <c r="J104" s="22">
        <v>94</v>
      </c>
      <c r="K104" s="22">
        <v>1.2252799999999999</v>
      </c>
      <c r="L104">
        <f t="shared" si="12"/>
        <v>13.90246913580247</v>
      </c>
      <c r="M104">
        <f t="shared" si="13"/>
        <v>17.053463765432099</v>
      </c>
      <c r="N104" s="9"/>
      <c r="O104" s="22">
        <v>0.37338300000000002</v>
      </c>
      <c r="P104" s="22">
        <v>9.6307600000000004</v>
      </c>
      <c r="Q104" s="22">
        <v>-1.3250700000000001E-2</v>
      </c>
      <c r="R104" s="22">
        <v>94</v>
      </c>
      <c r="S104" s="22">
        <v>0.37283300000000003</v>
      </c>
      <c r="T104">
        <f t="shared" si="14"/>
        <v>16.358888888888888</v>
      </c>
      <c r="U104">
        <f t="shared" si="15"/>
        <v>6.1081310100000001</v>
      </c>
      <c r="X104" s="9"/>
      <c r="Y104" s="22">
        <v>1.22665</v>
      </c>
      <c r="Z104" s="22">
        <v>14.9072</v>
      </c>
      <c r="AA104" s="22">
        <v>-1.12213E-2</v>
      </c>
      <c r="AB104" s="22">
        <v>94</v>
      </c>
      <c r="AC104" s="22">
        <v>1.2258899999999999</v>
      </c>
      <c r="AD104">
        <f t="shared" si="16"/>
        <v>13.853456790123456</v>
      </c>
      <c r="AE104">
        <f t="shared" si="17"/>
        <v>16.993342771604937</v>
      </c>
      <c r="AF104" s="9"/>
      <c r="AG104" s="22">
        <v>0.37338300000000002</v>
      </c>
      <c r="AH104" s="22">
        <v>18.524999999999999</v>
      </c>
      <c r="AI104" s="22">
        <v>-1.32324E-2</v>
      </c>
      <c r="AJ104" s="22">
        <v>94</v>
      </c>
      <c r="AK104" s="22">
        <v>0.37277199999999999</v>
      </c>
      <c r="AL104">
        <f t="shared" si="18"/>
        <v>16.336296296296297</v>
      </c>
      <c r="AM104">
        <f t="shared" si="19"/>
        <v>6.0996953200000004</v>
      </c>
      <c r="AP104" s="9"/>
      <c r="AQ104" s="22">
        <v>1.22665</v>
      </c>
      <c r="AR104" s="22">
        <v>23.842400000000001</v>
      </c>
      <c r="AS104" s="22">
        <v>-1.14532E-2</v>
      </c>
      <c r="AT104" s="22">
        <v>94</v>
      </c>
      <c r="AU104" s="22">
        <v>1.2262</v>
      </c>
      <c r="AV104">
        <f t="shared" si="20"/>
        <v>14.139753086419754</v>
      </c>
      <c r="AW104">
        <f t="shared" si="21"/>
        <v>17.34452812345679</v>
      </c>
      <c r="AX104" s="9"/>
      <c r="AY104" s="22">
        <v>0.37338300000000002</v>
      </c>
      <c r="AZ104" s="22">
        <v>27.4602</v>
      </c>
      <c r="BA104" s="22">
        <v>-1.31378E-2</v>
      </c>
      <c r="BB104" s="22">
        <v>94</v>
      </c>
      <c r="BC104" s="22">
        <v>0.37274200000000002</v>
      </c>
      <c r="BD104">
        <f t="shared" si="22"/>
        <v>16.219506172839505</v>
      </c>
      <c r="BE104">
        <f t="shared" si="23"/>
        <v>6.0560878733333334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6.0230600000000001</v>
      </c>
      <c r="I105" s="22">
        <v>-1.13037E-2</v>
      </c>
      <c r="J105" s="22">
        <v>95</v>
      </c>
      <c r="K105" s="22">
        <v>1.2203999999999999</v>
      </c>
      <c r="L105">
        <f t="shared" si="12"/>
        <v>13.955185185185183</v>
      </c>
      <c r="M105">
        <f t="shared" si="13"/>
        <v>17.047933325925921</v>
      </c>
      <c r="N105" s="9"/>
      <c r="O105" s="22">
        <v>0.37841799999999998</v>
      </c>
      <c r="P105" s="22">
        <v>9.6408299999999993</v>
      </c>
      <c r="Q105" s="22">
        <v>-1.32324E-2</v>
      </c>
      <c r="R105" s="22">
        <v>95</v>
      </c>
      <c r="S105" s="22">
        <v>0.37777699999999997</v>
      </c>
      <c r="T105">
        <f t="shared" si="14"/>
        <v>16.336296296296297</v>
      </c>
      <c r="U105">
        <f t="shared" si="15"/>
        <v>6.1819485718518514</v>
      </c>
      <c r="X105" s="9"/>
      <c r="Y105" s="22">
        <v>1.2216199999999999</v>
      </c>
      <c r="Z105" s="22">
        <v>14.917299999999999</v>
      </c>
      <c r="AA105" s="22">
        <v>-1.1261E-2</v>
      </c>
      <c r="AB105" s="22">
        <v>95</v>
      </c>
      <c r="AC105" s="22">
        <v>1.2203999999999999</v>
      </c>
      <c r="AD105">
        <f t="shared" si="16"/>
        <v>13.90246913580247</v>
      </c>
      <c r="AE105">
        <f t="shared" si="17"/>
        <v>16.983534345679011</v>
      </c>
      <c r="AF105" s="9"/>
      <c r="AG105" s="22">
        <v>0.37841799999999998</v>
      </c>
      <c r="AH105" s="22">
        <v>18.535</v>
      </c>
      <c r="AI105" s="22">
        <v>-1.32202E-2</v>
      </c>
      <c r="AJ105" s="22">
        <v>95</v>
      </c>
      <c r="AK105" s="22">
        <v>0.37783800000000001</v>
      </c>
      <c r="AL105">
        <f t="shared" si="18"/>
        <v>16.321234567901232</v>
      </c>
      <c r="AM105">
        <f t="shared" si="19"/>
        <v>6.1762489427160485</v>
      </c>
      <c r="AP105" s="9"/>
      <c r="AQ105" s="22">
        <v>1.2216199999999999</v>
      </c>
      <c r="AR105" s="22">
        <v>23.852499999999999</v>
      </c>
      <c r="AS105" s="22">
        <v>-1.1489900000000001E-2</v>
      </c>
      <c r="AT105" s="22">
        <v>95</v>
      </c>
      <c r="AU105" s="22">
        <v>1.2206999999999999</v>
      </c>
      <c r="AV105">
        <f t="shared" si="20"/>
        <v>14.185061728395063</v>
      </c>
      <c r="AW105">
        <f t="shared" si="21"/>
        <v>17.328755108641975</v>
      </c>
      <c r="AX105" s="9"/>
      <c r="AY105" s="22">
        <v>0.37841799999999998</v>
      </c>
      <c r="AZ105" s="22">
        <v>27.470300000000002</v>
      </c>
      <c r="BA105" s="22">
        <v>-1.31378E-2</v>
      </c>
      <c r="BB105" s="22">
        <v>95</v>
      </c>
      <c r="BC105" s="22">
        <v>0.37783800000000001</v>
      </c>
      <c r="BD105">
        <f t="shared" si="22"/>
        <v>16.219506172839505</v>
      </c>
      <c r="BE105">
        <f t="shared" si="23"/>
        <v>6.1377530869135795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6.0331400000000004</v>
      </c>
      <c r="I106" s="22">
        <v>-1.13434E-2</v>
      </c>
      <c r="J106" s="22">
        <v>96</v>
      </c>
      <c r="K106" s="22">
        <v>1.2152099999999999</v>
      </c>
      <c r="L106">
        <f t="shared" si="12"/>
        <v>14.004197530864197</v>
      </c>
      <c r="M106">
        <f t="shared" si="13"/>
        <v>17.037226632098765</v>
      </c>
      <c r="N106" s="9"/>
      <c r="O106" s="22">
        <v>0.38345299999999999</v>
      </c>
      <c r="P106" s="22">
        <v>9.6509</v>
      </c>
      <c r="Q106" s="22">
        <v>-1.3207999999999999E-2</v>
      </c>
      <c r="R106" s="22">
        <v>96</v>
      </c>
      <c r="S106" s="22">
        <v>0.38287399999999999</v>
      </c>
      <c r="T106">
        <f t="shared" si="14"/>
        <v>16.306172839506171</v>
      </c>
      <c r="U106">
        <f t="shared" si="15"/>
        <v>6.2526508938271599</v>
      </c>
      <c r="X106" s="9"/>
      <c r="Y106" s="22">
        <v>1.21658</v>
      </c>
      <c r="Z106" s="22">
        <v>14.927300000000001</v>
      </c>
      <c r="AA106" s="22">
        <v>-1.13037E-2</v>
      </c>
      <c r="AB106" s="22">
        <v>96</v>
      </c>
      <c r="AC106" s="22">
        <v>1.2155199999999999</v>
      </c>
      <c r="AD106">
        <f t="shared" si="16"/>
        <v>13.955185185185183</v>
      </c>
      <c r="AE106">
        <f t="shared" si="17"/>
        <v>16.977599192592589</v>
      </c>
      <c r="AF106" s="9"/>
      <c r="AG106" s="22">
        <v>0.38345299999999999</v>
      </c>
      <c r="AH106" s="22">
        <v>18.545100000000001</v>
      </c>
      <c r="AI106" s="22">
        <v>-1.32172E-2</v>
      </c>
      <c r="AJ106" s="22">
        <v>96</v>
      </c>
      <c r="AK106" s="22">
        <v>0.38287399999999999</v>
      </c>
      <c r="AL106">
        <f t="shared" si="18"/>
        <v>16.317530864197529</v>
      </c>
      <c r="AM106">
        <f t="shared" si="19"/>
        <v>6.2570061624691347</v>
      </c>
      <c r="AP106" s="9"/>
      <c r="AQ106" s="22">
        <v>1.21658</v>
      </c>
      <c r="AR106" s="22">
        <v>23.8626</v>
      </c>
      <c r="AS106" s="22">
        <v>-1.1538700000000001E-2</v>
      </c>
      <c r="AT106" s="22">
        <v>96</v>
      </c>
      <c r="AU106" s="22">
        <v>1.2155199999999999</v>
      </c>
      <c r="AV106">
        <f t="shared" si="20"/>
        <v>14.245308641975308</v>
      </c>
      <c r="AW106">
        <f t="shared" si="21"/>
        <v>17.330557587654319</v>
      </c>
      <c r="AX106" s="9"/>
      <c r="AY106" s="22">
        <v>0.38345299999999999</v>
      </c>
      <c r="AZ106" s="22">
        <v>27.4803</v>
      </c>
      <c r="BA106" s="22">
        <v>-1.3147000000000001E-2</v>
      </c>
      <c r="BB106" s="22">
        <v>96</v>
      </c>
      <c r="BC106" s="22">
        <v>0.38281300000000001</v>
      </c>
      <c r="BD106">
        <f t="shared" si="22"/>
        <v>16.230864197530863</v>
      </c>
      <c r="BE106">
        <f t="shared" si="23"/>
        <v>6.223773569135802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6.0432100000000002</v>
      </c>
      <c r="I107" s="22">
        <v>-1.1377E-2</v>
      </c>
      <c r="J107" s="22">
        <v>97</v>
      </c>
      <c r="K107" s="22">
        <v>1.2100200000000001</v>
      </c>
      <c r="L107">
        <f t="shared" si="12"/>
        <v>14.045679012345678</v>
      </c>
      <c r="M107">
        <f t="shared" si="13"/>
        <v>17.017042407407406</v>
      </c>
      <c r="N107" s="9"/>
      <c r="O107" s="22">
        <v>0.38848899999999997</v>
      </c>
      <c r="P107" s="22">
        <v>9.6609700000000007</v>
      </c>
      <c r="Q107" s="22">
        <v>-1.3195800000000001E-2</v>
      </c>
      <c r="R107" s="22">
        <v>97</v>
      </c>
      <c r="S107" s="22">
        <v>0.387878</v>
      </c>
      <c r="T107">
        <f t="shared" si="14"/>
        <v>16.29111111111111</v>
      </c>
      <c r="U107">
        <f t="shared" si="15"/>
        <v>6.3289174644444435</v>
      </c>
      <c r="X107" s="9"/>
      <c r="Y107" s="22">
        <v>1.2115499999999999</v>
      </c>
      <c r="Z107" s="22">
        <v>14.9374</v>
      </c>
      <c r="AA107" s="22">
        <v>-1.1340299999999999E-2</v>
      </c>
      <c r="AB107" s="22">
        <v>97</v>
      </c>
      <c r="AC107" s="22">
        <v>1.2106300000000001</v>
      </c>
      <c r="AD107">
        <f t="shared" si="16"/>
        <v>14.000370370370367</v>
      </c>
      <c r="AE107">
        <f t="shared" si="17"/>
        <v>16.962148722222217</v>
      </c>
      <c r="AF107" s="9"/>
      <c r="AG107" s="22">
        <v>0.38848899999999997</v>
      </c>
      <c r="AH107" s="22">
        <v>18.555199999999999</v>
      </c>
      <c r="AI107" s="22">
        <v>-1.32111E-2</v>
      </c>
      <c r="AJ107" s="22">
        <v>97</v>
      </c>
      <c r="AK107" s="22">
        <v>0.387909</v>
      </c>
      <c r="AL107">
        <f t="shared" si="18"/>
        <v>16.309999999999999</v>
      </c>
      <c r="AM107">
        <f t="shared" si="19"/>
        <v>6.3362555899999995</v>
      </c>
      <c r="AP107" s="9"/>
      <c r="AQ107" s="22">
        <v>1.2115499999999999</v>
      </c>
      <c r="AR107" s="22">
        <v>23.872599999999998</v>
      </c>
      <c r="AS107" s="22">
        <v>-1.1578400000000001E-2</v>
      </c>
      <c r="AT107" s="22">
        <v>97</v>
      </c>
      <c r="AU107" s="22">
        <v>1.2109399999999999</v>
      </c>
      <c r="AV107">
        <f t="shared" si="20"/>
        <v>14.29432098765432</v>
      </c>
      <c r="AW107">
        <f t="shared" si="21"/>
        <v>17.31828459259259</v>
      </c>
      <c r="AX107" s="9"/>
      <c r="AY107" s="22">
        <v>0.38848899999999997</v>
      </c>
      <c r="AZ107" s="22">
        <v>27.490400000000001</v>
      </c>
      <c r="BA107" s="22">
        <v>-1.3153099999999999E-2</v>
      </c>
      <c r="BB107" s="22">
        <v>97</v>
      </c>
      <c r="BC107" s="22">
        <v>0.387878</v>
      </c>
      <c r="BD107">
        <f t="shared" si="22"/>
        <v>16.238395061728394</v>
      </c>
      <c r="BE107">
        <f t="shared" si="23"/>
        <v>6.3084378591358012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6.05328</v>
      </c>
      <c r="I108" s="22">
        <v>-1.14197E-2</v>
      </c>
      <c r="J108" s="22">
        <v>98</v>
      </c>
      <c r="K108" s="22">
        <v>1.2048300000000001</v>
      </c>
      <c r="L108">
        <f t="shared" si="12"/>
        <v>14.098395061728393</v>
      </c>
      <c r="M108">
        <f t="shared" si="13"/>
        <v>17.009854625925922</v>
      </c>
      <c r="N108" s="9"/>
      <c r="O108" s="22">
        <v>0.39352399999999998</v>
      </c>
      <c r="P108" s="22">
        <v>9.6710499999999993</v>
      </c>
      <c r="Q108" s="22">
        <v>-1.31866E-2</v>
      </c>
      <c r="R108" s="22">
        <v>98</v>
      </c>
      <c r="S108" s="22">
        <v>0.39294400000000002</v>
      </c>
      <c r="T108">
        <f t="shared" si="14"/>
        <v>16.279753086419749</v>
      </c>
      <c r="U108">
        <f t="shared" si="15"/>
        <v>6.4064735535802448</v>
      </c>
      <c r="X108" s="9"/>
      <c r="Y108" s="22">
        <v>1.20651</v>
      </c>
      <c r="Z108" s="22">
        <v>14.9475</v>
      </c>
      <c r="AA108" s="22">
        <v>-1.13892E-2</v>
      </c>
      <c r="AB108" s="22">
        <v>98</v>
      </c>
      <c r="AC108" s="22">
        <v>1.2054400000000001</v>
      </c>
      <c r="AD108">
        <f t="shared" si="16"/>
        <v>14.060740740740741</v>
      </c>
      <c r="AE108">
        <f t="shared" si="17"/>
        <v>16.964424311111109</v>
      </c>
      <c r="AF108" s="9"/>
      <c r="AG108" s="22">
        <v>0.39352399999999998</v>
      </c>
      <c r="AH108" s="22">
        <v>18.565300000000001</v>
      </c>
      <c r="AI108" s="22">
        <v>-1.32172E-2</v>
      </c>
      <c r="AJ108" s="22">
        <v>98</v>
      </c>
      <c r="AK108" s="22">
        <v>0.39288299999999998</v>
      </c>
      <c r="AL108">
        <f t="shared" si="18"/>
        <v>16.317530864197529</v>
      </c>
      <c r="AM108">
        <f t="shared" si="19"/>
        <v>6.4213400158024685</v>
      </c>
      <c r="AP108" s="9"/>
      <c r="AQ108" s="22">
        <v>1.20651</v>
      </c>
      <c r="AR108" s="22">
        <v>23.8827</v>
      </c>
      <c r="AS108" s="22">
        <v>-1.1621100000000001E-2</v>
      </c>
      <c r="AT108" s="22">
        <v>98</v>
      </c>
      <c r="AU108" s="22">
        <v>1.2051400000000001</v>
      </c>
      <c r="AV108">
        <f t="shared" si="20"/>
        <v>14.347037037037037</v>
      </c>
      <c r="AW108">
        <f t="shared" si="21"/>
        <v>17.309843655555554</v>
      </c>
      <c r="AX108" s="9"/>
      <c r="AY108" s="22">
        <v>0.39352399999999998</v>
      </c>
      <c r="AZ108" s="22">
        <v>27.500499999999999</v>
      </c>
      <c r="BA108" s="22">
        <v>-1.31561E-2</v>
      </c>
      <c r="BB108" s="22">
        <v>98</v>
      </c>
      <c r="BC108" s="22">
        <v>0.39297500000000002</v>
      </c>
      <c r="BD108">
        <f t="shared" si="22"/>
        <v>16.2420987654321</v>
      </c>
      <c r="BE108">
        <f t="shared" si="23"/>
        <v>6.3916556745679012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6.0633499999999998</v>
      </c>
      <c r="I109" s="22">
        <v>-1.1462399999999999E-2</v>
      </c>
      <c r="J109" s="22">
        <v>99</v>
      </c>
      <c r="K109" s="22">
        <v>1.2005600000000001</v>
      </c>
      <c r="L109">
        <f t="shared" si="12"/>
        <v>14.15111111111111</v>
      </c>
      <c r="M109">
        <f t="shared" si="13"/>
        <v>17.002276977777779</v>
      </c>
      <c r="N109" s="9"/>
      <c r="O109" s="22">
        <v>0.39856000000000003</v>
      </c>
      <c r="P109" s="22">
        <v>9.6811199999999999</v>
      </c>
      <c r="Q109" s="22">
        <v>-1.31866E-2</v>
      </c>
      <c r="R109" s="22">
        <v>99</v>
      </c>
      <c r="S109" s="22">
        <v>0.39800999999999997</v>
      </c>
      <c r="T109">
        <f t="shared" si="14"/>
        <v>16.279753086419749</v>
      </c>
      <c r="U109">
        <f t="shared" si="15"/>
        <v>6.4884583901234558</v>
      </c>
      <c r="X109" s="9"/>
      <c r="Y109" s="22">
        <v>1.2014800000000001</v>
      </c>
      <c r="Z109" s="22">
        <v>14.957599999999999</v>
      </c>
      <c r="AA109" s="22">
        <v>-1.14349E-2</v>
      </c>
      <c r="AB109" s="22">
        <v>99</v>
      </c>
      <c r="AC109" s="22">
        <v>1.2002600000000001</v>
      </c>
      <c r="AD109">
        <f t="shared" si="16"/>
        <v>14.117160493827161</v>
      </c>
      <c r="AE109">
        <f t="shared" si="17"/>
        <v>16.961485990123457</v>
      </c>
      <c r="AF109" s="9"/>
      <c r="AG109" s="22">
        <v>0.39856000000000003</v>
      </c>
      <c r="AH109" s="22">
        <v>18.575299999999999</v>
      </c>
      <c r="AI109" s="22">
        <v>-1.32263E-2</v>
      </c>
      <c r="AJ109" s="22">
        <v>99</v>
      </c>
      <c r="AK109" s="22">
        <v>0.397949</v>
      </c>
      <c r="AL109">
        <f t="shared" si="18"/>
        <v>16.328765432098766</v>
      </c>
      <c r="AM109">
        <f t="shared" si="19"/>
        <v>6.5079927506172845</v>
      </c>
      <c r="AP109" s="9"/>
      <c r="AQ109" s="22">
        <v>1.2014800000000001</v>
      </c>
      <c r="AR109" s="22">
        <v>23.892800000000001</v>
      </c>
      <c r="AS109" s="22">
        <v>-1.1666899999999999E-2</v>
      </c>
      <c r="AT109" s="22">
        <v>99</v>
      </c>
      <c r="AU109" s="22">
        <v>1.1999500000000001</v>
      </c>
      <c r="AV109">
        <f t="shared" si="20"/>
        <v>14.403580246913579</v>
      </c>
      <c r="AW109">
        <f t="shared" si="21"/>
        <v>17.305613595061729</v>
      </c>
      <c r="AX109" s="9"/>
      <c r="AY109" s="22">
        <v>0.39856000000000003</v>
      </c>
      <c r="AZ109" s="22">
        <v>27.5105</v>
      </c>
      <c r="BA109" s="22">
        <v>-1.3174399999999999E-2</v>
      </c>
      <c r="BB109" s="22">
        <v>99</v>
      </c>
      <c r="BC109" s="22">
        <v>0.39788800000000002</v>
      </c>
      <c r="BD109">
        <f t="shared" si="22"/>
        <v>16.264691358024692</v>
      </c>
      <c r="BE109">
        <f t="shared" si="23"/>
        <v>6.4824553876543218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6.0734199999999996</v>
      </c>
      <c r="I110" s="22">
        <v>-1.1495999999999999E-2</v>
      </c>
      <c r="J110" s="22">
        <v>100</v>
      </c>
      <c r="K110" s="22">
        <v>1.1950700000000001</v>
      </c>
      <c r="L110">
        <f t="shared" si="12"/>
        <v>14.19259259259259</v>
      </c>
      <c r="M110">
        <f t="shared" si="13"/>
        <v>16.980585481481477</v>
      </c>
      <c r="N110" s="9"/>
      <c r="O110" s="22">
        <v>0.40359499999999998</v>
      </c>
      <c r="P110" s="22">
        <v>9.6911900000000006</v>
      </c>
      <c r="Q110" s="22">
        <v>-1.31805E-2</v>
      </c>
      <c r="R110" s="22">
        <v>100</v>
      </c>
      <c r="S110" s="22">
        <v>0.40298499999999998</v>
      </c>
      <c r="T110">
        <f t="shared" si="14"/>
        <v>16.272222222222219</v>
      </c>
      <c r="U110">
        <f t="shared" si="15"/>
        <v>6.5673875277777762</v>
      </c>
      <c r="X110" s="9"/>
      <c r="Y110" s="22">
        <v>1.1964399999999999</v>
      </c>
      <c r="Z110" s="22">
        <v>14.967599999999999</v>
      </c>
      <c r="AA110" s="22">
        <v>-1.14746E-2</v>
      </c>
      <c r="AB110" s="22">
        <v>100</v>
      </c>
      <c r="AC110" s="22">
        <v>1.19537</v>
      </c>
      <c r="AD110">
        <f t="shared" si="16"/>
        <v>14.166172839506173</v>
      </c>
      <c r="AE110">
        <f t="shared" si="17"/>
        <v>16.948975832098764</v>
      </c>
      <c r="AF110" s="9"/>
      <c r="AG110" s="22">
        <v>0.40359499999999998</v>
      </c>
      <c r="AH110" s="22">
        <v>18.5854</v>
      </c>
      <c r="AI110" s="22">
        <v>-1.32263E-2</v>
      </c>
      <c r="AJ110" s="22">
        <v>100</v>
      </c>
      <c r="AK110" s="22">
        <v>0.40295399999999998</v>
      </c>
      <c r="AL110">
        <f t="shared" si="18"/>
        <v>16.328765432098766</v>
      </c>
      <c r="AM110">
        <f t="shared" si="19"/>
        <v>6.5902080845679016</v>
      </c>
      <c r="AP110" s="9"/>
      <c r="AQ110" s="22">
        <v>1.1964399999999999</v>
      </c>
      <c r="AR110" s="22">
        <v>23.902799999999999</v>
      </c>
      <c r="AS110" s="22">
        <v>-1.17126E-2</v>
      </c>
      <c r="AT110" s="22">
        <v>100</v>
      </c>
      <c r="AU110" s="22">
        <v>1.19537</v>
      </c>
      <c r="AV110">
        <f t="shared" si="20"/>
        <v>14.459999999999999</v>
      </c>
      <c r="AW110">
        <f t="shared" si="21"/>
        <v>17.300522399999998</v>
      </c>
      <c r="AX110" s="9"/>
      <c r="AY110" s="22">
        <v>0.40359499999999998</v>
      </c>
      <c r="AZ110" s="22">
        <v>27.520600000000002</v>
      </c>
      <c r="BA110" s="22">
        <v>-1.31714E-2</v>
      </c>
      <c r="BB110" s="22">
        <v>100</v>
      </c>
      <c r="BC110" s="22">
        <v>0.40298499999999998</v>
      </c>
      <c r="BD110">
        <f t="shared" si="22"/>
        <v>16.260987654320989</v>
      </c>
      <c r="BE110">
        <f t="shared" si="23"/>
        <v>6.5628533123456787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6.0834900000000003</v>
      </c>
      <c r="I111" s="22">
        <v>-1.15417E-2</v>
      </c>
      <c r="J111" s="22">
        <v>101</v>
      </c>
      <c r="K111" s="22">
        <v>1.1901900000000001</v>
      </c>
      <c r="L111">
        <f t="shared" si="12"/>
        <v>14.249012345679011</v>
      </c>
      <c r="M111">
        <f t="shared" si="13"/>
        <v>16.976415798765434</v>
      </c>
      <c r="N111" s="9"/>
      <c r="O111" s="22">
        <v>0.40862999999999999</v>
      </c>
      <c r="P111" s="22">
        <v>9.7012599999999996</v>
      </c>
      <c r="Q111" s="22">
        <v>-1.31775E-2</v>
      </c>
      <c r="R111" s="22">
        <v>101</v>
      </c>
      <c r="S111" s="22">
        <v>0.40799000000000002</v>
      </c>
      <c r="T111">
        <f t="shared" si="14"/>
        <v>16.268518518518519</v>
      </c>
      <c r="U111">
        <f t="shared" si="15"/>
        <v>6.6478047222222223</v>
      </c>
      <c r="X111" s="9"/>
      <c r="Y111" s="22">
        <v>1.1914100000000001</v>
      </c>
      <c r="Z111" s="22">
        <v>14.9777</v>
      </c>
      <c r="AA111" s="22">
        <v>-1.15143E-2</v>
      </c>
      <c r="AB111" s="22">
        <v>101</v>
      </c>
      <c r="AC111" s="22">
        <v>1.19049</v>
      </c>
      <c r="AD111">
        <f t="shared" si="16"/>
        <v>14.215185185185184</v>
      </c>
      <c r="AE111">
        <f t="shared" si="17"/>
        <v>16.936113781481481</v>
      </c>
      <c r="AF111" s="9"/>
      <c r="AG111" s="22">
        <v>0.40862999999999999</v>
      </c>
      <c r="AH111" s="22">
        <v>18.595500000000001</v>
      </c>
      <c r="AI111" s="22">
        <v>-1.32324E-2</v>
      </c>
      <c r="AJ111" s="22">
        <v>101</v>
      </c>
      <c r="AK111" s="22">
        <v>0.40811199999999997</v>
      </c>
      <c r="AL111">
        <f t="shared" si="18"/>
        <v>16.336296296296297</v>
      </c>
      <c r="AM111">
        <f t="shared" si="19"/>
        <v>6.6755007555555554</v>
      </c>
      <c r="AP111" s="9"/>
      <c r="AQ111" s="22">
        <v>1.1914100000000001</v>
      </c>
      <c r="AR111" s="22">
        <v>23.9129</v>
      </c>
      <c r="AS111" s="22">
        <v>-1.1755399999999999E-2</v>
      </c>
      <c r="AT111" s="22">
        <v>101</v>
      </c>
      <c r="AU111" s="22">
        <v>1.1911</v>
      </c>
      <c r="AV111">
        <f t="shared" si="20"/>
        <v>14.512839506172838</v>
      </c>
      <c r="AW111">
        <f t="shared" si="21"/>
        <v>17.290742116049383</v>
      </c>
      <c r="AX111" s="9"/>
      <c r="AY111" s="22">
        <v>0.40862999999999999</v>
      </c>
      <c r="AZ111" s="22">
        <v>27.5307</v>
      </c>
      <c r="BA111" s="22">
        <v>-1.3159199999999999E-2</v>
      </c>
      <c r="BB111" s="22">
        <v>101</v>
      </c>
      <c r="BC111" s="22">
        <v>0.40801999999999999</v>
      </c>
      <c r="BD111">
        <f t="shared" si="22"/>
        <v>16.245925925925924</v>
      </c>
      <c r="BE111">
        <f t="shared" si="23"/>
        <v>6.6385727111111104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6.0935600000000001</v>
      </c>
      <c r="I112" s="22">
        <v>-1.15814E-2</v>
      </c>
      <c r="J112" s="22">
        <v>102</v>
      </c>
      <c r="K112" s="22">
        <v>1.1856100000000001</v>
      </c>
      <c r="L112">
        <f t="shared" si="12"/>
        <v>14.298024691358025</v>
      </c>
      <c r="M112">
        <f t="shared" si="13"/>
        <v>16.96274755308642</v>
      </c>
      <c r="N112" s="9"/>
      <c r="O112" s="22">
        <v>0.41366599999999998</v>
      </c>
      <c r="P112" s="22">
        <v>9.7113300000000002</v>
      </c>
      <c r="Q112" s="22">
        <v>-1.31714E-2</v>
      </c>
      <c r="R112" s="22">
        <v>102</v>
      </c>
      <c r="S112" s="22">
        <v>0.41305500000000001</v>
      </c>
      <c r="T112">
        <f t="shared" si="14"/>
        <v>16.260987654320989</v>
      </c>
      <c r="U112">
        <f t="shared" si="15"/>
        <v>6.7266177190123457</v>
      </c>
      <c r="X112" s="9"/>
      <c r="Y112" s="22">
        <v>1.1863699999999999</v>
      </c>
      <c r="Z112" s="22">
        <v>14.9878</v>
      </c>
      <c r="AA112" s="22">
        <v>-1.15601E-2</v>
      </c>
      <c r="AB112" s="22">
        <v>102</v>
      </c>
      <c r="AC112" s="22">
        <v>1.18469</v>
      </c>
      <c r="AD112">
        <f t="shared" si="16"/>
        <v>14.271728395061727</v>
      </c>
      <c r="AE112">
        <f t="shared" si="17"/>
        <v>16.931550416049379</v>
      </c>
      <c r="AF112" s="9"/>
      <c r="AG112" s="22">
        <v>0.41366599999999998</v>
      </c>
      <c r="AH112" s="22">
        <v>18.605499999999999</v>
      </c>
      <c r="AI112" s="22">
        <v>-1.32233E-2</v>
      </c>
      <c r="AJ112" s="22">
        <v>102</v>
      </c>
      <c r="AK112" s="22">
        <v>0.41305500000000001</v>
      </c>
      <c r="AL112">
        <f t="shared" si="18"/>
        <v>16.32506172839506</v>
      </c>
      <c r="AM112">
        <f t="shared" si="19"/>
        <v>6.7531229849382708</v>
      </c>
      <c r="AP112" s="9"/>
      <c r="AQ112" s="22">
        <v>1.1863699999999999</v>
      </c>
      <c r="AR112" s="22">
        <v>23.922999999999998</v>
      </c>
      <c r="AS112" s="22">
        <v>-1.1792E-2</v>
      </c>
      <c r="AT112" s="22">
        <v>102</v>
      </c>
      <c r="AU112" s="22">
        <v>1.1853</v>
      </c>
      <c r="AV112">
        <f t="shared" si="20"/>
        <v>14.558024691358025</v>
      </c>
      <c r="AW112">
        <f t="shared" si="21"/>
        <v>17.271203753086418</v>
      </c>
      <c r="AX112" s="9"/>
      <c r="AY112" s="22">
        <v>0.41366599999999998</v>
      </c>
      <c r="AZ112" s="22">
        <v>27.540800000000001</v>
      </c>
      <c r="BA112" s="22">
        <v>-1.3147000000000001E-2</v>
      </c>
      <c r="BB112" s="22">
        <v>102</v>
      </c>
      <c r="BC112" s="22">
        <v>0.41305500000000001</v>
      </c>
      <c r="BD112">
        <f t="shared" si="22"/>
        <v>16.230864197530863</v>
      </c>
      <c r="BE112">
        <f t="shared" si="23"/>
        <v>6.7141566691358019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6.1036299999999999</v>
      </c>
      <c r="I113" s="22">
        <v>-1.16089E-2</v>
      </c>
      <c r="J113" s="22">
        <v>103</v>
      </c>
      <c r="K113" s="22">
        <v>1.18011</v>
      </c>
      <c r="L113">
        <f t="shared" si="12"/>
        <v>14.331975308641976</v>
      </c>
      <c r="M113">
        <f t="shared" si="13"/>
        <v>16.930935711111111</v>
      </c>
      <c r="N113" s="9"/>
      <c r="O113" s="22">
        <v>0.41870099999999999</v>
      </c>
      <c r="P113" s="22">
        <v>9.7213999999999992</v>
      </c>
      <c r="Q113" s="22">
        <v>-1.31714E-2</v>
      </c>
      <c r="R113" s="22">
        <v>103</v>
      </c>
      <c r="S113" s="22">
        <v>0.41805999999999999</v>
      </c>
      <c r="T113">
        <f t="shared" si="14"/>
        <v>16.260987654320989</v>
      </c>
      <c r="U113">
        <f t="shared" si="15"/>
        <v>6.8084917918518517</v>
      </c>
      <c r="X113" s="9"/>
      <c r="Y113" s="22">
        <v>1.1813400000000001</v>
      </c>
      <c r="Z113" s="22">
        <v>14.9978</v>
      </c>
      <c r="AA113" s="22">
        <v>-1.15967E-2</v>
      </c>
      <c r="AB113" s="22">
        <v>103</v>
      </c>
      <c r="AC113" s="22">
        <v>1.17981</v>
      </c>
      <c r="AD113">
        <f t="shared" si="16"/>
        <v>14.316913580246911</v>
      </c>
      <c r="AE113">
        <f t="shared" si="17"/>
        <v>16.913142688888886</v>
      </c>
      <c r="AF113" s="9"/>
      <c r="AG113" s="22">
        <v>0.41870099999999999</v>
      </c>
      <c r="AH113" s="22">
        <v>18.615600000000001</v>
      </c>
      <c r="AI113" s="22">
        <v>-1.32111E-2</v>
      </c>
      <c r="AJ113" s="22">
        <v>103</v>
      </c>
      <c r="AK113" s="22">
        <v>0.41805999999999999</v>
      </c>
      <c r="AL113">
        <f t="shared" si="18"/>
        <v>16.309999999999999</v>
      </c>
      <c r="AM113">
        <f t="shared" si="19"/>
        <v>6.8290133099999997</v>
      </c>
      <c r="AP113" s="9"/>
      <c r="AQ113" s="22">
        <v>1.1813400000000001</v>
      </c>
      <c r="AR113" s="22">
        <v>23.9331</v>
      </c>
      <c r="AS113" s="22">
        <v>-1.1831700000000001E-2</v>
      </c>
      <c r="AT113" s="22">
        <v>103</v>
      </c>
      <c r="AU113" s="22">
        <v>1.1795</v>
      </c>
      <c r="AV113">
        <f t="shared" si="20"/>
        <v>14.607037037037037</v>
      </c>
      <c r="AW113">
        <f t="shared" si="21"/>
        <v>17.255877133333335</v>
      </c>
      <c r="AX113" s="9"/>
      <c r="AY113" s="22">
        <v>0.41870099999999999</v>
      </c>
      <c r="AZ113" s="22">
        <v>27.550799999999999</v>
      </c>
      <c r="BA113" s="22">
        <v>-1.31439E-2</v>
      </c>
      <c r="BB113" s="22">
        <v>103</v>
      </c>
      <c r="BC113" s="22">
        <v>0.41809099999999999</v>
      </c>
      <c r="BD113">
        <f t="shared" si="22"/>
        <v>16.227037037037036</v>
      </c>
      <c r="BE113">
        <f t="shared" si="23"/>
        <v>6.7942766344444436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6.1136999999999997</v>
      </c>
      <c r="I114" s="22">
        <v>-1.1639399999999999E-2</v>
      </c>
      <c r="J114" s="22">
        <v>104</v>
      </c>
      <c r="K114" s="22">
        <v>1.17493</v>
      </c>
      <c r="L114">
        <f t="shared" si="12"/>
        <v>14.369629629629628</v>
      </c>
      <c r="M114">
        <f t="shared" si="13"/>
        <v>16.90299533333333</v>
      </c>
      <c r="N114" s="9"/>
      <c r="O114" s="22">
        <v>0.42373699999999997</v>
      </c>
      <c r="P114" s="22">
        <v>9.7314699999999998</v>
      </c>
      <c r="Q114" s="22">
        <v>-1.31836E-2</v>
      </c>
      <c r="R114" s="22">
        <v>104</v>
      </c>
      <c r="S114" s="22">
        <v>0.42306500000000002</v>
      </c>
      <c r="T114">
        <f t="shared" si="14"/>
        <v>16.276049382716046</v>
      </c>
      <c r="U114">
        <f t="shared" si="15"/>
        <v>6.8967643372839484</v>
      </c>
      <c r="X114" s="9"/>
      <c r="Y114" s="22">
        <v>1.1762999999999999</v>
      </c>
      <c r="Z114" s="22">
        <v>15.007899999999999</v>
      </c>
      <c r="AA114" s="22">
        <v>-1.16364E-2</v>
      </c>
      <c r="AB114" s="22">
        <v>104</v>
      </c>
      <c r="AC114" s="22">
        <v>1.17523</v>
      </c>
      <c r="AD114">
        <f t="shared" si="16"/>
        <v>14.365925925925925</v>
      </c>
      <c r="AE114">
        <f t="shared" si="17"/>
        <v>16.898638666666663</v>
      </c>
      <c r="AF114" s="9"/>
      <c r="AG114" s="22">
        <v>0.42373699999999997</v>
      </c>
      <c r="AH114" s="22">
        <v>18.625699999999998</v>
      </c>
      <c r="AI114" s="22">
        <v>-1.3195800000000001E-2</v>
      </c>
      <c r="AJ114" s="22">
        <v>104</v>
      </c>
      <c r="AK114" s="22">
        <v>0.423126</v>
      </c>
      <c r="AL114">
        <f t="shared" si="18"/>
        <v>16.29111111111111</v>
      </c>
      <c r="AM114">
        <f t="shared" si="19"/>
        <v>6.9031465488888886</v>
      </c>
      <c r="AP114" s="9"/>
      <c r="AQ114" s="22">
        <v>1.1762999999999999</v>
      </c>
      <c r="AR114" s="22">
        <v>23.943100000000001</v>
      </c>
      <c r="AS114" s="22">
        <v>-1.18713E-2</v>
      </c>
      <c r="AT114" s="22">
        <v>104</v>
      </c>
      <c r="AU114" s="22">
        <v>1.17523</v>
      </c>
      <c r="AV114">
        <f t="shared" si="20"/>
        <v>14.655925925925924</v>
      </c>
      <c r="AW114">
        <f t="shared" si="21"/>
        <v>17.239765666666663</v>
      </c>
      <c r="AX114" s="9"/>
      <c r="AY114" s="22">
        <v>0.42373699999999997</v>
      </c>
      <c r="AZ114" s="22">
        <v>27.5609</v>
      </c>
      <c r="BA114" s="22">
        <v>-1.3147000000000001E-2</v>
      </c>
      <c r="BB114" s="22">
        <v>104</v>
      </c>
      <c r="BC114" s="22">
        <v>0.42318699999999998</v>
      </c>
      <c r="BD114">
        <f t="shared" si="22"/>
        <v>16.230864197530863</v>
      </c>
      <c r="BE114">
        <f t="shared" si="23"/>
        <v>6.8776177024691352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6.1237700000000004</v>
      </c>
      <c r="I115" s="22">
        <v>-1.1666899999999999E-2</v>
      </c>
      <c r="J115" s="22">
        <v>105</v>
      </c>
      <c r="K115" s="22">
        <v>1.17004</v>
      </c>
      <c r="L115">
        <f t="shared" si="12"/>
        <v>14.403580246913579</v>
      </c>
      <c r="M115">
        <f t="shared" si="13"/>
        <v>16.870337399999997</v>
      </c>
      <c r="N115" s="9"/>
      <c r="O115" s="22">
        <v>0.42877199999999999</v>
      </c>
      <c r="P115" s="22">
        <v>9.7415400000000005</v>
      </c>
      <c r="Q115" s="22">
        <v>-1.31866E-2</v>
      </c>
      <c r="R115" s="22">
        <v>105</v>
      </c>
      <c r="S115" s="22">
        <v>0.42819200000000002</v>
      </c>
      <c r="T115">
        <f t="shared" si="14"/>
        <v>16.279753086419749</v>
      </c>
      <c r="U115">
        <f t="shared" si="15"/>
        <v>6.9803022903703686</v>
      </c>
      <c r="X115" s="9"/>
      <c r="Y115" s="22">
        <v>1.17126</v>
      </c>
      <c r="Z115" s="22">
        <v>15.018000000000001</v>
      </c>
      <c r="AA115" s="22">
        <v>-1.1672999999999999E-2</v>
      </c>
      <c r="AB115" s="22">
        <v>105</v>
      </c>
      <c r="AC115" s="22">
        <v>1.17004</v>
      </c>
      <c r="AD115">
        <f t="shared" si="16"/>
        <v>14.41111111111111</v>
      </c>
      <c r="AE115">
        <f t="shared" si="17"/>
        <v>16.879157999999997</v>
      </c>
      <c r="AF115" s="9"/>
      <c r="AG115" s="22">
        <v>0.42877199999999999</v>
      </c>
      <c r="AH115" s="22">
        <v>18.6358</v>
      </c>
      <c r="AI115" s="22">
        <v>-1.31775E-2</v>
      </c>
      <c r="AJ115" s="22">
        <v>105</v>
      </c>
      <c r="AK115" s="22">
        <v>0.42813099999999998</v>
      </c>
      <c r="AL115">
        <f t="shared" si="18"/>
        <v>16.268518518518519</v>
      </c>
      <c r="AM115">
        <f t="shared" si="19"/>
        <v>6.9754852222222219</v>
      </c>
      <c r="AP115" s="9"/>
      <c r="AQ115" s="22">
        <v>1.17126</v>
      </c>
      <c r="AR115" s="22">
        <v>23.953199999999999</v>
      </c>
      <c r="AS115" s="22">
        <v>-1.19049E-2</v>
      </c>
      <c r="AT115" s="22">
        <v>105</v>
      </c>
      <c r="AU115" s="22">
        <v>1.17004</v>
      </c>
      <c r="AV115">
        <f t="shared" si="20"/>
        <v>14.697407407407406</v>
      </c>
      <c r="AW115">
        <f t="shared" si="21"/>
        <v>17.214485399999997</v>
      </c>
      <c r="AX115" s="9"/>
      <c r="AY115" s="22">
        <v>0.42877199999999999</v>
      </c>
      <c r="AZ115" s="22">
        <v>27.571000000000002</v>
      </c>
      <c r="BA115" s="22">
        <v>-1.31409E-2</v>
      </c>
      <c r="BB115" s="22">
        <v>105</v>
      </c>
      <c r="BC115" s="22">
        <v>0.42816199999999999</v>
      </c>
      <c r="BD115">
        <f t="shared" si="22"/>
        <v>16.223333333333333</v>
      </c>
      <c r="BE115">
        <f t="shared" si="23"/>
        <v>6.9561110799999994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6.1338499999999998</v>
      </c>
      <c r="I116" s="22">
        <v>-1.17035E-2</v>
      </c>
      <c r="J116" s="22">
        <v>106</v>
      </c>
      <c r="K116" s="22">
        <v>1.16547</v>
      </c>
      <c r="L116">
        <f t="shared" si="12"/>
        <v>14.448765432098766</v>
      </c>
      <c r="M116">
        <f t="shared" si="13"/>
        <v>16.850583709876545</v>
      </c>
      <c r="N116" s="9"/>
      <c r="O116" s="22">
        <v>0.433807</v>
      </c>
      <c r="P116" s="22">
        <v>9.7516099999999994</v>
      </c>
      <c r="Q116" s="22">
        <v>-1.31866E-2</v>
      </c>
      <c r="R116" s="22">
        <v>106</v>
      </c>
      <c r="S116" s="22">
        <v>0.433228</v>
      </c>
      <c r="T116">
        <f t="shared" si="14"/>
        <v>16.279753086419749</v>
      </c>
      <c r="U116">
        <f t="shared" si="15"/>
        <v>7.0622708471604918</v>
      </c>
      <c r="X116" s="9"/>
      <c r="Y116" s="22">
        <v>1.1662300000000001</v>
      </c>
      <c r="Z116" s="22">
        <v>15.0281</v>
      </c>
      <c r="AA116" s="22">
        <v>-1.1715700000000001E-2</v>
      </c>
      <c r="AB116" s="22">
        <v>106</v>
      </c>
      <c r="AC116" s="22">
        <v>1.16547</v>
      </c>
      <c r="AD116">
        <f t="shared" si="16"/>
        <v>14.463827160493826</v>
      </c>
      <c r="AE116">
        <f t="shared" si="17"/>
        <v>16.868149149382717</v>
      </c>
      <c r="AF116" s="9"/>
      <c r="AG116" s="22">
        <v>0.433807</v>
      </c>
      <c r="AH116" s="22">
        <v>18.645800000000001</v>
      </c>
      <c r="AI116" s="22">
        <v>-1.3174399999999999E-2</v>
      </c>
      <c r="AJ116" s="22">
        <v>106</v>
      </c>
      <c r="AK116" s="22">
        <v>0.433228</v>
      </c>
      <c r="AL116">
        <f t="shared" si="18"/>
        <v>16.264691358024692</v>
      </c>
      <c r="AM116">
        <f t="shared" si="19"/>
        <v>7.0557369639506176</v>
      </c>
      <c r="AP116" s="9"/>
      <c r="AQ116" s="22">
        <v>1.1662300000000001</v>
      </c>
      <c r="AR116" s="22">
        <v>23.9633</v>
      </c>
      <c r="AS116" s="22">
        <v>-1.1941500000000001E-2</v>
      </c>
      <c r="AT116" s="22">
        <v>106</v>
      </c>
      <c r="AU116" s="22">
        <v>1.16516</v>
      </c>
      <c r="AV116">
        <f t="shared" si="20"/>
        <v>14.742592592592592</v>
      </c>
      <c r="AW116">
        <f t="shared" si="21"/>
        <v>17.19325375925926</v>
      </c>
      <c r="AX116" s="9"/>
      <c r="AY116" s="22">
        <v>0.433807</v>
      </c>
      <c r="AZ116" s="22">
        <v>27.581</v>
      </c>
      <c r="BA116" s="22">
        <v>-1.31409E-2</v>
      </c>
      <c r="BB116" s="22">
        <v>106</v>
      </c>
      <c r="BC116" s="22">
        <v>0.433197</v>
      </c>
      <c r="BD116">
        <f t="shared" si="22"/>
        <v>16.223333333333333</v>
      </c>
      <c r="BE116">
        <f t="shared" si="23"/>
        <v>7.0377955633333329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6.1439199999999996</v>
      </c>
      <c r="I117" s="22">
        <v>-1.1743200000000001E-2</v>
      </c>
      <c r="J117" s="22">
        <v>107</v>
      </c>
      <c r="K117" s="22">
        <v>1.1605799999999999</v>
      </c>
      <c r="L117">
        <f t="shared" si="12"/>
        <v>14.497777777777777</v>
      </c>
      <c r="M117">
        <f t="shared" si="13"/>
        <v>16.834674577777776</v>
      </c>
      <c r="N117" s="9"/>
      <c r="O117" s="22">
        <v>0.43884299999999998</v>
      </c>
      <c r="P117" s="22">
        <v>9.7616800000000001</v>
      </c>
      <c r="Q117" s="22">
        <v>-1.31805E-2</v>
      </c>
      <c r="R117" s="22">
        <v>107</v>
      </c>
      <c r="S117" s="22">
        <v>0.43820199999999998</v>
      </c>
      <c r="T117">
        <f t="shared" si="14"/>
        <v>16.272222222222219</v>
      </c>
      <c r="U117">
        <f t="shared" si="15"/>
        <v>7.1409508166666651</v>
      </c>
      <c r="X117" s="9"/>
      <c r="Y117" s="22">
        <v>1.1611899999999999</v>
      </c>
      <c r="Z117" s="22">
        <v>15.0381</v>
      </c>
      <c r="AA117" s="22">
        <v>-1.1749300000000001E-2</v>
      </c>
      <c r="AB117" s="22">
        <v>107</v>
      </c>
      <c r="AC117" s="22">
        <v>1.16028</v>
      </c>
      <c r="AD117">
        <f t="shared" si="16"/>
        <v>14.505308641975308</v>
      </c>
      <c r="AE117">
        <f t="shared" si="17"/>
        <v>16.843419341975306</v>
      </c>
      <c r="AF117" s="9"/>
      <c r="AG117" s="22">
        <v>0.43884299999999998</v>
      </c>
      <c r="AH117" s="22">
        <v>18.655899999999999</v>
      </c>
      <c r="AI117" s="22">
        <v>-1.31714E-2</v>
      </c>
      <c r="AJ117" s="22">
        <v>107</v>
      </c>
      <c r="AK117" s="22">
        <v>0.43817099999999998</v>
      </c>
      <c r="AL117">
        <f t="shared" si="18"/>
        <v>16.260987654320989</v>
      </c>
      <c r="AM117">
        <f t="shared" si="19"/>
        <v>7.1360206051851849</v>
      </c>
      <c r="AP117" s="9"/>
      <c r="AQ117" s="22">
        <v>1.1611899999999999</v>
      </c>
      <c r="AR117" s="22">
        <v>23.973299999999998</v>
      </c>
      <c r="AS117" s="22">
        <v>-1.19781E-2</v>
      </c>
      <c r="AT117" s="22">
        <v>107</v>
      </c>
      <c r="AU117" s="22">
        <v>1.16028</v>
      </c>
      <c r="AV117">
        <f t="shared" si="20"/>
        <v>14.787777777777777</v>
      </c>
      <c r="AW117">
        <f t="shared" si="21"/>
        <v>17.171419677777777</v>
      </c>
      <c r="AX117" s="9"/>
      <c r="AY117" s="22">
        <v>0.43884299999999998</v>
      </c>
      <c r="AZ117" s="22">
        <v>27.591100000000001</v>
      </c>
      <c r="BA117" s="22">
        <v>-1.31348E-2</v>
      </c>
      <c r="BB117" s="22">
        <v>107</v>
      </c>
      <c r="BC117" s="22">
        <v>0.43820199999999998</v>
      </c>
      <c r="BD117">
        <f t="shared" si="22"/>
        <v>16.215802469135802</v>
      </c>
      <c r="BE117">
        <f t="shared" si="23"/>
        <v>7.1161914029629623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6.1539900000000003</v>
      </c>
      <c r="I118" s="22">
        <v>-1.1776699999999999E-2</v>
      </c>
      <c r="J118" s="22">
        <v>108</v>
      </c>
      <c r="K118" s="22">
        <v>1.15479</v>
      </c>
      <c r="L118">
        <f t="shared" si="12"/>
        <v>14.539135802469135</v>
      </c>
      <c r="M118">
        <f t="shared" si="13"/>
        <v>16.809567249382717</v>
      </c>
      <c r="N118" s="9"/>
      <c r="O118" s="22">
        <v>0.44387799999999999</v>
      </c>
      <c r="P118" s="22">
        <v>9.7717600000000004</v>
      </c>
      <c r="Q118" s="22">
        <v>-1.3174399999999999E-2</v>
      </c>
      <c r="R118" s="22">
        <v>108</v>
      </c>
      <c r="S118" s="22">
        <v>0.443268</v>
      </c>
      <c r="T118">
        <f t="shared" si="14"/>
        <v>16.264691358024692</v>
      </c>
      <c r="U118">
        <f t="shared" si="15"/>
        <v>7.2195386706172844</v>
      </c>
      <c r="X118" s="9"/>
      <c r="Y118" s="22">
        <v>1.1561600000000001</v>
      </c>
      <c r="Z118" s="22">
        <v>15.0482</v>
      </c>
      <c r="AA118" s="22">
        <v>-1.17798E-2</v>
      </c>
      <c r="AB118" s="22">
        <v>108</v>
      </c>
      <c r="AC118" s="22">
        <v>1.15509</v>
      </c>
      <c r="AD118">
        <f t="shared" si="16"/>
        <v>14.542962962962962</v>
      </c>
      <c r="AE118">
        <f t="shared" si="17"/>
        <v>16.81399205925926</v>
      </c>
      <c r="AF118" s="9"/>
      <c r="AG118" s="22">
        <v>0.44387799999999999</v>
      </c>
      <c r="AH118" s="22">
        <v>18.666</v>
      </c>
      <c r="AI118" s="22">
        <v>-1.31897E-2</v>
      </c>
      <c r="AJ118" s="22">
        <v>108</v>
      </c>
      <c r="AK118" s="22">
        <v>0.44329800000000003</v>
      </c>
      <c r="AL118">
        <f t="shared" si="18"/>
        <v>16.28358024691358</v>
      </c>
      <c r="AM118">
        <f t="shared" si="19"/>
        <v>7.2279230328395059</v>
      </c>
      <c r="AP118" s="9"/>
      <c r="AQ118" s="22">
        <v>1.1561600000000001</v>
      </c>
      <c r="AR118" s="22">
        <v>23.9834</v>
      </c>
      <c r="AS118" s="22">
        <v>-1.20117E-2</v>
      </c>
      <c r="AT118" s="22">
        <v>108</v>
      </c>
      <c r="AU118" s="22">
        <v>1.1556999999999999</v>
      </c>
      <c r="AV118">
        <f t="shared" si="20"/>
        <v>14.82925925925926</v>
      </c>
      <c r="AW118">
        <f t="shared" si="21"/>
        <v>17.144996385185188</v>
      </c>
      <c r="AX118" s="9"/>
      <c r="AY118" s="22">
        <v>0.44387799999999999</v>
      </c>
      <c r="AZ118" s="22">
        <v>27.601199999999999</v>
      </c>
      <c r="BA118" s="22">
        <v>-1.31317E-2</v>
      </c>
      <c r="BB118" s="22">
        <v>108</v>
      </c>
      <c r="BC118" s="22">
        <v>0.443268</v>
      </c>
      <c r="BD118">
        <f t="shared" si="22"/>
        <v>16.211975308641971</v>
      </c>
      <c r="BE118">
        <f t="shared" si="23"/>
        <v>7.1961391760493809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6.1640600000000001</v>
      </c>
      <c r="I119" s="22">
        <v>-1.1810299999999999E-2</v>
      </c>
      <c r="J119" s="22">
        <v>109</v>
      </c>
      <c r="K119" s="22">
        <v>1.1498999999999999</v>
      </c>
      <c r="L119">
        <f t="shared" si="12"/>
        <v>14.580617283950616</v>
      </c>
      <c r="M119">
        <f t="shared" si="13"/>
        <v>16.784040167901232</v>
      </c>
      <c r="N119" s="9"/>
      <c r="O119" s="22">
        <v>0.44891399999999998</v>
      </c>
      <c r="P119" s="22">
        <v>9.7818299999999994</v>
      </c>
      <c r="Q119" s="22">
        <v>-1.3174399999999999E-2</v>
      </c>
      <c r="R119" s="22">
        <v>109</v>
      </c>
      <c r="S119" s="22">
        <v>0.44830300000000001</v>
      </c>
      <c r="T119">
        <f t="shared" si="14"/>
        <v>16.264691358024692</v>
      </c>
      <c r="U119">
        <f t="shared" si="15"/>
        <v>7.301447656296296</v>
      </c>
      <c r="X119" s="9"/>
      <c r="Y119" s="22">
        <v>1.1511199999999999</v>
      </c>
      <c r="Z119" s="22">
        <v>15.058299999999999</v>
      </c>
      <c r="AA119" s="22">
        <v>-1.1816399999999999E-2</v>
      </c>
      <c r="AB119" s="22">
        <v>109</v>
      </c>
      <c r="AC119" s="22">
        <v>1.15021</v>
      </c>
      <c r="AD119">
        <f t="shared" si="16"/>
        <v>14.588148148148147</v>
      </c>
      <c r="AE119">
        <f t="shared" si="17"/>
        <v>16.792709096296292</v>
      </c>
      <c r="AF119" s="9"/>
      <c r="AG119" s="22">
        <v>0.44891399999999998</v>
      </c>
      <c r="AH119" s="22">
        <v>18.675999999999998</v>
      </c>
      <c r="AI119" s="22">
        <v>-1.31927E-2</v>
      </c>
      <c r="AJ119" s="22">
        <v>109</v>
      </c>
      <c r="AK119" s="22">
        <v>0.44827299999999998</v>
      </c>
      <c r="AL119">
        <f t="shared" si="18"/>
        <v>16.287283950617283</v>
      </c>
      <c r="AM119">
        <f t="shared" si="19"/>
        <v>7.3115897874074065</v>
      </c>
      <c r="AP119" s="9"/>
      <c r="AQ119" s="22">
        <v>1.1511199999999999</v>
      </c>
      <c r="AR119" s="22">
        <v>23.993500000000001</v>
      </c>
      <c r="AS119" s="22">
        <v>-1.2042199999999999E-2</v>
      </c>
      <c r="AT119" s="22">
        <v>109</v>
      </c>
      <c r="AU119" s="22">
        <v>1.15021</v>
      </c>
      <c r="AV119">
        <f t="shared" si="20"/>
        <v>14.866913580246912</v>
      </c>
      <c r="AW119">
        <f t="shared" si="21"/>
        <v>17.113601560493823</v>
      </c>
      <c r="AX119" s="9"/>
      <c r="AY119" s="22">
        <v>0.44891399999999998</v>
      </c>
      <c r="AZ119" s="22">
        <v>27.6113</v>
      </c>
      <c r="BA119" s="22">
        <v>-1.31378E-2</v>
      </c>
      <c r="BB119" s="22">
        <v>109</v>
      </c>
      <c r="BC119" s="22">
        <v>0.44830300000000001</v>
      </c>
      <c r="BD119">
        <f t="shared" si="22"/>
        <v>16.219506172839505</v>
      </c>
      <c r="BE119">
        <f t="shared" si="23"/>
        <v>7.2811633940740732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6.1741299999999999</v>
      </c>
      <c r="I120" s="22">
        <v>-1.18347E-2</v>
      </c>
      <c r="J120" s="22">
        <v>110</v>
      </c>
      <c r="K120" s="22">
        <v>1.1453199999999999</v>
      </c>
      <c r="L120">
        <f t="shared" si="12"/>
        <v>14.61074074074074</v>
      </c>
      <c r="M120">
        <f t="shared" si="13"/>
        <v>16.745223855555555</v>
      </c>
      <c r="N120" s="9"/>
      <c r="O120" s="22">
        <v>0.45394899999999999</v>
      </c>
      <c r="P120" s="22">
        <v>9.7919</v>
      </c>
      <c r="Q120" s="22">
        <v>-1.31866E-2</v>
      </c>
      <c r="R120" s="22">
        <v>110</v>
      </c>
      <c r="S120" s="22">
        <v>0.45330799999999999</v>
      </c>
      <c r="T120">
        <f t="shared" si="14"/>
        <v>16.279753086419749</v>
      </c>
      <c r="U120">
        <f t="shared" si="15"/>
        <v>7.3901776338271583</v>
      </c>
      <c r="X120" s="9"/>
      <c r="Y120" s="22">
        <v>1.1460900000000001</v>
      </c>
      <c r="Z120" s="22">
        <v>15.068300000000001</v>
      </c>
      <c r="AA120" s="22">
        <v>-1.18561E-2</v>
      </c>
      <c r="AB120" s="22">
        <v>110</v>
      </c>
      <c r="AC120" s="22">
        <v>1.1453199999999999</v>
      </c>
      <c r="AD120">
        <f t="shared" si="16"/>
        <v>14.63716049382716</v>
      </c>
      <c r="AE120">
        <f t="shared" si="17"/>
        <v>16.775503270370372</v>
      </c>
      <c r="AF120" s="9"/>
      <c r="AG120" s="22">
        <v>0.45394899999999999</v>
      </c>
      <c r="AH120" s="22">
        <v>18.6861</v>
      </c>
      <c r="AI120" s="22">
        <v>-1.31836E-2</v>
      </c>
      <c r="AJ120" s="22">
        <v>110</v>
      </c>
      <c r="AK120" s="22">
        <v>0.45327800000000001</v>
      </c>
      <c r="AL120">
        <f t="shared" si="18"/>
        <v>16.276049382716046</v>
      </c>
      <c r="AM120">
        <f t="shared" si="19"/>
        <v>7.3884963412345659</v>
      </c>
      <c r="AP120" s="9"/>
      <c r="AQ120" s="22">
        <v>1.1460900000000001</v>
      </c>
      <c r="AR120" s="22">
        <v>24.003599999999999</v>
      </c>
      <c r="AS120" s="22">
        <v>-1.20728E-2</v>
      </c>
      <c r="AT120" s="22">
        <v>110</v>
      </c>
      <c r="AU120" s="22">
        <v>1.1447099999999999</v>
      </c>
      <c r="AV120">
        <f t="shared" si="20"/>
        <v>14.90469135802469</v>
      </c>
      <c r="AW120">
        <f t="shared" si="21"/>
        <v>17.082117718518518</v>
      </c>
      <c r="AX120" s="9"/>
      <c r="AY120" s="22">
        <v>0.45394899999999999</v>
      </c>
      <c r="AZ120" s="22">
        <v>27.621300000000002</v>
      </c>
      <c r="BA120" s="22">
        <v>-1.31348E-2</v>
      </c>
      <c r="BB120" s="22">
        <v>110</v>
      </c>
      <c r="BC120" s="22">
        <v>0.45330799999999999</v>
      </c>
      <c r="BD120">
        <f t="shared" si="22"/>
        <v>16.215802469135802</v>
      </c>
      <c r="BE120">
        <f t="shared" si="23"/>
        <v>7.3611473150617286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6.1841999999999997</v>
      </c>
      <c r="I121" s="22">
        <v>-1.18622E-2</v>
      </c>
      <c r="J121" s="22">
        <v>111</v>
      </c>
      <c r="K121" s="22">
        <v>1.1404399999999999</v>
      </c>
      <c r="L121">
        <f t="shared" si="12"/>
        <v>14.644691358024689</v>
      </c>
      <c r="M121">
        <f t="shared" si="13"/>
        <v>16.710325074074071</v>
      </c>
      <c r="N121" s="9"/>
      <c r="O121" s="22">
        <v>0.458984</v>
      </c>
      <c r="P121" s="22">
        <v>9.8019700000000007</v>
      </c>
      <c r="Q121" s="22">
        <v>-1.31897E-2</v>
      </c>
      <c r="R121" s="22">
        <v>111</v>
      </c>
      <c r="S121" s="22">
        <v>0.45831300000000003</v>
      </c>
      <c r="T121">
        <f t="shared" si="14"/>
        <v>16.28358024691358</v>
      </c>
      <c r="U121">
        <f t="shared" si="15"/>
        <v>7.4739027960493827</v>
      </c>
      <c r="X121" s="9"/>
      <c r="Y121" s="22">
        <v>1.1410499999999999</v>
      </c>
      <c r="Z121" s="22">
        <v>15.0784</v>
      </c>
      <c r="AA121" s="22">
        <v>-1.1886600000000001E-2</v>
      </c>
      <c r="AB121" s="22">
        <v>111</v>
      </c>
      <c r="AC121" s="22">
        <v>1.1404399999999999</v>
      </c>
      <c r="AD121">
        <f t="shared" si="16"/>
        <v>14.674814814814814</v>
      </c>
      <c r="AE121">
        <f t="shared" si="17"/>
        <v>16.744697444444441</v>
      </c>
      <c r="AF121" s="9"/>
      <c r="AG121" s="22">
        <v>0.458984</v>
      </c>
      <c r="AH121" s="22">
        <v>18.696200000000001</v>
      </c>
      <c r="AI121" s="22">
        <v>-1.31775E-2</v>
      </c>
      <c r="AJ121" s="22">
        <v>111</v>
      </c>
      <c r="AK121" s="22">
        <v>0.45834399999999997</v>
      </c>
      <c r="AL121">
        <f t="shared" si="18"/>
        <v>16.268518518518519</v>
      </c>
      <c r="AM121">
        <f t="shared" si="19"/>
        <v>7.4669897037037041</v>
      </c>
      <c r="AP121" s="9"/>
      <c r="AQ121" s="22">
        <v>1.1410499999999999</v>
      </c>
      <c r="AR121" s="22">
        <v>24.0136</v>
      </c>
      <c r="AS121" s="22">
        <v>-1.21002E-2</v>
      </c>
      <c r="AT121" s="22">
        <v>111</v>
      </c>
      <c r="AU121" s="22">
        <v>1.1395299999999999</v>
      </c>
      <c r="AV121">
        <f t="shared" si="20"/>
        <v>14.938518518518517</v>
      </c>
      <c r="AW121">
        <f t="shared" si="21"/>
        <v>17.045596555555552</v>
      </c>
      <c r="AX121" s="9"/>
      <c r="AY121" s="22">
        <v>0.458984</v>
      </c>
      <c r="AZ121" s="22">
        <v>27.631399999999999</v>
      </c>
      <c r="BA121" s="22">
        <v>-1.31378E-2</v>
      </c>
      <c r="BB121" s="22">
        <v>111</v>
      </c>
      <c r="BC121" s="22">
        <v>0.458374</v>
      </c>
      <c r="BD121">
        <f t="shared" si="22"/>
        <v>16.219506172839505</v>
      </c>
      <c r="BE121">
        <f t="shared" si="23"/>
        <v>7.4444938212345679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6.1942700000000004</v>
      </c>
      <c r="I122" s="22">
        <v>-1.18896E-2</v>
      </c>
      <c r="J122" s="22">
        <v>112</v>
      </c>
      <c r="K122" s="22">
        <v>1.1352500000000001</v>
      </c>
      <c r="L122">
        <f t="shared" si="12"/>
        <v>14.678518518518517</v>
      </c>
      <c r="M122">
        <f t="shared" si="13"/>
        <v>16.675090607407405</v>
      </c>
      <c r="N122" s="9"/>
      <c r="O122" s="22">
        <v>0.46401999999999999</v>
      </c>
      <c r="P122" s="22">
        <v>9.8120399999999997</v>
      </c>
      <c r="Q122" s="22">
        <v>-1.31775E-2</v>
      </c>
      <c r="R122" s="22">
        <v>112</v>
      </c>
      <c r="S122" s="22">
        <v>0.46340900000000002</v>
      </c>
      <c r="T122">
        <f t="shared" si="14"/>
        <v>16.268518518518519</v>
      </c>
      <c r="U122">
        <f t="shared" si="15"/>
        <v>7.548917962962963</v>
      </c>
      <c r="X122" s="9"/>
      <c r="Y122" s="22">
        <v>1.13602</v>
      </c>
      <c r="Z122" s="22">
        <v>15.0885</v>
      </c>
      <c r="AA122" s="22">
        <v>-1.1911E-2</v>
      </c>
      <c r="AB122" s="22">
        <v>112</v>
      </c>
      <c r="AC122" s="22">
        <v>1.1349499999999999</v>
      </c>
      <c r="AD122">
        <f t="shared" si="16"/>
        <v>14.704938271604938</v>
      </c>
      <c r="AE122">
        <f t="shared" si="17"/>
        <v>16.705103975308642</v>
      </c>
      <c r="AF122" s="9"/>
      <c r="AG122" s="22">
        <v>0.46401999999999999</v>
      </c>
      <c r="AH122" s="22">
        <v>18.706299999999999</v>
      </c>
      <c r="AI122" s="22">
        <v>-1.3168300000000001E-2</v>
      </c>
      <c r="AJ122" s="22">
        <v>112</v>
      </c>
      <c r="AK122" s="22">
        <v>0.46334799999999998</v>
      </c>
      <c r="AL122">
        <f t="shared" si="18"/>
        <v>16.257160493827158</v>
      </c>
      <c r="AM122">
        <f t="shared" si="19"/>
        <v>7.5436476123456773</v>
      </c>
      <c r="AP122" s="9"/>
      <c r="AQ122" s="22">
        <v>1.13602</v>
      </c>
      <c r="AR122" s="22">
        <v>24.023700000000002</v>
      </c>
      <c r="AS122" s="22">
        <v>-1.21338E-2</v>
      </c>
      <c r="AT122" s="22">
        <v>112</v>
      </c>
      <c r="AU122" s="22">
        <v>1.1352500000000001</v>
      </c>
      <c r="AV122">
        <f t="shared" si="20"/>
        <v>14.979999999999999</v>
      </c>
      <c r="AW122">
        <f t="shared" si="21"/>
        <v>17.017579599999998</v>
      </c>
      <c r="AX122" s="9"/>
      <c r="AY122" s="22">
        <v>0.46401999999999999</v>
      </c>
      <c r="AZ122" s="22">
        <v>27.641500000000001</v>
      </c>
      <c r="BA122" s="22">
        <v>-1.31439E-2</v>
      </c>
      <c r="BB122" s="22">
        <v>112</v>
      </c>
      <c r="BC122" s="22">
        <v>0.46344000000000002</v>
      </c>
      <c r="BD122">
        <f t="shared" si="22"/>
        <v>16.227037037037036</v>
      </c>
      <c r="BE122">
        <f t="shared" si="23"/>
        <v>7.5296697259259249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6.2043400000000002</v>
      </c>
      <c r="I123" s="22">
        <v>-1.19171E-2</v>
      </c>
      <c r="J123" s="22">
        <v>113</v>
      </c>
      <c r="K123" s="22">
        <v>1.1300699999999999</v>
      </c>
      <c r="L123">
        <f t="shared" si="12"/>
        <v>14.712469135802468</v>
      </c>
      <c r="M123">
        <f t="shared" si="13"/>
        <v>16.639508343209876</v>
      </c>
      <c r="N123" s="9"/>
      <c r="O123" s="22">
        <v>0.469055</v>
      </c>
      <c r="P123" s="22">
        <v>9.8221100000000003</v>
      </c>
      <c r="Q123" s="22">
        <v>-1.3162200000000001E-2</v>
      </c>
      <c r="R123" s="22">
        <v>113</v>
      </c>
      <c r="S123" s="22">
        <v>0.46847499999999997</v>
      </c>
      <c r="T123">
        <f t="shared" si="14"/>
        <v>16.249629629629627</v>
      </c>
      <c r="U123">
        <f t="shared" si="15"/>
        <v>7.6219700259259247</v>
      </c>
      <c r="X123" s="9"/>
      <c r="Y123" s="22">
        <v>1.1309800000000001</v>
      </c>
      <c r="Z123" s="22">
        <v>15.098599999999999</v>
      </c>
      <c r="AA123" s="22">
        <v>-1.1935400000000001E-2</v>
      </c>
      <c r="AB123" s="22">
        <v>113</v>
      </c>
      <c r="AC123" s="22">
        <v>1.1297600000000001</v>
      </c>
      <c r="AD123">
        <f t="shared" si="16"/>
        <v>14.735061728395062</v>
      </c>
      <c r="AE123">
        <f t="shared" si="17"/>
        <v>16.66506011358025</v>
      </c>
      <c r="AF123" s="9"/>
      <c r="AG123" s="22">
        <v>0.469055</v>
      </c>
      <c r="AH123" s="22">
        <v>18.7163</v>
      </c>
      <c r="AI123" s="22">
        <v>-1.3159199999999999E-2</v>
      </c>
      <c r="AJ123" s="22">
        <v>113</v>
      </c>
      <c r="AK123" s="22">
        <v>0.468445</v>
      </c>
      <c r="AL123">
        <f t="shared" si="18"/>
        <v>16.245925925925924</v>
      </c>
      <c r="AM123">
        <f t="shared" si="19"/>
        <v>7.6202327851851841</v>
      </c>
      <c r="AP123" s="9"/>
      <c r="AQ123" s="22">
        <v>1.1309800000000001</v>
      </c>
      <c r="AR123" s="22">
        <v>24.033799999999999</v>
      </c>
      <c r="AS123" s="22">
        <v>-1.2164299999999999E-2</v>
      </c>
      <c r="AT123" s="22">
        <v>113</v>
      </c>
      <c r="AU123" s="22">
        <v>1.1303700000000001</v>
      </c>
      <c r="AV123">
        <f t="shared" si="20"/>
        <v>15.017654320987653</v>
      </c>
      <c r="AW123">
        <f t="shared" si="21"/>
        <v>16.984666683950618</v>
      </c>
      <c r="AX123" s="9"/>
      <c r="AY123" s="22">
        <v>0.469055</v>
      </c>
      <c r="AZ123" s="22">
        <v>27.651499999999999</v>
      </c>
      <c r="BA123" s="22">
        <v>-1.3153099999999999E-2</v>
      </c>
      <c r="BB123" s="22">
        <v>113</v>
      </c>
      <c r="BC123" s="22">
        <v>0.46838400000000002</v>
      </c>
      <c r="BD123">
        <f t="shared" si="22"/>
        <v>16.238395061728394</v>
      </c>
      <c r="BE123">
        <f t="shared" si="23"/>
        <v>7.616700395679012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6.21441</v>
      </c>
      <c r="I124" s="22">
        <v>-1.1941500000000001E-2</v>
      </c>
      <c r="J124" s="22">
        <v>114</v>
      </c>
      <c r="K124" s="22">
        <v>1.1254900000000001</v>
      </c>
      <c r="L124">
        <f t="shared" si="12"/>
        <v>14.742592592592592</v>
      </c>
      <c r="M124">
        <f t="shared" si="13"/>
        <v>16.59942212962963</v>
      </c>
      <c r="N124" s="9"/>
      <c r="O124" s="22">
        <v>0.47409099999999998</v>
      </c>
      <c r="P124" s="22">
        <v>9.8321799999999993</v>
      </c>
      <c r="Q124" s="22">
        <v>-1.31561E-2</v>
      </c>
      <c r="R124" s="22">
        <v>114</v>
      </c>
      <c r="S124" s="22">
        <v>0.47341899999999998</v>
      </c>
      <c r="T124">
        <f t="shared" si="14"/>
        <v>16.2420987654321</v>
      </c>
      <c r="U124">
        <f t="shared" si="15"/>
        <v>7.7002328458024696</v>
      </c>
      <c r="X124" s="9"/>
      <c r="Y124" s="22">
        <v>1.12595</v>
      </c>
      <c r="Z124" s="22">
        <v>15.108599999999999</v>
      </c>
      <c r="AA124" s="22">
        <v>-1.19568E-2</v>
      </c>
      <c r="AB124" s="22">
        <v>114</v>
      </c>
      <c r="AC124" s="22">
        <v>1.1254900000000001</v>
      </c>
      <c r="AD124">
        <f t="shared" si="16"/>
        <v>14.761481481481482</v>
      </c>
      <c r="AE124">
        <f t="shared" si="17"/>
        <v>16.620690074074076</v>
      </c>
      <c r="AF124" s="9"/>
      <c r="AG124" s="22">
        <v>0.47409099999999998</v>
      </c>
      <c r="AH124" s="22">
        <v>18.726400000000002</v>
      </c>
      <c r="AI124" s="22">
        <v>-1.31439E-2</v>
      </c>
      <c r="AJ124" s="22">
        <v>114</v>
      </c>
      <c r="AK124" s="22">
        <v>0.47341899999999998</v>
      </c>
      <c r="AL124">
        <f t="shared" si="18"/>
        <v>16.227037037037036</v>
      </c>
      <c r="AM124">
        <f t="shared" si="19"/>
        <v>7.6930922159259252</v>
      </c>
      <c r="AP124" s="9"/>
      <c r="AQ124" s="22">
        <v>1.12595</v>
      </c>
      <c r="AR124" s="22">
        <v>24.043800000000001</v>
      </c>
      <c r="AS124" s="22">
        <v>-1.21948E-2</v>
      </c>
      <c r="AT124" s="22">
        <v>114</v>
      </c>
      <c r="AU124" s="22">
        <v>1.1251800000000001</v>
      </c>
      <c r="AV124">
        <f t="shared" si="20"/>
        <v>15.055308641975309</v>
      </c>
      <c r="AW124">
        <f t="shared" si="21"/>
        <v>16.951524765432097</v>
      </c>
      <c r="AX124" s="9"/>
      <c r="AY124" s="22">
        <v>0.47409099999999998</v>
      </c>
      <c r="AZ124" s="22">
        <v>27.6616</v>
      </c>
      <c r="BA124" s="22">
        <v>-1.31561E-2</v>
      </c>
      <c r="BB124" s="22">
        <v>114</v>
      </c>
      <c r="BC124" s="22">
        <v>0.47344999999999998</v>
      </c>
      <c r="BD124">
        <f t="shared" si="22"/>
        <v>16.2420987654321</v>
      </c>
      <c r="BE124">
        <f t="shared" si="23"/>
        <v>7.7002328458024696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6.2244799999999998</v>
      </c>
      <c r="I125" s="22">
        <v>-1.1969E-2</v>
      </c>
      <c r="J125" s="22">
        <v>115</v>
      </c>
      <c r="K125" s="22">
        <v>1.1196900000000001</v>
      </c>
      <c r="L125">
        <f t="shared" si="12"/>
        <v>14.776543209876543</v>
      </c>
      <c r="M125">
        <f t="shared" si="13"/>
        <v>16.563175049382718</v>
      </c>
      <c r="N125" s="9"/>
      <c r="O125" s="22">
        <v>0.479126</v>
      </c>
      <c r="P125" s="22">
        <v>9.8422499999999999</v>
      </c>
      <c r="Q125" s="22">
        <v>-1.315E-2</v>
      </c>
      <c r="R125" s="22">
        <v>115</v>
      </c>
      <c r="S125" s="22">
        <v>0.47842400000000002</v>
      </c>
      <c r="T125">
        <f t="shared" si="14"/>
        <v>16.234567901234566</v>
      </c>
      <c r="U125">
        <f t="shared" si="15"/>
        <v>7.7784035802469127</v>
      </c>
      <c r="X125" s="9"/>
      <c r="Y125" s="22">
        <v>1.1209100000000001</v>
      </c>
      <c r="Z125" s="22">
        <v>15.1187</v>
      </c>
      <c r="AA125" s="22">
        <v>-1.19843E-2</v>
      </c>
      <c r="AB125" s="22">
        <v>115</v>
      </c>
      <c r="AC125" s="22">
        <v>1.1200000000000001</v>
      </c>
      <c r="AD125">
        <f t="shared" si="16"/>
        <v>14.795432098765431</v>
      </c>
      <c r="AE125">
        <f t="shared" si="17"/>
        <v>16.58434779382716</v>
      </c>
      <c r="AF125" s="9"/>
      <c r="AG125" s="22">
        <v>0.479126</v>
      </c>
      <c r="AH125" s="22">
        <v>18.736499999999999</v>
      </c>
      <c r="AI125" s="22">
        <v>-1.31378E-2</v>
      </c>
      <c r="AJ125" s="22">
        <v>115</v>
      </c>
      <c r="AK125" s="22">
        <v>0.47848499999999999</v>
      </c>
      <c r="AL125">
        <f t="shared" si="18"/>
        <v>16.219506172839505</v>
      </c>
      <c r="AM125">
        <f t="shared" si="19"/>
        <v>7.7711871145679003</v>
      </c>
      <c r="AP125" s="9"/>
      <c r="AQ125" s="22">
        <v>1.1209100000000001</v>
      </c>
      <c r="AR125" s="22">
        <v>24.053899999999999</v>
      </c>
      <c r="AS125" s="22">
        <v>-1.22192E-2</v>
      </c>
      <c r="AT125" s="22">
        <v>115</v>
      </c>
      <c r="AU125" s="22">
        <v>1.1200000000000001</v>
      </c>
      <c r="AV125">
        <f t="shared" si="20"/>
        <v>15.08543209876543</v>
      </c>
      <c r="AW125">
        <f t="shared" si="21"/>
        <v>16.90941169382716</v>
      </c>
      <c r="AX125" s="9"/>
      <c r="AY125" s="22">
        <v>0.479126</v>
      </c>
      <c r="AZ125" s="22">
        <v>27.671700000000001</v>
      </c>
      <c r="BA125" s="22">
        <v>-1.3162200000000001E-2</v>
      </c>
      <c r="BB125" s="22">
        <v>115</v>
      </c>
      <c r="BC125" s="22">
        <v>0.47848499999999999</v>
      </c>
      <c r="BD125">
        <f t="shared" si="22"/>
        <v>16.249629629629627</v>
      </c>
      <c r="BE125">
        <f t="shared" si="23"/>
        <v>7.785620045925925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6.2345600000000001</v>
      </c>
      <c r="I126" s="22">
        <v>-1.19965E-2</v>
      </c>
      <c r="J126" s="22">
        <v>116</v>
      </c>
      <c r="K126" s="22">
        <v>1.1148100000000001</v>
      </c>
      <c r="L126">
        <f t="shared" si="12"/>
        <v>14.810493827160494</v>
      </c>
      <c r="M126">
        <f t="shared" si="13"/>
        <v>16.526733851851851</v>
      </c>
      <c r="N126" s="9"/>
      <c r="O126" s="22">
        <v>0.48416100000000001</v>
      </c>
      <c r="P126" s="22">
        <v>9.8523200000000006</v>
      </c>
      <c r="Q126" s="22">
        <v>-1.315E-2</v>
      </c>
      <c r="R126" s="22">
        <v>116</v>
      </c>
      <c r="S126" s="22">
        <v>0.48355100000000001</v>
      </c>
      <c r="T126">
        <f t="shared" si="14"/>
        <v>16.234567901234566</v>
      </c>
      <c r="U126">
        <f t="shared" si="15"/>
        <v>7.8601446296296293</v>
      </c>
      <c r="X126" s="9"/>
      <c r="Y126" s="22">
        <v>1.11588</v>
      </c>
      <c r="Z126" s="22">
        <v>15.1288</v>
      </c>
      <c r="AA126" s="22">
        <v>-1.19995E-2</v>
      </c>
      <c r="AB126" s="22">
        <v>116</v>
      </c>
      <c r="AC126" s="22">
        <v>1.11511</v>
      </c>
      <c r="AD126">
        <f t="shared" si="16"/>
        <v>14.814197530864195</v>
      </c>
      <c r="AE126">
        <f t="shared" si="17"/>
        <v>16.530866740740738</v>
      </c>
      <c r="AF126" s="9"/>
      <c r="AG126" s="22">
        <v>0.48416100000000001</v>
      </c>
      <c r="AH126" s="22">
        <v>18.746500000000001</v>
      </c>
      <c r="AI126" s="22">
        <v>-1.31348E-2</v>
      </c>
      <c r="AJ126" s="22">
        <v>116</v>
      </c>
      <c r="AK126" s="22">
        <v>0.48358200000000001</v>
      </c>
      <c r="AL126">
        <f t="shared" si="18"/>
        <v>16.215802469135802</v>
      </c>
      <c r="AM126">
        <f t="shared" si="19"/>
        <v>7.8510591392592595</v>
      </c>
      <c r="AP126" s="9"/>
      <c r="AQ126" s="22">
        <v>1.11588</v>
      </c>
      <c r="AR126" s="22">
        <v>24.064</v>
      </c>
      <c r="AS126" s="22">
        <v>-1.22314E-2</v>
      </c>
      <c r="AT126" s="22">
        <v>116</v>
      </c>
      <c r="AU126" s="22">
        <v>1.1148100000000001</v>
      </c>
      <c r="AV126">
        <f t="shared" si="20"/>
        <v>15.100493827160493</v>
      </c>
      <c r="AW126">
        <f t="shared" si="21"/>
        <v>16.850339051851851</v>
      </c>
      <c r="AX126" s="9"/>
      <c r="AY126" s="22">
        <v>0.48416100000000001</v>
      </c>
      <c r="AZ126" s="22">
        <v>27.681799999999999</v>
      </c>
      <c r="BA126" s="22">
        <v>-1.3162200000000001E-2</v>
      </c>
      <c r="BB126" s="22">
        <v>116</v>
      </c>
      <c r="BC126" s="22">
        <v>0.48355100000000001</v>
      </c>
      <c r="BD126">
        <f t="shared" si="22"/>
        <v>16.249629629629627</v>
      </c>
      <c r="BE126">
        <f t="shared" si="23"/>
        <v>7.8674369311111096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6.2446299999999999</v>
      </c>
      <c r="I127" s="22">
        <v>-1.2020899999999999E-2</v>
      </c>
      <c r="J127" s="22">
        <v>117</v>
      </c>
      <c r="K127" s="22">
        <v>1.1096200000000001</v>
      </c>
      <c r="L127">
        <f t="shared" si="12"/>
        <v>14.840617283950616</v>
      </c>
      <c r="M127">
        <f t="shared" si="13"/>
        <v>16.485551303703701</v>
      </c>
      <c r="N127" s="9"/>
      <c r="O127" s="22">
        <v>0.48919699999999999</v>
      </c>
      <c r="P127" s="22">
        <v>9.8623899999999995</v>
      </c>
      <c r="Q127" s="22">
        <v>-1.31378E-2</v>
      </c>
      <c r="R127" s="22">
        <v>117</v>
      </c>
      <c r="S127" s="22">
        <v>0.48846400000000001</v>
      </c>
      <c r="T127">
        <f t="shared" si="14"/>
        <v>16.219506172839505</v>
      </c>
      <c r="U127">
        <f t="shared" si="15"/>
        <v>7.934533761234567</v>
      </c>
      <c r="X127" s="9"/>
      <c r="Y127" s="22">
        <v>1.11084</v>
      </c>
      <c r="Z127" s="22">
        <v>15.1388</v>
      </c>
      <c r="AA127" s="22">
        <v>-1.2026999999999999E-2</v>
      </c>
      <c r="AB127" s="22">
        <v>117</v>
      </c>
      <c r="AC127" s="22">
        <v>1.1096200000000001</v>
      </c>
      <c r="AD127">
        <f t="shared" si="16"/>
        <v>14.848148148148146</v>
      </c>
      <c r="AE127">
        <f t="shared" si="17"/>
        <v>16.493916888888887</v>
      </c>
      <c r="AF127" s="9"/>
      <c r="AG127" s="22">
        <v>0.48919699999999999</v>
      </c>
      <c r="AH127" s="22">
        <v>18.756599999999999</v>
      </c>
      <c r="AI127" s="22">
        <v>-1.31317E-2</v>
      </c>
      <c r="AJ127" s="22">
        <v>117</v>
      </c>
      <c r="AK127" s="22">
        <v>0.48855599999999999</v>
      </c>
      <c r="AL127">
        <f t="shared" si="18"/>
        <v>16.211975308641971</v>
      </c>
      <c r="AM127">
        <f t="shared" si="19"/>
        <v>7.9308496850617267</v>
      </c>
      <c r="AP127" s="9"/>
      <c r="AQ127" s="22">
        <v>1.11084</v>
      </c>
      <c r="AR127" s="22">
        <v>24.074100000000001</v>
      </c>
      <c r="AS127" s="22">
        <v>-1.2240600000000001E-2</v>
      </c>
      <c r="AT127" s="22">
        <v>117</v>
      </c>
      <c r="AU127" s="22">
        <v>1.1096200000000001</v>
      </c>
      <c r="AV127">
        <f t="shared" si="20"/>
        <v>15.111851851851853</v>
      </c>
      <c r="AW127">
        <f t="shared" si="21"/>
        <v>16.786849511111114</v>
      </c>
      <c r="AX127" s="9"/>
      <c r="AY127" s="22">
        <v>0.48919699999999999</v>
      </c>
      <c r="AZ127" s="22">
        <v>27.691800000000001</v>
      </c>
      <c r="BA127" s="22">
        <v>-1.3159199999999999E-2</v>
      </c>
      <c r="BB127" s="22">
        <v>117</v>
      </c>
      <c r="BC127" s="22">
        <v>0.48858600000000002</v>
      </c>
      <c r="BD127">
        <f t="shared" si="22"/>
        <v>16.245925925925924</v>
      </c>
      <c r="BE127">
        <f t="shared" si="23"/>
        <v>7.9474582251851844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6.2546999999999997</v>
      </c>
      <c r="I128" s="22">
        <v>-1.2042199999999999E-2</v>
      </c>
      <c r="J128" s="22">
        <v>118</v>
      </c>
      <c r="K128" s="22">
        <v>1.10565</v>
      </c>
      <c r="L128">
        <f t="shared" si="12"/>
        <v>14.866913580246912</v>
      </c>
      <c r="M128">
        <f t="shared" si="13"/>
        <v>16.439833037037033</v>
      </c>
      <c r="N128" s="9"/>
      <c r="O128" s="22">
        <v>0.494232</v>
      </c>
      <c r="P128" s="22">
        <v>9.8724699999999999</v>
      </c>
      <c r="Q128" s="22">
        <v>-1.31287E-2</v>
      </c>
      <c r="R128" s="22">
        <v>118</v>
      </c>
      <c r="S128" s="22">
        <v>0.49356100000000003</v>
      </c>
      <c r="T128">
        <f t="shared" si="14"/>
        <v>16.208271604938268</v>
      </c>
      <c r="U128">
        <f t="shared" si="15"/>
        <v>8.0106464918518494</v>
      </c>
      <c r="X128" s="9"/>
      <c r="Y128" s="22">
        <v>1.1057999999999999</v>
      </c>
      <c r="Z128" s="22">
        <v>15.148899999999999</v>
      </c>
      <c r="AA128" s="22">
        <v>-1.20483E-2</v>
      </c>
      <c r="AB128" s="22">
        <v>118</v>
      </c>
      <c r="AC128" s="22">
        <v>1.10504</v>
      </c>
      <c r="AD128">
        <f t="shared" si="16"/>
        <v>14.874444444444444</v>
      </c>
      <c r="AE128">
        <f t="shared" si="17"/>
        <v>16.448160666666666</v>
      </c>
      <c r="AF128" s="9"/>
      <c r="AG128" s="22">
        <v>0.494232</v>
      </c>
      <c r="AH128" s="22">
        <v>18.7667</v>
      </c>
      <c r="AI128" s="22">
        <v>-1.31317E-2</v>
      </c>
      <c r="AJ128" s="22">
        <v>118</v>
      </c>
      <c r="AK128" s="22">
        <v>0.493591</v>
      </c>
      <c r="AL128">
        <f t="shared" si="18"/>
        <v>16.211975308641971</v>
      </c>
      <c r="AM128">
        <f t="shared" si="19"/>
        <v>8.0124769807407397</v>
      </c>
      <c r="AP128" s="9"/>
      <c r="AQ128" s="22">
        <v>1.1057999999999999</v>
      </c>
      <c r="AR128" s="22">
        <v>24.084099999999999</v>
      </c>
      <c r="AS128" s="22">
        <v>-1.22498E-2</v>
      </c>
      <c r="AT128" s="22">
        <v>118</v>
      </c>
      <c r="AU128" s="22">
        <v>1.1047400000000001</v>
      </c>
      <c r="AV128">
        <f t="shared" si="20"/>
        <v>15.123209876543209</v>
      </c>
      <c r="AW128">
        <f t="shared" si="21"/>
        <v>16.723245481481477</v>
      </c>
      <c r="AX128" s="9"/>
      <c r="AY128" s="22">
        <v>0.494232</v>
      </c>
      <c r="AZ128" s="22">
        <v>27.701899999999998</v>
      </c>
      <c r="BA128" s="22">
        <v>-1.31439E-2</v>
      </c>
      <c r="BB128" s="22">
        <v>118</v>
      </c>
      <c r="BC128" s="22">
        <v>0.493591</v>
      </c>
      <c r="BD128">
        <f t="shared" si="22"/>
        <v>16.227037037037036</v>
      </c>
      <c r="BE128">
        <f t="shared" si="23"/>
        <v>8.0199209688888882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6.2647700000000004</v>
      </c>
      <c r="I129" s="22">
        <v>-1.20544E-2</v>
      </c>
      <c r="J129" s="22">
        <v>119</v>
      </c>
      <c r="K129" s="22">
        <v>1.10016</v>
      </c>
      <c r="L129">
        <f t="shared" si="12"/>
        <v>14.881975308641973</v>
      </c>
      <c r="M129">
        <f t="shared" si="13"/>
        <v>16.381631960493824</v>
      </c>
      <c r="N129" s="9"/>
      <c r="O129" s="22">
        <v>0.49926799999999999</v>
      </c>
      <c r="P129" s="22">
        <v>9.8825400000000005</v>
      </c>
      <c r="Q129" s="22">
        <v>-1.31165E-2</v>
      </c>
      <c r="R129" s="22">
        <v>119</v>
      </c>
      <c r="S129" s="22">
        <v>0.49859599999999998</v>
      </c>
      <c r="T129">
        <f t="shared" si="14"/>
        <v>16.193209876543211</v>
      </c>
      <c r="U129">
        <f t="shared" si="15"/>
        <v>8.0847515086419754</v>
      </c>
      <c r="X129" s="9"/>
      <c r="Y129" s="22">
        <v>1.10077</v>
      </c>
      <c r="Z129" s="22">
        <v>15.159000000000001</v>
      </c>
      <c r="AA129" s="22">
        <v>-1.20667E-2</v>
      </c>
      <c r="AB129" s="22">
        <v>119</v>
      </c>
      <c r="AC129" s="22">
        <v>1.09924</v>
      </c>
      <c r="AD129">
        <f t="shared" si="16"/>
        <v>14.89716049382716</v>
      </c>
      <c r="AE129">
        <f t="shared" si="17"/>
        <v>16.398347356790122</v>
      </c>
      <c r="AF129" s="9"/>
      <c r="AG129" s="22">
        <v>0.49926799999999999</v>
      </c>
      <c r="AH129" s="22">
        <v>18.776800000000001</v>
      </c>
      <c r="AI129" s="22">
        <v>-1.31317E-2</v>
      </c>
      <c r="AJ129" s="22">
        <v>119</v>
      </c>
      <c r="AK129" s="22">
        <v>0.49859599999999998</v>
      </c>
      <c r="AL129">
        <f t="shared" si="18"/>
        <v>16.211975308641971</v>
      </c>
      <c r="AM129">
        <f t="shared" si="19"/>
        <v>8.0941204883950597</v>
      </c>
      <c r="AP129" s="9"/>
      <c r="AQ129" s="22">
        <v>1.10077</v>
      </c>
      <c r="AR129" s="22">
        <v>24.094200000000001</v>
      </c>
      <c r="AS129" s="22">
        <v>-1.2274200000000001E-2</v>
      </c>
      <c r="AT129" s="22">
        <v>119</v>
      </c>
      <c r="AU129" s="22">
        <v>1.10046</v>
      </c>
      <c r="AV129">
        <f t="shared" si="20"/>
        <v>15.153333333333332</v>
      </c>
      <c r="AW129">
        <f t="shared" si="21"/>
        <v>16.680334733333332</v>
      </c>
      <c r="AX129" s="9"/>
      <c r="AY129" s="22">
        <v>0.49926799999999999</v>
      </c>
      <c r="AZ129" s="22">
        <v>27.712</v>
      </c>
      <c r="BA129" s="22">
        <v>-1.31287E-2</v>
      </c>
      <c r="BB129" s="22">
        <v>119</v>
      </c>
      <c r="BC129" s="22">
        <v>0.49862699999999999</v>
      </c>
      <c r="BD129">
        <f t="shared" si="22"/>
        <v>16.208271604938268</v>
      </c>
      <c r="BE129">
        <f t="shared" si="23"/>
        <v>8.0922713476543198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6.2748400000000002</v>
      </c>
      <c r="I130" s="22">
        <v>-1.20819E-2</v>
      </c>
      <c r="J130" s="22">
        <v>120</v>
      </c>
      <c r="K130" s="22">
        <v>1.09467</v>
      </c>
      <c r="L130">
        <f t="shared" si="12"/>
        <v>14.915925925925924</v>
      </c>
      <c r="M130">
        <f t="shared" si="13"/>
        <v>16.343827514814816</v>
      </c>
      <c r="N130" s="9"/>
      <c r="O130" s="22">
        <v>0.50430299999999995</v>
      </c>
      <c r="P130" s="22">
        <v>9.8926099999999995</v>
      </c>
      <c r="Q130" s="22">
        <v>-1.3107300000000001E-2</v>
      </c>
      <c r="R130" s="22">
        <v>120</v>
      </c>
      <c r="S130" s="22">
        <v>0.50360099999999997</v>
      </c>
      <c r="T130">
        <f t="shared" si="14"/>
        <v>16.181851851851849</v>
      </c>
      <c r="U130">
        <f t="shared" si="15"/>
        <v>8.1605564344444428</v>
      </c>
      <c r="X130" s="9"/>
      <c r="Y130" s="22">
        <v>1.0957300000000001</v>
      </c>
      <c r="Z130" s="22">
        <v>15.169</v>
      </c>
      <c r="AA130" s="22">
        <v>-1.2085E-2</v>
      </c>
      <c r="AB130" s="22">
        <v>120</v>
      </c>
      <c r="AC130" s="22">
        <v>1.09436</v>
      </c>
      <c r="AD130">
        <f t="shared" si="16"/>
        <v>14.919753086419753</v>
      </c>
      <c r="AE130">
        <f t="shared" si="17"/>
        <v>16.348021049382716</v>
      </c>
      <c r="AF130" s="9"/>
      <c r="AG130" s="22">
        <v>0.50430299999999995</v>
      </c>
      <c r="AH130" s="22">
        <v>18.786799999999999</v>
      </c>
      <c r="AI130" s="22">
        <v>-1.3125599999999999E-2</v>
      </c>
      <c r="AJ130" s="22">
        <v>120</v>
      </c>
      <c r="AK130" s="22">
        <v>0.50360099999999997</v>
      </c>
      <c r="AL130">
        <f t="shared" si="18"/>
        <v>16.204444444444441</v>
      </c>
      <c r="AM130">
        <f t="shared" si="19"/>
        <v>8.1719499466666647</v>
      </c>
      <c r="AP130" s="9"/>
      <c r="AQ130" s="22">
        <v>1.0957300000000001</v>
      </c>
      <c r="AR130" s="22">
        <v>24.104299999999999</v>
      </c>
      <c r="AS130" s="22">
        <v>-1.23077E-2</v>
      </c>
      <c r="AT130" s="22">
        <v>120</v>
      </c>
      <c r="AU130" s="22">
        <v>1.09406</v>
      </c>
      <c r="AV130">
        <f t="shared" si="20"/>
        <v>15.19469135802469</v>
      </c>
      <c r="AW130">
        <f t="shared" si="21"/>
        <v>16.649279161728394</v>
      </c>
      <c r="AX130" s="9"/>
      <c r="AY130" s="22">
        <v>0.50430299999999995</v>
      </c>
      <c r="AZ130" s="22">
        <v>27.722000000000001</v>
      </c>
      <c r="BA130" s="22">
        <v>-1.3113400000000001E-2</v>
      </c>
      <c r="BB130" s="22">
        <v>120</v>
      </c>
      <c r="BC130" s="22">
        <v>0.50363199999999997</v>
      </c>
      <c r="BD130">
        <f t="shared" si="22"/>
        <v>16.18938271604938</v>
      </c>
      <c r="BE130">
        <f t="shared" si="23"/>
        <v>8.1643542718518489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6.28491</v>
      </c>
      <c r="I131" s="22">
        <v>-1.21002E-2</v>
      </c>
      <c r="J131" s="22">
        <v>121</v>
      </c>
      <c r="K131" s="22">
        <v>1.08948</v>
      </c>
      <c r="L131">
        <f t="shared" si="12"/>
        <v>14.938518518518517</v>
      </c>
      <c r="M131">
        <f t="shared" si="13"/>
        <v>16.293442148148145</v>
      </c>
      <c r="N131" s="9"/>
      <c r="O131" s="22">
        <v>0.50933799999999996</v>
      </c>
      <c r="P131" s="22">
        <v>9.9026800000000001</v>
      </c>
      <c r="Q131" s="22">
        <v>-1.31042E-2</v>
      </c>
      <c r="R131" s="22">
        <v>121</v>
      </c>
      <c r="S131" s="22">
        <v>0.50869799999999998</v>
      </c>
      <c r="T131">
        <f t="shared" si="14"/>
        <v>16.178024691358022</v>
      </c>
      <c r="U131">
        <f t="shared" si="15"/>
        <v>8.2400827402469119</v>
      </c>
      <c r="X131" s="9"/>
      <c r="Y131" s="22">
        <v>1.0907</v>
      </c>
      <c r="Z131" s="22">
        <v>15.1791</v>
      </c>
      <c r="AA131" s="22">
        <v>-1.2109399999999999E-2</v>
      </c>
      <c r="AB131" s="22">
        <v>121</v>
      </c>
      <c r="AC131" s="22">
        <v>1.08917</v>
      </c>
      <c r="AD131">
        <f t="shared" si="16"/>
        <v>14.949876543209875</v>
      </c>
      <c r="AE131">
        <f t="shared" si="17"/>
        <v>16.305830345679009</v>
      </c>
      <c r="AF131" s="9"/>
      <c r="AG131" s="22">
        <v>0.50933799999999996</v>
      </c>
      <c r="AH131" s="22">
        <v>18.796900000000001</v>
      </c>
      <c r="AI131" s="22">
        <v>-1.3110399999999999E-2</v>
      </c>
      <c r="AJ131" s="22">
        <v>121</v>
      </c>
      <c r="AK131" s="22">
        <v>0.50866699999999998</v>
      </c>
      <c r="AL131">
        <f t="shared" si="18"/>
        <v>16.185679012345677</v>
      </c>
      <c r="AM131">
        <f t="shared" si="19"/>
        <v>8.2439813767901224</v>
      </c>
      <c r="AP131" s="9"/>
      <c r="AQ131" s="22">
        <v>1.0907</v>
      </c>
      <c r="AR131" s="22">
        <v>24.1143</v>
      </c>
      <c r="AS131" s="22">
        <v>-1.23322E-2</v>
      </c>
      <c r="AT131" s="22">
        <v>121</v>
      </c>
      <c r="AU131" s="22">
        <v>1.08978</v>
      </c>
      <c r="AV131">
        <f t="shared" si="20"/>
        <v>15.224938271604938</v>
      </c>
      <c r="AW131">
        <f t="shared" si="21"/>
        <v>16.605840172839507</v>
      </c>
      <c r="AX131" s="9"/>
      <c r="AY131" s="22">
        <v>0.50933799999999996</v>
      </c>
      <c r="AZ131" s="22">
        <v>27.732099999999999</v>
      </c>
      <c r="BA131" s="22">
        <v>-1.31042E-2</v>
      </c>
      <c r="BB131" s="22">
        <v>121</v>
      </c>
      <c r="BC131" s="22">
        <v>0.50863599999999998</v>
      </c>
      <c r="BD131">
        <f t="shared" si="22"/>
        <v>16.178024691358022</v>
      </c>
      <c r="BE131">
        <f t="shared" si="23"/>
        <v>8.2400827402469119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6.2949799999999998</v>
      </c>
      <c r="I132" s="22">
        <v>-1.21216E-2</v>
      </c>
      <c r="J132" s="22">
        <v>122</v>
      </c>
      <c r="K132" s="22">
        <v>1.0849</v>
      </c>
      <c r="L132">
        <f t="shared" si="12"/>
        <v>14.964938271604938</v>
      </c>
      <c r="M132">
        <f t="shared" si="13"/>
        <v>16.246834883950619</v>
      </c>
      <c r="N132" s="9"/>
      <c r="O132" s="22">
        <v>0.514374</v>
      </c>
      <c r="P132" s="22">
        <v>9.9127500000000008</v>
      </c>
      <c r="Q132" s="22">
        <v>-1.31012E-2</v>
      </c>
      <c r="R132" s="22">
        <v>122</v>
      </c>
      <c r="S132" s="22">
        <v>0.51370199999999999</v>
      </c>
      <c r="T132">
        <f t="shared" si="14"/>
        <v>16.174320987654323</v>
      </c>
      <c r="U132">
        <f t="shared" si="15"/>
        <v>8.319650183703704</v>
      </c>
      <c r="X132" s="9"/>
      <c r="Y132" s="22">
        <v>1.0856600000000001</v>
      </c>
      <c r="Z132" s="22">
        <v>15.1892</v>
      </c>
      <c r="AA132" s="22">
        <v>-1.21399E-2</v>
      </c>
      <c r="AB132" s="22">
        <v>122</v>
      </c>
      <c r="AC132" s="22">
        <v>1.08429</v>
      </c>
      <c r="AD132">
        <f t="shared" si="16"/>
        <v>14.987530864197531</v>
      </c>
      <c r="AE132">
        <f t="shared" si="17"/>
        <v>16.271362758024694</v>
      </c>
      <c r="AF132" s="9"/>
      <c r="AG132" s="22">
        <v>0.514374</v>
      </c>
      <c r="AH132" s="22">
        <v>18.806999999999999</v>
      </c>
      <c r="AI132" s="22">
        <v>-1.3113400000000001E-2</v>
      </c>
      <c r="AJ132" s="22">
        <v>122</v>
      </c>
      <c r="AK132" s="22">
        <v>0.513733</v>
      </c>
      <c r="AL132">
        <f t="shared" si="18"/>
        <v>16.18938271604938</v>
      </c>
      <c r="AM132">
        <f t="shared" si="19"/>
        <v>8.3273975451851836</v>
      </c>
      <c r="AP132" s="9"/>
      <c r="AQ132" s="22">
        <v>1.0856600000000001</v>
      </c>
      <c r="AR132" s="22">
        <v>24.124400000000001</v>
      </c>
      <c r="AS132" s="22">
        <v>-1.2356600000000001E-2</v>
      </c>
      <c r="AT132" s="22">
        <v>122</v>
      </c>
      <c r="AU132" s="22">
        <v>1.08429</v>
      </c>
      <c r="AV132">
        <f t="shared" si="20"/>
        <v>15.255061728395061</v>
      </c>
      <c r="AW132">
        <f t="shared" si="21"/>
        <v>16.561810316049382</v>
      </c>
      <c r="AX132" s="9"/>
      <c r="AY132" s="22">
        <v>0.514374</v>
      </c>
      <c r="AZ132" s="22">
        <v>27.7422</v>
      </c>
      <c r="BA132" s="22">
        <v>-1.30981E-2</v>
      </c>
      <c r="BB132" s="22">
        <v>122</v>
      </c>
      <c r="BC132" s="22">
        <v>0.51367200000000002</v>
      </c>
      <c r="BD132">
        <f t="shared" si="22"/>
        <v>16.170493827160495</v>
      </c>
      <c r="BE132">
        <f t="shared" si="23"/>
        <v>8.3176815918518532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6.3050499999999996</v>
      </c>
      <c r="I133" s="22">
        <v>-1.2146000000000001E-2</v>
      </c>
      <c r="J133" s="22">
        <v>123</v>
      </c>
      <c r="K133" s="22">
        <v>1.0797099999999999</v>
      </c>
      <c r="L133">
        <f t="shared" si="12"/>
        <v>14.995061728395061</v>
      </c>
      <c r="M133">
        <f t="shared" si="13"/>
        <v>16.204113555555555</v>
      </c>
      <c r="N133" s="9"/>
      <c r="O133" s="22">
        <v>0.51940900000000001</v>
      </c>
      <c r="P133" s="22">
        <v>9.9228199999999998</v>
      </c>
      <c r="Q133" s="22">
        <v>-1.30981E-2</v>
      </c>
      <c r="R133" s="22">
        <v>123</v>
      </c>
      <c r="S133" s="22">
        <v>0.51870700000000003</v>
      </c>
      <c r="T133">
        <f t="shared" si="14"/>
        <v>16.170493827160495</v>
      </c>
      <c r="U133">
        <f t="shared" si="15"/>
        <v>8.3991000282716062</v>
      </c>
      <c r="X133" s="9"/>
      <c r="Y133" s="22">
        <v>1.08063</v>
      </c>
      <c r="Z133" s="22">
        <v>15.199299999999999</v>
      </c>
      <c r="AA133" s="22">
        <v>-1.21674E-2</v>
      </c>
      <c r="AB133" s="22">
        <v>123</v>
      </c>
      <c r="AC133" s="22">
        <v>1.08002</v>
      </c>
      <c r="AD133">
        <f t="shared" si="16"/>
        <v>15.021481481481482</v>
      </c>
      <c r="AE133">
        <f t="shared" si="17"/>
        <v>16.232663533333334</v>
      </c>
      <c r="AF133" s="9"/>
      <c r="AG133" s="22">
        <v>0.51940900000000001</v>
      </c>
      <c r="AH133" s="22">
        <v>18.817</v>
      </c>
      <c r="AI133" s="22">
        <v>-1.31165E-2</v>
      </c>
      <c r="AJ133" s="22">
        <v>123</v>
      </c>
      <c r="AK133" s="22">
        <v>0.51870700000000003</v>
      </c>
      <c r="AL133">
        <f t="shared" si="18"/>
        <v>16.193209876543211</v>
      </c>
      <c r="AM133">
        <f t="shared" si="19"/>
        <v>8.410898948765432</v>
      </c>
      <c r="AP133" s="9"/>
      <c r="AQ133" s="22">
        <v>1.08063</v>
      </c>
      <c r="AR133" s="22">
        <v>24.134499999999999</v>
      </c>
      <c r="AS133" s="22">
        <v>-1.2381E-2</v>
      </c>
      <c r="AT133" s="22">
        <v>123</v>
      </c>
      <c r="AU133" s="22">
        <v>1.0797099999999999</v>
      </c>
      <c r="AV133">
        <f t="shared" si="20"/>
        <v>15.285185185185183</v>
      </c>
      <c r="AW133">
        <f t="shared" si="21"/>
        <v>16.517629666666664</v>
      </c>
      <c r="AX133" s="9"/>
      <c r="AY133" s="22">
        <v>0.51940900000000001</v>
      </c>
      <c r="AZ133" s="22">
        <v>27.752300000000002</v>
      </c>
      <c r="BA133" s="22">
        <v>-1.3085899999999999E-2</v>
      </c>
      <c r="BB133" s="22">
        <v>123</v>
      </c>
      <c r="BC133" s="22">
        <v>0.51873800000000003</v>
      </c>
      <c r="BD133">
        <f t="shared" si="22"/>
        <v>16.155432098765431</v>
      </c>
      <c r="BE133">
        <f t="shared" si="23"/>
        <v>8.3912768309876533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6.3151200000000003</v>
      </c>
      <c r="I134" s="22">
        <v>-1.21704E-2</v>
      </c>
      <c r="J134" s="22">
        <v>124</v>
      </c>
      <c r="K134" s="22">
        <v>1.0745199999999999</v>
      </c>
      <c r="L134">
        <f t="shared" si="12"/>
        <v>15.025185185185183</v>
      </c>
      <c r="M134">
        <f t="shared" si="13"/>
        <v>16.16093893333333</v>
      </c>
      <c r="N134" s="9"/>
      <c r="O134" s="22">
        <v>0.52444500000000005</v>
      </c>
      <c r="P134" s="22">
        <v>9.9328900000000004</v>
      </c>
      <c r="Q134" s="22">
        <v>-1.3085899999999999E-2</v>
      </c>
      <c r="R134" s="22">
        <v>124</v>
      </c>
      <c r="S134" s="22">
        <v>0.52374299999999996</v>
      </c>
      <c r="T134">
        <f t="shared" si="14"/>
        <v>16.155432098765431</v>
      </c>
      <c r="U134">
        <f t="shared" si="15"/>
        <v>8.472635587037038</v>
      </c>
      <c r="X134" s="9"/>
      <c r="Y134" s="22">
        <v>1.07559</v>
      </c>
      <c r="Z134" s="22">
        <v>15.209300000000001</v>
      </c>
      <c r="AA134" s="22">
        <v>-1.2191799999999999E-2</v>
      </c>
      <c r="AB134" s="22">
        <v>124</v>
      </c>
      <c r="AC134" s="22">
        <v>1.07422</v>
      </c>
      <c r="AD134">
        <f t="shared" si="16"/>
        <v>15.051604938271602</v>
      </c>
      <c r="AE134">
        <f t="shared" si="17"/>
        <v>16.189355755555553</v>
      </c>
      <c r="AF134" s="9"/>
      <c r="AG134" s="22">
        <v>0.52444500000000005</v>
      </c>
      <c r="AH134" s="22">
        <v>18.827100000000002</v>
      </c>
      <c r="AI134" s="22">
        <v>-1.31165E-2</v>
      </c>
      <c r="AJ134" s="22">
        <v>124</v>
      </c>
      <c r="AK134" s="22">
        <v>0.52380400000000005</v>
      </c>
      <c r="AL134">
        <f t="shared" si="18"/>
        <v>16.193209876543211</v>
      </c>
      <c r="AM134">
        <f t="shared" si="19"/>
        <v>8.4924479537037048</v>
      </c>
      <c r="AP134" s="9"/>
      <c r="AQ134" s="22">
        <v>1.07559</v>
      </c>
      <c r="AR134" s="22">
        <v>24.144600000000001</v>
      </c>
      <c r="AS134" s="22">
        <v>-1.24054E-2</v>
      </c>
      <c r="AT134" s="22">
        <v>124</v>
      </c>
      <c r="AU134" s="22">
        <v>1.0739099999999999</v>
      </c>
      <c r="AV134">
        <f t="shared" si="20"/>
        <v>15.315308641975308</v>
      </c>
      <c r="AW134">
        <f t="shared" si="21"/>
        <v>16.472992822222224</v>
      </c>
      <c r="AX134" s="9"/>
      <c r="AY134" s="22">
        <v>0.52444500000000005</v>
      </c>
      <c r="AZ134" s="22">
        <v>27.7623</v>
      </c>
      <c r="BA134" s="22">
        <v>-1.30768E-2</v>
      </c>
      <c r="BB134" s="22">
        <v>124</v>
      </c>
      <c r="BC134" s="22">
        <v>0.52374299999999996</v>
      </c>
      <c r="BD134">
        <f t="shared" si="22"/>
        <v>16.144197530864194</v>
      </c>
      <c r="BE134">
        <f t="shared" si="23"/>
        <v>8.4667436740740722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6.3251900000000001</v>
      </c>
      <c r="I135" s="22">
        <v>-1.21887E-2</v>
      </c>
      <c r="J135" s="22">
        <v>125</v>
      </c>
      <c r="K135" s="22">
        <v>1.06934</v>
      </c>
      <c r="L135">
        <f t="shared" si="12"/>
        <v>15.047777777777776</v>
      </c>
      <c r="M135">
        <f t="shared" si="13"/>
        <v>16.109548977777777</v>
      </c>
      <c r="N135" s="9"/>
      <c r="O135" s="22">
        <v>0.52947999999999995</v>
      </c>
      <c r="P135" s="22">
        <v>9.9429599999999994</v>
      </c>
      <c r="Q135" s="22">
        <v>-1.3079800000000001E-2</v>
      </c>
      <c r="R135" s="22">
        <v>125</v>
      </c>
      <c r="S135" s="22">
        <v>0.52886999999999995</v>
      </c>
      <c r="T135">
        <f t="shared" si="14"/>
        <v>16.147901234567904</v>
      </c>
      <c r="U135">
        <f t="shared" si="15"/>
        <v>8.549990745679013</v>
      </c>
      <c r="X135" s="9"/>
      <c r="Y135" s="22">
        <v>1.07056</v>
      </c>
      <c r="Z135" s="22">
        <v>15.2194</v>
      </c>
      <c r="AA135" s="22">
        <v>-1.2213099999999999E-2</v>
      </c>
      <c r="AB135" s="22">
        <v>125</v>
      </c>
      <c r="AC135" s="22">
        <v>1.06934</v>
      </c>
      <c r="AD135">
        <f t="shared" si="16"/>
        <v>15.0779012345679</v>
      </c>
      <c r="AE135">
        <f t="shared" si="17"/>
        <v>16.141797945679009</v>
      </c>
      <c r="AF135" s="9"/>
      <c r="AG135" s="22">
        <v>0.52947999999999995</v>
      </c>
      <c r="AH135" s="22">
        <v>18.837199999999999</v>
      </c>
      <c r="AI135" s="22">
        <v>-1.31165E-2</v>
      </c>
      <c r="AJ135" s="22">
        <v>125</v>
      </c>
      <c r="AK135" s="22">
        <v>0.52880899999999997</v>
      </c>
      <c r="AL135">
        <f t="shared" si="18"/>
        <v>16.193209876543211</v>
      </c>
      <c r="AM135">
        <f t="shared" si="19"/>
        <v>8.5739807654320987</v>
      </c>
      <c r="AP135" s="9"/>
      <c r="AQ135" s="22">
        <v>1.07056</v>
      </c>
      <c r="AR135" s="22">
        <v>24.154599999999999</v>
      </c>
      <c r="AS135" s="22">
        <v>-1.2423699999999999E-2</v>
      </c>
      <c r="AT135" s="22">
        <v>125</v>
      </c>
      <c r="AU135" s="22">
        <v>1.0696399999999999</v>
      </c>
      <c r="AV135">
        <f t="shared" si="20"/>
        <v>15.3379012345679</v>
      </c>
      <c r="AW135">
        <f t="shared" si="21"/>
        <v>16.420143545679011</v>
      </c>
      <c r="AX135" s="9"/>
      <c r="AY135" s="22">
        <v>0.52947999999999995</v>
      </c>
      <c r="AZ135" s="22">
        <v>27.772400000000001</v>
      </c>
      <c r="BA135" s="22">
        <v>-1.3064600000000001E-2</v>
      </c>
      <c r="BB135" s="22">
        <v>125</v>
      </c>
      <c r="BC135" s="22">
        <v>0.52880899999999997</v>
      </c>
      <c r="BD135">
        <f t="shared" si="22"/>
        <v>16.129135802469136</v>
      </c>
      <c r="BE135">
        <f t="shared" si="23"/>
        <v>8.5400548246913583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6.3352700000000004</v>
      </c>
      <c r="I136" s="22">
        <v>-1.22101E-2</v>
      </c>
      <c r="J136" s="22">
        <v>126</v>
      </c>
      <c r="K136" s="22">
        <v>1.0644499999999999</v>
      </c>
      <c r="L136">
        <f t="shared" si="12"/>
        <v>15.074197530864195</v>
      </c>
      <c r="M136">
        <f t="shared" si="13"/>
        <v>16.061858953086418</v>
      </c>
      <c r="N136" s="9"/>
      <c r="O136" s="22">
        <v>0.53451499999999996</v>
      </c>
      <c r="P136" s="22">
        <v>9.95303</v>
      </c>
      <c r="Q136" s="22">
        <v>-1.3073700000000001E-2</v>
      </c>
      <c r="R136" s="22">
        <v>126</v>
      </c>
      <c r="S136" s="22">
        <v>0.533752</v>
      </c>
      <c r="T136">
        <f t="shared" si="14"/>
        <v>16.14037037037037</v>
      </c>
      <c r="U136">
        <f t="shared" si="15"/>
        <v>8.6272700685185182</v>
      </c>
      <c r="X136" s="9"/>
      <c r="Y136" s="22">
        <v>1.06552</v>
      </c>
      <c r="Z136" s="22">
        <v>15.2295</v>
      </c>
      <c r="AA136" s="22">
        <v>-1.22437E-2</v>
      </c>
      <c r="AB136" s="22">
        <v>126</v>
      </c>
      <c r="AC136" s="22">
        <v>1.0641499999999999</v>
      </c>
      <c r="AD136">
        <f t="shared" si="16"/>
        <v>15.115679012345678</v>
      </c>
      <c r="AE136">
        <f t="shared" si="17"/>
        <v>16.106058301234569</v>
      </c>
      <c r="AF136" s="9"/>
      <c r="AG136" s="22">
        <v>0.53451499999999996</v>
      </c>
      <c r="AH136" s="22">
        <v>18.847200000000001</v>
      </c>
      <c r="AI136" s="22">
        <v>-1.3110399999999999E-2</v>
      </c>
      <c r="AJ136" s="22">
        <v>126</v>
      </c>
      <c r="AK136" s="22">
        <v>0.53390499999999996</v>
      </c>
      <c r="AL136">
        <f t="shared" si="18"/>
        <v>16.185679012345677</v>
      </c>
      <c r="AM136">
        <f t="shared" si="19"/>
        <v>8.6514882172839496</v>
      </c>
      <c r="AP136" s="9"/>
      <c r="AQ136" s="22">
        <v>1.06552</v>
      </c>
      <c r="AR136" s="22">
        <v>24.1647</v>
      </c>
      <c r="AS136" s="22">
        <v>-1.2442E-2</v>
      </c>
      <c r="AT136" s="22">
        <v>126</v>
      </c>
      <c r="AU136" s="22">
        <v>1.0641499999999999</v>
      </c>
      <c r="AV136">
        <f t="shared" si="20"/>
        <v>15.360493827160493</v>
      </c>
      <c r="AW136">
        <f t="shared" si="21"/>
        <v>16.366913382716049</v>
      </c>
      <c r="AX136" s="9"/>
      <c r="AY136" s="22">
        <v>0.53451499999999996</v>
      </c>
      <c r="AZ136" s="22">
        <v>27.782499999999999</v>
      </c>
      <c r="BA136" s="22">
        <v>-1.30615E-2</v>
      </c>
      <c r="BB136" s="22">
        <v>126</v>
      </c>
      <c r="BC136" s="22">
        <v>0.53390499999999996</v>
      </c>
      <c r="BD136">
        <f t="shared" si="22"/>
        <v>16.125308641975309</v>
      </c>
      <c r="BE136">
        <f t="shared" si="23"/>
        <v>8.6192193487654318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6.3453400000000002</v>
      </c>
      <c r="I137" s="22">
        <v>-1.22284E-2</v>
      </c>
      <c r="J137" s="22">
        <v>127</v>
      </c>
      <c r="K137" s="22">
        <v>1.0595699999999999</v>
      </c>
      <c r="L137">
        <f t="shared" si="12"/>
        <v>15.096790123456788</v>
      </c>
      <c r="M137">
        <f t="shared" si="13"/>
        <v>16.009994958024688</v>
      </c>
      <c r="N137" s="9"/>
      <c r="O137" s="22">
        <v>0.539551</v>
      </c>
      <c r="P137" s="22">
        <v>9.9631000000000007</v>
      </c>
      <c r="Q137" s="22">
        <v>-1.3079800000000001E-2</v>
      </c>
      <c r="R137" s="22">
        <v>127</v>
      </c>
      <c r="S137" s="22">
        <v>0.53884900000000002</v>
      </c>
      <c r="T137">
        <f t="shared" si="14"/>
        <v>16.147901234567904</v>
      </c>
      <c r="U137">
        <f t="shared" si="15"/>
        <v>8.7126162590123464</v>
      </c>
      <c r="X137" s="9"/>
      <c r="Y137" s="22">
        <v>1.0604899999999999</v>
      </c>
      <c r="Z137" s="22">
        <v>15.2395</v>
      </c>
      <c r="AA137" s="22">
        <v>-1.22711E-2</v>
      </c>
      <c r="AB137" s="22">
        <v>127</v>
      </c>
      <c r="AC137" s="22">
        <v>1.0604899999999999</v>
      </c>
      <c r="AD137">
        <f t="shared" si="16"/>
        <v>15.149506172839505</v>
      </c>
      <c r="AE137">
        <f t="shared" si="17"/>
        <v>16.065899801234565</v>
      </c>
      <c r="AF137" s="9"/>
      <c r="AG137" s="22">
        <v>0.539551</v>
      </c>
      <c r="AH137" s="22">
        <v>18.857299999999999</v>
      </c>
      <c r="AI137" s="22">
        <v>-1.3110399999999999E-2</v>
      </c>
      <c r="AJ137" s="22">
        <v>127</v>
      </c>
      <c r="AK137" s="22">
        <v>0.53884900000000002</v>
      </c>
      <c r="AL137">
        <f t="shared" si="18"/>
        <v>16.185679012345677</v>
      </c>
      <c r="AM137">
        <f t="shared" si="19"/>
        <v>8.7329992967901227</v>
      </c>
      <c r="AP137" s="9"/>
      <c r="AQ137" s="22">
        <v>1.0604899999999999</v>
      </c>
      <c r="AR137" s="22">
        <v>24.174800000000001</v>
      </c>
      <c r="AS137" s="22">
        <v>-1.2463399999999999E-2</v>
      </c>
      <c r="AT137" s="22">
        <v>127</v>
      </c>
      <c r="AU137" s="22">
        <v>1.0595699999999999</v>
      </c>
      <c r="AV137">
        <f t="shared" si="20"/>
        <v>15.386913580246912</v>
      </c>
      <c r="AW137">
        <f t="shared" si="21"/>
        <v>16.317667982716046</v>
      </c>
      <c r="AX137" s="9"/>
      <c r="AY137" s="22">
        <v>0.539551</v>
      </c>
      <c r="AZ137" s="22">
        <v>27.7925</v>
      </c>
      <c r="BA137" s="22">
        <v>-1.3064600000000001E-2</v>
      </c>
      <c r="BB137" s="22">
        <v>127</v>
      </c>
      <c r="BC137" s="22">
        <v>0.53884900000000002</v>
      </c>
      <c r="BD137">
        <f t="shared" si="22"/>
        <v>16.129135802469136</v>
      </c>
      <c r="BE137">
        <f t="shared" si="23"/>
        <v>8.7024913513580255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6.35541</v>
      </c>
      <c r="I138" s="22">
        <v>-1.2234500000000001E-2</v>
      </c>
      <c r="J138" s="22">
        <v>128</v>
      </c>
      <c r="K138" s="22">
        <v>1.0537700000000001</v>
      </c>
      <c r="L138">
        <f t="shared" si="12"/>
        <v>15.104320987654321</v>
      </c>
      <c r="M138">
        <f t="shared" si="13"/>
        <v>15.941855586419752</v>
      </c>
      <c r="N138" s="9"/>
      <c r="O138" s="22">
        <v>0.54458600000000001</v>
      </c>
      <c r="P138" s="22">
        <v>9.9731799999999993</v>
      </c>
      <c r="Q138" s="22">
        <v>-1.3089E-2</v>
      </c>
      <c r="R138" s="22">
        <v>128</v>
      </c>
      <c r="S138" s="22">
        <v>0.54391500000000004</v>
      </c>
      <c r="T138">
        <f t="shared" si="14"/>
        <v>16.159259259259258</v>
      </c>
      <c r="U138">
        <f t="shared" si="15"/>
        <v>8.8001063629629623</v>
      </c>
      <c r="X138" s="9"/>
      <c r="Y138" s="22">
        <v>1.05545</v>
      </c>
      <c r="Z138" s="22">
        <v>15.249599999999999</v>
      </c>
      <c r="AA138" s="22">
        <v>-1.22925E-2</v>
      </c>
      <c r="AB138" s="22">
        <v>128</v>
      </c>
      <c r="AC138" s="22">
        <v>1.0540799999999999</v>
      </c>
      <c r="AD138">
        <f t="shared" si="16"/>
        <v>15.175925925925924</v>
      </c>
      <c r="AE138">
        <f t="shared" si="17"/>
        <v>16.017431018518515</v>
      </c>
      <c r="AF138" s="9"/>
      <c r="AG138" s="22">
        <v>0.54458600000000001</v>
      </c>
      <c r="AH138" s="22">
        <v>18.8674</v>
      </c>
      <c r="AI138" s="22">
        <v>-1.31012E-2</v>
      </c>
      <c r="AJ138" s="22">
        <v>128</v>
      </c>
      <c r="AK138" s="22">
        <v>0.54388400000000003</v>
      </c>
      <c r="AL138">
        <f t="shared" si="18"/>
        <v>16.174320987654323</v>
      </c>
      <c r="AM138">
        <f t="shared" si="19"/>
        <v>8.8083087693827178</v>
      </c>
      <c r="AP138" s="9"/>
      <c r="AQ138" s="22">
        <v>1.05545</v>
      </c>
      <c r="AR138" s="22">
        <v>24.184799999999999</v>
      </c>
      <c r="AS138" s="22">
        <v>-1.2478599999999999E-2</v>
      </c>
      <c r="AT138" s="22">
        <v>128</v>
      </c>
      <c r="AU138" s="22">
        <v>1.0540799999999999</v>
      </c>
      <c r="AV138">
        <f t="shared" si="20"/>
        <v>15.405679012345677</v>
      </c>
      <c r="AW138">
        <f t="shared" si="21"/>
        <v>16.259923913580245</v>
      </c>
      <c r="AX138" s="9"/>
      <c r="AY138" s="22">
        <v>0.54458600000000001</v>
      </c>
      <c r="AZ138" s="22">
        <v>27.802600000000002</v>
      </c>
      <c r="BA138" s="22">
        <v>-1.30615E-2</v>
      </c>
      <c r="BB138" s="22">
        <v>128</v>
      </c>
      <c r="BC138" s="22">
        <v>0.54394500000000001</v>
      </c>
      <c r="BD138">
        <f t="shared" si="22"/>
        <v>16.125308641975309</v>
      </c>
      <c r="BE138">
        <f t="shared" si="23"/>
        <v>8.7816173320987652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6.3654799999999998</v>
      </c>
      <c r="I139" s="22">
        <v>-1.22437E-2</v>
      </c>
      <c r="J139" s="22">
        <v>129</v>
      </c>
      <c r="K139" s="22">
        <v>1.0491900000000001</v>
      </c>
      <c r="L139">
        <f t="shared" si="12"/>
        <v>15.115679012345678</v>
      </c>
      <c r="M139">
        <f t="shared" si="13"/>
        <v>15.877811548148147</v>
      </c>
      <c r="N139" s="9"/>
      <c r="O139" s="22">
        <v>0.54962200000000005</v>
      </c>
      <c r="P139" s="22">
        <v>9.98325</v>
      </c>
      <c r="Q139" s="22">
        <v>-1.3089E-2</v>
      </c>
      <c r="R139" s="22">
        <v>129</v>
      </c>
      <c r="S139" s="22">
        <v>0.54901100000000003</v>
      </c>
      <c r="T139">
        <f t="shared" si="14"/>
        <v>16.159259259259258</v>
      </c>
      <c r="U139">
        <f t="shared" si="15"/>
        <v>8.8814843925925935</v>
      </c>
      <c r="X139" s="9"/>
      <c r="Y139" s="22">
        <v>1.0504199999999999</v>
      </c>
      <c r="Z139" s="22">
        <v>15.2597</v>
      </c>
      <c r="AA139" s="22">
        <v>-1.23108E-2</v>
      </c>
      <c r="AB139" s="22">
        <v>129</v>
      </c>
      <c r="AC139" s="22">
        <v>1.0491900000000001</v>
      </c>
      <c r="AD139">
        <f t="shared" si="16"/>
        <v>15.198518518518517</v>
      </c>
      <c r="AE139">
        <f t="shared" si="17"/>
        <v>15.964827822222219</v>
      </c>
      <c r="AF139" s="9"/>
      <c r="AG139" s="22">
        <v>0.54962200000000005</v>
      </c>
      <c r="AH139" s="22">
        <v>18.877500000000001</v>
      </c>
      <c r="AI139" s="22">
        <v>-1.30981E-2</v>
      </c>
      <c r="AJ139" s="22">
        <v>129</v>
      </c>
      <c r="AK139" s="22">
        <v>0.54891999999999996</v>
      </c>
      <c r="AL139">
        <f t="shared" si="18"/>
        <v>16.170493827160495</v>
      </c>
      <c r="AM139">
        <f t="shared" si="19"/>
        <v>8.8876591582716067</v>
      </c>
      <c r="AP139" s="9"/>
      <c r="AQ139" s="22">
        <v>1.0504199999999999</v>
      </c>
      <c r="AR139" s="22">
        <v>24.194900000000001</v>
      </c>
      <c r="AS139" s="22">
        <v>-1.24969E-2</v>
      </c>
      <c r="AT139" s="22">
        <v>129</v>
      </c>
      <c r="AU139" s="22">
        <v>1.0495000000000001</v>
      </c>
      <c r="AV139">
        <f t="shared" si="20"/>
        <v>15.428271604938271</v>
      </c>
      <c r="AW139">
        <f t="shared" si="21"/>
        <v>16.206165059259256</v>
      </c>
      <c r="AX139" s="9"/>
      <c r="AY139" s="22">
        <v>0.54962200000000005</v>
      </c>
      <c r="AZ139" s="22">
        <v>27.8127</v>
      </c>
      <c r="BA139" s="22">
        <v>-1.3064600000000001E-2</v>
      </c>
      <c r="BB139" s="22">
        <v>129</v>
      </c>
      <c r="BC139" s="22">
        <v>0.54895000000000005</v>
      </c>
      <c r="BD139">
        <f t="shared" si="22"/>
        <v>16.129135802469136</v>
      </c>
      <c r="BE139">
        <f t="shared" si="23"/>
        <v>8.8649278780246927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6.3755499999999996</v>
      </c>
      <c r="I140" s="22">
        <v>-1.22589E-2</v>
      </c>
      <c r="J140" s="22">
        <v>130</v>
      </c>
      <c r="K140" s="22">
        <v>1.0440100000000001</v>
      </c>
      <c r="L140">
        <f t="shared" ref="L140:L203" si="24">-I140/$F$2*1000</f>
        <v>15.134444444444444</v>
      </c>
      <c r="M140">
        <f t="shared" ref="M140:M203" si="25">L140*G140</f>
        <v>15.821245533333332</v>
      </c>
      <c r="N140" s="9"/>
      <c r="O140" s="22">
        <v>0.55465699999999996</v>
      </c>
      <c r="P140" s="22">
        <v>9.9933200000000006</v>
      </c>
      <c r="Q140" s="22">
        <v>-1.30951E-2</v>
      </c>
      <c r="R140" s="22">
        <v>130</v>
      </c>
      <c r="S140" s="22">
        <v>0.55398599999999998</v>
      </c>
      <c r="T140">
        <f t="shared" ref="T140:T203" si="26">-Q140/$F$2*1000</f>
        <v>16.166790123456789</v>
      </c>
      <c r="U140">
        <f t="shared" ref="U140:U203" si="27">T140*O140</f>
        <v>8.9670233095061711</v>
      </c>
      <c r="X140" s="9"/>
      <c r="Y140" s="22">
        <v>1.04538</v>
      </c>
      <c r="Z140" s="22">
        <v>15.2698</v>
      </c>
      <c r="AA140" s="22">
        <v>-1.2329100000000001E-2</v>
      </c>
      <c r="AB140" s="22">
        <v>130</v>
      </c>
      <c r="AC140" s="22">
        <v>1.0440100000000001</v>
      </c>
      <c r="AD140">
        <f t="shared" ref="AD140:AD203" si="28">-AA140/$F$2*1000</f>
        <v>15.22111111111111</v>
      </c>
      <c r="AE140">
        <f t="shared" ref="AE140:AE203" si="29">AD140*Y140</f>
        <v>15.911845133333332</v>
      </c>
      <c r="AF140" s="9"/>
      <c r="AG140" s="22">
        <v>0.55465699999999996</v>
      </c>
      <c r="AH140" s="22">
        <v>18.887499999999999</v>
      </c>
      <c r="AI140" s="22">
        <v>-1.30951E-2</v>
      </c>
      <c r="AJ140" s="22">
        <v>130</v>
      </c>
      <c r="AK140" s="22">
        <v>0.55398599999999998</v>
      </c>
      <c r="AL140">
        <f t="shared" ref="AL140:AL203" si="30">-AI140/$F$2*1000</f>
        <v>16.166790123456789</v>
      </c>
      <c r="AM140">
        <f t="shared" ref="AM140:AM203" si="31">AL140*AG140</f>
        <v>8.9670233095061711</v>
      </c>
      <c r="AP140" s="9"/>
      <c r="AQ140" s="22">
        <v>1.04538</v>
      </c>
      <c r="AR140" s="22">
        <v>24.204999999999998</v>
      </c>
      <c r="AS140" s="22">
        <v>-1.25214E-2</v>
      </c>
      <c r="AT140" s="22">
        <v>130</v>
      </c>
      <c r="AU140" s="22">
        <v>1.0443100000000001</v>
      </c>
      <c r="AV140">
        <f t="shared" ref="AV140:AV203" si="32">-AS140/$F$2*1000</f>
        <v>15.458518518518517</v>
      </c>
      <c r="AW140">
        <f t="shared" ref="AW140:AW203" si="33">AV140*AQ140</f>
        <v>16.160026088888888</v>
      </c>
      <c r="AX140" s="9"/>
      <c r="AY140" s="22">
        <v>0.55465699999999996</v>
      </c>
      <c r="AZ140" s="22">
        <v>27.822800000000001</v>
      </c>
      <c r="BA140" s="22">
        <v>-1.30615E-2</v>
      </c>
      <c r="BB140" s="22">
        <v>130</v>
      </c>
      <c r="BC140" s="22">
        <v>0.55395499999999998</v>
      </c>
      <c r="BD140">
        <f t="shared" ref="BD140:BD203" si="34">-BA140/$F$2*1000</f>
        <v>16.125308641975309</v>
      </c>
      <c r="BE140">
        <f t="shared" ref="BE140:BE203" si="35">BD140*AY140</f>
        <v>8.9440153154320985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6.3856200000000003</v>
      </c>
      <c r="I141" s="22">
        <v>-1.2268100000000001E-2</v>
      </c>
      <c r="J141" s="22">
        <v>131</v>
      </c>
      <c r="K141" s="22">
        <v>1.0394300000000001</v>
      </c>
      <c r="L141">
        <f t="shared" si="24"/>
        <v>15.145802469135802</v>
      </c>
      <c r="M141">
        <f t="shared" si="25"/>
        <v>15.756784140740741</v>
      </c>
      <c r="N141" s="9"/>
      <c r="O141" s="22">
        <v>0.55969199999999997</v>
      </c>
      <c r="P141" s="22">
        <v>10.003399999999999</v>
      </c>
      <c r="Q141" s="22">
        <v>-1.30951E-2</v>
      </c>
      <c r="R141" s="22">
        <v>131</v>
      </c>
      <c r="S141" s="22">
        <v>0.55911299999999997</v>
      </c>
      <c r="T141">
        <f t="shared" si="26"/>
        <v>16.166790123456789</v>
      </c>
      <c r="U141">
        <f t="shared" si="27"/>
        <v>9.0484230977777766</v>
      </c>
      <c r="X141" s="9"/>
      <c r="Y141" s="22">
        <v>1.04034</v>
      </c>
      <c r="Z141" s="22">
        <v>15.2798</v>
      </c>
      <c r="AA141" s="22">
        <v>-1.23535E-2</v>
      </c>
      <c r="AB141" s="22">
        <v>131</v>
      </c>
      <c r="AC141" s="22">
        <v>1.0388200000000001</v>
      </c>
      <c r="AD141">
        <f t="shared" si="28"/>
        <v>15.251234567901234</v>
      </c>
      <c r="AE141">
        <f t="shared" si="29"/>
        <v>15.866469370370369</v>
      </c>
      <c r="AF141" s="9"/>
      <c r="AG141" s="22">
        <v>0.55969199999999997</v>
      </c>
      <c r="AH141" s="22">
        <v>18.897600000000001</v>
      </c>
      <c r="AI141" s="22">
        <v>-1.30829E-2</v>
      </c>
      <c r="AJ141" s="22">
        <v>131</v>
      </c>
      <c r="AK141" s="22">
        <v>0.55902099999999999</v>
      </c>
      <c r="AL141">
        <f t="shared" si="30"/>
        <v>16.151728395061728</v>
      </c>
      <c r="AM141">
        <f t="shared" si="31"/>
        <v>9.0399931688888877</v>
      </c>
      <c r="AP141" s="9"/>
      <c r="AQ141" s="22">
        <v>1.04034</v>
      </c>
      <c r="AR141" s="22">
        <v>24.215</v>
      </c>
      <c r="AS141" s="22">
        <v>-1.2545799999999999E-2</v>
      </c>
      <c r="AT141" s="22">
        <v>131</v>
      </c>
      <c r="AU141" s="22">
        <v>1.0388200000000001</v>
      </c>
      <c r="AV141">
        <f t="shared" si="32"/>
        <v>15.48864197530864</v>
      </c>
      <c r="AW141">
        <f t="shared" si="33"/>
        <v>16.11345379259259</v>
      </c>
      <c r="AX141" s="9"/>
      <c r="AY141" s="22">
        <v>0.55969199999999997</v>
      </c>
      <c r="AZ141" s="22">
        <v>27.832799999999999</v>
      </c>
      <c r="BA141" s="22">
        <v>-1.3058500000000001E-2</v>
      </c>
      <c r="BB141" s="22">
        <v>131</v>
      </c>
      <c r="BC141" s="22">
        <v>0.55905199999999999</v>
      </c>
      <c r="BD141">
        <f t="shared" si="34"/>
        <v>16.121604938271602</v>
      </c>
      <c r="BE141">
        <f t="shared" si="35"/>
        <v>9.0231333111111098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6.3956900000000001</v>
      </c>
      <c r="I142" s="22">
        <v>-1.2286399999999999E-2</v>
      </c>
      <c r="J142" s="22">
        <v>132</v>
      </c>
      <c r="K142" s="22">
        <v>1.0345500000000001</v>
      </c>
      <c r="L142">
        <f t="shared" si="24"/>
        <v>15.168395061728393</v>
      </c>
      <c r="M142">
        <f t="shared" si="25"/>
        <v>15.703991091358022</v>
      </c>
      <c r="N142" s="9"/>
      <c r="O142" s="22">
        <v>0.56472800000000001</v>
      </c>
      <c r="P142" s="22">
        <v>10.013500000000001</v>
      </c>
      <c r="Q142" s="22">
        <v>-1.3089E-2</v>
      </c>
      <c r="R142" s="22">
        <v>132</v>
      </c>
      <c r="S142" s="22">
        <v>0.56402600000000003</v>
      </c>
      <c r="T142">
        <f t="shared" si="26"/>
        <v>16.159259259259258</v>
      </c>
      <c r="U142">
        <f t="shared" si="27"/>
        <v>9.1255861629629624</v>
      </c>
      <c r="X142" s="9"/>
      <c r="Y142" s="22">
        <v>1.03531</v>
      </c>
      <c r="Z142" s="22">
        <v>15.289899999999999</v>
      </c>
      <c r="AA142" s="22">
        <v>-1.2371800000000001E-2</v>
      </c>
      <c r="AB142" s="22">
        <v>132</v>
      </c>
      <c r="AC142" s="22">
        <v>1.03363</v>
      </c>
      <c r="AD142">
        <f t="shared" si="28"/>
        <v>15.273827160493827</v>
      </c>
      <c r="AE142">
        <f t="shared" si="29"/>
        <v>15.813145997530864</v>
      </c>
      <c r="AF142" s="9"/>
      <c r="AG142" s="22">
        <v>0.56472800000000001</v>
      </c>
      <c r="AH142" s="22">
        <v>18.907699999999998</v>
      </c>
      <c r="AI142" s="22">
        <v>-1.30829E-2</v>
      </c>
      <c r="AJ142" s="22">
        <v>132</v>
      </c>
      <c r="AK142" s="22">
        <v>0.564056</v>
      </c>
      <c r="AL142">
        <f t="shared" si="30"/>
        <v>16.151728395061728</v>
      </c>
      <c r="AM142">
        <f t="shared" si="31"/>
        <v>9.1213332730864192</v>
      </c>
      <c r="AP142" s="9"/>
      <c r="AQ142" s="22">
        <v>1.03531</v>
      </c>
      <c r="AR142" s="22">
        <v>24.225100000000001</v>
      </c>
      <c r="AS142" s="22">
        <v>-1.25732E-2</v>
      </c>
      <c r="AT142" s="22">
        <v>132</v>
      </c>
      <c r="AU142" s="22">
        <v>1.03424</v>
      </c>
      <c r="AV142">
        <f t="shared" si="32"/>
        <v>15.522469135802467</v>
      </c>
      <c r="AW142">
        <f t="shared" si="33"/>
        <v>16.070567520987652</v>
      </c>
      <c r="AX142" s="9"/>
      <c r="AY142" s="22">
        <v>0.56472800000000001</v>
      </c>
      <c r="AZ142" s="22">
        <v>27.8429</v>
      </c>
      <c r="BA142" s="22">
        <v>-1.30615E-2</v>
      </c>
      <c r="BB142" s="22">
        <v>132</v>
      </c>
      <c r="BC142" s="22">
        <v>0.56402600000000003</v>
      </c>
      <c r="BD142">
        <f t="shared" si="34"/>
        <v>16.125308641975309</v>
      </c>
      <c r="BE142">
        <f t="shared" si="35"/>
        <v>9.1064132987654318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6.4057599999999999</v>
      </c>
      <c r="I143" s="22">
        <v>-1.23169E-2</v>
      </c>
      <c r="J143" s="22">
        <v>133</v>
      </c>
      <c r="K143" s="22">
        <v>1.02966</v>
      </c>
      <c r="L143">
        <f t="shared" si="24"/>
        <v>15.206049382716049</v>
      </c>
      <c r="M143">
        <f t="shared" si="25"/>
        <v>15.666336497530864</v>
      </c>
      <c r="N143" s="9"/>
      <c r="O143" s="22">
        <v>0.56976300000000002</v>
      </c>
      <c r="P143" s="22">
        <v>10.0235</v>
      </c>
      <c r="Q143" s="22">
        <v>-1.3079800000000001E-2</v>
      </c>
      <c r="R143" s="22">
        <v>133</v>
      </c>
      <c r="S143" s="22">
        <v>0.56909200000000004</v>
      </c>
      <c r="T143">
        <f t="shared" si="26"/>
        <v>16.147901234567904</v>
      </c>
      <c r="U143">
        <f t="shared" si="27"/>
        <v>9.2004766511111136</v>
      </c>
      <c r="X143" s="9"/>
      <c r="Y143" s="22">
        <v>1.03027</v>
      </c>
      <c r="Z143" s="22">
        <v>15.3</v>
      </c>
      <c r="AA143" s="22">
        <v>-1.23932E-2</v>
      </c>
      <c r="AB143" s="22">
        <v>133</v>
      </c>
      <c r="AC143" s="22">
        <v>1.02905</v>
      </c>
      <c r="AD143">
        <f t="shared" si="28"/>
        <v>15.300246913580246</v>
      </c>
      <c r="AE143">
        <f t="shared" si="29"/>
        <v>15.763385387654321</v>
      </c>
      <c r="AF143" s="9"/>
      <c r="AG143" s="22">
        <v>0.56976300000000002</v>
      </c>
      <c r="AH143" s="22">
        <v>18.9177</v>
      </c>
      <c r="AI143" s="22">
        <v>-1.3073700000000001E-2</v>
      </c>
      <c r="AJ143" s="22">
        <v>133</v>
      </c>
      <c r="AK143" s="22">
        <v>0.56909200000000004</v>
      </c>
      <c r="AL143">
        <f t="shared" si="30"/>
        <v>16.14037037037037</v>
      </c>
      <c r="AM143">
        <f t="shared" si="31"/>
        <v>9.1961858433333337</v>
      </c>
      <c r="AP143" s="9"/>
      <c r="AQ143" s="22">
        <v>1.03027</v>
      </c>
      <c r="AR143" s="22">
        <v>24.235199999999999</v>
      </c>
      <c r="AS143" s="22">
        <v>-1.26038E-2</v>
      </c>
      <c r="AT143" s="22">
        <v>133</v>
      </c>
      <c r="AU143" s="22">
        <v>1.02966</v>
      </c>
      <c r="AV143">
        <f t="shared" si="32"/>
        <v>15.560246913580245</v>
      </c>
      <c r="AW143">
        <f t="shared" si="33"/>
        <v>16.031255587654321</v>
      </c>
      <c r="AX143" s="9"/>
      <c r="AY143" s="22">
        <v>0.56976300000000002</v>
      </c>
      <c r="AZ143" s="22">
        <v>27.853000000000002</v>
      </c>
      <c r="BA143" s="22">
        <v>-1.3064600000000001E-2</v>
      </c>
      <c r="BB143" s="22">
        <v>133</v>
      </c>
      <c r="BC143" s="22">
        <v>0.56906100000000004</v>
      </c>
      <c r="BD143">
        <f t="shared" si="34"/>
        <v>16.129135802469136</v>
      </c>
      <c r="BE143">
        <f t="shared" si="35"/>
        <v>9.1897848022222224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6.4158299999999997</v>
      </c>
      <c r="I144" s="22">
        <v>-1.2341299999999999E-2</v>
      </c>
      <c r="J144" s="22">
        <v>134</v>
      </c>
      <c r="K144" s="22">
        <v>1.02417</v>
      </c>
      <c r="L144">
        <f t="shared" si="24"/>
        <v>15.236172839506171</v>
      </c>
      <c r="M144">
        <f t="shared" si="25"/>
        <v>15.620733841975305</v>
      </c>
      <c r="N144" s="9"/>
      <c r="O144" s="22">
        <v>0.57479899999999995</v>
      </c>
      <c r="P144" s="22">
        <v>10.0336</v>
      </c>
      <c r="Q144" s="22">
        <v>-1.30676E-2</v>
      </c>
      <c r="R144" s="22">
        <v>134</v>
      </c>
      <c r="S144" s="22">
        <v>0.57409699999999997</v>
      </c>
      <c r="T144">
        <f t="shared" si="26"/>
        <v>16.132839506172839</v>
      </c>
      <c r="U144">
        <f t="shared" si="27"/>
        <v>9.2731400153086412</v>
      </c>
      <c r="X144" s="9"/>
      <c r="Y144" s="22">
        <v>1.0252399999999999</v>
      </c>
      <c r="Z144" s="22">
        <v>15.31</v>
      </c>
      <c r="AA144" s="22">
        <v>-1.24146E-2</v>
      </c>
      <c r="AB144" s="22">
        <v>134</v>
      </c>
      <c r="AC144" s="22">
        <v>1.02417</v>
      </c>
      <c r="AD144">
        <f t="shared" si="28"/>
        <v>15.326666666666666</v>
      </c>
      <c r="AE144">
        <f t="shared" si="29"/>
        <v>15.713511733333332</v>
      </c>
      <c r="AF144" s="9"/>
      <c r="AG144" s="22">
        <v>0.57479899999999995</v>
      </c>
      <c r="AH144" s="22">
        <v>18.927800000000001</v>
      </c>
      <c r="AI144" s="22">
        <v>-1.30676E-2</v>
      </c>
      <c r="AJ144" s="22">
        <v>134</v>
      </c>
      <c r="AK144" s="22">
        <v>0.57409699999999997</v>
      </c>
      <c r="AL144">
        <f t="shared" si="30"/>
        <v>16.132839506172839</v>
      </c>
      <c r="AM144">
        <f t="shared" si="31"/>
        <v>9.2731400153086412</v>
      </c>
      <c r="AP144" s="9"/>
      <c r="AQ144" s="22">
        <v>1.0252399999999999</v>
      </c>
      <c r="AR144" s="22">
        <v>24.2453</v>
      </c>
      <c r="AS144" s="22">
        <v>-1.26312E-2</v>
      </c>
      <c r="AT144" s="22">
        <v>134</v>
      </c>
      <c r="AU144" s="22">
        <v>1.02417</v>
      </c>
      <c r="AV144">
        <f t="shared" si="32"/>
        <v>15.594074074074072</v>
      </c>
      <c r="AW144">
        <f t="shared" si="33"/>
        <v>15.9876685037037</v>
      </c>
      <c r="AX144" s="9"/>
      <c r="AY144" s="22">
        <v>0.57479899999999995</v>
      </c>
      <c r="AZ144" s="22">
        <v>27.863</v>
      </c>
      <c r="BA144" s="22">
        <v>-1.3070699999999999E-2</v>
      </c>
      <c r="BB144" s="22">
        <v>134</v>
      </c>
      <c r="BC144" s="22">
        <v>0.57409699999999997</v>
      </c>
      <c r="BD144">
        <f t="shared" si="34"/>
        <v>16.136666666666663</v>
      </c>
      <c r="BE144">
        <f t="shared" si="35"/>
        <v>9.2753398633333308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6.4259000000000004</v>
      </c>
      <c r="I145" s="22">
        <v>-1.2362700000000001E-2</v>
      </c>
      <c r="J145" s="22">
        <v>135</v>
      </c>
      <c r="K145" s="22">
        <v>1.01868</v>
      </c>
      <c r="L145">
        <f t="shared" si="24"/>
        <v>15.262592592592593</v>
      </c>
      <c r="M145">
        <f t="shared" si="25"/>
        <v>15.570896962962964</v>
      </c>
      <c r="N145" s="9"/>
      <c r="O145" s="22">
        <v>0.57983399999999996</v>
      </c>
      <c r="P145" s="22">
        <v>10.043699999999999</v>
      </c>
      <c r="Q145" s="22">
        <v>-1.30463E-2</v>
      </c>
      <c r="R145" s="22">
        <v>135</v>
      </c>
      <c r="S145" s="22">
        <v>0.57910200000000001</v>
      </c>
      <c r="T145">
        <f t="shared" si="26"/>
        <v>16.106543209876545</v>
      </c>
      <c r="U145">
        <f t="shared" si="27"/>
        <v>9.3391213755555551</v>
      </c>
      <c r="X145" s="9"/>
      <c r="Y145" s="22">
        <v>1.0202</v>
      </c>
      <c r="Z145" s="22">
        <v>15.3201</v>
      </c>
      <c r="AA145" s="22">
        <v>-1.24329E-2</v>
      </c>
      <c r="AB145" s="22">
        <v>135</v>
      </c>
      <c r="AC145" s="22">
        <v>1.01868</v>
      </c>
      <c r="AD145">
        <f t="shared" si="28"/>
        <v>15.349259259259259</v>
      </c>
      <c r="AE145">
        <f t="shared" si="29"/>
        <v>15.659314296296296</v>
      </c>
      <c r="AF145" s="9"/>
      <c r="AG145" s="22">
        <v>0.57983399999999996</v>
      </c>
      <c r="AH145" s="22">
        <v>18.937899999999999</v>
      </c>
      <c r="AI145" s="22">
        <v>-1.30554E-2</v>
      </c>
      <c r="AJ145" s="22">
        <v>135</v>
      </c>
      <c r="AK145" s="22">
        <v>0.57910200000000001</v>
      </c>
      <c r="AL145">
        <f t="shared" si="30"/>
        <v>16.117777777777775</v>
      </c>
      <c r="AM145">
        <f t="shared" si="31"/>
        <v>9.3456355599999981</v>
      </c>
      <c r="AP145" s="9"/>
      <c r="AQ145" s="22">
        <v>1.0202</v>
      </c>
      <c r="AR145" s="22">
        <v>24.255299999999998</v>
      </c>
      <c r="AS145" s="22">
        <v>-1.2649499999999999E-2</v>
      </c>
      <c r="AT145" s="22">
        <v>135</v>
      </c>
      <c r="AU145" s="22">
        <v>1.01898</v>
      </c>
      <c r="AV145">
        <f t="shared" si="32"/>
        <v>15.616666666666664</v>
      </c>
      <c r="AW145">
        <f t="shared" si="33"/>
        <v>15.93212333333333</v>
      </c>
      <c r="AX145" s="9"/>
      <c r="AY145" s="22">
        <v>0.57983399999999996</v>
      </c>
      <c r="AZ145" s="22">
        <v>27.873100000000001</v>
      </c>
      <c r="BA145" s="22">
        <v>-1.30676E-2</v>
      </c>
      <c r="BB145" s="22">
        <v>135</v>
      </c>
      <c r="BC145" s="22">
        <v>0.57919299999999996</v>
      </c>
      <c r="BD145">
        <f t="shared" si="34"/>
        <v>16.132839506172839</v>
      </c>
      <c r="BE145">
        <f t="shared" si="35"/>
        <v>9.3543688622222216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6.4359799999999998</v>
      </c>
      <c r="I146" s="22">
        <v>-1.2383999999999999E-2</v>
      </c>
      <c r="J146" s="22">
        <v>136</v>
      </c>
      <c r="K146" s="22">
        <v>1.0144</v>
      </c>
      <c r="L146">
        <f t="shared" si="24"/>
        <v>15.288888888888886</v>
      </c>
      <c r="M146">
        <f t="shared" si="25"/>
        <v>15.520821333333329</v>
      </c>
      <c r="N146" s="9"/>
      <c r="O146" s="22">
        <v>0.58486899999999997</v>
      </c>
      <c r="P146" s="22">
        <v>10.053699999999999</v>
      </c>
      <c r="Q146" s="22">
        <v>-1.30341E-2</v>
      </c>
      <c r="R146" s="22">
        <v>136</v>
      </c>
      <c r="S146" s="22">
        <v>0.58416699999999999</v>
      </c>
      <c r="T146">
        <f t="shared" si="26"/>
        <v>16.09148148148148</v>
      </c>
      <c r="U146">
        <f t="shared" si="27"/>
        <v>9.411408682592592</v>
      </c>
      <c r="X146" s="9"/>
      <c r="Y146" s="22">
        <v>1.0151699999999999</v>
      </c>
      <c r="Z146" s="22">
        <v>15.3302</v>
      </c>
      <c r="AA146" s="22">
        <v>-1.24481E-2</v>
      </c>
      <c r="AB146" s="22">
        <v>136</v>
      </c>
      <c r="AC146" s="22">
        <v>1.0141</v>
      </c>
      <c r="AD146">
        <f t="shared" si="28"/>
        <v>15.368024691358023</v>
      </c>
      <c r="AE146">
        <f t="shared" si="29"/>
        <v>15.601157625925923</v>
      </c>
      <c r="AF146" s="9"/>
      <c r="AG146" s="22">
        <v>0.58486899999999997</v>
      </c>
      <c r="AH146" s="22">
        <v>18.948</v>
      </c>
      <c r="AI146" s="22">
        <v>-1.30402E-2</v>
      </c>
      <c r="AJ146" s="22">
        <v>136</v>
      </c>
      <c r="AK146" s="22">
        <v>0.58416699999999999</v>
      </c>
      <c r="AL146">
        <f t="shared" si="30"/>
        <v>16.099012345679011</v>
      </c>
      <c r="AM146">
        <f t="shared" si="31"/>
        <v>9.4158132516049378</v>
      </c>
      <c r="AP146" s="9"/>
      <c r="AQ146" s="22">
        <v>1.0151699999999999</v>
      </c>
      <c r="AR146" s="22">
        <v>24.2654</v>
      </c>
      <c r="AS146" s="22">
        <v>-1.26617E-2</v>
      </c>
      <c r="AT146" s="22">
        <v>136</v>
      </c>
      <c r="AU146" s="22">
        <v>1.0144</v>
      </c>
      <c r="AV146">
        <f t="shared" si="32"/>
        <v>15.631728395061728</v>
      </c>
      <c r="AW146">
        <f t="shared" si="33"/>
        <v>15.868861714814813</v>
      </c>
      <c r="AX146" s="9"/>
      <c r="AY146" s="22">
        <v>0.58486899999999997</v>
      </c>
      <c r="AZ146" s="22">
        <v>27.883199999999999</v>
      </c>
      <c r="BA146" s="22">
        <v>-1.3058500000000001E-2</v>
      </c>
      <c r="BB146" s="22">
        <v>136</v>
      </c>
      <c r="BC146" s="22">
        <v>0.584198</v>
      </c>
      <c r="BD146">
        <f t="shared" si="34"/>
        <v>16.121604938271602</v>
      </c>
      <c r="BE146">
        <f t="shared" si="35"/>
        <v>9.4290269586419733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6.4460499999999996</v>
      </c>
      <c r="I147" s="22">
        <v>-1.24023E-2</v>
      </c>
      <c r="J147" s="22">
        <v>137</v>
      </c>
      <c r="K147" s="22">
        <v>1.00891</v>
      </c>
      <c r="L147">
        <f t="shared" si="24"/>
        <v>15.311481481481479</v>
      </c>
      <c r="M147">
        <f t="shared" si="25"/>
        <v>15.466586788888886</v>
      </c>
      <c r="N147" s="9"/>
      <c r="O147" s="22">
        <v>0.58990500000000001</v>
      </c>
      <c r="P147" s="22">
        <v>10.063800000000001</v>
      </c>
      <c r="Q147" s="22">
        <v>-1.30341E-2</v>
      </c>
      <c r="R147" s="22">
        <v>137</v>
      </c>
      <c r="S147" s="22">
        <v>0.58929399999999998</v>
      </c>
      <c r="T147">
        <f t="shared" si="26"/>
        <v>16.09148148148148</v>
      </c>
      <c r="U147">
        <f t="shared" si="27"/>
        <v>9.4924453833333331</v>
      </c>
      <c r="X147" s="9"/>
      <c r="Y147" s="22">
        <v>1.01013</v>
      </c>
      <c r="Z147" s="22">
        <v>15.340299999999999</v>
      </c>
      <c r="AA147" s="22">
        <v>-1.2466400000000001E-2</v>
      </c>
      <c r="AB147" s="22">
        <v>137</v>
      </c>
      <c r="AC147" s="22">
        <v>1.00861</v>
      </c>
      <c r="AD147">
        <f t="shared" si="28"/>
        <v>15.390617283950617</v>
      </c>
      <c r="AE147">
        <f t="shared" si="29"/>
        <v>15.546524237037035</v>
      </c>
      <c r="AF147" s="9"/>
      <c r="AG147" s="22">
        <v>0.58990500000000001</v>
      </c>
      <c r="AH147" s="22">
        <v>18.957999999999998</v>
      </c>
      <c r="AI147" s="22">
        <v>-1.3024900000000001E-2</v>
      </c>
      <c r="AJ147" s="22">
        <v>137</v>
      </c>
      <c r="AK147" s="22">
        <v>0.58920300000000003</v>
      </c>
      <c r="AL147">
        <f t="shared" si="30"/>
        <v>16.080123456790126</v>
      </c>
      <c r="AM147">
        <f t="shared" si="31"/>
        <v>9.4857452277777803</v>
      </c>
      <c r="AP147" s="9"/>
      <c r="AQ147" s="22">
        <v>1.01013</v>
      </c>
      <c r="AR147" s="22">
        <v>24.275500000000001</v>
      </c>
      <c r="AS147" s="22">
        <v>-1.26801E-2</v>
      </c>
      <c r="AT147" s="22">
        <v>137</v>
      </c>
      <c r="AU147" s="22">
        <v>1.00952</v>
      </c>
      <c r="AV147">
        <f t="shared" si="32"/>
        <v>15.654444444444444</v>
      </c>
      <c r="AW147">
        <f t="shared" si="33"/>
        <v>15.813023966666666</v>
      </c>
      <c r="AX147" s="9"/>
      <c r="AY147" s="22">
        <v>0.58990500000000001</v>
      </c>
      <c r="AZ147" s="22">
        <v>27.8932</v>
      </c>
      <c r="BA147" s="22">
        <v>-1.3064600000000001E-2</v>
      </c>
      <c r="BB147" s="22">
        <v>137</v>
      </c>
      <c r="BC147" s="22">
        <v>0.58923300000000001</v>
      </c>
      <c r="BD147">
        <f t="shared" si="34"/>
        <v>16.129135802469136</v>
      </c>
      <c r="BE147">
        <f t="shared" si="35"/>
        <v>9.5146578555555568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6.4561200000000003</v>
      </c>
      <c r="I148" s="22">
        <v>-1.24298E-2</v>
      </c>
      <c r="J148" s="22">
        <v>138</v>
      </c>
      <c r="K148" s="22">
        <v>1.0037199999999999</v>
      </c>
      <c r="L148">
        <f t="shared" si="24"/>
        <v>15.34543209876543</v>
      </c>
      <c r="M148">
        <f t="shared" si="25"/>
        <v>15.423693802469135</v>
      </c>
      <c r="N148" s="9"/>
      <c r="O148" s="22">
        <v>0.59494000000000002</v>
      </c>
      <c r="P148" s="22">
        <v>10.0739</v>
      </c>
      <c r="Q148" s="22">
        <v>-1.3030999999999999E-2</v>
      </c>
      <c r="R148" s="22">
        <v>138</v>
      </c>
      <c r="S148" s="22">
        <v>0.59426900000000005</v>
      </c>
      <c r="T148">
        <f t="shared" si="26"/>
        <v>16.087654320987653</v>
      </c>
      <c r="U148">
        <f t="shared" si="27"/>
        <v>9.5711890617283952</v>
      </c>
      <c r="X148" s="9"/>
      <c r="Y148" s="22">
        <v>1.0051000000000001</v>
      </c>
      <c r="Z148" s="22">
        <v>15.350300000000001</v>
      </c>
      <c r="AA148" s="22">
        <v>-1.2472499999999999E-2</v>
      </c>
      <c r="AB148" s="22">
        <v>138</v>
      </c>
      <c r="AC148" s="22">
        <v>1.0037199999999999</v>
      </c>
      <c r="AD148">
        <f t="shared" si="28"/>
        <v>15.398148148148147</v>
      </c>
      <c r="AE148">
        <f t="shared" si="29"/>
        <v>15.476678703703705</v>
      </c>
      <c r="AF148" s="9"/>
      <c r="AG148" s="22">
        <v>0.59494000000000002</v>
      </c>
      <c r="AH148" s="22">
        <v>18.9681</v>
      </c>
      <c r="AI148" s="22">
        <v>-1.30005E-2</v>
      </c>
      <c r="AJ148" s="22">
        <v>138</v>
      </c>
      <c r="AK148" s="22">
        <v>0.59423800000000004</v>
      </c>
      <c r="AL148">
        <f t="shared" si="30"/>
        <v>16.049999999999997</v>
      </c>
      <c r="AM148">
        <f t="shared" si="31"/>
        <v>9.548786999999999</v>
      </c>
      <c r="AP148" s="9"/>
      <c r="AQ148" s="22">
        <v>1.0051000000000001</v>
      </c>
      <c r="AR148" s="22">
        <v>24.285499999999999</v>
      </c>
      <c r="AS148" s="22">
        <v>-1.26801E-2</v>
      </c>
      <c r="AT148" s="22">
        <v>138</v>
      </c>
      <c r="AU148" s="22">
        <v>1.00403</v>
      </c>
      <c r="AV148">
        <f t="shared" si="32"/>
        <v>15.654444444444444</v>
      </c>
      <c r="AW148">
        <f t="shared" si="33"/>
        <v>15.734282111111112</v>
      </c>
      <c r="AX148" s="9"/>
      <c r="AY148" s="22">
        <v>0.59494000000000002</v>
      </c>
      <c r="AZ148" s="22">
        <v>27.903300000000002</v>
      </c>
      <c r="BA148" s="22">
        <v>-1.3058500000000001E-2</v>
      </c>
      <c r="BB148" s="22">
        <v>138</v>
      </c>
      <c r="BC148" s="22">
        <v>0.59417699999999996</v>
      </c>
      <c r="BD148">
        <f t="shared" si="34"/>
        <v>16.121604938271602</v>
      </c>
      <c r="BE148">
        <f t="shared" si="35"/>
        <v>9.5913876419753077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6.4661900000000001</v>
      </c>
      <c r="I149" s="22">
        <v>-1.24542E-2</v>
      </c>
      <c r="J149" s="22">
        <v>139</v>
      </c>
      <c r="K149" s="22">
        <v>0.99945099999999998</v>
      </c>
      <c r="L149">
        <f t="shared" si="24"/>
        <v>15.375555555555556</v>
      </c>
      <c r="M149">
        <f t="shared" si="25"/>
        <v>15.376478088888888</v>
      </c>
      <c r="N149" s="9"/>
      <c r="O149" s="22">
        <v>0.59997599999999995</v>
      </c>
      <c r="P149" s="22">
        <v>10.084</v>
      </c>
      <c r="Q149" s="22">
        <v>-1.30341E-2</v>
      </c>
      <c r="R149" s="22">
        <v>139</v>
      </c>
      <c r="S149" s="22">
        <v>0.59933499999999995</v>
      </c>
      <c r="T149">
        <f t="shared" si="26"/>
        <v>16.09148148148148</v>
      </c>
      <c r="U149">
        <f t="shared" si="27"/>
        <v>9.6545026933333311</v>
      </c>
      <c r="X149" s="9"/>
      <c r="Y149" s="22">
        <v>1.0000599999999999</v>
      </c>
      <c r="Z149" s="22">
        <v>15.3604</v>
      </c>
      <c r="AA149" s="22">
        <v>-1.2478599999999999E-2</v>
      </c>
      <c r="AB149" s="22">
        <v>139</v>
      </c>
      <c r="AC149" s="22">
        <v>0.99945099999999998</v>
      </c>
      <c r="AD149">
        <f t="shared" si="28"/>
        <v>15.405679012345677</v>
      </c>
      <c r="AE149">
        <f t="shared" si="29"/>
        <v>15.406603353086417</v>
      </c>
      <c r="AF149" s="9"/>
      <c r="AG149" s="22">
        <v>0.59997599999999995</v>
      </c>
      <c r="AH149" s="22">
        <v>18.978200000000001</v>
      </c>
      <c r="AI149" s="22">
        <v>-1.2982199999999999E-2</v>
      </c>
      <c r="AJ149" s="22">
        <v>139</v>
      </c>
      <c r="AK149" s="22">
        <v>0.59930399999999995</v>
      </c>
      <c r="AL149">
        <f t="shared" si="30"/>
        <v>16.027407407407406</v>
      </c>
      <c r="AM149">
        <f t="shared" si="31"/>
        <v>9.6160597866666642</v>
      </c>
      <c r="AP149" s="9"/>
      <c r="AQ149" s="22">
        <v>1.0000599999999999</v>
      </c>
      <c r="AR149" s="22">
        <v>24.2956</v>
      </c>
      <c r="AS149" s="22">
        <v>-1.2689199999999999E-2</v>
      </c>
      <c r="AT149" s="22">
        <v>139</v>
      </c>
      <c r="AU149" s="22">
        <v>0.99883999999999995</v>
      </c>
      <c r="AV149">
        <f t="shared" si="32"/>
        <v>15.665679012345679</v>
      </c>
      <c r="AW149">
        <f t="shared" si="33"/>
        <v>15.666618953086418</v>
      </c>
      <c r="AX149" s="9"/>
      <c r="AY149" s="22">
        <v>0.59997599999999995</v>
      </c>
      <c r="AZ149" s="22">
        <v>27.913399999999999</v>
      </c>
      <c r="BA149" s="22">
        <v>-1.30493E-2</v>
      </c>
      <c r="BB149" s="22">
        <v>139</v>
      </c>
      <c r="BC149" s="22">
        <v>0.59930399999999995</v>
      </c>
      <c r="BD149">
        <f t="shared" si="34"/>
        <v>16.110246913580244</v>
      </c>
      <c r="BE149">
        <f t="shared" si="35"/>
        <v>9.6657615022222192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6.4762599999999999</v>
      </c>
      <c r="I150" s="22">
        <v>-1.2466400000000001E-2</v>
      </c>
      <c r="J150" s="22">
        <v>140</v>
      </c>
      <c r="K150" s="22">
        <v>0.99395800000000001</v>
      </c>
      <c r="L150">
        <f t="shared" si="24"/>
        <v>15.390617283950617</v>
      </c>
      <c r="M150">
        <f t="shared" si="25"/>
        <v>15.314064353580246</v>
      </c>
      <c r="N150" s="9"/>
      <c r="O150" s="22">
        <v>0.60501099999999997</v>
      </c>
      <c r="P150" s="22">
        <v>10.093999999999999</v>
      </c>
      <c r="Q150" s="22">
        <v>-1.30402E-2</v>
      </c>
      <c r="R150" s="22">
        <v>140</v>
      </c>
      <c r="S150" s="22">
        <v>0.60430899999999999</v>
      </c>
      <c r="T150">
        <f t="shared" si="26"/>
        <v>16.099012345679011</v>
      </c>
      <c r="U150">
        <f t="shared" si="27"/>
        <v>9.7400795582716029</v>
      </c>
      <c r="X150" s="9"/>
      <c r="Y150" s="22">
        <v>0.99502599999999997</v>
      </c>
      <c r="Z150" s="22">
        <v>15.3705</v>
      </c>
      <c r="AA150" s="22">
        <v>-1.24878E-2</v>
      </c>
      <c r="AB150" s="22">
        <v>140</v>
      </c>
      <c r="AC150" s="22">
        <v>0.99426300000000001</v>
      </c>
      <c r="AD150">
        <f t="shared" si="28"/>
        <v>15.417037037037037</v>
      </c>
      <c r="AE150">
        <f t="shared" si="29"/>
        <v>15.340352694814815</v>
      </c>
      <c r="AF150" s="9"/>
      <c r="AG150" s="22">
        <v>0.60501099999999997</v>
      </c>
      <c r="AH150" s="22">
        <v>18.988199999999999</v>
      </c>
      <c r="AI150" s="22">
        <v>-1.29669E-2</v>
      </c>
      <c r="AJ150" s="22">
        <v>140</v>
      </c>
      <c r="AK150" s="22">
        <v>0.60427900000000001</v>
      </c>
      <c r="AL150">
        <f t="shared" si="30"/>
        <v>16.008518518518514</v>
      </c>
      <c r="AM150">
        <f t="shared" si="31"/>
        <v>9.6853297974074035</v>
      </c>
      <c r="AP150" s="9"/>
      <c r="AQ150" s="22">
        <v>0.99502599999999997</v>
      </c>
      <c r="AR150" s="22">
        <v>24.305700000000002</v>
      </c>
      <c r="AS150" s="22">
        <v>-1.26984E-2</v>
      </c>
      <c r="AT150" s="22">
        <v>140</v>
      </c>
      <c r="AU150" s="22">
        <v>0.99365199999999998</v>
      </c>
      <c r="AV150">
        <f t="shared" si="32"/>
        <v>15.677037037037039</v>
      </c>
      <c r="AW150">
        <f t="shared" si="33"/>
        <v>15.599059454814816</v>
      </c>
      <c r="AX150" s="9"/>
      <c r="AY150" s="22">
        <v>0.60501099999999997</v>
      </c>
      <c r="AZ150" s="22">
        <v>27.923500000000001</v>
      </c>
      <c r="BA150" s="22">
        <v>-1.30493E-2</v>
      </c>
      <c r="BB150" s="22">
        <v>140</v>
      </c>
      <c r="BC150" s="22">
        <v>0.60430899999999999</v>
      </c>
      <c r="BD150">
        <f t="shared" si="34"/>
        <v>16.110246913580244</v>
      </c>
      <c r="BE150">
        <f t="shared" si="35"/>
        <v>9.7468765954320968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6.4863299999999997</v>
      </c>
      <c r="I151" s="22">
        <v>-1.24695E-2</v>
      </c>
      <c r="J151" s="22">
        <v>141</v>
      </c>
      <c r="K151" s="22">
        <v>0.98907500000000004</v>
      </c>
      <c r="L151">
        <f t="shared" si="24"/>
        <v>15.394444444444444</v>
      </c>
      <c r="M151">
        <f t="shared" si="25"/>
        <v>15.240346055555555</v>
      </c>
      <c r="N151" s="9"/>
      <c r="O151" s="22">
        <v>0.61004599999999998</v>
      </c>
      <c r="P151" s="22">
        <v>10.104100000000001</v>
      </c>
      <c r="Q151" s="22">
        <v>-1.3037099999999999E-2</v>
      </c>
      <c r="R151" s="22">
        <v>141</v>
      </c>
      <c r="S151" s="22">
        <v>0.609406</v>
      </c>
      <c r="T151">
        <f t="shared" si="26"/>
        <v>16.095185185185183</v>
      </c>
      <c r="U151">
        <f t="shared" si="27"/>
        <v>9.8188033414814804</v>
      </c>
      <c r="X151" s="9"/>
      <c r="Y151" s="22">
        <v>0.98999000000000004</v>
      </c>
      <c r="Z151" s="22">
        <v>15.3805</v>
      </c>
      <c r="AA151" s="22">
        <v>-1.24969E-2</v>
      </c>
      <c r="AB151" s="22">
        <v>141</v>
      </c>
      <c r="AC151" s="22">
        <v>0.98846400000000001</v>
      </c>
      <c r="AD151">
        <f t="shared" si="28"/>
        <v>15.428271604938271</v>
      </c>
      <c r="AE151">
        <f t="shared" si="29"/>
        <v>15.273834606172839</v>
      </c>
      <c r="AF151" s="9"/>
      <c r="AG151" s="22">
        <v>0.61004599999999998</v>
      </c>
      <c r="AH151" s="22">
        <v>18.9983</v>
      </c>
      <c r="AI151" s="22">
        <v>-1.29547E-2</v>
      </c>
      <c r="AJ151" s="22">
        <v>141</v>
      </c>
      <c r="AK151" s="22">
        <v>0.609344</v>
      </c>
      <c r="AL151">
        <f t="shared" si="30"/>
        <v>15.993456790123457</v>
      </c>
      <c r="AM151">
        <f t="shared" si="31"/>
        <v>9.7567443409876535</v>
      </c>
      <c r="AP151" s="9"/>
      <c r="AQ151" s="22">
        <v>0.98999000000000004</v>
      </c>
      <c r="AR151" s="22">
        <v>24.315799999999999</v>
      </c>
      <c r="AS151" s="22">
        <v>-1.27075E-2</v>
      </c>
      <c r="AT151" s="22">
        <v>141</v>
      </c>
      <c r="AU151" s="22">
        <v>0.98877000000000004</v>
      </c>
      <c r="AV151">
        <f t="shared" si="32"/>
        <v>15.68827160493827</v>
      </c>
      <c r="AW151">
        <f t="shared" si="33"/>
        <v>15.531232006172839</v>
      </c>
      <c r="AX151" s="9"/>
      <c r="AY151" s="22">
        <v>0.61004599999999998</v>
      </c>
      <c r="AZ151" s="22">
        <v>27.933499999999999</v>
      </c>
      <c r="BA151" s="22">
        <v>-1.30402E-2</v>
      </c>
      <c r="BB151" s="22">
        <v>141</v>
      </c>
      <c r="BC151" s="22">
        <v>0.609406</v>
      </c>
      <c r="BD151">
        <f t="shared" si="34"/>
        <v>16.099012345679011</v>
      </c>
      <c r="BE151">
        <f t="shared" si="35"/>
        <v>9.8211380854320982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6.4964000000000004</v>
      </c>
      <c r="I152" s="22">
        <v>-1.24878E-2</v>
      </c>
      <c r="J152" s="22">
        <v>142</v>
      </c>
      <c r="K152" s="22">
        <v>0.98449699999999996</v>
      </c>
      <c r="L152">
        <f t="shared" si="24"/>
        <v>15.417037037037037</v>
      </c>
      <c r="M152">
        <f t="shared" si="25"/>
        <v>15.185087714814815</v>
      </c>
      <c r="N152" s="9"/>
      <c r="O152" s="22">
        <v>0.61508200000000002</v>
      </c>
      <c r="P152" s="22">
        <v>10.1142</v>
      </c>
      <c r="Q152" s="22">
        <v>-1.3028E-2</v>
      </c>
      <c r="R152" s="22">
        <v>142</v>
      </c>
      <c r="S152" s="22">
        <v>0.61441000000000001</v>
      </c>
      <c r="T152">
        <f t="shared" si="26"/>
        <v>16.08395061728395</v>
      </c>
      <c r="U152">
        <f t="shared" si="27"/>
        <v>9.8929485135802473</v>
      </c>
      <c r="X152" s="9"/>
      <c r="Y152" s="22">
        <v>0.98495500000000002</v>
      </c>
      <c r="Z152" s="22">
        <v>15.390599999999999</v>
      </c>
      <c r="AA152" s="22">
        <v>-1.25031E-2</v>
      </c>
      <c r="AB152" s="22">
        <v>142</v>
      </c>
      <c r="AC152" s="22">
        <v>0.98419199999999996</v>
      </c>
      <c r="AD152">
        <f t="shared" si="28"/>
        <v>15.435925925925924</v>
      </c>
      <c r="AE152">
        <f t="shared" si="29"/>
        <v>15.203692420370368</v>
      </c>
      <c r="AF152" s="9"/>
      <c r="AG152" s="22">
        <v>0.61508200000000002</v>
      </c>
      <c r="AH152" s="22">
        <v>19.008400000000002</v>
      </c>
      <c r="AI152" s="22">
        <v>-1.29547E-2</v>
      </c>
      <c r="AJ152" s="22">
        <v>142</v>
      </c>
      <c r="AK152" s="22">
        <v>0.61438000000000004</v>
      </c>
      <c r="AL152">
        <f t="shared" si="30"/>
        <v>15.993456790123457</v>
      </c>
      <c r="AM152">
        <f t="shared" si="31"/>
        <v>9.8372873893827162</v>
      </c>
      <c r="AP152" s="9"/>
      <c r="AQ152" s="22">
        <v>0.98495500000000002</v>
      </c>
      <c r="AR152" s="22">
        <v>24.325800000000001</v>
      </c>
      <c r="AS152" s="22">
        <v>-1.2725800000000001E-2</v>
      </c>
      <c r="AT152" s="22">
        <v>142</v>
      </c>
      <c r="AU152" s="22">
        <v>0.98388699999999996</v>
      </c>
      <c r="AV152">
        <f t="shared" si="32"/>
        <v>15.710864197530865</v>
      </c>
      <c r="AW152">
        <f t="shared" si="33"/>
        <v>15.474494245679013</v>
      </c>
      <c r="AX152" s="9"/>
      <c r="AY152" s="22">
        <v>0.61508200000000002</v>
      </c>
      <c r="AZ152" s="22">
        <v>27.9436</v>
      </c>
      <c r="BA152" s="22">
        <v>-1.30402E-2</v>
      </c>
      <c r="BB152" s="22">
        <v>142</v>
      </c>
      <c r="BC152" s="22">
        <v>0.61444100000000001</v>
      </c>
      <c r="BD152">
        <f t="shared" si="34"/>
        <v>16.099012345679011</v>
      </c>
      <c r="BE152">
        <f t="shared" si="35"/>
        <v>9.9022127116049372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6.5064700000000002</v>
      </c>
      <c r="I153" s="22">
        <v>-1.2506099999999999E-2</v>
      </c>
      <c r="J153" s="22">
        <v>143</v>
      </c>
      <c r="K153" s="22">
        <v>0.97869899999999999</v>
      </c>
      <c r="L153">
        <f t="shared" si="24"/>
        <v>15.439629629629628</v>
      </c>
      <c r="M153">
        <f t="shared" si="25"/>
        <v>15.129586427037035</v>
      </c>
      <c r="N153" s="9"/>
      <c r="O153" s="22">
        <v>0.62011700000000003</v>
      </c>
      <c r="P153" s="22">
        <v>10.1242</v>
      </c>
      <c r="Q153" s="22">
        <v>-1.3021899999999999E-2</v>
      </c>
      <c r="R153" s="22">
        <v>143</v>
      </c>
      <c r="S153" s="22">
        <v>0.61941500000000005</v>
      </c>
      <c r="T153">
        <f t="shared" si="26"/>
        <v>16.076419753086416</v>
      </c>
      <c r="U153">
        <f t="shared" si="27"/>
        <v>9.9692611880246886</v>
      </c>
      <c r="X153" s="9"/>
      <c r="Y153" s="22">
        <v>0.97991899999999998</v>
      </c>
      <c r="Z153" s="22">
        <v>15.400700000000001</v>
      </c>
      <c r="AA153" s="22">
        <v>-1.2506099999999999E-2</v>
      </c>
      <c r="AB153" s="22">
        <v>143</v>
      </c>
      <c r="AC153" s="22">
        <v>0.97900399999999999</v>
      </c>
      <c r="AD153">
        <f t="shared" si="28"/>
        <v>15.439629629629628</v>
      </c>
      <c r="AE153">
        <f t="shared" si="29"/>
        <v>15.129586427037035</v>
      </c>
      <c r="AF153" s="9"/>
      <c r="AG153" s="22">
        <v>0.62011700000000003</v>
      </c>
      <c r="AH153" s="22">
        <v>19.0185</v>
      </c>
      <c r="AI153" s="22">
        <v>-1.29517E-2</v>
      </c>
      <c r="AJ153" s="22">
        <v>143</v>
      </c>
      <c r="AK153" s="22">
        <v>0.61944600000000005</v>
      </c>
      <c r="AL153">
        <f t="shared" si="30"/>
        <v>15.989753086419752</v>
      </c>
      <c r="AM153">
        <f t="shared" si="31"/>
        <v>9.915517714691358</v>
      </c>
      <c r="AP153" s="9"/>
      <c r="AQ153" s="22">
        <v>0.97991899999999998</v>
      </c>
      <c r="AR153" s="22">
        <v>24.335899999999999</v>
      </c>
      <c r="AS153" s="22">
        <v>-1.27411E-2</v>
      </c>
      <c r="AT153" s="22">
        <v>143</v>
      </c>
      <c r="AU153" s="22">
        <v>0.97930899999999999</v>
      </c>
      <c r="AV153">
        <f t="shared" si="32"/>
        <v>15.729753086419752</v>
      </c>
      <c r="AW153">
        <f t="shared" si="33"/>
        <v>15.413883914691356</v>
      </c>
      <c r="AX153" s="9"/>
      <c r="AY153" s="22">
        <v>0.62011700000000003</v>
      </c>
      <c r="AZ153" s="22">
        <v>27.953700000000001</v>
      </c>
      <c r="BA153" s="22">
        <v>-1.30341E-2</v>
      </c>
      <c r="BB153" s="22">
        <v>143</v>
      </c>
      <c r="BC153" s="22">
        <v>0.61941500000000005</v>
      </c>
      <c r="BD153">
        <f t="shared" si="34"/>
        <v>16.09148148148148</v>
      </c>
      <c r="BE153">
        <f t="shared" si="35"/>
        <v>9.9786012218518518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6.51654</v>
      </c>
      <c r="I154" s="22">
        <v>-1.25244E-2</v>
      </c>
      <c r="J154" s="22">
        <v>144</v>
      </c>
      <c r="K154" s="22">
        <v>0.97412100000000001</v>
      </c>
      <c r="L154">
        <f t="shared" si="24"/>
        <v>15.462222222222222</v>
      </c>
      <c r="M154">
        <f t="shared" si="25"/>
        <v>15.073873048888888</v>
      </c>
      <c r="N154" s="9"/>
      <c r="O154" s="22">
        <v>0.62515299999999996</v>
      </c>
      <c r="P154" s="22">
        <v>10.1343</v>
      </c>
      <c r="Q154" s="22">
        <v>-1.30066E-2</v>
      </c>
      <c r="R154" s="22">
        <v>144</v>
      </c>
      <c r="S154" s="22">
        <v>0.62451199999999996</v>
      </c>
      <c r="T154">
        <f t="shared" si="26"/>
        <v>16.057530864197531</v>
      </c>
      <c r="U154">
        <f t="shared" si="27"/>
        <v>10.038413592345679</v>
      </c>
      <c r="X154" s="9"/>
      <c r="Y154" s="22">
        <v>0.97488399999999997</v>
      </c>
      <c r="Z154" s="22">
        <v>15.4108</v>
      </c>
      <c r="AA154" s="22">
        <v>-1.25275E-2</v>
      </c>
      <c r="AB154" s="22">
        <v>144</v>
      </c>
      <c r="AC154" s="22">
        <v>0.97320600000000002</v>
      </c>
      <c r="AD154">
        <f t="shared" si="28"/>
        <v>15.466049382716049</v>
      </c>
      <c r="AE154">
        <f t="shared" si="29"/>
        <v>15.077604086419752</v>
      </c>
      <c r="AF154" s="9"/>
      <c r="AG154" s="22">
        <v>0.62515299999999996</v>
      </c>
      <c r="AH154" s="22">
        <v>19.028500000000001</v>
      </c>
      <c r="AI154" s="22">
        <v>-1.29517E-2</v>
      </c>
      <c r="AJ154" s="22">
        <v>144</v>
      </c>
      <c r="AK154" s="22">
        <v>0.62448099999999995</v>
      </c>
      <c r="AL154">
        <f t="shared" si="30"/>
        <v>15.989753086419752</v>
      </c>
      <c r="AM154">
        <f t="shared" si="31"/>
        <v>9.9960421112345657</v>
      </c>
      <c r="AP154" s="9"/>
      <c r="AQ154" s="22">
        <v>0.97488399999999997</v>
      </c>
      <c r="AR154" s="22">
        <v>24.346</v>
      </c>
      <c r="AS154" s="22">
        <v>-1.27533E-2</v>
      </c>
      <c r="AT154" s="22">
        <v>144</v>
      </c>
      <c r="AU154" s="22">
        <v>0.97320600000000002</v>
      </c>
      <c r="AV154">
        <f t="shared" si="32"/>
        <v>15.744814814814816</v>
      </c>
      <c r="AW154">
        <f t="shared" si="33"/>
        <v>15.349368045925926</v>
      </c>
      <c r="AX154" s="9"/>
      <c r="AY154" s="22">
        <v>0.62515299999999996</v>
      </c>
      <c r="AZ154" s="22">
        <v>27.963699999999999</v>
      </c>
      <c r="BA154" s="22">
        <v>-1.3028E-2</v>
      </c>
      <c r="BB154" s="22">
        <v>144</v>
      </c>
      <c r="BC154" s="22">
        <v>0.62451199999999996</v>
      </c>
      <c r="BD154">
        <f t="shared" si="34"/>
        <v>16.08395061728395</v>
      </c>
      <c r="BE154">
        <f t="shared" si="35"/>
        <v>10.054929980246913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6.5266099999999998</v>
      </c>
      <c r="I155" s="22">
        <v>-1.2545799999999999E-2</v>
      </c>
      <c r="J155" s="22">
        <v>145</v>
      </c>
      <c r="K155" s="22">
        <v>0.96893300000000004</v>
      </c>
      <c r="L155">
        <f t="shared" si="24"/>
        <v>15.48864197530864</v>
      </c>
      <c r="M155">
        <f t="shared" si="25"/>
        <v>15.021643931111109</v>
      </c>
      <c r="N155" s="9"/>
      <c r="O155" s="22">
        <v>0.63018799999999997</v>
      </c>
      <c r="P155" s="22">
        <v>10.144399999999999</v>
      </c>
      <c r="Q155" s="22">
        <v>-1.2997399999999999E-2</v>
      </c>
      <c r="R155" s="22">
        <v>145</v>
      </c>
      <c r="S155" s="22">
        <v>0.62942500000000001</v>
      </c>
      <c r="T155">
        <f t="shared" si="26"/>
        <v>16.04617283950617</v>
      </c>
      <c r="U155">
        <f t="shared" si="27"/>
        <v>10.112105569382713</v>
      </c>
      <c r="X155" s="9"/>
      <c r="Y155" s="22">
        <v>0.96984899999999996</v>
      </c>
      <c r="Z155" s="22">
        <v>15.4208</v>
      </c>
      <c r="AA155" s="22">
        <v>-1.25427E-2</v>
      </c>
      <c r="AB155" s="22">
        <v>145</v>
      </c>
      <c r="AC155" s="22">
        <v>0.96893300000000004</v>
      </c>
      <c r="AD155">
        <f t="shared" si="28"/>
        <v>15.484814814814815</v>
      </c>
      <c r="AE155">
        <f t="shared" si="29"/>
        <v>15.017932163333333</v>
      </c>
      <c r="AF155" s="9"/>
      <c r="AG155" s="22">
        <v>0.63018799999999997</v>
      </c>
      <c r="AH155" s="22">
        <v>19.038599999999999</v>
      </c>
      <c r="AI155" s="22">
        <v>-1.29547E-2</v>
      </c>
      <c r="AJ155" s="22">
        <v>145</v>
      </c>
      <c r="AK155" s="22">
        <v>0.62951699999999999</v>
      </c>
      <c r="AL155">
        <f t="shared" si="30"/>
        <v>15.993456790123457</v>
      </c>
      <c r="AM155">
        <f t="shared" si="31"/>
        <v>10.078884547654321</v>
      </c>
      <c r="AP155" s="9"/>
      <c r="AQ155" s="22">
        <v>0.96984899999999996</v>
      </c>
      <c r="AR155" s="22">
        <v>24.356000000000002</v>
      </c>
      <c r="AS155" s="22">
        <v>-1.27686E-2</v>
      </c>
      <c r="AT155" s="22">
        <v>145</v>
      </c>
      <c r="AU155" s="22">
        <v>0.96862800000000004</v>
      </c>
      <c r="AV155">
        <f t="shared" si="32"/>
        <v>15.763703703703703</v>
      </c>
      <c r="AW155">
        <f t="shared" si="33"/>
        <v>15.288412273333332</v>
      </c>
      <c r="AX155" s="9"/>
      <c r="AY155" s="22">
        <v>0.63018799999999997</v>
      </c>
      <c r="AZ155" s="22">
        <v>27.973800000000001</v>
      </c>
      <c r="BA155" s="22">
        <v>-1.3021899999999999E-2</v>
      </c>
      <c r="BB155" s="22">
        <v>145</v>
      </c>
      <c r="BC155" s="22">
        <v>0.62954699999999997</v>
      </c>
      <c r="BD155">
        <f t="shared" si="34"/>
        <v>16.076419753086416</v>
      </c>
      <c r="BE155">
        <f t="shared" si="35"/>
        <v>10.131166811358021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6.5366900000000001</v>
      </c>
      <c r="I156" s="22">
        <v>-1.2560999999999999E-2</v>
      </c>
      <c r="J156" s="22">
        <v>146</v>
      </c>
      <c r="K156" s="22">
        <v>0.96343999999999996</v>
      </c>
      <c r="L156">
        <f t="shared" si="24"/>
        <v>15.507407407407406</v>
      </c>
      <c r="M156">
        <f t="shared" si="25"/>
        <v>14.961748262962962</v>
      </c>
      <c r="N156" s="9"/>
      <c r="O156" s="22">
        <v>0.63522299999999998</v>
      </c>
      <c r="P156" s="22">
        <v>10.154500000000001</v>
      </c>
      <c r="Q156" s="22">
        <v>-1.2982199999999999E-2</v>
      </c>
      <c r="R156" s="22">
        <v>146</v>
      </c>
      <c r="S156" s="22">
        <v>0.63461299999999998</v>
      </c>
      <c r="T156">
        <f t="shared" si="26"/>
        <v>16.027407407407406</v>
      </c>
      <c r="U156">
        <f t="shared" si="27"/>
        <v>10.180977815555554</v>
      </c>
      <c r="X156" s="9"/>
      <c r="Y156" s="22">
        <v>0.96481300000000003</v>
      </c>
      <c r="Z156" s="22">
        <v>15.430899999999999</v>
      </c>
      <c r="AA156" s="22">
        <v>-1.2560999999999999E-2</v>
      </c>
      <c r="AB156" s="22">
        <v>146</v>
      </c>
      <c r="AC156" s="22">
        <v>0.96374499999999996</v>
      </c>
      <c r="AD156">
        <f t="shared" si="28"/>
        <v>15.507407407407406</v>
      </c>
      <c r="AE156">
        <f t="shared" si="29"/>
        <v>14.961748262962962</v>
      </c>
      <c r="AF156" s="9"/>
      <c r="AG156" s="22">
        <v>0.63522299999999998</v>
      </c>
      <c r="AH156" s="22">
        <v>19.0487</v>
      </c>
      <c r="AI156" s="22">
        <v>-1.29608E-2</v>
      </c>
      <c r="AJ156" s="22">
        <v>146</v>
      </c>
      <c r="AK156" s="22">
        <v>0.634521</v>
      </c>
      <c r="AL156">
        <f t="shared" si="30"/>
        <v>16.000987654320987</v>
      </c>
      <c r="AM156">
        <f t="shared" si="31"/>
        <v>10.16419538074074</v>
      </c>
      <c r="AP156" s="9"/>
      <c r="AQ156" s="22">
        <v>0.96481300000000003</v>
      </c>
      <c r="AR156" s="22">
        <v>24.366099999999999</v>
      </c>
      <c r="AS156" s="22">
        <v>-1.27808E-2</v>
      </c>
      <c r="AT156" s="22">
        <v>146</v>
      </c>
      <c r="AU156" s="22">
        <v>0.96374499999999996</v>
      </c>
      <c r="AV156">
        <f t="shared" si="32"/>
        <v>15.778765432098764</v>
      </c>
      <c r="AW156">
        <f t="shared" si="33"/>
        <v>15.223558012839504</v>
      </c>
      <c r="AX156" s="9"/>
      <c r="AY156" s="22">
        <v>0.63522299999999998</v>
      </c>
      <c r="AZ156" s="22">
        <v>27.983899999999998</v>
      </c>
      <c r="BA156" s="22">
        <v>-1.30127E-2</v>
      </c>
      <c r="BB156" s="22">
        <v>146</v>
      </c>
      <c r="BC156" s="22">
        <v>0.634552</v>
      </c>
      <c r="BD156">
        <f t="shared" si="34"/>
        <v>16.065061728395062</v>
      </c>
      <c r="BE156">
        <f t="shared" si="35"/>
        <v>10.204896706296296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6.5467599999999999</v>
      </c>
      <c r="I157" s="22">
        <v>-1.25793E-2</v>
      </c>
      <c r="J157" s="22">
        <v>147</v>
      </c>
      <c r="K157" s="22">
        <v>0.95794699999999999</v>
      </c>
      <c r="L157">
        <f t="shared" si="24"/>
        <v>15.53</v>
      </c>
      <c r="M157">
        <f t="shared" si="25"/>
        <v>14.90535234</v>
      </c>
      <c r="N157" s="9"/>
      <c r="O157" s="22">
        <v>0.64025900000000002</v>
      </c>
      <c r="P157" s="22">
        <v>10.1645</v>
      </c>
      <c r="Q157" s="22">
        <v>-1.2982199999999999E-2</v>
      </c>
      <c r="R157" s="22">
        <v>147</v>
      </c>
      <c r="S157" s="22">
        <v>0.63955700000000004</v>
      </c>
      <c r="T157">
        <f t="shared" si="26"/>
        <v>16.027407407407406</v>
      </c>
      <c r="U157">
        <f t="shared" si="27"/>
        <v>10.261691839259258</v>
      </c>
      <c r="X157" s="9"/>
      <c r="Y157" s="22">
        <v>0.95977800000000002</v>
      </c>
      <c r="Z157" s="22">
        <v>15.441000000000001</v>
      </c>
      <c r="AA157" s="22">
        <v>-1.25702E-2</v>
      </c>
      <c r="AB157" s="22">
        <v>147</v>
      </c>
      <c r="AC157" s="22">
        <v>0.95825199999999999</v>
      </c>
      <c r="AD157">
        <f t="shared" si="28"/>
        <v>15.518765432098766</v>
      </c>
      <c r="AE157">
        <f t="shared" si="29"/>
        <v>14.89456964888889</v>
      </c>
      <c r="AF157" s="9"/>
      <c r="AG157" s="22">
        <v>0.64025900000000002</v>
      </c>
      <c r="AH157" s="22">
        <v>19.058700000000002</v>
      </c>
      <c r="AI157" s="22">
        <v>-1.29669E-2</v>
      </c>
      <c r="AJ157" s="22">
        <v>147</v>
      </c>
      <c r="AK157" s="22">
        <v>0.63955700000000004</v>
      </c>
      <c r="AL157">
        <f t="shared" si="30"/>
        <v>16.008518518518514</v>
      </c>
      <c r="AM157">
        <f t="shared" si="31"/>
        <v>10.249598058148145</v>
      </c>
      <c r="AP157" s="9"/>
      <c r="AQ157" s="22">
        <v>0.95977800000000002</v>
      </c>
      <c r="AR157" s="22">
        <v>24.376200000000001</v>
      </c>
      <c r="AS157" s="22">
        <v>-1.2799100000000001E-2</v>
      </c>
      <c r="AT157" s="22">
        <v>147</v>
      </c>
      <c r="AU157" s="22">
        <v>0.95886199999999999</v>
      </c>
      <c r="AV157">
        <f t="shared" si="32"/>
        <v>15.801358024691359</v>
      </c>
      <c r="AW157">
        <f t="shared" si="33"/>
        <v>15.165795802222224</v>
      </c>
      <c r="AX157" s="9"/>
      <c r="AY157" s="22">
        <v>0.64025900000000002</v>
      </c>
      <c r="AZ157" s="22">
        <v>27.994</v>
      </c>
      <c r="BA157" s="22">
        <v>-1.30157E-2</v>
      </c>
      <c r="BB157" s="22">
        <v>147</v>
      </c>
      <c r="BC157" s="22">
        <v>0.63955700000000004</v>
      </c>
      <c r="BD157">
        <f t="shared" si="34"/>
        <v>16.068765432098765</v>
      </c>
      <c r="BE157">
        <f t="shared" si="35"/>
        <v>10.288171686790124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6.5568299999999997</v>
      </c>
      <c r="I158" s="22">
        <v>-1.25916E-2</v>
      </c>
      <c r="J158" s="22">
        <v>148</v>
      </c>
      <c r="K158" s="22">
        <v>0.95336900000000002</v>
      </c>
      <c r="L158">
        <f t="shared" si="24"/>
        <v>15.545185185185185</v>
      </c>
      <c r="M158">
        <f t="shared" si="25"/>
        <v>14.841641194074073</v>
      </c>
      <c r="N158" s="9"/>
      <c r="O158" s="22">
        <v>0.64529400000000003</v>
      </c>
      <c r="P158" s="22">
        <v>10.1746</v>
      </c>
      <c r="Q158" s="22">
        <v>-1.2985200000000001E-2</v>
      </c>
      <c r="R158" s="22">
        <v>148</v>
      </c>
      <c r="S158" s="22">
        <v>0.64462299999999995</v>
      </c>
      <c r="T158">
        <f t="shared" si="26"/>
        <v>16.031111111111109</v>
      </c>
      <c r="U158">
        <f t="shared" si="27"/>
        <v>10.344779813333332</v>
      </c>
      <c r="X158" s="9"/>
      <c r="Y158" s="22">
        <v>0.95474199999999998</v>
      </c>
      <c r="Z158" s="22">
        <v>15.451000000000001</v>
      </c>
      <c r="AA158" s="22">
        <v>-1.2582400000000001E-2</v>
      </c>
      <c r="AB158" s="22">
        <v>148</v>
      </c>
      <c r="AC158" s="22">
        <v>0.95336900000000002</v>
      </c>
      <c r="AD158">
        <f t="shared" si="28"/>
        <v>15.533827160493827</v>
      </c>
      <c r="AE158">
        <f t="shared" si="29"/>
        <v>14.830797210864198</v>
      </c>
      <c r="AF158" s="9"/>
      <c r="AG158" s="22">
        <v>0.64529400000000003</v>
      </c>
      <c r="AH158" s="22">
        <v>19.0688</v>
      </c>
      <c r="AI158" s="22">
        <v>-1.2970000000000001E-2</v>
      </c>
      <c r="AJ158" s="22">
        <v>148</v>
      </c>
      <c r="AK158" s="22">
        <v>0.64456199999999997</v>
      </c>
      <c r="AL158">
        <f t="shared" si="30"/>
        <v>16.012345679012348</v>
      </c>
      <c r="AM158">
        <f t="shared" si="31"/>
        <v>10.332670592592596</v>
      </c>
      <c r="AP158" s="9"/>
      <c r="AQ158" s="22">
        <v>0.95474199999999998</v>
      </c>
      <c r="AR158" s="22">
        <v>24.386299999999999</v>
      </c>
      <c r="AS158" s="22">
        <v>-1.28174E-2</v>
      </c>
      <c r="AT158" s="22">
        <v>148</v>
      </c>
      <c r="AU158" s="22">
        <v>0.95336900000000002</v>
      </c>
      <c r="AV158">
        <f t="shared" si="32"/>
        <v>15.82395061728395</v>
      </c>
      <c r="AW158">
        <f t="shared" si="33"/>
        <v>15.107790260246913</v>
      </c>
      <c r="AX158" s="9"/>
      <c r="AY158" s="22">
        <v>0.64529400000000003</v>
      </c>
      <c r="AZ158" s="22">
        <v>28.004000000000001</v>
      </c>
      <c r="BA158" s="22">
        <v>-1.3024900000000001E-2</v>
      </c>
      <c r="BB158" s="22">
        <v>148</v>
      </c>
      <c r="BC158" s="22">
        <v>0.64462299999999995</v>
      </c>
      <c r="BD158">
        <f t="shared" si="34"/>
        <v>16.080123456790126</v>
      </c>
      <c r="BE158">
        <f t="shared" si="35"/>
        <v>10.376407185925927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6.5669000000000004</v>
      </c>
      <c r="I159" s="22">
        <v>-1.2600699999999999E-2</v>
      </c>
      <c r="J159" s="22">
        <v>149</v>
      </c>
      <c r="K159" s="22">
        <v>0.94879199999999997</v>
      </c>
      <c r="L159">
        <f t="shared" si="24"/>
        <v>15.556419753086418</v>
      </c>
      <c r="M159">
        <f t="shared" si="25"/>
        <v>14.774040734444442</v>
      </c>
      <c r="N159" s="9"/>
      <c r="O159" s="22">
        <v>0.65032999999999996</v>
      </c>
      <c r="P159" s="22">
        <v>10.184699999999999</v>
      </c>
      <c r="Q159" s="22">
        <v>-1.2982199999999999E-2</v>
      </c>
      <c r="R159" s="22">
        <v>149</v>
      </c>
      <c r="S159" s="22">
        <v>0.64968899999999996</v>
      </c>
      <c r="T159">
        <f t="shared" si="26"/>
        <v>16.027407407407406</v>
      </c>
      <c r="U159">
        <f t="shared" si="27"/>
        <v>10.423103859259257</v>
      </c>
      <c r="X159" s="9"/>
      <c r="Y159" s="22">
        <v>0.94970699999999997</v>
      </c>
      <c r="Z159" s="22">
        <v>15.4611</v>
      </c>
      <c r="AA159" s="22">
        <v>-1.25977E-2</v>
      </c>
      <c r="AB159" s="22">
        <v>149</v>
      </c>
      <c r="AC159" s="22">
        <v>0.94879199999999997</v>
      </c>
      <c r="AD159">
        <f t="shared" si="28"/>
        <v>15.552716049382715</v>
      </c>
      <c r="AE159">
        <f t="shared" si="29"/>
        <v>14.77052330111111</v>
      </c>
      <c r="AF159" s="9"/>
      <c r="AG159" s="22">
        <v>0.65032999999999996</v>
      </c>
      <c r="AH159" s="22">
        <v>19.078900000000001</v>
      </c>
      <c r="AI159" s="22">
        <v>-1.29608E-2</v>
      </c>
      <c r="AJ159" s="22">
        <v>149</v>
      </c>
      <c r="AK159" s="22">
        <v>0.64965799999999996</v>
      </c>
      <c r="AL159">
        <f t="shared" si="30"/>
        <v>16.000987654320987</v>
      </c>
      <c r="AM159">
        <f t="shared" si="31"/>
        <v>10.405922301234567</v>
      </c>
      <c r="AP159" s="9"/>
      <c r="AQ159" s="22">
        <v>0.94970699999999997</v>
      </c>
      <c r="AR159" s="22">
        <v>24.3963</v>
      </c>
      <c r="AS159" s="22">
        <v>-1.2826499999999999E-2</v>
      </c>
      <c r="AT159" s="22">
        <v>149</v>
      </c>
      <c r="AU159" s="22">
        <v>0.94879199999999997</v>
      </c>
      <c r="AV159">
        <f t="shared" si="32"/>
        <v>15.835185185185185</v>
      </c>
      <c r="AW159">
        <f t="shared" si="33"/>
        <v>15.038786216666667</v>
      </c>
      <c r="AX159" s="9"/>
      <c r="AY159" s="22">
        <v>0.65032999999999996</v>
      </c>
      <c r="AZ159" s="22">
        <v>28.014099999999999</v>
      </c>
      <c r="BA159" s="22">
        <v>-1.30341E-2</v>
      </c>
      <c r="BB159" s="22">
        <v>149</v>
      </c>
      <c r="BC159" s="22">
        <v>0.64959699999999998</v>
      </c>
      <c r="BD159">
        <f t="shared" si="34"/>
        <v>16.09148148148148</v>
      </c>
      <c r="BE159">
        <f t="shared" si="35"/>
        <v>10.464773151851851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6.5769700000000002</v>
      </c>
      <c r="I160" s="22">
        <v>-1.2600699999999999E-2</v>
      </c>
      <c r="J160" s="22">
        <v>150</v>
      </c>
      <c r="K160" s="22">
        <v>0.943604</v>
      </c>
      <c r="L160">
        <f t="shared" si="24"/>
        <v>15.556419753086418</v>
      </c>
      <c r="M160">
        <f t="shared" si="25"/>
        <v>14.695714160987652</v>
      </c>
      <c r="N160" s="9"/>
      <c r="O160" s="22">
        <v>0.65536499999999998</v>
      </c>
      <c r="P160" s="22">
        <v>10.194699999999999</v>
      </c>
      <c r="Q160" s="22">
        <v>-1.2976100000000001E-2</v>
      </c>
      <c r="R160" s="22">
        <v>150</v>
      </c>
      <c r="S160" s="22">
        <v>0.654694</v>
      </c>
      <c r="T160">
        <f t="shared" si="26"/>
        <v>16.019876543209875</v>
      </c>
      <c r="U160">
        <f t="shared" si="27"/>
        <v>10.498866390740739</v>
      </c>
      <c r="X160" s="9"/>
      <c r="Y160" s="22">
        <v>0.94467199999999996</v>
      </c>
      <c r="Z160" s="22">
        <v>15.4712</v>
      </c>
      <c r="AA160" s="22">
        <v>-1.2619E-2</v>
      </c>
      <c r="AB160" s="22">
        <v>150</v>
      </c>
      <c r="AC160" s="22">
        <v>0.943604</v>
      </c>
      <c r="AD160">
        <f t="shared" si="28"/>
        <v>15.579012345679011</v>
      </c>
      <c r="AE160">
        <f t="shared" si="29"/>
        <v>14.717056750617282</v>
      </c>
      <c r="AF160" s="9"/>
      <c r="AG160" s="22">
        <v>0.65536499999999998</v>
      </c>
      <c r="AH160" s="22">
        <v>19.088999999999999</v>
      </c>
      <c r="AI160" s="22">
        <v>-1.2948599999999999E-2</v>
      </c>
      <c r="AJ160" s="22">
        <v>150</v>
      </c>
      <c r="AK160" s="22">
        <v>0.65472399999999997</v>
      </c>
      <c r="AL160">
        <f t="shared" si="30"/>
        <v>15.985925925925924</v>
      </c>
      <c r="AM160">
        <f t="shared" si="31"/>
        <v>10.476616344444443</v>
      </c>
      <c r="AP160" s="9"/>
      <c r="AQ160" s="22">
        <v>0.94467199999999996</v>
      </c>
      <c r="AR160" s="22">
        <v>24.406400000000001</v>
      </c>
      <c r="AS160" s="22">
        <v>-1.28326E-2</v>
      </c>
      <c r="AT160" s="22">
        <v>150</v>
      </c>
      <c r="AU160" s="22">
        <v>0.943604</v>
      </c>
      <c r="AV160">
        <f t="shared" si="32"/>
        <v>15.842716049382712</v>
      </c>
      <c r="AW160">
        <f t="shared" si="33"/>
        <v>14.966170255802465</v>
      </c>
      <c r="AX160" s="9"/>
      <c r="AY160" s="22">
        <v>0.65536499999999998</v>
      </c>
      <c r="AZ160" s="22">
        <v>28.0242</v>
      </c>
      <c r="BA160" s="22">
        <v>-1.3028E-2</v>
      </c>
      <c r="BB160" s="22">
        <v>150</v>
      </c>
      <c r="BC160" s="22">
        <v>0.654694</v>
      </c>
      <c r="BD160">
        <f t="shared" si="34"/>
        <v>16.08395061728395</v>
      </c>
      <c r="BE160">
        <f t="shared" si="35"/>
        <v>10.540858296296296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6.58704</v>
      </c>
      <c r="I161" s="22">
        <v>-1.26068E-2</v>
      </c>
      <c r="J161" s="22">
        <v>151</v>
      </c>
      <c r="K161" s="22">
        <v>0.93872100000000003</v>
      </c>
      <c r="L161">
        <f t="shared" si="24"/>
        <v>15.56395061728395</v>
      </c>
      <c r="M161">
        <f t="shared" si="25"/>
        <v>14.624448302222222</v>
      </c>
      <c r="N161" s="9"/>
      <c r="O161" s="22">
        <v>0.66039999999999999</v>
      </c>
      <c r="P161" s="22">
        <v>10.204800000000001</v>
      </c>
      <c r="Q161" s="22">
        <v>-1.29669E-2</v>
      </c>
      <c r="R161" s="22">
        <v>151</v>
      </c>
      <c r="S161" s="22">
        <v>0.65972900000000001</v>
      </c>
      <c r="T161">
        <f t="shared" si="26"/>
        <v>16.008518518518514</v>
      </c>
      <c r="U161">
        <f t="shared" si="27"/>
        <v>10.572025629629627</v>
      </c>
      <c r="X161" s="9"/>
      <c r="Y161" s="22">
        <v>0.93963600000000003</v>
      </c>
      <c r="Z161" s="22">
        <v>15.481299999999999</v>
      </c>
      <c r="AA161" s="22">
        <v>-1.2634299999999999E-2</v>
      </c>
      <c r="AB161" s="22">
        <v>151</v>
      </c>
      <c r="AC161" s="22">
        <v>0.93841600000000003</v>
      </c>
      <c r="AD161">
        <f t="shared" si="28"/>
        <v>15.5979012345679</v>
      </c>
      <c r="AE161">
        <f t="shared" si="29"/>
        <v>14.656349524444444</v>
      </c>
      <c r="AF161" s="9"/>
      <c r="AG161" s="22">
        <v>0.66039999999999999</v>
      </c>
      <c r="AH161" s="22">
        <v>19.099</v>
      </c>
      <c r="AI161" s="22">
        <v>-1.29395E-2</v>
      </c>
      <c r="AJ161" s="22">
        <v>151</v>
      </c>
      <c r="AK161" s="22">
        <v>0.65972900000000001</v>
      </c>
      <c r="AL161">
        <f t="shared" si="30"/>
        <v>15.974691358024689</v>
      </c>
      <c r="AM161">
        <f t="shared" si="31"/>
        <v>10.549686172839504</v>
      </c>
      <c r="AP161" s="9"/>
      <c r="AQ161" s="22">
        <v>0.93963600000000003</v>
      </c>
      <c r="AR161" s="22">
        <v>24.416499999999999</v>
      </c>
      <c r="AS161" s="22">
        <v>-1.28418E-2</v>
      </c>
      <c r="AT161" s="22">
        <v>151</v>
      </c>
      <c r="AU161" s="22">
        <v>0.93872100000000003</v>
      </c>
      <c r="AV161">
        <f t="shared" si="32"/>
        <v>15.854074074074072</v>
      </c>
      <c r="AW161">
        <f t="shared" si="33"/>
        <v>14.897058746666666</v>
      </c>
      <c r="AX161" s="9"/>
      <c r="AY161" s="22">
        <v>0.66039999999999999</v>
      </c>
      <c r="AZ161" s="22">
        <v>28.034199999999998</v>
      </c>
      <c r="BA161" s="22">
        <v>-1.3024900000000001E-2</v>
      </c>
      <c r="BB161" s="22">
        <v>151</v>
      </c>
      <c r="BC161" s="22">
        <v>0.65976000000000001</v>
      </c>
      <c r="BD161">
        <f t="shared" si="34"/>
        <v>16.080123456790126</v>
      </c>
      <c r="BE161">
        <f t="shared" si="35"/>
        <v>10.619313530864199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6.5971099999999998</v>
      </c>
      <c r="I162" s="22">
        <v>-1.2616E-2</v>
      </c>
      <c r="J162" s="22">
        <v>152</v>
      </c>
      <c r="K162" s="22">
        <v>0.93353299999999995</v>
      </c>
      <c r="L162">
        <f t="shared" si="24"/>
        <v>15.575308641975308</v>
      </c>
      <c r="M162">
        <f t="shared" si="25"/>
        <v>14.556699032098765</v>
      </c>
      <c r="N162" s="9"/>
      <c r="O162" s="22">
        <v>0.66543600000000003</v>
      </c>
      <c r="P162" s="22">
        <v>10.2149</v>
      </c>
      <c r="Q162" s="22">
        <v>-1.29578E-2</v>
      </c>
      <c r="R162" s="22">
        <v>152</v>
      </c>
      <c r="S162" s="22">
        <v>0.66470300000000004</v>
      </c>
      <c r="T162">
        <f t="shared" si="26"/>
        <v>15.997283950617284</v>
      </c>
      <c r="U162">
        <f t="shared" si="27"/>
        <v>10.645168642962963</v>
      </c>
      <c r="X162" s="9"/>
      <c r="Y162" s="22">
        <v>0.93460100000000002</v>
      </c>
      <c r="Z162" s="22">
        <v>15.491300000000001</v>
      </c>
      <c r="AA162" s="22">
        <v>-1.26465E-2</v>
      </c>
      <c r="AB162" s="22">
        <v>152</v>
      </c>
      <c r="AC162" s="22">
        <v>0.93444799999999995</v>
      </c>
      <c r="AD162">
        <f t="shared" si="28"/>
        <v>15.612962962962962</v>
      </c>
      <c r="AE162">
        <f t="shared" si="29"/>
        <v>14.591890798148148</v>
      </c>
      <c r="AF162" s="9"/>
      <c r="AG162" s="22">
        <v>0.66543600000000003</v>
      </c>
      <c r="AH162" s="22">
        <v>19.109100000000002</v>
      </c>
      <c r="AI162" s="22">
        <v>-1.29333E-2</v>
      </c>
      <c r="AJ162" s="22">
        <v>152</v>
      </c>
      <c r="AK162" s="22">
        <v>0.66476400000000002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0.93460100000000002</v>
      </c>
      <c r="AR162" s="22">
        <v>24.426500000000001</v>
      </c>
      <c r="AS162" s="22">
        <v>-1.2847900000000001E-2</v>
      </c>
      <c r="AT162" s="22">
        <v>152</v>
      </c>
      <c r="AU162" s="22">
        <v>0.93353299999999995</v>
      </c>
      <c r="AV162">
        <f t="shared" si="32"/>
        <v>15.861604938271604</v>
      </c>
      <c r="AW162">
        <f t="shared" si="33"/>
        <v>14.82427183691358</v>
      </c>
      <c r="AX162" s="9"/>
      <c r="AY162" s="22">
        <v>0.66543600000000003</v>
      </c>
      <c r="AZ162" s="22">
        <v>28.0443</v>
      </c>
      <c r="BA162" s="22">
        <v>-1.3018800000000001E-2</v>
      </c>
      <c r="BB162" s="22">
        <v>152</v>
      </c>
      <c r="BC162" s="22">
        <v>0.66470300000000004</v>
      </c>
      <c r="BD162">
        <f t="shared" si="34"/>
        <v>16.072592592592592</v>
      </c>
      <c r="BE162">
        <f t="shared" si="35"/>
        <v>10.695281724444445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6.6071799999999996</v>
      </c>
      <c r="I163" s="22">
        <v>-1.2622100000000001E-2</v>
      </c>
      <c r="J163" s="22">
        <v>153</v>
      </c>
      <c r="K163" s="22">
        <v>0.92834499999999998</v>
      </c>
      <c r="L163">
        <f t="shared" si="24"/>
        <v>15.582839506172839</v>
      </c>
      <c r="M163">
        <f t="shared" si="25"/>
        <v>14.485262205555554</v>
      </c>
      <c r="N163" s="9"/>
      <c r="O163" s="22">
        <v>0.67047100000000004</v>
      </c>
      <c r="P163" s="22">
        <v>10.225</v>
      </c>
      <c r="Q163" s="22">
        <v>-1.29547E-2</v>
      </c>
      <c r="R163" s="22">
        <v>153</v>
      </c>
      <c r="S163" s="22">
        <v>0.66973899999999997</v>
      </c>
      <c r="T163">
        <f t="shared" si="26"/>
        <v>15.993456790123457</v>
      </c>
      <c r="U163">
        <f t="shared" si="27"/>
        <v>10.723148967530864</v>
      </c>
      <c r="X163" s="9"/>
      <c r="Y163" s="22">
        <v>0.92956499999999997</v>
      </c>
      <c r="Z163" s="22">
        <v>15.5014</v>
      </c>
      <c r="AA163" s="22">
        <v>-1.26587E-2</v>
      </c>
      <c r="AB163" s="22">
        <v>153</v>
      </c>
      <c r="AC163" s="22">
        <v>0.92864999999999998</v>
      </c>
      <c r="AD163">
        <f t="shared" si="28"/>
        <v>15.628024691358023</v>
      </c>
      <c r="AE163">
        <f t="shared" si="29"/>
        <v>14.527264772222221</v>
      </c>
      <c r="AF163" s="9"/>
      <c r="AG163" s="22">
        <v>0.67047100000000004</v>
      </c>
      <c r="AH163" s="22">
        <v>19.119199999999999</v>
      </c>
      <c r="AI163" s="22">
        <v>-1.29242E-2</v>
      </c>
      <c r="AJ163" s="22">
        <v>153</v>
      </c>
      <c r="AK163" s="22">
        <v>0.66976899999999995</v>
      </c>
      <c r="AL163">
        <f t="shared" si="30"/>
        <v>15.955802469135801</v>
      </c>
      <c r="AM163">
        <f t="shared" si="31"/>
        <v>10.69790283728395</v>
      </c>
      <c r="AP163" s="9"/>
      <c r="AQ163" s="22">
        <v>0.92956499999999997</v>
      </c>
      <c r="AR163" s="22">
        <v>24.436599999999999</v>
      </c>
      <c r="AS163" s="22">
        <v>-1.2860099999999999E-2</v>
      </c>
      <c r="AT163" s="22">
        <v>153</v>
      </c>
      <c r="AU163" s="22">
        <v>0.92895499999999998</v>
      </c>
      <c r="AV163">
        <f t="shared" si="32"/>
        <v>15.876666666666663</v>
      </c>
      <c r="AW163">
        <f t="shared" si="33"/>
        <v>14.758393649999997</v>
      </c>
      <c r="AX163" s="9"/>
      <c r="AY163" s="22">
        <v>0.67047100000000004</v>
      </c>
      <c r="AZ163" s="22">
        <v>28.054400000000001</v>
      </c>
      <c r="BA163" s="22">
        <v>-1.30096E-2</v>
      </c>
      <c r="BB163" s="22">
        <v>153</v>
      </c>
      <c r="BC163" s="22">
        <v>0.66976899999999995</v>
      </c>
      <c r="BD163">
        <f t="shared" si="34"/>
        <v>16.061234567901234</v>
      </c>
      <c r="BE163">
        <f t="shared" si="35"/>
        <v>10.768592001975309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6.6172500000000003</v>
      </c>
      <c r="I164" s="22">
        <v>-1.2643400000000001E-2</v>
      </c>
      <c r="J164" s="22">
        <v>154</v>
      </c>
      <c r="K164" s="22">
        <v>0.92346200000000001</v>
      </c>
      <c r="L164">
        <f t="shared" si="24"/>
        <v>15.609135802469137</v>
      </c>
      <c r="M164">
        <f t="shared" si="25"/>
        <v>14.431114323456791</v>
      </c>
      <c r="N164" s="9"/>
      <c r="O164" s="22">
        <v>0.67550699999999997</v>
      </c>
      <c r="P164" s="22">
        <v>10.234999999999999</v>
      </c>
      <c r="Q164" s="22">
        <v>-1.29517E-2</v>
      </c>
      <c r="R164" s="22">
        <v>154</v>
      </c>
      <c r="S164" s="22">
        <v>0.67477399999999998</v>
      </c>
      <c r="T164">
        <f t="shared" si="26"/>
        <v>15.989753086419752</v>
      </c>
      <c r="U164">
        <f t="shared" si="27"/>
        <v>10.801190138148147</v>
      </c>
      <c r="X164" s="9"/>
      <c r="Y164" s="22">
        <v>0.92452999999999996</v>
      </c>
      <c r="Z164" s="22">
        <v>15.5115</v>
      </c>
      <c r="AA164" s="22">
        <v>-1.2670900000000001E-2</v>
      </c>
      <c r="AB164" s="22">
        <v>154</v>
      </c>
      <c r="AC164" s="22">
        <v>0.92346200000000001</v>
      </c>
      <c r="AD164">
        <f t="shared" si="28"/>
        <v>15.643086419753088</v>
      </c>
      <c r="AE164">
        <f t="shared" si="29"/>
        <v>14.462502687654322</v>
      </c>
      <c r="AF164" s="9"/>
      <c r="AG164" s="22">
        <v>0.67550699999999997</v>
      </c>
      <c r="AH164" s="22">
        <v>19.129200000000001</v>
      </c>
      <c r="AI164" s="22">
        <v>-1.29181E-2</v>
      </c>
      <c r="AJ164" s="22">
        <v>154</v>
      </c>
      <c r="AK164" s="22">
        <v>0.67477399999999998</v>
      </c>
      <c r="AL164">
        <f t="shared" si="30"/>
        <v>15.94827160493827</v>
      </c>
      <c r="AM164">
        <f t="shared" si="31"/>
        <v>10.773169107037036</v>
      </c>
      <c r="AP164" s="9"/>
      <c r="AQ164" s="22">
        <v>0.92452999999999996</v>
      </c>
      <c r="AR164" s="22">
        <v>24.4467</v>
      </c>
      <c r="AS164" s="22">
        <v>-1.28693E-2</v>
      </c>
      <c r="AT164" s="22">
        <v>154</v>
      </c>
      <c r="AU164" s="22">
        <v>0.92315700000000001</v>
      </c>
      <c r="AV164">
        <f t="shared" si="32"/>
        <v>15.888024691358023</v>
      </c>
      <c r="AW164">
        <f t="shared" si="33"/>
        <v>14.688955467901232</v>
      </c>
      <c r="AX164" s="9"/>
      <c r="AY164" s="22">
        <v>0.67550699999999997</v>
      </c>
      <c r="AZ164" s="22">
        <v>28.064499999999999</v>
      </c>
      <c r="BA164" s="22">
        <v>-1.30005E-2</v>
      </c>
      <c r="BB164" s="22">
        <v>154</v>
      </c>
      <c r="BC164" s="22">
        <v>0.67483499999999996</v>
      </c>
      <c r="BD164">
        <f t="shared" si="34"/>
        <v>16.049999999999997</v>
      </c>
      <c r="BE164">
        <f t="shared" si="35"/>
        <v>10.841887349999997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6.6273200000000001</v>
      </c>
      <c r="I165" s="22">
        <v>-1.26617E-2</v>
      </c>
      <c r="J165" s="22">
        <v>155</v>
      </c>
      <c r="K165" s="22">
        <v>0.91827400000000003</v>
      </c>
      <c r="L165">
        <f t="shared" si="24"/>
        <v>15.631728395061728</v>
      </c>
      <c r="M165">
        <f t="shared" si="25"/>
        <v>14.373296100617283</v>
      </c>
      <c r="N165" s="9"/>
      <c r="O165" s="22">
        <v>0.68054199999999998</v>
      </c>
      <c r="P165" s="22">
        <v>10.245100000000001</v>
      </c>
      <c r="Q165" s="22">
        <v>-1.29395E-2</v>
      </c>
      <c r="R165" s="22">
        <v>155</v>
      </c>
      <c r="S165" s="22">
        <v>0.67990099999999998</v>
      </c>
      <c r="T165">
        <f t="shared" si="26"/>
        <v>15.974691358024689</v>
      </c>
      <c r="U165">
        <f t="shared" si="27"/>
        <v>10.871448406172837</v>
      </c>
      <c r="X165" s="9"/>
      <c r="Y165" s="22">
        <v>0.91949499999999995</v>
      </c>
      <c r="Z165" s="22">
        <v>15.5215</v>
      </c>
      <c r="AA165" s="22">
        <v>-1.26801E-2</v>
      </c>
      <c r="AB165" s="22">
        <v>155</v>
      </c>
      <c r="AC165" s="22">
        <v>0.91827400000000003</v>
      </c>
      <c r="AD165">
        <f t="shared" si="28"/>
        <v>15.654444444444444</v>
      </c>
      <c r="AE165">
        <f t="shared" si="29"/>
        <v>14.394183394444443</v>
      </c>
      <c r="AF165" s="9"/>
      <c r="AG165" s="22">
        <v>0.68054199999999998</v>
      </c>
      <c r="AH165" s="22">
        <v>19.139299999999999</v>
      </c>
      <c r="AI165" s="22">
        <v>-1.2908899999999999E-2</v>
      </c>
      <c r="AJ165" s="22">
        <v>155</v>
      </c>
      <c r="AK165" s="22">
        <v>0.67984</v>
      </c>
      <c r="AL165">
        <f t="shared" si="30"/>
        <v>15.936913580246911</v>
      </c>
      <c r="AM165">
        <f t="shared" si="31"/>
        <v>10.845739041728393</v>
      </c>
      <c r="AP165" s="9"/>
      <c r="AQ165" s="22">
        <v>0.91949499999999995</v>
      </c>
      <c r="AR165" s="22">
        <v>24.456800000000001</v>
      </c>
      <c r="AS165" s="22">
        <v>-1.28845E-2</v>
      </c>
      <c r="AT165" s="22">
        <v>155</v>
      </c>
      <c r="AU165" s="22">
        <v>0.91888400000000003</v>
      </c>
      <c r="AV165">
        <f t="shared" si="32"/>
        <v>15.906790123456791</v>
      </c>
      <c r="AW165">
        <f t="shared" si="33"/>
        <v>14.626213984567901</v>
      </c>
      <c r="AX165" s="9"/>
      <c r="AY165" s="22">
        <v>0.68054199999999998</v>
      </c>
      <c r="AZ165" s="22">
        <v>28.0745</v>
      </c>
      <c r="BA165" s="22">
        <v>-1.2976100000000001E-2</v>
      </c>
      <c r="BB165" s="22">
        <v>155</v>
      </c>
      <c r="BC165" s="22">
        <v>0.679871</v>
      </c>
      <c r="BD165">
        <f t="shared" si="34"/>
        <v>16.019876543209875</v>
      </c>
      <c r="BE165">
        <f t="shared" si="35"/>
        <v>10.902198822469135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6.6374000000000004</v>
      </c>
      <c r="I166" s="22">
        <v>-1.26923E-2</v>
      </c>
      <c r="J166" s="22">
        <v>156</v>
      </c>
      <c r="K166" s="22">
        <v>0.91369599999999995</v>
      </c>
      <c r="L166">
        <f t="shared" si="24"/>
        <v>15.669506172839506</v>
      </c>
      <c r="M166">
        <f t="shared" si="25"/>
        <v>14.329120945308642</v>
      </c>
      <c r="N166" s="9"/>
      <c r="O166" s="22">
        <v>0.68557699999999999</v>
      </c>
      <c r="P166" s="22">
        <v>10.2552</v>
      </c>
      <c r="Q166" s="22">
        <v>-1.29333E-2</v>
      </c>
      <c r="R166" s="22">
        <v>156</v>
      </c>
      <c r="S166" s="22">
        <v>0.68487500000000001</v>
      </c>
      <c r="T166">
        <f t="shared" si="26"/>
        <v>15.967037037037036</v>
      </c>
      <c r="U166">
        <f t="shared" si="27"/>
        <v>10.94663335074074</v>
      </c>
      <c r="X166" s="9"/>
      <c r="Y166" s="22">
        <v>0.91445900000000002</v>
      </c>
      <c r="Z166" s="22">
        <v>15.531599999999999</v>
      </c>
      <c r="AA166" s="22">
        <v>-1.2689199999999999E-2</v>
      </c>
      <c r="AB166" s="22">
        <v>156</v>
      </c>
      <c r="AC166" s="22">
        <v>0.91400099999999995</v>
      </c>
      <c r="AD166">
        <f t="shared" si="28"/>
        <v>15.665679012345679</v>
      </c>
      <c r="AE166">
        <f t="shared" si="29"/>
        <v>14.325621163950618</v>
      </c>
      <c r="AF166" s="9"/>
      <c r="AG166" s="22">
        <v>0.68557699999999999</v>
      </c>
      <c r="AH166" s="22">
        <v>19.1494</v>
      </c>
      <c r="AI166" s="22">
        <v>-1.2902800000000001E-2</v>
      </c>
      <c r="AJ166" s="22">
        <v>156</v>
      </c>
      <c r="AK166" s="22">
        <v>0.68487500000000001</v>
      </c>
      <c r="AL166">
        <f t="shared" si="30"/>
        <v>15.929382716049382</v>
      </c>
      <c r="AM166">
        <f t="shared" si="31"/>
        <v>10.920818414320987</v>
      </c>
      <c r="AP166" s="9"/>
      <c r="AQ166" s="22">
        <v>0.91445900000000002</v>
      </c>
      <c r="AR166" s="22">
        <v>24.466799999999999</v>
      </c>
      <c r="AS166" s="22">
        <v>-1.2902800000000001E-2</v>
      </c>
      <c r="AT166" s="22">
        <v>156</v>
      </c>
      <c r="AU166" s="22">
        <v>0.91308599999999995</v>
      </c>
      <c r="AV166">
        <f t="shared" si="32"/>
        <v>15.929382716049382</v>
      </c>
      <c r="AW166">
        <f t="shared" si="33"/>
        <v>14.566767389135801</v>
      </c>
      <c r="AX166" s="9"/>
      <c r="AY166" s="22">
        <v>0.68557699999999999</v>
      </c>
      <c r="AZ166" s="22">
        <v>28.084599999999998</v>
      </c>
      <c r="BA166" s="22">
        <v>-1.2973E-2</v>
      </c>
      <c r="BB166" s="22">
        <v>156</v>
      </c>
      <c r="BC166" s="22">
        <v>0.68478399999999995</v>
      </c>
      <c r="BD166">
        <f t="shared" si="34"/>
        <v>16.016049382716048</v>
      </c>
      <c r="BE166">
        <f t="shared" si="35"/>
        <v>10.98023508765432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6.6474700000000002</v>
      </c>
      <c r="I167" s="22">
        <v>-1.27136E-2</v>
      </c>
      <c r="J167" s="22">
        <v>157</v>
      </c>
      <c r="K167" s="22">
        <v>0.90789799999999998</v>
      </c>
      <c r="L167">
        <f t="shared" si="24"/>
        <v>15.695802469135801</v>
      </c>
      <c r="M167">
        <f t="shared" si="25"/>
        <v>14.274139464691357</v>
      </c>
      <c r="N167" s="9"/>
      <c r="O167" s="22">
        <v>0.69061300000000003</v>
      </c>
      <c r="P167" s="22">
        <v>10.2652</v>
      </c>
      <c r="Q167" s="22">
        <v>-1.29333E-2</v>
      </c>
      <c r="R167" s="22">
        <v>157</v>
      </c>
      <c r="S167" s="22">
        <v>0.68997200000000003</v>
      </c>
      <c r="T167">
        <f t="shared" si="26"/>
        <v>15.967037037037036</v>
      </c>
      <c r="U167">
        <f t="shared" si="27"/>
        <v>11.027043349259259</v>
      </c>
      <c r="X167" s="9"/>
      <c r="Y167" s="22">
        <v>0.90942400000000001</v>
      </c>
      <c r="Z167" s="22">
        <v>15.541700000000001</v>
      </c>
      <c r="AA167" s="22">
        <v>-1.26923E-2</v>
      </c>
      <c r="AB167" s="22">
        <v>157</v>
      </c>
      <c r="AC167" s="22">
        <v>0.90789799999999998</v>
      </c>
      <c r="AD167">
        <f t="shared" si="28"/>
        <v>15.669506172839506</v>
      </c>
      <c r="AE167">
        <f t="shared" si="29"/>
        <v>14.250224981728396</v>
      </c>
      <c r="AF167" s="9"/>
      <c r="AG167" s="22">
        <v>0.69061300000000003</v>
      </c>
      <c r="AH167" s="22">
        <v>19.159400000000002</v>
      </c>
      <c r="AI167" s="22">
        <v>-1.28906E-2</v>
      </c>
      <c r="AJ167" s="22">
        <v>157</v>
      </c>
      <c r="AK167" s="22">
        <v>0.68991100000000005</v>
      </c>
      <c r="AL167">
        <f t="shared" si="30"/>
        <v>15.914320987654323</v>
      </c>
      <c r="AM167">
        <f t="shared" si="31"/>
        <v>10.990636960246915</v>
      </c>
      <c r="AP167" s="9"/>
      <c r="AQ167" s="22">
        <v>0.90942400000000001</v>
      </c>
      <c r="AR167" s="22">
        <v>24.476900000000001</v>
      </c>
      <c r="AS167" s="22">
        <v>-1.29059E-2</v>
      </c>
      <c r="AT167" s="22">
        <v>157</v>
      </c>
      <c r="AU167" s="22">
        <v>0.90789799999999998</v>
      </c>
      <c r="AV167">
        <f t="shared" si="32"/>
        <v>15.933209876543209</v>
      </c>
      <c r="AW167">
        <f t="shared" si="33"/>
        <v>14.490043458765431</v>
      </c>
      <c r="AX167" s="9"/>
      <c r="AY167" s="22">
        <v>0.69061300000000003</v>
      </c>
      <c r="AZ167" s="22">
        <v>28.0947</v>
      </c>
      <c r="BA167" s="22">
        <v>-1.2970000000000001E-2</v>
      </c>
      <c r="BB167" s="22">
        <v>157</v>
      </c>
      <c r="BC167" s="22">
        <v>0.68984999999999996</v>
      </c>
      <c r="BD167">
        <f t="shared" si="34"/>
        <v>16.012345679012348</v>
      </c>
      <c r="BE167">
        <f t="shared" si="35"/>
        <v>11.058334086419755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6.65754</v>
      </c>
      <c r="I168" s="22">
        <v>-1.2725800000000001E-2</v>
      </c>
      <c r="J168" s="22">
        <v>158</v>
      </c>
      <c r="K168" s="22">
        <v>0.90332000000000001</v>
      </c>
      <c r="L168">
        <f t="shared" si="24"/>
        <v>15.710864197530865</v>
      </c>
      <c r="M168">
        <f t="shared" si="25"/>
        <v>14.208717049876544</v>
      </c>
      <c r="N168" s="9"/>
      <c r="O168" s="22">
        <v>0.69564800000000004</v>
      </c>
      <c r="P168" s="22">
        <v>10.2753</v>
      </c>
      <c r="Q168" s="22">
        <v>-1.29272E-2</v>
      </c>
      <c r="R168" s="22">
        <v>158</v>
      </c>
      <c r="S168" s="22">
        <v>0.69500700000000004</v>
      </c>
      <c r="T168">
        <f t="shared" si="26"/>
        <v>15.959506172839506</v>
      </c>
      <c r="U168">
        <f t="shared" si="27"/>
        <v>11.102198550123457</v>
      </c>
      <c r="X168" s="9"/>
      <c r="Y168" s="22">
        <v>0.90438799999999997</v>
      </c>
      <c r="Z168" s="22">
        <v>15.5517</v>
      </c>
      <c r="AA168" s="22">
        <v>-1.27075E-2</v>
      </c>
      <c r="AB168" s="22">
        <v>158</v>
      </c>
      <c r="AC168" s="22">
        <v>0.90362500000000001</v>
      </c>
      <c r="AD168">
        <f t="shared" si="28"/>
        <v>15.68827160493827</v>
      </c>
      <c r="AE168">
        <f t="shared" si="29"/>
        <v>14.188284580246911</v>
      </c>
      <c r="AF168" s="9"/>
      <c r="AG168" s="22">
        <v>0.69564800000000004</v>
      </c>
      <c r="AH168" s="22">
        <v>19.169499999999999</v>
      </c>
      <c r="AI168" s="22">
        <v>-1.2881500000000001E-2</v>
      </c>
      <c r="AJ168" s="22">
        <v>158</v>
      </c>
      <c r="AK168" s="22">
        <v>0.69497699999999996</v>
      </c>
      <c r="AL168">
        <f t="shared" si="30"/>
        <v>15.903086419753087</v>
      </c>
      <c r="AM168">
        <f t="shared" si="31"/>
        <v>11.062950261728396</v>
      </c>
      <c r="AP168" s="9"/>
      <c r="AQ168" s="22">
        <v>0.90438799999999997</v>
      </c>
      <c r="AR168" s="22">
        <v>24.486999999999998</v>
      </c>
      <c r="AS168" s="22">
        <v>-1.29181E-2</v>
      </c>
      <c r="AT168" s="22">
        <v>158</v>
      </c>
      <c r="AU168" s="22">
        <v>0.90362500000000001</v>
      </c>
      <c r="AV168">
        <f t="shared" si="32"/>
        <v>15.94827160493827</v>
      </c>
      <c r="AW168">
        <f t="shared" si="33"/>
        <v>14.423425460246913</v>
      </c>
      <c r="AX168" s="9"/>
      <c r="AY168" s="22">
        <v>0.69564800000000004</v>
      </c>
      <c r="AZ168" s="22">
        <v>28.104700000000001</v>
      </c>
      <c r="BA168" s="22">
        <v>-1.29639E-2</v>
      </c>
      <c r="BB168" s="22">
        <v>158</v>
      </c>
      <c r="BC168" s="22">
        <v>0.69494599999999995</v>
      </c>
      <c r="BD168">
        <f t="shared" si="34"/>
        <v>16.004814814814814</v>
      </c>
      <c r="BE168">
        <f t="shared" si="35"/>
        <v>11.133717416296296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6.6676099999999998</v>
      </c>
      <c r="I169" s="22">
        <v>-1.27502E-2</v>
      </c>
      <c r="J169" s="22">
        <v>159</v>
      </c>
      <c r="K169" s="22">
        <v>0.89813200000000004</v>
      </c>
      <c r="L169">
        <f t="shared" si="24"/>
        <v>15.740987654320987</v>
      </c>
      <c r="M169">
        <f t="shared" si="25"/>
        <v>14.156704469876543</v>
      </c>
      <c r="N169" s="9"/>
      <c r="O169" s="22">
        <v>0.70068399999999997</v>
      </c>
      <c r="P169" s="22">
        <v>10.285399999999999</v>
      </c>
      <c r="Q169" s="22">
        <v>-1.29181E-2</v>
      </c>
      <c r="R169" s="22">
        <v>159</v>
      </c>
      <c r="S169" s="22">
        <v>0.69992100000000002</v>
      </c>
      <c r="T169">
        <f t="shared" si="26"/>
        <v>15.94827160493827</v>
      </c>
      <c r="U169">
        <f t="shared" si="27"/>
        <v>11.174698741234566</v>
      </c>
      <c r="X169" s="9"/>
      <c r="Y169" s="22">
        <v>0.89935299999999996</v>
      </c>
      <c r="Z169" s="22">
        <v>15.5618</v>
      </c>
      <c r="AA169" s="22">
        <v>-1.2725800000000001E-2</v>
      </c>
      <c r="AB169" s="22">
        <v>159</v>
      </c>
      <c r="AC169" s="22">
        <v>0.89843799999999996</v>
      </c>
      <c r="AD169">
        <f t="shared" si="28"/>
        <v>15.710864197530865</v>
      </c>
      <c r="AE169">
        <f t="shared" si="29"/>
        <v>14.129612848641976</v>
      </c>
      <c r="AF169" s="9"/>
      <c r="AG169" s="22">
        <v>0.70068399999999997</v>
      </c>
      <c r="AH169" s="22">
        <v>19.179600000000001</v>
      </c>
      <c r="AI169" s="22">
        <v>-1.28754E-2</v>
      </c>
      <c r="AJ169" s="22">
        <v>159</v>
      </c>
      <c r="AK169" s="22">
        <v>0.69995099999999999</v>
      </c>
      <c r="AL169">
        <f t="shared" si="30"/>
        <v>15.895555555555555</v>
      </c>
      <c r="AM169">
        <f t="shared" si="31"/>
        <v>11.137761448888888</v>
      </c>
      <c r="AP169" s="9"/>
      <c r="AQ169" s="22">
        <v>0.89935299999999996</v>
      </c>
      <c r="AR169" s="22">
        <v>24.497</v>
      </c>
      <c r="AS169" s="22">
        <v>-1.29242E-2</v>
      </c>
      <c r="AT169" s="22">
        <v>159</v>
      </c>
      <c r="AU169" s="22">
        <v>0.89813200000000004</v>
      </c>
      <c r="AV169">
        <f t="shared" si="32"/>
        <v>15.955802469135801</v>
      </c>
      <c r="AW169">
        <f t="shared" si="33"/>
        <v>14.349898818024689</v>
      </c>
      <c r="AX169" s="9"/>
      <c r="AY169" s="22">
        <v>0.70068399999999997</v>
      </c>
      <c r="AZ169" s="22">
        <v>28.114799999999999</v>
      </c>
      <c r="BA169" s="22">
        <v>-1.29608E-2</v>
      </c>
      <c r="BB169" s="22">
        <v>159</v>
      </c>
      <c r="BC169" s="22">
        <v>0.69998199999999999</v>
      </c>
      <c r="BD169">
        <f t="shared" si="34"/>
        <v>16.000987654320987</v>
      </c>
      <c r="BE169">
        <f t="shared" si="35"/>
        <v>11.211636033580247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6.6776799999999996</v>
      </c>
      <c r="I170" s="22">
        <v>-1.27747E-2</v>
      </c>
      <c r="J170" s="22">
        <v>160</v>
      </c>
      <c r="K170" s="22">
        <v>0.89355499999999999</v>
      </c>
      <c r="L170">
        <f t="shared" si="24"/>
        <v>15.771234567901235</v>
      </c>
      <c r="M170">
        <f t="shared" si="25"/>
        <v>14.104498956296297</v>
      </c>
      <c r="N170" s="9"/>
      <c r="O170" s="22">
        <v>0.70571899999999999</v>
      </c>
      <c r="P170" s="22">
        <v>10.295400000000001</v>
      </c>
      <c r="Q170" s="22">
        <v>-1.2899799999999999E-2</v>
      </c>
      <c r="R170" s="22">
        <v>160</v>
      </c>
      <c r="S170" s="22">
        <v>0.70510899999999999</v>
      </c>
      <c r="T170">
        <f t="shared" si="26"/>
        <v>15.925679012345679</v>
      </c>
      <c r="U170">
        <f t="shared" si="27"/>
        <v>11.23905426691358</v>
      </c>
      <c r="X170" s="9"/>
      <c r="Y170" s="22">
        <v>0.89431799999999995</v>
      </c>
      <c r="Z170" s="22">
        <v>15.571899999999999</v>
      </c>
      <c r="AA170" s="22">
        <v>-1.27472E-2</v>
      </c>
      <c r="AB170" s="22">
        <v>160</v>
      </c>
      <c r="AC170" s="22">
        <v>0.89324999999999999</v>
      </c>
      <c r="AD170">
        <f t="shared" si="28"/>
        <v>15.737283950617284</v>
      </c>
      <c r="AE170">
        <f t="shared" si="29"/>
        <v>14.074136308148148</v>
      </c>
      <c r="AF170" s="9"/>
      <c r="AG170" s="22">
        <v>0.70571899999999999</v>
      </c>
      <c r="AH170" s="22">
        <v>19.189699999999998</v>
      </c>
      <c r="AI170" s="22">
        <v>-1.28632E-2</v>
      </c>
      <c r="AJ170" s="22">
        <v>160</v>
      </c>
      <c r="AK170" s="22">
        <v>0.705017</v>
      </c>
      <c r="AL170">
        <f t="shared" si="30"/>
        <v>15.880493827160493</v>
      </c>
      <c r="AM170">
        <f t="shared" si="31"/>
        <v>11.207166223209875</v>
      </c>
      <c r="AP170" s="9"/>
      <c r="AQ170" s="22">
        <v>0.89431799999999995</v>
      </c>
      <c r="AR170" s="22">
        <v>24.507100000000001</v>
      </c>
      <c r="AS170" s="22">
        <v>-1.29395E-2</v>
      </c>
      <c r="AT170" s="22">
        <v>160</v>
      </c>
      <c r="AU170" s="22">
        <v>0.89385999999999999</v>
      </c>
      <c r="AV170">
        <f t="shared" si="32"/>
        <v>15.974691358024689</v>
      </c>
      <c r="AW170">
        <f t="shared" si="33"/>
        <v>14.286454025925924</v>
      </c>
      <c r="AX170" s="9"/>
      <c r="AY170" s="22">
        <v>0.70571899999999999</v>
      </c>
      <c r="AZ170" s="22">
        <v>28.1249</v>
      </c>
      <c r="BA170" s="22">
        <v>-1.29578E-2</v>
      </c>
      <c r="BB170" s="22">
        <v>160</v>
      </c>
      <c r="BC170" s="22">
        <v>0.70504800000000001</v>
      </c>
      <c r="BD170">
        <f t="shared" si="34"/>
        <v>15.997283950617284</v>
      </c>
      <c r="BE170">
        <f t="shared" si="35"/>
        <v>11.28958723234568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6.6877500000000003</v>
      </c>
      <c r="I171" s="22">
        <v>-1.27899E-2</v>
      </c>
      <c r="J171" s="22">
        <v>161</v>
      </c>
      <c r="K171" s="22">
        <v>0.88806200000000002</v>
      </c>
      <c r="L171">
        <f t="shared" si="24"/>
        <v>15.79</v>
      </c>
      <c r="M171">
        <f t="shared" si="25"/>
        <v>14.041762779999999</v>
      </c>
      <c r="N171" s="9"/>
      <c r="O171" s="22">
        <v>0.710754</v>
      </c>
      <c r="P171" s="22">
        <v>10.3055</v>
      </c>
      <c r="Q171" s="22">
        <v>-1.2887600000000001E-2</v>
      </c>
      <c r="R171" s="22">
        <v>161</v>
      </c>
      <c r="S171" s="22">
        <v>0.71005200000000002</v>
      </c>
      <c r="T171">
        <f t="shared" si="26"/>
        <v>15.910617283950618</v>
      </c>
      <c r="U171">
        <f t="shared" si="27"/>
        <v>11.308534877037037</v>
      </c>
      <c r="X171" s="9"/>
      <c r="Y171" s="22">
        <v>0.88928200000000002</v>
      </c>
      <c r="Z171" s="22">
        <v>15.582000000000001</v>
      </c>
      <c r="AA171" s="22">
        <v>-1.27563E-2</v>
      </c>
      <c r="AB171" s="22">
        <v>161</v>
      </c>
      <c r="AC171" s="22">
        <v>0.88867200000000002</v>
      </c>
      <c r="AD171">
        <f t="shared" si="28"/>
        <v>15.748518518518516</v>
      </c>
      <c r="AE171">
        <f t="shared" si="29"/>
        <v>14.004874045185183</v>
      </c>
      <c r="AF171" s="9"/>
      <c r="AG171" s="22">
        <v>0.710754</v>
      </c>
      <c r="AH171" s="22">
        <v>19.1997</v>
      </c>
      <c r="AI171" s="22">
        <v>-1.2851E-2</v>
      </c>
      <c r="AJ171" s="22">
        <v>161</v>
      </c>
      <c r="AK171" s="22">
        <v>0.71002200000000004</v>
      </c>
      <c r="AL171">
        <f t="shared" si="30"/>
        <v>15.865432098765432</v>
      </c>
      <c r="AM171">
        <f t="shared" si="31"/>
        <v>11.276419325925925</v>
      </c>
      <c r="AP171" s="9"/>
      <c r="AQ171" s="22">
        <v>0.88928200000000002</v>
      </c>
      <c r="AR171" s="22">
        <v>24.517199999999999</v>
      </c>
      <c r="AS171" s="22">
        <v>-1.29517E-2</v>
      </c>
      <c r="AT171" s="22">
        <v>161</v>
      </c>
      <c r="AU171" s="22">
        <v>0.88775599999999999</v>
      </c>
      <c r="AV171">
        <f t="shared" si="32"/>
        <v>15.989753086419752</v>
      </c>
      <c r="AW171">
        <f t="shared" si="33"/>
        <v>14.21939960419753</v>
      </c>
      <c r="AX171" s="9"/>
      <c r="AY171" s="22">
        <v>0.710754</v>
      </c>
      <c r="AZ171" s="22">
        <v>28.135000000000002</v>
      </c>
      <c r="BA171" s="22">
        <v>-1.29547E-2</v>
      </c>
      <c r="BB171" s="22">
        <v>161</v>
      </c>
      <c r="BC171" s="22">
        <v>0.71005200000000002</v>
      </c>
      <c r="BD171">
        <f t="shared" si="34"/>
        <v>15.993456790123457</v>
      </c>
      <c r="BE171">
        <f t="shared" si="35"/>
        <v>11.367413387407407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6.6978200000000001</v>
      </c>
      <c r="I172" s="22">
        <v>-1.2799100000000001E-2</v>
      </c>
      <c r="J172" s="22">
        <v>162</v>
      </c>
      <c r="K172" s="22">
        <v>0.88317900000000005</v>
      </c>
      <c r="L172">
        <f t="shared" si="24"/>
        <v>15.801358024691359</v>
      </c>
      <c r="M172">
        <f t="shared" si="25"/>
        <v>13.972303429259259</v>
      </c>
      <c r="N172" s="9"/>
      <c r="O172" s="22">
        <v>0.71579000000000004</v>
      </c>
      <c r="P172" s="22">
        <v>10.3156</v>
      </c>
      <c r="Q172" s="22">
        <v>-1.28845E-2</v>
      </c>
      <c r="R172" s="22">
        <v>162</v>
      </c>
      <c r="S172" s="22">
        <v>0.71514900000000003</v>
      </c>
      <c r="T172">
        <f t="shared" si="26"/>
        <v>15.906790123456791</v>
      </c>
      <c r="U172">
        <f t="shared" si="27"/>
        <v>11.385921302469137</v>
      </c>
      <c r="X172" s="9"/>
      <c r="Y172" s="22">
        <v>0.88424700000000001</v>
      </c>
      <c r="Z172" s="22">
        <v>15.592000000000001</v>
      </c>
      <c r="AA172" s="22">
        <v>-1.27686E-2</v>
      </c>
      <c r="AB172" s="22">
        <v>162</v>
      </c>
      <c r="AC172" s="22">
        <v>0.88348400000000005</v>
      </c>
      <c r="AD172">
        <f t="shared" si="28"/>
        <v>15.763703703703703</v>
      </c>
      <c r="AE172">
        <f t="shared" si="29"/>
        <v>13.939007708888889</v>
      </c>
      <c r="AF172" s="9"/>
      <c r="AG172" s="22">
        <v>0.71579000000000004</v>
      </c>
      <c r="AH172" s="22">
        <v>19.209800000000001</v>
      </c>
      <c r="AI172" s="22">
        <v>-1.28448E-2</v>
      </c>
      <c r="AJ172" s="22">
        <v>162</v>
      </c>
      <c r="AK172" s="22">
        <v>0.71517900000000001</v>
      </c>
      <c r="AL172">
        <f t="shared" si="30"/>
        <v>15.857777777777777</v>
      </c>
      <c r="AM172">
        <f t="shared" si="31"/>
        <v>11.350838755555555</v>
      </c>
      <c r="AP172" s="9"/>
      <c r="AQ172" s="22">
        <v>0.88424700000000001</v>
      </c>
      <c r="AR172" s="22">
        <v>24.5273</v>
      </c>
      <c r="AS172" s="22">
        <v>-1.29547E-2</v>
      </c>
      <c r="AT172" s="22">
        <v>162</v>
      </c>
      <c r="AU172" s="22">
        <v>0.88317900000000005</v>
      </c>
      <c r="AV172">
        <f t="shared" si="32"/>
        <v>15.993456790123457</v>
      </c>
      <c r="AW172">
        <f t="shared" si="33"/>
        <v>14.142166186296295</v>
      </c>
      <c r="AX172" s="9"/>
      <c r="AY172" s="22">
        <v>0.71579000000000004</v>
      </c>
      <c r="AZ172" s="22">
        <v>28.145</v>
      </c>
      <c r="BA172" s="22">
        <v>-1.29578E-2</v>
      </c>
      <c r="BB172" s="22">
        <v>162</v>
      </c>
      <c r="BC172" s="22">
        <v>0.71511800000000003</v>
      </c>
      <c r="BD172">
        <f t="shared" si="34"/>
        <v>15.997283950617284</v>
      </c>
      <c r="BE172">
        <f t="shared" si="35"/>
        <v>11.450695879012347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6.7078899999999999</v>
      </c>
      <c r="I173" s="22">
        <v>-1.28021E-2</v>
      </c>
      <c r="J173" s="22">
        <v>163</v>
      </c>
      <c r="K173" s="22">
        <v>0.87890599999999997</v>
      </c>
      <c r="L173">
        <f t="shared" si="24"/>
        <v>15.805061728395062</v>
      </c>
      <c r="M173">
        <f t="shared" si="25"/>
        <v>13.895984127283951</v>
      </c>
      <c r="N173" s="9"/>
      <c r="O173" s="22">
        <v>0.72082500000000005</v>
      </c>
      <c r="P173" s="22">
        <v>10.325699999999999</v>
      </c>
      <c r="Q173" s="22">
        <v>-1.28754E-2</v>
      </c>
      <c r="R173" s="22">
        <v>163</v>
      </c>
      <c r="S173" s="22">
        <v>0.72012299999999996</v>
      </c>
      <c r="T173">
        <f t="shared" si="26"/>
        <v>15.895555555555555</v>
      </c>
      <c r="U173">
        <f t="shared" si="27"/>
        <v>11.457913833333334</v>
      </c>
      <c r="X173" s="9"/>
      <c r="Y173" s="22">
        <v>0.87921099999999996</v>
      </c>
      <c r="Z173" s="22">
        <v>15.6021</v>
      </c>
      <c r="AA173" s="22">
        <v>-1.27838E-2</v>
      </c>
      <c r="AB173" s="22">
        <v>163</v>
      </c>
      <c r="AC173" s="22">
        <v>0.87860099999999997</v>
      </c>
      <c r="AD173">
        <f t="shared" si="28"/>
        <v>15.782469135802467</v>
      </c>
      <c r="AE173">
        <f t="shared" si="29"/>
        <v>13.876120471358021</v>
      </c>
      <c r="AF173" s="9"/>
      <c r="AG173" s="22">
        <v>0.72082500000000005</v>
      </c>
      <c r="AH173" s="22">
        <v>19.219899999999999</v>
      </c>
      <c r="AI173" s="22">
        <v>-1.28387E-2</v>
      </c>
      <c r="AJ173" s="22">
        <v>163</v>
      </c>
      <c r="AK173" s="22">
        <v>0.72006199999999998</v>
      </c>
      <c r="AL173">
        <f t="shared" si="30"/>
        <v>15.850246913580245</v>
      </c>
      <c r="AM173">
        <f t="shared" si="31"/>
        <v>11.42525423148148</v>
      </c>
      <c r="AP173" s="9"/>
      <c r="AQ173" s="22">
        <v>0.87921099999999996</v>
      </c>
      <c r="AR173" s="22">
        <v>24.537299999999998</v>
      </c>
      <c r="AS173" s="22">
        <v>-1.2970000000000001E-2</v>
      </c>
      <c r="AT173" s="22">
        <v>163</v>
      </c>
      <c r="AU173" s="22">
        <v>0.87829599999999997</v>
      </c>
      <c r="AV173">
        <f t="shared" si="32"/>
        <v>16.012345679012348</v>
      </c>
      <c r="AW173">
        <f t="shared" si="33"/>
        <v>14.078230456790125</v>
      </c>
      <c r="AX173" s="9"/>
      <c r="AY173" s="22">
        <v>0.72082500000000005</v>
      </c>
      <c r="AZ173" s="22">
        <v>28.155100000000001</v>
      </c>
      <c r="BA173" s="22">
        <v>-1.2948599999999999E-2</v>
      </c>
      <c r="BB173" s="22">
        <v>163</v>
      </c>
      <c r="BC173" s="22">
        <v>0.72006199999999998</v>
      </c>
      <c r="BD173">
        <f t="shared" si="34"/>
        <v>15.985925925925924</v>
      </c>
      <c r="BE173">
        <f t="shared" si="35"/>
        <v>11.523055055555556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6.7179599999999997</v>
      </c>
      <c r="I174" s="22">
        <v>-1.28082E-2</v>
      </c>
      <c r="J174" s="22">
        <v>164</v>
      </c>
      <c r="K174" s="22">
        <v>0.87341299999999999</v>
      </c>
      <c r="L174">
        <f t="shared" si="24"/>
        <v>15.812592592592594</v>
      </c>
      <c r="M174">
        <f t="shared" si="25"/>
        <v>13.822988942222223</v>
      </c>
      <c r="N174" s="9"/>
      <c r="O174" s="22">
        <v>0.72586099999999998</v>
      </c>
      <c r="P174" s="22">
        <v>10.335699999999999</v>
      </c>
      <c r="Q174" s="22">
        <v>-1.2881500000000001E-2</v>
      </c>
      <c r="R174" s="22">
        <v>164</v>
      </c>
      <c r="S174" s="22">
        <v>0.72512799999999999</v>
      </c>
      <c r="T174">
        <f t="shared" si="26"/>
        <v>15.903086419753087</v>
      </c>
      <c r="U174">
        <f t="shared" si="27"/>
        <v>11.543430211728396</v>
      </c>
      <c r="X174" s="9"/>
      <c r="Y174" s="22">
        <v>0.87417599999999995</v>
      </c>
      <c r="Z174" s="22">
        <v>15.6122</v>
      </c>
      <c r="AA174" s="22">
        <v>-1.2796E-2</v>
      </c>
      <c r="AB174" s="22">
        <v>164</v>
      </c>
      <c r="AC174" s="22">
        <v>0.873108</v>
      </c>
      <c r="AD174">
        <f t="shared" si="28"/>
        <v>15.79753086419753</v>
      </c>
      <c r="AE174">
        <f t="shared" si="29"/>
        <v>13.809822340740739</v>
      </c>
      <c r="AF174" s="9"/>
      <c r="AG174" s="22">
        <v>0.72586099999999998</v>
      </c>
      <c r="AH174" s="22">
        <v>19.229900000000001</v>
      </c>
      <c r="AI174" s="22">
        <v>-1.28357E-2</v>
      </c>
      <c r="AJ174" s="22">
        <v>164</v>
      </c>
      <c r="AK174" s="22">
        <v>0.725159</v>
      </c>
      <c r="AL174">
        <f t="shared" si="30"/>
        <v>15.846543209876542</v>
      </c>
      <c r="AM174">
        <f t="shared" si="31"/>
        <v>11.502387700864196</v>
      </c>
      <c r="AP174" s="9"/>
      <c r="AQ174" s="22">
        <v>0.87417599999999995</v>
      </c>
      <c r="AR174" s="22">
        <v>24.5474</v>
      </c>
      <c r="AS174" s="22">
        <v>-1.2976100000000001E-2</v>
      </c>
      <c r="AT174" s="22">
        <v>164</v>
      </c>
      <c r="AU174" s="22">
        <v>0.872803</v>
      </c>
      <c r="AV174">
        <f t="shared" si="32"/>
        <v>16.019876543209875</v>
      </c>
      <c r="AW174">
        <f t="shared" si="33"/>
        <v>14.004191597037035</v>
      </c>
      <c r="AX174" s="9"/>
      <c r="AY174" s="22">
        <v>0.72586099999999998</v>
      </c>
      <c r="AZ174" s="22">
        <v>28.165199999999999</v>
      </c>
      <c r="BA174" s="22">
        <v>-1.29456E-2</v>
      </c>
      <c r="BB174" s="22">
        <v>164</v>
      </c>
      <c r="BC174" s="22">
        <v>0.72512799999999999</v>
      </c>
      <c r="BD174">
        <f t="shared" si="34"/>
        <v>15.982222222222221</v>
      </c>
      <c r="BE174">
        <f t="shared" si="35"/>
        <v>11.600871804444443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6.7280300000000004</v>
      </c>
      <c r="I175" s="22">
        <v>-1.28082E-2</v>
      </c>
      <c r="J175" s="22">
        <v>165</v>
      </c>
      <c r="K175" s="22">
        <v>0.86822500000000002</v>
      </c>
      <c r="L175">
        <f t="shared" si="24"/>
        <v>15.812592592592594</v>
      </c>
      <c r="M175">
        <f t="shared" si="25"/>
        <v>13.743372538518521</v>
      </c>
      <c r="N175" s="9"/>
      <c r="O175" s="22">
        <v>0.73089599999999999</v>
      </c>
      <c r="P175" s="22">
        <v>10.345800000000001</v>
      </c>
      <c r="Q175" s="22">
        <v>-1.28723E-2</v>
      </c>
      <c r="R175" s="22">
        <v>165</v>
      </c>
      <c r="S175" s="22">
        <v>0.73022500000000001</v>
      </c>
      <c r="T175">
        <f t="shared" si="26"/>
        <v>15.891728395061728</v>
      </c>
      <c r="U175">
        <f t="shared" si="27"/>
        <v>11.615200717037036</v>
      </c>
      <c r="X175" s="9"/>
      <c r="Y175" s="22">
        <v>0.86914100000000005</v>
      </c>
      <c r="Z175" s="22">
        <v>15.622199999999999</v>
      </c>
      <c r="AA175" s="22">
        <v>-1.28082E-2</v>
      </c>
      <c r="AB175" s="22">
        <v>165</v>
      </c>
      <c r="AC175" s="22">
        <v>0.86822500000000002</v>
      </c>
      <c r="AD175">
        <f t="shared" si="28"/>
        <v>15.812592592592594</v>
      </c>
      <c r="AE175">
        <f t="shared" si="29"/>
        <v>13.743372538518521</v>
      </c>
      <c r="AF175" s="9"/>
      <c r="AG175" s="22">
        <v>0.73089599999999999</v>
      </c>
      <c r="AH175" s="22">
        <v>19.239999999999998</v>
      </c>
      <c r="AI175" s="22">
        <v>-1.28326E-2</v>
      </c>
      <c r="AJ175" s="22">
        <v>165</v>
      </c>
      <c r="AK175" s="22">
        <v>0.73010299999999995</v>
      </c>
      <c r="AL175">
        <f t="shared" si="30"/>
        <v>15.842716049382712</v>
      </c>
      <c r="AM175">
        <f t="shared" si="31"/>
        <v>11.579377789629627</v>
      </c>
      <c r="AP175" s="9"/>
      <c r="AQ175" s="22">
        <v>0.86914100000000005</v>
      </c>
      <c r="AR175" s="22">
        <v>24.557500000000001</v>
      </c>
      <c r="AS175" s="22">
        <v>-1.29791E-2</v>
      </c>
      <c r="AT175" s="22">
        <v>165</v>
      </c>
      <c r="AU175" s="22">
        <v>0.86822500000000002</v>
      </c>
      <c r="AV175">
        <f t="shared" si="32"/>
        <v>16.023580246913578</v>
      </c>
      <c r="AW175">
        <f t="shared" si="33"/>
        <v>13.926750559382715</v>
      </c>
      <c r="AX175" s="9"/>
      <c r="AY175" s="22">
        <v>0.73089599999999999</v>
      </c>
      <c r="AZ175" s="22">
        <v>28.1752</v>
      </c>
      <c r="BA175" s="22">
        <v>-1.29333E-2</v>
      </c>
      <c r="BB175" s="22">
        <v>165</v>
      </c>
      <c r="BC175" s="22">
        <v>0.73019400000000001</v>
      </c>
      <c r="BD175">
        <f t="shared" si="34"/>
        <v>15.967037037037036</v>
      </c>
      <c r="BE175">
        <f t="shared" si="35"/>
        <v>11.670243502222222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6.7381099999999998</v>
      </c>
      <c r="I176" s="22">
        <v>-1.2814300000000001E-2</v>
      </c>
      <c r="J176" s="22">
        <v>166</v>
      </c>
      <c r="K176" s="22">
        <v>0.86334200000000005</v>
      </c>
      <c r="L176">
        <f t="shared" si="24"/>
        <v>15.820123456790125</v>
      </c>
      <c r="M176">
        <f t="shared" si="25"/>
        <v>13.67024777962963</v>
      </c>
      <c r="N176" s="9"/>
      <c r="O176" s="22">
        <v>0.735931</v>
      </c>
      <c r="P176" s="22">
        <v>10.3559</v>
      </c>
      <c r="Q176" s="22">
        <v>-1.28662E-2</v>
      </c>
      <c r="R176" s="22">
        <v>166</v>
      </c>
      <c r="S176" s="22">
        <v>0.73526000000000002</v>
      </c>
      <c r="T176">
        <f t="shared" si="26"/>
        <v>15.884197530864196</v>
      </c>
      <c r="U176">
        <f t="shared" si="27"/>
        <v>11.689673373086418</v>
      </c>
      <c r="X176" s="9"/>
      <c r="Y176" s="22">
        <v>0.86410500000000001</v>
      </c>
      <c r="Z176" s="22">
        <v>15.632300000000001</v>
      </c>
      <c r="AA176" s="22">
        <v>-1.28082E-2</v>
      </c>
      <c r="AB176" s="22">
        <v>166</v>
      </c>
      <c r="AC176" s="22">
        <v>0.86273200000000005</v>
      </c>
      <c r="AD176">
        <f t="shared" si="28"/>
        <v>15.812592592592594</v>
      </c>
      <c r="AE176">
        <f t="shared" si="29"/>
        <v>13.663740322222223</v>
      </c>
      <c r="AF176" s="9"/>
      <c r="AG176" s="22">
        <v>0.735931</v>
      </c>
      <c r="AH176" s="22">
        <v>19.2501</v>
      </c>
      <c r="AI176" s="22">
        <v>-1.28387E-2</v>
      </c>
      <c r="AJ176" s="22">
        <v>166</v>
      </c>
      <c r="AK176" s="22">
        <v>0.73519900000000005</v>
      </c>
      <c r="AL176">
        <f t="shared" si="30"/>
        <v>15.850246913580245</v>
      </c>
      <c r="AM176">
        <f t="shared" si="31"/>
        <v>11.664688061358023</v>
      </c>
      <c r="AP176" s="9"/>
      <c r="AQ176" s="22">
        <v>0.86410500000000001</v>
      </c>
      <c r="AR176" s="22">
        <v>24.567499999999999</v>
      </c>
      <c r="AS176" s="22">
        <v>-1.2976100000000001E-2</v>
      </c>
      <c r="AT176" s="22">
        <v>166</v>
      </c>
      <c r="AU176" s="22">
        <v>0.86303700000000005</v>
      </c>
      <c r="AV176">
        <f t="shared" si="32"/>
        <v>16.019876543209875</v>
      </c>
      <c r="AW176">
        <f t="shared" si="33"/>
        <v>13.84285542037037</v>
      </c>
      <c r="AX176" s="9"/>
      <c r="AY176" s="22">
        <v>0.735931</v>
      </c>
      <c r="AZ176" s="22">
        <v>28.185300000000002</v>
      </c>
      <c r="BA176" s="22">
        <v>-1.29211E-2</v>
      </c>
      <c r="BB176" s="22">
        <v>166</v>
      </c>
      <c r="BC176" s="22">
        <v>0.73522900000000002</v>
      </c>
      <c r="BD176">
        <f t="shared" si="34"/>
        <v>15.951975308641973</v>
      </c>
      <c r="BE176">
        <f t="shared" si="35"/>
        <v>11.739553140864196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6.7481799999999996</v>
      </c>
      <c r="I177" s="22">
        <v>-1.28235E-2</v>
      </c>
      <c r="J177" s="22">
        <v>167</v>
      </c>
      <c r="K177" s="22">
        <v>0.858765</v>
      </c>
      <c r="L177">
        <f t="shared" si="24"/>
        <v>15.831481481481481</v>
      </c>
      <c r="M177">
        <f t="shared" si="25"/>
        <v>13.600350796296295</v>
      </c>
      <c r="N177" s="9"/>
      <c r="O177" s="22">
        <v>0.74096700000000004</v>
      </c>
      <c r="P177" s="22">
        <v>10.3659</v>
      </c>
      <c r="Q177" s="22">
        <v>-1.2860099999999999E-2</v>
      </c>
      <c r="R177" s="22">
        <v>167</v>
      </c>
      <c r="S177" s="22">
        <v>0.74029500000000004</v>
      </c>
      <c r="T177">
        <f t="shared" si="26"/>
        <v>15.876666666666663</v>
      </c>
      <c r="U177">
        <f t="shared" si="27"/>
        <v>11.764086069999998</v>
      </c>
      <c r="X177" s="9"/>
      <c r="Y177" s="22">
        <v>0.85907</v>
      </c>
      <c r="Z177" s="22">
        <v>15.6424</v>
      </c>
      <c r="AA177" s="22">
        <v>-1.2820399999999999E-2</v>
      </c>
      <c r="AB177" s="22">
        <v>167</v>
      </c>
      <c r="AC177" s="22">
        <v>0.85845899999999997</v>
      </c>
      <c r="AD177">
        <f t="shared" si="28"/>
        <v>15.827654320987653</v>
      </c>
      <c r="AE177">
        <f t="shared" si="29"/>
        <v>13.597062997530863</v>
      </c>
      <c r="AF177" s="9"/>
      <c r="AG177" s="22">
        <v>0.74096700000000004</v>
      </c>
      <c r="AH177" s="22">
        <v>19.260200000000001</v>
      </c>
      <c r="AI177" s="22">
        <v>-1.28448E-2</v>
      </c>
      <c r="AJ177" s="22">
        <v>167</v>
      </c>
      <c r="AK177" s="22">
        <v>0.74029500000000004</v>
      </c>
      <c r="AL177">
        <f t="shared" si="30"/>
        <v>15.857777777777777</v>
      </c>
      <c r="AM177">
        <f t="shared" si="31"/>
        <v>11.750090026666667</v>
      </c>
      <c r="AP177" s="9"/>
      <c r="AQ177" s="22">
        <v>0.85907</v>
      </c>
      <c r="AR177" s="22">
        <v>24.5776</v>
      </c>
      <c r="AS177" s="22">
        <v>-1.29791E-2</v>
      </c>
      <c r="AT177" s="22">
        <v>167</v>
      </c>
      <c r="AU177" s="22">
        <v>0.85784899999999997</v>
      </c>
      <c r="AV177">
        <f t="shared" si="32"/>
        <v>16.023580246913578</v>
      </c>
      <c r="AW177">
        <f t="shared" si="33"/>
        <v>13.765377082716048</v>
      </c>
      <c r="AX177" s="9"/>
      <c r="AY177" s="22">
        <v>0.74096700000000004</v>
      </c>
      <c r="AZ177" s="22">
        <v>28.195399999999999</v>
      </c>
      <c r="BA177" s="22">
        <v>-1.29059E-2</v>
      </c>
      <c r="BB177" s="22">
        <v>167</v>
      </c>
      <c r="BC177" s="22">
        <v>0.74026499999999995</v>
      </c>
      <c r="BD177">
        <f t="shared" si="34"/>
        <v>15.933209876543209</v>
      </c>
      <c r="BE177">
        <f t="shared" si="35"/>
        <v>11.805982722592592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6.7582500000000003</v>
      </c>
      <c r="I178" s="22">
        <v>-1.28296E-2</v>
      </c>
      <c r="J178" s="22">
        <v>168</v>
      </c>
      <c r="K178" s="22">
        <v>0.852661</v>
      </c>
      <c r="L178">
        <f t="shared" si="24"/>
        <v>15.839012345679013</v>
      </c>
      <c r="M178">
        <f t="shared" si="25"/>
        <v>13.527055069629629</v>
      </c>
      <c r="N178" s="9"/>
      <c r="O178" s="22">
        <v>0.74600200000000005</v>
      </c>
      <c r="P178" s="22">
        <v>10.375999999999999</v>
      </c>
      <c r="Q178" s="22">
        <v>-1.28448E-2</v>
      </c>
      <c r="R178" s="22">
        <v>168</v>
      </c>
      <c r="S178" s="22">
        <v>0.74526999999999999</v>
      </c>
      <c r="T178">
        <f t="shared" si="26"/>
        <v>15.857777777777777</v>
      </c>
      <c r="U178">
        <f t="shared" si="27"/>
        <v>11.829933937777778</v>
      </c>
      <c r="X178" s="9"/>
      <c r="Y178" s="22">
        <v>0.85403399999999996</v>
      </c>
      <c r="Z178" s="22">
        <v>15.6525</v>
      </c>
      <c r="AA178" s="22">
        <v>-1.28387E-2</v>
      </c>
      <c r="AB178" s="22">
        <v>168</v>
      </c>
      <c r="AC178" s="22">
        <v>0.853271</v>
      </c>
      <c r="AD178">
        <f t="shared" si="28"/>
        <v>15.850246913580245</v>
      </c>
      <c r="AE178">
        <f t="shared" si="29"/>
        <v>13.53664977259259</v>
      </c>
      <c r="AF178" s="9"/>
      <c r="AG178" s="22">
        <v>0.74600200000000005</v>
      </c>
      <c r="AH178" s="22">
        <v>19.270199999999999</v>
      </c>
      <c r="AI178" s="22">
        <v>-1.2847900000000001E-2</v>
      </c>
      <c r="AJ178" s="22">
        <v>168</v>
      </c>
      <c r="AK178" s="22">
        <v>0.74536100000000005</v>
      </c>
      <c r="AL178">
        <f t="shared" si="30"/>
        <v>15.861604938271604</v>
      </c>
      <c r="AM178">
        <f t="shared" si="31"/>
        <v>11.832789007160494</v>
      </c>
      <c r="AP178" s="9"/>
      <c r="AQ178" s="22">
        <v>0.85403399999999996</v>
      </c>
      <c r="AR178" s="22">
        <v>24.587700000000002</v>
      </c>
      <c r="AS178" s="22">
        <v>-1.29944E-2</v>
      </c>
      <c r="AT178" s="22">
        <v>168</v>
      </c>
      <c r="AU178" s="22">
        <v>0.85357700000000003</v>
      </c>
      <c r="AV178">
        <f t="shared" si="32"/>
        <v>16.042469135802467</v>
      </c>
      <c r="AW178">
        <f t="shared" si="33"/>
        <v>13.700814085925924</v>
      </c>
      <c r="AX178" s="9"/>
      <c r="AY178" s="22">
        <v>0.74600200000000005</v>
      </c>
      <c r="AZ178" s="22">
        <v>28.205400000000001</v>
      </c>
      <c r="BA178" s="22">
        <v>-1.2896700000000001E-2</v>
      </c>
      <c r="BB178" s="22">
        <v>168</v>
      </c>
      <c r="BC178" s="22">
        <v>0.74529999999999996</v>
      </c>
      <c r="BD178">
        <f t="shared" si="34"/>
        <v>15.92185185185185</v>
      </c>
      <c r="BE178">
        <f t="shared" si="35"/>
        <v>11.877733325185185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6.7683200000000001</v>
      </c>
      <c r="I179" s="22">
        <v>-1.28357E-2</v>
      </c>
      <c r="J179" s="22">
        <v>169</v>
      </c>
      <c r="K179" s="22">
        <v>0.84808300000000003</v>
      </c>
      <c r="L179">
        <f t="shared" si="24"/>
        <v>15.846543209876542</v>
      </c>
      <c r="M179">
        <f t="shared" si="25"/>
        <v>13.453699338641973</v>
      </c>
      <c r="N179" s="9"/>
      <c r="O179" s="22">
        <v>0.75103799999999998</v>
      </c>
      <c r="P179" s="22">
        <v>10.386100000000001</v>
      </c>
      <c r="Q179" s="22">
        <v>-1.28326E-2</v>
      </c>
      <c r="R179" s="22">
        <v>169</v>
      </c>
      <c r="S179" s="22">
        <v>0.75027500000000003</v>
      </c>
      <c r="T179">
        <f t="shared" si="26"/>
        <v>15.842716049382712</v>
      </c>
      <c r="U179">
        <f t="shared" si="27"/>
        <v>11.898481776296293</v>
      </c>
      <c r="X179" s="9"/>
      <c r="Y179" s="22">
        <v>0.84899899999999995</v>
      </c>
      <c r="Z179" s="22">
        <v>15.6625</v>
      </c>
      <c r="AA179" s="22">
        <v>-1.2847900000000001E-2</v>
      </c>
      <c r="AB179" s="22">
        <v>169</v>
      </c>
      <c r="AC179" s="22">
        <v>0.84808300000000003</v>
      </c>
      <c r="AD179">
        <f t="shared" si="28"/>
        <v>15.861604938271604</v>
      </c>
      <c r="AE179">
        <f t="shared" si="29"/>
        <v>13.466486730987652</v>
      </c>
      <c r="AF179" s="9"/>
      <c r="AG179" s="22">
        <v>0.75103799999999998</v>
      </c>
      <c r="AH179" s="22">
        <v>19.2803</v>
      </c>
      <c r="AI179" s="22">
        <v>-1.28357E-2</v>
      </c>
      <c r="AJ179" s="22">
        <v>169</v>
      </c>
      <c r="AK179" s="22">
        <v>0.75024400000000002</v>
      </c>
      <c r="AL179">
        <f t="shared" si="30"/>
        <v>15.846543209876542</v>
      </c>
      <c r="AM179">
        <f t="shared" si="31"/>
        <v>11.901356119259258</v>
      </c>
      <c r="AP179" s="9"/>
      <c r="AQ179" s="22">
        <v>0.84899899999999995</v>
      </c>
      <c r="AR179" s="22">
        <v>24.5977</v>
      </c>
      <c r="AS179" s="22">
        <v>-1.30066E-2</v>
      </c>
      <c r="AT179" s="22">
        <v>169</v>
      </c>
      <c r="AU179" s="22">
        <v>0.84838899999999995</v>
      </c>
      <c r="AV179">
        <f t="shared" si="32"/>
        <v>16.057530864197531</v>
      </c>
      <c r="AW179">
        <f t="shared" si="33"/>
        <v>13.632827646172839</v>
      </c>
      <c r="AX179" s="9"/>
      <c r="AY179" s="22">
        <v>0.75103799999999998</v>
      </c>
      <c r="AZ179" s="22">
        <v>28.215499999999999</v>
      </c>
      <c r="BA179" s="22">
        <v>-1.28845E-2</v>
      </c>
      <c r="BB179" s="22">
        <v>169</v>
      </c>
      <c r="BC179" s="22">
        <v>0.75027500000000003</v>
      </c>
      <c r="BD179">
        <f t="shared" si="34"/>
        <v>15.906790123456791</v>
      </c>
      <c r="BE179">
        <f t="shared" si="35"/>
        <v>11.946603840740741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6.7783899999999999</v>
      </c>
      <c r="I180" s="22">
        <v>-1.28418E-2</v>
      </c>
      <c r="J180" s="22">
        <v>170</v>
      </c>
      <c r="K180" s="22">
        <v>0.84381099999999998</v>
      </c>
      <c r="L180">
        <f t="shared" si="24"/>
        <v>15.854074074074072</v>
      </c>
      <c r="M180">
        <f t="shared" si="25"/>
        <v>13.380267771851852</v>
      </c>
      <c r="N180" s="9"/>
      <c r="O180" s="22">
        <v>0.756073</v>
      </c>
      <c r="P180" s="22">
        <v>10.3962</v>
      </c>
      <c r="Q180" s="22">
        <v>-1.2826499999999999E-2</v>
      </c>
      <c r="R180" s="22">
        <v>170</v>
      </c>
      <c r="S180" s="22">
        <v>0.75500500000000004</v>
      </c>
      <c r="T180">
        <f t="shared" si="26"/>
        <v>15.835185185185185</v>
      </c>
      <c r="U180">
        <f t="shared" si="27"/>
        <v>11.972555968518519</v>
      </c>
      <c r="X180" s="9"/>
      <c r="Y180" s="22">
        <v>0.84396400000000005</v>
      </c>
      <c r="Z180" s="22">
        <v>15.672599999999999</v>
      </c>
      <c r="AA180" s="22">
        <v>-1.28571E-2</v>
      </c>
      <c r="AB180" s="22">
        <v>170</v>
      </c>
      <c r="AC180" s="22">
        <v>0.84320099999999998</v>
      </c>
      <c r="AD180">
        <f t="shared" si="28"/>
        <v>15.87296296296296</v>
      </c>
      <c r="AE180">
        <f t="shared" si="29"/>
        <v>13.396209314074072</v>
      </c>
      <c r="AF180" s="9"/>
      <c r="AG180" s="22">
        <v>0.756073</v>
      </c>
      <c r="AH180" s="22">
        <v>19.290400000000002</v>
      </c>
      <c r="AI180" s="22">
        <v>-1.28296E-2</v>
      </c>
      <c r="AJ180" s="22">
        <v>170</v>
      </c>
      <c r="AK180" s="22">
        <v>0.75531000000000004</v>
      </c>
      <c r="AL180">
        <f t="shared" si="30"/>
        <v>15.839012345679013</v>
      </c>
      <c r="AM180">
        <f t="shared" si="31"/>
        <v>11.975449581234567</v>
      </c>
      <c r="AP180" s="9"/>
      <c r="AQ180" s="22">
        <v>0.84396400000000005</v>
      </c>
      <c r="AR180" s="22">
        <v>24.607800000000001</v>
      </c>
      <c r="AS180" s="22">
        <v>-1.30157E-2</v>
      </c>
      <c r="AT180" s="22">
        <v>170</v>
      </c>
      <c r="AU180" s="22">
        <v>0.84289599999999998</v>
      </c>
      <c r="AV180">
        <f t="shared" si="32"/>
        <v>16.068765432098765</v>
      </c>
      <c r="AW180">
        <f t="shared" si="33"/>
        <v>13.561459549135803</v>
      </c>
      <c r="AX180" s="9"/>
      <c r="AY180" s="22">
        <v>0.756073</v>
      </c>
      <c r="AZ180" s="22">
        <v>28.2256</v>
      </c>
      <c r="BA180" s="22">
        <v>-1.28693E-2</v>
      </c>
      <c r="BB180" s="22">
        <v>170</v>
      </c>
      <c r="BC180" s="22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6.7884599999999997</v>
      </c>
      <c r="I181" s="22">
        <v>-1.28357E-2</v>
      </c>
      <c r="J181" s="22">
        <v>171</v>
      </c>
      <c r="K181" s="22">
        <v>0.83801300000000001</v>
      </c>
      <c r="L181">
        <f t="shared" si="24"/>
        <v>15.846543209876542</v>
      </c>
      <c r="M181">
        <f t="shared" si="25"/>
        <v>13.294108801975307</v>
      </c>
      <c r="N181" s="9"/>
      <c r="O181" s="22">
        <v>0.76110800000000001</v>
      </c>
      <c r="P181" s="22">
        <v>10.4062</v>
      </c>
      <c r="Q181" s="22">
        <v>-1.28235E-2</v>
      </c>
      <c r="R181" s="22">
        <v>171</v>
      </c>
      <c r="S181" s="22">
        <v>0.75988800000000001</v>
      </c>
      <c r="T181">
        <f t="shared" si="26"/>
        <v>15.831481481481481</v>
      </c>
      <c r="U181">
        <f t="shared" si="27"/>
        <v>12.049467207407407</v>
      </c>
      <c r="X181" s="9"/>
      <c r="Y181" s="22">
        <v>0.83892800000000001</v>
      </c>
      <c r="Z181" s="22">
        <v>15.682700000000001</v>
      </c>
      <c r="AA181" s="22">
        <v>-1.28571E-2</v>
      </c>
      <c r="AB181" s="22">
        <v>171</v>
      </c>
      <c r="AC181" s="22">
        <v>0.83770800000000001</v>
      </c>
      <c r="AD181">
        <f t="shared" si="28"/>
        <v>15.87296296296296</v>
      </c>
      <c r="AE181">
        <f t="shared" si="29"/>
        <v>13.31627307259259</v>
      </c>
      <c r="AF181" s="9"/>
      <c r="AG181" s="22">
        <v>0.76110800000000001</v>
      </c>
      <c r="AH181" s="22">
        <v>19.3004</v>
      </c>
      <c r="AI181" s="22">
        <v>-1.28235E-2</v>
      </c>
      <c r="AJ181" s="22">
        <v>171</v>
      </c>
      <c r="AK181" s="22">
        <v>0.76049800000000001</v>
      </c>
      <c r="AL181">
        <f t="shared" si="30"/>
        <v>15.831481481481481</v>
      </c>
      <c r="AM181">
        <f t="shared" si="31"/>
        <v>12.049467207407407</v>
      </c>
      <c r="AP181" s="9"/>
      <c r="AQ181" s="22">
        <v>0.83892800000000001</v>
      </c>
      <c r="AR181" s="22">
        <v>24.617899999999999</v>
      </c>
      <c r="AS181" s="22">
        <v>-1.3018800000000001E-2</v>
      </c>
      <c r="AT181" s="22">
        <v>171</v>
      </c>
      <c r="AU181" s="22">
        <v>0.83801300000000001</v>
      </c>
      <c r="AV181">
        <f t="shared" si="32"/>
        <v>16.072592592592592</v>
      </c>
      <c r="AW181">
        <f t="shared" si="33"/>
        <v>13.483747958518519</v>
      </c>
      <c r="AX181" s="9"/>
      <c r="AY181" s="22">
        <v>0.76110800000000001</v>
      </c>
      <c r="AZ181" s="22">
        <v>28.235700000000001</v>
      </c>
      <c r="BA181" s="22">
        <v>-1.28723E-2</v>
      </c>
      <c r="BB181" s="22">
        <v>171</v>
      </c>
      <c r="BC181" s="22">
        <v>0.76080300000000001</v>
      </c>
      <c r="BD181">
        <f t="shared" si="34"/>
        <v>15.891728395061728</v>
      </c>
      <c r="BE181">
        <f t="shared" si="35"/>
        <v>12.095321615308642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6.7985300000000004</v>
      </c>
      <c r="I182" s="22">
        <v>-1.28387E-2</v>
      </c>
      <c r="J182" s="22">
        <v>172</v>
      </c>
      <c r="K182" s="22">
        <v>0.83343500000000004</v>
      </c>
      <c r="L182">
        <f t="shared" si="24"/>
        <v>15.850246913580245</v>
      </c>
      <c r="M182">
        <f t="shared" si="25"/>
        <v>13.217409949506171</v>
      </c>
      <c r="N182" s="9"/>
      <c r="O182" s="22">
        <v>0.76614400000000005</v>
      </c>
      <c r="P182" s="22">
        <v>10.4163</v>
      </c>
      <c r="Q182" s="22">
        <v>-1.2811299999999999E-2</v>
      </c>
      <c r="R182" s="22">
        <v>172</v>
      </c>
      <c r="S182" s="22">
        <v>0.76477099999999998</v>
      </c>
      <c r="T182">
        <f t="shared" si="26"/>
        <v>15.816419753086418</v>
      </c>
      <c r="U182">
        <f t="shared" si="27"/>
        <v>12.117655095308642</v>
      </c>
      <c r="X182" s="9"/>
      <c r="Y182" s="22">
        <v>0.833893</v>
      </c>
      <c r="Z182" s="22">
        <v>15.6927</v>
      </c>
      <c r="AA182" s="22">
        <v>-1.2847900000000001E-2</v>
      </c>
      <c r="AB182" s="22">
        <v>172</v>
      </c>
      <c r="AC182" s="22">
        <v>0.83374000000000004</v>
      </c>
      <c r="AD182">
        <f t="shared" si="28"/>
        <v>15.861604938271604</v>
      </c>
      <c r="AE182">
        <f t="shared" si="29"/>
        <v>13.226881326790123</v>
      </c>
      <c r="AF182" s="9"/>
      <c r="AG182" s="22">
        <v>0.76614400000000005</v>
      </c>
      <c r="AH182" s="22">
        <v>19.310500000000001</v>
      </c>
      <c r="AI182" s="22">
        <v>-1.2814300000000001E-2</v>
      </c>
      <c r="AJ182" s="22">
        <v>172</v>
      </c>
      <c r="AK182" s="22">
        <v>0.76507599999999998</v>
      </c>
      <c r="AL182">
        <f t="shared" si="30"/>
        <v>15.820123456790125</v>
      </c>
      <c r="AM182">
        <f t="shared" si="31"/>
        <v>12.120492665679015</v>
      </c>
      <c r="AP182" s="9"/>
      <c r="AQ182" s="22">
        <v>0.833893</v>
      </c>
      <c r="AR182" s="22">
        <v>24.628</v>
      </c>
      <c r="AS182" s="22">
        <v>-1.3021899999999999E-2</v>
      </c>
      <c r="AT182" s="22">
        <v>172</v>
      </c>
      <c r="AU182" s="22">
        <v>0.83282500000000004</v>
      </c>
      <c r="AV182">
        <f t="shared" si="32"/>
        <v>16.076419753086416</v>
      </c>
      <c r="AW182">
        <f t="shared" si="33"/>
        <v>13.406013897160491</v>
      </c>
      <c r="AX182" s="9"/>
      <c r="AY182" s="22">
        <v>0.76614400000000005</v>
      </c>
      <c r="AZ182" s="22">
        <v>28.245699999999999</v>
      </c>
      <c r="BA182" s="22">
        <v>-1.28632E-2</v>
      </c>
      <c r="BB182" s="22">
        <v>172</v>
      </c>
      <c r="BC182" s="22">
        <v>0.76446499999999995</v>
      </c>
      <c r="BD182">
        <f t="shared" si="34"/>
        <v>15.880493827160493</v>
      </c>
      <c r="BE182">
        <f t="shared" si="35"/>
        <v>12.16674506271605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6.8086000000000002</v>
      </c>
      <c r="I183" s="22">
        <v>-1.2847900000000001E-2</v>
      </c>
      <c r="J183" s="22">
        <v>173</v>
      </c>
      <c r="K183" s="22">
        <v>0.82824699999999996</v>
      </c>
      <c r="L183">
        <f t="shared" si="24"/>
        <v>15.861604938271604</v>
      </c>
      <c r="M183">
        <f t="shared" si="25"/>
        <v>13.147002284320987</v>
      </c>
      <c r="N183" s="9"/>
      <c r="O183" s="22">
        <v>0.77117899999999995</v>
      </c>
      <c r="P183" s="22">
        <v>10.426399999999999</v>
      </c>
      <c r="Q183" s="22">
        <v>-1.28021E-2</v>
      </c>
      <c r="R183" s="22">
        <v>173</v>
      </c>
      <c r="S183" s="22">
        <v>0.77056899999999995</v>
      </c>
      <c r="T183">
        <f t="shared" si="26"/>
        <v>15.805061728395062</v>
      </c>
      <c r="U183">
        <f t="shared" si="27"/>
        <v>12.188531698641974</v>
      </c>
      <c r="X183" s="9"/>
      <c r="Y183" s="22">
        <v>0.82885699999999995</v>
      </c>
      <c r="Z183" s="22">
        <v>15.7028</v>
      </c>
      <c r="AA183" s="22">
        <v>-1.28571E-2</v>
      </c>
      <c r="AB183" s="22">
        <v>173</v>
      </c>
      <c r="AC183" s="22">
        <v>0.82824699999999996</v>
      </c>
      <c r="AD183">
        <f t="shared" si="28"/>
        <v>15.87296296296296</v>
      </c>
      <c r="AE183">
        <f t="shared" si="29"/>
        <v>13.15641646259259</v>
      </c>
      <c r="AF183" s="9"/>
      <c r="AG183" s="22">
        <v>0.77117899999999995</v>
      </c>
      <c r="AH183" s="22">
        <v>19.320599999999999</v>
      </c>
      <c r="AI183" s="22">
        <v>-1.2814300000000001E-2</v>
      </c>
      <c r="AJ183" s="22">
        <v>173</v>
      </c>
      <c r="AK183" s="22">
        <v>0.77026399999999995</v>
      </c>
      <c r="AL183">
        <f t="shared" si="30"/>
        <v>15.820123456790125</v>
      </c>
      <c r="AM183">
        <f t="shared" si="31"/>
        <v>12.200146987283951</v>
      </c>
      <c r="AP183" s="9"/>
      <c r="AQ183" s="22">
        <v>0.82885699999999995</v>
      </c>
      <c r="AR183" s="22">
        <v>24.638000000000002</v>
      </c>
      <c r="AS183" s="22">
        <v>-1.3030999999999999E-2</v>
      </c>
      <c r="AT183" s="22">
        <v>173</v>
      </c>
      <c r="AU183" s="22">
        <v>0.82794199999999996</v>
      </c>
      <c r="AV183">
        <f t="shared" si="32"/>
        <v>16.087654320987653</v>
      </c>
      <c r="AW183">
        <f t="shared" si="33"/>
        <v>13.334364897530863</v>
      </c>
      <c r="AX183" s="9"/>
      <c r="AY183" s="22">
        <v>0.77117899999999995</v>
      </c>
      <c r="AZ183" s="22">
        <v>28.255800000000001</v>
      </c>
      <c r="BA183" s="22">
        <v>-1.28571E-2</v>
      </c>
      <c r="BB183" s="22">
        <v>173</v>
      </c>
      <c r="BC183" s="22">
        <v>0.77026399999999995</v>
      </c>
      <c r="BD183">
        <f t="shared" si="34"/>
        <v>15.87296296296296</v>
      </c>
      <c r="BE183">
        <f t="shared" si="35"/>
        <v>12.240895704814811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6.81867</v>
      </c>
      <c r="I184" s="22">
        <v>-1.28662E-2</v>
      </c>
      <c r="J184" s="22">
        <v>174</v>
      </c>
      <c r="K184" s="22">
        <v>0.82305899999999999</v>
      </c>
      <c r="L184">
        <f t="shared" si="24"/>
        <v>15.884197530864196</v>
      </c>
      <c r="M184">
        <f t="shared" si="25"/>
        <v>13.085751378271604</v>
      </c>
      <c r="N184" s="9"/>
      <c r="O184" s="22">
        <v>0.77621499999999999</v>
      </c>
      <c r="P184" s="22">
        <v>10.436400000000001</v>
      </c>
      <c r="Q184" s="22">
        <v>-1.28021E-2</v>
      </c>
      <c r="R184" s="22">
        <v>174</v>
      </c>
      <c r="S184" s="22">
        <v>0.774841</v>
      </c>
      <c r="T184">
        <f t="shared" si="26"/>
        <v>15.805061728395062</v>
      </c>
      <c r="U184">
        <f t="shared" si="27"/>
        <v>12.268125989506173</v>
      </c>
      <c r="X184" s="9"/>
      <c r="Y184" s="22">
        <v>0.82382200000000005</v>
      </c>
      <c r="Z184" s="22">
        <v>15.712899999999999</v>
      </c>
      <c r="AA184" s="22">
        <v>-1.28693E-2</v>
      </c>
      <c r="AB184" s="22">
        <v>174</v>
      </c>
      <c r="AC184" s="22">
        <v>0.82305899999999999</v>
      </c>
      <c r="AD184">
        <f t="shared" si="28"/>
        <v>15.888024691358023</v>
      </c>
      <c r="AE184">
        <f t="shared" si="29"/>
        <v>13.08890427728395</v>
      </c>
      <c r="AF184" s="9"/>
      <c r="AG184" s="22">
        <v>0.77621499999999999</v>
      </c>
      <c r="AH184" s="22">
        <v>19.3307</v>
      </c>
      <c r="AI184" s="22">
        <v>-1.2796E-2</v>
      </c>
      <c r="AJ184" s="22">
        <v>174</v>
      </c>
      <c r="AK184" s="22">
        <v>0.77575700000000003</v>
      </c>
      <c r="AL184">
        <f t="shared" si="30"/>
        <v>15.79753086419753</v>
      </c>
      <c r="AM184">
        <f t="shared" si="31"/>
        <v>12.262280419753086</v>
      </c>
      <c r="AP184" s="9"/>
      <c r="AQ184" s="22">
        <v>0.82382200000000005</v>
      </c>
      <c r="AR184" s="22">
        <v>24.648099999999999</v>
      </c>
      <c r="AS184" s="22">
        <v>-1.30402E-2</v>
      </c>
      <c r="AT184" s="22">
        <v>174</v>
      </c>
      <c r="AU184" s="22">
        <v>0.82275399999999999</v>
      </c>
      <c r="AV184">
        <f t="shared" si="32"/>
        <v>16.099012345679011</v>
      </c>
      <c r="AW184">
        <f t="shared" si="33"/>
        <v>13.262720548641974</v>
      </c>
      <c r="AX184" s="9"/>
      <c r="AY184" s="22">
        <v>0.77621499999999999</v>
      </c>
      <c r="AZ184" s="22">
        <v>28.265899999999998</v>
      </c>
      <c r="BA184" s="22">
        <v>-1.2854000000000001E-2</v>
      </c>
      <c r="BB184" s="22">
        <v>174</v>
      </c>
      <c r="BC184" s="22">
        <v>0.775146</v>
      </c>
      <c r="BD184">
        <f t="shared" si="34"/>
        <v>15.869135802469136</v>
      </c>
      <c r="BE184">
        <f t="shared" si="35"/>
        <v>12.31786124691358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6.8287399999999998</v>
      </c>
      <c r="I185" s="22">
        <v>-1.2887600000000001E-2</v>
      </c>
      <c r="J185" s="22">
        <v>175</v>
      </c>
      <c r="K185" s="22">
        <v>0.81756600000000001</v>
      </c>
      <c r="L185">
        <f t="shared" si="24"/>
        <v>15.910617283950618</v>
      </c>
      <c r="M185">
        <f t="shared" si="25"/>
        <v>13.027406594074074</v>
      </c>
      <c r="N185" s="9"/>
      <c r="O185" s="22">
        <v>0.78125</v>
      </c>
      <c r="P185" s="22">
        <v>10.4465</v>
      </c>
      <c r="Q185" s="22">
        <v>-1.27899E-2</v>
      </c>
      <c r="R185" s="22">
        <v>175</v>
      </c>
      <c r="S185" s="22">
        <v>0.78002899999999997</v>
      </c>
      <c r="T185">
        <f t="shared" si="26"/>
        <v>15.79</v>
      </c>
      <c r="U185">
        <f t="shared" si="27"/>
        <v>12.3359375</v>
      </c>
      <c r="X185" s="9"/>
      <c r="Y185" s="22">
        <v>0.81878700000000004</v>
      </c>
      <c r="Z185" s="22">
        <v>15.723000000000001</v>
      </c>
      <c r="AA185" s="22">
        <v>-1.2887600000000001E-2</v>
      </c>
      <c r="AB185" s="22">
        <v>175</v>
      </c>
      <c r="AC185" s="22">
        <v>0.81787100000000001</v>
      </c>
      <c r="AD185">
        <f t="shared" si="28"/>
        <v>15.910617283950618</v>
      </c>
      <c r="AE185">
        <f t="shared" si="29"/>
        <v>13.027406594074074</v>
      </c>
      <c r="AF185" s="9"/>
      <c r="AG185" s="22">
        <v>0.78125</v>
      </c>
      <c r="AH185" s="22">
        <v>19.340699999999998</v>
      </c>
      <c r="AI185" s="22">
        <v>-1.2796E-2</v>
      </c>
      <c r="AJ185" s="22">
        <v>175</v>
      </c>
      <c r="AK185" s="22">
        <v>0.78064</v>
      </c>
      <c r="AL185">
        <f t="shared" si="30"/>
        <v>15.79753086419753</v>
      </c>
      <c r="AM185">
        <f t="shared" si="31"/>
        <v>12.341820987654319</v>
      </c>
      <c r="AP185" s="9"/>
      <c r="AQ185" s="22">
        <v>0.81878700000000004</v>
      </c>
      <c r="AR185" s="22">
        <v>24.658200000000001</v>
      </c>
      <c r="AS185" s="22">
        <v>-1.30402E-2</v>
      </c>
      <c r="AT185" s="22">
        <v>175</v>
      </c>
      <c r="AU185" s="22">
        <v>0.81787100000000001</v>
      </c>
      <c r="AV185">
        <f t="shared" si="32"/>
        <v>16.099012345679011</v>
      </c>
      <c r="AW185">
        <f t="shared" si="33"/>
        <v>13.181662021481481</v>
      </c>
      <c r="AX185" s="9"/>
      <c r="AY185" s="22">
        <v>0.78125</v>
      </c>
      <c r="AZ185" s="22">
        <v>28.2759</v>
      </c>
      <c r="BA185" s="22">
        <v>-1.2854000000000001E-2</v>
      </c>
      <c r="BB185" s="22">
        <v>175</v>
      </c>
      <c r="BC185" s="22">
        <v>0.78033399999999997</v>
      </c>
      <c r="BD185">
        <f t="shared" si="34"/>
        <v>15.869135802469136</v>
      </c>
      <c r="BE185">
        <f t="shared" si="35"/>
        <v>12.397762345679013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6.8388200000000001</v>
      </c>
      <c r="I186" s="22">
        <v>-1.2902800000000001E-2</v>
      </c>
      <c r="J186" s="22">
        <v>176</v>
      </c>
      <c r="K186" s="22">
        <v>0.81268300000000004</v>
      </c>
      <c r="L186">
        <f t="shared" si="24"/>
        <v>15.929382716049382</v>
      </c>
      <c r="M186">
        <f t="shared" si="25"/>
        <v>12.962551114567901</v>
      </c>
      <c r="N186" s="9"/>
      <c r="O186" s="22">
        <v>0.78628500000000001</v>
      </c>
      <c r="P186" s="22">
        <v>10.4566</v>
      </c>
      <c r="Q186" s="22">
        <v>-1.27808E-2</v>
      </c>
      <c r="R186" s="22">
        <v>176</v>
      </c>
      <c r="S186" s="22">
        <v>0.78521700000000005</v>
      </c>
      <c r="T186">
        <f t="shared" si="26"/>
        <v>15.778765432098764</v>
      </c>
      <c r="U186">
        <f t="shared" si="27"/>
        <v>12.406606577777776</v>
      </c>
      <c r="X186" s="9"/>
      <c r="Y186" s="22">
        <v>0.813751</v>
      </c>
      <c r="Z186" s="22">
        <v>15.733000000000001</v>
      </c>
      <c r="AA186" s="22">
        <v>-1.2899799999999999E-2</v>
      </c>
      <c r="AB186" s="22">
        <v>176</v>
      </c>
      <c r="AC186" s="22">
        <v>0.81268300000000004</v>
      </c>
      <c r="AD186">
        <f t="shared" si="28"/>
        <v>15.925679012345679</v>
      </c>
      <c r="AE186">
        <f t="shared" si="29"/>
        <v>12.959537221975308</v>
      </c>
      <c r="AF186" s="9"/>
      <c r="AG186" s="22">
        <v>0.78628500000000001</v>
      </c>
      <c r="AH186" s="22">
        <v>19.3508</v>
      </c>
      <c r="AI186" s="22">
        <v>-1.27838E-2</v>
      </c>
      <c r="AJ186" s="22">
        <v>176</v>
      </c>
      <c r="AK186" s="22">
        <v>0.78582799999999997</v>
      </c>
      <c r="AL186">
        <f t="shared" si="30"/>
        <v>15.782469135802467</v>
      </c>
      <c r="AM186">
        <f t="shared" si="31"/>
        <v>12.409518744444442</v>
      </c>
      <c r="AP186" s="9"/>
      <c r="AQ186" s="22">
        <v>0.813751</v>
      </c>
      <c r="AR186" s="22">
        <v>24.668199999999999</v>
      </c>
      <c r="AS186" s="22">
        <v>-1.30463E-2</v>
      </c>
      <c r="AT186" s="22">
        <v>176</v>
      </c>
      <c r="AU186" s="22">
        <v>0.81207300000000004</v>
      </c>
      <c r="AV186">
        <f t="shared" si="32"/>
        <v>16.106543209876545</v>
      </c>
      <c r="AW186">
        <f t="shared" si="33"/>
        <v>13.106715643580248</v>
      </c>
      <c r="AX186" s="9"/>
      <c r="AY186" s="22">
        <v>0.78628500000000001</v>
      </c>
      <c r="AZ186" s="22">
        <v>28.286000000000001</v>
      </c>
      <c r="BA186" s="22">
        <v>-1.2854000000000001E-2</v>
      </c>
      <c r="BB186" s="22">
        <v>176</v>
      </c>
      <c r="BC186" s="22">
        <v>0.78491200000000005</v>
      </c>
      <c r="BD186">
        <f t="shared" si="34"/>
        <v>15.869135802469136</v>
      </c>
      <c r="BE186">
        <f t="shared" si="35"/>
        <v>12.477663444444445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6.8488899999999999</v>
      </c>
      <c r="I187" s="22">
        <v>-1.2912E-2</v>
      </c>
      <c r="J187" s="22">
        <v>177</v>
      </c>
      <c r="K187" s="22">
        <v>0.80779999999999996</v>
      </c>
      <c r="L187">
        <f t="shared" si="24"/>
        <v>15.940740740740738</v>
      </c>
      <c r="M187">
        <f t="shared" si="25"/>
        <v>12.891532088888887</v>
      </c>
      <c r="N187" s="9"/>
      <c r="O187" s="22">
        <v>0.79132100000000005</v>
      </c>
      <c r="P187" s="22">
        <v>10.466699999999999</v>
      </c>
      <c r="Q187" s="22">
        <v>-1.27686E-2</v>
      </c>
      <c r="R187" s="22">
        <v>177</v>
      </c>
      <c r="S187" s="22">
        <v>0.78979500000000002</v>
      </c>
      <c r="T187">
        <f t="shared" si="26"/>
        <v>15.763703703703703</v>
      </c>
      <c r="U187">
        <f t="shared" si="27"/>
        <v>12.474149778518518</v>
      </c>
      <c r="X187" s="9"/>
      <c r="Y187" s="22">
        <v>0.80871599999999999</v>
      </c>
      <c r="Z187" s="22">
        <v>15.7431</v>
      </c>
      <c r="AA187" s="22">
        <v>-1.2914999999999999E-2</v>
      </c>
      <c r="AB187" s="22">
        <v>177</v>
      </c>
      <c r="AC187" s="22">
        <v>0.80779999999999996</v>
      </c>
      <c r="AD187">
        <f t="shared" si="28"/>
        <v>15.944444444444441</v>
      </c>
      <c r="AE187">
        <f t="shared" si="29"/>
        <v>12.894527333333331</v>
      </c>
      <c r="AF187" s="9"/>
      <c r="AG187" s="22">
        <v>0.79132100000000005</v>
      </c>
      <c r="AH187" s="22">
        <v>19.360900000000001</v>
      </c>
      <c r="AI187" s="22">
        <v>-1.27747E-2</v>
      </c>
      <c r="AJ187" s="22">
        <v>177</v>
      </c>
      <c r="AK187" s="22">
        <v>0.79132100000000005</v>
      </c>
      <c r="AL187">
        <f t="shared" si="30"/>
        <v>15.771234567901235</v>
      </c>
      <c r="AM187">
        <f t="shared" si="31"/>
        <v>12.480109109506174</v>
      </c>
      <c r="AP187" s="9"/>
      <c r="AQ187" s="22">
        <v>0.80871599999999999</v>
      </c>
      <c r="AR187" s="22">
        <v>24.6783</v>
      </c>
      <c r="AS187" s="22">
        <v>-1.30524E-2</v>
      </c>
      <c r="AT187" s="22">
        <v>177</v>
      </c>
      <c r="AU187" s="22">
        <v>0.80841099999999999</v>
      </c>
      <c r="AV187">
        <f t="shared" si="32"/>
        <v>16.114074074074072</v>
      </c>
      <c r="AW187">
        <f t="shared" si="33"/>
        <v>13.031709528888888</v>
      </c>
      <c r="AX187" s="9"/>
      <c r="AY187" s="22">
        <v>0.79132100000000005</v>
      </c>
      <c r="AZ187" s="22">
        <v>28.296099999999999</v>
      </c>
      <c r="BA187" s="22">
        <v>-1.2851E-2</v>
      </c>
      <c r="BB187" s="22">
        <v>177</v>
      </c>
      <c r="BC187" s="22">
        <v>0.79071000000000002</v>
      </c>
      <c r="BD187">
        <f t="shared" si="34"/>
        <v>15.865432098765432</v>
      </c>
      <c r="BE187">
        <f t="shared" si="35"/>
        <v>12.554649593827161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6.8589599999999997</v>
      </c>
      <c r="I188" s="22">
        <v>-1.29272E-2</v>
      </c>
      <c r="J188" s="22">
        <v>178</v>
      </c>
      <c r="K188" s="22">
        <v>0.80322300000000002</v>
      </c>
      <c r="L188">
        <f t="shared" si="24"/>
        <v>15.959506172839506</v>
      </c>
      <c r="M188">
        <f t="shared" si="25"/>
        <v>12.826335920987653</v>
      </c>
      <c r="N188" s="9"/>
      <c r="O188" s="22">
        <v>0.79635599999999995</v>
      </c>
      <c r="P188" s="22">
        <v>10.476699999999999</v>
      </c>
      <c r="Q188" s="22">
        <v>-1.27502E-2</v>
      </c>
      <c r="R188" s="22">
        <v>178</v>
      </c>
      <c r="S188" s="22">
        <v>0.79620400000000002</v>
      </c>
      <c r="T188">
        <f t="shared" si="26"/>
        <v>15.740987654320987</v>
      </c>
      <c r="U188">
        <f t="shared" si="27"/>
        <v>12.535429964444443</v>
      </c>
      <c r="X188" s="9"/>
      <c r="Y188" s="22">
        <v>0.80367999999999995</v>
      </c>
      <c r="Z188" s="22">
        <v>15.7532</v>
      </c>
      <c r="AA188" s="22">
        <v>-1.29272E-2</v>
      </c>
      <c r="AB188" s="22">
        <v>178</v>
      </c>
      <c r="AC188" s="22">
        <v>0.80291699999999999</v>
      </c>
      <c r="AD188">
        <f t="shared" si="28"/>
        <v>15.959506172839506</v>
      </c>
      <c r="AE188">
        <f t="shared" si="29"/>
        <v>12.826335920987653</v>
      </c>
      <c r="AF188" s="9"/>
      <c r="AG188" s="22">
        <v>0.79635599999999995</v>
      </c>
      <c r="AH188" s="22">
        <v>19.370899999999999</v>
      </c>
      <c r="AI188" s="22">
        <v>-1.27686E-2</v>
      </c>
      <c r="AJ188" s="22">
        <v>178</v>
      </c>
      <c r="AK188" s="22">
        <v>0.79528799999999999</v>
      </c>
      <c r="AL188">
        <f t="shared" si="30"/>
        <v>15.763703703703703</v>
      </c>
      <c r="AM188">
        <f t="shared" si="31"/>
        <v>12.553520026666666</v>
      </c>
      <c r="AP188" s="9"/>
      <c r="AQ188" s="22">
        <v>0.80367999999999995</v>
      </c>
      <c r="AR188" s="22">
        <v>24.688400000000001</v>
      </c>
      <c r="AS188" s="22">
        <v>-1.30554E-2</v>
      </c>
      <c r="AT188" s="22">
        <v>178</v>
      </c>
      <c r="AU188" s="22">
        <v>0.80291699999999999</v>
      </c>
      <c r="AV188">
        <f t="shared" si="32"/>
        <v>16.117777777777775</v>
      </c>
      <c r="AW188">
        <f t="shared" si="33"/>
        <v>12.953535644444441</v>
      </c>
      <c r="AX188" s="9"/>
      <c r="AY188" s="22">
        <v>0.79635599999999995</v>
      </c>
      <c r="AZ188" s="22">
        <v>28.3062</v>
      </c>
      <c r="BA188" s="22">
        <v>-1.28571E-2</v>
      </c>
      <c r="BB188" s="22">
        <v>178</v>
      </c>
      <c r="BC188" s="22">
        <v>0.79559299999999999</v>
      </c>
      <c r="BD188">
        <f t="shared" si="34"/>
        <v>15.87296296296296</v>
      </c>
      <c r="BE188">
        <f t="shared" si="35"/>
        <v>12.64052929333333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6.8690300000000004</v>
      </c>
      <c r="I189" s="22">
        <v>-1.29333E-2</v>
      </c>
      <c r="J189" s="22">
        <v>179</v>
      </c>
      <c r="K189" s="22">
        <v>0.79711900000000002</v>
      </c>
      <c r="L189">
        <f t="shared" si="24"/>
        <v>15.967037037037036</v>
      </c>
      <c r="M189">
        <f t="shared" si="25"/>
        <v>12.751994294444444</v>
      </c>
      <c r="N189" s="9"/>
      <c r="O189" s="22">
        <v>0.80139199999999999</v>
      </c>
      <c r="P189" s="22">
        <v>10.486800000000001</v>
      </c>
      <c r="Q189" s="22">
        <v>-1.2725800000000001E-2</v>
      </c>
      <c r="R189" s="22">
        <v>179</v>
      </c>
      <c r="S189" s="22">
        <v>0.80017099999999997</v>
      </c>
      <c r="T189">
        <f t="shared" si="26"/>
        <v>15.710864197530865</v>
      </c>
      <c r="U189">
        <f t="shared" si="27"/>
        <v>12.590560880987654</v>
      </c>
      <c r="X189" s="9"/>
      <c r="Y189" s="22">
        <v>0.79864500000000005</v>
      </c>
      <c r="Z189" s="22">
        <v>15.763199999999999</v>
      </c>
      <c r="AA189" s="22">
        <v>-1.29456E-2</v>
      </c>
      <c r="AB189" s="22">
        <v>179</v>
      </c>
      <c r="AC189" s="22">
        <v>0.79742400000000002</v>
      </c>
      <c r="AD189">
        <f t="shared" si="28"/>
        <v>15.982222222222221</v>
      </c>
      <c r="AE189">
        <f t="shared" si="29"/>
        <v>12.764121866666667</v>
      </c>
      <c r="AF189" s="9"/>
      <c r="AG189" s="22">
        <v>0.80139199999999999</v>
      </c>
      <c r="AH189" s="22">
        <v>19.381</v>
      </c>
      <c r="AI189" s="22">
        <v>-1.27625E-2</v>
      </c>
      <c r="AJ189" s="22">
        <v>179</v>
      </c>
      <c r="AK189" s="22">
        <v>0.80047599999999997</v>
      </c>
      <c r="AL189">
        <f t="shared" si="30"/>
        <v>15.756172839506172</v>
      </c>
      <c r="AM189">
        <f t="shared" si="31"/>
        <v>12.62687086419753</v>
      </c>
      <c r="AP189" s="9"/>
      <c r="AQ189" s="22">
        <v>0.79864500000000005</v>
      </c>
      <c r="AR189" s="22">
        <v>24.698499999999999</v>
      </c>
      <c r="AS189" s="22">
        <v>-1.30524E-2</v>
      </c>
      <c r="AT189" s="22">
        <v>179</v>
      </c>
      <c r="AU189" s="22">
        <v>0.79803500000000005</v>
      </c>
      <c r="AV189">
        <f t="shared" si="32"/>
        <v>16.114074074074072</v>
      </c>
      <c r="AW189">
        <f t="shared" si="33"/>
        <v>12.869424688888888</v>
      </c>
      <c r="AX189" s="9"/>
      <c r="AY189" s="22">
        <v>0.80139199999999999</v>
      </c>
      <c r="AZ189" s="22">
        <v>28.316199999999998</v>
      </c>
      <c r="BA189" s="22">
        <v>-1.28571E-2</v>
      </c>
      <c r="BB189" s="22">
        <v>179</v>
      </c>
      <c r="BC189" s="22">
        <v>0.80017099999999997</v>
      </c>
      <c r="BD189">
        <f t="shared" si="34"/>
        <v>15.87296296296296</v>
      </c>
      <c r="BE189">
        <f t="shared" si="35"/>
        <v>12.720465534814812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6.8791000000000002</v>
      </c>
      <c r="I190" s="22">
        <v>-1.2936400000000001E-2</v>
      </c>
      <c r="J190" s="22">
        <v>180</v>
      </c>
      <c r="K190" s="22">
        <v>0.79254199999999997</v>
      </c>
      <c r="L190">
        <f t="shared" si="24"/>
        <v>15.970864197530865</v>
      </c>
      <c r="M190">
        <f t="shared" si="25"/>
        <v>12.67463753580247</v>
      </c>
      <c r="N190" s="9"/>
      <c r="O190" s="22">
        <v>0.806427</v>
      </c>
      <c r="P190" s="22">
        <v>10.4969</v>
      </c>
      <c r="Q190" s="22">
        <v>-1.27136E-2</v>
      </c>
      <c r="R190" s="22">
        <v>180</v>
      </c>
      <c r="S190" s="22">
        <v>0.80535900000000005</v>
      </c>
      <c r="T190">
        <f t="shared" si="26"/>
        <v>15.695802469135801</v>
      </c>
      <c r="U190">
        <f t="shared" si="27"/>
        <v>12.657518897777777</v>
      </c>
      <c r="X190" s="9"/>
      <c r="Y190" s="22">
        <v>0.79361000000000004</v>
      </c>
      <c r="Z190" s="22">
        <v>15.773300000000001</v>
      </c>
      <c r="AA190" s="22">
        <v>-1.29578E-2</v>
      </c>
      <c r="AB190" s="22">
        <v>180</v>
      </c>
      <c r="AC190" s="22">
        <v>0.79254199999999997</v>
      </c>
      <c r="AD190">
        <f t="shared" si="28"/>
        <v>15.997283950617284</v>
      </c>
      <c r="AE190">
        <f t="shared" si="29"/>
        <v>12.695604516049384</v>
      </c>
      <c r="AF190" s="9"/>
      <c r="AG190" s="22">
        <v>0.806427</v>
      </c>
      <c r="AH190" s="22">
        <v>19.391100000000002</v>
      </c>
      <c r="AI190" s="22">
        <v>-1.27502E-2</v>
      </c>
      <c r="AJ190" s="22">
        <v>180</v>
      </c>
      <c r="AK190" s="22">
        <v>0.80566400000000005</v>
      </c>
      <c r="AL190">
        <f t="shared" si="30"/>
        <v>15.740987654320987</v>
      </c>
      <c r="AM190">
        <f t="shared" si="31"/>
        <v>12.69395745111111</v>
      </c>
      <c r="AP190" s="9"/>
      <c r="AQ190" s="22">
        <v>0.79361000000000004</v>
      </c>
      <c r="AR190" s="22">
        <v>24.708500000000001</v>
      </c>
      <c r="AS190" s="22">
        <v>-1.30615E-2</v>
      </c>
      <c r="AT190" s="22">
        <v>180</v>
      </c>
      <c r="AU190" s="22">
        <v>0.79254199999999997</v>
      </c>
      <c r="AV190">
        <f t="shared" si="32"/>
        <v>16.125308641975309</v>
      </c>
      <c r="AW190">
        <f t="shared" si="33"/>
        <v>12.797206191358026</v>
      </c>
      <c r="AX190" s="9"/>
      <c r="AY190" s="22">
        <v>0.806427</v>
      </c>
      <c r="AZ190" s="22">
        <v>28.3263</v>
      </c>
      <c r="BA190" s="22">
        <v>-1.2847900000000001E-2</v>
      </c>
      <c r="BB190" s="22">
        <v>180</v>
      </c>
      <c r="BC190" s="22">
        <v>0.80535900000000005</v>
      </c>
      <c r="BD190">
        <f t="shared" si="34"/>
        <v>15.861604938271604</v>
      </c>
      <c r="BE190">
        <f t="shared" si="35"/>
        <v>12.791226485555555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6.88917</v>
      </c>
      <c r="I191" s="22">
        <v>-1.29456E-2</v>
      </c>
      <c r="J191" s="22">
        <v>181</v>
      </c>
      <c r="K191" s="22">
        <v>0.788269</v>
      </c>
      <c r="L191">
        <f t="shared" si="24"/>
        <v>15.982222222222221</v>
      </c>
      <c r="M191">
        <f t="shared" si="25"/>
        <v>12.603164906666667</v>
      </c>
      <c r="N191" s="9"/>
      <c r="O191" s="22">
        <v>0.81146200000000002</v>
      </c>
      <c r="P191" s="22">
        <v>10.5069</v>
      </c>
      <c r="Q191" s="22">
        <v>-1.26984E-2</v>
      </c>
      <c r="R191" s="22">
        <v>181</v>
      </c>
      <c r="S191" s="22">
        <v>0.80993700000000002</v>
      </c>
      <c r="T191">
        <f t="shared" si="26"/>
        <v>15.677037037037039</v>
      </c>
      <c r="U191">
        <f t="shared" si="27"/>
        <v>12.72131982814815</v>
      </c>
      <c r="X191" s="9"/>
      <c r="Y191" s="22">
        <v>0.788574</v>
      </c>
      <c r="Z191" s="22">
        <v>15.7834</v>
      </c>
      <c r="AA191" s="22">
        <v>-1.2970000000000001E-2</v>
      </c>
      <c r="AB191" s="22">
        <v>181</v>
      </c>
      <c r="AC191" s="22">
        <v>0.788574</v>
      </c>
      <c r="AD191">
        <f t="shared" si="28"/>
        <v>16.012345679012348</v>
      </c>
      <c r="AE191">
        <f t="shared" si="29"/>
        <v>12.626919481481483</v>
      </c>
      <c r="AF191" s="9"/>
      <c r="AG191" s="22">
        <v>0.81146200000000002</v>
      </c>
      <c r="AH191" s="22">
        <v>19.401199999999999</v>
      </c>
      <c r="AI191" s="22">
        <v>-1.2731900000000001E-2</v>
      </c>
      <c r="AJ191" s="22">
        <v>181</v>
      </c>
      <c r="AK191" s="22">
        <v>0.81054700000000002</v>
      </c>
      <c r="AL191">
        <f t="shared" si="30"/>
        <v>15.718395061728396</v>
      </c>
      <c r="AM191">
        <f t="shared" si="31"/>
        <v>12.754880293580248</v>
      </c>
      <c r="AP191" s="9"/>
      <c r="AQ191" s="22">
        <v>0.788574</v>
      </c>
      <c r="AR191" s="22">
        <v>24.718599999999999</v>
      </c>
      <c r="AS191" s="22">
        <v>-1.3058500000000001E-2</v>
      </c>
      <c r="AT191" s="22">
        <v>181</v>
      </c>
      <c r="AU191" s="22">
        <v>0.787964</v>
      </c>
      <c r="AV191">
        <f t="shared" si="32"/>
        <v>16.121604938271602</v>
      </c>
      <c r="AW191">
        <f t="shared" si="33"/>
        <v>12.71307849259259</v>
      </c>
      <c r="AX191" s="9"/>
      <c r="AY191" s="22">
        <v>0.81146200000000002</v>
      </c>
      <c r="AZ191" s="22">
        <v>28.336400000000001</v>
      </c>
      <c r="BA191" s="22">
        <v>-1.28296E-2</v>
      </c>
      <c r="BB191" s="22">
        <v>181</v>
      </c>
      <c r="BC191" s="22">
        <v>0.81024200000000002</v>
      </c>
      <c r="BD191">
        <f t="shared" si="34"/>
        <v>15.839012345679013</v>
      </c>
      <c r="BE191">
        <f t="shared" si="35"/>
        <v>12.852756636049383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6.8992399999999998</v>
      </c>
      <c r="I192" s="22">
        <v>-1.29547E-2</v>
      </c>
      <c r="J192" s="22">
        <v>182</v>
      </c>
      <c r="K192" s="22">
        <v>0.78277600000000003</v>
      </c>
      <c r="L192">
        <f t="shared" si="24"/>
        <v>15.993456790123457</v>
      </c>
      <c r="M192">
        <f t="shared" si="25"/>
        <v>12.531497139876542</v>
      </c>
      <c r="N192" s="9"/>
      <c r="O192" s="22">
        <v>0.81649799999999995</v>
      </c>
      <c r="P192" s="22">
        <v>10.516999999999999</v>
      </c>
      <c r="Q192" s="22">
        <v>-1.2689199999999999E-2</v>
      </c>
      <c r="R192" s="22">
        <v>182</v>
      </c>
      <c r="S192" s="22">
        <v>0.81542999999999999</v>
      </c>
      <c r="T192">
        <f t="shared" si="26"/>
        <v>15.665679012345679</v>
      </c>
      <c r="U192">
        <f t="shared" si="27"/>
        <v>12.790995582222221</v>
      </c>
      <c r="X192" s="9"/>
      <c r="Y192" s="22">
        <v>0.78353899999999999</v>
      </c>
      <c r="Z192" s="22">
        <v>15.7935</v>
      </c>
      <c r="AA192" s="22">
        <v>-1.2985200000000001E-2</v>
      </c>
      <c r="AB192" s="22">
        <v>182</v>
      </c>
      <c r="AC192" s="22">
        <v>0.78247100000000003</v>
      </c>
      <c r="AD192">
        <f t="shared" si="28"/>
        <v>16.031111111111109</v>
      </c>
      <c r="AE192">
        <f t="shared" si="29"/>
        <v>12.561000768888887</v>
      </c>
      <c r="AF192" s="9"/>
      <c r="AG192" s="22">
        <v>0.81649799999999995</v>
      </c>
      <c r="AH192" s="22">
        <v>19.411200000000001</v>
      </c>
      <c r="AI192" s="22">
        <v>-1.2731900000000001E-2</v>
      </c>
      <c r="AJ192" s="22">
        <v>182</v>
      </c>
      <c r="AK192" s="22">
        <v>0.81512499999999999</v>
      </c>
      <c r="AL192">
        <f t="shared" si="30"/>
        <v>15.718395061728396</v>
      </c>
      <c r="AM192">
        <f t="shared" si="31"/>
        <v>12.834038131111111</v>
      </c>
      <c r="AP192" s="9"/>
      <c r="AQ192" s="22">
        <v>0.78353899999999999</v>
      </c>
      <c r="AR192" s="22">
        <v>24.7287</v>
      </c>
      <c r="AS192" s="22">
        <v>-1.30676E-2</v>
      </c>
      <c r="AT192" s="22">
        <v>182</v>
      </c>
      <c r="AU192" s="22">
        <v>0.78216600000000003</v>
      </c>
      <c r="AV192">
        <f t="shared" si="32"/>
        <v>16.132839506172839</v>
      </c>
      <c r="AW192">
        <f t="shared" si="33"/>
        <v>12.64070893382716</v>
      </c>
      <c r="AX192" s="9"/>
      <c r="AY192" s="22">
        <v>0.81649799999999995</v>
      </c>
      <c r="AZ192" s="22">
        <v>28.346399999999999</v>
      </c>
      <c r="BA192" s="22">
        <v>-1.2814300000000001E-2</v>
      </c>
      <c r="BB192" s="22">
        <v>182</v>
      </c>
      <c r="BC192" s="22">
        <v>0.81542999999999999</v>
      </c>
      <c r="BD192">
        <f t="shared" si="34"/>
        <v>15.820123456790125</v>
      </c>
      <c r="BE192">
        <f t="shared" si="35"/>
        <v>12.917099162222222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6.9093099999999996</v>
      </c>
      <c r="I193" s="22">
        <v>-1.29578E-2</v>
      </c>
      <c r="J193" s="22">
        <v>183</v>
      </c>
      <c r="K193" s="22">
        <v>0.77728299999999995</v>
      </c>
      <c r="L193">
        <f t="shared" si="24"/>
        <v>15.997283950617284</v>
      </c>
      <c r="M193">
        <f t="shared" si="25"/>
        <v>12.453933547407406</v>
      </c>
      <c r="N193" s="9"/>
      <c r="O193" s="22">
        <v>0.82153299999999996</v>
      </c>
      <c r="P193" s="22">
        <v>10.527100000000001</v>
      </c>
      <c r="Q193" s="22">
        <v>-1.2683099999999999E-2</v>
      </c>
      <c r="R193" s="22">
        <v>183</v>
      </c>
      <c r="S193" s="22">
        <v>0.82092299999999996</v>
      </c>
      <c r="T193">
        <f t="shared" si="26"/>
        <v>15.658148148148147</v>
      </c>
      <c r="U193">
        <f t="shared" si="27"/>
        <v>12.863685422592591</v>
      </c>
      <c r="X193" s="9"/>
      <c r="Y193" s="22">
        <v>0.77850299999999995</v>
      </c>
      <c r="Z193" s="22">
        <v>15.8035</v>
      </c>
      <c r="AA193" s="22">
        <v>-1.29944E-2</v>
      </c>
      <c r="AB193" s="22">
        <v>183</v>
      </c>
      <c r="AC193" s="22">
        <v>0.77789299999999995</v>
      </c>
      <c r="AD193">
        <f t="shared" si="28"/>
        <v>16.042469135802467</v>
      </c>
      <c r="AE193">
        <f t="shared" si="29"/>
        <v>12.489110349629627</v>
      </c>
      <c r="AF193" s="9"/>
      <c r="AG193" s="22">
        <v>0.82153299999999996</v>
      </c>
      <c r="AH193" s="22">
        <v>19.421299999999999</v>
      </c>
      <c r="AI193" s="22">
        <v>-1.2731900000000001E-2</v>
      </c>
      <c r="AJ193" s="22">
        <v>183</v>
      </c>
      <c r="AK193" s="22">
        <v>0.82061799999999996</v>
      </c>
      <c r="AL193">
        <f t="shared" si="30"/>
        <v>15.718395061728396</v>
      </c>
      <c r="AM193">
        <f t="shared" si="31"/>
        <v>12.913180250246914</v>
      </c>
      <c r="AP193" s="9"/>
      <c r="AQ193" s="22">
        <v>0.77850299999999995</v>
      </c>
      <c r="AR193" s="22">
        <v>24.738700000000001</v>
      </c>
      <c r="AS193" s="22">
        <v>-1.30768E-2</v>
      </c>
      <c r="AT193" s="22">
        <v>183</v>
      </c>
      <c r="AU193" s="22">
        <v>0.77758799999999995</v>
      </c>
      <c r="AV193">
        <f t="shared" si="32"/>
        <v>16.144197530864194</v>
      </c>
      <c r="AW193">
        <f t="shared" si="33"/>
        <v>12.568306210370366</v>
      </c>
      <c r="AX193" s="9"/>
      <c r="AY193" s="22">
        <v>0.82153299999999996</v>
      </c>
      <c r="AZ193" s="22">
        <v>28.3565</v>
      </c>
      <c r="BA193" s="22">
        <v>-1.2805199999999999E-2</v>
      </c>
      <c r="BB193" s="22">
        <v>183</v>
      </c>
      <c r="BC193" s="22">
        <v>0.82031299999999996</v>
      </c>
      <c r="BD193">
        <f t="shared" si="34"/>
        <v>15.808888888888886</v>
      </c>
      <c r="BE193">
        <f t="shared" si="35"/>
        <v>12.987523915555553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6.9193800000000003</v>
      </c>
      <c r="I194" s="22">
        <v>-1.29639E-2</v>
      </c>
      <c r="J194" s="22">
        <v>184</v>
      </c>
      <c r="K194" s="22">
        <v>0.77239999999999998</v>
      </c>
      <c r="L194">
        <f t="shared" si="24"/>
        <v>16.004814814814814</v>
      </c>
      <c r="M194">
        <f t="shared" si="25"/>
        <v>12.379212105185186</v>
      </c>
      <c r="N194" s="9"/>
      <c r="O194" s="22">
        <v>0.826569</v>
      </c>
      <c r="P194" s="22">
        <v>10.5372</v>
      </c>
      <c r="Q194" s="22">
        <v>-1.2670900000000001E-2</v>
      </c>
      <c r="R194" s="22">
        <v>184</v>
      </c>
      <c r="S194" s="22">
        <v>0.82611100000000004</v>
      </c>
      <c r="T194">
        <f t="shared" si="26"/>
        <v>15.643086419753088</v>
      </c>
      <c r="U194">
        <f t="shared" si="27"/>
        <v>12.93009029888889</v>
      </c>
      <c r="X194" s="9"/>
      <c r="Y194" s="22">
        <v>0.77346800000000004</v>
      </c>
      <c r="Z194" s="22">
        <v>15.813599999999999</v>
      </c>
      <c r="AA194" s="22">
        <v>-1.2991300000000001E-2</v>
      </c>
      <c r="AB194" s="22">
        <v>184</v>
      </c>
      <c r="AC194" s="22">
        <v>0.77300999999999997</v>
      </c>
      <c r="AD194">
        <f t="shared" si="28"/>
        <v>16.038641975308643</v>
      </c>
      <c r="AE194">
        <f t="shared" si="29"/>
        <v>12.405376331358026</v>
      </c>
      <c r="AF194" s="9"/>
      <c r="AG194" s="22">
        <v>0.826569</v>
      </c>
      <c r="AH194" s="22">
        <v>19.4314</v>
      </c>
      <c r="AI194" s="22">
        <v>-1.2722799999999999E-2</v>
      </c>
      <c r="AJ194" s="22">
        <v>184</v>
      </c>
      <c r="AK194" s="22">
        <v>0.82580600000000004</v>
      </c>
      <c r="AL194">
        <f t="shared" si="30"/>
        <v>15.707160493827157</v>
      </c>
      <c r="AM194">
        <f t="shared" si="31"/>
        <v>12.98305194222222</v>
      </c>
      <c r="AP194" s="9"/>
      <c r="AQ194" s="22">
        <v>0.77346800000000004</v>
      </c>
      <c r="AR194" s="22">
        <v>24.748799999999999</v>
      </c>
      <c r="AS194" s="22">
        <v>-1.3085899999999999E-2</v>
      </c>
      <c r="AT194" s="22">
        <v>184</v>
      </c>
      <c r="AU194" s="22">
        <v>0.77300999999999997</v>
      </c>
      <c r="AV194">
        <f t="shared" si="32"/>
        <v>16.155432098765431</v>
      </c>
      <c r="AW194">
        <f t="shared" si="33"/>
        <v>12.495709754567901</v>
      </c>
      <c r="AX194" s="9"/>
      <c r="AY194" s="22">
        <v>0.826569</v>
      </c>
      <c r="AZ194" s="22">
        <v>28.366599999999998</v>
      </c>
      <c r="BA194" s="22">
        <v>-1.2799100000000001E-2</v>
      </c>
      <c r="BB194" s="22">
        <v>184</v>
      </c>
      <c r="BC194" s="22">
        <v>0.82580600000000004</v>
      </c>
      <c r="BD194">
        <f t="shared" si="34"/>
        <v>15.801358024691359</v>
      </c>
      <c r="BE194">
        <f t="shared" si="35"/>
        <v>13.060912701111112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6.9294500000000001</v>
      </c>
      <c r="I195" s="22">
        <v>-1.2976100000000001E-2</v>
      </c>
      <c r="J195" s="22">
        <v>185</v>
      </c>
      <c r="K195" s="22">
        <v>0.76721200000000001</v>
      </c>
      <c r="L195">
        <f t="shared" si="24"/>
        <v>16.019876543209875</v>
      </c>
      <c r="M195">
        <f t="shared" si="25"/>
        <v>12.310201791728394</v>
      </c>
      <c r="N195" s="9"/>
      <c r="O195" s="22">
        <v>0.83160400000000001</v>
      </c>
      <c r="P195" s="22">
        <v>10.5472</v>
      </c>
      <c r="Q195" s="22">
        <v>-1.2655599999999999E-2</v>
      </c>
      <c r="R195" s="22">
        <v>185</v>
      </c>
      <c r="S195" s="22">
        <v>0.83068799999999998</v>
      </c>
      <c r="T195">
        <f t="shared" si="26"/>
        <v>15.624197530864196</v>
      </c>
      <c r="U195">
        <f t="shared" si="27"/>
        <v>12.99314516345679</v>
      </c>
      <c r="X195" s="9"/>
      <c r="Y195" s="22">
        <v>0.76843300000000003</v>
      </c>
      <c r="Z195" s="22">
        <v>15.823700000000001</v>
      </c>
      <c r="AA195" s="22">
        <v>-1.2997399999999999E-2</v>
      </c>
      <c r="AB195" s="22">
        <v>185</v>
      </c>
      <c r="AC195" s="22">
        <v>0.76721200000000001</v>
      </c>
      <c r="AD195">
        <f t="shared" si="28"/>
        <v>16.04617283950617</v>
      </c>
      <c r="AE195">
        <f t="shared" si="29"/>
        <v>12.330408733580246</v>
      </c>
      <c r="AF195" s="9"/>
      <c r="AG195" s="22">
        <v>0.83160400000000001</v>
      </c>
      <c r="AH195" s="22">
        <v>19.441400000000002</v>
      </c>
      <c r="AI195" s="22">
        <v>-1.27136E-2</v>
      </c>
      <c r="AJ195" s="22">
        <v>185</v>
      </c>
      <c r="AK195" s="22">
        <v>0.83007799999999998</v>
      </c>
      <c r="AL195">
        <f t="shared" si="30"/>
        <v>15.695802469135801</v>
      </c>
      <c r="AM195">
        <f t="shared" si="31"/>
        <v>13.052692116543209</v>
      </c>
      <c r="AP195" s="9"/>
      <c r="AQ195" s="22">
        <v>0.76843300000000003</v>
      </c>
      <c r="AR195" s="22">
        <v>24.758900000000001</v>
      </c>
      <c r="AS195" s="22">
        <v>-1.30981E-2</v>
      </c>
      <c r="AT195" s="22">
        <v>185</v>
      </c>
      <c r="AU195" s="22">
        <v>0.767517</v>
      </c>
      <c r="AV195">
        <f t="shared" si="32"/>
        <v>16.170493827160495</v>
      </c>
      <c r="AW195">
        <f t="shared" si="33"/>
        <v>12.425941083086421</v>
      </c>
      <c r="AX195" s="9"/>
      <c r="AY195" s="22">
        <v>0.83160400000000001</v>
      </c>
      <c r="AZ195" s="22">
        <v>28.3767</v>
      </c>
      <c r="BA195" s="22">
        <v>-1.2796E-2</v>
      </c>
      <c r="BB195" s="22">
        <v>185</v>
      </c>
      <c r="BC195" s="22">
        <v>0.83129900000000001</v>
      </c>
      <c r="BD195">
        <f t="shared" si="34"/>
        <v>15.79753086419753</v>
      </c>
      <c r="BE195">
        <f t="shared" si="35"/>
        <v>13.137289856790122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6.9395300000000004</v>
      </c>
      <c r="I196" s="22">
        <v>-1.2985200000000001E-2</v>
      </c>
      <c r="J196" s="22">
        <v>186</v>
      </c>
      <c r="K196" s="22">
        <v>0.76293900000000003</v>
      </c>
      <c r="L196">
        <f t="shared" si="24"/>
        <v>16.031111111111109</v>
      </c>
      <c r="M196">
        <f t="shared" si="25"/>
        <v>12.238102128888887</v>
      </c>
      <c r="N196" s="9"/>
      <c r="O196" s="22">
        <v>0.83663900000000002</v>
      </c>
      <c r="P196" s="22">
        <v>10.5573</v>
      </c>
      <c r="Q196" s="22">
        <v>-1.26404E-2</v>
      </c>
      <c r="R196" s="22">
        <v>186</v>
      </c>
      <c r="S196" s="22">
        <v>0.83648699999999998</v>
      </c>
      <c r="T196">
        <f t="shared" si="26"/>
        <v>15.60543209876543</v>
      </c>
      <c r="U196">
        <f t="shared" si="27"/>
        <v>13.05611310567901</v>
      </c>
      <c r="X196" s="9"/>
      <c r="Y196" s="22">
        <v>0.76339699999999999</v>
      </c>
      <c r="Z196" s="22">
        <v>15.8337</v>
      </c>
      <c r="AA196" s="22">
        <v>-1.29944E-2</v>
      </c>
      <c r="AB196" s="22">
        <v>186</v>
      </c>
      <c r="AC196" s="22">
        <v>0.76263400000000003</v>
      </c>
      <c r="AD196">
        <f t="shared" si="28"/>
        <v>16.042469135802467</v>
      </c>
      <c r="AE196">
        <f t="shared" si="29"/>
        <v>12.246772810864195</v>
      </c>
      <c r="AF196" s="9"/>
      <c r="AG196" s="22">
        <v>0.83663900000000002</v>
      </c>
      <c r="AH196" s="22">
        <v>19.451499999999999</v>
      </c>
      <c r="AI196" s="22">
        <v>-1.26923E-2</v>
      </c>
      <c r="AJ196" s="22">
        <v>186</v>
      </c>
      <c r="AK196" s="22">
        <v>0.83557099999999995</v>
      </c>
      <c r="AL196">
        <f t="shared" si="30"/>
        <v>15.669506172839506</v>
      </c>
      <c r="AM196">
        <f t="shared" si="31"/>
        <v>13.109719974938272</v>
      </c>
      <c r="AP196" s="9"/>
      <c r="AQ196" s="22">
        <v>0.76339699999999999</v>
      </c>
      <c r="AR196" s="22">
        <v>24.768999999999998</v>
      </c>
      <c r="AS196" s="22">
        <v>-1.31042E-2</v>
      </c>
      <c r="AT196" s="22">
        <v>186</v>
      </c>
      <c r="AU196" s="22">
        <v>0.76232900000000003</v>
      </c>
      <c r="AV196">
        <f t="shared" si="32"/>
        <v>16.178024691358022</v>
      </c>
      <c r="AW196">
        <f t="shared" si="33"/>
        <v>12.350255515308639</v>
      </c>
      <c r="AX196" s="9"/>
      <c r="AY196" s="22">
        <v>0.83663900000000002</v>
      </c>
      <c r="AZ196" s="22">
        <v>28.386700000000001</v>
      </c>
      <c r="BA196" s="22">
        <v>-1.27808E-2</v>
      </c>
      <c r="BB196" s="22">
        <v>186</v>
      </c>
      <c r="BC196" s="22">
        <v>0.83557099999999995</v>
      </c>
      <c r="BD196">
        <f t="shared" si="34"/>
        <v>15.778765432098764</v>
      </c>
      <c r="BE196">
        <f t="shared" si="35"/>
        <v>13.201130532345678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6.9496000000000002</v>
      </c>
      <c r="I197" s="22">
        <v>-1.29944E-2</v>
      </c>
      <c r="J197" s="22">
        <v>187</v>
      </c>
      <c r="K197" s="22">
        <v>0.75805699999999998</v>
      </c>
      <c r="L197">
        <f t="shared" si="24"/>
        <v>16.042469135802467</v>
      </c>
      <c r="M197">
        <f t="shared" si="25"/>
        <v>12.16599897876543</v>
      </c>
      <c r="N197" s="9"/>
      <c r="O197" s="22">
        <v>0.84167499999999995</v>
      </c>
      <c r="P197" s="22">
        <v>10.567399999999999</v>
      </c>
      <c r="Q197" s="22">
        <v>-1.2634299999999999E-2</v>
      </c>
      <c r="R197" s="22">
        <v>187</v>
      </c>
      <c r="S197" s="22">
        <v>0.84106400000000003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0.75836199999999998</v>
      </c>
      <c r="Z197" s="22">
        <v>15.8438</v>
      </c>
      <c r="AA197" s="22">
        <v>-1.30005E-2</v>
      </c>
      <c r="AB197" s="22">
        <v>187</v>
      </c>
      <c r="AC197" s="22">
        <v>0.75775099999999995</v>
      </c>
      <c r="AD197">
        <f t="shared" si="28"/>
        <v>16.049999999999997</v>
      </c>
      <c r="AE197">
        <f t="shared" si="29"/>
        <v>12.171710099999997</v>
      </c>
      <c r="AF197" s="9"/>
      <c r="AG197" s="22">
        <v>0.84167499999999995</v>
      </c>
      <c r="AH197" s="22">
        <v>19.461600000000001</v>
      </c>
      <c r="AI197" s="22">
        <v>-1.2683099999999999E-2</v>
      </c>
      <c r="AJ197" s="22">
        <v>187</v>
      </c>
      <c r="AK197" s="22">
        <v>0.84075900000000003</v>
      </c>
      <c r="AL197">
        <f t="shared" si="30"/>
        <v>15.658148148148147</v>
      </c>
      <c r="AM197">
        <f t="shared" si="31"/>
        <v>13.17907184259259</v>
      </c>
      <c r="AP197" s="9"/>
      <c r="AQ197" s="22">
        <v>0.75836199999999998</v>
      </c>
      <c r="AR197" s="22">
        <v>24.779</v>
      </c>
      <c r="AS197" s="22">
        <v>-1.3110399999999999E-2</v>
      </c>
      <c r="AT197" s="22">
        <v>187</v>
      </c>
      <c r="AU197" s="22">
        <v>0.75744599999999995</v>
      </c>
      <c r="AV197">
        <f t="shared" si="32"/>
        <v>16.185679012345677</v>
      </c>
      <c r="AW197">
        <f t="shared" si="33"/>
        <v>12.274603907160492</v>
      </c>
      <c r="AX197" s="9"/>
      <c r="AY197" s="22">
        <v>0.84167499999999995</v>
      </c>
      <c r="AZ197" s="22">
        <v>28.396799999999999</v>
      </c>
      <c r="BA197" s="22">
        <v>-1.2765500000000001E-2</v>
      </c>
      <c r="BB197" s="22">
        <v>187</v>
      </c>
      <c r="BC197" s="22">
        <v>0.84075900000000003</v>
      </c>
      <c r="BD197">
        <f t="shared" si="34"/>
        <v>15.759876543209876</v>
      </c>
      <c r="BE197">
        <f t="shared" si="35"/>
        <v>13.264694089506172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6.95967</v>
      </c>
      <c r="I198" s="22">
        <v>-1.30066E-2</v>
      </c>
      <c r="J198" s="22">
        <v>188</v>
      </c>
      <c r="K198" s="22">
        <v>0.75256299999999998</v>
      </c>
      <c r="L198">
        <f t="shared" si="24"/>
        <v>16.057530864197531</v>
      </c>
      <c r="M198">
        <f t="shared" si="25"/>
        <v>12.09655549580247</v>
      </c>
      <c r="N198" s="9"/>
      <c r="O198" s="22">
        <v>0.84670999999999996</v>
      </c>
      <c r="P198" s="22">
        <v>10.577400000000001</v>
      </c>
      <c r="Q198" s="22">
        <v>-1.2628199999999999E-2</v>
      </c>
      <c r="R198" s="22">
        <v>188</v>
      </c>
      <c r="S198" s="22">
        <v>0.846252</v>
      </c>
      <c r="T198">
        <f t="shared" si="26"/>
        <v>15.590370370370369</v>
      </c>
      <c r="U198">
        <f t="shared" si="27"/>
        <v>13.200522496296294</v>
      </c>
      <c r="X198" s="9"/>
      <c r="Y198" s="22">
        <v>0.75332600000000005</v>
      </c>
      <c r="Z198" s="22">
        <v>15.853899999999999</v>
      </c>
      <c r="AA198" s="22">
        <v>-1.30096E-2</v>
      </c>
      <c r="AB198" s="22">
        <v>188</v>
      </c>
      <c r="AC198" s="22">
        <v>0.75256299999999998</v>
      </c>
      <c r="AD198">
        <f t="shared" si="28"/>
        <v>16.061234567901234</v>
      </c>
      <c r="AE198">
        <f t="shared" si="29"/>
        <v>12.099345592098766</v>
      </c>
      <c r="AF198" s="9"/>
      <c r="AG198" s="22">
        <v>0.84670999999999996</v>
      </c>
      <c r="AH198" s="22">
        <v>19.471599999999999</v>
      </c>
      <c r="AI198" s="22">
        <v>-1.26587E-2</v>
      </c>
      <c r="AJ198" s="22">
        <v>188</v>
      </c>
      <c r="AK198" s="22">
        <v>0.845947</v>
      </c>
      <c r="AL198">
        <f t="shared" si="30"/>
        <v>15.628024691358023</v>
      </c>
      <c r="AM198">
        <f t="shared" si="31"/>
        <v>13.232404786419751</v>
      </c>
      <c r="AP198" s="9"/>
      <c r="AQ198" s="22">
        <v>0.75332600000000005</v>
      </c>
      <c r="AR198" s="22">
        <v>24.789100000000001</v>
      </c>
      <c r="AS198" s="22">
        <v>-1.31226E-2</v>
      </c>
      <c r="AT198" s="22">
        <v>188</v>
      </c>
      <c r="AU198" s="22">
        <v>0.75286900000000001</v>
      </c>
      <c r="AV198">
        <f t="shared" si="32"/>
        <v>16.200740740740741</v>
      </c>
      <c r="AW198">
        <f t="shared" si="33"/>
        <v>12.20443921925926</v>
      </c>
      <c r="AX198" s="9"/>
      <c r="AY198" s="22">
        <v>0.84670999999999996</v>
      </c>
      <c r="AZ198" s="22">
        <v>28.4069</v>
      </c>
      <c r="BA198" s="22">
        <v>-1.27563E-2</v>
      </c>
      <c r="BB198" s="22">
        <v>188</v>
      </c>
      <c r="BC198" s="22">
        <v>0.846252</v>
      </c>
      <c r="BD198">
        <f t="shared" si="34"/>
        <v>15.748518518518516</v>
      </c>
      <c r="BE198">
        <f t="shared" si="35"/>
        <v>13.334428114814813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6.9697399999999998</v>
      </c>
      <c r="I199" s="22">
        <v>-1.3018800000000001E-2</v>
      </c>
      <c r="J199" s="22">
        <v>189</v>
      </c>
      <c r="K199" s="22">
        <v>0.74752799999999997</v>
      </c>
      <c r="L199">
        <f t="shared" si="24"/>
        <v>16.072592592592592</v>
      </c>
      <c r="M199">
        <f t="shared" si="25"/>
        <v>12.026976383703705</v>
      </c>
      <c r="N199" s="9"/>
      <c r="O199" s="22">
        <v>0.851746</v>
      </c>
      <c r="P199" s="22">
        <v>10.5875</v>
      </c>
      <c r="Q199" s="22">
        <v>-1.2619E-2</v>
      </c>
      <c r="R199" s="22">
        <v>189</v>
      </c>
      <c r="S199" s="22">
        <v>0.85113499999999997</v>
      </c>
      <c r="T199">
        <f t="shared" si="26"/>
        <v>15.579012345679011</v>
      </c>
      <c r="U199">
        <f t="shared" si="27"/>
        <v>13.269361449382716</v>
      </c>
      <c r="X199" s="9"/>
      <c r="Y199" s="22">
        <v>0.74829100000000004</v>
      </c>
      <c r="Z199" s="22">
        <v>15.863899999999999</v>
      </c>
      <c r="AA199" s="22">
        <v>-1.30096E-2</v>
      </c>
      <c r="AB199" s="22">
        <v>189</v>
      </c>
      <c r="AC199" s="22">
        <v>0.74752799999999997</v>
      </c>
      <c r="AD199">
        <f t="shared" si="28"/>
        <v>16.061234567901234</v>
      </c>
      <c r="AE199">
        <f t="shared" si="29"/>
        <v>12.018477276049383</v>
      </c>
      <c r="AF199" s="9"/>
      <c r="AG199" s="22">
        <v>0.851746</v>
      </c>
      <c r="AH199" s="22">
        <v>19.4817</v>
      </c>
      <c r="AI199" s="22">
        <v>-1.2643400000000001E-2</v>
      </c>
      <c r="AJ199" s="22">
        <v>189</v>
      </c>
      <c r="AK199" s="22">
        <v>0.85052499999999998</v>
      </c>
      <c r="AL199">
        <f t="shared" si="30"/>
        <v>15.609135802469137</v>
      </c>
      <c r="AM199">
        <f t="shared" si="31"/>
        <v>13.295018983209877</v>
      </c>
      <c r="AP199" s="9"/>
      <c r="AQ199" s="22">
        <v>0.74829100000000004</v>
      </c>
      <c r="AR199" s="22">
        <v>24.799199999999999</v>
      </c>
      <c r="AS199" s="22">
        <v>-1.31226E-2</v>
      </c>
      <c r="AT199" s="22">
        <v>189</v>
      </c>
      <c r="AU199" s="22">
        <v>0.74755899999999997</v>
      </c>
      <c r="AV199">
        <f t="shared" si="32"/>
        <v>16.200740740740741</v>
      </c>
      <c r="AW199">
        <f t="shared" si="33"/>
        <v>12.122868489629631</v>
      </c>
      <c r="AX199" s="9"/>
      <c r="AY199" s="22">
        <v>0.851746</v>
      </c>
      <c r="AZ199" s="22">
        <v>28.416899999999998</v>
      </c>
      <c r="BA199" s="22">
        <v>-1.27411E-2</v>
      </c>
      <c r="BB199" s="22">
        <v>189</v>
      </c>
      <c r="BC199" s="22">
        <v>0.85052499999999998</v>
      </c>
      <c r="BD199">
        <f t="shared" si="34"/>
        <v>15.729753086419752</v>
      </c>
      <c r="BE199">
        <f t="shared" si="35"/>
        <v>13.397754272345678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6.9798099999999996</v>
      </c>
      <c r="I200" s="22">
        <v>-1.30341E-2</v>
      </c>
      <c r="J200" s="22">
        <v>190</v>
      </c>
      <c r="K200" s="22">
        <v>0.742645</v>
      </c>
      <c r="L200">
        <f t="shared" si="24"/>
        <v>16.09148148148148</v>
      </c>
      <c r="M200">
        <f t="shared" si="25"/>
        <v>11.96009016</v>
      </c>
      <c r="N200" s="9"/>
      <c r="O200" s="22">
        <v>0.85678100000000001</v>
      </c>
      <c r="P200" s="22">
        <v>10.5976</v>
      </c>
      <c r="Q200" s="22">
        <v>-1.2616E-2</v>
      </c>
      <c r="R200" s="22">
        <v>190</v>
      </c>
      <c r="S200" s="22">
        <v>0.85540799999999995</v>
      </c>
      <c r="T200">
        <f t="shared" si="26"/>
        <v>15.575308641975308</v>
      </c>
      <c r="U200">
        <f t="shared" si="27"/>
        <v>13.344628513580247</v>
      </c>
      <c r="X200" s="9"/>
      <c r="Y200" s="22">
        <v>0.74325600000000003</v>
      </c>
      <c r="Z200" s="22">
        <v>15.874000000000001</v>
      </c>
      <c r="AA200" s="22">
        <v>-1.30127E-2</v>
      </c>
      <c r="AB200" s="22">
        <v>190</v>
      </c>
      <c r="AC200" s="22">
        <v>0.74255400000000005</v>
      </c>
      <c r="AD200">
        <f t="shared" si="28"/>
        <v>16.065061728395062</v>
      </c>
      <c r="AE200">
        <f t="shared" si="29"/>
        <v>11.94045352</v>
      </c>
      <c r="AF200" s="9"/>
      <c r="AG200" s="22">
        <v>0.85678100000000001</v>
      </c>
      <c r="AH200" s="22">
        <v>19.491800000000001</v>
      </c>
      <c r="AI200" s="22">
        <v>-1.26251E-2</v>
      </c>
      <c r="AJ200" s="22">
        <v>190</v>
      </c>
      <c r="AK200" s="22">
        <v>0.85601799999999995</v>
      </c>
      <c r="AL200">
        <f t="shared" si="30"/>
        <v>15.586543209876544</v>
      </c>
      <c r="AM200">
        <f t="shared" si="31"/>
        <v>13.354254077901235</v>
      </c>
      <c r="AP200" s="9"/>
      <c r="AQ200" s="22">
        <v>0.74325600000000003</v>
      </c>
      <c r="AR200" s="22">
        <v>24.809200000000001</v>
      </c>
      <c r="AS200" s="22">
        <v>-1.31165E-2</v>
      </c>
      <c r="AT200" s="22">
        <v>190</v>
      </c>
      <c r="AU200" s="22">
        <v>0.74255400000000005</v>
      </c>
      <c r="AV200">
        <f t="shared" si="32"/>
        <v>16.193209876543211</v>
      </c>
      <c r="AW200">
        <f t="shared" si="33"/>
        <v>12.035700400000001</v>
      </c>
      <c r="AX200" s="9"/>
      <c r="AY200" s="22">
        <v>0.85678100000000001</v>
      </c>
      <c r="AZ200" s="22">
        <v>28.427</v>
      </c>
      <c r="BA200" s="22">
        <v>-1.27289E-2</v>
      </c>
      <c r="BB200" s="22">
        <v>190</v>
      </c>
      <c r="BC200" s="22">
        <v>0.85601799999999995</v>
      </c>
      <c r="BD200">
        <f t="shared" si="34"/>
        <v>15.714691358024689</v>
      </c>
      <c r="BE200">
        <f t="shared" si="35"/>
        <v>13.464048976419752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6.9898800000000003</v>
      </c>
      <c r="I201" s="22">
        <v>-1.30402E-2</v>
      </c>
      <c r="J201" s="22">
        <v>191</v>
      </c>
      <c r="K201" s="22">
        <v>0.73754900000000001</v>
      </c>
      <c r="L201">
        <f t="shared" si="24"/>
        <v>16.099012345679011</v>
      </c>
      <c r="M201">
        <f t="shared" si="25"/>
        <v>11.884612893827159</v>
      </c>
      <c r="N201" s="9"/>
      <c r="O201" s="22">
        <v>0.86181600000000003</v>
      </c>
      <c r="P201" s="22">
        <v>10.6076</v>
      </c>
      <c r="Q201" s="22">
        <v>-1.26129E-2</v>
      </c>
      <c r="R201" s="22">
        <v>191</v>
      </c>
      <c r="S201" s="22">
        <v>0.86090100000000003</v>
      </c>
      <c r="T201">
        <f t="shared" si="26"/>
        <v>15.571481481481479</v>
      </c>
      <c r="U201">
        <f t="shared" si="27"/>
        <v>13.419751884444443</v>
      </c>
      <c r="X201" s="9"/>
      <c r="Y201" s="22">
        <v>0.73821999999999999</v>
      </c>
      <c r="Z201" s="22">
        <v>15.8841</v>
      </c>
      <c r="AA201" s="22">
        <v>-1.3024900000000001E-2</v>
      </c>
      <c r="AB201" s="22">
        <v>191</v>
      </c>
      <c r="AC201" s="22">
        <v>0.73754900000000001</v>
      </c>
      <c r="AD201">
        <f t="shared" si="28"/>
        <v>16.080123456790126</v>
      </c>
      <c r="AE201">
        <f t="shared" si="29"/>
        <v>11.870668738271606</v>
      </c>
      <c r="AF201" s="9"/>
      <c r="AG201" s="22">
        <v>0.86181600000000003</v>
      </c>
      <c r="AH201" s="22">
        <v>19.501899999999999</v>
      </c>
      <c r="AI201" s="22">
        <v>-1.26068E-2</v>
      </c>
      <c r="AJ201" s="22">
        <v>191</v>
      </c>
      <c r="AK201" s="22">
        <v>0.86090100000000003</v>
      </c>
      <c r="AL201">
        <f t="shared" si="30"/>
        <v>15.56395061728395</v>
      </c>
      <c r="AM201">
        <f t="shared" si="31"/>
        <v>13.413261665185185</v>
      </c>
      <c r="AP201" s="9"/>
      <c r="AQ201" s="22">
        <v>0.73821999999999999</v>
      </c>
      <c r="AR201" s="22">
        <v>24.819299999999998</v>
      </c>
      <c r="AS201" s="22">
        <v>-1.3107300000000001E-2</v>
      </c>
      <c r="AT201" s="22">
        <v>191</v>
      </c>
      <c r="AU201" s="22">
        <v>0.73751800000000001</v>
      </c>
      <c r="AV201">
        <f t="shared" si="32"/>
        <v>16.181851851851849</v>
      </c>
      <c r="AW201">
        <f t="shared" si="33"/>
        <v>11.945766674074072</v>
      </c>
      <c r="AX201" s="9"/>
      <c r="AY201" s="22">
        <v>0.86181600000000003</v>
      </c>
      <c r="AZ201" s="22">
        <v>28.437100000000001</v>
      </c>
      <c r="BA201" s="22">
        <v>-1.2710600000000001E-2</v>
      </c>
      <c r="BB201" s="22">
        <v>191</v>
      </c>
      <c r="BC201" s="22">
        <v>0.86181600000000003</v>
      </c>
      <c r="BD201">
        <f t="shared" si="34"/>
        <v>15.692098765432098</v>
      </c>
      <c r="BE201">
        <f t="shared" si="35"/>
        <v>13.52370178962963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6.9999500000000001</v>
      </c>
      <c r="I202" s="22">
        <v>-1.30432E-2</v>
      </c>
      <c r="J202" s="22">
        <v>192</v>
      </c>
      <c r="K202" s="22">
        <v>0.73242200000000002</v>
      </c>
      <c r="L202">
        <f t="shared" si="24"/>
        <v>16.102716049382714</v>
      </c>
      <c r="M202">
        <f t="shared" si="25"/>
        <v>11.806269866666664</v>
      </c>
      <c r="N202" s="9"/>
      <c r="O202" s="22">
        <v>0.86685199999999996</v>
      </c>
      <c r="P202" s="22">
        <v>10.617699999999999</v>
      </c>
      <c r="Q202" s="22">
        <v>-1.26099E-2</v>
      </c>
      <c r="R202" s="22">
        <v>192</v>
      </c>
      <c r="S202" s="22">
        <v>0.866089</v>
      </c>
      <c r="T202">
        <f t="shared" si="26"/>
        <v>15.567777777777778</v>
      </c>
      <c r="U202">
        <f t="shared" si="27"/>
        <v>13.494959302222222</v>
      </c>
      <c r="X202" s="9"/>
      <c r="Y202" s="22">
        <v>0.73318499999999998</v>
      </c>
      <c r="Z202" s="22">
        <v>15.8942</v>
      </c>
      <c r="AA202" s="22">
        <v>-1.3030999999999999E-2</v>
      </c>
      <c r="AB202" s="22">
        <v>192</v>
      </c>
      <c r="AC202" s="22">
        <v>0.73251299999999997</v>
      </c>
      <c r="AD202">
        <f t="shared" si="28"/>
        <v>16.087654320987653</v>
      </c>
      <c r="AE202">
        <f t="shared" si="29"/>
        <v>11.795226833333333</v>
      </c>
      <c r="AF202" s="9"/>
      <c r="AG202" s="22">
        <v>0.86685199999999996</v>
      </c>
      <c r="AH202" s="22">
        <v>19.511900000000001</v>
      </c>
      <c r="AI202" s="22">
        <v>-1.25977E-2</v>
      </c>
      <c r="AJ202" s="22">
        <v>192</v>
      </c>
      <c r="AK202" s="22">
        <v>0.866394</v>
      </c>
      <c r="AL202">
        <f t="shared" si="30"/>
        <v>15.552716049382715</v>
      </c>
      <c r="AM202">
        <f t="shared" si="31"/>
        <v>13.481903012839505</v>
      </c>
      <c r="AP202" s="9"/>
      <c r="AQ202" s="22">
        <v>0.73318499999999998</v>
      </c>
      <c r="AR202" s="22">
        <v>24.8294</v>
      </c>
      <c r="AS202" s="22">
        <v>-1.3107300000000001E-2</v>
      </c>
      <c r="AT202" s="22">
        <v>192</v>
      </c>
      <c r="AU202" s="22">
        <v>0.732483</v>
      </c>
      <c r="AV202">
        <f t="shared" si="32"/>
        <v>16.181851851851849</v>
      </c>
      <c r="AW202">
        <f t="shared" si="33"/>
        <v>11.864291049999999</v>
      </c>
      <c r="AX202" s="9"/>
      <c r="AY202" s="22">
        <v>0.86685199999999996</v>
      </c>
      <c r="AZ202" s="22">
        <v>28.447199999999999</v>
      </c>
      <c r="BA202" s="22">
        <v>-1.26953E-2</v>
      </c>
      <c r="BB202" s="22">
        <v>192</v>
      </c>
      <c r="BC202" s="22">
        <v>0.866089</v>
      </c>
      <c r="BD202">
        <f t="shared" si="34"/>
        <v>15.67320987654321</v>
      </c>
      <c r="BE202">
        <f t="shared" si="35"/>
        <v>13.586353327901234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7.0100199999999999</v>
      </c>
      <c r="I203" s="22">
        <v>-1.30493E-2</v>
      </c>
      <c r="J203" s="22">
        <v>193</v>
      </c>
      <c r="K203" s="22">
        <v>0.72744799999999998</v>
      </c>
      <c r="L203">
        <f t="shared" si="24"/>
        <v>16.110246913580244</v>
      </c>
      <c r="M203">
        <f t="shared" si="25"/>
        <v>11.730660179876542</v>
      </c>
      <c r="N203" s="9"/>
      <c r="O203" s="22">
        <v>0.87188699999999997</v>
      </c>
      <c r="P203" s="22">
        <v>10.627800000000001</v>
      </c>
      <c r="Q203" s="22">
        <v>-1.25977E-2</v>
      </c>
      <c r="R203" s="22">
        <v>193</v>
      </c>
      <c r="S203" s="22">
        <v>0.87127699999999997</v>
      </c>
      <c r="T203">
        <f t="shared" si="26"/>
        <v>15.552716049382715</v>
      </c>
      <c r="U203">
        <f t="shared" si="27"/>
        <v>13.560210938148147</v>
      </c>
      <c r="X203" s="9"/>
      <c r="Y203" s="22">
        <v>0.72814900000000005</v>
      </c>
      <c r="Z203" s="22">
        <v>15.904199999999999</v>
      </c>
      <c r="AA203" s="22">
        <v>-1.3030999999999999E-2</v>
      </c>
      <c r="AB203" s="22">
        <v>193</v>
      </c>
      <c r="AC203" s="22">
        <v>0.72744799999999998</v>
      </c>
      <c r="AD203">
        <f t="shared" si="28"/>
        <v>16.087654320987653</v>
      </c>
      <c r="AE203">
        <f t="shared" si="29"/>
        <v>11.71420940617284</v>
      </c>
      <c r="AF203" s="9"/>
      <c r="AG203" s="22">
        <v>0.87188699999999997</v>
      </c>
      <c r="AH203" s="22">
        <v>19.521999999999998</v>
      </c>
      <c r="AI203" s="22">
        <v>-1.25793E-2</v>
      </c>
      <c r="AJ203" s="22">
        <v>193</v>
      </c>
      <c r="AK203" s="22">
        <v>0.87097199999999997</v>
      </c>
      <c r="AL203">
        <f t="shared" si="30"/>
        <v>15.53</v>
      </c>
      <c r="AM203">
        <f t="shared" si="31"/>
        <v>13.540405109999998</v>
      </c>
      <c r="AP203" s="9"/>
      <c r="AQ203" s="22">
        <v>0.72814900000000005</v>
      </c>
      <c r="AR203" s="22">
        <v>24.839500000000001</v>
      </c>
      <c r="AS203" s="22">
        <v>-1.31165E-2</v>
      </c>
      <c r="AT203" s="22">
        <v>193</v>
      </c>
      <c r="AU203" s="22">
        <v>0.72741699999999998</v>
      </c>
      <c r="AV203">
        <f t="shared" si="32"/>
        <v>16.193209876543211</v>
      </c>
      <c r="AW203">
        <f t="shared" si="33"/>
        <v>11.791069578395064</v>
      </c>
      <c r="AX203" s="9"/>
      <c r="AY203" s="22">
        <v>0.87188699999999997</v>
      </c>
      <c r="AZ203" s="22">
        <v>28.4572</v>
      </c>
      <c r="BA203" s="22">
        <v>-1.2683099999999999E-2</v>
      </c>
      <c r="BB203" s="22">
        <v>193</v>
      </c>
      <c r="BC203" s="22">
        <v>0.87097199999999997</v>
      </c>
      <c r="BD203">
        <f t="shared" si="34"/>
        <v>15.658148148148147</v>
      </c>
      <c r="BE203">
        <f t="shared" si="35"/>
        <v>13.652135814444442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7.0200899999999997</v>
      </c>
      <c r="I204" s="22">
        <v>-1.30524E-2</v>
      </c>
      <c r="J204" s="22">
        <v>194</v>
      </c>
      <c r="K204" s="22">
        <v>0.72244299999999995</v>
      </c>
      <c r="L204">
        <f t="shared" ref="L204:L267" si="36">-I204/$F$2*1000</f>
        <v>16.114074074074072</v>
      </c>
      <c r="M204">
        <f t="shared" ref="M204:M267" si="37">L204*G204</f>
        <v>11.652312559999999</v>
      </c>
      <c r="N204" s="9"/>
      <c r="O204" s="22">
        <v>0.87692300000000001</v>
      </c>
      <c r="P204" s="22">
        <v>10.6379</v>
      </c>
      <c r="Q204" s="22">
        <v>-1.25854E-2</v>
      </c>
      <c r="R204" s="22">
        <v>194</v>
      </c>
      <c r="S204" s="22">
        <v>0.87554900000000002</v>
      </c>
      <c r="T204">
        <f t="shared" ref="T204:T267" si="38">-Q204/$F$2*1000</f>
        <v>15.53753086419753</v>
      </c>
      <c r="U204">
        <f t="shared" ref="U204:U267" si="39">T204*O204</f>
        <v>13.62521817802469</v>
      </c>
      <c r="X204" s="9"/>
      <c r="Y204" s="22">
        <v>0.72311400000000003</v>
      </c>
      <c r="Z204" s="22">
        <v>15.914300000000001</v>
      </c>
      <c r="AA204" s="22">
        <v>-1.30402E-2</v>
      </c>
      <c r="AB204" s="22">
        <v>194</v>
      </c>
      <c r="AC204" s="22">
        <v>0.72235099999999997</v>
      </c>
      <c r="AD204">
        <f t="shared" ref="AD204:AD267" si="40">-AA204/$F$2*1000</f>
        <v>16.099012345679011</v>
      </c>
      <c r="AE204">
        <f t="shared" ref="AE204:AE267" si="41">AD204*Y204</f>
        <v>11.641421213333333</v>
      </c>
      <c r="AF204" s="9"/>
      <c r="AG204" s="22">
        <v>0.87692300000000001</v>
      </c>
      <c r="AH204" s="22">
        <v>19.5321</v>
      </c>
      <c r="AI204" s="22">
        <v>-1.2567099999999999E-2</v>
      </c>
      <c r="AJ204" s="22">
        <v>194</v>
      </c>
      <c r="AK204" s="22">
        <v>0.87616000000000005</v>
      </c>
      <c r="AL204">
        <f t="shared" ref="AL204:AL267" si="42">-AI204/$F$2*1000</f>
        <v>15.514938271604937</v>
      </c>
      <c r="AM204">
        <f t="shared" ref="AM204:AM267" si="43">AL204*AG204</f>
        <v>13.605406213950616</v>
      </c>
      <c r="AP204" s="9"/>
      <c r="AQ204" s="22">
        <v>0.72311400000000003</v>
      </c>
      <c r="AR204" s="22">
        <v>24.849499999999999</v>
      </c>
      <c r="AS204" s="22">
        <v>-1.31287E-2</v>
      </c>
      <c r="AT204" s="22">
        <v>194</v>
      </c>
      <c r="AU204" s="22">
        <v>0.72241200000000005</v>
      </c>
      <c r="AV204">
        <f t="shared" ref="AV204:AV267" si="44">-AS204/$F$2*1000</f>
        <v>16.208271604938268</v>
      </c>
      <c r="AW204">
        <f t="shared" ref="AW204:AW267" si="45">AV204*AQ204</f>
        <v>11.720428113333332</v>
      </c>
      <c r="AX204" s="9"/>
      <c r="AY204" s="22">
        <v>0.87692300000000001</v>
      </c>
      <c r="AZ204" s="22">
        <v>28.467300000000002</v>
      </c>
      <c r="BA204" s="22">
        <v>-1.2677000000000001E-2</v>
      </c>
      <c r="BB204" s="22">
        <v>194</v>
      </c>
      <c r="BC204" s="22">
        <v>0.87585400000000002</v>
      </c>
      <c r="BD204">
        <f t="shared" ref="BD204:BD267" si="46">-BA204/$F$2*1000</f>
        <v>15.650617283950618</v>
      </c>
      <c r="BE204">
        <f t="shared" ref="BE204:BE267" si="47">BD204*AY204</f>
        <v>13.724386260493828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7.0301600000000004</v>
      </c>
      <c r="I205" s="22">
        <v>-1.30524E-2</v>
      </c>
      <c r="J205" s="22">
        <v>195</v>
      </c>
      <c r="K205" s="22">
        <v>0.71737700000000004</v>
      </c>
      <c r="L205">
        <f t="shared" si="36"/>
        <v>16.114074074074072</v>
      </c>
      <c r="M205">
        <f t="shared" si="37"/>
        <v>11.571178197037035</v>
      </c>
      <c r="N205" s="9"/>
      <c r="O205" s="22">
        <v>0.88195800000000002</v>
      </c>
      <c r="P205" s="22">
        <v>10.6479</v>
      </c>
      <c r="Q205" s="22">
        <v>-1.25763E-2</v>
      </c>
      <c r="R205" s="22">
        <v>195</v>
      </c>
      <c r="S205" s="22">
        <v>0.88104199999999999</v>
      </c>
      <c r="T205">
        <f t="shared" si="38"/>
        <v>15.526296296296294</v>
      </c>
      <c r="U205">
        <f t="shared" si="39"/>
        <v>13.693541228888888</v>
      </c>
      <c r="X205" s="9"/>
      <c r="Y205" s="22">
        <v>0.71807900000000002</v>
      </c>
      <c r="Z205" s="22">
        <v>15.9244</v>
      </c>
      <c r="AA205" s="22">
        <v>-1.30402E-2</v>
      </c>
      <c r="AB205" s="22">
        <v>195</v>
      </c>
      <c r="AC205" s="22">
        <v>0.71731599999999995</v>
      </c>
      <c r="AD205">
        <f t="shared" si="40"/>
        <v>16.099012345679011</v>
      </c>
      <c r="AE205">
        <f t="shared" si="41"/>
        <v>11.560362686172839</v>
      </c>
      <c r="AF205" s="9"/>
      <c r="AG205" s="22">
        <v>0.88195800000000002</v>
      </c>
      <c r="AH205" s="22">
        <v>19.542100000000001</v>
      </c>
      <c r="AI205" s="22">
        <v>-1.25641E-2</v>
      </c>
      <c r="AJ205" s="22">
        <v>195</v>
      </c>
      <c r="AK205" s="22">
        <v>0.88134800000000002</v>
      </c>
      <c r="AL205">
        <f t="shared" si="42"/>
        <v>15.511234567901234</v>
      </c>
      <c r="AM205">
        <f t="shared" si="43"/>
        <v>13.680257417037037</v>
      </c>
      <c r="AP205" s="9"/>
      <c r="AQ205" s="22">
        <v>0.71807900000000002</v>
      </c>
      <c r="AR205" s="22">
        <v>24.8596</v>
      </c>
      <c r="AS205" s="22">
        <v>-1.31439E-2</v>
      </c>
      <c r="AT205" s="22">
        <v>195</v>
      </c>
      <c r="AU205" s="22">
        <v>0.71743800000000002</v>
      </c>
      <c r="AV205">
        <f t="shared" si="44"/>
        <v>16.227037037037036</v>
      </c>
      <c r="AW205">
        <f t="shared" si="45"/>
        <v>11.652294528518517</v>
      </c>
      <c r="AX205" s="9"/>
      <c r="AY205" s="22">
        <v>0.88195800000000002</v>
      </c>
      <c r="AZ205" s="22">
        <v>28.477399999999999</v>
      </c>
      <c r="BA205" s="22">
        <v>-1.2670900000000001E-2</v>
      </c>
      <c r="BB205" s="22">
        <v>195</v>
      </c>
      <c r="BC205" s="22">
        <v>0.88104199999999999</v>
      </c>
      <c r="BD205">
        <f t="shared" si="46"/>
        <v>15.643086419753088</v>
      </c>
      <c r="BE205">
        <f t="shared" si="47"/>
        <v>13.796545212592594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7.0402399999999998</v>
      </c>
      <c r="I206" s="22">
        <v>-1.30615E-2</v>
      </c>
      <c r="J206" s="22">
        <v>196</v>
      </c>
      <c r="K206" s="22">
        <v>0.71237200000000001</v>
      </c>
      <c r="L206">
        <f t="shared" si="36"/>
        <v>16.125308641975309</v>
      </c>
      <c r="M206">
        <f t="shared" si="37"/>
        <v>11.498038449999999</v>
      </c>
      <c r="N206" s="9"/>
      <c r="O206" s="22">
        <v>0.88699300000000003</v>
      </c>
      <c r="P206" s="22">
        <v>10.657999999999999</v>
      </c>
      <c r="Q206" s="22">
        <v>-1.2560999999999999E-2</v>
      </c>
      <c r="R206" s="22">
        <v>196</v>
      </c>
      <c r="S206" s="22">
        <v>0.88622999999999996</v>
      </c>
      <c r="T206">
        <f t="shared" si="38"/>
        <v>15.507407407407406</v>
      </c>
      <c r="U206">
        <f t="shared" si="39"/>
        <v>13.754961818518519</v>
      </c>
      <c r="X206" s="9"/>
      <c r="Y206" s="22">
        <v>0.71304299999999998</v>
      </c>
      <c r="Z206" s="22">
        <v>15.9344</v>
      </c>
      <c r="AA206" s="22">
        <v>-1.30463E-2</v>
      </c>
      <c r="AB206" s="22">
        <v>196</v>
      </c>
      <c r="AC206" s="22">
        <v>0.71231100000000003</v>
      </c>
      <c r="AD206">
        <f t="shared" si="40"/>
        <v>16.106543209876545</v>
      </c>
      <c r="AE206">
        <f t="shared" si="41"/>
        <v>11.484657890000001</v>
      </c>
      <c r="AF206" s="9"/>
      <c r="AG206" s="22">
        <v>0.88699300000000003</v>
      </c>
      <c r="AH206" s="22">
        <v>19.552199999999999</v>
      </c>
      <c r="AI206" s="22">
        <v>-1.2548800000000001E-2</v>
      </c>
      <c r="AJ206" s="22">
        <v>196</v>
      </c>
      <c r="AK206" s="22">
        <v>0.88592499999999996</v>
      </c>
      <c r="AL206">
        <f t="shared" si="42"/>
        <v>15.492345679012345</v>
      </c>
      <c r="AM206">
        <f t="shared" si="43"/>
        <v>13.741602170864198</v>
      </c>
      <c r="AP206" s="9"/>
      <c r="AQ206" s="22">
        <v>0.71304299999999998</v>
      </c>
      <c r="AR206" s="22">
        <v>24.869700000000002</v>
      </c>
      <c r="AS206" s="22">
        <v>-1.31409E-2</v>
      </c>
      <c r="AT206" s="22">
        <v>196</v>
      </c>
      <c r="AU206" s="22">
        <v>0.71228000000000002</v>
      </c>
      <c r="AV206">
        <f t="shared" si="44"/>
        <v>16.223333333333333</v>
      </c>
      <c r="AW206">
        <f t="shared" si="45"/>
        <v>11.567934269999999</v>
      </c>
      <c r="AX206" s="9"/>
      <c r="AY206" s="22">
        <v>0.88699300000000003</v>
      </c>
      <c r="AZ206" s="22">
        <v>28.487400000000001</v>
      </c>
      <c r="BA206" s="22">
        <v>-1.26617E-2</v>
      </c>
      <c r="BB206" s="22">
        <v>196</v>
      </c>
      <c r="BC206" s="22">
        <v>0.88561999999999996</v>
      </c>
      <c r="BD206">
        <f t="shared" si="46"/>
        <v>15.631728395061728</v>
      </c>
      <c r="BE206">
        <f t="shared" si="47"/>
        <v>13.865233664320987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7.0503099999999996</v>
      </c>
      <c r="I207" s="22">
        <v>-1.3073700000000001E-2</v>
      </c>
      <c r="J207" s="22">
        <v>197</v>
      </c>
      <c r="K207" s="22">
        <v>0.70724500000000001</v>
      </c>
      <c r="L207">
        <f t="shared" si="36"/>
        <v>16.14037037037037</v>
      </c>
      <c r="M207">
        <f t="shared" si="37"/>
        <v>11.427511345185184</v>
      </c>
      <c r="N207" s="9"/>
      <c r="O207" s="22">
        <v>0.89202899999999996</v>
      </c>
      <c r="P207" s="22">
        <v>10.668100000000001</v>
      </c>
      <c r="Q207" s="22">
        <v>-1.2545799999999999E-2</v>
      </c>
      <c r="R207" s="22">
        <v>197</v>
      </c>
      <c r="S207" s="22">
        <v>0.89080800000000004</v>
      </c>
      <c r="T207">
        <f t="shared" si="38"/>
        <v>15.48864197530864</v>
      </c>
      <c r="U207">
        <f t="shared" si="39"/>
        <v>13.81631781259259</v>
      </c>
      <c r="X207" s="9"/>
      <c r="Y207" s="22">
        <v>0.70800799999999997</v>
      </c>
      <c r="Z207" s="22">
        <v>15.9445</v>
      </c>
      <c r="AA207" s="22">
        <v>-1.30493E-2</v>
      </c>
      <c r="AB207" s="22">
        <v>197</v>
      </c>
      <c r="AC207" s="22">
        <v>0.70730599999999999</v>
      </c>
      <c r="AD207">
        <f t="shared" si="40"/>
        <v>16.110246913580244</v>
      </c>
      <c r="AE207">
        <f t="shared" si="41"/>
        <v>11.406183696790121</v>
      </c>
      <c r="AF207" s="9"/>
      <c r="AG207" s="22">
        <v>0.89202899999999996</v>
      </c>
      <c r="AH207" s="22">
        <v>19.5623</v>
      </c>
      <c r="AI207" s="22">
        <v>-1.25305E-2</v>
      </c>
      <c r="AJ207" s="22">
        <v>197</v>
      </c>
      <c r="AK207" s="22">
        <v>0.89080800000000004</v>
      </c>
      <c r="AL207">
        <f t="shared" si="42"/>
        <v>15.469753086419752</v>
      </c>
      <c r="AM207">
        <f t="shared" si="43"/>
        <v>13.799468375925924</v>
      </c>
      <c r="AP207" s="9"/>
      <c r="AQ207" s="22">
        <v>0.70800799999999997</v>
      </c>
      <c r="AR207" s="22">
        <v>24.8797</v>
      </c>
      <c r="AS207" s="22">
        <v>-1.31378E-2</v>
      </c>
      <c r="AT207" s="22">
        <v>197</v>
      </c>
      <c r="AU207" s="22">
        <v>0.70733599999999996</v>
      </c>
      <c r="AV207">
        <f t="shared" si="44"/>
        <v>16.219506172839505</v>
      </c>
      <c r="AW207">
        <f t="shared" si="45"/>
        <v>11.483540126419753</v>
      </c>
      <c r="AX207" s="9"/>
      <c r="AY207" s="22">
        <v>0.89202899999999996</v>
      </c>
      <c r="AZ207" s="22">
        <v>28.497499999999999</v>
      </c>
      <c r="BA207" s="22">
        <v>-1.2649499999999999E-2</v>
      </c>
      <c r="BB207" s="22">
        <v>197</v>
      </c>
      <c r="BC207" s="22">
        <v>0.89111300000000004</v>
      </c>
      <c r="BD207">
        <f t="shared" si="46"/>
        <v>15.616666666666664</v>
      </c>
      <c r="BE207">
        <f t="shared" si="47"/>
        <v>13.930519549999996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7.0603800000000003</v>
      </c>
      <c r="I208" s="22">
        <v>-1.3085899999999999E-2</v>
      </c>
      <c r="J208" s="22">
        <v>198</v>
      </c>
      <c r="K208" s="22">
        <v>0.70223999999999998</v>
      </c>
      <c r="L208">
        <f t="shared" si="36"/>
        <v>16.155432098765431</v>
      </c>
      <c r="M208">
        <f t="shared" si="37"/>
        <v>11.356816413333332</v>
      </c>
      <c r="N208" s="9"/>
      <c r="O208" s="22">
        <v>0.89706399999999997</v>
      </c>
      <c r="P208" s="22">
        <v>10.678100000000001</v>
      </c>
      <c r="Q208" s="22">
        <v>-1.25366E-2</v>
      </c>
      <c r="R208" s="22">
        <v>198</v>
      </c>
      <c r="S208" s="22">
        <v>0.89630100000000001</v>
      </c>
      <c r="T208">
        <f t="shared" si="38"/>
        <v>15.477283950617283</v>
      </c>
      <c r="U208">
        <f t="shared" si="39"/>
        <v>13.884114249876541</v>
      </c>
      <c r="X208" s="9"/>
      <c r="Y208" s="22">
        <v>0.70297200000000004</v>
      </c>
      <c r="Z208" s="22">
        <v>15.954599999999999</v>
      </c>
      <c r="AA208" s="22">
        <v>-1.30493E-2</v>
      </c>
      <c r="AB208" s="22">
        <v>198</v>
      </c>
      <c r="AC208" s="22">
        <v>0.70230099999999995</v>
      </c>
      <c r="AD208">
        <f t="shared" si="40"/>
        <v>16.110246913580244</v>
      </c>
      <c r="AE208">
        <f t="shared" si="41"/>
        <v>11.325052493333333</v>
      </c>
      <c r="AF208" s="9"/>
      <c r="AG208" s="22">
        <v>0.89706399999999997</v>
      </c>
      <c r="AH208" s="22">
        <v>19.572399999999998</v>
      </c>
      <c r="AI208" s="22">
        <v>-1.25153E-2</v>
      </c>
      <c r="AJ208" s="22">
        <v>198</v>
      </c>
      <c r="AK208" s="22">
        <v>0.89660600000000001</v>
      </c>
      <c r="AL208">
        <f t="shared" si="42"/>
        <v>15.450987654320988</v>
      </c>
      <c r="AM208">
        <f t="shared" si="43"/>
        <v>13.860524789135802</v>
      </c>
      <c r="AP208" s="9"/>
      <c r="AQ208" s="22">
        <v>0.70297200000000004</v>
      </c>
      <c r="AR208" s="22">
        <v>24.889800000000001</v>
      </c>
      <c r="AS208" s="22">
        <v>-1.31348E-2</v>
      </c>
      <c r="AT208" s="22">
        <v>198</v>
      </c>
      <c r="AU208" s="22">
        <v>0.70223999999999998</v>
      </c>
      <c r="AV208">
        <f t="shared" si="44"/>
        <v>16.215802469135802</v>
      </c>
      <c r="AW208">
        <f t="shared" si="45"/>
        <v>11.399255093333334</v>
      </c>
      <c r="AX208" s="9"/>
      <c r="AY208" s="22">
        <v>0.89706399999999997</v>
      </c>
      <c r="AZ208" s="22">
        <v>28.5076</v>
      </c>
      <c r="BA208" s="22">
        <v>-1.2634299999999999E-2</v>
      </c>
      <c r="BB208" s="22">
        <v>198</v>
      </c>
      <c r="BC208" s="22">
        <v>0.89599600000000001</v>
      </c>
      <c r="BD208">
        <f t="shared" si="46"/>
        <v>15.5979012345679</v>
      </c>
      <c r="BE208">
        <f t="shared" si="47"/>
        <v>13.992315673086418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7.0704500000000001</v>
      </c>
      <c r="I209" s="22">
        <v>-1.31012E-2</v>
      </c>
      <c r="J209" s="22">
        <v>199</v>
      </c>
      <c r="K209" s="22">
        <v>0.69723500000000005</v>
      </c>
      <c r="L209">
        <f t="shared" si="36"/>
        <v>16.174320987654323</v>
      </c>
      <c r="M209">
        <f t="shared" si="37"/>
        <v>11.288657067160495</v>
      </c>
      <c r="N209" s="9"/>
      <c r="O209" s="22">
        <v>0.90210000000000001</v>
      </c>
      <c r="P209" s="22">
        <v>10.6882</v>
      </c>
      <c r="Q209" s="22">
        <v>-1.25183E-2</v>
      </c>
      <c r="R209" s="22">
        <v>199</v>
      </c>
      <c r="S209" s="22">
        <v>0.90148899999999998</v>
      </c>
      <c r="T209">
        <f t="shared" si="38"/>
        <v>15.454691358024689</v>
      </c>
      <c r="U209">
        <f t="shared" si="39"/>
        <v>13.941677074074072</v>
      </c>
      <c r="X209" s="9"/>
      <c r="Y209" s="22">
        <v>0.69793700000000003</v>
      </c>
      <c r="Z209" s="22">
        <v>15.964700000000001</v>
      </c>
      <c r="AA209" s="22">
        <v>-1.30554E-2</v>
      </c>
      <c r="AB209" s="22">
        <v>199</v>
      </c>
      <c r="AC209" s="22">
        <v>0.69723500000000005</v>
      </c>
      <c r="AD209">
        <f t="shared" si="40"/>
        <v>16.117777777777775</v>
      </c>
      <c r="AE209">
        <f t="shared" si="41"/>
        <v>11.249193468888887</v>
      </c>
      <c r="AF209" s="9"/>
      <c r="AG209" s="22">
        <v>0.90210000000000001</v>
      </c>
      <c r="AH209" s="22">
        <v>19.5824</v>
      </c>
      <c r="AI209" s="22">
        <v>-1.2500000000000001E-2</v>
      </c>
      <c r="AJ209" s="22">
        <v>199</v>
      </c>
      <c r="AK209" s="22">
        <v>0.90148899999999998</v>
      </c>
      <c r="AL209">
        <f t="shared" si="42"/>
        <v>15.432098765432098</v>
      </c>
      <c r="AM209">
        <f t="shared" si="43"/>
        <v>13.921296296296296</v>
      </c>
      <c r="AP209" s="9"/>
      <c r="AQ209" s="22">
        <v>0.69793700000000003</v>
      </c>
      <c r="AR209" s="22">
        <v>24.899899999999999</v>
      </c>
      <c r="AS209" s="22">
        <v>-1.31378E-2</v>
      </c>
      <c r="AT209" s="22">
        <v>199</v>
      </c>
      <c r="AU209" s="22">
        <v>0.69720499999999996</v>
      </c>
      <c r="AV209">
        <f t="shared" si="44"/>
        <v>16.219506172839505</v>
      </c>
      <c r="AW209">
        <f t="shared" si="45"/>
        <v>11.320193479753087</v>
      </c>
      <c r="AX209" s="9"/>
      <c r="AY209" s="22">
        <v>0.90210000000000001</v>
      </c>
      <c r="AZ209" s="22">
        <v>28.517600000000002</v>
      </c>
      <c r="BA209" s="22">
        <v>-1.2622100000000001E-2</v>
      </c>
      <c r="BB209" s="22">
        <v>199</v>
      </c>
      <c r="BC209" s="22">
        <v>0.90118399999999999</v>
      </c>
      <c r="BD209">
        <f t="shared" si="46"/>
        <v>15.582839506172839</v>
      </c>
      <c r="BE209">
        <f t="shared" si="47"/>
        <v>14.057279518518518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7.0805199999999999</v>
      </c>
      <c r="I210" s="22">
        <v>-1.3113400000000001E-2</v>
      </c>
      <c r="J210" s="22">
        <v>200</v>
      </c>
      <c r="K210" s="22">
        <v>0.69220000000000004</v>
      </c>
      <c r="L210">
        <f t="shared" si="36"/>
        <v>16.18938271604938</v>
      </c>
      <c r="M210">
        <f t="shared" si="37"/>
        <v>11.217655662716048</v>
      </c>
      <c r="N210" s="9"/>
      <c r="O210" s="22">
        <v>0.90713500000000002</v>
      </c>
      <c r="P210" s="22">
        <v>10.6983</v>
      </c>
      <c r="Q210" s="22">
        <v>-1.24969E-2</v>
      </c>
      <c r="R210" s="22">
        <v>200</v>
      </c>
      <c r="S210" s="22">
        <v>0.90606699999999996</v>
      </c>
      <c r="T210">
        <f t="shared" si="38"/>
        <v>15.428271604938271</v>
      </c>
      <c r="U210">
        <f t="shared" si="39"/>
        <v>13.995525162345679</v>
      </c>
      <c r="X210" s="9"/>
      <c r="Y210" s="22">
        <v>0.69290200000000002</v>
      </c>
      <c r="Z210" s="22">
        <v>15.9747</v>
      </c>
      <c r="AA210" s="22">
        <v>-1.30676E-2</v>
      </c>
      <c r="AB210" s="22">
        <v>200</v>
      </c>
      <c r="AC210" s="22">
        <v>0.69220000000000004</v>
      </c>
      <c r="AD210">
        <f t="shared" si="40"/>
        <v>16.132839506172839</v>
      </c>
      <c r="AE210">
        <f t="shared" si="41"/>
        <v>11.178476759506173</v>
      </c>
      <c r="AF210" s="9"/>
      <c r="AG210" s="22">
        <v>0.90713500000000002</v>
      </c>
      <c r="AH210" s="22">
        <v>19.592500000000001</v>
      </c>
      <c r="AI210" s="22">
        <v>-1.24847E-2</v>
      </c>
      <c r="AJ210" s="22">
        <v>200</v>
      </c>
      <c r="AK210" s="22">
        <v>0.90576199999999996</v>
      </c>
      <c r="AL210">
        <f t="shared" si="42"/>
        <v>15.413209876543208</v>
      </c>
      <c r="AM210">
        <f t="shared" si="43"/>
        <v>13.981862141358024</v>
      </c>
      <c r="AP210" s="9"/>
      <c r="AQ210" s="22">
        <v>0.69290200000000002</v>
      </c>
      <c r="AR210" s="22">
        <v>24.9099</v>
      </c>
      <c r="AS210" s="22">
        <v>-1.31317E-2</v>
      </c>
      <c r="AT210" s="22">
        <v>200</v>
      </c>
      <c r="AU210" s="22">
        <v>0.69210799999999995</v>
      </c>
      <c r="AV210">
        <f t="shared" si="44"/>
        <v>16.211975308641971</v>
      </c>
      <c r="AW210">
        <f t="shared" si="45"/>
        <v>11.23331011530864</v>
      </c>
      <c r="AX210" s="9"/>
      <c r="AY210" s="22">
        <v>0.90713500000000002</v>
      </c>
      <c r="AZ210" s="22">
        <v>28.527699999999999</v>
      </c>
      <c r="BA210" s="22">
        <v>-1.2616E-2</v>
      </c>
      <c r="BB210" s="22">
        <v>200</v>
      </c>
      <c r="BC210" s="22">
        <v>0.90606699999999996</v>
      </c>
      <c r="BD210">
        <f t="shared" si="46"/>
        <v>15.575308641975308</v>
      </c>
      <c r="BE210">
        <f t="shared" si="47"/>
        <v>14.128907604938272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7.0905899999999997</v>
      </c>
      <c r="I211" s="22">
        <v>-1.31165E-2</v>
      </c>
      <c r="J211" s="22">
        <v>201</v>
      </c>
      <c r="K211" s="22">
        <v>0.687164</v>
      </c>
      <c r="L211">
        <f t="shared" si="36"/>
        <v>16.193209876543211</v>
      </c>
      <c r="M211">
        <f t="shared" si="37"/>
        <v>11.138758504938272</v>
      </c>
      <c r="N211" s="9"/>
      <c r="O211" s="22">
        <v>0.91217000000000004</v>
      </c>
      <c r="P211" s="22">
        <v>10.708399999999999</v>
      </c>
      <c r="Q211" s="22">
        <v>-1.2478599999999999E-2</v>
      </c>
      <c r="R211" s="22">
        <v>201</v>
      </c>
      <c r="S211" s="22">
        <v>0.91064500000000004</v>
      </c>
      <c r="T211">
        <f t="shared" si="38"/>
        <v>15.405679012345677</v>
      </c>
      <c r="U211">
        <f t="shared" si="39"/>
        <v>14.052598224691357</v>
      </c>
      <c r="X211" s="9"/>
      <c r="Y211" s="22">
        <v>0.68786599999999998</v>
      </c>
      <c r="Z211" s="22">
        <v>15.9848</v>
      </c>
      <c r="AA211" s="22">
        <v>-1.30768E-2</v>
      </c>
      <c r="AB211" s="22">
        <v>201</v>
      </c>
      <c r="AC211" s="22">
        <v>0.68713400000000002</v>
      </c>
      <c r="AD211">
        <f t="shared" si="40"/>
        <v>16.144197530864194</v>
      </c>
      <c r="AE211">
        <f t="shared" si="41"/>
        <v>11.10504457876543</v>
      </c>
      <c r="AF211" s="9"/>
      <c r="AG211" s="22">
        <v>0.91217000000000004</v>
      </c>
      <c r="AH211" s="22">
        <v>19.602599999999999</v>
      </c>
      <c r="AI211" s="22">
        <v>-1.24695E-2</v>
      </c>
      <c r="AJ211" s="22">
        <v>201</v>
      </c>
      <c r="AK211" s="22">
        <v>0.91095000000000004</v>
      </c>
      <c r="AL211">
        <f t="shared" si="42"/>
        <v>15.394444444444444</v>
      </c>
      <c r="AM211">
        <f t="shared" si="43"/>
        <v>14.04235038888889</v>
      </c>
      <c r="AP211" s="9"/>
      <c r="AQ211" s="22">
        <v>0.68786599999999998</v>
      </c>
      <c r="AR211" s="22">
        <v>24.92</v>
      </c>
      <c r="AS211" s="22">
        <v>-1.31378E-2</v>
      </c>
      <c r="AT211" s="22">
        <v>201</v>
      </c>
      <c r="AU211" s="22">
        <v>0.68713400000000002</v>
      </c>
      <c r="AV211">
        <f t="shared" si="44"/>
        <v>16.219506172839505</v>
      </c>
      <c r="AW211">
        <f t="shared" si="45"/>
        <v>11.156846833086419</v>
      </c>
      <c r="AX211" s="9"/>
      <c r="AY211" s="22">
        <v>0.91217000000000004</v>
      </c>
      <c r="AZ211" s="22">
        <v>28.537800000000001</v>
      </c>
      <c r="BA211" s="22">
        <v>-1.2600699999999999E-2</v>
      </c>
      <c r="BB211" s="22">
        <v>201</v>
      </c>
      <c r="BC211" s="22">
        <v>0.91156000000000004</v>
      </c>
      <c r="BD211">
        <f t="shared" si="46"/>
        <v>15.556419753086418</v>
      </c>
      <c r="BE211">
        <f t="shared" si="47"/>
        <v>14.190099406172839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7.1006600000000004</v>
      </c>
      <c r="I212" s="22">
        <v>-1.3119499999999999E-2</v>
      </c>
      <c r="J212" s="22">
        <v>202</v>
      </c>
      <c r="K212" s="22">
        <v>0.68206800000000001</v>
      </c>
      <c r="L212">
        <f t="shared" si="36"/>
        <v>16.19691358024691</v>
      </c>
      <c r="M212">
        <f t="shared" si="37"/>
        <v>11.059754696913577</v>
      </c>
      <c r="N212" s="9"/>
      <c r="O212" s="22">
        <v>0.91720599999999997</v>
      </c>
      <c r="P212" s="22">
        <v>10.718400000000001</v>
      </c>
      <c r="Q212" s="22">
        <v>-1.2457299999999999E-2</v>
      </c>
      <c r="R212" s="22">
        <v>202</v>
      </c>
      <c r="S212" s="22">
        <v>0.91613800000000001</v>
      </c>
      <c r="T212">
        <f t="shared" si="38"/>
        <v>15.379382716049379</v>
      </c>
      <c r="U212">
        <f t="shared" si="39"/>
        <v>14.106062103456786</v>
      </c>
      <c r="X212" s="9"/>
      <c r="Y212" s="22">
        <v>0.68283099999999997</v>
      </c>
      <c r="Z212" s="22">
        <v>15.994899999999999</v>
      </c>
      <c r="AA212" s="22">
        <v>-1.30768E-2</v>
      </c>
      <c r="AB212" s="22">
        <v>202</v>
      </c>
      <c r="AC212" s="22">
        <v>0.68212899999999999</v>
      </c>
      <c r="AD212">
        <f t="shared" si="40"/>
        <v>16.144197530864194</v>
      </c>
      <c r="AE212">
        <f t="shared" si="41"/>
        <v>11.023758544197527</v>
      </c>
      <c r="AF212" s="9"/>
      <c r="AG212" s="22">
        <v>0.91720599999999997</v>
      </c>
      <c r="AH212" s="22">
        <v>19.6126</v>
      </c>
      <c r="AI212" s="22">
        <v>-1.2457299999999999E-2</v>
      </c>
      <c r="AJ212" s="22">
        <v>202</v>
      </c>
      <c r="AK212" s="22">
        <v>0.91613800000000001</v>
      </c>
      <c r="AL212">
        <f t="shared" si="42"/>
        <v>15.379382716049379</v>
      </c>
      <c r="AM212">
        <f t="shared" si="43"/>
        <v>14.106062103456786</v>
      </c>
      <c r="AP212" s="9"/>
      <c r="AQ212" s="22">
        <v>0.68283099999999997</v>
      </c>
      <c r="AR212" s="22">
        <v>24.930099999999999</v>
      </c>
      <c r="AS212" s="22">
        <v>-1.31378E-2</v>
      </c>
      <c r="AT212" s="22">
        <v>202</v>
      </c>
      <c r="AU212" s="22">
        <v>0.68212899999999999</v>
      </c>
      <c r="AV212">
        <f t="shared" si="44"/>
        <v>16.219506172839505</v>
      </c>
      <c r="AW212">
        <f t="shared" si="45"/>
        <v>11.075181619506171</v>
      </c>
      <c r="AX212" s="9"/>
      <c r="AY212" s="22">
        <v>0.91720599999999997</v>
      </c>
      <c r="AZ212" s="22">
        <v>28.547899999999998</v>
      </c>
      <c r="BA212" s="22">
        <v>-1.2588500000000001E-2</v>
      </c>
      <c r="BB212" s="22">
        <v>202</v>
      </c>
      <c r="BC212" s="22">
        <v>0.91644300000000001</v>
      </c>
      <c r="BD212">
        <f t="shared" si="46"/>
        <v>15.541358024691359</v>
      </c>
      <c r="BE212">
        <f t="shared" si="47"/>
        <v>14.254626828395063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7.1107300000000002</v>
      </c>
      <c r="I213" s="22">
        <v>-1.3107300000000001E-2</v>
      </c>
      <c r="J213" s="22">
        <v>203</v>
      </c>
      <c r="K213" s="22">
        <v>0.67715499999999995</v>
      </c>
      <c r="L213">
        <f t="shared" si="36"/>
        <v>16.181851851851849</v>
      </c>
      <c r="M213">
        <f t="shared" si="37"/>
        <v>10.967978275925924</v>
      </c>
      <c r="N213" s="9"/>
      <c r="O213" s="22">
        <v>0.92224099999999998</v>
      </c>
      <c r="P213" s="22">
        <v>10.7285</v>
      </c>
      <c r="Q213" s="22">
        <v>-1.2439E-2</v>
      </c>
      <c r="R213" s="22">
        <v>203</v>
      </c>
      <c r="S213" s="22">
        <v>0.92102099999999998</v>
      </c>
      <c r="T213">
        <f t="shared" si="38"/>
        <v>15.35679012345679</v>
      </c>
      <c r="U213">
        <f t="shared" si="39"/>
        <v>14.162661480246912</v>
      </c>
      <c r="X213" s="9"/>
      <c r="Y213" s="22">
        <v>0.67779500000000004</v>
      </c>
      <c r="Z213" s="22">
        <v>16.004899999999999</v>
      </c>
      <c r="AA213" s="22">
        <v>-1.3079800000000001E-2</v>
      </c>
      <c r="AB213" s="22">
        <v>203</v>
      </c>
      <c r="AC213" s="22">
        <v>0.67715499999999995</v>
      </c>
      <c r="AD213">
        <f t="shared" si="40"/>
        <v>16.147901234567904</v>
      </c>
      <c r="AE213">
        <f t="shared" si="41"/>
        <v>10.944966717283952</v>
      </c>
      <c r="AF213" s="9"/>
      <c r="AG213" s="22">
        <v>0.92224099999999998</v>
      </c>
      <c r="AH213" s="22">
        <v>19.622699999999998</v>
      </c>
      <c r="AI213" s="22">
        <v>-1.2442E-2</v>
      </c>
      <c r="AJ213" s="22">
        <v>203</v>
      </c>
      <c r="AK213" s="22">
        <v>0.92071499999999995</v>
      </c>
      <c r="AL213">
        <f t="shared" si="42"/>
        <v>15.360493827160493</v>
      </c>
      <c r="AM213">
        <f t="shared" si="43"/>
        <v>14.16607718765432</v>
      </c>
      <c r="AP213" s="9"/>
      <c r="AQ213" s="22">
        <v>0.67779500000000004</v>
      </c>
      <c r="AR213" s="22">
        <v>24.940200000000001</v>
      </c>
      <c r="AS213" s="22">
        <v>-1.31348E-2</v>
      </c>
      <c r="AT213" s="22">
        <v>203</v>
      </c>
      <c r="AU213" s="22">
        <v>0.67712399999999995</v>
      </c>
      <c r="AV213">
        <f t="shared" si="44"/>
        <v>16.215802469135802</v>
      </c>
      <c r="AW213">
        <f t="shared" si="45"/>
        <v>10.990989834567902</v>
      </c>
      <c r="AX213" s="9"/>
      <c r="AY213" s="22">
        <v>0.92224099999999998</v>
      </c>
      <c r="AZ213" s="22">
        <v>28.5579</v>
      </c>
      <c r="BA213" s="22">
        <v>-1.25763E-2</v>
      </c>
      <c r="BB213" s="22">
        <v>203</v>
      </c>
      <c r="BC213" s="22">
        <v>0.92132599999999998</v>
      </c>
      <c r="BD213">
        <f t="shared" si="46"/>
        <v>15.526296296296294</v>
      </c>
      <c r="BE213">
        <f t="shared" si="47"/>
        <v>14.318987022592591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7.1208</v>
      </c>
      <c r="I214" s="22">
        <v>-1.3110399999999999E-2</v>
      </c>
      <c r="J214" s="22">
        <v>204</v>
      </c>
      <c r="K214" s="22">
        <v>0.67205800000000004</v>
      </c>
      <c r="L214">
        <f t="shared" si="36"/>
        <v>16.185679012345677</v>
      </c>
      <c r="M214">
        <f t="shared" si="37"/>
        <v>10.889077412345678</v>
      </c>
      <c r="N214" s="9"/>
      <c r="O214" s="22">
        <v>0.92727700000000002</v>
      </c>
      <c r="P214" s="22">
        <v>10.7386</v>
      </c>
      <c r="Q214" s="22">
        <v>-1.24298E-2</v>
      </c>
      <c r="R214" s="22">
        <v>204</v>
      </c>
      <c r="S214" s="22">
        <v>0.92620800000000003</v>
      </c>
      <c r="T214">
        <f t="shared" si="38"/>
        <v>15.34543209876543</v>
      </c>
      <c r="U214">
        <f t="shared" si="39"/>
        <v>14.229466240246913</v>
      </c>
      <c r="X214" s="9"/>
      <c r="Y214" s="22">
        <v>0.67276000000000002</v>
      </c>
      <c r="Z214" s="22">
        <v>16.015000000000001</v>
      </c>
      <c r="AA214" s="22">
        <v>-1.3091999999999999E-2</v>
      </c>
      <c r="AB214" s="22">
        <v>204</v>
      </c>
      <c r="AC214" s="22">
        <v>0.67205800000000004</v>
      </c>
      <c r="AD214">
        <f t="shared" si="40"/>
        <v>16.162962962962961</v>
      </c>
      <c r="AE214">
        <f t="shared" si="41"/>
        <v>10.873794962962963</v>
      </c>
      <c r="AF214" s="9"/>
      <c r="AG214" s="22">
        <v>0.92727700000000002</v>
      </c>
      <c r="AH214" s="22">
        <v>19.6328</v>
      </c>
      <c r="AI214" s="22">
        <v>-1.24207E-2</v>
      </c>
      <c r="AJ214" s="22">
        <v>204</v>
      </c>
      <c r="AK214" s="22">
        <v>0.92620800000000003</v>
      </c>
      <c r="AL214">
        <f t="shared" si="42"/>
        <v>15.334197530864195</v>
      </c>
      <c r="AM214">
        <f t="shared" si="43"/>
        <v>14.219048683827157</v>
      </c>
      <c r="AP214" s="9"/>
      <c r="AQ214" s="22">
        <v>0.67276000000000002</v>
      </c>
      <c r="AR214" s="22">
        <v>24.950199999999999</v>
      </c>
      <c r="AS214" s="22">
        <v>-1.3147000000000001E-2</v>
      </c>
      <c r="AT214" s="22">
        <v>204</v>
      </c>
      <c r="AU214" s="22">
        <v>0.67211900000000002</v>
      </c>
      <c r="AV214">
        <f t="shared" si="44"/>
        <v>16.230864197530863</v>
      </c>
      <c r="AW214">
        <f t="shared" si="45"/>
        <v>10.919476197530864</v>
      </c>
      <c r="AX214" s="9"/>
      <c r="AY214" s="22">
        <v>0.92727700000000002</v>
      </c>
      <c r="AZ214" s="22">
        <v>28.568000000000001</v>
      </c>
      <c r="BA214" s="22">
        <v>-1.25641E-2</v>
      </c>
      <c r="BB214" s="22">
        <v>204</v>
      </c>
      <c r="BC214" s="22">
        <v>0.92620800000000003</v>
      </c>
      <c r="BD214">
        <f t="shared" si="46"/>
        <v>15.511234567901234</v>
      </c>
      <c r="BE214">
        <f t="shared" si="47"/>
        <v>14.383211056419752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7.1308699999999998</v>
      </c>
      <c r="I215" s="22">
        <v>-1.31165E-2</v>
      </c>
      <c r="J215" s="22">
        <v>205</v>
      </c>
      <c r="K215" s="22">
        <v>0.66699200000000003</v>
      </c>
      <c r="L215">
        <f t="shared" si="36"/>
        <v>16.193209876543211</v>
      </c>
      <c r="M215">
        <f t="shared" si="37"/>
        <v>10.812611064814815</v>
      </c>
      <c r="N215" s="9"/>
      <c r="O215" s="22">
        <v>0.93231200000000003</v>
      </c>
      <c r="P215" s="22">
        <v>10.7486</v>
      </c>
      <c r="Q215" s="22">
        <v>-1.24268E-2</v>
      </c>
      <c r="R215" s="22">
        <v>205</v>
      </c>
      <c r="S215" s="22">
        <v>0.931091</v>
      </c>
      <c r="T215">
        <f t="shared" si="38"/>
        <v>15.341728395061727</v>
      </c>
      <c r="U215">
        <f t="shared" si="39"/>
        <v>14.303277483456789</v>
      </c>
      <c r="X215" s="9"/>
      <c r="Y215" s="22">
        <v>0.66772500000000001</v>
      </c>
      <c r="Z215" s="22">
        <v>16.025099999999998</v>
      </c>
      <c r="AA215" s="22">
        <v>-1.30981E-2</v>
      </c>
      <c r="AB215" s="22">
        <v>205</v>
      </c>
      <c r="AC215" s="22">
        <v>0.66702300000000003</v>
      </c>
      <c r="AD215">
        <f t="shared" si="40"/>
        <v>16.170493827160495</v>
      </c>
      <c r="AE215">
        <f t="shared" si="41"/>
        <v>10.797442990740741</v>
      </c>
      <c r="AF215" s="9"/>
      <c r="AG215" s="22">
        <v>0.93231200000000003</v>
      </c>
      <c r="AH215" s="22">
        <v>19.642900000000001</v>
      </c>
      <c r="AI215" s="22">
        <v>-1.23962E-2</v>
      </c>
      <c r="AJ215" s="22">
        <v>205</v>
      </c>
      <c r="AK215" s="22">
        <v>0.931396</v>
      </c>
      <c r="AL215">
        <f t="shared" si="42"/>
        <v>15.303950617283951</v>
      </c>
      <c r="AM215">
        <f t="shared" si="43"/>
        <v>14.268056807901235</v>
      </c>
      <c r="AP215" s="9"/>
      <c r="AQ215" s="22">
        <v>0.66772500000000001</v>
      </c>
      <c r="AR215" s="22">
        <v>24.9603</v>
      </c>
      <c r="AS215" s="22">
        <v>-1.3153099999999999E-2</v>
      </c>
      <c r="AT215" s="22">
        <v>205</v>
      </c>
      <c r="AU215" s="22">
        <v>0.66705300000000001</v>
      </c>
      <c r="AV215">
        <f t="shared" si="44"/>
        <v>16.238395061728394</v>
      </c>
      <c r="AW215">
        <f t="shared" si="45"/>
        <v>10.842782342592592</v>
      </c>
      <c r="AX215" s="9"/>
      <c r="AY215" s="22">
        <v>0.93231200000000003</v>
      </c>
      <c r="AZ215" s="22">
        <v>28.578099999999999</v>
      </c>
      <c r="BA215" s="22">
        <v>-1.25519E-2</v>
      </c>
      <c r="BB215" s="22">
        <v>205</v>
      </c>
      <c r="BC215" s="22">
        <v>0.931091</v>
      </c>
      <c r="BD215">
        <f t="shared" si="46"/>
        <v>15.496172839506173</v>
      </c>
      <c r="BE215">
        <f t="shared" si="47"/>
        <v>14.44726789234568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7.1409500000000001</v>
      </c>
      <c r="I216" s="22">
        <v>-1.31287E-2</v>
      </c>
      <c r="J216" s="22">
        <v>206</v>
      </c>
      <c r="K216" s="22">
        <v>0.66204799999999997</v>
      </c>
      <c r="L216">
        <f t="shared" si="36"/>
        <v>16.208271604938268</v>
      </c>
      <c r="M216">
        <f t="shared" si="37"/>
        <v>10.741043301604936</v>
      </c>
      <c r="N216" s="9"/>
      <c r="O216" s="22">
        <v>0.93734700000000004</v>
      </c>
      <c r="P216" s="22">
        <v>10.758699999999999</v>
      </c>
      <c r="Q216" s="22">
        <v>-1.2417600000000001E-2</v>
      </c>
      <c r="R216" s="22">
        <v>206</v>
      </c>
      <c r="S216" s="22">
        <v>0.93627899999999997</v>
      </c>
      <c r="T216">
        <f t="shared" si="38"/>
        <v>15.330370370370371</v>
      </c>
      <c r="U216">
        <f t="shared" si="39"/>
        <v>14.369876675555556</v>
      </c>
      <c r="X216" s="9"/>
      <c r="Y216" s="22">
        <v>0.66268899999999997</v>
      </c>
      <c r="Z216" s="22">
        <v>16.0352</v>
      </c>
      <c r="AA216" s="22">
        <v>-1.31042E-2</v>
      </c>
      <c r="AB216" s="22">
        <v>206</v>
      </c>
      <c r="AC216" s="22">
        <v>0.66198699999999999</v>
      </c>
      <c r="AD216">
        <f t="shared" si="40"/>
        <v>16.178024691358022</v>
      </c>
      <c r="AE216">
        <f t="shared" si="41"/>
        <v>10.720999004691356</v>
      </c>
      <c r="AF216" s="9"/>
      <c r="AG216" s="22">
        <v>0.93734700000000004</v>
      </c>
      <c r="AH216" s="22">
        <v>19.652899999999999</v>
      </c>
      <c r="AI216" s="22">
        <v>-1.23871E-2</v>
      </c>
      <c r="AJ216" s="22">
        <v>206</v>
      </c>
      <c r="AK216" s="22">
        <v>0.93627899999999997</v>
      </c>
      <c r="AL216">
        <f t="shared" si="42"/>
        <v>15.292716049382715</v>
      </c>
      <c r="AM216">
        <f t="shared" si="43"/>
        <v>14.33458151074074</v>
      </c>
      <c r="AP216" s="9"/>
      <c r="AQ216" s="22">
        <v>0.66268899999999997</v>
      </c>
      <c r="AR216" s="22">
        <v>24.970400000000001</v>
      </c>
      <c r="AS216" s="22">
        <v>-1.3159199999999999E-2</v>
      </c>
      <c r="AT216" s="22">
        <v>206</v>
      </c>
      <c r="AU216" s="22">
        <v>0.662018</v>
      </c>
      <c r="AV216">
        <f t="shared" si="44"/>
        <v>16.245925925925924</v>
      </c>
      <c r="AW216">
        <f t="shared" si="45"/>
        <v>10.765996405925923</v>
      </c>
      <c r="AX216" s="9"/>
      <c r="AY216" s="22">
        <v>0.93734700000000004</v>
      </c>
      <c r="AZ216" s="22">
        <v>28.588100000000001</v>
      </c>
      <c r="BA216" s="22">
        <v>-1.2539700000000001E-2</v>
      </c>
      <c r="BB216" s="22">
        <v>206</v>
      </c>
      <c r="BC216" s="22">
        <v>0.93658399999999997</v>
      </c>
      <c r="BD216">
        <f t="shared" si="46"/>
        <v>15.48111111111111</v>
      </c>
      <c r="BE216">
        <f t="shared" si="47"/>
        <v>14.511173056666665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7.1510199999999999</v>
      </c>
      <c r="I217" s="22">
        <v>-1.31348E-2</v>
      </c>
      <c r="J217" s="22">
        <v>207</v>
      </c>
      <c r="K217" s="22">
        <v>0.656891</v>
      </c>
      <c r="L217">
        <f t="shared" si="36"/>
        <v>16.215802469135802</v>
      </c>
      <c r="M217">
        <f t="shared" si="37"/>
        <v>10.664387357037036</v>
      </c>
      <c r="N217" s="9"/>
      <c r="O217" s="22">
        <v>0.94238299999999997</v>
      </c>
      <c r="P217" s="22">
        <v>10.768800000000001</v>
      </c>
      <c r="Q217" s="22">
        <v>-1.23993E-2</v>
      </c>
      <c r="R217" s="22">
        <v>207</v>
      </c>
      <c r="S217" s="22">
        <v>0.94116200000000005</v>
      </c>
      <c r="T217">
        <f t="shared" si="38"/>
        <v>15.307777777777778</v>
      </c>
      <c r="U217">
        <f t="shared" si="39"/>
        <v>14.425789545555554</v>
      </c>
      <c r="X217" s="9"/>
      <c r="Y217" s="22">
        <v>0.65765399999999996</v>
      </c>
      <c r="Z217" s="22">
        <v>16.045200000000001</v>
      </c>
      <c r="AA217" s="22">
        <v>-1.3113400000000001E-2</v>
      </c>
      <c r="AB217" s="22">
        <v>207</v>
      </c>
      <c r="AC217" s="22">
        <v>0.65692099999999998</v>
      </c>
      <c r="AD217">
        <f t="shared" si="40"/>
        <v>16.18938271604938</v>
      </c>
      <c r="AE217">
        <f t="shared" si="41"/>
        <v>10.647012300740739</v>
      </c>
      <c r="AF217" s="9"/>
      <c r="AG217" s="22">
        <v>0.94238299999999997</v>
      </c>
      <c r="AH217" s="22">
        <v>19.663</v>
      </c>
      <c r="AI217" s="22">
        <v>-1.2381E-2</v>
      </c>
      <c r="AJ217" s="22">
        <v>207</v>
      </c>
      <c r="AK217" s="22">
        <v>0.94116200000000005</v>
      </c>
      <c r="AL217">
        <f t="shared" si="42"/>
        <v>15.285185185185183</v>
      </c>
      <c r="AM217">
        <f t="shared" si="43"/>
        <v>14.404498670370367</v>
      </c>
      <c r="AP217" s="9"/>
      <c r="AQ217" s="22">
        <v>0.65765399999999996</v>
      </c>
      <c r="AR217" s="22">
        <v>24.980399999999999</v>
      </c>
      <c r="AS217" s="22">
        <v>-1.31714E-2</v>
      </c>
      <c r="AT217" s="22">
        <v>207</v>
      </c>
      <c r="AU217" s="22">
        <v>0.65692099999999998</v>
      </c>
      <c r="AV217">
        <f t="shared" si="44"/>
        <v>16.260987654320989</v>
      </c>
      <c r="AW217">
        <f t="shared" si="45"/>
        <v>10.694103574814815</v>
      </c>
      <c r="AX217" s="9"/>
      <c r="AY217" s="22">
        <v>0.94238299999999997</v>
      </c>
      <c r="AZ217" s="22">
        <v>28.598199999999999</v>
      </c>
      <c r="BA217" s="22">
        <v>-1.25305E-2</v>
      </c>
      <c r="BB217" s="22">
        <v>207</v>
      </c>
      <c r="BC217" s="22">
        <v>0.94177200000000005</v>
      </c>
      <c r="BD217">
        <f t="shared" si="46"/>
        <v>15.469753086419752</v>
      </c>
      <c r="BE217">
        <f t="shared" si="47"/>
        <v>14.578432322839506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7.1610899999999997</v>
      </c>
      <c r="I218" s="22">
        <v>-1.31317E-2</v>
      </c>
      <c r="J218" s="22">
        <v>208</v>
      </c>
      <c r="K218" s="22">
        <v>0.65188599999999997</v>
      </c>
      <c r="L218">
        <f t="shared" si="36"/>
        <v>16.211975308641971</v>
      </c>
      <c r="M218">
        <f t="shared" si="37"/>
        <v>10.580226901975307</v>
      </c>
      <c r="N218" s="9"/>
      <c r="O218" s="22">
        <v>0.94741799999999998</v>
      </c>
      <c r="P218" s="22">
        <v>10.7789</v>
      </c>
      <c r="Q218" s="22">
        <v>-1.23932E-2</v>
      </c>
      <c r="R218" s="22">
        <v>208</v>
      </c>
      <c r="S218" s="22">
        <v>0.94665500000000002</v>
      </c>
      <c r="T218">
        <f t="shared" si="38"/>
        <v>15.300246913580246</v>
      </c>
      <c r="U218">
        <f t="shared" si="39"/>
        <v>14.495729330370368</v>
      </c>
      <c r="X218" s="9"/>
      <c r="Y218" s="22">
        <v>0.65261800000000003</v>
      </c>
      <c r="Z218" s="22">
        <v>16.055299999999999</v>
      </c>
      <c r="AA218" s="22">
        <v>-1.31165E-2</v>
      </c>
      <c r="AB218" s="22">
        <v>208</v>
      </c>
      <c r="AC218" s="22">
        <v>0.65200800000000003</v>
      </c>
      <c r="AD218">
        <f t="shared" si="40"/>
        <v>16.193209876543211</v>
      </c>
      <c r="AE218">
        <f t="shared" si="41"/>
        <v>10.567980243209878</v>
      </c>
      <c r="AF218" s="9"/>
      <c r="AG218" s="22">
        <v>0.94741799999999998</v>
      </c>
      <c r="AH218" s="22">
        <v>19.673100000000002</v>
      </c>
      <c r="AI218" s="22">
        <v>-1.2368799999999999E-2</v>
      </c>
      <c r="AJ218" s="22">
        <v>208</v>
      </c>
      <c r="AK218" s="22">
        <v>0.94665500000000002</v>
      </c>
      <c r="AL218">
        <f t="shared" si="42"/>
        <v>15.270123456790122</v>
      </c>
      <c r="AM218">
        <f t="shared" si="43"/>
        <v>14.467189825185184</v>
      </c>
      <c r="AP218" s="9"/>
      <c r="AQ218" s="22">
        <v>0.65261800000000003</v>
      </c>
      <c r="AR218" s="22">
        <v>24.990500000000001</v>
      </c>
      <c r="AS218" s="22">
        <v>-1.31805E-2</v>
      </c>
      <c r="AT218" s="22">
        <v>208</v>
      </c>
      <c r="AU218" s="22">
        <v>0.65194700000000005</v>
      </c>
      <c r="AV218">
        <f t="shared" si="44"/>
        <v>16.272222222222219</v>
      </c>
      <c r="AW218">
        <f t="shared" si="45"/>
        <v>10.61954512222222</v>
      </c>
      <c r="AX218" s="9"/>
      <c r="AY218" s="22">
        <v>0.94741799999999998</v>
      </c>
      <c r="AZ218" s="22">
        <v>28.6083</v>
      </c>
      <c r="BA218" s="22">
        <v>-1.2512199999999999E-2</v>
      </c>
      <c r="BB218" s="22">
        <v>208</v>
      </c>
      <c r="BC218" s="22">
        <v>0.94665500000000002</v>
      </c>
      <c r="BD218">
        <f t="shared" si="46"/>
        <v>15.447160493827159</v>
      </c>
      <c r="BE218">
        <f t="shared" si="47"/>
        <v>14.634917900740739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7.1711600000000004</v>
      </c>
      <c r="I219" s="22">
        <v>-1.31287E-2</v>
      </c>
      <c r="J219" s="22">
        <v>209</v>
      </c>
      <c r="K219" s="22">
        <v>0.64691200000000004</v>
      </c>
      <c r="L219">
        <f t="shared" si="36"/>
        <v>16.208271604938268</v>
      </c>
      <c r="M219">
        <f t="shared" si="37"/>
        <v>10.496201150740738</v>
      </c>
      <c r="N219" s="9"/>
      <c r="O219" s="22">
        <v>0.95245400000000002</v>
      </c>
      <c r="P219" s="22">
        <v>10.7889</v>
      </c>
      <c r="Q219" s="22">
        <v>-1.23932E-2</v>
      </c>
      <c r="R219" s="22">
        <v>209</v>
      </c>
      <c r="S219" s="22">
        <v>0.950928</v>
      </c>
      <c r="T219">
        <f t="shared" si="38"/>
        <v>15.300246913580246</v>
      </c>
      <c r="U219">
        <f t="shared" si="39"/>
        <v>14.57278137382716</v>
      </c>
      <c r="X219" s="9"/>
      <c r="Y219" s="22">
        <v>0.64758300000000002</v>
      </c>
      <c r="Z219" s="22">
        <v>16.0654</v>
      </c>
      <c r="AA219" s="22">
        <v>-1.3125599999999999E-2</v>
      </c>
      <c r="AB219" s="22">
        <v>209</v>
      </c>
      <c r="AC219" s="22">
        <v>0.64691200000000004</v>
      </c>
      <c r="AD219">
        <f t="shared" si="40"/>
        <v>16.204444444444441</v>
      </c>
      <c r="AE219">
        <f t="shared" si="41"/>
        <v>10.493722746666664</v>
      </c>
      <c r="AF219" s="9"/>
      <c r="AG219" s="22">
        <v>0.95245400000000002</v>
      </c>
      <c r="AH219" s="22">
        <v>19.6831</v>
      </c>
      <c r="AI219" s="22">
        <v>-1.2362700000000001E-2</v>
      </c>
      <c r="AJ219" s="22">
        <v>209</v>
      </c>
      <c r="AK219" s="22">
        <v>0.95153799999999999</v>
      </c>
      <c r="AL219">
        <f t="shared" si="42"/>
        <v>15.262592592592593</v>
      </c>
      <c r="AM219">
        <f t="shared" si="43"/>
        <v>14.536917365185186</v>
      </c>
      <c r="AP219" s="9"/>
      <c r="AQ219" s="22">
        <v>0.64758300000000002</v>
      </c>
      <c r="AR219" s="22">
        <v>25.000599999999999</v>
      </c>
      <c r="AS219" s="22">
        <v>-1.31927E-2</v>
      </c>
      <c r="AT219" s="22">
        <v>209</v>
      </c>
      <c r="AU219" s="22">
        <v>0.64691200000000004</v>
      </c>
      <c r="AV219">
        <f t="shared" si="44"/>
        <v>16.287283950617283</v>
      </c>
      <c r="AW219">
        <f t="shared" si="45"/>
        <v>10.547368202592592</v>
      </c>
      <c r="AX219" s="9"/>
      <c r="AY219" s="22">
        <v>0.95245400000000002</v>
      </c>
      <c r="AZ219" s="22">
        <v>28.618400000000001</v>
      </c>
      <c r="BA219" s="22">
        <v>-1.24969E-2</v>
      </c>
      <c r="BB219" s="22">
        <v>209</v>
      </c>
      <c r="BC219" s="22">
        <v>0.950928</v>
      </c>
      <c r="BD219">
        <f t="shared" si="46"/>
        <v>15.428271604938271</v>
      </c>
      <c r="BE219">
        <f t="shared" si="47"/>
        <v>14.694719003209876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7.1812300000000002</v>
      </c>
      <c r="I220" s="22">
        <v>-1.31287E-2</v>
      </c>
      <c r="J220" s="22">
        <v>210</v>
      </c>
      <c r="K220" s="22">
        <v>0.64178500000000005</v>
      </c>
      <c r="L220">
        <f t="shared" si="36"/>
        <v>16.208271604938268</v>
      </c>
      <c r="M220">
        <f t="shared" si="37"/>
        <v>10.414592503209875</v>
      </c>
      <c r="N220" s="9"/>
      <c r="O220" s="22">
        <v>0.95748900000000003</v>
      </c>
      <c r="P220" s="22">
        <v>10.798999999999999</v>
      </c>
      <c r="Q220" s="22">
        <v>-1.2383999999999999E-2</v>
      </c>
      <c r="R220" s="22">
        <v>210</v>
      </c>
      <c r="S220" s="22">
        <v>0.95642099999999997</v>
      </c>
      <c r="T220">
        <f t="shared" si="38"/>
        <v>15.288888888888886</v>
      </c>
      <c r="U220">
        <f t="shared" si="39"/>
        <v>14.638942933333331</v>
      </c>
      <c r="X220" s="9"/>
      <c r="Y220" s="22">
        <v>0.64254800000000001</v>
      </c>
      <c r="Z220" s="22">
        <v>16.075399999999998</v>
      </c>
      <c r="AA220" s="22">
        <v>-1.3125599999999999E-2</v>
      </c>
      <c r="AB220" s="22">
        <v>210</v>
      </c>
      <c r="AC220" s="22">
        <v>0.64184600000000003</v>
      </c>
      <c r="AD220">
        <f t="shared" si="40"/>
        <v>16.204444444444441</v>
      </c>
      <c r="AE220">
        <f t="shared" si="41"/>
        <v>10.412133368888886</v>
      </c>
      <c r="AF220" s="9"/>
      <c r="AG220" s="22">
        <v>0.95748900000000003</v>
      </c>
      <c r="AH220" s="22">
        <v>19.693200000000001</v>
      </c>
      <c r="AI220" s="22">
        <v>-1.23444E-2</v>
      </c>
      <c r="AJ220" s="22">
        <v>210</v>
      </c>
      <c r="AK220" s="22">
        <v>0.95642099999999997</v>
      </c>
      <c r="AL220">
        <f t="shared" si="42"/>
        <v>15.239999999999998</v>
      </c>
      <c r="AM220">
        <f t="shared" si="43"/>
        <v>14.592132359999999</v>
      </c>
      <c r="AP220" s="9"/>
      <c r="AQ220" s="22">
        <v>0.64254800000000001</v>
      </c>
      <c r="AR220" s="22">
        <v>25.0107</v>
      </c>
      <c r="AS220" s="22">
        <v>-1.3201900000000001E-2</v>
      </c>
      <c r="AT220" s="22">
        <v>210</v>
      </c>
      <c r="AU220" s="22">
        <v>0.64193699999999998</v>
      </c>
      <c r="AV220">
        <f t="shared" si="44"/>
        <v>16.298641975308641</v>
      </c>
      <c r="AW220">
        <f t="shared" si="45"/>
        <v>10.472659803950616</v>
      </c>
      <c r="AX220" s="9"/>
      <c r="AY220" s="22">
        <v>0.95748900000000003</v>
      </c>
      <c r="AZ220" s="22">
        <v>28.628399999999999</v>
      </c>
      <c r="BA220" s="22">
        <v>-1.24847E-2</v>
      </c>
      <c r="BB220" s="22">
        <v>210</v>
      </c>
      <c r="BC220" s="22">
        <v>0.95642099999999997</v>
      </c>
      <c r="BD220">
        <f t="shared" si="46"/>
        <v>15.413209876543208</v>
      </c>
      <c r="BE220">
        <f t="shared" si="47"/>
        <v>14.75797891148148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7.1913</v>
      </c>
      <c r="I221" s="22">
        <v>-1.31287E-2</v>
      </c>
      <c r="J221" s="22">
        <v>211</v>
      </c>
      <c r="K221" s="22">
        <v>0.63687099999999996</v>
      </c>
      <c r="L221">
        <f t="shared" si="36"/>
        <v>16.208271604938268</v>
      </c>
      <c r="M221">
        <f t="shared" si="37"/>
        <v>10.332967647407404</v>
      </c>
      <c r="N221" s="9"/>
      <c r="O221" s="22">
        <v>0.96252400000000005</v>
      </c>
      <c r="P221" s="22">
        <v>10.809100000000001</v>
      </c>
      <c r="Q221" s="22">
        <v>-1.2374899999999999E-2</v>
      </c>
      <c r="R221" s="22">
        <v>211</v>
      </c>
      <c r="S221" s="22">
        <v>0.96191400000000005</v>
      </c>
      <c r="T221">
        <f t="shared" si="38"/>
        <v>15.277654320987653</v>
      </c>
      <c r="U221">
        <f t="shared" si="39"/>
        <v>14.70510894765432</v>
      </c>
      <c r="X221" s="9"/>
      <c r="Y221" s="22">
        <v>0.63751199999999997</v>
      </c>
      <c r="Z221" s="22">
        <v>16.0855</v>
      </c>
      <c r="AA221" s="22">
        <v>-1.3119499999999999E-2</v>
      </c>
      <c r="AB221" s="22">
        <v>211</v>
      </c>
      <c r="AC221" s="22">
        <v>0.63693200000000005</v>
      </c>
      <c r="AD221">
        <f t="shared" si="40"/>
        <v>16.19691358024691</v>
      </c>
      <c r="AE221">
        <f t="shared" si="41"/>
        <v>10.325726770370368</v>
      </c>
      <c r="AF221" s="9"/>
      <c r="AG221" s="22">
        <v>0.96252400000000005</v>
      </c>
      <c r="AH221" s="22">
        <v>19.703299999999999</v>
      </c>
      <c r="AI221" s="22">
        <v>-1.2335199999999999E-2</v>
      </c>
      <c r="AJ221" s="22">
        <v>211</v>
      </c>
      <c r="AK221" s="22">
        <v>0.96099900000000005</v>
      </c>
      <c r="AL221">
        <f t="shared" si="42"/>
        <v>15.228641975308641</v>
      </c>
      <c r="AM221">
        <f t="shared" si="43"/>
        <v>14.657933388641975</v>
      </c>
      <c r="AP221" s="9"/>
      <c r="AQ221" s="22">
        <v>0.63751199999999997</v>
      </c>
      <c r="AR221" s="22">
        <v>25.020700000000001</v>
      </c>
      <c r="AS221" s="22">
        <v>-1.3207999999999999E-2</v>
      </c>
      <c r="AT221" s="22">
        <v>211</v>
      </c>
      <c r="AU221" s="22">
        <v>0.63684099999999999</v>
      </c>
      <c r="AV221">
        <f t="shared" si="44"/>
        <v>16.306172839506171</v>
      </c>
      <c r="AW221">
        <f t="shared" si="45"/>
        <v>10.395380859259257</v>
      </c>
      <c r="AX221" s="9"/>
      <c r="AY221" s="22">
        <v>0.96252400000000005</v>
      </c>
      <c r="AZ221" s="22">
        <v>28.638500000000001</v>
      </c>
      <c r="BA221" s="22">
        <v>-1.2478599999999999E-2</v>
      </c>
      <c r="BB221" s="22">
        <v>211</v>
      </c>
      <c r="BC221" s="22">
        <v>0.96130400000000005</v>
      </c>
      <c r="BD221">
        <f t="shared" si="46"/>
        <v>15.405679012345677</v>
      </c>
      <c r="BE221">
        <f t="shared" si="47"/>
        <v>14.828335785679011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7.2013699999999998</v>
      </c>
      <c r="I222" s="22">
        <v>-1.31378E-2</v>
      </c>
      <c r="J222" s="22">
        <v>212</v>
      </c>
      <c r="K222" s="22">
        <v>0.63177499999999998</v>
      </c>
      <c r="L222">
        <f t="shared" si="36"/>
        <v>16.219506172839505</v>
      </c>
      <c r="M222">
        <f t="shared" si="37"/>
        <v>10.258464605679011</v>
      </c>
      <c r="N222" s="9"/>
      <c r="O222" s="22">
        <v>0.96755999999999998</v>
      </c>
      <c r="P222" s="22">
        <v>10.819100000000001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15.262592592592593</v>
      </c>
      <c r="U222">
        <f t="shared" si="39"/>
        <v>14.767474088888889</v>
      </c>
      <c r="X222" s="9"/>
      <c r="Y222" s="22">
        <v>0.63247699999999996</v>
      </c>
      <c r="Z222" s="22">
        <v>16.095600000000001</v>
      </c>
      <c r="AA222" s="22">
        <v>-1.31165E-2</v>
      </c>
      <c r="AB222" s="22">
        <v>212</v>
      </c>
      <c r="AC222" s="22">
        <v>0.63180499999999995</v>
      </c>
      <c r="AD222">
        <f t="shared" si="40"/>
        <v>16.193209876543211</v>
      </c>
      <c r="AE222">
        <f t="shared" si="41"/>
        <v>10.241832803086419</v>
      </c>
      <c r="AF222" s="9"/>
      <c r="AG222" s="22">
        <v>0.96755999999999998</v>
      </c>
      <c r="AH222" s="22">
        <v>19.7134</v>
      </c>
      <c r="AI222" s="22">
        <v>-1.2326E-2</v>
      </c>
      <c r="AJ222" s="22">
        <v>212</v>
      </c>
      <c r="AK222" s="22">
        <v>0.96588099999999999</v>
      </c>
      <c r="AL222">
        <f t="shared" si="42"/>
        <v>15.217283950617283</v>
      </c>
      <c r="AM222">
        <f t="shared" si="43"/>
        <v>14.723635259259257</v>
      </c>
      <c r="AP222" s="9"/>
      <c r="AQ222" s="22">
        <v>0.63247699999999996</v>
      </c>
      <c r="AR222" s="22">
        <v>25.030799999999999</v>
      </c>
      <c r="AS222" s="22">
        <v>-1.3201900000000001E-2</v>
      </c>
      <c r="AT222" s="22">
        <v>212</v>
      </c>
      <c r="AU222" s="22">
        <v>0.63180499999999995</v>
      </c>
      <c r="AV222">
        <f t="shared" si="44"/>
        <v>16.298641975308641</v>
      </c>
      <c r="AW222">
        <f t="shared" si="45"/>
        <v>10.308516180617282</v>
      </c>
      <c r="AX222" s="9"/>
      <c r="AY222" s="22">
        <v>0.96755999999999998</v>
      </c>
      <c r="AZ222" s="22">
        <v>28.648599999999998</v>
      </c>
      <c r="BA222" s="22">
        <v>-1.2466400000000001E-2</v>
      </c>
      <c r="BB222" s="22">
        <v>212</v>
      </c>
      <c r="BC222" s="22">
        <v>0.96649200000000002</v>
      </c>
      <c r="BD222">
        <f t="shared" si="46"/>
        <v>15.390617283950617</v>
      </c>
      <c r="BE222">
        <f t="shared" si="47"/>
        <v>14.891345659259258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7.2114399999999996</v>
      </c>
      <c r="I223" s="22">
        <v>-1.3147000000000001E-2</v>
      </c>
      <c r="J223" s="22">
        <v>213</v>
      </c>
      <c r="K223" s="22">
        <v>0.62683100000000003</v>
      </c>
      <c r="L223">
        <f t="shared" si="36"/>
        <v>16.230864197530863</v>
      </c>
      <c r="M223">
        <f t="shared" si="37"/>
        <v>10.183909662962963</v>
      </c>
      <c r="N223" s="9"/>
      <c r="O223" s="22">
        <v>0.97259499999999999</v>
      </c>
      <c r="P223" s="22">
        <v>10.8292</v>
      </c>
      <c r="Q223" s="22">
        <v>-1.23474E-2</v>
      </c>
      <c r="R223" s="22">
        <v>213</v>
      </c>
      <c r="S223" s="22">
        <v>0.97167999999999999</v>
      </c>
      <c r="T223">
        <f t="shared" si="38"/>
        <v>15.243703703703702</v>
      </c>
      <c r="U223">
        <f t="shared" si="39"/>
        <v>14.825950003703701</v>
      </c>
      <c r="X223" s="9"/>
      <c r="Y223" s="22">
        <v>0.62744100000000003</v>
      </c>
      <c r="Z223" s="22">
        <v>16.105699999999999</v>
      </c>
      <c r="AA223" s="22">
        <v>-1.31317E-2</v>
      </c>
      <c r="AB223" s="22">
        <v>213</v>
      </c>
      <c r="AC223" s="22">
        <v>0.62680100000000005</v>
      </c>
      <c r="AD223">
        <f t="shared" si="40"/>
        <v>16.211975308641971</v>
      </c>
      <c r="AE223">
        <f t="shared" si="41"/>
        <v>10.172057999629628</v>
      </c>
      <c r="AF223" s="9"/>
      <c r="AG223" s="22">
        <v>0.97259499999999999</v>
      </c>
      <c r="AH223" s="22">
        <v>19.723400000000002</v>
      </c>
      <c r="AI223" s="22">
        <v>-1.23108E-2</v>
      </c>
      <c r="AJ223" s="22">
        <v>213</v>
      </c>
      <c r="AK223" s="22">
        <v>0.97167999999999999</v>
      </c>
      <c r="AL223">
        <f t="shared" si="42"/>
        <v>15.198518518518517</v>
      </c>
      <c r="AM223">
        <f t="shared" si="43"/>
        <v>14.782003118518517</v>
      </c>
      <c r="AP223" s="9"/>
      <c r="AQ223" s="22">
        <v>0.62744100000000003</v>
      </c>
      <c r="AR223" s="22">
        <v>25.040900000000001</v>
      </c>
      <c r="AS223" s="22">
        <v>-1.3195800000000001E-2</v>
      </c>
      <c r="AT223" s="22">
        <v>213</v>
      </c>
      <c r="AU223" s="22">
        <v>0.62673999999999996</v>
      </c>
      <c r="AV223">
        <f t="shared" si="44"/>
        <v>16.29111111111111</v>
      </c>
      <c r="AW223">
        <f t="shared" si="45"/>
        <v>10.221711046666666</v>
      </c>
      <c r="AX223" s="9"/>
      <c r="AY223" s="22">
        <v>0.97259499999999999</v>
      </c>
      <c r="AZ223" s="22">
        <v>28.6586</v>
      </c>
      <c r="BA223" s="22">
        <v>-1.2442E-2</v>
      </c>
      <c r="BB223" s="22">
        <v>213</v>
      </c>
      <c r="BC223" s="22">
        <v>0.97106899999999996</v>
      </c>
      <c r="BD223">
        <f t="shared" si="46"/>
        <v>15.360493827160493</v>
      </c>
      <c r="BE223">
        <f t="shared" si="47"/>
        <v>14.939539493827159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7.2215100000000003</v>
      </c>
      <c r="I224" s="22">
        <v>-1.31653E-2</v>
      </c>
      <c r="J224" s="22">
        <v>214</v>
      </c>
      <c r="K224" s="22">
        <v>0.62170400000000003</v>
      </c>
      <c r="L224">
        <f t="shared" si="36"/>
        <v>16.253456790123455</v>
      </c>
      <c r="M224">
        <f t="shared" si="37"/>
        <v>10.116249026913579</v>
      </c>
      <c r="N224" s="9"/>
      <c r="O224" s="22">
        <v>0.97763100000000003</v>
      </c>
      <c r="P224" s="22">
        <v>10.8393</v>
      </c>
      <c r="Q224" s="22">
        <v>-1.2326E-2</v>
      </c>
      <c r="R224" s="22">
        <v>214</v>
      </c>
      <c r="S224" s="22">
        <v>0.97656299999999996</v>
      </c>
      <c r="T224">
        <f t="shared" si="38"/>
        <v>15.217283950617283</v>
      </c>
      <c r="U224">
        <f t="shared" si="39"/>
        <v>14.876888525925926</v>
      </c>
      <c r="X224" s="9"/>
      <c r="Y224" s="22">
        <v>0.62240600000000001</v>
      </c>
      <c r="Z224" s="22">
        <v>16.1157</v>
      </c>
      <c r="AA224" s="22">
        <v>-1.31409E-2</v>
      </c>
      <c r="AB224" s="22">
        <v>214</v>
      </c>
      <c r="AC224" s="22">
        <v>0.62176500000000001</v>
      </c>
      <c r="AD224">
        <f t="shared" si="40"/>
        <v>16.223333333333333</v>
      </c>
      <c r="AE224">
        <f t="shared" si="41"/>
        <v>10.097500006666667</v>
      </c>
      <c r="AF224" s="9"/>
      <c r="AG224" s="22">
        <v>0.97763100000000003</v>
      </c>
      <c r="AH224" s="22">
        <v>19.733499999999999</v>
      </c>
      <c r="AI224" s="22">
        <v>-1.2295499999999999E-2</v>
      </c>
      <c r="AJ224" s="22">
        <v>214</v>
      </c>
      <c r="AK224" s="22">
        <v>0.97625700000000004</v>
      </c>
      <c r="AL224">
        <f t="shared" si="42"/>
        <v>15.179629629629629</v>
      </c>
      <c r="AM224">
        <f t="shared" si="43"/>
        <v>14.840076494444444</v>
      </c>
      <c r="AP224" s="9"/>
      <c r="AQ224" s="22">
        <v>0.62240600000000001</v>
      </c>
      <c r="AR224" s="22">
        <v>25.050899999999999</v>
      </c>
      <c r="AS224" s="22">
        <v>-1.3195800000000001E-2</v>
      </c>
      <c r="AT224" s="22">
        <v>214</v>
      </c>
      <c r="AU224" s="22">
        <v>0.62173500000000004</v>
      </c>
      <c r="AV224">
        <f t="shared" si="44"/>
        <v>16.29111111111111</v>
      </c>
      <c r="AW224">
        <f t="shared" si="45"/>
        <v>10.139685302222222</v>
      </c>
      <c r="AX224" s="9"/>
      <c r="AY224" s="22">
        <v>0.97763100000000003</v>
      </c>
      <c r="AZ224" s="22">
        <v>28.668700000000001</v>
      </c>
      <c r="BA224" s="22">
        <v>-1.2423699999999999E-2</v>
      </c>
      <c r="BB224" s="22">
        <v>214</v>
      </c>
      <c r="BC224" s="22">
        <v>0.97656299999999996</v>
      </c>
      <c r="BD224">
        <f t="shared" si="46"/>
        <v>15.3379012345679</v>
      </c>
      <c r="BE224">
        <f t="shared" si="47"/>
        <v>14.994807721851851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7.2315800000000001</v>
      </c>
      <c r="I225" s="22">
        <v>-1.31836E-2</v>
      </c>
      <c r="J225" s="22">
        <v>215</v>
      </c>
      <c r="K225" s="22">
        <v>0.61663800000000002</v>
      </c>
      <c r="L225">
        <f t="shared" si="36"/>
        <v>16.276049382716046</v>
      </c>
      <c r="M225">
        <f t="shared" si="37"/>
        <v>10.048360883456787</v>
      </c>
      <c r="N225" s="9"/>
      <c r="O225" s="22">
        <v>0.98266600000000004</v>
      </c>
      <c r="P225" s="22">
        <v>10.849399999999999</v>
      </c>
      <c r="Q225" s="22">
        <v>-1.23047E-2</v>
      </c>
      <c r="R225" s="22">
        <v>215</v>
      </c>
      <c r="S225" s="22">
        <v>0.98175000000000001</v>
      </c>
      <c r="T225">
        <f t="shared" si="38"/>
        <v>15.190987654320987</v>
      </c>
      <c r="U225">
        <f t="shared" si="39"/>
        <v>14.927667074320986</v>
      </c>
      <c r="X225" s="9"/>
      <c r="Y225" s="22">
        <v>0.617371</v>
      </c>
      <c r="Z225" s="22">
        <v>16.125800000000002</v>
      </c>
      <c r="AA225" s="22">
        <v>-1.315E-2</v>
      </c>
      <c r="AB225" s="22">
        <v>215</v>
      </c>
      <c r="AC225" s="22">
        <v>0.61666900000000002</v>
      </c>
      <c r="AD225">
        <f t="shared" si="40"/>
        <v>16.234567901234566</v>
      </c>
      <c r="AE225">
        <f t="shared" si="41"/>
        <v>10.022751419753085</v>
      </c>
      <c r="AF225" s="9"/>
      <c r="AG225" s="22">
        <v>0.98266600000000004</v>
      </c>
      <c r="AH225" s="22">
        <v>19.743600000000001</v>
      </c>
      <c r="AI225" s="22">
        <v>-1.22711E-2</v>
      </c>
      <c r="AJ225" s="22">
        <v>215</v>
      </c>
      <c r="AK225" s="22">
        <v>0.98144500000000001</v>
      </c>
      <c r="AL225">
        <f t="shared" si="42"/>
        <v>15.149506172839505</v>
      </c>
      <c r="AM225">
        <f t="shared" si="43"/>
        <v>14.886904632839506</v>
      </c>
      <c r="AP225" s="9"/>
      <c r="AQ225" s="22">
        <v>0.617371</v>
      </c>
      <c r="AR225" s="22">
        <v>25.061</v>
      </c>
      <c r="AS225" s="22">
        <v>-1.31897E-2</v>
      </c>
      <c r="AT225" s="22">
        <v>215</v>
      </c>
      <c r="AU225" s="22">
        <v>0.61673</v>
      </c>
      <c r="AV225">
        <f t="shared" si="44"/>
        <v>16.28358024691358</v>
      </c>
      <c r="AW225">
        <f t="shared" si="45"/>
        <v>10.053010220617283</v>
      </c>
      <c r="AX225" s="9"/>
      <c r="AY225" s="22">
        <v>0.98266600000000004</v>
      </c>
      <c r="AZ225" s="22">
        <v>28.678799999999999</v>
      </c>
      <c r="BA225" s="22">
        <v>-1.24054E-2</v>
      </c>
      <c r="BB225" s="22">
        <v>215</v>
      </c>
      <c r="BC225" s="22">
        <v>0.98175000000000001</v>
      </c>
      <c r="BD225">
        <f t="shared" si="46"/>
        <v>15.315308641975308</v>
      </c>
      <c r="BE225">
        <f t="shared" si="47"/>
        <v>15.04983308197531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7.2416600000000004</v>
      </c>
      <c r="I226" s="22">
        <v>-1.31897E-2</v>
      </c>
      <c r="J226" s="22">
        <v>216</v>
      </c>
      <c r="K226" s="22">
        <v>0.61163299999999998</v>
      </c>
      <c r="L226">
        <f t="shared" si="36"/>
        <v>16.28358024691358</v>
      </c>
      <c r="M226">
        <f t="shared" si="37"/>
        <v>9.9710061104938266</v>
      </c>
      <c r="N226" s="9"/>
      <c r="O226" s="22">
        <v>0.98770100000000005</v>
      </c>
      <c r="P226" s="22">
        <v>10.859400000000001</v>
      </c>
      <c r="Q226" s="22">
        <v>-1.2280299999999999E-2</v>
      </c>
      <c r="R226" s="22">
        <v>216</v>
      </c>
      <c r="S226" s="22">
        <v>0.98724400000000001</v>
      </c>
      <c r="T226">
        <f t="shared" si="38"/>
        <v>15.160864197530863</v>
      </c>
      <c r="U226">
        <f t="shared" si="39"/>
        <v>14.974400728765431</v>
      </c>
      <c r="X226" s="9"/>
      <c r="Y226" s="22">
        <v>0.61233499999999996</v>
      </c>
      <c r="Z226" s="22">
        <v>16.135899999999999</v>
      </c>
      <c r="AA226" s="22">
        <v>-1.31714E-2</v>
      </c>
      <c r="AB226" s="22">
        <v>216</v>
      </c>
      <c r="AC226" s="22">
        <v>0.61169399999999996</v>
      </c>
      <c r="AD226">
        <f t="shared" si="40"/>
        <v>16.260987654320989</v>
      </c>
      <c r="AE226">
        <f t="shared" si="41"/>
        <v>9.9571718753086422</v>
      </c>
      <c r="AF226" s="9"/>
      <c r="AG226" s="22">
        <v>0.98770100000000005</v>
      </c>
      <c r="AH226" s="22">
        <v>19.753599999999999</v>
      </c>
      <c r="AI226" s="22">
        <v>-1.22559E-2</v>
      </c>
      <c r="AJ226" s="22">
        <v>216</v>
      </c>
      <c r="AK226" s="22">
        <v>0.98724400000000001</v>
      </c>
      <c r="AL226">
        <f t="shared" si="42"/>
        <v>15.130740740740739</v>
      </c>
      <c r="AM226">
        <f t="shared" si="43"/>
        <v>14.944647760370369</v>
      </c>
      <c r="AP226" s="9"/>
      <c r="AQ226" s="22">
        <v>0.61233499999999996</v>
      </c>
      <c r="AR226" s="22">
        <v>25.071100000000001</v>
      </c>
      <c r="AS226" s="22">
        <v>-1.31836E-2</v>
      </c>
      <c r="AT226" s="22">
        <v>216</v>
      </c>
      <c r="AU226" s="22">
        <v>0.61166399999999999</v>
      </c>
      <c r="AV226">
        <f t="shared" si="44"/>
        <v>16.276049382716046</v>
      </c>
      <c r="AW226">
        <f t="shared" si="45"/>
        <v>9.9663946987654288</v>
      </c>
      <c r="AX226" s="9"/>
      <c r="AY226" s="22">
        <v>0.98770100000000005</v>
      </c>
      <c r="AZ226" s="22">
        <v>28.6889</v>
      </c>
      <c r="BA226" s="22">
        <v>-1.2390099999999999E-2</v>
      </c>
      <c r="BB226" s="22">
        <v>216</v>
      </c>
      <c r="BC226" s="22">
        <v>0.98632799999999998</v>
      </c>
      <c r="BD226">
        <f t="shared" si="46"/>
        <v>15.296419753086418</v>
      </c>
      <c r="BE226">
        <f t="shared" si="47"/>
        <v>15.108289086543209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7.2517300000000002</v>
      </c>
      <c r="I227" s="22">
        <v>-1.31927E-2</v>
      </c>
      <c r="J227" s="22">
        <v>217</v>
      </c>
      <c r="K227" s="22">
        <v>0.60662799999999995</v>
      </c>
      <c r="L227">
        <f t="shared" si="36"/>
        <v>16.287283950617283</v>
      </c>
      <c r="M227">
        <f t="shared" si="37"/>
        <v>9.8912675432098744</v>
      </c>
      <c r="N227" s="9"/>
      <c r="O227" s="22">
        <v>0.99273699999999998</v>
      </c>
      <c r="P227" s="22">
        <v>10.8695</v>
      </c>
      <c r="Q227" s="22">
        <v>-1.22559E-2</v>
      </c>
      <c r="R227" s="22">
        <v>217</v>
      </c>
      <c r="S227" s="22">
        <v>0.99151599999999995</v>
      </c>
      <c r="T227">
        <f t="shared" si="38"/>
        <v>15.130740740740739</v>
      </c>
      <c r="U227">
        <f t="shared" si="39"/>
        <v>15.020846170740739</v>
      </c>
      <c r="X227" s="9"/>
      <c r="Y227" s="22">
        <v>0.60729999999999995</v>
      </c>
      <c r="Z227" s="22">
        <v>16.145900000000001</v>
      </c>
      <c r="AA227" s="22">
        <v>-1.31805E-2</v>
      </c>
      <c r="AB227" s="22">
        <v>217</v>
      </c>
      <c r="AC227" s="22">
        <v>0.60659799999999997</v>
      </c>
      <c r="AD227">
        <f t="shared" si="40"/>
        <v>16.272222222222219</v>
      </c>
      <c r="AE227">
        <f t="shared" si="41"/>
        <v>9.8821205555555522</v>
      </c>
      <c r="AF227" s="9"/>
      <c r="AG227" s="22">
        <v>0.99273699999999998</v>
      </c>
      <c r="AH227" s="22">
        <v>19.7637</v>
      </c>
      <c r="AI227" s="22">
        <v>-1.22375E-2</v>
      </c>
      <c r="AJ227" s="22">
        <v>217</v>
      </c>
      <c r="AK227" s="22">
        <v>0.99151599999999995</v>
      </c>
      <c r="AL227">
        <f t="shared" si="42"/>
        <v>15.108024691358024</v>
      </c>
      <c r="AM227">
        <f t="shared" si="43"/>
        <v>14.99829510802469</v>
      </c>
      <c r="AP227" s="9"/>
      <c r="AQ227" s="22">
        <v>0.60729999999999995</v>
      </c>
      <c r="AR227" s="22">
        <v>25.081199999999999</v>
      </c>
      <c r="AS227" s="22">
        <v>-1.31866E-2</v>
      </c>
      <c r="AT227" s="22">
        <v>217</v>
      </c>
      <c r="AU227" s="22">
        <v>0.60659799999999997</v>
      </c>
      <c r="AV227">
        <f t="shared" si="44"/>
        <v>16.279753086419749</v>
      </c>
      <c r="AW227">
        <f t="shared" si="45"/>
        <v>9.8866940493827133</v>
      </c>
      <c r="AX227" s="9"/>
      <c r="AY227" s="22">
        <v>0.99273699999999998</v>
      </c>
      <c r="AZ227" s="22">
        <v>28.698899999999998</v>
      </c>
      <c r="BA227" s="22">
        <v>-1.2368799999999999E-2</v>
      </c>
      <c r="BB227" s="22">
        <v>217</v>
      </c>
      <c r="BC227" s="22">
        <v>0.99212599999999995</v>
      </c>
      <c r="BD227">
        <f t="shared" si="46"/>
        <v>15.270123456790122</v>
      </c>
      <c r="BE227">
        <f t="shared" si="47"/>
        <v>15.159216550123455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7.2618</v>
      </c>
      <c r="I228" s="22">
        <v>-1.3205E-2</v>
      </c>
      <c r="J228" s="22">
        <v>218</v>
      </c>
      <c r="K228" s="22">
        <v>0.60150099999999995</v>
      </c>
      <c r="L228">
        <f t="shared" si="36"/>
        <v>16.302469135802468</v>
      </c>
      <c r="M228">
        <f t="shared" si="37"/>
        <v>9.8183902716049385</v>
      </c>
      <c r="N228" s="9"/>
      <c r="O228" s="22">
        <v>0.99777199999999999</v>
      </c>
      <c r="P228" s="22">
        <v>10.8796</v>
      </c>
      <c r="Q228" s="22">
        <v>-1.22284E-2</v>
      </c>
      <c r="R228" s="22">
        <v>218</v>
      </c>
      <c r="S228" s="22">
        <v>0.99639900000000003</v>
      </c>
      <c r="T228">
        <f t="shared" si="38"/>
        <v>15.096790123456788</v>
      </c>
      <c r="U228">
        <f t="shared" si="39"/>
        <v>15.063154475061726</v>
      </c>
      <c r="X228" s="9"/>
      <c r="Y228" s="22">
        <v>0.60226400000000002</v>
      </c>
      <c r="Z228" s="22">
        <v>16.155999999999999</v>
      </c>
      <c r="AA228" s="22">
        <v>-1.3195800000000001E-2</v>
      </c>
      <c r="AB228" s="22">
        <v>218</v>
      </c>
      <c r="AC228" s="22">
        <v>0.60159300000000004</v>
      </c>
      <c r="AD228">
        <f t="shared" si="40"/>
        <v>16.29111111111111</v>
      </c>
      <c r="AE228">
        <f t="shared" si="41"/>
        <v>9.8115497422222226</v>
      </c>
      <c r="AF228" s="9"/>
      <c r="AG228" s="22">
        <v>0.99777199999999999</v>
      </c>
      <c r="AH228" s="22">
        <v>19.773800000000001</v>
      </c>
      <c r="AI228" s="22">
        <v>-1.22223E-2</v>
      </c>
      <c r="AJ228" s="22">
        <v>218</v>
      </c>
      <c r="AK228" s="22">
        <v>0.99700900000000003</v>
      </c>
      <c r="AL228">
        <f t="shared" si="42"/>
        <v>15.08925925925926</v>
      </c>
      <c r="AM228">
        <f t="shared" si="43"/>
        <v>15.05564038962963</v>
      </c>
      <c r="AP228" s="9"/>
      <c r="AQ228" s="22">
        <v>0.60226400000000002</v>
      </c>
      <c r="AR228" s="22">
        <v>25.091200000000001</v>
      </c>
      <c r="AS228" s="22">
        <v>-1.3195800000000001E-2</v>
      </c>
      <c r="AT228" s="22">
        <v>218</v>
      </c>
      <c r="AU228" s="22">
        <v>0.60156299999999996</v>
      </c>
      <c r="AV228">
        <f t="shared" si="44"/>
        <v>16.29111111111111</v>
      </c>
      <c r="AW228">
        <f t="shared" si="45"/>
        <v>9.8115497422222226</v>
      </c>
      <c r="AX228" s="9"/>
      <c r="AY228" s="22">
        <v>0.99777199999999999</v>
      </c>
      <c r="AZ228" s="22">
        <v>28.709</v>
      </c>
      <c r="BA228" s="22">
        <v>-1.23444E-2</v>
      </c>
      <c r="BB228" s="22">
        <v>218</v>
      </c>
      <c r="BC228" s="22">
        <v>0.99700900000000003</v>
      </c>
      <c r="BD228">
        <f t="shared" si="46"/>
        <v>15.239999999999998</v>
      </c>
      <c r="BE228">
        <f t="shared" si="47"/>
        <v>15.206045279999998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7.2718699999999998</v>
      </c>
      <c r="I229" s="22">
        <v>-1.3214099999999999E-2</v>
      </c>
      <c r="J229" s="22">
        <v>219</v>
      </c>
      <c r="K229" s="22">
        <v>0.59649700000000005</v>
      </c>
      <c r="L229">
        <f t="shared" si="36"/>
        <v>16.313703703703702</v>
      </c>
      <c r="M229">
        <f t="shared" si="37"/>
        <v>9.7430169492592587</v>
      </c>
      <c r="N229" s="9"/>
      <c r="O229" s="22">
        <v>1.00281</v>
      </c>
      <c r="P229" s="22">
        <v>10.8896</v>
      </c>
      <c r="Q229" s="22">
        <v>-1.2204E-2</v>
      </c>
      <c r="R229" s="22">
        <v>219</v>
      </c>
      <c r="S229" s="22">
        <v>1.00159</v>
      </c>
      <c r="T229">
        <f t="shared" si="38"/>
        <v>15.066666666666666</v>
      </c>
      <c r="U229">
        <f t="shared" si="39"/>
        <v>15.109003999999999</v>
      </c>
      <c r="X229" s="9"/>
      <c r="Y229" s="22">
        <v>0.59722900000000001</v>
      </c>
      <c r="Z229" s="22">
        <v>16.1661</v>
      </c>
      <c r="AA229" s="22">
        <v>-1.3205E-2</v>
      </c>
      <c r="AB229" s="22">
        <v>219</v>
      </c>
      <c r="AC229" s="22">
        <v>0.59658800000000001</v>
      </c>
      <c r="AD229">
        <f t="shared" si="40"/>
        <v>16.302469135802468</v>
      </c>
      <c r="AE229">
        <f t="shared" si="41"/>
        <v>9.7363073395061726</v>
      </c>
      <c r="AF229" s="9"/>
      <c r="AG229" s="22">
        <v>1.00281</v>
      </c>
      <c r="AH229" s="22">
        <v>19.783899999999999</v>
      </c>
      <c r="AI229" s="22">
        <v>-1.22162E-2</v>
      </c>
      <c r="AJ229" s="22">
        <v>219</v>
      </c>
      <c r="AK229" s="22">
        <v>1.00159</v>
      </c>
      <c r="AL229">
        <f t="shared" si="42"/>
        <v>15.081728395061727</v>
      </c>
      <c r="AM229">
        <f t="shared" si="43"/>
        <v>15.12410805185185</v>
      </c>
      <c r="AP229" s="9"/>
      <c r="AQ229" s="22">
        <v>0.59722900000000001</v>
      </c>
      <c r="AR229" s="22">
        <v>25.101299999999998</v>
      </c>
      <c r="AS229" s="22">
        <v>-1.3201900000000001E-2</v>
      </c>
      <c r="AT229" s="22">
        <v>219</v>
      </c>
      <c r="AU229" s="22">
        <v>0.59643599999999997</v>
      </c>
      <c r="AV229">
        <f t="shared" si="44"/>
        <v>16.298641975308641</v>
      </c>
      <c r="AW229">
        <f t="shared" si="45"/>
        <v>9.7340216482716038</v>
      </c>
      <c r="AX229" s="9"/>
      <c r="AY229" s="22">
        <v>1.00281</v>
      </c>
      <c r="AZ229" s="22">
        <v>28.719100000000001</v>
      </c>
      <c r="BA229" s="22">
        <v>-1.2326E-2</v>
      </c>
      <c r="BB229" s="22">
        <v>219</v>
      </c>
      <c r="BC229" s="22">
        <v>1.0018899999999999</v>
      </c>
      <c r="BD229">
        <f t="shared" si="46"/>
        <v>15.217283950617283</v>
      </c>
      <c r="BE229">
        <f t="shared" si="47"/>
        <v>15.260044518518518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7.2819399999999996</v>
      </c>
      <c r="I230" s="22">
        <v>-1.32172E-2</v>
      </c>
      <c r="J230" s="22">
        <v>220</v>
      </c>
      <c r="K230" s="22">
        <v>0.59149200000000002</v>
      </c>
      <c r="L230">
        <f t="shared" si="36"/>
        <v>16.317530864197529</v>
      </c>
      <c r="M230">
        <f t="shared" si="37"/>
        <v>9.6631438725925918</v>
      </c>
      <c r="N230" s="9"/>
      <c r="O230" s="22">
        <v>1.0078400000000001</v>
      </c>
      <c r="P230" s="22">
        <v>10.899699999999999</v>
      </c>
      <c r="Q230" s="22">
        <v>-1.21826E-2</v>
      </c>
      <c r="R230" s="22">
        <v>220</v>
      </c>
      <c r="S230" s="22">
        <v>1.00708</v>
      </c>
      <c r="T230">
        <f t="shared" si="38"/>
        <v>15.040246913580246</v>
      </c>
      <c r="U230">
        <f t="shared" si="39"/>
        <v>15.158162449382717</v>
      </c>
      <c r="X230" s="9"/>
      <c r="Y230" s="22">
        <v>0.592194</v>
      </c>
      <c r="Z230" s="22">
        <v>16.176100000000002</v>
      </c>
      <c r="AA230" s="22">
        <v>-1.3214099999999999E-2</v>
      </c>
      <c r="AB230" s="22">
        <v>220</v>
      </c>
      <c r="AC230" s="22">
        <v>0.591553</v>
      </c>
      <c r="AD230">
        <f t="shared" si="40"/>
        <v>16.313703703703702</v>
      </c>
      <c r="AE230">
        <f t="shared" si="41"/>
        <v>9.6608774511111104</v>
      </c>
      <c r="AF230" s="9"/>
      <c r="AG230" s="22">
        <v>1.0078400000000001</v>
      </c>
      <c r="AH230" s="22">
        <v>19.793900000000001</v>
      </c>
      <c r="AI230" s="22">
        <v>-1.21948E-2</v>
      </c>
      <c r="AJ230" s="22">
        <v>220</v>
      </c>
      <c r="AK230" s="22">
        <v>1.00708</v>
      </c>
      <c r="AL230">
        <f t="shared" si="42"/>
        <v>15.055308641975309</v>
      </c>
      <c r="AM230">
        <f t="shared" si="43"/>
        <v>15.173342261728395</v>
      </c>
      <c r="AP230" s="9"/>
      <c r="AQ230" s="22">
        <v>0.592194</v>
      </c>
      <c r="AR230" s="22">
        <v>25.1114</v>
      </c>
      <c r="AS230" s="22">
        <v>-1.3201900000000001E-2</v>
      </c>
      <c r="AT230" s="22">
        <v>220</v>
      </c>
      <c r="AU230" s="22">
        <v>0.59152199999999999</v>
      </c>
      <c r="AV230">
        <f t="shared" si="44"/>
        <v>16.298641975308641</v>
      </c>
      <c r="AW230">
        <f t="shared" si="45"/>
        <v>9.6519579859259252</v>
      </c>
      <c r="AX230" s="9"/>
      <c r="AY230" s="22">
        <v>1.0078400000000001</v>
      </c>
      <c r="AZ230" s="22">
        <v>28.729099999999999</v>
      </c>
      <c r="BA230" s="22">
        <v>-1.23169E-2</v>
      </c>
      <c r="BB230" s="22">
        <v>220</v>
      </c>
      <c r="BC230" s="22">
        <v>1.00708</v>
      </c>
      <c r="BD230">
        <f t="shared" si="46"/>
        <v>15.206049382716049</v>
      </c>
      <c r="BE230">
        <f t="shared" si="47"/>
        <v>15.325264809876543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7.2920100000000003</v>
      </c>
      <c r="I231" s="22">
        <v>-1.32263E-2</v>
      </c>
      <c r="J231" s="22">
        <v>221</v>
      </c>
      <c r="K231" s="22">
        <v>0.58648699999999998</v>
      </c>
      <c r="L231">
        <f t="shared" si="36"/>
        <v>16.328765432098766</v>
      </c>
      <c r="M231">
        <f t="shared" si="37"/>
        <v>9.5875652535802462</v>
      </c>
      <c r="N231" s="9"/>
      <c r="O231" s="22">
        <v>1.01288</v>
      </c>
      <c r="P231" s="22">
        <v>10.909800000000001</v>
      </c>
      <c r="Q231" s="22">
        <v>-1.21613E-2</v>
      </c>
      <c r="R231" s="22">
        <v>221</v>
      </c>
      <c r="S231" s="22">
        <v>1.01196</v>
      </c>
      <c r="T231">
        <f t="shared" si="38"/>
        <v>15.01395061728395</v>
      </c>
      <c r="U231">
        <f t="shared" si="39"/>
        <v>15.207330301234567</v>
      </c>
      <c r="X231" s="9"/>
      <c r="Y231" s="22">
        <v>0.58715799999999996</v>
      </c>
      <c r="Z231" s="22">
        <v>16.186199999999999</v>
      </c>
      <c r="AA231" s="22">
        <v>-1.3229400000000001E-2</v>
      </c>
      <c r="AB231" s="22">
        <v>221</v>
      </c>
      <c r="AC231" s="22">
        <v>0.586426</v>
      </c>
      <c r="AD231">
        <f t="shared" si="40"/>
        <v>16.332592592592594</v>
      </c>
      <c r="AE231">
        <f t="shared" si="41"/>
        <v>9.5898124014814812</v>
      </c>
      <c r="AF231" s="9"/>
      <c r="AG231" s="22">
        <v>1.01288</v>
      </c>
      <c r="AH231" s="22">
        <v>19.803999999999998</v>
      </c>
      <c r="AI231" s="22">
        <v>-1.21704E-2</v>
      </c>
      <c r="AJ231" s="22">
        <v>221</v>
      </c>
      <c r="AK231" s="22">
        <v>1.01135</v>
      </c>
      <c r="AL231">
        <f t="shared" si="42"/>
        <v>15.025185185185183</v>
      </c>
      <c r="AM231">
        <f t="shared" si="43"/>
        <v>15.218709570370368</v>
      </c>
      <c r="AP231" s="9"/>
      <c r="AQ231" s="22">
        <v>0.58715799999999996</v>
      </c>
      <c r="AR231" s="22">
        <v>25.121400000000001</v>
      </c>
      <c r="AS231" s="22">
        <v>-1.3205E-2</v>
      </c>
      <c r="AT231" s="22">
        <v>221</v>
      </c>
      <c r="AU231" s="22">
        <v>0.58651699999999996</v>
      </c>
      <c r="AV231">
        <f t="shared" si="44"/>
        <v>16.302469135802468</v>
      </c>
      <c r="AW231">
        <f t="shared" si="45"/>
        <v>9.5721251728395043</v>
      </c>
      <c r="AX231" s="9"/>
      <c r="AY231" s="22">
        <v>1.01288</v>
      </c>
      <c r="AZ231" s="22">
        <v>28.7392</v>
      </c>
      <c r="BA231" s="22">
        <v>-1.23047E-2</v>
      </c>
      <c r="BB231" s="22">
        <v>221</v>
      </c>
      <c r="BC231" s="22">
        <v>1.01227</v>
      </c>
      <c r="BD231">
        <f t="shared" si="46"/>
        <v>15.190987654320987</v>
      </c>
      <c r="BE231">
        <f t="shared" si="47"/>
        <v>15.386647575308642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7.3020800000000001</v>
      </c>
      <c r="I232" s="22">
        <v>-1.32263E-2</v>
      </c>
      <c r="J232" s="22">
        <v>222</v>
      </c>
      <c r="K232" s="22">
        <v>0.58145100000000005</v>
      </c>
      <c r="L232">
        <f t="shared" si="36"/>
        <v>16.328765432098766</v>
      </c>
      <c r="M232">
        <f t="shared" si="37"/>
        <v>9.5053499196296301</v>
      </c>
      <c r="N232" s="9"/>
      <c r="O232" s="22">
        <v>1.0179100000000001</v>
      </c>
      <c r="P232" s="22">
        <v>10.9198</v>
      </c>
      <c r="Q232" s="22">
        <v>-1.21399E-2</v>
      </c>
      <c r="R232" s="22">
        <v>222</v>
      </c>
      <c r="S232" s="22">
        <v>1.01685</v>
      </c>
      <c r="T232">
        <f t="shared" si="38"/>
        <v>14.987530864197531</v>
      </c>
      <c r="U232">
        <f t="shared" si="39"/>
        <v>15.25595754197531</v>
      </c>
      <c r="X232" s="9"/>
      <c r="Y232" s="22">
        <v>0.58212299999999995</v>
      </c>
      <c r="Z232" s="22">
        <v>16.196300000000001</v>
      </c>
      <c r="AA232" s="22">
        <v>-1.32446E-2</v>
      </c>
      <c r="AB232" s="22">
        <v>222</v>
      </c>
      <c r="AC232" s="22">
        <v>0.58145100000000005</v>
      </c>
      <c r="AD232">
        <f t="shared" si="40"/>
        <v>16.351358024691358</v>
      </c>
      <c r="AE232">
        <f t="shared" si="41"/>
        <v>9.5185015874074068</v>
      </c>
      <c r="AF232" s="9"/>
      <c r="AG232" s="22">
        <v>1.0179100000000001</v>
      </c>
      <c r="AH232" s="22">
        <v>19.8141</v>
      </c>
      <c r="AI232" s="22">
        <v>-1.21429E-2</v>
      </c>
      <c r="AJ232" s="22">
        <v>222</v>
      </c>
      <c r="AK232" s="22">
        <v>1.01715</v>
      </c>
      <c r="AL232">
        <f t="shared" si="42"/>
        <v>14.991234567901234</v>
      </c>
      <c r="AM232">
        <f t="shared" si="43"/>
        <v>15.259727579012347</v>
      </c>
      <c r="AP232" s="9"/>
      <c r="AQ232" s="22">
        <v>0.58212299999999995</v>
      </c>
      <c r="AR232" s="22">
        <v>25.131499999999999</v>
      </c>
      <c r="AS232" s="22">
        <v>-1.3205E-2</v>
      </c>
      <c r="AT232" s="22">
        <v>222</v>
      </c>
      <c r="AU232" s="22">
        <v>0.58145100000000005</v>
      </c>
      <c r="AV232">
        <f t="shared" si="44"/>
        <v>16.302469135802468</v>
      </c>
      <c r="AW232">
        <f t="shared" si="45"/>
        <v>9.4900422407407401</v>
      </c>
      <c r="AX232" s="9"/>
      <c r="AY232" s="22">
        <v>1.0179100000000001</v>
      </c>
      <c r="AZ232" s="22">
        <v>28.749300000000002</v>
      </c>
      <c r="BA232" s="22">
        <v>-1.2286399999999999E-2</v>
      </c>
      <c r="BB232" s="22">
        <v>222</v>
      </c>
      <c r="BC232" s="22">
        <v>1.01654</v>
      </c>
      <c r="BD232">
        <f t="shared" si="46"/>
        <v>15.168395061728393</v>
      </c>
      <c r="BE232">
        <f t="shared" si="47"/>
        <v>15.44006101728395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7.3121499999999999</v>
      </c>
      <c r="I233" s="22">
        <v>-1.32263E-2</v>
      </c>
      <c r="J233" s="22">
        <v>223</v>
      </c>
      <c r="K233" s="22">
        <v>0.57635499999999995</v>
      </c>
      <c r="L233">
        <f t="shared" si="36"/>
        <v>16.328765432098766</v>
      </c>
      <c r="M233">
        <f t="shared" si="37"/>
        <v>9.4231182569135807</v>
      </c>
      <c r="N233" s="9"/>
      <c r="O233" s="22">
        <v>1.02295</v>
      </c>
      <c r="P233" s="22">
        <v>10.9299</v>
      </c>
      <c r="Q233" s="22">
        <v>-1.21216E-2</v>
      </c>
      <c r="R233" s="22">
        <v>223</v>
      </c>
      <c r="S233" s="22">
        <v>1.02203</v>
      </c>
      <c r="T233">
        <f t="shared" si="38"/>
        <v>14.964938271604938</v>
      </c>
      <c r="U233">
        <f t="shared" si="39"/>
        <v>15.308383604938271</v>
      </c>
      <c r="X233" s="9"/>
      <c r="Y233" s="22">
        <v>0.57708700000000002</v>
      </c>
      <c r="Z233" s="22">
        <v>16.206399999999999</v>
      </c>
      <c r="AA233" s="22">
        <v>-1.32599E-2</v>
      </c>
      <c r="AB233" s="22">
        <v>223</v>
      </c>
      <c r="AC233" s="22">
        <v>0.57638500000000004</v>
      </c>
      <c r="AD233">
        <f t="shared" si="40"/>
        <v>16.370246913580246</v>
      </c>
      <c r="AE233">
        <f t="shared" si="41"/>
        <v>9.4470566806172833</v>
      </c>
      <c r="AF233" s="9"/>
      <c r="AG233" s="22">
        <v>1.02295</v>
      </c>
      <c r="AH233" s="22">
        <v>19.824100000000001</v>
      </c>
      <c r="AI233" s="22">
        <v>-1.2109399999999999E-2</v>
      </c>
      <c r="AJ233" s="22">
        <v>223</v>
      </c>
      <c r="AK233" s="22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2">
        <v>0.57708700000000002</v>
      </c>
      <c r="AR233" s="22">
        <v>25.1416</v>
      </c>
      <c r="AS233" s="22">
        <v>-1.32111E-2</v>
      </c>
      <c r="AT233" s="22">
        <v>223</v>
      </c>
      <c r="AU233" s="22">
        <v>0.57641600000000004</v>
      </c>
      <c r="AV233">
        <f t="shared" si="44"/>
        <v>16.309999999999999</v>
      </c>
      <c r="AW233">
        <f t="shared" si="45"/>
        <v>9.4122889699999988</v>
      </c>
      <c r="AX233" s="9"/>
      <c r="AY233" s="22">
        <v>1.02295</v>
      </c>
      <c r="AZ233" s="22">
        <v>28.759399999999999</v>
      </c>
      <c r="BA233" s="22">
        <v>-1.2268100000000001E-2</v>
      </c>
      <c r="BB233" s="22">
        <v>223</v>
      </c>
      <c r="BC233" s="22">
        <v>1.02173</v>
      </c>
      <c r="BD233">
        <f t="shared" si="46"/>
        <v>15.145802469135802</v>
      </c>
      <c r="BE233">
        <f t="shared" si="47"/>
        <v>15.493398635802469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7.3222199999999997</v>
      </c>
      <c r="I234" s="22">
        <v>-1.32233E-2</v>
      </c>
      <c r="J234" s="22">
        <v>224</v>
      </c>
      <c r="K234" s="22">
        <v>0.57135000000000002</v>
      </c>
      <c r="L234">
        <f t="shared" si="36"/>
        <v>16.32506172839506</v>
      </c>
      <c r="M234">
        <f t="shared" si="37"/>
        <v>9.3387842118518503</v>
      </c>
      <c r="N234" s="9"/>
      <c r="O234" s="22">
        <v>1.0279799999999999</v>
      </c>
      <c r="P234" s="22">
        <v>10.94</v>
      </c>
      <c r="Q234" s="22">
        <v>-1.21155E-2</v>
      </c>
      <c r="R234" s="22">
        <v>224</v>
      </c>
      <c r="S234" s="22">
        <v>1.0269200000000001</v>
      </c>
      <c r="T234">
        <f t="shared" si="38"/>
        <v>14.957407407407405</v>
      </c>
      <c r="U234">
        <f t="shared" si="39"/>
        <v>15.375915666666662</v>
      </c>
      <c r="X234" s="9"/>
      <c r="Y234" s="22">
        <v>0.572052</v>
      </c>
      <c r="Z234" s="22">
        <v>16.2164</v>
      </c>
      <c r="AA234" s="22">
        <v>-1.3266E-2</v>
      </c>
      <c r="AB234" s="22">
        <v>224</v>
      </c>
      <c r="AC234" s="22">
        <v>0.57135000000000002</v>
      </c>
      <c r="AD234">
        <f t="shared" si="40"/>
        <v>16.377777777777776</v>
      </c>
      <c r="AE234">
        <f t="shared" si="41"/>
        <v>9.3689405333333333</v>
      </c>
      <c r="AF234" s="9"/>
      <c r="AG234" s="22">
        <v>1.0279799999999999</v>
      </c>
      <c r="AH234" s="22">
        <v>19.834199999999999</v>
      </c>
      <c r="AI234" s="22">
        <v>-1.20789E-2</v>
      </c>
      <c r="AJ234" s="22">
        <v>224</v>
      </c>
      <c r="AK234" s="22">
        <v>1.0269200000000001</v>
      </c>
      <c r="AL234">
        <f t="shared" si="42"/>
        <v>14.912222222222221</v>
      </c>
      <c r="AM234">
        <f t="shared" si="43"/>
        <v>15.329466199999997</v>
      </c>
      <c r="AP234" s="9"/>
      <c r="AQ234" s="22">
        <v>0.572052</v>
      </c>
      <c r="AR234" s="22">
        <v>25.151700000000002</v>
      </c>
      <c r="AS234" s="22">
        <v>-1.3214099999999999E-2</v>
      </c>
      <c r="AT234" s="22">
        <v>224</v>
      </c>
      <c r="AU234" s="22">
        <v>0.57135000000000002</v>
      </c>
      <c r="AV234">
        <f t="shared" si="44"/>
        <v>16.313703703703702</v>
      </c>
      <c r="AW234">
        <f t="shared" si="45"/>
        <v>9.3322868311111105</v>
      </c>
      <c r="AX234" s="9"/>
      <c r="AY234" s="22">
        <v>1.0279799999999999</v>
      </c>
      <c r="AZ234" s="22">
        <v>28.769400000000001</v>
      </c>
      <c r="BA234" s="22">
        <v>-1.22498E-2</v>
      </c>
      <c r="BB234" s="22">
        <v>224</v>
      </c>
      <c r="BC234" s="22">
        <v>1.02722</v>
      </c>
      <c r="BD234">
        <f t="shared" si="46"/>
        <v>15.123209876543209</v>
      </c>
      <c r="BE234">
        <f t="shared" si="47"/>
        <v>15.546357288888887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7.3322900000000004</v>
      </c>
      <c r="I235" s="22">
        <v>-1.32172E-2</v>
      </c>
      <c r="J235" s="22">
        <v>225</v>
      </c>
      <c r="K235" s="22">
        <v>0.56637599999999999</v>
      </c>
      <c r="L235">
        <f t="shared" si="36"/>
        <v>16.317530864197529</v>
      </c>
      <c r="M235">
        <f t="shared" si="37"/>
        <v>9.2523173980246902</v>
      </c>
      <c r="N235" s="9"/>
      <c r="O235" s="22">
        <v>1.03302</v>
      </c>
      <c r="P235" s="22">
        <v>10.950100000000001</v>
      </c>
      <c r="Q235" s="22">
        <v>-1.2103300000000001E-2</v>
      </c>
      <c r="R235" s="22">
        <v>225</v>
      </c>
      <c r="S235" s="22">
        <v>1.03149</v>
      </c>
      <c r="T235">
        <f t="shared" si="38"/>
        <v>14.942345679012346</v>
      </c>
      <c r="U235">
        <f t="shared" si="39"/>
        <v>15.435741933333334</v>
      </c>
      <c r="X235" s="9"/>
      <c r="Y235" s="22">
        <v>0.56701699999999999</v>
      </c>
      <c r="Z235" s="22">
        <v>16.226500000000001</v>
      </c>
      <c r="AA235" s="22">
        <v>-1.32782E-2</v>
      </c>
      <c r="AB235" s="22">
        <v>225</v>
      </c>
      <c r="AC235" s="22">
        <v>0.56631500000000001</v>
      </c>
      <c r="AD235">
        <f t="shared" si="40"/>
        <v>16.392839506172837</v>
      </c>
      <c r="AE235">
        <f t="shared" si="41"/>
        <v>9.2950186782716031</v>
      </c>
      <c r="AF235" s="9"/>
      <c r="AG235" s="22">
        <v>1.03302</v>
      </c>
      <c r="AH235" s="22">
        <v>19.8443</v>
      </c>
      <c r="AI235" s="22">
        <v>-1.20544E-2</v>
      </c>
      <c r="AJ235" s="22">
        <v>225</v>
      </c>
      <c r="AK235" s="22">
        <v>1.0321</v>
      </c>
      <c r="AL235">
        <f t="shared" si="42"/>
        <v>14.881975308641973</v>
      </c>
      <c r="AM235">
        <f t="shared" si="43"/>
        <v>15.373378133333333</v>
      </c>
      <c r="AP235" s="9"/>
      <c r="AQ235" s="22">
        <v>0.56701699999999999</v>
      </c>
      <c r="AR235" s="22">
        <v>25.1617</v>
      </c>
      <c r="AS235" s="22">
        <v>-1.32172E-2</v>
      </c>
      <c r="AT235" s="22">
        <v>225</v>
      </c>
      <c r="AU235" s="22">
        <v>0.56628400000000001</v>
      </c>
      <c r="AV235">
        <f t="shared" si="44"/>
        <v>16.317530864197529</v>
      </c>
      <c r="AW235">
        <f t="shared" si="45"/>
        <v>9.2523173980246902</v>
      </c>
      <c r="AX235" s="9"/>
      <c r="AY235" s="22">
        <v>1.03302</v>
      </c>
      <c r="AZ235" s="22">
        <v>28.779499999999999</v>
      </c>
      <c r="BA235" s="22">
        <v>-1.22284E-2</v>
      </c>
      <c r="BB235" s="22">
        <v>225</v>
      </c>
      <c r="BC235" s="22">
        <v>1.0318000000000001</v>
      </c>
      <c r="BD235">
        <f t="shared" si="46"/>
        <v>15.096790123456788</v>
      </c>
      <c r="BE235">
        <f t="shared" si="47"/>
        <v>15.595286133333332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7.3423699999999998</v>
      </c>
      <c r="I236" s="22">
        <v>-1.32202E-2</v>
      </c>
      <c r="J236" s="22">
        <v>226</v>
      </c>
      <c r="K236" s="22">
        <v>0.56127899999999997</v>
      </c>
      <c r="L236">
        <f t="shared" si="36"/>
        <v>16.321234567901232</v>
      </c>
      <c r="M236">
        <f t="shared" si="37"/>
        <v>9.1722237237037021</v>
      </c>
      <c r="N236" s="9"/>
      <c r="O236" s="22">
        <v>1.03806</v>
      </c>
      <c r="P236" s="22">
        <v>10.960100000000001</v>
      </c>
      <c r="Q236" s="22">
        <v>-1.2075799999999999E-2</v>
      </c>
      <c r="R236" s="22">
        <v>226</v>
      </c>
      <c r="S236" s="22">
        <v>1.03668</v>
      </c>
      <c r="T236">
        <f t="shared" si="38"/>
        <v>14.908395061728394</v>
      </c>
      <c r="U236">
        <f t="shared" si="39"/>
        <v>15.475808577777777</v>
      </c>
      <c r="X236" s="9"/>
      <c r="Y236" s="22">
        <v>0.56198099999999995</v>
      </c>
      <c r="Z236" s="22">
        <v>16.236599999999999</v>
      </c>
      <c r="AA236" s="22">
        <v>-1.3281299999999999E-2</v>
      </c>
      <c r="AB236" s="22">
        <v>226</v>
      </c>
      <c r="AC236" s="22">
        <v>0.561249</v>
      </c>
      <c r="AD236">
        <f t="shared" si="40"/>
        <v>16.396666666666665</v>
      </c>
      <c r="AE236">
        <f t="shared" si="41"/>
        <v>9.2146151299999985</v>
      </c>
      <c r="AF236" s="9"/>
      <c r="AG236" s="22">
        <v>1.03806</v>
      </c>
      <c r="AH236" s="22">
        <v>19.854299999999999</v>
      </c>
      <c r="AI236" s="22">
        <v>-1.2030000000000001E-2</v>
      </c>
      <c r="AJ236" s="22">
        <v>226</v>
      </c>
      <c r="AK236" s="22">
        <v>1.0369900000000001</v>
      </c>
      <c r="AL236">
        <f t="shared" si="42"/>
        <v>14.851851851851853</v>
      </c>
      <c r="AM236">
        <f t="shared" si="43"/>
        <v>15.417113333333335</v>
      </c>
      <c r="AP236" s="9"/>
      <c r="AQ236" s="22">
        <v>0.56198099999999995</v>
      </c>
      <c r="AR236" s="22">
        <v>25.171800000000001</v>
      </c>
      <c r="AS236" s="22">
        <v>-1.32233E-2</v>
      </c>
      <c r="AT236" s="22">
        <v>226</v>
      </c>
      <c r="AU236" s="22">
        <v>0.56121799999999999</v>
      </c>
      <c r="AV236">
        <f t="shared" si="44"/>
        <v>16.32506172839506</v>
      </c>
      <c r="AW236">
        <f t="shared" si="45"/>
        <v>9.1743745151851837</v>
      </c>
      <c r="AX236" s="9"/>
      <c r="AY236" s="22">
        <v>1.03806</v>
      </c>
      <c r="AZ236" s="22">
        <v>28.7896</v>
      </c>
      <c r="BA236" s="22">
        <v>-1.2213099999999999E-2</v>
      </c>
      <c r="BB236" s="22">
        <v>226</v>
      </c>
      <c r="BC236" s="22">
        <v>1.03668</v>
      </c>
      <c r="BD236">
        <f t="shared" si="46"/>
        <v>15.0779012345679</v>
      </c>
      <c r="BE236">
        <f t="shared" si="47"/>
        <v>15.651766155555555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7.3524399999999996</v>
      </c>
      <c r="I237" s="22">
        <v>-1.3229400000000001E-2</v>
      </c>
      <c r="J237" s="22">
        <v>227</v>
      </c>
      <c r="K237" s="22">
        <v>0.55618299999999998</v>
      </c>
      <c r="L237">
        <f t="shared" si="36"/>
        <v>16.332592592592594</v>
      </c>
      <c r="M237">
        <f t="shared" si="37"/>
        <v>9.0963721140740752</v>
      </c>
      <c r="N237" s="9"/>
      <c r="O237" s="22">
        <v>1.0430900000000001</v>
      </c>
      <c r="P237" s="22">
        <v>10.9702</v>
      </c>
      <c r="Q237" s="22">
        <v>-1.20544E-2</v>
      </c>
      <c r="R237" s="22">
        <v>227</v>
      </c>
      <c r="S237" s="22">
        <v>1.0418700000000001</v>
      </c>
      <c r="T237">
        <f t="shared" si="38"/>
        <v>14.881975308641973</v>
      </c>
      <c r="U237">
        <f t="shared" si="39"/>
        <v>15.523239624691357</v>
      </c>
      <c r="X237" s="9"/>
      <c r="Y237" s="22">
        <v>0.55694600000000005</v>
      </c>
      <c r="Z237" s="22">
        <v>16.246600000000001</v>
      </c>
      <c r="AA237" s="22">
        <v>-1.32874E-2</v>
      </c>
      <c r="AB237" s="22">
        <v>227</v>
      </c>
      <c r="AC237" s="22">
        <v>0.55624399999999996</v>
      </c>
      <c r="AD237">
        <f t="shared" si="40"/>
        <v>16.404197530864195</v>
      </c>
      <c r="AE237">
        <f t="shared" si="41"/>
        <v>9.1362521980246907</v>
      </c>
      <c r="AF237" s="9"/>
      <c r="AG237" s="22">
        <v>1.0430900000000001</v>
      </c>
      <c r="AH237" s="22">
        <v>19.8644</v>
      </c>
      <c r="AI237" s="22">
        <v>-1.2008700000000001E-2</v>
      </c>
      <c r="AJ237" s="22">
        <v>227</v>
      </c>
      <c r="AK237" s="22">
        <v>1.0418700000000001</v>
      </c>
      <c r="AL237">
        <f t="shared" si="42"/>
        <v>14.825555555555555</v>
      </c>
      <c r="AM237">
        <f t="shared" si="43"/>
        <v>15.464388744444445</v>
      </c>
      <c r="AP237" s="9"/>
      <c r="AQ237" s="22">
        <v>0.55694600000000005</v>
      </c>
      <c r="AR237" s="22">
        <v>25.181899999999999</v>
      </c>
      <c r="AS237" s="22">
        <v>-1.3214099999999999E-2</v>
      </c>
      <c r="AT237" s="22">
        <v>227</v>
      </c>
      <c r="AU237" s="22">
        <v>0.55621299999999996</v>
      </c>
      <c r="AV237">
        <f t="shared" si="44"/>
        <v>16.313703703703702</v>
      </c>
      <c r="AW237">
        <f t="shared" si="45"/>
        <v>9.0858520229629622</v>
      </c>
      <c r="AX237" s="9"/>
      <c r="AY237" s="22">
        <v>1.0430900000000001</v>
      </c>
      <c r="AZ237" s="22">
        <v>28.799600000000002</v>
      </c>
      <c r="BA237" s="22">
        <v>-1.21948E-2</v>
      </c>
      <c r="BB237" s="22">
        <v>227</v>
      </c>
      <c r="BC237" s="22">
        <v>1.0424800000000001</v>
      </c>
      <c r="BD237">
        <f t="shared" si="46"/>
        <v>15.055308641975309</v>
      </c>
      <c r="BE237">
        <f t="shared" si="47"/>
        <v>15.704041891358026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7.3625100000000003</v>
      </c>
      <c r="I238" s="22">
        <v>-1.32446E-2</v>
      </c>
      <c r="J238" s="22">
        <v>228</v>
      </c>
      <c r="K238" s="22">
        <v>0.55123900000000003</v>
      </c>
      <c r="L238">
        <f t="shared" si="36"/>
        <v>16.351358024691358</v>
      </c>
      <c r="M238">
        <f t="shared" si="37"/>
        <v>9.0244780074074082</v>
      </c>
      <c r="N238" s="9"/>
      <c r="O238" s="22">
        <v>1.04813</v>
      </c>
      <c r="P238" s="22">
        <v>10.9803</v>
      </c>
      <c r="Q238" s="22">
        <v>-1.2036099999999999E-2</v>
      </c>
      <c r="R238" s="22">
        <v>228</v>
      </c>
      <c r="S238" s="22">
        <v>1.0476700000000001</v>
      </c>
      <c r="T238">
        <f t="shared" si="38"/>
        <v>14.85938271604938</v>
      </c>
      <c r="U238">
        <f t="shared" si="39"/>
        <v>15.574564806172837</v>
      </c>
      <c r="X238" s="9"/>
      <c r="Y238" s="22">
        <v>0.55191000000000001</v>
      </c>
      <c r="Z238" s="22">
        <v>16.256699999999999</v>
      </c>
      <c r="AA238" s="22">
        <v>-1.32874E-2</v>
      </c>
      <c r="AB238" s="22">
        <v>228</v>
      </c>
      <c r="AC238" s="22">
        <v>0.55120800000000003</v>
      </c>
      <c r="AD238">
        <f t="shared" si="40"/>
        <v>16.404197530864195</v>
      </c>
      <c r="AE238">
        <f t="shared" si="41"/>
        <v>9.0536406592592584</v>
      </c>
      <c r="AF238" s="9"/>
      <c r="AG238" s="22">
        <v>1.04813</v>
      </c>
      <c r="AH238" s="22">
        <v>19.874500000000001</v>
      </c>
      <c r="AI238" s="22">
        <v>-1.19904E-2</v>
      </c>
      <c r="AJ238" s="22">
        <v>228</v>
      </c>
      <c r="AK238" s="22">
        <v>1.0467500000000001</v>
      </c>
      <c r="AL238">
        <f t="shared" si="42"/>
        <v>14.802962962962962</v>
      </c>
      <c r="AM238">
        <f t="shared" si="43"/>
        <v>15.515429570370369</v>
      </c>
      <c r="AP238" s="9"/>
      <c r="AQ238" s="22">
        <v>0.55191000000000001</v>
      </c>
      <c r="AR238" s="22">
        <v>25.1919</v>
      </c>
      <c r="AS238" s="22">
        <v>-1.32263E-2</v>
      </c>
      <c r="AT238" s="22">
        <v>228</v>
      </c>
      <c r="AU238" s="22">
        <v>0.55120800000000003</v>
      </c>
      <c r="AV238">
        <f t="shared" si="44"/>
        <v>16.328765432098766</v>
      </c>
      <c r="AW238">
        <f t="shared" si="45"/>
        <v>9.01200892962963</v>
      </c>
      <c r="AX238" s="9"/>
      <c r="AY238" s="22">
        <v>1.04813</v>
      </c>
      <c r="AZ238" s="22">
        <v>28.809699999999999</v>
      </c>
      <c r="BA238" s="22">
        <v>-1.21704E-2</v>
      </c>
      <c r="BB238" s="22">
        <v>228</v>
      </c>
      <c r="BC238" s="22">
        <v>1.0470600000000001</v>
      </c>
      <c r="BD238">
        <f t="shared" si="46"/>
        <v>15.025185185185183</v>
      </c>
      <c r="BE238">
        <f t="shared" si="47"/>
        <v>15.748347348148146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7.3725800000000001</v>
      </c>
      <c r="I239" s="22">
        <v>-1.3250700000000001E-2</v>
      </c>
      <c r="J239" s="22">
        <v>229</v>
      </c>
      <c r="K239" s="22">
        <v>0.54617300000000002</v>
      </c>
      <c r="L239">
        <f t="shared" si="36"/>
        <v>16.358888888888888</v>
      </c>
      <c r="M239">
        <f t="shared" si="37"/>
        <v>8.9462673611111114</v>
      </c>
      <c r="N239" s="9"/>
      <c r="O239" s="22">
        <v>1.0531600000000001</v>
      </c>
      <c r="P239" s="22">
        <v>10.9903</v>
      </c>
      <c r="Q239" s="22">
        <v>-1.20117E-2</v>
      </c>
      <c r="R239" s="22">
        <v>229</v>
      </c>
      <c r="S239" s="22">
        <v>1.0516399999999999</v>
      </c>
      <c r="T239">
        <f t="shared" si="38"/>
        <v>14.82925925925926</v>
      </c>
      <c r="U239">
        <f t="shared" si="39"/>
        <v>15.617582681481483</v>
      </c>
      <c r="X239" s="9"/>
      <c r="Y239" s="22">
        <v>0.546875</v>
      </c>
      <c r="Z239" s="22">
        <v>16.2668</v>
      </c>
      <c r="AA239" s="22">
        <v>-1.3284300000000001E-2</v>
      </c>
      <c r="AB239" s="22">
        <v>229</v>
      </c>
      <c r="AC239" s="22">
        <v>0.546234</v>
      </c>
      <c r="AD239">
        <f t="shared" si="40"/>
        <v>16.400370370370371</v>
      </c>
      <c r="AE239">
        <f t="shared" si="41"/>
        <v>8.9689525462962969</v>
      </c>
      <c r="AF239" s="9"/>
      <c r="AG239" s="22">
        <v>1.0531600000000001</v>
      </c>
      <c r="AH239" s="22">
        <v>19.884599999999999</v>
      </c>
      <c r="AI239" s="22">
        <v>-1.1975100000000001E-2</v>
      </c>
      <c r="AJ239" s="22">
        <v>229</v>
      </c>
      <c r="AK239" s="22">
        <v>1.0519400000000001</v>
      </c>
      <c r="AL239">
        <f t="shared" si="42"/>
        <v>14.784074074074075</v>
      </c>
      <c r="AM239">
        <f t="shared" si="43"/>
        <v>15.569995451851854</v>
      </c>
      <c r="AP239" s="9"/>
      <c r="AQ239" s="22">
        <v>0.546875</v>
      </c>
      <c r="AR239" s="22">
        <v>25.202000000000002</v>
      </c>
      <c r="AS239" s="22">
        <v>-1.3235500000000001E-2</v>
      </c>
      <c r="AT239" s="22">
        <v>229</v>
      </c>
      <c r="AU239" s="22">
        <v>0.54614300000000005</v>
      </c>
      <c r="AV239">
        <f t="shared" si="44"/>
        <v>16.340123456790124</v>
      </c>
      <c r="AW239">
        <f t="shared" si="45"/>
        <v>8.9360050154320998</v>
      </c>
      <c r="AX239" s="9"/>
      <c r="AY239" s="22">
        <v>1.0531600000000001</v>
      </c>
      <c r="AZ239" s="22">
        <v>28.819800000000001</v>
      </c>
      <c r="BA239" s="22">
        <v>-1.21429E-2</v>
      </c>
      <c r="BB239" s="22">
        <v>229</v>
      </c>
      <c r="BC239" s="22">
        <v>1.0519400000000001</v>
      </c>
      <c r="BD239">
        <f t="shared" si="46"/>
        <v>14.991234567901234</v>
      </c>
      <c r="BE239">
        <f t="shared" si="47"/>
        <v>15.788168597530865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7.3826499999999999</v>
      </c>
      <c r="I240" s="22">
        <v>-1.32446E-2</v>
      </c>
      <c r="J240" s="22">
        <v>230</v>
      </c>
      <c r="K240" s="22">
        <v>0.54116799999999998</v>
      </c>
      <c r="L240">
        <f t="shared" si="36"/>
        <v>16.351358024691358</v>
      </c>
      <c r="M240">
        <f t="shared" si="37"/>
        <v>8.8598198320987649</v>
      </c>
      <c r="N240" s="9"/>
      <c r="O240" s="22">
        <v>1.0582</v>
      </c>
      <c r="P240" s="22">
        <v>11.000400000000001</v>
      </c>
      <c r="Q240" s="22">
        <v>-1.1975100000000001E-2</v>
      </c>
      <c r="R240" s="22">
        <v>230</v>
      </c>
      <c r="S240" s="22">
        <v>1.0571299999999999</v>
      </c>
      <c r="T240">
        <f t="shared" si="38"/>
        <v>14.784074074074075</v>
      </c>
      <c r="U240">
        <f t="shared" si="39"/>
        <v>15.644507185185187</v>
      </c>
      <c r="X240" s="9"/>
      <c r="Y240" s="22">
        <v>0.54183999999999999</v>
      </c>
      <c r="Z240" s="22">
        <v>16.276900000000001</v>
      </c>
      <c r="AA240" s="22">
        <v>-1.3290400000000001E-2</v>
      </c>
      <c r="AB240" s="22">
        <v>230</v>
      </c>
      <c r="AC240" s="22">
        <v>0.541107</v>
      </c>
      <c r="AD240">
        <f t="shared" si="40"/>
        <v>16.407901234567902</v>
      </c>
      <c r="AE240">
        <f t="shared" si="41"/>
        <v>8.8904572049382722</v>
      </c>
      <c r="AF240" s="9"/>
      <c r="AG240" s="22">
        <v>1.0582</v>
      </c>
      <c r="AH240" s="22">
        <v>19.894600000000001</v>
      </c>
      <c r="AI240" s="22">
        <v>-1.1947599999999999E-2</v>
      </c>
      <c r="AJ240" s="22">
        <v>230</v>
      </c>
      <c r="AK240" s="22">
        <v>1.0571299999999999</v>
      </c>
      <c r="AL240">
        <f t="shared" si="42"/>
        <v>14.750123456790122</v>
      </c>
      <c r="AM240">
        <f t="shared" si="43"/>
        <v>15.608580641975308</v>
      </c>
      <c r="AP240" s="9"/>
      <c r="AQ240" s="22">
        <v>0.54183999999999999</v>
      </c>
      <c r="AR240" s="22">
        <v>25.2121</v>
      </c>
      <c r="AS240" s="22">
        <v>-1.3247699999999999E-2</v>
      </c>
      <c r="AT240" s="22">
        <v>230</v>
      </c>
      <c r="AU240" s="22">
        <v>0.541107</v>
      </c>
      <c r="AV240">
        <f t="shared" si="44"/>
        <v>16.355185185185185</v>
      </c>
      <c r="AW240">
        <f t="shared" si="45"/>
        <v>8.8618935407407413</v>
      </c>
      <c r="AX240" s="9"/>
      <c r="AY240" s="22">
        <v>1.0582</v>
      </c>
      <c r="AZ240" s="22">
        <v>28.829899999999999</v>
      </c>
      <c r="BA240" s="22">
        <v>-1.21155E-2</v>
      </c>
      <c r="BB240" s="22">
        <v>230</v>
      </c>
      <c r="BC240" s="22">
        <v>1.0568200000000001</v>
      </c>
      <c r="BD240">
        <f t="shared" si="46"/>
        <v>14.957407407407405</v>
      </c>
      <c r="BE240">
        <f t="shared" si="47"/>
        <v>15.827928518518517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7.3927199999999997</v>
      </c>
      <c r="I241" s="22">
        <v>-1.3247699999999999E-2</v>
      </c>
      <c r="J241" s="22">
        <v>231</v>
      </c>
      <c r="K241" s="22">
        <v>0.53613299999999997</v>
      </c>
      <c r="L241">
        <f t="shared" si="36"/>
        <v>16.355185185185185</v>
      </c>
      <c r="M241">
        <f t="shared" si="37"/>
        <v>8.7795288281481465</v>
      </c>
      <c r="N241" s="9"/>
      <c r="O241" s="22">
        <v>1.0632299999999999</v>
      </c>
      <c r="P241" s="22">
        <v>11.0105</v>
      </c>
      <c r="Q241" s="22">
        <v>-1.1932399999999999E-2</v>
      </c>
      <c r="R241" s="22">
        <v>231</v>
      </c>
      <c r="S241" s="22">
        <v>1.0623199999999999</v>
      </c>
      <c r="T241">
        <f t="shared" si="38"/>
        <v>14.731358024691357</v>
      </c>
      <c r="U241">
        <f t="shared" si="39"/>
        <v>15.66282179259259</v>
      </c>
      <c r="X241" s="9"/>
      <c r="Y241" s="22">
        <v>0.53680399999999995</v>
      </c>
      <c r="Z241" s="22">
        <v>16.286899999999999</v>
      </c>
      <c r="AA241" s="22">
        <v>-1.3290400000000001E-2</v>
      </c>
      <c r="AB241" s="22">
        <v>231</v>
      </c>
      <c r="AC241" s="22">
        <v>0.53616299999999995</v>
      </c>
      <c r="AD241">
        <f t="shared" si="40"/>
        <v>16.407901234567902</v>
      </c>
      <c r="AE241">
        <f t="shared" si="41"/>
        <v>8.8078270143209867</v>
      </c>
      <c r="AF241" s="9"/>
      <c r="AG241" s="22">
        <v>1.0632299999999999</v>
      </c>
      <c r="AH241" s="22">
        <v>19.904699999999998</v>
      </c>
      <c r="AI241" s="22">
        <v>-1.19171E-2</v>
      </c>
      <c r="AJ241" s="22">
        <v>231</v>
      </c>
      <c r="AK241" s="22">
        <v>1.0623199999999999</v>
      </c>
      <c r="AL241">
        <f t="shared" si="42"/>
        <v>14.712469135802468</v>
      </c>
      <c r="AM241">
        <f t="shared" si="43"/>
        <v>15.642738559259257</v>
      </c>
      <c r="AP241" s="9"/>
      <c r="AQ241" s="22">
        <v>0.53680399999999995</v>
      </c>
      <c r="AR241" s="22">
        <v>25.222100000000001</v>
      </c>
      <c r="AS241" s="22">
        <v>-1.32538E-2</v>
      </c>
      <c r="AT241" s="22">
        <v>231</v>
      </c>
      <c r="AU241" s="22">
        <v>0.53616299999999995</v>
      </c>
      <c r="AV241">
        <f t="shared" si="44"/>
        <v>16.362716049382716</v>
      </c>
      <c r="AW241">
        <f t="shared" si="45"/>
        <v>8.7835714261728377</v>
      </c>
      <c r="AX241" s="9"/>
      <c r="AY241" s="22">
        <v>1.0632299999999999</v>
      </c>
      <c r="AZ241" s="22">
        <v>28.8399</v>
      </c>
      <c r="BA241" s="22">
        <v>-1.2097200000000001E-2</v>
      </c>
      <c r="BB241" s="22">
        <v>231</v>
      </c>
      <c r="BC241" s="22">
        <v>1.0632299999999999</v>
      </c>
      <c r="BD241">
        <f t="shared" si="46"/>
        <v>14.934814814814814</v>
      </c>
      <c r="BE241">
        <f t="shared" si="47"/>
        <v>15.879143155555553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7.4027900000000004</v>
      </c>
      <c r="I242" s="22">
        <v>-1.3241599999999999E-2</v>
      </c>
      <c r="J242" s="22">
        <v>232</v>
      </c>
      <c r="K242" s="22">
        <v>0.53106699999999996</v>
      </c>
      <c r="L242">
        <f t="shared" si="36"/>
        <v>16.347654320987651</v>
      </c>
      <c r="M242">
        <f t="shared" si="37"/>
        <v>8.6931757906172837</v>
      </c>
      <c r="N242" s="9"/>
      <c r="O242" s="22">
        <v>1.0682700000000001</v>
      </c>
      <c r="P242" s="22">
        <v>11.0206</v>
      </c>
      <c r="Q242" s="22">
        <v>-1.1898799999999999E-2</v>
      </c>
      <c r="R242" s="22">
        <v>232</v>
      </c>
      <c r="S242" s="22">
        <v>1.0674999999999999</v>
      </c>
      <c r="T242">
        <f t="shared" si="38"/>
        <v>14.689876543209873</v>
      </c>
      <c r="U242">
        <f t="shared" si="39"/>
        <v>15.692754414814813</v>
      </c>
      <c r="X242" s="9"/>
      <c r="Y242" s="22">
        <v>0.53176900000000005</v>
      </c>
      <c r="Z242" s="22">
        <v>16.297000000000001</v>
      </c>
      <c r="AA242" s="22">
        <v>-1.3296499999999999E-2</v>
      </c>
      <c r="AB242" s="22">
        <v>232</v>
      </c>
      <c r="AC242" s="22">
        <v>0.53100599999999998</v>
      </c>
      <c r="AD242">
        <f t="shared" si="40"/>
        <v>16.415432098765429</v>
      </c>
      <c r="AE242">
        <f t="shared" si="41"/>
        <v>8.7292179117283943</v>
      </c>
      <c r="AF242" s="9"/>
      <c r="AG242" s="22">
        <v>1.0682700000000001</v>
      </c>
      <c r="AH242" s="22">
        <v>19.9148</v>
      </c>
      <c r="AI242" s="22">
        <v>-1.18896E-2</v>
      </c>
      <c r="AJ242" s="22">
        <v>232</v>
      </c>
      <c r="AK242" s="22">
        <v>1.0668899999999999</v>
      </c>
      <c r="AL242">
        <f t="shared" si="42"/>
        <v>14.678518518518517</v>
      </c>
      <c r="AM242">
        <f t="shared" si="43"/>
        <v>15.680620977777778</v>
      </c>
      <c r="AP242" s="9"/>
      <c r="AQ242" s="22">
        <v>0.53176900000000005</v>
      </c>
      <c r="AR242" s="22">
        <v>25.232199999999999</v>
      </c>
      <c r="AS242" s="22">
        <v>-1.3250700000000001E-2</v>
      </c>
      <c r="AT242" s="22">
        <v>232</v>
      </c>
      <c r="AU242" s="22">
        <v>0.53103599999999995</v>
      </c>
      <c r="AV242">
        <f t="shared" si="44"/>
        <v>16.358888888888888</v>
      </c>
      <c r="AW242">
        <f t="shared" si="45"/>
        <v>8.6991499855555556</v>
      </c>
      <c r="AX242" s="9"/>
      <c r="AY242" s="22">
        <v>1.0682700000000001</v>
      </c>
      <c r="AZ242" s="22">
        <v>28.85</v>
      </c>
      <c r="BA242" s="22">
        <v>-1.2075799999999999E-2</v>
      </c>
      <c r="BB242" s="22">
        <v>232</v>
      </c>
      <c r="BC242" s="22">
        <v>1.0668899999999999</v>
      </c>
      <c r="BD242">
        <f t="shared" si="46"/>
        <v>14.908395061728394</v>
      </c>
      <c r="BE242">
        <f t="shared" si="47"/>
        <v>15.926191192592592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7.4128600000000002</v>
      </c>
      <c r="I243" s="22">
        <v>-1.3241599999999999E-2</v>
      </c>
      <c r="J243" s="22">
        <v>233</v>
      </c>
      <c r="K243" s="22">
        <v>0.52606200000000003</v>
      </c>
      <c r="L243">
        <f t="shared" si="36"/>
        <v>16.347654320987651</v>
      </c>
      <c r="M243">
        <f t="shared" si="37"/>
        <v>8.6108490034567886</v>
      </c>
      <c r="N243" s="9"/>
      <c r="O243" s="22">
        <v>1.0732999999999999</v>
      </c>
      <c r="P243" s="22">
        <v>11.0306</v>
      </c>
      <c r="Q243" s="22">
        <v>-1.18744E-2</v>
      </c>
      <c r="R243" s="22">
        <v>233</v>
      </c>
      <c r="S243" s="22">
        <v>1.07239</v>
      </c>
      <c r="T243">
        <f t="shared" si="38"/>
        <v>14.659753086419753</v>
      </c>
      <c r="U243">
        <f t="shared" si="39"/>
        <v>15.73431298765432</v>
      </c>
      <c r="X243" s="9"/>
      <c r="Y243" s="22">
        <v>0.52673300000000001</v>
      </c>
      <c r="Z243" s="22">
        <v>16.307099999999998</v>
      </c>
      <c r="AA243" s="22">
        <v>-1.3302599999999999E-2</v>
      </c>
      <c r="AB243" s="22">
        <v>233</v>
      </c>
      <c r="AC243" s="22">
        <v>0.52603100000000003</v>
      </c>
      <c r="AD243">
        <f t="shared" si="40"/>
        <v>16.422962962962963</v>
      </c>
      <c r="AE243">
        <f t="shared" si="41"/>
        <v>8.6505165503703711</v>
      </c>
      <c r="AF243" s="9"/>
      <c r="AG243" s="22">
        <v>1.0732999999999999</v>
      </c>
      <c r="AH243" s="22">
        <v>19.924800000000001</v>
      </c>
      <c r="AI243" s="22">
        <v>-1.18561E-2</v>
      </c>
      <c r="AJ243" s="22">
        <v>233</v>
      </c>
      <c r="AK243" s="22">
        <v>1.07178</v>
      </c>
      <c r="AL243">
        <f t="shared" si="42"/>
        <v>14.63716049382716</v>
      </c>
      <c r="AM243">
        <f t="shared" si="43"/>
        <v>15.71006435802469</v>
      </c>
      <c r="AP243" s="9"/>
      <c r="AQ243" s="22">
        <v>0.52673300000000001</v>
      </c>
      <c r="AR243" s="22">
        <v>25.2423</v>
      </c>
      <c r="AS243" s="22">
        <v>-1.3256799999999999E-2</v>
      </c>
      <c r="AT243" s="22">
        <v>233</v>
      </c>
      <c r="AU243" s="22">
        <v>0.52606200000000003</v>
      </c>
      <c r="AV243">
        <f t="shared" si="44"/>
        <v>16.366419753086415</v>
      </c>
      <c r="AW243">
        <f t="shared" si="45"/>
        <v>8.620733375802466</v>
      </c>
      <c r="AX243" s="9"/>
      <c r="AY243" s="22">
        <v>1.0732999999999999</v>
      </c>
      <c r="AZ243" s="22">
        <v>28.860099999999999</v>
      </c>
      <c r="BA243" s="22">
        <v>-1.2057500000000001E-2</v>
      </c>
      <c r="BB243" s="22">
        <v>233</v>
      </c>
      <c r="BC243" s="22">
        <v>1.0720799999999999</v>
      </c>
      <c r="BD243">
        <f t="shared" si="46"/>
        <v>14.885802469135802</v>
      </c>
      <c r="BE243">
        <f t="shared" si="47"/>
        <v>15.976931790123455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7.42293</v>
      </c>
      <c r="I244" s="22">
        <v>-1.3247699999999999E-2</v>
      </c>
      <c r="J244" s="22">
        <v>234</v>
      </c>
      <c r="K244" s="22">
        <v>0.52105699999999999</v>
      </c>
      <c r="L244">
        <f t="shared" si="36"/>
        <v>16.355185185185185</v>
      </c>
      <c r="M244">
        <f t="shared" si="37"/>
        <v>8.5324674007407406</v>
      </c>
      <c r="N244" s="9"/>
      <c r="O244" s="22">
        <v>1.0783400000000001</v>
      </c>
      <c r="P244" s="22">
        <v>11.040699999999999</v>
      </c>
      <c r="Q244" s="22">
        <v>-1.1837800000000001E-2</v>
      </c>
      <c r="R244" s="22">
        <v>234</v>
      </c>
      <c r="S244" s="22">
        <v>1.07697</v>
      </c>
      <c r="T244">
        <f t="shared" si="38"/>
        <v>14.614567901234569</v>
      </c>
      <c r="U244">
        <f t="shared" si="39"/>
        <v>15.759473150617286</v>
      </c>
      <c r="X244" s="9"/>
      <c r="Y244" s="22">
        <v>0.521698</v>
      </c>
      <c r="Z244" s="22">
        <v>16.3171</v>
      </c>
      <c r="AA244" s="22">
        <v>-1.33057E-2</v>
      </c>
      <c r="AB244" s="22">
        <v>234</v>
      </c>
      <c r="AC244" s="22">
        <v>0.52102700000000002</v>
      </c>
      <c r="AD244">
        <f t="shared" si="40"/>
        <v>16.42679012345679</v>
      </c>
      <c r="AE244">
        <f t="shared" si="41"/>
        <v>8.5698235538271597</v>
      </c>
      <c r="AF244" s="9"/>
      <c r="AG244" s="22">
        <v>1.0783400000000001</v>
      </c>
      <c r="AH244" s="22">
        <v>19.934899999999999</v>
      </c>
      <c r="AI244" s="22">
        <v>-1.18286E-2</v>
      </c>
      <c r="AJ244" s="22">
        <v>234</v>
      </c>
      <c r="AK244" s="22">
        <v>1.0772699999999999</v>
      </c>
      <c r="AL244">
        <f t="shared" si="42"/>
        <v>14.603209876543209</v>
      </c>
      <c r="AM244">
        <f t="shared" si="43"/>
        <v>15.747225338271605</v>
      </c>
      <c r="AP244" s="9"/>
      <c r="AQ244" s="22">
        <v>0.521698</v>
      </c>
      <c r="AR244" s="22">
        <v>25.252400000000002</v>
      </c>
      <c r="AS244" s="22">
        <v>-1.3262899999999999E-2</v>
      </c>
      <c r="AT244" s="22">
        <v>234</v>
      </c>
      <c r="AU244" s="22">
        <v>0.52105699999999999</v>
      </c>
      <c r="AV244">
        <f t="shared" si="44"/>
        <v>16.373950617283949</v>
      </c>
      <c r="AW244">
        <f t="shared" si="45"/>
        <v>8.5422572891358008</v>
      </c>
      <c r="AX244" s="9"/>
      <c r="AY244" s="22">
        <v>1.0783400000000001</v>
      </c>
      <c r="AZ244" s="22">
        <v>28.870100000000001</v>
      </c>
      <c r="BA244" s="22">
        <v>-1.2026999999999999E-2</v>
      </c>
      <c r="BB244" s="22">
        <v>234</v>
      </c>
      <c r="BC244" s="22">
        <v>1.07758</v>
      </c>
      <c r="BD244">
        <f t="shared" si="46"/>
        <v>14.848148148148146</v>
      </c>
      <c r="BE244">
        <f t="shared" si="47"/>
        <v>16.011352074074072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7.4329999999999998</v>
      </c>
      <c r="I245" s="22">
        <v>-1.3262899999999999E-2</v>
      </c>
      <c r="J245" s="22">
        <v>235</v>
      </c>
      <c r="K245" s="22">
        <v>0.515961</v>
      </c>
      <c r="L245">
        <f t="shared" si="36"/>
        <v>16.373950617283949</v>
      </c>
      <c r="M245">
        <f t="shared" si="37"/>
        <v>8.4598144477777772</v>
      </c>
      <c r="N245" s="9"/>
      <c r="O245" s="22">
        <v>1.0833699999999999</v>
      </c>
      <c r="P245" s="22">
        <v>11.050800000000001</v>
      </c>
      <c r="Q245" s="22">
        <v>-1.1798100000000001E-2</v>
      </c>
      <c r="R245" s="22">
        <v>235</v>
      </c>
      <c r="S245" s="22">
        <v>1.0827599999999999</v>
      </c>
      <c r="T245">
        <f t="shared" si="38"/>
        <v>14.565555555555555</v>
      </c>
      <c r="U245">
        <f t="shared" si="39"/>
        <v>15.779885922222221</v>
      </c>
      <c r="X245" s="9"/>
      <c r="Y245" s="22">
        <v>0.51666299999999998</v>
      </c>
      <c r="Z245" s="22">
        <v>16.327200000000001</v>
      </c>
      <c r="AA245" s="22">
        <v>-1.33057E-2</v>
      </c>
      <c r="AB245" s="22">
        <v>235</v>
      </c>
      <c r="AC245" s="22">
        <v>0.51602199999999998</v>
      </c>
      <c r="AD245">
        <f t="shared" si="40"/>
        <v>16.42679012345679</v>
      </c>
      <c r="AE245">
        <f t="shared" si="41"/>
        <v>8.4871146655555556</v>
      </c>
      <c r="AF245" s="9"/>
      <c r="AG245" s="22">
        <v>1.0833699999999999</v>
      </c>
      <c r="AH245" s="22">
        <v>19.945</v>
      </c>
      <c r="AI245" s="22">
        <v>-1.1795E-2</v>
      </c>
      <c r="AJ245" s="22">
        <v>235</v>
      </c>
      <c r="AK245" s="22">
        <v>1.08246</v>
      </c>
      <c r="AL245">
        <f t="shared" si="42"/>
        <v>14.561728395061728</v>
      </c>
      <c r="AM245">
        <f t="shared" si="43"/>
        <v>15.775739691358023</v>
      </c>
      <c r="AP245" s="9"/>
      <c r="AQ245" s="22">
        <v>0.51666299999999998</v>
      </c>
      <c r="AR245" s="22">
        <v>25.2624</v>
      </c>
      <c r="AS245" s="22">
        <v>-1.3266E-2</v>
      </c>
      <c r="AT245" s="22">
        <v>235</v>
      </c>
      <c r="AU245" s="22">
        <v>0.51593</v>
      </c>
      <c r="AV245">
        <f t="shared" si="44"/>
        <v>16.377777777777776</v>
      </c>
      <c r="AW245">
        <f t="shared" si="45"/>
        <v>8.4617917999999985</v>
      </c>
      <c r="AX245" s="9"/>
      <c r="AY245" s="22">
        <v>1.0833699999999999</v>
      </c>
      <c r="AZ245" s="22">
        <v>28.880199999999999</v>
      </c>
      <c r="BA245" s="22">
        <v>-1.19995E-2</v>
      </c>
      <c r="BB245" s="22">
        <v>235</v>
      </c>
      <c r="BC245" s="22">
        <v>1.0821499999999999</v>
      </c>
      <c r="BD245">
        <f t="shared" si="46"/>
        <v>14.814197530864195</v>
      </c>
      <c r="BE245">
        <f t="shared" si="47"/>
        <v>16.049257179012343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7.4430800000000001</v>
      </c>
      <c r="I246" s="22">
        <v>-1.32599E-2</v>
      </c>
      <c r="J246" s="22">
        <v>236</v>
      </c>
      <c r="K246" s="22">
        <v>0.51104700000000003</v>
      </c>
      <c r="L246">
        <f t="shared" si="36"/>
        <v>16.370246913580246</v>
      </c>
      <c r="M246">
        <f t="shared" si="37"/>
        <v>8.375460317654321</v>
      </c>
      <c r="N246" s="9"/>
      <c r="O246" s="22">
        <v>1.0884100000000001</v>
      </c>
      <c r="P246" s="22">
        <v>11.0608</v>
      </c>
      <c r="Q246" s="22">
        <v>-1.17676E-2</v>
      </c>
      <c r="R246" s="22">
        <v>236</v>
      </c>
      <c r="S246" s="22">
        <v>1.08734</v>
      </c>
      <c r="T246">
        <f t="shared" si="38"/>
        <v>14.527901234567899</v>
      </c>
      <c r="U246">
        <f t="shared" si="39"/>
        <v>15.812312982716049</v>
      </c>
      <c r="X246" s="9"/>
      <c r="Y246" s="22">
        <v>0.51162700000000005</v>
      </c>
      <c r="Z246" s="22">
        <v>16.337299999999999</v>
      </c>
      <c r="AA246" s="22">
        <v>-1.3290400000000001E-2</v>
      </c>
      <c r="AB246" s="22">
        <v>236</v>
      </c>
      <c r="AC246" s="22">
        <v>0.51092499999999996</v>
      </c>
      <c r="AD246">
        <f t="shared" si="40"/>
        <v>16.407901234567902</v>
      </c>
      <c r="AE246">
        <f t="shared" si="41"/>
        <v>8.3947252849382732</v>
      </c>
      <c r="AF246" s="9"/>
      <c r="AG246" s="22">
        <v>1.0884100000000001</v>
      </c>
      <c r="AH246" s="22">
        <v>19.955100000000002</v>
      </c>
      <c r="AI246" s="22">
        <v>-1.1761499999999999E-2</v>
      </c>
      <c r="AJ246" s="22">
        <v>236</v>
      </c>
      <c r="AK246" s="22">
        <v>1.08734</v>
      </c>
      <c r="AL246">
        <f t="shared" si="42"/>
        <v>14.520370370370369</v>
      </c>
      <c r="AM246">
        <f t="shared" si="43"/>
        <v>15.804116314814815</v>
      </c>
      <c r="AP246" s="9"/>
      <c r="AQ246" s="22">
        <v>0.51162700000000005</v>
      </c>
      <c r="AR246" s="22">
        <v>25.272500000000001</v>
      </c>
      <c r="AS246" s="22">
        <v>-1.3262899999999999E-2</v>
      </c>
      <c r="AT246" s="22">
        <v>236</v>
      </c>
      <c r="AU246" s="22">
        <v>0.51092499999999996</v>
      </c>
      <c r="AV246">
        <f t="shared" si="44"/>
        <v>16.373950617283949</v>
      </c>
      <c r="AW246">
        <f t="shared" si="45"/>
        <v>8.3773552324691352</v>
      </c>
      <c r="AX246" s="9"/>
      <c r="AY246" s="22">
        <v>1.0884100000000001</v>
      </c>
      <c r="AZ246" s="22">
        <v>28.8903</v>
      </c>
      <c r="BA246" s="22">
        <v>-1.1972E-2</v>
      </c>
      <c r="BB246" s="22">
        <v>236</v>
      </c>
      <c r="BC246" s="22">
        <v>1.08765</v>
      </c>
      <c r="BD246">
        <f t="shared" si="46"/>
        <v>14.780246913580246</v>
      </c>
      <c r="BE246">
        <f t="shared" si="47"/>
        <v>16.086968543209878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7.4531499999999999</v>
      </c>
      <c r="I247" s="22">
        <v>-1.32599E-2</v>
      </c>
      <c r="J247" s="22">
        <v>237</v>
      </c>
      <c r="K247" s="22">
        <v>0.50592000000000004</v>
      </c>
      <c r="L247">
        <f t="shared" si="36"/>
        <v>16.370246913580246</v>
      </c>
      <c r="M247">
        <f t="shared" si="37"/>
        <v>8.2930361244444448</v>
      </c>
      <c r="N247" s="9"/>
      <c r="O247" s="22">
        <v>1.09344</v>
      </c>
      <c r="P247" s="22">
        <v>11.0709</v>
      </c>
      <c r="Q247" s="22">
        <v>-1.17371E-2</v>
      </c>
      <c r="R247" s="22">
        <v>237</v>
      </c>
      <c r="S247" s="22">
        <v>1.09283</v>
      </c>
      <c r="T247">
        <f t="shared" si="38"/>
        <v>14.490246913580247</v>
      </c>
      <c r="U247">
        <f t="shared" si="39"/>
        <v>15.844215585185184</v>
      </c>
      <c r="X247" s="9"/>
      <c r="Y247" s="22">
        <v>0.50659200000000004</v>
      </c>
      <c r="Z247" s="22">
        <v>16.3474</v>
      </c>
      <c r="AA247" s="22">
        <v>-1.32874E-2</v>
      </c>
      <c r="AB247" s="22">
        <v>237</v>
      </c>
      <c r="AC247" s="22">
        <v>0.50598100000000001</v>
      </c>
      <c r="AD247">
        <f t="shared" si="40"/>
        <v>16.404197530864195</v>
      </c>
      <c r="AE247">
        <f t="shared" si="41"/>
        <v>8.3102352355555542</v>
      </c>
      <c r="AF247" s="9"/>
      <c r="AG247" s="22">
        <v>1.09344</v>
      </c>
      <c r="AH247" s="22">
        <v>19.9651</v>
      </c>
      <c r="AI247" s="22">
        <v>-1.1734E-2</v>
      </c>
      <c r="AJ247" s="22">
        <v>237</v>
      </c>
      <c r="AK247" s="22">
        <v>1.09283</v>
      </c>
      <c r="AL247">
        <f t="shared" si="42"/>
        <v>14.486419753086418</v>
      </c>
      <c r="AM247">
        <f t="shared" si="43"/>
        <v>15.840030814814812</v>
      </c>
      <c r="AP247" s="9"/>
      <c r="AQ247" s="22">
        <v>0.50659200000000004</v>
      </c>
      <c r="AR247" s="22">
        <v>25.282599999999999</v>
      </c>
      <c r="AS247" s="22">
        <v>-1.3269E-2</v>
      </c>
      <c r="AT247" s="22">
        <v>237</v>
      </c>
      <c r="AU247" s="22">
        <v>0.50588999999999995</v>
      </c>
      <c r="AV247">
        <f t="shared" si="44"/>
        <v>16.38148148148148</v>
      </c>
      <c r="AW247">
        <f t="shared" si="45"/>
        <v>8.2987274666666657</v>
      </c>
      <c r="AX247" s="9"/>
      <c r="AY247" s="22">
        <v>1.09344</v>
      </c>
      <c r="AZ247" s="22">
        <v>28.900300000000001</v>
      </c>
      <c r="BA247" s="22">
        <v>-1.1953699999999999E-2</v>
      </c>
      <c r="BB247" s="22">
        <v>237</v>
      </c>
      <c r="BC247" s="22">
        <v>1.09314</v>
      </c>
      <c r="BD247">
        <f t="shared" si="46"/>
        <v>14.757654320987653</v>
      </c>
      <c r="BE247">
        <f t="shared" si="47"/>
        <v>16.136609540740739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7.4632199999999997</v>
      </c>
      <c r="I248" s="22">
        <v>-1.32599E-2</v>
      </c>
      <c r="J248" s="22">
        <v>238</v>
      </c>
      <c r="K248" s="22">
        <v>0.50088500000000002</v>
      </c>
      <c r="L248">
        <f t="shared" si="36"/>
        <v>16.370246913580246</v>
      </c>
      <c r="M248">
        <f t="shared" si="37"/>
        <v>8.2105955609876542</v>
      </c>
      <c r="N248" s="9"/>
      <c r="O248" s="22">
        <v>1.0984799999999999</v>
      </c>
      <c r="P248" s="22">
        <v>11.081</v>
      </c>
      <c r="Q248" s="22">
        <v>-1.17126E-2</v>
      </c>
      <c r="R248" s="22">
        <v>238</v>
      </c>
      <c r="S248" s="22">
        <v>1.09772</v>
      </c>
      <c r="T248">
        <f t="shared" si="38"/>
        <v>14.459999999999999</v>
      </c>
      <c r="U248">
        <f t="shared" si="39"/>
        <v>15.884020799999998</v>
      </c>
      <c r="X248" s="9"/>
      <c r="Y248" s="22">
        <v>0.501556</v>
      </c>
      <c r="Z248" s="22">
        <v>16.357399999999998</v>
      </c>
      <c r="AA248" s="22">
        <v>-1.3290400000000001E-2</v>
      </c>
      <c r="AB248" s="22">
        <v>238</v>
      </c>
      <c r="AC248" s="22">
        <v>0.50088500000000002</v>
      </c>
      <c r="AD248">
        <f t="shared" si="40"/>
        <v>16.407901234567902</v>
      </c>
      <c r="AE248">
        <f t="shared" si="41"/>
        <v>8.229481311604939</v>
      </c>
      <c r="AF248" s="9"/>
      <c r="AG248" s="22">
        <v>1.0984799999999999</v>
      </c>
      <c r="AH248" s="22">
        <v>19.975200000000001</v>
      </c>
      <c r="AI248" s="22">
        <v>-1.17126E-2</v>
      </c>
      <c r="AJ248" s="22">
        <v>238</v>
      </c>
      <c r="AK248" s="22">
        <v>1.09772</v>
      </c>
      <c r="AL248">
        <f t="shared" si="42"/>
        <v>14.459999999999999</v>
      </c>
      <c r="AM248">
        <f t="shared" si="43"/>
        <v>15.884020799999998</v>
      </c>
      <c r="AP248" s="9"/>
      <c r="AQ248" s="22">
        <v>0.501556</v>
      </c>
      <c r="AR248" s="22">
        <v>25.2926</v>
      </c>
      <c r="AS248" s="22">
        <v>-1.32751E-2</v>
      </c>
      <c r="AT248" s="22">
        <v>238</v>
      </c>
      <c r="AU248" s="22">
        <v>0.50088500000000002</v>
      </c>
      <c r="AV248">
        <f t="shared" si="44"/>
        <v>16.38901234567901</v>
      </c>
      <c r="AW248">
        <f t="shared" si="45"/>
        <v>8.220007476049382</v>
      </c>
      <c r="AX248" s="9"/>
      <c r="AY248" s="22">
        <v>1.0984799999999999</v>
      </c>
      <c r="AZ248" s="22">
        <v>28.910399999999999</v>
      </c>
      <c r="BA248" s="22">
        <v>-1.1938499999999999E-2</v>
      </c>
      <c r="BB248" s="22">
        <v>238</v>
      </c>
      <c r="BC248" s="22">
        <v>1.09772</v>
      </c>
      <c r="BD248">
        <f t="shared" si="46"/>
        <v>14.738888888888887</v>
      </c>
      <c r="BE248">
        <f t="shared" si="47"/>
        <v>16.190374666666663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7.4732900000000004</v>
      </c>
      <c r="I249" s="22">
        <v>-1.3262899999999999E-2</v>
      </c>
      <c r="J249" s="22">
        <v>239</v>
      </c>
      <c r="K249" s="22">
        <v>0.49585000000000001</v>
      </c>
      <c r="L249">
        <f t="shared" si="36"/>
        <v>16.373950617283949</v>
      </c>
      <c r="M249">
        <f t="shared" si="37"/>
        <v>8.1300103344444441</v>
      </c>
      <c r="N249" s="9"/>
      <c r="O249" s="22">
        <v>1.1035200000000001</v>
      </c>
      <c r="P249" s="22">
        <v>11.091100000000001</v>
      </c>
      <c r="Q249" s="22">
        <v>-1.1688199999999999E-2</v>
      </c>
      <c r="R249" s="22">
        <v>239</v>
      </c>
      <c r="S249" s="22">
        <v>1.1026</v>
      </c>
      <c r="T249">
        <f t="shared" si="38"/>
        <v>14.429876543209874</v>
      </c>
      <c r="U249">
        <f t="shared" si="39"/>
        <v>15.923657362962961</v>
      </c>
      <c r="X249" s="9"/>
      <c r="Y249" s="22">
        <v>0.49652099999999999</v>
      </c>
      <c r="Z249" s="22">
        <v>16.3675</v>
      </c>
      <c r="AA249" s="22">
        <v>-1.3302599999999999E-2</v>
      </c>
      <c r="AB249" s="22">
        <v>239</v>
      </c>
      <c r="AC249" s="22">
        <v>0.49581900000000001</v>
      </c>
      <c r="AD249">
        <f t="shared" si="40"/>
        <v>16.422962962962963</v>
      </c>
      <c r="AE249">
        <f t="shared" si="41"/>
        <v>8.1543459933333331</v>
      </c>
      <c r="AF249" s="9"/>
      <c r="AG249" s="22">
        <v>1.1035200000000001</v>
      </c>
      <c r="AH249" s="22">
        <v>19.985299999999999</v>
      </c>
      <c r="AI249" s="22">
        <v>-1.1682100000000001E-2</v>
      </c>
      <c r="AJ249" s="22">
        <v>239</v>
      </c>
      <c r="AK249" s="22">
        <v>1.1029100000000001</v>
      </c>
      <c r="AL249">
        <f t="shared" si="42"/>
        <v>14.422345679012347</v>
      </c>
      <c r="AM249">
        <f t="shared" si="43"/>
        <v>15.915346903703705</v>
      </c>
      <c r="AP249" s="9"/>
      <c r="AQ249" s="22">
        <v>0.49652099999999999</v>
      </c>
      <c r="AR249" s="22">
        <v>25.302700000000002</v>
      </c>
      <c r="AS249" s="22">
        <v>-1.3266E-2</v>
      </c>
      <c r="AT249" s="22">
        <v>239</v>
      </c>
      <c r="AU249" s="22">
        <v>0.49581900000000001</v>
      </c>
      <c r="AV249">
        <f t="shared" si="44"/>
        <v>16.377777777777776</v>
      </c>
      <c r="AW249">
        <f t="shared" si="45"/>
        <v>8.1319105999999994</v>
      </c>
      <c r="AX249" s="9"/>
      <c r="AY249" s="22">
        <v>1.1035200000000001</v>
      </c>
      <c r="AZ249" s="22">
        <v>28.920500000000001</v>
      </c>
      <c r="BA249" s="22">
        <v>-1.1911E-2</v>
      </c>
      <c r="BB249" s="22">
        <v>239</v>
      </c>
      <c r="BC249" s="22">
        <v>1.1026</v>
      </c>
      <c r="BD249">
        <f t="shared" si="46"/>
        <v>14.704938271604938</v>
      </c>
      <c r="BE249">
        <f t="shared" si="47"/>
        <v>16.227193481481482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7.4833600000000002</v>
      </c>
      <c r="I250" s="22">
        <v>-1.32751E-2</v>
      </c>
      <c r="J250" s="22">
        <v>240</v>
      </c>
      <c r="K250" s="22">
        <v>0.49084499999999998</v>
      </c>
      <c r="L250">
        <f t="shared" si="36"/>
        <v>16.38901234567901</v>
      </c>
      <c r="M250">
        <f t="shared" si="37"/>
        <v>8.0549701217283936</v>
      </c>
      <c r="N250" s="9"/>
      <c r="O250" s="22">
        <v>1.1085499999999999</v>
      </c>
      <c r="P250" s="22">
        <v>11.101100000000001</v>
      </c>
      <c r="Q250" s="22">
        <v>-1.16638E-2</v>
      </c>
      <c r="R250" s="22">
        <v>240</v>
      </c>
      <c r="S250" s="22">
        <v>1.1077900000000001</v>
      </c>
      <c r="T250">
        <f t="shared" si="38"/>
        <v>14.399753086419754</v>
      </c>
      <c r="U250">
        <f t="shared" si="39"/>
        <v>15.962846283950617</v>
      </c>
      <c r="X250" s="9"/>
      <c r="Y250" s="22">
        <v>0.49148599999999998</v>
      </c>
      <c r="Z250" s="22">
        <v>16.377600000000001</v>
      </c>
      <c r="AA250" s="22">
        <v>-1.33209E-2</v>
      </c>
      <c r="AB250" s="22">
        <v>240</v>
      </c>
      <c r="AC250" s="22">
        <v>0.49081399999999997</v>
      </c>
      <c r="AD250">
        <f t="shared" si="40"/>
        <v>16.445555555555554</v>
      </c>
      <c r="AE250">
        <f t="shared" si="41"/>
        <v>8.082760317777776</v>
      </c>
      <c r="AF250" s="9"/>
      <c r="AG250" s="22">
        <v>1.1085499999999999</v>
      </c>
      <c r="AH250" s="22">
        <v>19.9953</v>
      </c>
      <c r="AI250" s="22">
        <v>-1.16547E-2</v>
      </c>
      <c r="AJ250" s="22">
        <v>240</v>
      </c>
      <c r="AK250" s="22">
        <v>1.1077900000000001</v>
      </c>
      <c r="AL250">
        <f t="shared" si="42"/>
        <v>14.388518518518518</v>
      </c>
      <c r="AM250">
        <f t="shared" si="43"/>
        <v>15.950392203703702</v>
      </c>
      <c r="AP250" s="9"/>
      <c r="AQ250" s="22">
        <v>0.49148599999999998</v>
      </c>
      <c r="AR250" s="22">
        <v>25.312799999999999</v>
      </c>
      <c r="AS250" s="22">
        <v>-1.3266E-2</v>
      </c>
      <c r="AT250" s="22">
        <v>240</v>
      </c>
      <c r="AU250" s="22">
        <v>0.49084499999999998</v>
      </c>
      <c r="AV250">
        <f t="shared" si="44"/>
        <v>16.377777777777776</v>
      </c>
      <c r="AW250">
        <f t="shared" si="45"/>
        <v>8.0494484888888884</v>
      </c>
      <c r="AX250" s="9"/>
      <c r="AY250" s="22">
        <v>1.1085499999999999</v>
      </c>
      <c r="AZ250" s="22">
        <v>28.930599999999998</v>
      </c>
      <c r="BA250" s="22">
        <v>-1.18835E-2</v>
      </c>
      <c r="BB250" s="22">
        <v>240</v>
      </c>
      <c r="BC250" s="22">
        <v>1.1077900000000001</v>
      </c>
      <c r="BD250">
        <f t="shared" si="46"/>
        <v>14.670987654320987</v>
      </c>
      <c r="BE250">
        <f t="shared" si="47"/>
        <v>16.263523364197528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7.49343</v>
      </c>
      <c r="I251" s="22">
        <v>-1.32751E-2</v>
      </c>
      <c r="J251" s="22">
        <v>241</v>
      </c>
      <c r="K251" s="22">
        <v>0.48574800000000001</v>
      </c>
      <c r="L251">
        <f t="shared" si="36"/>
        <v>16.38901234567901</v>
      </c>
      <c r="M251">
        <f t="shared" si="37"/>
        <v>7.9724350555555539</v>
      </c>
      <c r="N251" s="9"/>
      <c r="O251" s="22">
        <v>1.1135900000000001</v>
      </c>
      <c r="P251" s="22">
        <v>11.1112</v>
      </c>
      <c r="Q251" s="22">
        <v>-1.16425E-2</v>
      </c>
      <c r="R251" s="22">
        <v>241</v>
      </c>
      <c r="S251" s="22">
        <v>1.1129800000000001</v>
      </c>
      <c r="T251">
        <f t="shared" si="38"/>
        <v>14.373456790123456</v>
      </c>
      <c r="U251">
        <f t="shared" si="39"/>
        <v>16.006137746913581</v>
      </c>
      <c r="X251" s="9"/>
      <c r="Y251" s="22">
        <v>0.48644999999999999</v>
      </c>
      <c r="Z251" s="22">
        <v>16.387599999999999</v>
      </c>
      <c r="AA251" s="22">
        <v>-1.3324000000000001E-2</v>
      </c>
      <c r="AB251" s="22">
        <v>241</v>
      </c>
      <c r="AC251" s="22">
        <v>0.48580899999999999</v>
      </c>
      <c r="AD251">
        <f t="shared" si="40"/>
        <v>16.449382716049382</v>
      </c>
      <c r="AE251">
        <f t="shared" si="41"/>
        <v>8.0018022222222207</v>
      </c>
      <c r="AF251" s="9"/>
      <c r="AG251" s="22">
        <v>1.1135900000000001</v>
      </c>
      <c r="AH251" s="22">
        <v>20.005400000000002</v>
      </c>
      <c r="AI251" s="22">
        <v>-1.1621100000000001E-2</v>
      </c>
      <c r="AJ251" s="22">
        <v>241</v>
      </c>
      <c r="AK251" s="22">
        <v>1.11267</v>
      </c>
      <c r="AL251">
        <f t="shared" si="42"/>
        <v>14.347037037037037</v>
      </c>
      <c r="AM251">
        <f t="shared" si="43"/>
        <v>15.976716974074074</v>
      </c>
      <c r="AP251" s="9"/>
      <c r="AQ251" s="22">
        <v>0.48644999999999999</v>
      </c>
      <c r="AR251" s="22">
        <v>25.322900000000001</v>
      </c>
      <c r="AS251" s="22">
        <v>-1.3262899999999999E-2</v>
      </c>
      <c r="AT251" s="22">
        <v>241</v>
      </c>
      <c r="AU251" s="22">
        <v>0.48577900000000002</v>
      </c>
      <c r="AV251">
        <f t="shared" si="44"/>
        <v>16.373950617283949</v>
      </c>
      <c r="AW251">
        <f t="shared" si="45"/>
        <v>7.9651082777777766</v>
      </c>
      <c r="AX251" s="9"/>
      <c r="AY251" s="22">
        <v>1.1135900000000001</v>
      </c>
      <c r="AZ251" s="22">
        <v>28.9406</v>
      </c>
      <c r="BA251" s="22">
        <v>-1.1843899999999999E-2</v>
      </c>
      <c r="BB251" s="22">
        <v>241</v>
      </c>
      <c r="BC251" s="22">
        <v>1.11267</v>
      </c>
      <c r="BD251">
        <f t="shared" si="46"/>
        <v>14.622098765432096</v>
      </c>
      <c r="BE251">
        <f t="shared" si="47"/>
        <v>16.283022964197528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7.5034999999999998</v>
      </c>
      <c r="I252" s="22">
        <v>-1.32751E-2</v>
      </c>
      <c r="J252" s="22">
        <v>242</v>
      </c>
      <c r="K252" s="22">
        <v>0.48077399999999998</v>
      </c>
      <c r="L252">
        <f t="shared" si="36"/>
        <v>16.38901234567901</v>
      </c>
      <c r="M252">
        <f t="shared" si="37"/>
        <v>7.8899163783950605</v>
      </c>
      <c r="N252" s="9"/>
      <c r="O252" s="22">
        <v>1.1186199999999999</v>
      </c>
      <c r="P252" s="22">
        <v>11.1213</v>
      </c>
      <c r="Q252" s="22">
        <v>-1.1615E-2</v>
      </c>
      <c r="R252" s="22">
        <v>242</v>
      </c>
      <c r="S252" s="22">
        <v>1.1172500000000001</v>
      </c>
      <c r="T252">
        <f t="shared" si="38"/>
        <v>14.339506172839505</v>
      </c>
      <c r="U252">
        <f t="shared" si="39"/>
        <v>16.040458395061727</v>
      </c>
      <c r="X252" s="9"/>
      <c r="Y252" s="22">
        <v>0.48141499999999998</v>
      </c>
      <c r="Z252" s="22">
        <v>16.3977</v>
      </c>
      <c r="AA252" s="22">
        <v>-1.3327E-2</v>
      </c>
      <c r="AB252" s="22">
        <v>242</v>
      </c>
      <c r="AC252" s="22">
        <v>0.48077399999999998</v>
      </c>
      <c r="AD252">
        <f t="shared" si="40"/>
        <v>16.453086419753085</v>
      </c>
      <c r="AE252">
        <f t="shared" si="41"/>
        <v>7.9207625987654309</v>
      </c>
      <c r="AF252" s="9"/>
      <c r="AG252" s="22">
        <v>1.1186199999999999</v>
      </c>
      <c r="AH252" s="22">
        <v>20.015499999999999</v>
      </c>
      <c r="AI252" s="22">
        <v>-1.1584499999999999E-2</v>
      </c>
      <c r="AJ252" s="22">
        <v>242</v>
      </c>
      <c r="AK252" s="22">
        <v>1.11755</v>
      </c>
      <c r="AL252">
        <f t="shared" si="42"/>
        <v>14.30185185185185</v>
      </c>
      <c r="AM252">
        <f t="shared" si="43"/>
        <v>15.998337518518516</v>
      </c>
      <c r="AP252" s="9"/>
      <c r="AQ252" s="22">
        <v>0.48141499999999998</v>
      </c>
      <c r="AR252" s="22">
        <v>25.332899999999999</v>
      </c>
      <c r="AS252" s="22">
        <v>-1.3269E-2</v>
      </c>
      <c r="AT252" s="22">
        <v>242</v>
      </c>
      <c r="AU252" s="22">
        <v>0.48083500000000001</v>
      </c>
      <c r="AV252">
        <f t="shared" si="44"/>
        <v>16.38148148148148</v>
      </c>
      <c r="AW252">
        <f t="shared" si="45"/>
        <v>7.8862909074074059</v>
      </c>
      <c r="AX252" s="9"/>
      <c r="AY252" s="22">
        <v>1.1186199999999999</v>
      </c>
      <c r="AZ252" s="22">
        <v>28.950700000000001</v>
      </c>
      <c r="BA252" s="22">
        <v>-1.1804200000000001E-2</v>
      </c>
      <c r="BB252" s="22">
        <v>242</v>
      </c>
      <c r="BC252" s="22">
        <v>1.1172500000000001</v>
      </c>
      <c r="BD252">
        <f t="shared" si="46"/>
        <v>14.573086419753087</v>
      </c>
      <c r="BE252">
        <f t="shared" si="47"/>
        <v>16.301745930864197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7.5135699999999996</v>
      </c>
      <c r="I253" s="22">
        <v>-1.3281299999999999E-2</v>
      </c>
      <c r="J253" s="22">
        <v>243</v>
      </c>
      <c r="K253" s="22">
        <v>0.47573900000000002</v>
      </c>
      <c r="L253">
        <f t="shared" si="36"/>
        <v>16.396666666666665</v>
      </c>
      <c r="M253">
        <f t="shared" si="37"/>
        <v>7.8110276699999988</v>
      </c>
      <c r="N253" s="9"/>
      <c r="O253" s="22">
        <v>1.1236600000000001</v>
      </c>
      <c r="P253" s="22">
        <v>11.1313</v>
      </c>
      <c r="Q253" s="22">
        <v>-1.1584499999999999E-2</v>
      </c>
      <c r="R253" s="22">
        <v>243</v>
      </c>
      <c r="S253" s="22">
        <v>1.1227400000000001</v>
      </c>
      <c r="T253">
        <f t="shared" si="38"/>
        <v>14.30185185185185</v>
      </c>
      <c r="U253">
        <f t="shared" si="39"/>
        <v>16.070418851851851</v>
      </c>
      <c r="X253" s="9"/>
      <c r="Y253" s="22">
        <v>0.476379</v>
      </c>
      <c r="Z253" s="22">
        <v>16.407800000000002</v>
      </c>
      <c r="AA253" s="22">
        <v>-1.3324000000000001E-2</v>
      </c>
      <c r="AB253" s="22">
        <v>243</v>
      </c>
      <c r="AC253" s="22">
        <v>0.47570800000000002</v>
      </c>
      <c r="AD253">
        <f t="shared" si="40"/>
        <v>16.449382716049382</v>
      </c>
      <c r="AE253">
        <f t="shared" si="41"/>
        <v>7.8361404888888879</v>
      </c>
      <c r="AF253" s="9"/>
      <c r="AG253" s="22">
        <v>1.1236600000000001</v>
      </c>
      <c r="AH253" s="22">
        <v>20.025600000000001</v>
      </c>
      <c r="AI253" s="22">
        <v>-1.15479E-2</v>
      </c>
      <c r="AJ253" s="22">
        <v>243</v>
      </c>
      <c r="AK253" s="22">
        <v>1.1224400000000001</v>
      </c>
      <c r="AL253">
        <f t="shared" si="42"/>
        <v>14.256666666666666</v>
      </c>
      <c r="AM253">
        <f t="shared" si="43"/>
        <v>16.019646066666667</v>
      </c>
      <c r="AP253" s="9"/>
      <c r="AQ253" s="22">
        <v>0.476379</v>
      </c>
      <c r="AR253" s="22">
        <v>25.343</v>
      </c>
      <c r="AS253" s="22">
        <v>-1.3266E-2</v>
      </c>
      <c r="AT253" s="22">
        <v>243</v>
      </c>
      <c r="AU253" s="22">
        <v>0.47567700000000002</v>
      </c>
      <c r="AV253">
        <f t="shared" si="44"/>
        <v>16.377777777777776</v>
      </c>
      <c r="AW253">
        <f t="shared" si="45"/>
        <v>7.8020293999999994</v>
      </c>
      <c r="AX253" s="9"/>
      <c r="AY253" s="22">
        <v>1.1236600000000001</v>
      </c>
      <c r="AZ253" s="22">
        <v>28.960799999999999</v>
      </c>
      <c r="BA253" s="22">
        <v>-1.17737E-2</v>
      </c>
      <c r="BB253" s="22">
        <v>243</v>
      </c>
      <c r="BC253" s="22">
        <v>1.1224400000000001</v>
      </c>
      <c r="BD253">
        <f t="shared" si="46"/>
        <v>14.535432098765432</v>
      </c>
      <c r="BE253">
        <f t="shared" si="47"/>
        <v>16.332883632098767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7.5236400000000003</v>
      </c>
      <c r="I254" s="22">
        <v>-1.3281299999999999E-2</v>
      </c>
      <c r="J254" s="22">
        <v>244</v>
      </c>
      <c r="K254" s="22">
        <v>0.47070299999999998</v>
      </c>
      <c r="L254">
        <f t="shared" si="36"/>
        <v>16.396666666666665</v>
      </c>
      <c r="M254">
        <f t="shared" si="37"/>
        <v>7.7284704533333324</v>
      </c>
      <c r="N254" s="9"/>
      <c r="O254" s="22">
        <v>1.12869</v>
      </c>
      <c r="P254" s="22">
        <v>11.141400000000001</v>
      </c>
      <c r="Q254" s="22">
        <v>-1.1550899999999999E-2</v>
      </c>
      <c r="R254" s="22">
        <v>244</v>
      </c>
      <c r="S254" s="22">
        <v>1.1276200000000001</v>
      </c>
      <c r="T254">
        <f t="shared" si="38"/>
        <v>14.260370370370369</v>
      </c>
      <c r="U254">
        <f t="shared" si="39"/>
        <v>16.09553743333333</v>
      </c>
      <c r="X254" s="9"/>
      <c r="Y254" s="22">
        <v>0.47134399999999999</v>
      </c>
      <c r="Z254" s="22">
        <v>16.417899999999999</v>
      </c>
      <c r="AA254" s="22">
        <v>-1.3327E-2</v>
      </c>
      <c r="AB254" s="22">
        <v>244</v>
      </c>
      <c r="AC254" s="22">
        <v>0.47076400000000002</v>
      </c>
      <c r="AD254">
        <f t="shared" si="40"/>
        <v>16.453086419753085</v>
      </c>
      <c r="AE254">
        <f t="shared" si="41"/>
        <v>7.7550635654320974</v>
      </c>
      <c r="AF254" s="9"/>
      <c r="AG254" s="22">
        <v>1.12869</v>
      </c>
      <c r="AH254" s="22">
        <v>20.035599999999999</v>
      </c>
      <c r="AI254" s="22">
        <v>-1.1511199999999999E-2</v>
      </c>
      <c r="AJ254" s="22">
        <v>244</v>
      </c>
      <c r="AK254" s="22">
        <v>1.1267100000000001</v>
      </c>
      <c r="AL254">
        <f t="shared" si="42"/>
        <v>14.211358024691357</v>
      </c>
      <c r="AM254">
        <f t="shared" si="43"/>
        <v>16.040217688888887</v>
      </c>
      <c r="AP254" s="9"/>
      <c r="AQ254" s="22">
        <v>0.47134399999999999</v>
      </c>
      <c r="AR254" s="22">
        <v>25.353100000000001</v>
      </c>
      <c r="AS254" s="22">
        <v>-1.3262899999999999E-2</v>
      </c>
      <c r="AT254" s="22">
        <v>244</v>
      </c>
      <c r="AU254" s="22">
        <v>0.47067300000000001</v>
      </c>
      <c r="AV254">
        <f t="shared" si="44"/>
        <v>16.373950617283949</v>
      </c>
      <c r="AW254">
        <f t="shared" si="45"/>
        <v>7.7177633797530856</v>
      </c>
      <c r="AX254" s="9"/>
      <c r="AY254" s="22">
        <v>1.12869</v>
      </c>
      <c r="AZ254" s="22">
        <v>28.970800000000001</v>
      </c>
      <c r="BA254" s="22">
        <v>-1.17371E-2</v>
      </c>
      <c r="BB254" s="22">
        <v>244</v>
      </c>
      <c r="BC254" s="22">
        <v>1.1276200000000001</v>
      </c>
      <c r="BD254">
        <f t="shared" si="46"/>
        <v>14.490246913580247</v>
      </c>
      <c r="BE254">
        <f t="shared" si="47"/>
        <v>16.35499678888889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7.5337100000000001</v>
      </c>
      <c r="I255" s="22">
        <v>-1.3281299999999999E-2</v>
      </c>
      <c r="J255" s="22">
        <v>245</v>
      </c>
      <c r="K255" s="22">
        <v>0.46563700000000002</v>
      </c>
      <c r="L255">
        <f t="shared" si="36"/>
        <v>16.396666666666665</v>
      </c>
      <c r="M255">
        <f t="shared" si="37"/>
        <v>7.6459132366666651</v>
      </c>
      <c r="N255" s="9"/>
      <c r="O255" s="22">
        <v>1.1337299999999999</v>
      </c>
      <c r="P255" s="22">
        <v>11.1515</v>
      </c>
      <c r="Q255" s="22">
        <v>-1.15234E-2</v>
      </c>
      <c r="R255" s="22">
        <v>245</v>
      </c>
      <c r="S255" s="22">
        <v>1.1325099999999999</v>
      </c>
      <c r="T255">
        <f t="shared" si="38"/>
        <v>14.226419753086418</v>
      </c>
      <c r="U255">
        <f t="shared" si="39"/>
        <v>16.128918866666663</v>
      </c>
      <c r="X255" s="9"/>
      <c r="Y255" s="22">
        <v>0.46630899999999997</v>
      </c>
      <c r="Z255" s="22">
        <v>16.427900000000001</v>
      </c>
      <c r="AA255" s="22">
        <v>-1.3336199999999999E-2</v>
      </c>
      <c r="AB255" s="22">
        <v>245</v>
      </c>
      <c r="AC255" s="22">
        <v>0.465698</v>
      </c>
      <c r="AD255">
        <f t="shared" si="40"/>
        <v>16.464444444444442</v>
      </c>
      <c r="AE255">
        <f t="shared" si="41"/>
        <v>7.6775186244444429</v>
      </c>
      <c r="AF255" s="9"/>
      <c r="AG255" s="22">
        <v>1.1337299999999999</v>
      </c>
      <c r="AH255" s="22">
        <v>20.0457</v>
      </c>
      <c r="AI255" s="22">
        <v>-1.14807E-2</v>
      </c>
      <c r="AJ255" s="22">
        <v>245</v>
      </c>
      <c r="AK255" s="22">
        <v>1.1325099999999999</v>
      </c>
      <c r="AL255">
        <f t="shared" si="42"/>
        <v>14.173703703703703</v>
      </c>
      <c r="AM255">
        <f t="shared" si="43"/>
        <v>16.069153099999998</v>
      </c>
      <c r="AP255" s="9"/>
      <c r="AQ255" s="22">
        <v>0.46630899999999997</v>
      </c>
      <c r="AR255" s="22">
        <v>25.363099999999999</v>
      </c>
      <c r="AS255" s="22">
        <v>-1.3266E-2</v>
      </c>
      <c r="AT255" s="22">
        <v>245</v>
      </c>
      <c r="AU255" s="22">
        <v>0.46563700000000002</v>
      </c>
      <c r="AV255">
        <f t="shared" si="44"/>
        <v>16.377777777777776</v>
      </c>
      <c r="AW255">
        <f t="shared" si="45"/>
        <v>7.6371051777777765</v>
      </c>
      <c r="AX255" s="9"/>
      <c r="AY255" s="22">
        <v>1.1337299999999999</v>
      </c>
      <c r="AZ255" s="22">
        <v>28.980899999999998</v>
      </c>
      <c r="BA255" s="22">
        <v>-1.17004E-2</v>
      </c>
      <c r="BB255" s="22">
        <v>245</v>
      </c>
      <c r="BC255" s="22">
        <v>1.1331199999999999</v>
      </c>
      <c r="BD255">
        <f t="shared" si="46"/>
        <v>14.444938271604938</v>
      </c>
      <c r="BE255">
        <f t="shared" si="47"/>
        <v>16.376659866666664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7.5437900000000004</v>
      </c>
      <c r="I256" s="22">
        <v>-1.3284300000000001E-2</v>
      </c>
      <c r="J256" s="22">
        <v>246</v>
      </c>
      <c r="K256" s="22">
        <v>0.46063199999999999</v>
      </c>
      <c r="L256">
        <f t="shared" si="36"/>
        <v>16.400370370370371</v>
      </c>
      <c r="M256">
        <f t="shared" si="37"/>
        <v>7.5650480418518518</v>
      </c>
      <c r="N256" s="9"/>
      <c r="O256" s="22">
        <v>1.13876</v>
      </c>
      <c r="P256" s="22">
        <v>11.1616</v>
      </c>
      <c r="Q256" s="22">
        <v>-1.14929E-2</v>
      </c>
      <c r="R256" s="22">
        <v>246</v>
      </c>
      <c r="S256" s="22">
        <v>1.1376999999999999</v>
      </c>
      <c r="T256">
        <f t="shared" si="38"/>
        <v>14.188765432098766</v>
      </c>
      <c r="U256">
        <f t="shared" si="39"/>
        <v>16.157598523456791</v>
      </c>
      <c r="X256" s="9"/>
      <c r="Y256" s="22">
        <v>0.46127299999999999</v>
      </c>
      <c r="Z256" s="22">
        <v>16.437999999999999</v>
      </c>
      <c r="AA256" s="22">
        <v>-1.3330099999999999E-2</v>
      </c>
      <c r="AB256" s="22">
        <v>246</v>
      </c>
      <c r="AC256" s="22">
        <v>0.46072400000000002</v>
      </c>
      <c r="AD256">
        <f t="shared" si="40"/>
        <v>16.456913580246912</v>
      </c>
      <c r="AE256">
        <f t="shared" si="41"/>
        <v>7.5911298979012338</v>
      </c>
      <c r="AF256" s="9"/>
      <c r="AG256" s="22">
        <v>1.13876</v>
      </c>
      <c r="AH256" s="22">
        <v>20.055800000000001</v>
      </c>
      <c r="AI256" s="22">
        <v>-1.1441E-2</v>
      </c>
      <c r="AJ256" s="22">
        <v>246</v>
      </c>
      <c r="AK256" s="22">
        <v>1.1373899999999999</v>
      </c>
      <c r="AL256">
        <f t="shared" si="42"/>
        <v>14.124691358024689</v>
      </c>
      <c r="AM256">
        <f t="shared" si="43"/>
        <v>16.084633530864195</v>
      </c>
      <c r="AP256" s="9"/>
      <c r="AQ256" s="22">
        <v>0.46127299999999999</v>
      </c>
      <c r="AR256" s="22">
        <v>25.373200000000001</v>
      </c>
      <c r="AS256" s="22">
        <v>-1.3269E-2</v>
      </c>
      <c r="AT256" s="22">
        <v>246</v>
      </c>
      <c r="AU256" s="22">
        <v>0.46063199999999999</v>
      </c>
      <c r="AV256">
        <f t="shared" si="44"/>
        <v>16.38148148148148</v>
      </c>
      <c r="AW256">
        <f t="shared" si="45"/>
        <v>7.5563351074074063</v>
      </c>
      <c r="AX256" s="9"/>
      <c r="AY256" s="22">
        <v>1.13876</v>
      </c>
      <c r="AZ256" s="22">
        <v>28.991</v>
      </c>
      <c r="BA256" s="22">
        <v>-1.1660800000000001E-2</v>
      </c>
      <c r="BB256" s="22">
        <v>246</v>
      </c>
      <c r="BC256" s="22">
        <v>1.1373899999999999</v>
      </c>
      <c r="BD256">
        <f t="shared" si="46"/>
        <v>14.396049382716049</v>
      </c>
      <c r="BE256">
        <f t="shared" si="47"/>
        <v>16.393645195061726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7.5538600000000002</v>
      </c>
      <c r="I257" s="22">
        <v>-1.32874E-2</v>
      </c>
      <c r="J257" s="22">
        <v>247</v>
      </c>
      <c r="K257" s="22">
        <v>0.45559699999999997</v>
      </c>
      <c r="L257">
        <f t="shared" si="36"/>
        <v>16.404197530864195</v>
      </c>
      <c r="M257">
        <f t="shared" si="37"/>
        <v>7.4842182730864186</v>
      </c>
      <c r="N257" s="9"/>
      <c r="O257" s="22">
        <v>1.1437999999999999</v>
      </c>
      <c r="P257" s="22">
        <v>11.1716</v>
      </c>
      <c r="Q257" s="22">
        <v>-1.14655E-2</v>
      </c>
      <c r="R257" s="22">
        <v>247</v>
      </c>
      <c r="S257" s="22">
        <v>1.1428799999999999</v>
      </c>
      <c r="T257">
        <f t="shared" si="38"/>
        <v>14.154938271604937</v>
      </c>
      <c r="U257">
        <f t="shared" si="39"/>
        <v>16.190418395061727</v>
      </c>
      <c r="X257" s="9"/>
      <c r="Y257" s="22">
        <v>0.45623799999999998</v>
      </c>
      <c r="Z257" s="22">
        <v>16.4481</v>
      </c>
      <c r="AA257" s="22">
        <v>-1.3336199999999999E-2</v>
      </c>
      <c r="AB257" s="22">
        <v>247</v>
      </c>
      <c r="AC257" s="22">
        <v>0.45559699999999997</v>
      </c>
      <c r="AD257">
        <f t="shared" si="40"/>
        <v>16.464444444444442</v>
      </c>
      <c r="AE257">
        <f t="shared" si="41"/>
        <v>7.5117052044444428</v>
      </c>
      <c r="AF257" s="9"/>
      <c r="AG257" s="22">
        <v>1.1437999999999999</v>
      </c>
      <c r="AH257" s="22">
        <v>20.065799999999999</v>
      </c>
      <c r="AI257" s="22">
        <v>-1.1395300000000001E-2</v>
      </c>
      <c r="AJ257" s="22">
        <v>247</v>
      </c>
      <c r="AK257" s="22">
        <v>1.1425799999999999</v>
      </c>
      <c r="AL257">
        <f t="shared" si="42"/>
        <v>14.068271604938271</v>
      </c>
      <c r="AM257">
        <f t="shared" si="43"/>
        <v>16.091289061728393</v>
      </c>
      <c r="AP257" s="9"/>
      <c r="AQ257" s="22">
        <v>0.45623799999999998</v>
      </c>
      <c r="AR257" s="22">
        <v>25.383299999999998</v>
      </c>
      <c r="AS257" s="22">
        <v>-1.32721E-2</v>
      </c>
      <c r="AT257" s="22">
        <v>247</v>
      </c>
      <c r="AU257" s="22">
        <v>0.45556600000000003</v>
      </c>
      <c r="AV257">
        <f t="shared" si="44"/>
        <v>16.385308641975307</v>
      </c>
      <c r="AW257">
        <f t="shared" si="45"/>
        <v>7.4756004441975294</v>
      </c>
      <c r="AX257" s="9"/>
      <c r="AY257" s="22">
        <v>1.1437999999999999</v>
      </c>
      <c r="AZ257" s="22">
        <v>29.001100000000001</v>
      </c>
      <c r="BA257" s="22">
        <v>-1.16302E-2</v>
      </c>
      <c r="BB257" s="22">
        <v>247</v>
      </c>
      <c r="BC257" s="22">
        <v>1.1428799999999999</v>
      </c>
      <c r="BD257">
        <f t="shared" si="46"/>
        <v>14.35827160493827</v>
      </c>
      <c r="BE257">
        <f t="shared" si="47"/>
        <v>16.422991061728393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7.56393</v>
      </c>
      <c r="I258" s="22">
        <v>-1.32935E-2</v>
      </c>
      <c r="J258" s="22">
        <v>248</v>
      </c>
      <c r="K258" s="22">
        <v>0.45059199999999999</v>
      </c>
      <c r="L258">
        <f t="shared" si="36"/>
        <v>16.411728395061726</v>
      </c>
      <c r="M258">
        <f t="shared" si="37"/>
        <v>7.4050046753086409</v>
      </c>
      <c r="N258" s="9"/>
      <c r="O258" s="22">
        <v>1.14883</v>
      </c>
      <c r="P258" s="22">
        <v>11.181699999999999</v>
      </c>
      <c r="Q258" s="22">
        <v>-1.14349E-2</v>
      </c>
      <c r="R258" s="22">
        <v>248</v>
      </c>
      <c r="S258" s="22">
        <v>1.1474599999999999</v>
      </c>
      <c r="T258">
        <f t="shared" si="38"/>
        <v>14.117160493827161</v>
      </c>
      <c r="U258">
        <f t="shared" si="39"/>
        <v>16.218217490123457</v>
      </c>
      <c r="X258" s="9"/>
      <c r="Y258" s="22">
        <v>0.45120199999999999</v>
      </c>
      <c r="Z258" s="22">
        <v>16.458100000000002</v>
      </c>
      <c r="AA258" s="22">
        <v>-1.3333100000000001E-2</v>
      </c>
      <c r="AB258" s="22">
        <v>248</v>
      </c>
      <c r="AC258" s="22">
        <v>0.45053100000000001</v>
      </c>
      <c r="AD258">
        <f t="shared" si="40"/>
        <v>16.460617283950615</v>
      </c>
      <c r="AE258">
        <f t="shared" si="41"/>
        <v>7.427063439753085</v>
      </c>
      <c r="AF258" s="9"/>
      <c r="AG258" s="22">
        <v>1.14883</v>
      </c>
      <c r="AH258" s="22">
        <v>20.075900000000001</v>
      </c>
      <c r="AI258" s="22">
        <v>-1.13525E-2</v>
      </c>
      <c r="AJ258" s="22">
        <v>248</v>
      </c>
      <c r="AK258" s="22">
        <v>1.1474599999999999</v>
      </c>
      <c r="AL258">
        <f t="shared" si="42"/>
        <v>14.015432098765432</v>
      </c>
      <c r="AM258">
        <f t="shared" si="43"/>
        <v>16.101348858024693</v>
      </c>
      <c r="AP258" s="9"/>
      <c r="AQ258" s="22">
        <v>0.45120199999999999</v>
      </c>
      <c r="AR258" s="22">
        <v>25.3934</v>
      </c>
      <c r="AS258" s="22">
        <v>-1.32751E-2</v>
      </c>
      <c r="AT258" s="22">
        <v>248</v>
      </c>
      <c r="AU258" s="22">
        <v>0.45059199999999999</v>
      </c>
      <c r="AV258">
        <f t="shared" si="44"/>
        <v>16.38901234567901</v>
      </c>
      <c r="AW258">
        <f t="shared" si="45"/>
        <v>7.3947551483950607</v>
      </c>
      <c r="AX258" s="9"/>
      <c r="AY258" s="22">
        <v>1.14883</v>
      </c>
      <c r="AZ258" s="22">
        <v>29.011099999999999</v>
      </c>
      <c r="BA258" s="22">
        <v>-1.15967E-2</v>
      </c>
      <c r="BB258" s="22">
        <v>248</v>
      </c>
      <c r="BC258" s="22">
        <v>1.14777</v>
      </c>
      <c r="BD258">
        <f t="shared" si="46"/>
        <v>14.316913580246911</v>
      </c>
      <c r="BE258">
        <f t="shared" si="47"/>
        <v>16.447699828395059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7.5739999999999998</v>
      </c>
      <c r="I259" s="22">
        <v>-1.3296499999999999E-2</v>
      </c>
      <c r="J259" s="22">
        <v>249</v>
      </c>
      <c r="K259" s="22">
        <v>0.44552599999999998</v>
      </c>
      <c r="L259">
        <f t="shared" si="36"/>
        <v>16.415432098765429</v>
      </c>
      <c r="M259">
        <f t="shared" si="37"/>
        <v>7.324024093209875</v>
      </c>
      <c r="N259" s="9"/>
      <c r="O259" s="22">
        <v>1.15387</v>
      </c>
      <c r="P259" s="22">
        <v>11.191800000000001</v>
      </c>
      <c r="Q259" s="22">
        <v>-1.1401400000000001E-2</v>
      </c>
      <c r="R259" s="22">
        <v>249</v>
      </c>
      <c r="S259" s="22">
        <v>1.1529499999999999</v>
      </c>
      <c r="T259">
        <f t="shared" si="38"/>
        <v>14.075802469135803</v>
      </c>
      <c r="U259">
        <f t="shared" si="39"/>
        <v>16.24164619506173</v>
      </c>
      <c r="X259" s="9"/>
      <c r="Y259" s="22">
        <v>0.44616699999999998</v>
      </c>
      <c r="Z259" s="22">
        <v>16.4682</v>
      </c>
      <c r="AA259" s="22">
        <v>-1.33423E-2</v>
      </c>
      <c r="AB259" s="22">
        <v>249</v>
      </c>
      <c r="AC259" s="22">
        <v>0.44555699999999998</v>
      </c>
      <c r="AD259">
        <f t="shared" si="40"/>
        <v>16.471975308641973</v>
      </c>
      <c r="AE259">
        <f t="shared" si="41"/>
        <v>7.3492518075308624</v>
      </c>
      <c r="AF259" s="9"/>
      <c r="AG259" s="22">
        <v>1.15387</v>
      </c>
      <c r="AH259" s="22">
        <v>20.085999999999999</v>
      </c>
      <c r="AI259" s="22">
        <v>-1.1312900000000001E-2</v>
      </c>
      <c r="AJ259" s="22">
        <v>249</v>
      </c>
      <c r="AK259" s="22">
        <v>1.15265</v>
      </c>
      <c r="AL259">
        <f t="shared" si="42"/>
        <v>13.966543209876543</v>
      </c>
      <c r="AM259">
        <f t="shared" si="43"/>
        <v>16.115575213580247</v>
      </c>
      <c r="AP259" s="9"/>
      <c r="AQ259" s="22">
        <v>0.44616699999999998</v>
      </c>
      <c r="AR259" s="22">
        <v>25.403400000000001</v>
      </c>
      <c r="AS259" s="22">
        <v>-1.32751E-2</v>
      </c>
      <c r="AT259" s="22">
        <v>249</v>
      </c>
      <c r="AU259" s="22">
        <v>0.44552599999999998</v>
      </c>
      <c r="AV259">
        <f t="shared" si="44"/>
        <v>16.38901234567901</v>
      </c>
      <c r="AW259">
        <f t="shared" si="45"/>
        <v>7.3122364712345664</v>
      </c>
      <c r="AX259" s="9"/>
      <c r="AY259" s="22">
        <v>1.15387</v>
      </c>
      <c r="AZ259" s="22">
        <v>29.0212</v>
      </c>
      <c r="BA259" s="22">
        <v>-1.15662E-2</v>
      </c>
      <c r="BB259" s="22">
        <v>249</v>
      </c>
      <c r="BC259" s="22">
        <v>1.15326</v>
      </c>
      <c r="BD259">
        <f t="shared" si="46"/>
        <v>14.279259259259259</v>
      </c>
      <c r="BE259">
        <f t="shared" si="47"/>
        <v>16.476408881481479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7.5840699999999996</v>
      </c>
      <c r="I260" s="22">
        <v>-1.33087E-2</v>
      </c>
      <c r="J260" s="22">
        <v>250</v>
      </c>
      <c r="K260" s="22">
        <v>0.44049100000000002</v>
      </c>
      <c r="L260">
        <f t="shared" si="36"/>
        <v>16.430493827160493</v>
      </c>
      <c r="M260">
        <f t="shared" si="37"/>
        <v>7.2480166029629629</v>
      </c>
      <c r="N260" s="9"/>
      <c r="O260" s="22">
        <v>1.1589100000000001</v>
      </c>
      <c r="P260" s="22">
        <v>11.2018</v>
      </c>
      <c r="Q260" s="22">
        <v>-1.1361700000000001E-2</v>
      </c>
      <c r="R260" s="22">
        <v>250</v>
      </c>
      <c r="S260" s="22">
        <v>1.1581399999999999</v>
      </c>
      <c r="T260">
        <f t="shared" si="38"/>
        <v>14.026790123456792</v>
      </c>
      <c r="U260">
        <f t="shared" si="39"/>
        <v>16.25578734197531</v>
      </c>
      <c r="X260" s="9"/>
      <c r="Y260" s="22">
        <v>0.44113200000000002</v>
      </c>
      <c r="Z260" s="22">
        <v>16.478300000000001</v>
      </c>
      <c r="AA260" s="22">
        <v>-1.33545E-2</v>
      </c>
      <c r="AB260" s="22">
        <v>250</v>
      </c>
      <c r="AC260" s="22">
        <v>0.440521</v>
      </c>
      <c r="AD260">
        <f t="shared" si="40"/>
        <v>16.487037037037037</v>
      </c>
      <c r="AE260">
        <f t="shared" si="41"/>
        <v>7.2729596222222224</v>
      </c>
      <c r="AF260" s="9"/>
      <c r="AG260" s="22">
        <v>1.1589100000000001</v>
      </c>
      <c r="AH260" s="22">
        <v>20.0961</v>
      </c>
      <c r="AI260" s="22">
        <v>-1.12762E-2</v>
      </c>
      <c r="AJ260" s="22">
        <v>250</v>
      </c>
      <c r="AK260" s="22">
        <v>1.15723</v>
      </c>
      <c r="AL260">
        <f t="shared" si="42"/>
        <v>13.921234567901234</v>
      </c>
      <c r="AM260">
        <f t="shared" si="43"/>
        <v>16.13345795308642</v>
      </c>
      <c r="AP260" s="9"/>
      <c r="AQ260" s="22">
        <v>0.44113200000000002</v>
      </c>
      <c r="AR260" s="22">
        <v>25.413499999999999</v>
      </c>
      <c r="AS260" s="22">
        <v>-1.32721E-2</v>
      </c>
      <c r="AT260" s="22">
        <v>250</v>
      </c>
      <c r="AU260" s="22">
        <v>0.44049100000000002</v>
      </c>
      <c r="AV260">
        <f t="shared" si="44"/>
        <v>16.385308641975307</v>
      </c>
      <c r="AW260">
        <f t="shared" si="45"/>
        <v>7.2280839718518513</v>
      </c>
      <c r="AX260" s="9"/>
      <c r="AY260" s="22">
        <v>1.1589100000000001</v>
      </c>
      <c r="AZ260" s="22">
        <v>29.031300000000002</v>
      </c>
      <c r="BA260" s="22">
        <v>-1.15326E-2</v>
      </c>
      <c r="BB260" s="22">
        <v>250</v>
      </c>
      <c r="BC260" s="22">
        <v>1.1581399999999999</v>
      </c>
      <c r="BD260">
        <f t="shared" si="46"/>
        <v>14.237777777777778</v>
      </c>
      <c r="BE260">
        <f t="shared" si="47"/>
        <v>16.500303044444447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7.5941400000000003</v>
      </c>
      <c r="I261" s="22">
        <v>-1.3317900000000001E-2</v>
      </c>
      <c r="J261" s="22">
        <v>251</v>
      </c>
      <c r="K261" s="22">
        <v>0.43548599999999998</v>
      </c>
      <c r="L261">
        <f t="shared" si="36"/>
        <v>16.441851851851851</v>
      </c>
      <c r="M261">
        <f t="shared" si="37"/>
        <v>7.1702258251851845</v>
      </c>
      <c r="N261" s="9"/>
      <c r="O261" s="22">
        <v>1.16394</v>
      </c>
      <c r="P261" s="22">
        <v>11.2119</v>
      </c>
      <c r="Q261" s="22">
        <v>-1.1318999999999999E-2</v>
      </c>
      <c r="R261" s="22">
        <v>251</v>
      </c>
      <c r="S261" s="22">
        <v>1.1630199999999999</v>
      </c>
      <c r="T261">
        <f t="shared" si="38"/>
        <v>13.974074074074073</v>
      </c>
      <c r="U261">
        <f t="shared" si="39"/>
        <v>16.264983777777775</v>
      </c>
      <c r="X261" s="9"/>
      <c r="Y261" s="22">
        <v>0.43609599999999998</v>
      </c>
      <c r="Z261" s="22">
        <v>16.488399999999999</v>
      </c>
      <c r="AA261" s="22">
        <v>-1.33667E-2</v>
      </c>
      <c r="AB261" s="22">
        <v>251</v>
      </c>
      <c r="AC261" s="22">
        <v>0.43545499999999998</v>
      </c>
      <c r="AD261">
        <f t="shared" si="40"/>
        <v>16.502098765432098</v>
      </c>
      <c r="AE261">
        <f t="shared" si="41"/>
        <v>7.1964992632098763</v>
      </c>
      <c r="AF261" s="9"/>
      <c r="AG261" s="22">
        <v>1.16394</v>
      </c>
      <c r="AH261" s="22">
        <v>20.106100000000001</v>
      </c>
      <c r="AI261" s="22">
        <v>-1.1236599999999999E-2</v>
      </c>
      <c r="AJ261" s="22">
        <v>251</v>
      </c>
      <c r="AK261" s="22">
        <v>1.1630199999999999</v>
      </c>
      <c r="AL261">
        <f t="shared" si="42"/>
        <v>13.872345679012344</v>
      </c>
      <c r="AM261">
        <f t="shared" si="43"/>
        <v>16.146578029629627</v>
      </c>
      <c r="AP261" s="9"/>
      <c r="AQ261" s="22">
        <v>0.43609599999999998</v>
      </c>
      <c r="AR261" s="22">
        <v>25.4236</v>
      </c>
      <c r="AS261" s="22">
        <v>-1.3281299999999999E-2</v>
      </c>
      <c r="AT261" s="22">
        <v>251</v>
      </c>
      <c r="AU261" s="22">
        <v>0.43542500000000001</v>
      </c>
      <c r="AV261">
        <f t="shared" si="44"/>
        <v>16.396666666666665</v>
      </c>
      <c r="AW261">
        <f t="shared" si="45"/>
        <v>7.1505207466666656</v>
      </c>
      <c r="AX261" s="9"/>
      <c r="AY261" s="22">
        <v>1.16394</v>
      </c>
      <c r="AZ261" s="22">
        <v>29.0413</v>
      </c>
      <c r="BA261" s="22">
        <v>-1.1495999999999999E-2</v>
      </c>
      <c r="BB261" s="22">
        <v>251</v>
      </c>
      <c r="BC261" s="22">
        <v>1.1630199999999999</v>
      </c>
      <c r="BD261">
        <f t="shared" si="46"/>
        <v>14.19259259259259</v>
      </c>
      <c r="BE261">
        <f t="shared" si="47"/>
        <v>16.519326222222219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7.6042100000000001</v>
      </c>
      <c r="I262" s="22">
        <v>-1.3324000000000001E-2</v>
      </c>
      <c r="J262" s="22">
        <v>252</v>
      </c>
      <c r="K262" s="22">
        <v>0.43042000000000002</v>
      </c>
      <c r="L262">
        <f t="shared" si="36"/>
        <v>16.449382716049382</v>
      </c>
      <c r="M262">
        <f t="shared" si="37"/>
        <v>7.0906873629629628</v>
      </c>
      <c r="N262" s="9"/>
      <c r="O262" s="22">
        <v>1.1689799999999999</v>
      </c>
      <c r="P262" s="22">
        <v>11.222</v>
      </c>
      <c r="Q262" s="22">
        <v>-1.12823E-2</v>
      </c>
      <c r="R262" s="22">
        <v>252</v>
      </c>
      <c r="S262" s="22">
        <v>1.16791</v>
      </c>
      <c r="T262">
        <f t="shared" si="38"/>
        <v>13.928765432098766</v>
      </c>
      <c r="U262">
        <f t="shared" si="39"/>
        <v>16.282448214814814</v>
      </c>
      <c r="X262" s="9"/>
      <c r="Y262" s="22">
        <v>0.43106100000000003</v>
      </c>
      <c r="Z262" s="22">
        <v>16.4984</v>
      </c>
      <c r="AA262" s="22">
        <v>-1.3369799999999999E-2</v>
      </c>
      <c r="AB262" s="22">
        <v>252</v>
      </c>
      <c r="AC262" s="22">
        <v>0.43045</v>
      </c>
      <c r="AD262">
        <f t="shared" si="40"/>
        <v>16.505925925925922</v>
      </c>
      <c r="AE262">
        <f t="shared" si="41"/>
        <v>7.1150609355555545</v>
      </c>
      <c r="AF262" s="9"/>
      <c r="AG262" s="22">
        <v>1.1689799999999999</v>
      </c>
      <c r="AH262" s="22">
        <v>20.116199999999999</v>
      </c>
      <c r="AI262" s="22">
        <v>-1.11877E-2</v>
      </c>
      <c r="AJ262" s="22">
        <v>252</v>
      </c>
      <c r="AK262" s="22">
        <v>1.16852</v>
      </c>
      <c r="AL262">
        <f t="shared" si="42"/>
        <v>13.811975308641975</v>
      </c>
      <c r="AM262">
        <f t="shared" si="43"/>
        <v>16.145922896296295</v>
      </c>
      <c r="AP262" s="9"/>
      <c r="AQ262" s="22">
        <v>0.43106100000000003</v>
      </c>
      <c r="AR262" s="22">
        <v>25.433599999999998</v>
      </c>
      <c r="AS262" s="22">
        <v>-1.3284300000000001E-2</v>
      </c>
      <c r="AT262" s="22">
        <v>252</v>
      </c>
      <c r="AU262" s="22">
        <v>0.430481</v>
      </c>
      <c r="AV262">
        <f t="shared" si="44"/>
        <v>16.400370370370371</v>
      </c>
      <c r="AW262">
        <f t="shared" si="45"/>
        <v>7.0695600522222231</v>
      </c>
      <c r="AX262" s="9"/>
      <c r="AY262" s="22">
        <v>1.1689799999999999</v>
      </c>
      <c r="AZ262" s="22">
        <v>29.051400000000001</v>
      </c>
      <c r="BA262" s="22">
        <v>-1.1456300000000001E-2</v>
      </c>
      <c r="BB262" s="22">
        <v>252</v>
      </c>
      <c r="BC262" s="22">
        <v>1.16821</v>
      </c>
      <c r="BD262">
        <f t="shared" si="46"/>
        <v>14.143580246913581</v>
      </c>
      <c r="BE262">
        <f t="shared" si="47"/>
        <v>16.533562437037038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7.6142799999999999</v>
      </c>
      <c r="I263" s="22">
        <v>-1.3330099999999999E-2</v>
      </c>
      <c r="J263" s="22">
        <v>253</v>
      </c>
      <c r="K263" s="22">
        <v>0.42544599999999999</v>
      </c>
      <c r="L263">
        <f t="shared" si="36"/>
        <v>16.456913580246912</v>
      </c>
      <c r="M263">
        <f t="shared" si="37"/>
        <v>7.0110566080246901</v>
      </c>
      <c r="N263" s="9"/>
      <c r="O263" s="22">
        <v>1.17401</v>
      </c>
      <c r="P263" s="22">
        <v>11.232100000000001</v>
      </c>
      <c r="Q263" s="22">
        <v>-1.1245700000000001E-2</v>
      </c>
      <c r="R263" s="22">
        <v>253</v>
      </c>
      <c r="S263" s="22">
        <v>1.1731</v>
      </c>
      <c r="T263">
        <f t="shared" si="38"/>
        <v>13.883580246913581</v>
      </c>
      <c r="U263">
        <f t="shared" si="39"/>
        <v>16.299462045679014</v>
      </c>
      <c r="X263" s="9"/>
      <c r="Y263" s="22">
        <v>0.42602499999999999</v>
      </c>
      <c r="Z263" s="22">
        <v>16.508500000000002</v>
      </c>
      <c r="AA263" s="22">
        <v>-1.3369799999999999E-2</v>
      </c>
      <c r="AB263" s="22">
        <v>253</v>
      </c>
      <c r="AC263" s="22">
        <v>0.42544599999999999</v>
      </c>
      <c r="AD263">
        <f t="shared" si="40"/>
        <v>16.505925925925922</v>
      </c>
      <c r="AE263">
        <f t="shared" si="41"/>
        <v>7.0319370925925906</v>
      </c>
      <c r="AF263" s="9"/>
      <c r="AG263" s="22">
        <v>1.17401</v>
      </c>
      <c r="AH263" s="22">
        <v>20.126300000000001</v>
      </c>
      <c r="AI263" s="22">
        <v>-1.1151100000000001E-2</v>
      </c>
      <c r="AJ263" s="22">
        <v>253</v>
      </c>
      <c r="AK263" s="22">
        <v>1.17279</v>
      </c>
      <c r="AL263">
        <f t="shared" si="42"/>
        <v>13.76679012345679</v>
      </c>
      <c r="AM263">
        <f t="shared" si="43"/>
        <v>16.162349272839506</v>
      </c>
      <c r="AP263" s="9"/>
      <c r="AQ263" s="22">
        <v>0.42602499999999999</v>
      </c>
      <c r="AR263" s="22">
        <v>25.4437</v>
      </c>
      <c r="AS263" s="22">
        <v>-1.3281299999999999E-2</v>
      </c>
      <c r="AT263" s="22">
        <v>253</v>
      </c>
      <c r="AU263" s="22">
        <v>0.42547600000000002</v>
      </c>
      <c r="AV263">
        <f t="shared" si="44"/>
        <v>16.396666666666665</v>
      </c>
      <c r="AW263">
        <f t="shared" si="45"/>
        <v>6.9853899166666658</v>
      </c>
      <c r="AX263" s="9"/>
      <c r="AY263" s="22">
        <v>1.17401</v>
      </c>
      <c r="AZ263" s="22">
        <v>29.061499999999999</v>
      </c>
      <c r="BA263" s="22">
        <v>-1.1413599999999999E-2</v>
      </c>
      <c r="BB263" s="22">
        <v>253</v>
      </c>
      <c r="BC263" s="22">
        <v>1.1731</v>
      </c>
      <c r="BD263">
        <f t="shared" si="46"/>
        <v>14.090864197530863</v>
      </c>
      <c r="BE263">
        <f t="shared" si="47"/>
        <v>16.542815476543208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7.6243499999999997</v>
      </c>
      <c r="I264" s="22">
        <v>-1.3336199999999999E-2</v>
      </c>
      <c r="J264" s="22">
        <v>254</v>
      </c>
      <c r="K264" s="22">
        <v>0.42037999999999998</v>
      </c>
      <c r="L264">
        <f t="shared" si="36"/>
        <v>16.464444444444442</v>
      </c>
      <c r="M264">
        <f t="shared" si="37"/>
        <v>6.931366466666665</v>
      </c>
      <c r="N264" s="9"/>
      <c r="O264" s="22">
        <v>1.1790499999999999</v>
      </c>
      <c r="P264" s="22">
        <v>11.242100000000001</v>
      </c>
      <c r="Q264" s="22">
        <v>-1.11938E-2</v>
      </c>
      <c r="R264" s="22">
        <v>254</v>
      </c>
      <c r="S264" s="22">
        <v>1.17828</v>
      </c>
      <c r="T264">
        <f t="shared" si="38"/>
        <v>13.819506172839505</v>
      </c>
      <c r="U264">
        <f t="shared" si="39"/>
        <v>16.293888753086417</v>
      </c>
      <c r="X264" s="9"/>
      <c r="Y264" s="22">
        <v>0.42098999999999998</v>
      </c>
      <c r="Z264" s="22">
        <v>16.518599999999999</v>
      </c>
      <c r="AA264" s="22">
        <v>-1.3372800000000001E-2</v>
      </c>
      <c r="AB264" s="22">
        <v>254</v>
      </c>
      <c r="AC264" s="22">
        <v>0.420319</v>
      </c>
      <c r="AD264">
        <f t="shared" si="40"/>
        <v>16.509629629629632</v>
      </c>
      <c r="AE264">
        <f t="shared" si="41"/>
        <v>6.9503889777777781</v>
      </c>
      <c r="AF264" s="9"/>
      <c r="AG264" s="22">
        <v>1.1790499999999999</v>
      </c>
      <c r="AH264" s="22">
        <v>20.136299999999999</v>
      </c>
      <c r="AI264" s="22">
        <v>-1.11115E-2</v>
      </c>
      <c r="AJ264" s="22">
        <v>254</v>
      </c>
      <c r="AK264" s="22">
        <v>1.17859</v>
      </c>
      <c r="AL264">
        <f t="shared" si="42"/>
        <v>13.717901234567901</v>
      </c>
      <c r="AM264">
        <f t="shared" si="43"/>
        <v>16.174091450617283</v>
      </c>
      <c r="AP264" s="9"/>
      <c r="AQ264" s="22">
        <v>0.42098999999999998</v>
      </c>
      <c r="AR264" s="22">
        <v>25.453800000000001</v>
      </c>
      <c r="AS264" s="22">
        <v>-1.3284300000000001E-2</v>
      </c>
      <c r="AT264" s="22">
        <v>254</v>
      </c>
      <c r="AU264" s="22">
        <v>0.42034899999999997</v>
      </c>
      <c r="AV264">
        <f t="shared" si="44"/>
        <v>16.400370370370371</v>
      </c>
      <c r="AW264">
        <f t="shared" si="45"/>
        <v>6.9043919222222225</v>
      </c>
      <c r="AX264" s="9"/>
      <c r="AY264" s="22">
        <v>1.1790499999999999</v>
      </c>
      <c r="AZ264" s="22">
        <v>29.0716</v>
      </c>
      <c r="BA264" s="22">
        <v>-1.1373899999999999E-2</v>
      </c>
      <c r="BB264" s="22">
        <v>254</v>
      </c>
      <c r="BC264" s="22">
        <v>1.17828</v>
      </c>
      <c r="BD264">
        <f t="shared" si="46"/>
        <v>14.041851851851851</v>
      </c>
      <c r="BE264">
        <f t="shared" si="47"/>
        <v>16.556045425925923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7.6344200000000004</v>
      </c>
      <c r="I265" s="22">
        <v>-1.33423E-2</v>
      </c>
      <c r="J265" s="22">
        <v>255</v>
      </c>
      <c r="K265" s="22">
        <v>0.41528300000000001</v>
      </c>
      <c r="L265">
        <f t="shared" si="36"/>
        <v>16.471975308641973</v>
      </c>
      <c r="M265">
        <f t="shared" si="37"/>
        <v>6.851600489506172</v>
      </c>
      <c r="N265" s="9"/>
      <c r="O265" s="22">
        <v>1.18408</v>
      </c>
      <c r="P265" s="22">
        <v>11.2522</v>
      </c>
      <c r="Q265" s="22">
        <v>-1.1148099999999999E-2</v>
      </c>
      <c r="R265" s="22">
        <v>255</v>
      </c>
      <c r="S265" s="22">
        <v>1.1831700000000001</v>
      </c>
      <c r="T265">
        <f t="shared" si="38"/>
        <v>13.763086419753085</v>
      </c>
      <c r="U265">
        <f t="shared" si="39"/>
        <v>16.296595367901233</v>
      </c>
      <c r="X265" s="9"/>
      <c r="Y265" s="22">
        <v>0.41595500000000002</v>
      </c>
      <c r="Z265" s="22">
        <v>16.528600000000001</v>
      </c>
      <c r="AA265" s="22">
        <v>-1.33759E-2</v>
      </c>
      <c r="AB265" s="22">
        <v>255</v>
      </c>
      <c r="AC265" s="22">
        <v>0.41531400000000002</v>
      </c>
      <c r="AD265">
        <f t="shared" si="40"/>
        <v>16.513456790123456</v>
      </c>
      <c r="AE265">
        <f t="shared" si="41"/>
        <v>6.8688549191358028</v>
      </c>
      <c r="AF265" s="9"/>
      <c r="AG265" s="22">
        <v>1.18408</v>
      </c>
      <c r="AH265" s="22">
        <v>20.1464</v>
      </c>
      <c r="AI265" s="22">
        <v>-1.1068700000000001E-2</v>
      </c>
      <c r="AJ265" s="22">
        <v>255</v>
      </c>
      <c r="AK265" s="22">
        <v>1.1831700000000001</v>
      </c>
      <c r="AL265">
        <f t="shared" si="42"/>
        <v>13.665061728395063</v>
      </c>
      <c r="AM265">
        <f t="shared" si="43"/>
        <v>16.180526291358028</v>
      </c>
      <c r="AP265" s="9"/>
      <c r="AQ265" s="22">
        <v>0.41595500000000002</v>
      </c>
      <c r="AR265" s="22">
        <v>25.463899999999999</v>
      </c>
      <c r="AS265" s="22">
        <v>-1.3290400000000001E-2</v>
      </c>
      <c r="AT265" s="22">
        <v>255</v>
      </c>
      <c r="AU265" s="22">
        <v>0.41531400000000002</v>
      </c>
      <c r="AV265">
        <f t="shared" si="44"/>
        <v>16.407901234567902</v>
      </c>
      <c r="AW265">
        <f t="shared" si="45"/>
        <v>6.8249485580246922</v>
      </c>
      <c r="AX265" s="9"/>
      <c r="AY265" s="22">
        <v>1.18408</v>
      </c>
      <c r="AZ265" s="22">
        <v>29.081600000000002</v>
      </c>
      <c r="BA265" s="22">
        <v>-1.1334199999999999E-2</v>
      </c>
      <c r="BB265" s="22">
        <v>255</v>
      </c>
      <c r="BC265" s="22">
        <v>1.18286</v>
      </c>
      <c r="BD265">
        <f t="shared" si="46"/>
        <v>13.992839506172839</v>
      </c>
      <c r="BE265">
        <f t="shared" si="47"/>
        <v>16.568641402469137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7.6444999999999999</v>
      </c>
      <c r="I266" s="22">
        <v>-1.3339200000000001E-2</v>
      </c>
      <c r="J266" s="22">
        <v>256</v>
      </c>
      <c r="K266" s="22">
        <v>0.41033900000000001</v>
      </c>
      <c r="L266">
        <f t="shared" si="36"/>
        <v>16.468148148148149</v>
      </c>
      <c r="M266">
        <f t="shared" si="37"/>
        <v>6.7670749688888892</v>
      </c>
      <c r="N266" s="9"/>
      <c r="O266" s="22">
        <v>1.18912</v>
      </c>
      <c r="P266" s="22">
        <v>11.2623</v>
      </c>
      <c r="Q266" s="22">
        <v>-1.1102300000000001E-2</v>
      </c>
      <c r="R266" s="22">
        <v>256</v>
      </c>
      <c r="S266" s="22">
        <v>1.1880500000000001</v>
      </c>
      <c r="T266">
        <f t="shared" si="38"/>
        <v>13.706543209876543</v>
      </c>
      <c r="U266">
        <f t="shared" si="39"/>
        <v>16.298724661728393</v>
      </c>
      <c r="X266" s="9"/>
      <c r="Y266" s="22">
        <v>0.41091899999999998</v>
      </c>
      <c r="Z266" s="22">
        <v>16.538699999999999</v>
      </c>
      <c r="AA266" s="22">
        <v>-1.3384999999999999E-2</v>
      </c>
      <c r="AB266" s="22">
        <v>256</v>
      </c>
      <c r="AC266" s="22">
        <v>0.41030899999999998</v>
      </c>
      <c r="AD266">
        <f t="shared" si="40"/>
        <v>16.52469135802469</v>
      </c>
      <c r="AE266">
        <f t="shared" si="41"/>
        <v>6.7903096481481473</v>
      </c>
      <c r="AF266" s="9"/>
      <c r="AG266" s="22">
        <v>1.18912</v>
      </c>
      <c r="AH266" s="22">
        <v>20.156500000000001</v>
      </c>
      <c r="AI266" s="22">
        <v>-1.1025999999999999E-2</v>
      </c>
      <c r="AJ266" s="22">
        <v>256</v>
      </c>
      <c r="AK266" s="22">
        <v>1.1880500000000001</v>
      </c>
      <c r="AL266">
        <f t="shared" si="42"/>
        <v>13.612345679012344</v>
      </c>
      <c r="AM266">
        <f t="shared" si="43"/>
        <v>16.186712493827159</v>
      </c>
      <c r="AP266" s="9"/>
      <c r="AQ266" s="22">
        <v>0.41091899999999998</v>
      </c>
      <c r="AR266" s="22">
        <v>25.4739</v>
      </c>
      <c r="AS266" s="22">
        <v>-1.3296499999999999E-2</v>
      </c>
      <c r="AT266" s="22">
        <v>256</v>
      </c>
      <c r="AU266" s="22">
        <v>0.410248</v>
      </c>
      <c r="AV266">
        <f t="shared" si="44"/>
        <v>16.415432098765429</v>
      </c>
      <c r="AW266">
        <f t="shared" si="45"/>
        <v>6.7454129425925906</v>
      </c>
      <c r="AX266" s="9"/>
      <c r="AY266" s="22">
        <v>1.18912</v>
      </c>
      <c r="AZ266" s="22">
        <v>29.091699999999999</v>
      </c>
      <c r="BA266" s="22">
        <v>-1.12885E-2</v>
      </c>
      <c r="BB266" s="22">
        <v>256</v>
      </c>
      <c r="BC266" s="22">
        <v>1.1880500000000001</v>
      </c>
      <c r="BD266">
        <f t="shared" si="46"/>
        <v>13.936419753086419</v>
      </c>
      <c r="BE266">
        <f t="shared" si="47"/>
        <v>16.57207545679012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7.6545699999999997</v>
      </c>
      <c r="I267" s="22">
        <v>-1.33423E-2</v>
      </c>
      <c r="J267" s="22">
        <v>257</v>
      </c>
      <c r="K267" s="22">
        <v>0.40527299999999999</v>
      </c>
      <c r="L267">
        <f t="shared" si="36"/>
        <v>16.471975308641973</v>
      </c>
      <c r="M267">
        <f t="shared" si="37"/>
        <v>6.6857112261728391</v>
      </c>
      <c r="N267" s="9"/>
      <c r="O267" s="22">
        <v>1.19415</v>
      </c>
      <c r="P267" s="22">
        <v>11.2723</v>
      </c>
      <c r="Q267" s="22">
        <v>-1.1059599999999999E-2</v>
      </c>
      <c r="R267" s="22">
        <v>257</v>
      </c>
      <c r="S267" s="22">
        <v>1.19293</v>
      </c>
      <c r="T267">
        <f t="shared" si="38"/>
        <v>13.653827160493826</v>
      </c>
      <c r="U267">
        <f t="shared" si="39"/>
        <v>16.304717703703702</v>
      </c>
      <c r="X267" s="9"/>
      <c r="Y267" s="22">
        <v>0.40588400000000002</v>
      </c>
      <c r="Z267" s="22">
        <v>16.5488</v>
      </c>
      <c r="AA267" s="22">
        <v>-1.33942E-2</v>
      </c>
      <c r="AB267" s="22">
        <v>257</v>
      </c>
      <c r="AC267" s="22">
        <v>0.40524300000000002</v>
      </c>
      <c r="AD267">
        <f t="shared" si="40"/>
        <v>16.536049382716048</v>
      </c>
      <c r="AE267">
        <f t="shared" si="41"/>
        <v>6.711717867654321</v>
      </c>
      <c r="AF267" s="9"/>
      <c r="AG267" s="22">
        <v>1.19415</v>
      </c>
      <c r="AH267" s="22">
        <v>20.166499999999999</v>
      </c>
      <c r="AI267" s="22">
        <v>-1.09833E-2</v>
      </c>
      <c r="AJ267" s="22">
        <v>257</v>
      </c>
      <c r="AK267" s="22">
        <v>1.1932400000000001</v>
      </c>
      <c r="AL267">
        <f t="shared" si="42"/>
        <v>13.559629629629628</v>
      </c>
      <c r="AM267">
        <f t="shared" si="43"/>
        <v>16.192231722222221</v>
      </c>
      <c r="AP267" s="9"/>
      <c r="AQ267" s="22">
        <v>0.40588400000000002</v>
      </c>
      <c r="AR267" s="22">
        <v>25.484000000000002</v>
      </c>
      <c r="AS267" s="22">
        <v>-1.3302599999999999E-2</v>
      </c>
      <c r="AT267" s="22">
        <v>257</v>
      </c>
      <c r="AU267" s="22">
        <v>0.40524300000000002</v>
      </c>
      <c r="AV267">
        <f t="shared" si="44"/>
        <v>16.422962962962963</v>
      </c>
      <c r="AW267">
        <f t="shared" si="45"/>
        <v>6.6658178992592596</v>
      </c>
      <c r="AX267" s="9"/>
      <c r="AY267" s="22">
        <v>1.19415</v>
      </c>
      <c r="AZ267" s="22">
        <v>29.101800000000001</v>
      </c>
      <c r="BA267" s="22">
        <v>-1.12488E-2</v>
      </c>
      <c r="BB267" s="22">
        <v>257</v>
      </c>
      <c r="BC267" s="22">
        <v>1.1932400000000001</v>
      </c>
      <c r="BD267">
        <f t="shared" si="46"/>
        <v>13.887407407407405</v>
      </c>
      <c r="BE267">
        <f t="shared" si="47"/>
        <v>16.583647555555554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7.6646400000000003</v>
      </c>
      <c r="I268" s="22">
        <v>-1.3339200000000001E-2</v>
      </c>
      <c r="J268" s="22">
        <v>258</v>
      </c>
      <c r="K268" s="22">
        <v>0.40023799999999998</v>
      </c>
      <c r="L268">
        <f t="shared" ref="L268:L331" si="48">-I268/$F$2*1000</f>
        <v>16.468148148148149</v>
      </c>
      <c r="M268">
        <f t="shared" ref="M268:M331" si="49">L268*G268</f>
        <v>6.6012242488888893</v>
      </c>
      <c r="N268" s="9"/>
      <c r="O268" s="22">
        <v>1.19919</v>
      </c>
      <c r="P268" s="22">
        <v>11.282400000000001</v>
      </c>
      <c r="Q268" s="22">
        <v>-1.10107E-2</v>
      </c>
      <c r="R268" s="22">
        <v>258</v>
      </c>
      <c r="S268" s="22">
        <v>1.19781</v>
      </c>
      <c r="T268">
        <f t="shared" ref="T268:T331" si="50">-Q268/$F$2*1000</f>
        <v>13.593456790123456</v>
      </c>
      <c r="U268">
        <f t="shared" ref="U268:U331" si="51">T268*O268</f>
        <v>16.301137448148147</v>
      </c>
      <c r="X268" s="9"/>
      <c r="Y268" s="22">
        <v>0.40084799999999998</v>
      </c>
      <c r="Z268" s="22">
        <v>16.558800000000002</v>
      </c>
      <c r="AA268" s="22">
        <v>-1.33942E-2</v>
      </c>
      <c r="AB268" s="22">
        <v>258</v>
      </c>
      <c r="AC268" s="22">
        <v>0.40020800000000001</v>
      </c>
      <c r="AD268">
        <f t="shared" ref="AD268:AD331" si="52">-AA268/$F$2*1000</f>
        <v>16.536049382716048</v>
      </c>
      <c r="AE268">
        <f t="shared" ref="AE268:AE331" si="53">AD268*Y268</f>
        <v>6.6284423229629619</v>
      </c>
      <c r="AF268" s="9"/>
      <c r="AG268" s="22">
        <v>1.19919</v>
      </c>
      <c r="AH268" s="22">
        <v>20.176600000000001</v>
      </c>
      <c r="AI268" s="22">
        <v>-1.09436E-2</v>
      </c>
      <c r="AJ268" s="22">
        <v>258</v>
      </c>
      <c r="AK268" s="22">
        <v>1.1981200000000001</v>
      </c>
      <c r="AL268">
        <f t="shared" ref="AL268:AL331" si="54">-AI268/$F$2*1000</f>
        <v>13.510617283950616</v>
      </c>
      <c r="AM268">
        <f t="shared" ref="AM268:AM331" si="55">AL268*AG268</f>
        <v>16.201797140740737</v>
      </c>
      <c r="AP268" s="9"/>
      <c r="AQ268" s="22">
        <v>0.40084799999999998</v>
      </c>
      <c r="AR268" s="22">
        <v>25.4941</v>
      </c>
      <c r="AS268" s="22">
        <v>-1.32996E-2</v>
      </c>
      <c r="AT268" s="22">
        <v>258</v>
      </c>
      <c r="AU268" s="22">
        <v>0.40023799999999998</v>
      </c>
      <c r="AV268">
        <f t="shared" ref="AV268:AV331" si="56">-AS268/$F$2*1000</f>
        <v>16.41925925925926</v>
      </c>
      <c r="AW268">
        <f t="shared" ref="AW268:AW331" si="57">AV268*AQ268</f>
        <v>6.5816272355555556</v>
      </c>
      <c r="AX268" s="9"/>
      <c r="AY268" s="22">
        <v>1.19919</v>
      </c>
      <c r="AZ268" s="22">
        <v>29.111799999999999</v>
      </c>
      <c r="BA268" s="22">
        <v>-1.12122E-2</v>
      </c>
      <c r="BB268" s="22">
        <v>258</v>
      </c>
      <c r="BC268" s="22">
        <v>1.1981200000000001</v>
      </c>
      <c r="BD268">
        <f t="shared" ref="BD268:BD331" si="58">-BA268/$F$2*1000</f>
        <v>13.842222222222221</v>
      </c>
      <c r="BE268">
        <f t="shared" ref="BE268:BE331" si="59">BD268*AY268</f>
        <v>16.599454466666664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7.6747100000000001</v>
      </c>
      <c r="I269" s="22">
        <v>-1.33423E-2</v>
      </c>
      <c r="J269" s="22">
        <v>259</v>
      </c>
      <c r="K269" s="22">
        <v>0.39517200000000002</v>
      </c>
      <c r="L269">
        <f t="shared" si="48"/>
        <v>16.471975308641973</v>
      </c>
      <c r="M269">
        <f t="shared" si="49"/>
        <v>6.5198219628395053</v>
      </c>
      <c r="N269" s="9"/>
      <c r="O269" s="22">
        <v>1.2042200000000001</v>
      </c>
      <c r="P269" s="22">
        <v>11.2925</v>
      </c>
      <c r="Q269" s="22">
        <v>-1.0965000000000001E-2</v>
      </c>
      <c r="R269" s="22">
        <v>259</v>
      </c>
      <c r="S269" s="22">
        <v>1.2027000000000001</v>
      </c>
      <c r="T269">
        <f t="shared" si="50"/>
        <v>13.537037037037036</v>
      </c>
      <c r="U269">
        <f t="shared" si="51"/>
        <v>16.30157074074074</v>
      </c>
      <c r="X269" s="9"/>
      <c r="Y269" s="22">
        <v>0.39581300000000003</v>
      </c>
      <c r="Z269" s="22">
        <v>16.568899999999999</v>
      </c>
      <c r="AA269" s="22">
        <v>-1.33881E-2</v>
      </c>
      <c r="AB269" s="22">
        <v>259</v>
      </c>
      <c r="AC269" s="22">
        <v>0.395233</v>
      </c>
      <c r="AD269">
        <f t="shared" si="52"/>
        <v>16.528518518518517</v>
      </c>
      <c r="AE269">
        <f t="shared" si="53"/>
        <v>6.5422025003703705</v>
      </c>
      <c r="AF269" s="9"/>
      <c r="AG269" s="22">
        <v>1.2042200000000001</v>
      </c>
      <c r="AH269" s="22">
        <v>20.186699999999998</v>
      </c>
      <c r="AI269" s="22">
        <v>-1.091E-2</v>
      </c>
      <c r="AJ269" s="22">
        <v>259</v>
      </c>
      <c r="AK269" s="22">
        <v>1.2036100000000001</v>
      </c>
      <c r="AL269">
        <f t="shared" si="54"/>
        <v>13.469135802469134</v>
      </c>
      <c r="AM269">
        <f t="shared" si="55"/>
        <v>16.219802716049383</v>
      </c>
      <c r="AP269" s="9"/>
      <c r="AQ269" s="22">
        <v>0.39581300000000003</v>
      </c>
      <c r="AR269" s="22">
        <v>25.504100000000001</v>
      </c>
      <c r="AS269" s="22">
        <v>-1.33087E-2</v>
      </c>
      <c r="AT269" s="22">
        <v>259</v>
      </c>
      <c r="AU269" s="22">
        <v>0.39517200000000002</v>
      </c>
      <c r="AV269">
        <f t="shared" si="56"/>
        <v>16.430493827160493</v>
      </c>
      <c r="AW269">
        <f t="shared" si="57"/>
        <v>6.503403053209877</v>
      </c>
      <c r="AX269" s="9"/>
      <c r="AY269" s="22">
        <v>1.2042200000000001</v>
      </c>
      <c r="AZ269" s="22">
        <v>29.1219</v>
      </c>
      <c r="BA269" s="22">
        <v>-1.11664E-2</v>
      </c>
      <c r="BB269" s="22">
        <v>259</v>
      </c>
      <c r="BC269" s="22">
        <v>1.2027000000000001</v>
      </c>
      <c r="BD269">
        <f t="shared" si="58"/>
        <v>13.785679012345678</v>
      </c>
      <c r="BE269">
        <f t="shared" si="59"/>
        <v>16.600990380246913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7.6847799999999999</v>
      </c>
      <c r="I270" s="22">
        <v>-1.33423E-2</v>
      </c>
      <c r="J270" s="22">
        <v>260</v>
      </c>
      <c r="K270" s="22">
        <v>0.39016699999999999</v>
      </c>
      <c r="L270">
        <f t="shared" si="48"/>
        <v>16.471975308641973</v>
      </c>
      <c r="M270">
        <f t="shared" si="49"/>
        <v>6.436885567160493</v>
      </c>
      <c r="N270" s="9"/>
      <c r="O270" s="22">
        <v>1.20926</v>
      </c>
      <c r="P270" s="22">
        <v>11.3025</v>
      </c>
      <c r="Q270" s="22">
        <v>-1.09161E-2</v>
      </c>
      <c r="R270" s="22">
        <v>260</v>
      </c>
      <c r="S270" s="22">
        <v>1.2084999999999999</v>
      </c>
      <c r="T270">
        <f t="shared" si="50"/>
        <v>13.476666666666667</v>
      </c>
      <c r="U270">
        <f t="shared" si="51"/>
        <v>16.296793933333333</v>
      </c>
      <c r="X270" s="9"/>
      <c r="Y270" s="22">
        <v>0.39077800000000001</v>
      </c>
      <c r="Z270" s="22">
        <v>16.579000000000001</v>
      </c>
      <c r="AA270" s="22">
        <v>-1.3378900000000001E-2</v>
      </c>
      <c r="AB270" s="22">
        <v>260</v>
      </c>
      <c r="AC270" s="22">
        <v>0.39025900000000002</v>
      </c>
      <c r="AD270">
        <f t="shared" si="52"/>
        <v>16.517160493827159</v>
      </c>
      <c r="AE270">
        <f t="shared" si="53"/>
        <v>6.45454294345679</v>
      </c>
      <c r="AF270" s="9"/>
      <c r="AG270" s="22">
        <v>1.20926</v>
      </c>
      <c r="AH270" s="22">
        <v>20.1968</v>
      </c>
      <c r="AI270" s="22">
        <v>-1.0870400000000001E-2</v>
      </c>
      <c r="AJ270" s="22">
        <v>260</v>
      </c>
      <c r="AK270" s="22">
        <v>1.2078899999999999</v>
      </c>
      <c r="AL270">
        <f t="shared" si="54"/>
        <v>13.420246913580247</v>
      </c>
      <c r="AM270">
        <f t="shared" si="55"/>
        <v>16.228567782716048</v>
      </c>
      <c r="AP270" s="9"/>
      <c r="AQ270" s="22">
        <v>0.39077800000000001</v>
      </c>
      <c r="AR270" s="22">
        <v>25.514199999999999</v>
      </c>
      <c r="AS270" s="22">
        <v>-1.33087E-2</v>
      </c>
      <c r="AT270" s="22">
        <v>260</v>
      </c>
      <c r="AU270" s="22">
        <v>0.39019799999999999</v>
      </c>
      <c r="AV270">
        <f t="shared" si="56"/>
        <v>16.430493827160493</v>
      </c>
      <c r="AW270">
        <f t="shared" si="57"/>
        <v>6.4206755167901237</v>
      </c>
      <c r="AX270" s="9"/>
      <c r="AY270" s="22">
        <v>1.20926</v>
      </c>
      <c r="AZ270" s="22">
        <v>29.132000000000001</v>
      </c>
      <c r="BA270" s="22">
        <v>-1.11206E-2</v>
      </c>
      <c r="BB270" s="22">
        <v>260</v>
      </c>
      <c r="BC270" s="22">
        <v>1.2084999999999999</v>
      </c>
      <c r="BD270">
        <f t="shared" si="58"/>
        <v>13.729135802469134</v>
      </c>
      <c r="BE270">
        <f t="shared" si="59"/>
        <v>16.602094760493824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7.6948499999999997</v>
      </c>
      <c r="I271" s="22">
        <v>-1.33484E-2</v>
      </c>
      <c r="J271" s="22">
        <v>261</v>
      </c>
      <c r="K271" s="22">
        <v>0.385071</v>
      </c>
      <c r="L271">
        <f t="shared" si="48"/>
        <v>16.479506172839503</v>
      </c>
      <c r="M271">
        <f t="shared" si="49"/>
        <v>6.356837670123455</v>
      </c>
      <c r="N271" s="9"/>
      <c r="O271" s="22">
        <v>1.2142900000000001</v>
      </c>
      <c r="P271" s="22">
        <v>11.3126</v>
      </c>
      <c r="Q271" s="22">
        <v>-1.0870400000000001E-2</v>
      </c>
      <c r="R271" s="22">
        <v>261</v>
      </c>
      <c r="S271" s="22">
        <v>1.2133799999999999</v>
      </c>
      <c r="T271">
        <f t="shared" si="50"/>
        <v>13.420246913580247</v>
      </c>
      <c r="U271">
        <f t="shared" si="51"/>
        <v>16.296071624691358</v>
      </c>
      <c r="X271" s="9"/>
      <c r="Y271" s="22">
        <v>0.38574199999999997</v>
      </c>
      <c r="Z271" s="22">
        <v>16.589099999999998</v>
      </c>
      <c r="AA271" s="22">
        <v>-1.3372800000000001E-2</v>
      </c>
      <c r="AB271" s="22">
        <v>261</v>
      </c>
      <c r="AC271" s="22">
        <v>0.385162</v>
      </c>
      <c r="AD271">
        <f t="shared" si="52"/>
        <v>16.509629629629632</v>
      </c>
      <c r="AE271">
        <f t="shared" si="53"/>
        <v>6.3684575525925933</v>
      </c>
      <c r="AF271" s="9"/>
      <c r="AG271" s="22">
        <v>1.2142900000000001</v>
      </c>
      <c r="AH271" s="22">
        <v>20.206800000000001</v>
      </c>
      <c r="AI271" s="22">
        <v>-1.08307E-2</v>
      </c>
      <c r="AJ271" s="22">
        <v>261</v>
      </c>
      <c r="AK271" s="22">
        <v>1.2133799999999999</v>
      </c>
      <c r="AL271">
        <f t="shared" si="54"/>
        <v>13.371234567901235</v>
      </c>
      <c r="AM271">
        <f t="shared" si="55"/>
        <v>16.23655642345679</v>
      </c>
      <c r="AP271" s="9"/>
      <c r="AQ271" s="22">
        <v>0.38574199999999997</v>
      </c>
      <c r="AR271" s="22">
        <v>25.5243</v>
      </c>
      <c r="AS271" s="22">
        <v>-1.3302599999999999E-2</v>
      </c>
      <c r="AT271" s="22">
        <v>261</v>
      </c>
      <c r="AU271" s="22">
        <v>0.38519300000000001</v>
      </c>
      <c r="AV271">
        <f t="shared" si="56"/>
        <v>16.422962962962963</v>
      </c>
      <c r="AW271">
        <f t="shared" si="57"/>
        <v>6.3350265792592584</v>
      </c>
      <c r="AX271" s="9"/>
      <c r="AY271" s="22">
        <v>1.2142900000000001</v>
      </c>
      <c r="AZ271" s="22">
        <v>29.142099999999999</v>
      </c>
      <c r="BA271" s="22">
        <v>-1.1065699999999999E-2</v>
      </c>
      <c r="BB271" s="22">
        <v>261</v>
      </c>
      <c r="BC271" s="22">
        <v>1.2133799999999999</v>
      </c>
      <c r="BD271">
        <f t="shared" si="58"/>
        <v>13.661358024691356</v>
      </c>
      <c r="BE271">
        <f t="shared" si="59"/>
        <v>16.588850435802467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7.7049200000000004</v>
      </c>
      <c r="I272" s="22">
        <v>-1.33575E-2</v>
      </c>
      <c r="J272" s="22">
        <v>262</v>
      </c>
      <c r="K272" s="22">
        <v>0.38012699999999999</v>
      </c>
      <c r="L272">
        <f t="shared" si="48"/>
        <v>16.49074074074074</v>
      </c>
      <c r="M272">
        <f t="shared" si="49"/>
        <v>6.2781404351851853</v>
      </c>
      <c r="N272" s="9"/>
      <c r="O272" s="22">
        <v>1.21933</v>
      </c>
      <c r="P272" s="22">
        <v>11.322699999999999</v>
      </c>
      <c r="Q272" s="22">
        <v>-1.08246E-2</v>
      </c>
      <c r="R272" s="22">
        <v>262</v>
      </c>
      <c r="S272" s="22">
        <v>1.2179599999999999</v>
      </c>
      <c r="T272">
        <f t="shared" si="50"/>
        <v>13.363703703703703</v>
      </c>
      <c r="U272">
        <f t="shared" si="51"/>
        <v>16.294764837037036</v>
      </c>
      <c r="X272" s="9"/>
      <c r="Y272" s="22">
        <v>0.38070700000000002</v>
      </c>
      <c r="Z272" s="22">
        <v>16.5991</v>
      </c>
      <c r="AA272" s="22">
        <v>-1.3378900000000001E-2</v>
      </c>
      <c r="AB272" s="22">
        <v>262</v>
      </c>
      <c r="AC272" s="22">
        <v>0.38006600000000001</v>
      </c>
      <c r="AD272">
        <f t="shared" si="52"/>
        <v>16.517160493827159</v>
      </c>
      <c r="AE272">
        <f t="shared" si="53"/>
        <v>6.288198620123457</v>
      </c>
      <c r="AF272" s="9"/>
      <c r="AG272" s="22">
        <v>1.21933</v>
      </c>
      <c r="AH272" s="22">
        <v>20.216899999999999</v>
      </c>
      <c r="AI272" s="22">
        <v>-1.07849E-2</v>
      </c>
      <c r="AJ272" s="22">
        <v>262</v>
      </c>
      <c r="AK272" s="22">
        <v>1.2176499999999999</v>
      </c>
      <c r="AL272">
        <f t="shared" si="54"/>
        <v>13.314691358024691</v>
      </c>
      <c r="AM272">
        <f t="shared" si="55"/>
        <v>16.235002613580246</v>
      </c>
      <c r="AP272" s="9"/>
      <c r="AQ272" s="22">
        <v>0.38070700000000002</v>
      </c>
      <c r="AR272" s="22">
        <v>25.534400000000002</v>
      </c>
      <c r="AS272" s="22">
        <v>-1.3302599999999999E-2</v>
      </c>
      <c r="AT272" s="22">
        <v>262</v>
      </c>
      <c r="AU272" s="22">
        <v>0.38009599999999999</v>
      </c>
      <c r="AV272">
        <f t="shared" si="56"/>
        <v>16.422962962962963</v>
      </c>
      <c r="AW272">
        <f t="shared" si="57"/>
        <v>6.2523369607407409</v>
      </c>
      <c r="AX272" s="9"/>
      <c r="AY272" s="22">
        <v>1.21933</v>
      </c>
      <c r="AZ272" s="22">
        <v>29.152100000000001</v>
      </c>
      <c r="BA272" s="22">
        <v>-1.10229E-2</v>
      </c>
      <c r="BB272" s="22">
        <v>262</v>
      </c>
      <c r="BC272" s="22">
        <v>1.2185699999999999</v>
      </c>
      <c r="BD272">
        <f t="shared" si="58"/>
        <v>13.608518518518519</v>
      </c>
      <c r="BE272">
        <f t="shared" si="59"/>
        <v>16.593274885185185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7.7149900000000002</v>
      </c>
      <c r="I273" s="22">
        <v>-1.33667E-2</v>
      </c>
      <c r="J273" s="22">
        <v>263</v>
      </c>
      <c r="K273" s="22">
        <v>0.375031</v>
      </c>
      <c r="L273">
        <f t="shared" si="48"/>
        <v>16.502098765432098</v>
      </c>
      <c r="M273">
        <f t="shared" si="49"/>
        <v>6.1993599453086414</v>
      </c>
      <c r="N273" s="9"/>
      <c r="O273" s="22">
        <v>1.22437</v>
      </c>
      <c r="P273" s="22">
        <v>11.332800000000001</v>
      </c>
      <c r="Q273" s="22">
        <v>-1.07727E-2</v>
      </c>
      <c r="R273" s="22">
        <v>263</v>
      </c>
      <c r="S273" s="22">
        <v>1.2234499999999999</v>
      </c>
      <c r="T273">
        <f t="shared" si="50"/>
        <v>13.299629629629628</v>
      </c>
      <c r="U273">
        <f t="shared" si="51"/>
        <v>16.283667529629628</v>
      </c>
      <c r="X273" s="9"/>
      <c r="Y273" s="22">
        <v>0.37567099999999998</v>
      </c>
      <c r="Z273" s="22">
        <v>16.609200000000001</v>
      </c>
      <c r="AA273" s="22">
        <v>-1.3378900000000001E-2</v>
      </c>
      <c r="AB273" s="22">
        <v>263</v>
      </c>
      <c r="AC273" s="22">
        <v>0.37509199999999998</v>
      </c>
      <c r="AD273">
        <f t="shared" si="52"/>
        <v>16.517160493827159</v>
      </c>
      <c r="AE273">
        <f t="shared" si="53"/>
        <v>6.2050181998765428</v>
      </c>
      <c r="AF273" s="9"/>
      <c r="AG273" s="22">
        <v>1.22437</v>
      </c>
      <c r="AH273" s="22">
        <v>20.227</v>
      </c>
      <c r="AI273" s="22">
        <v>-1.07422E-2</v>
      </c>
      <c r="AJ273" s="22">
        <v>263</v>
      </c>
      <c r="AK273" s="22">
        <v>1.2234499999999999</v>
      </c>
      <c r="AL273">
        <f t="shared" si="54"/>
        <v>13.261975308641976</v>
      </c>
      <c r="AM273">
        <f t="shared" si="55"/>
        <v>16.237564708641976</v>
      </c>
      <c r="AP273" s="9"/>
      <c r="AQ273" s="22">
        <v>0.37567099999999998</v>
      </c>
      <c r="AR273" s="22">
        <v>25.5444</v>
      </c>
      <c r="AS273" s="22">
        <v>-1.33148E-2</v>
      </c>
      <c r="AT273" s="22">
        <v>263</v>
      </c>
      <c r="AU273" s="22">
        <v>0.37509199999999998</v>
      </c>
      <c r="AV273">
        <f t="shared" si="56"/>
        <v>16.438024691358024</v>
      </c>
      <c r="AW273">
        <f t="shared" si="57"/>
        <v>6.17528917382716</v>
      </c>
      <c r="AX273" s="9"/>
      <c r="AY273" s="22">
        <v>1.22437</v>
      </c>
      <c r="AZ273" s="22">
        <v>29.162199999999999</v>
      </c>
      <c r="BA273" s="22">
        <v>-1.0974100000000001E-2</v>
      </c>
      <c r="BB273" s="22">
        <v>263</v>
      </c>
      <c r="BC273" s="22">
        <v>1.2234499999999999</v>
      </c>
      <c r="BD273">
        <f t="shared" si="58"/>
        <v>13.548271604938272</v>
      </c>
      <c r="BE273">
        <f t="shared" si="59"/>
        <v>16.58809730493827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7.72506</v>
      </c>
      <c r="I274" s="22">
        <v>-1.33759E-2</v>
      </c>
      <c r="J274" s="22">
        <v>264</v>
      </c>
      <c r="K274" s="22">
        <v>0.36999500000000002</v>
      </c>
      <c r="L274">
        <f t="shared" si="48"/>
        <v>16.513456790123456</v>
      </c>
      <c r="M274">
        <f t="shared" si="49"/>
        <v>6.1204815708641975</v>
      </c>
      <c r="N274" s="9"/>
      <c r="O274" s="22">
        <v>1.2294</v>
      </c>
      <c r="P274" s="22">
        <v>11.3428</v>
      </c>
      <c r="Q274" s="22">
        <v>-1.07239E-2</v>
      </c>
      <c r="R274" s="22">
        <v>264</v>
      </c>
      <c r="S274" s="22">
        <v>1.22864</v>
      </c>
      <c r="T274">
        <f t="shared" si="50"/>
        <v>13.239382716049382</v>
      </c>
      <c r="U274">
        <f t="shared" si="51"/>
        <v>16.276497111111112</v>
      </c>
      <c r="X274" s="9"/>
      <c r="Y274" s="22">
        <v>0.37063600000000002</v>
      </c>
      <c r="Z274" s="22">
        <v>16.619299999999999</v>
      </c>
      <c r="AA274" s="22">
        <v>-1.3382E-2</v>
      </c>
      <c r="AB274" s="22">
        <v>264</v>
      </c>
      <c r="AC274" s="22">
        <v>0.370087</v>
      </c>
      <c r="AD274">
        <f t="shared" si="52"/>
        <v>16.520987654320987</v>
      </c>
      <c r="AE274">
        <f t="shared" si="53"/>
        <v>6.1232727802469133</v>
      </c>
      <c r="AF274" s="9"/>
      <c r="AG274" s="22">
        <v>1.2294</v>
      </c>
      <c r="AH274" s="22">
        <v>20.236999999999998</v>
      </c>
      <c r="AI274" s="22">
        <v>-1.0699500000000001E-2</v>
      </c>
      <c r="AJ274" s="22">
        <v>264</v>
      </c>
      <c r="AK274" s="22">
        <v>1.2283299999999999</v>
      </c>
      <c r="AL274">
        <f t="shared" si="54"/>
        <v>13.209259259259259</v>
      </c>
      <c r="AM274">
        <f t="shared" si="55"/>
        <v>16.239463333333333</v>
      </c>
      <c r="AP274" s="9"/>
      <c r="AQ274" s="22">
        <v>0.37063600000000002</v>
      </c>
      <c r="AR274" s="22">
        <v>25.554500000000001</v>
      </c>
      <c r="AS274" s="22">
        <v>-1.3324000000000001E-2</v>
      </c>
      <c r="AT274" s="22">
        <v>264</v>
      </c>
      <c r="AU274" s="22">
        <v>0.37002600000000002</v>
      </c>
      <c r="AV274">
        <f t="shared" si="56"/>
        <v>16.449382716049382</v>
      </c>
      <c r="AW274">
        <f t="shared" si="57"/>
        <v>6.0967334123456789</v>
      </c>
      <c r="AX274" s="9"/>
      <c r="AY274" s="22">
        <v>1.2294</v>
      </c>
      <c r="AZ274" s="22">
        <v>29.1723</v>
      </c>
      <c r="BA274" s="22">
        <v>-1.0925300000000001E-2</v>
      </c>
      <c r="BB274" s="22">
        <v>264</v>
      </c>
      <c r="BC274" s="22">
        <v>1.2283299999999999</v>
      </c>
      <c r="BD274">
        <f t="shared" si="58"/>
        <v>13.488024691358024</v>
      </c>
      <c r="BE274">
        <f t="shared" si="59"/>
        <v>16.582177555555557</v>
      </c>
    </row>
    <row r="275" spans="6:101">
      <c r="F275" s="9"/>
      <c r="G275" s="22">
        <v>0.36560100000000001</v>
      </c>
      <c r="H275" s="22">
        <v>7.7351299999999998</v>
      </c>
      <c r="I275" s="22">
        <v>-1.3372800000000001E-2</v>
      </c>
      <c r="J275" s="22">
        <v>265</v>
      </c>
      <c r="K275" s="22">
        <v>0.36505100000000001</v>
      </c>
      <c r="L275">
        <f t="shared" si="48"/>
        <v>16.509629629629632</v>
      </c>
      <c r="M275">
        <f t="shared" si="49"/>
        <v>6.0359371022222232</v>
      </c>
      <c r="N275" s="9"/>
      <c r="O275" s="22">
        <v>1.23444</v>
      </c>
      <c r="P275" s="22">
        <v>11.3529</v>
      </c>
      <c r="Q275" s="22">
        <v>-1.0675E-2</v>
      </c>
      <c r="R275" s="22">
        <v>265</v>
      </c>
      <c r="S275" s="22">
        <v>1.23383</v>
      </c>
      <c r="T275">
        <f t="shared" si="50"/>
        <v>13.179012345679013</v>
      </c>
      <c r="U275">
        <f t="shared" si="51"/>
        <v>16.268699999999999</v>
      </c>
      <c r="X275" s="9"/>
      <c r="Y275" s="22">
        <v>0.36560100000000001</v>
      </c>
      <c r="Z275" s="22">
        <v>16.629300000000001</v>
      </c>
      <c r="AA275" s="22">
        <v>-1.3384999999999999E-2</v>
      </c>
      <c r="AB275" s="22">
        <v>265</v>
      </c>
      <c r="AC275" s="22">
        <v>0.36496000000000001</v>
      </c>
      <c r="AD275">
        <f t="shared" si="52"/>
        <v>16.52469135802469</v>
      </c>
      <c r="AE275">
        <f t="shared" si="53"/>
        <v>6.0414436851851852</v>
      </c>
      <c r="AF275" s="9"/>
      <c r="AG275" s="22">
        <v>1.23444</v>
      </c>
      <c r="AH275" s="22">
        <v>20.2471</v>
      </c>
      <c r="AI275" s="22">
        <v>-1.06415E-2</v>
      </c>
      <c r="AJ275" s="22">
        <v>265</v>
      </c>
      <c r="AK275" s="22">
        <v>1.2335199999999999</v>
      </c>
      <c r="AL275">
        <f t="shared" si="54"/>
        <v>13.137654320987654</v>
      </c>
      <c r="AM275">
        <f t="shared" si="55"/>
        <v>16.217645999999998</v>
      </c>
      <c r="AP275" s="9"/>
      <c r="AQ275" s="22">
        <v>0.36560100000000001</v>
      </c>
      <c r="AR275" s="22">
        <v>25.564599999999999</v>
      </c>
      <c r="AS275" s="22">
        <v>-1.3317900000000001E-2</v>
      </c>
      <c r="AT275" s="22">
        <v>265</v>
      </c>
      <c r="AU275" s="22">
        <v>0.36498999999999998</v>
      </c>
      <c r="AV275">
        <f t="shared" si="56"/>
        <v>16.441851851851851</v>
      </c>
      <c r="AW275">
        <f t="shared" si="57"/>
        <v>6.0111574788888884</v>
      </c>
      <c r="AX275" s="9"/>
      <c r="AY275" s="22">
        <v>1.23444</v>
      </c>
      <c r="AZ275" s="22">
        <v>29.182300000000001</v>
      </c>
      <c r="BA275" s="22">
        <v>-1.0870400000000001E-2</v>
      </c>
      <c r="BB275" s="22">
        <v>265</v>
      </c>
      <c r="BC275" s="22">
        <v>1.23322</v>
      </c>
      <c r="BD275">
        <f t="shared" si="58"/>
        <v>13.420246913580247</v>
      </c>
      <c r="BE275">
        <f t="shared" si="59"/>
        <v>16.566489600000001</v>
      </c>
    </row>
    <row r="276" spans="6:101">
      <c r="F276" s="9"/>
      <c r="G276" s="22">
        <v>0.36056500000000002</v>
      </c>
      <c r="H276" s="22">
        <v>7.7452100000000002</v>
      </c>
      <c r="I276" s="22">
        <v>-1.3384999999999999E-2</v>
      </c>
      <c r="J276" s="22">
        <v>266</v>
      </c>
      <c r="K276" s="22">
        <v>0.359985</v>
      </c>
      <c r="L276">
        <f t="shared" si="48"/>
        <v>16.52469135802469</v>
      </c>
      <c r="M276">
        <f t="shared" si="49"/>
        <v>5.9582253395061731</v>
      </c>
      <c r="N276" s="9"/>
      <c r="O276" s="22">
        <v>1.2394700000000001</v>
      </c>
      <c r="P276" s="22">
        <v>11.363</v>
      </c>
      <c r="Q276" s="22">
        <v>-1.0623199999999999E-2</v>
      </c>
      <c r="R276" s="22">
        <v>266</v>
      </c>
      <c r="S276" s="22">
        <v>1.2377899999999999</v>
      </c>
      <c r="T276">
        <f t="shared" si="50"/>
        <v>13.115061728395061</v>
      </c>
      <c r="U276">
        <f t="shared" si="51"/>
        <v>16.255725560493826</v>
      </c>
      <c r="X276" s="9"/>
      <c r="Y276" s="22">
        <v>0.36056500000000002</v>
      </c>
      <c r="Z276" s="22">
        <v>16.639399999999998</v>
      </c>
      <c r="AA276" s="22">
        <v>-1.3382E-2</v>
      </c>
      <c r="AB276" s="22">
        <v>266</v>
      </c>
      <c r="AC276" s="22">
        <v>0.35989399999999999</v>
      </c>
      <c r="AD276">
        <f t="shared" si="52"/>
        <v>16.520987654320987</v>
      </c>
      <c r="AE276">
        <f t="shared" si="53"/>
        <v>5.9568899135802473</v>
      </c>
      <c r="AF276" s="9"/>
      <c r="AG276" s="22">
        <v>1.2394700000000001</v>
      </c>
      <c r="AH276" s="22">
        <v>20.257200000000001</v>
      </c>
      <c r="AI276" s="22">
        <v>-1.05865E-2</v>
      </c>
      <c r="AJ276" s="22">
        <v>266</v>
      </c>
      <c r="AK276" s="22">
        <v>1.2383999999999999</v>
      </c>
      <c r="AL276">
        <f t="shared" si="54"/>
        <v>13.069753086419754</v>
      </c>
      <c r="AM276">
        <f t="shared" si="55"/>
        <v>16.199566858024692</v>
      </c>
      <c r="AP276" s="9"/>
      <c r="AQ276" s="22">
        <v>0.36056500000000002</v>
      </c>
      <c r="AR276" s="22">
        <v>25.5746</v>
      </c>
      <c r="AS276" s="22">
        <v>-1.33118E-2</v>
      </c>
      <c r="AT276" s="22">
        <v>266</v>
      </c>
      <c r="AU276" s="22">
        <v>0.359985</v>
      </c>
      <c r="AV276">
        <f t="shared" si="56"/>
        <v>16.434320987654321</v>
      </c>
      <c r="AW276">
        <f t="shared" si="57"/>
        <v>5.9256409469135809</v>
      </c>
      <c r="AX276" s="9"/>
      <c r="AY276" s="22">
        <v>1.2394700000000001</v>
      </c>
      <c r="AZ276" s="22">
        <v>29.192399999999999</v>
      </c>
      <c r="BA276" s="22">
        <v>-1.08185E-2</v>
      </c>
      <c r="BB276" s="22">
        <v>266</v>
      </c>
      <c r="BC276" s="22">
        <v>1.23871</v>
      </c>
      <c r="BD276">
        <f t="shared" si="58"/>
        <v>13.356172839506172</v>
      </c>
      <c r="BE276">
        <f t="shared" si="59"/>
        <v>16.554575549382715</v>
      </c>
    </row>
    <row r="277" spans="6:101">
      <c r="F277" s="9"/>
      <c r="G277" s="22">
        <v>0.35553000000000001</v>
      </c>
      <c r="H277" s="22">
        <v>7.75528</v>
      </c>
      <c r="I277" s="22">
        <v>-1.3406400000000001E-2</v>
      </c>
      <c r="J277" s="22">
        <v>267</v>
      </c>
      <c r="K277" s="22">
        <v>0.35498000000000002</v>
      </c>
      <c r="L277">
        <f t="shared" si="48"/>
        <v>16.551111111111108</v>
      </c>
      <c r="M277">
        <f t="shared" si="49"/>
        <v>5.8844165333333329</v>
      </c>
      <c r="N277" s="9"/>
      <c r="O277" s="22">
        <v>1.24451</v>
      </c>
      <c r="P277" s="22">
        <v>11.372999999999999</v>
      </c>
      <c r="Q277" s="22">
        <v>-1.05682E-2</v>
      </c>
      <c r="R277" s="22">
        <v>267</v>
      </c>
      <c r="S277" s="22">
        <v>1.24359</v>
      </c>
      <c r="T277">
        <f t="shared" si="50"/>
        <v>13.04716049382716</v>
      </c>
      <c r="U277">
        <f t="shared" si="51"/>
        <v>16.237321706172839</v>
      </c>
      <c r="X277" s="9"/>
      <c r="Y277" s="22">
        <v>0.35553000000000001</v>
      </c>
      <c r="Z277" s="22">
        <v>16.6495</v>
      </c>
      <c r="AA277" s="22">
        <v>-1.3378900000000001E-2</v>
      </c>
      <c r="AB277" s="22">
        <v>267</v>
      </c>
      <c r="AC277" s="22">
        <v>0.35494999999999999</v>
      </c>
      <c r="AD277">
        <f t="shared" si="52"/>
        <v>16.517160493827159</v>
      </c>
      <c r="AE277">
        <f t="shared" si="53"/>
        <v>5.8723460703703703</v>
      </c>
      <c r="AF277" s="9"/>
      <c r="AG277" s="22">
        <v>1.24451</v>
      </c>
      <c r="AH277" s="22">
        <v>20.267299999999999</v>
      </c>
      <c r="AI277" s="22">
        <v>-1.0528600000000001E-2</v>
      </c>
      <c r="AJ277" s="22">
        <v>267</v>
      </c>
      <c r="AK277" s="22">
        <v>1.2442</v>
      </c>
      <c r="AL277">
        <f t="shared" si="54"/>
        <v>12.998271604938271</v>
      </c>
      <c r="AM277">
        <f t="shared" si="55"/>
        <v>16.176478995061728</v>
      </c>
      <c r="AP277" s="9"/>
      <c r="AQ277" s="22">
        <v>0.35553000000000001</v>
      </c>
      <c r="AR277" s="22">
        <v>25.584700000000002</v>
      </c>
      <c r="AS277" s="22">
        <v>-1.33087E-2</v>
      </c>
      <c r="AT277" s="22">
        <v>267</v>
      </c>
      <c r="AU277" s="22">
        <v>0.35498000000000002</v>
      </c>
      <c r="AV277">
        <f t="shared" si="56"/>
        <v>16.430493827160493</v>
      </c>
      <c r="AW277">
        <f t="shared" si="57"/>
        <v>5.8415334703703703</v>
      </c>
      <c r="AX277" s="9"/>
      <c r="AY277" s="22">
        <v>1.24451</v>
      </c>
      <c r="AZ277" s="22">
        <v>29.202500000000001</v>
      </c>
      <c r="BA277" s="22">
        <v>-1.07727E-2</v>
      </c>
      <c r="BB277" s="22">
        <v>267</v>
      </c>
      <c r="BC277" s="22">
        <v>1.24329</v>
      </c>
      <c r="BD277">
        <f t="shared" si="58"/>
        <v>13.299629629629628</v>
      </c>
      <c r="BE277">
        <f t="shared" si="59"/>
        <v>16.551522070370368</v>
      </c>
    </row>
    <row r="278" spans="6:101">
      <c r="F278" s="9"/>
      <c r="G278" s="22">
        <v>0.35049400000000003</v>
      </c>
      <c r="H278" s="22">
        <v>7.7653499999999998</v>
      </c>
      <c r="I278" s="22">
        <v>-1.3421600000000001E-2</v>
      </c>
      <c r="J278" s="22">
        <v>268</v>
      </c>
      <c r="K278" s="22">
        <v>0.34988399999999997</v>
      </c>
      <c r="L278">
        <f t="shared" si="48"/>
        <v>16.569876543209876</v>
      </c>
      <c r="M278">
        <f t="shared" si="49"/>
        <v>5.8076423091358027</v>
      </c>
      <c r="N278" s="9"/>
      <c r="O278" s="22">
        <v>1.2495400000000001</v>
      </c>
      <c r="P278" s="22">
        <v>11.383100000000001</v>
      </c>
      <c r="Q278" s="22">
        <v>-1.05103E-2</v>
      </c>
      <c r="R278" s="22">
        <v>268</v>
      </c>
      <c r="S278" s="22">
        <v>1.24817</v>
      </c>
      <c r="T278">
        <f t="shared" si="50"/>
        <v>12.97567901234568</v>
      </c>
      <c r="U278">
        <f t="shared" si="51"/>
        <v>16.213629953086421</v>
      </c>
      <c r="X278" s="9"/>
      <c r="Y278" s="22">
        <v>0.35049400000000003</v>
      </c>
      <c r="Z278" s="22">
        <v>16.659600000000001</v>
      </c>
      <c r="AA278" s="22">
        <v>-1.3378900000000001E-2</v>
      </c>
      <c r="AB278" s="22">
        <v>268</v>
      </c>
      <c r="AC278" s="22">
        <v>0.34994500000000001</v>
      </c>
      <c r="AD278">
        <f t="shared" si="52"/>
        <v>16.517160493827159</v>
      </c>
      <c r="AE278">
        <f t="shared" si="53"/>
        <v>5.789165650123457</v>
      </c>
      <c r="AF278" s="9"/>
      <c r="AG278" s="22">
        <v>1.2495400000000001</v>
      </c>
      <c r="AH278" s="22">
        <v>20.2773</v>
      </c>
      <c r="AI278" s="22">
        <v>-1.04736E-2</v>
      </c>
      <c r="AJ278" s="22">
        <v>268</v>
      </c>
      <c r="AK278" s="22">
        <v>1.24847</v>
      </c>
      <c r="AL278">
        <f t="shared" si="54"/>
        <v>12.930370370370369</v>
      </c>
      <c r="AM278">
        <f t="shared" si="55"/>
        <v>16.157014992592593</v>
      </c>
      <c r="AP278" s="9"/>
      <c r="AQ278" s="22">
        <v>0.35049400000000003</v>
      </c>
      <c r="AR278" s="22">
        <v>25.594799999999999</v>
      </c>
      <c r="AS278" s="22">
        <v>-1.3302599999999999E-2</v>
      </c>
      <c r="AT278" s="22">
        <v>268</v>
      </c>
      <c r="AU278" s="22">
        <v>0.34988399999999997</v>
      </c>
      <c r="AV278">
        <f t="shared" si="56"/>
        <v>16.422962962962963</v>
      </c>
      <c r="AW278">
        <f t="shared" si="57"/>
        <v>5.7561499807407408</v>
      </c>
      <c r="AX278" s="9"/>
      <c r="AY278" s="22">
        <v>1.2495400000000001</v>
      </c>
      <c r="AZ278" s="22">
        <v>29.212499999999999</v>
      </c>
      <c r="BA278" s="22">
        <v>-1.07361E-2</v>
      </c>
      <c r="BB278" s="22">
        <v>268</v>
      </c>
      <c r="BC278" s="22">
        <v>1.24847</v>
      </c>
      <c r="BD278">
        <f t="shared" si="58"/>
        <v>13.254444444444443</v>
      </c>
      <c r="BE278">
        <f t="shared" si="59"/>
        <v>16.561958511111111</v>
      </c>
    </row>
    <row r="279" spans="6:101">
      <c r="F279" s="9"/>
      <c r="G279" s="22">
        <v>0.34545900000000002</v>
      </c>
      <c r="H279" s="22">
        <v>7.7754200000000004</v>
      </c>
      <c r="I279" s="22">
        <v>-1.34369E-2</v>
      </c>
      <c r="J279" s="22">
        <v>269</v>
      </c>
      <c r="K279" s="22">
        <v>0.34484900000000002</v>
      </c>
      <c r="L279">
        <f t="shared" si="48"/>
        <v>16.588765432098764</v>
      </c>
      <c r="M279">
        <f t="shared" si="49"/>
        <v>5.7307383174074076</v>
      </c>
      <c r="N279" s="9"/>
      <c r="O279" s="22">
        <v>1.25458</v>
      </c>
      <c r="P279" s="22">
        <v>11.3932</v>
      </c>
      <c r="Q279" s="22">
        <v>-1.0461399999999999E-2</v>
      </c>
      <c r="R279" s="22">
        <v>269</v>
      </c>
      <c r="S279" s="22">
        <v>1.25336</v>
      </c>
      <c r="T279">
        <f t="shared" si="50"/>
        <v>12.915308641975306</v>
      </c>
      <c r="U279">
        <f t="shared" si="51"/>
        <v>16.20328791604938</v>
      </c>
      <c r="X279" s="9"/>
      <c r="Y279" s="22">
        <v>0.34545900000000002</v>
      </c>
      <c r="Z279" s="22">
        <v>16.669599999999999</v>
      </c>
      <c r="AA279" s="22">
        <v>-1.33881E-2</v>
      </c>
      <c r="AB279" s="22">
        <v>269</v>
      </c>
      <c r="AC279" s="22">
        <v>0.34487899999999999</v>
      </c>
      <c r="AD279">
        <f t="shared" si="52"/>
        <v>16.528518518518517</v>
      </c>
      <c r="AE279">
        <f t="shared" si="53"/>
        <v>5.7099254788888887</v>
      </c>
      <c r="AF279" s="9"/>
      <c r="AG279" s="22">
        <v>1.25458</v>
      </c>
      <c r="AH279" s="22">
        <v>20.287400000000002</v>
      </c>
      <c r="AI279" s="22">
        <v>-1.04218E-2</v>
      </c>
      <c r="AJ279" s="22">
        <v>269</v>
      </c>
      <c r="AK279" s="22">
        <v>1.25366</v>
      </c>
      <c r="AL279">
        <f t="shared" si="54"/>
        <v>12.866419753086419</v>
      </c>
      <c r="AM279">
        <f t="shared" si="55"/>
        <v>16.14195289382716</v>
      </c>
      <c r="AP279" s="9"/>
      <c r="AQ279" s="22">
        <v>0.34545900000000002</v>
      </c>
      <c r="AR279" s="22">
        <v>25.604800000000001</v>
      </c>
      <c r="AS279" s="22">
        <v>-1.33057E-2</v>
      </c>
      <c r="AT279" s="22">
        <v>269</v>
      </c>
      <c r="AU279" s="22">
        <v>0.34490999999999999</v>
      </c>
      <c r="AV279">
        <f t="shared" si="56"/>
        <v>16.42679012345679</v>
      </c>
      <c r="AW279">
        <f t="shared" si="57"/>
        <v>5.6747824892592593</v>
      </c>
      <c r="AX279" s="9"/>
      <c r="AY279" s="22">
        <v>1.25458</v>
      </c>
      <c r="AZ279" s="22">
        <v>29.2226</v>
      </c>
      <c r="BA279" s="22">
        <v>-1.06903E-2</v>
      </c>
      <c r="BB279" s="22">
        <v>269</v>
      </c>
      <c r="BC279" s="22">
        <v>1.25336</v>
      </c>
      <c r="BD279">
        <f t="shared" si="58"/>
        <v>13.197901234567899</v>
      </c>
      <c r="BE279">
        <f t="shared" si="59"/>
        <v>16.557822930864194</v>
      </c>
    </row>
    <row r="280" spans="6:101">
      <c r="F280" s="9"/>
      <c r="G280" s="22">
        <v>0.340424</v>
      </c>
      <c r="H280" s="22">
        <v>7.7854900000000002</v>
      </c>
      <c r="I280" s="22">
        <v>-1.34491E-2</v>
      </c>
      <c r="J280" s="22">
        <v>270</v>
      </c>
      <c r="K280" s="22">
        <v>0.339783</v>
      </c>
      <c r="L280">
        <f t="shared" si="48"/>
        <v>16.603827160493829</v>
      </c>
      <c r="M280">
        <f t="shared" si="49"/>
        <v>5.6523412572839513</v>
      </c>
      <c r="N280" s="9"/>
      <c r="O280" s="22">
        <v>1.2596099999999999</v>
      </c>
      <c r="P280" s="22">
        <v>11.4033</v>
      </c>
      <c r="Q280" s="22">
        <v>-1.04095E-2</v>
      </c>
      <c r="R280" s="22">
        <v>270</v>
      </c>
      <c r="S280" s="22">
        <v>1.25885</v>
      </c>
      <c r="T280">
        <f t="shared" si="50"/>
        <v>12.851234567901233</v>
      </c>
      <c r="U280">
        <f t="shared" si="51"/>
        <v>16.18754357407407</v>
      </c>
      <c r="X280" s="9"/>
      <c r="Y280" s="22">
        <v>0.340424</v>
      </c>
      <c r="Z280" s="22">
        <v>16.6797</v>
      </c>
      <c r="AA280" s="22">
        <v>-1.34033E-2</v>
      </c>
      <c r="AB280" s="22">
        <v>270</v>
      </c>
      <c r="AC280" s="22">
        <v>0.33981299999999998</v>
      </c>
      <c r="AD280">
        <f t="shared" si="52"/>
        <v>16.547283950617281</v>
      </c>
      <c r="AE280">
        <f t="shared" si="53"/>
        <v>5.633092591604937</v>
      </c>
      <c r="AF280" s="9"/>
      <c r="AG280" s="22">
        <v>1.2596099999999999</v>
      </c>
      <c r="AH280" s="22">
        <v>20.297499999999999</v>
      </c>
      <c r="AI280" s="22">
        <v>-1.03699E-2</v>
      </c>
      <c r="AJ280" s="22">
        <v>270</v>
      </c>
      <c r="AK280" s="22">
        <v>1.25885</v>
      </c>
      <c r="AL280">
        <f t="shared" si="54"/>
        <v>12.802345679012344</v>
      </c>
      <c r="AM280">
        <f t="shared" si="55"/>
        <v>16.125962640740738</v>
      </c>
      <c r="AP280" s="9"/>
      <c r="AQ280" s="22">
        <v>0.340424</v>
      </c>
      <c r="AR280" s="22">
        <v>25.614899999999999</v>
      </c>
      <c r="AS280" s="22">
        <v>-1.33057E-2</v>
      </c>
      <c r="AT280" s="22">
        <v>270</v>
      </c>
      <c r="AU280" s="22">
        <v>0.33981299999999998</v>
      </c>
      <c r="AV280">
        <f t="shared" si="56"/>
        <v>16.42679012345679</v>
      </c>
      <c r="AW280">
        <f t="shared" si="57"/>
        <v>5.5920736009876544</v>
      </c>
      <c r="AX280" s="9"/>
      <c r="AY280" s="22">
        <v>1.2596099999999999</v>
      </c>
      <c r="AZ280" s="22">
        <v>29.232700000000001</v>
      </c>
      <c r="BA280" s="22">
        <v>-1.06354E-2</v>
      </c>
      <c r="BB280" s="22">
        <v>270</v>
      </c>
      <c r="BC280" s="22">
        <v>1.25854</v>
      </c>
      <c r="BD280">
        <f t="shared" si="58"/>
        <v>13.130123456790121</v>
      </c>
      <c r="BE280">
        <f t="shared" si="59"/>
        <v>16.538834807407405</v>
      </c>
    </row>
    <row r="281" spans="6:101">
      <c r="F281" s="9"/>
      <c r="G281" s="22">
        <v>0.33538800000000002</v>
      </c>
      <c r="H281" s="22">
        <v>7.79556</v>
      </c>
      <c r="I281" s="22">
        <v>-1.34552E-2</v>
      </c>
      <c r="J281" s="22">
        <v>271</v>
      </c>
      <c r="K281" s="22">
        <v>0.33480799999999999</v>
      </c>
      <c r="L281">
        <f t="shared" si="48"/>
        <v>16.611358024691356</v>
      </c>
      <c r="M281">
        <f t="shared" si="49"/>
        <v>5.5712501451851848</v>
      </c>
      <c r="N281" s="9"/>
      <c r="O281" s="22">
        <v>1.2646500000000001</v>
      </c>
      <c r="P281" s="22">
        <v>11.4133</v>
      </c>
      <c r="Q281" s="22">
        <v>-1.03546E-2</v>
      </c>
      <c r="R281" s="22">
        <v>271</v>
      </c>
      <c r="S281" s="22">
        <v>1.2640400000000001</v>
      </c>
      <c r="T281">
        <f t="shared" si="50"/>
        <v>12.783456790123456</v>
      </c>
      <c r="U281">
        <f t="shared" si="51"/>
        <v>16.166598629629629</v>
      </c>
      <c r="X281" s="9"/>
      <c r="Y281" s="22">
        <v>0.33538800000000002</v>
      </c>
      <c r="Z281" s="22">
        <v>16.689800000000002</v>
      </c>
      <c r="AA281" s="22">
        <v>-1.3421600000000001E-2</v>
      </c>
      <c r="AB281" s="22">
        <v>271</v>
      </c>
      <c r="AC281" s="22">
        <v>0.33474700000000002</v>
      </c>
      <c r="AD281">
        <f t="shared" si="52"/>
        <v>16.569876543209876</v>
      </c>
      <c r="AE281">
        <f t="shared" si="53"/>
        <v>5.5573377540740738</v>
      </c>
      <c r="AF281" s="9"/>
      <c r="AG281" s="22">
        <v>1.2646500000000001</v>
      </c>
      <c r="AH281" s="22">
        <v>20.307500000000001</v>
      </c>
      <c r="AI281" s="22">
        <v>-1.0318000000000001E-2</v>
      </c>
      <c r="AJ281" s="22">
        <v>271</v>
      </c>
      <c r="AK281" s="22">
        <v>1.2634300000000001</v>
      </c>
      <c r="AL281">
        <f t="shared" si="54"/>
        <v>12.738271604938271</v>
      </c>
      <c r="AM281">
        <f t="shared" si="55"/>
        <v>16.109455185185187</v>
      </c>
      <c r="AP281" s="9"/>
      <c r="AQ281" s="22">
        <v>0.33538800000000002</v>
      </c>
      <c r="AR281" s="22">
        <v>25.625</v>
      </c>
      <c r="AS281" s="22">
        <v>-1.3302599999999999E-2</v>
      </c>
      <c r="AT281" s="22">
        <v>271</v>
      </c>
      <c r="AU281" s="22">
        <v>0.33477800000000002</v>
      </c>
      <c r="AV281">
        <f t="shared" si="56"/>
        <v>16.422962962962963</v>
      </c>
      <c r="AW281">
        <f t="shared" si="57"/>
        <v>5.5080647022222227</v>
      </c>
      <c r="AX281" s="9"/>
      <c r="AY281" s="22">
        <v>1.2646500000000001</v>
      </c>
      <c r="AZ281" s="22">
        <v>29.242799999999999</v>
      </c>
      <c r="BA281" s="22">
        <v>-1.05682E-2</v>
      </c>
      <c r="BB281" s="22">
        <v>271</v>
      </c>
      <c r="BC281" s="22">
        <v>1.2640400000000001</v>
      </c>
      <c r="BD281">
        <f t="shared" si="58"/>
        <v>13.04716049382716</v>
      </c>
      <c r="BE281">
        <f t="shared" si="59"/>
        <v>16.50009151851852</v>
      </c>
    </row>
    <row r="282" spans="6:101">
      <c r="F282" s="9"/>
      <c r="G282" s="22">
        <v>0.33035300000000001</v>
      </c>
      <c r="H282" s="22">
        <v>7.8056299999999998</v>
      </c>
      <c r="I282" s="22">
        <v>-1.34491E-2</v>
      </c>
      <c r="J282" s="22">
        <v>272</v>
      </c>
      <c r="K282" s="22">
        <v>0.32974199999999998</v>
      </c>
      <c r="L282">
        <f t="shared" si="48"/>
        <v>16.603827160493829</v>
      </c>
      <c r="M282">
        <f t="shared" si="49"/>
        <v>5.4851241139506177</v>
      </c>
      <c r="N282" s="9"/>
      <c r="O282" s="22">
        <v>1.2696799999999999</v>
      </c>
      <c r="P282" s="22">
        <v>11.423400000000001</v>
      </c>
      <c r="Q282" s="22">
        <v>-1.02966E-2</v>
      </c>
      <c r="R282" s="22">
        <v>272</v>
      </c>
      <c r="S282" s="22">
        <v>1.26892</v>
      </c>
      <c r="T282">
        <f t="shared" si="50"/>
        <v>12.711851851851851</v>
      </c>
      <c r="U282">
        <f t="shared" si="51"/>
        <v>16.139984059259255</v>
      </c>
      <c r="X282" s="9"/>
      <c r="Y282" s="22">
        <v>0.33035300000000001</v>
      </c>
      <c r="Z282" s="22">
        <v>16.6998</v>
      </c>
      <c r="AA282" s="22">
        <v>-1.3427700000000001E-2</v>
      </c>
      <c r="AB282" s="22">
        <v>272</v>
      </c>
      <c r="AC282" s="22">
        <v>0.32965100000000003</v>
      </c>
      <c r="AD282">
        <f t="shared" si="52"/>
        <v>16.57740740740741</v>
      </c>
      <c r="AE282">
        <f t="shared" si="53"/>
        <v>5.4763962692592605</v>
      </c>
      <c r="AF282" s="9"/>
      <c r="AG282" s="22">
        <v>1.2696799999999999</v>
      </c>
      <c r="AH282" s="22">
        <v>20.317599999999999</v>
      </c>
      <c r="AI282" s="22">
        <v>-1.02539E-2</v>
      </c>
      <c r="AJ282" s="22">
        <v>272</v>
      </c>
      <c r="AK282" s="22">
        <v>1.2686200000000001</v>
      </c>
      <c r="AL282">
        <f t="shared" si="54"/>
        <v>12.659135802469134</v>
      </c>
      <c r="AM282">
        <f t="shared" si="55"/>
        <v>16.073051545679007</v>
      </c>
      <c r="AP282" s="9"/>
      <c r="AQ282" s="22">
        <v>0.33035300000000001</v>
      </c>
      <c r="AR282" s="22">
        <v>25.635100000000001</v>
      </c>
      <c r="AS282" s="22">
        <v>-1.3296499999999999E-2</v>
      </c>
      <c r="AT282" s="22">
        <v>272</v>
      </c>
      <c r="AU282" s="22">
        <v>0.32974199999999998</v>
      </c>
      <c r="AV282">
        <f t="shared" si="56"/>
        <v>16.415432098765429</v>
      </c>
      <c r="AW282">
        <f t="shared" si="57"/>
        <v>5.4228872401234556</v>
      </c>
      <c r="AX282" s="9"/>
      <c r="AY282" s="22">
        <v>1.2696799999999999</v>
      </c>
      <c r="AZ282" s="22">
        <v>29.252800000000001</v>
      </c>
      <c r="BA282" s="22">
        <v>-1.05072E-2</v>
      </c>
      <c r="BB282" s="22">
        <v>272</v>
      </c>
      <c r="BC282" s="22">
        <v>1.26892</v>
      </c>
      <c r="BD282">
        <f t="shared" si="58"/>
        <v>12.97185185185185</v>
      </c>
      <c r="BE282">
        <f t="shared" si="59"/>
        <v>16.470100859259258</v>
      </c>
    </row>
    <row r="283" spans="6:101">
      <c r="F283" s="9"/>
      <c r="G283" s="22">
        <v>0.32531700000000002</v>
      </c>
      <c r="H283" s="22">
        <v>7.8156999999999996</v>
      </c>
      <c r="I283" s="22">
        <v>-1.3443E-2</v>
      </c>
      <c r="J283" s="22">
        <v>273</v>
      </c>
      <c r="K283" s="22">
        <v>0.324799</v>
      </c>
      <c r="L283">
        <f t="shared" si="48"/>
        <v>16.596296296296295</v>
      </c>
      <c r="M283">
        <f t="shared" si="49"/>
        <v>5.3990573222222222</v>
      </c>
      <c r="N283" s="9"/>
      <c r="O283" s="22">
        <v>1.2747200000000001</v>
      </c>
      <c r="P283" s="22">
        <v>11.4335</v>
      </c>
      <c r="Q283" s="22">
        <v>-1.02386E-2</v>
      </c>
      <c r="R283" s="22">
        <v>273</v>
      </c>
      <c r="S283" s="22">
        <v>1.2735000000000001</v>
      </c>
      <c r="T283">
        <f t="shared" si="50"/>
        <v>12.640246913580247</v>
      </c>
      <c r="U283">
        <f t="shared" si="51"/>
        <v>16.112775545679014</v>
      </c>
      <c r="X283" s="9"/>
      <c r="Y283" s="22">
        <v>0.32531700000000002</v>
      </c>
      <c r="Z283" s="22">
        <v>16.709900000000001</v>
      </c>
      <c r="AA283" s="22">
        <v>-1.3439899999999999E-2</v>
      </c>
      <c r="AB283" s="22">
        <v>273</v>
      </c>
      <c r="AC283" s="22">
        <v>0.32473800000000003</v>
      </c>
      <c r="AD283">
        <f t="shared" si="52"/>
        <v>16.592469135802467</v>
      </c>
      <c r="AE283">
        <f t="shared" si="53"/>
        <v>5.3978122818518512</v>
      </c>
      <c r="AF283" s="9"/>
      <c r="AG283" s="22">
        <v>1.2747200000000001</v>
      </c>
      <c r="AH283" s="22">
        <v>20.3277</v>
      </c>
      <c r="AI283" s="22">
        <v>-1.0195900000000001E-2</v>
      </c>
      <c r="AJ283" s="22">
        <v>273</v>
      </c>
      <c r="AK283" s="22">
        <v>1.2741100000000001</v>
      </c>
      <c r="AL283">
        <f t="shared" si="54"/>
        <v>12.587530864197531</v>
      </c>
      <c r="AM283">
        <f t="shared" si="55"/>
        <v>16.045577343209878</v>
      </c>
      <c r="AP283" s="9"/>
      <c r="AQ283" s="22">
        <v>0.32531700000000002</v>
      </c>
      <c r="AR283" s="22">
        <v>25.645099999999999</v>
      </c>
      <c r="AS283" s="22">
        <v>-1.33087E-2</v>
      </c>
      <c r="AT283" s="22">
        <v>273</v>
      </c>
      <c r="AU283" s="22">
        <v>0.324799</v>
      </c>
      <c r="AV283">
        <f t="shared" si="56"/>
        <v>16.430493827160493</v>
      </c>
      <c r="AW283">
        <f t="shared" si="57"/>
        <v>5.3451189603703702</v>
      </c>
      <c r="AX283" s="9"/>
      <c r="AY283" s="22">
        <v>1.2747200000000001</v>
      </c>
      <c r="AZ283" s="22">
        <v>29.262899999999998</v>
      </c>
      <c r="BA283" s="22">
        <v>-1.0446199999999999E-2</v>
      </c>
      <c r="BB283" s="22">
        <v>273</v>
      </c>
      <c r="BC283" s="22">
        <v>1.2735000000000001</v>
      </c>
      <c r="BD283">
        <f t="shared" si="58"/>
        <v>12.896543209876542</v>
      </c>
      <c r="BE283">
        <f t="shared" si="59"/>
        <v>16.439481560493828</v>
      </c>
    </row>
    <row r="284" spans="6:101">
      <c r="F284" s="9"/>
      <c r="G284" s="22">
        <v>0.32028200000000001</v>
      </c>
      <c r="H284" s="22">
        <v>7.8257700000000003</v>
      </c>
      <c r="I284" s="22">
        <v>-1.3439899999999999E-2</v>
      </c>
      <c r="J284" s="22">
        <v>274</v>
      </c>
      <c r="K284" s="22">
        <v>0.31967200000000001</v>
      </c>
      <c r="L284">
        <f t="shared" si="48"/>
        <v>16.592469135802467</v>
      </c>
      <c r="M284">
        <f t="shared" si="49"/>
        <v>5.3142691997530864</v>
      </c>
      <c r="N284" s="9"/>
      <c r="O284" s="22">
        <v>1.2797499999999999</v>
      </c>
      <c r="P284" s="22">
        <v>11.4435</v>
      </c>
      <c r="Q284" s="22">
        <v>-1.01715E-2</v>
      </c>
      <c r="R284" s="22">
        <v>274</v>
      </c>
      <c r="S284" s="22">
        <v>1.2786900000000001</v>
      </c>
      <c r="T284">
        <f t="shared" si="50"/>
        <v>12.557407407407407</v>
      </c>
      <c r="U284">
        <f t="shared" si="51"/>
        <v>16.07034212962963</v>
      </c>
      <c r="X284" s="9"/>
      <c r="Y284" s="22">
        <v>0.32028200000000001</v>
      </c>
      <c r="Z284" s="22">
        <v>16.72</v>
      </c>
      <c r="AA284" s="22">
        <v>-1.3443E-2</v>
      </c>
      <c r="AB284" s="22">
        <v>274</v>
      </c>
      <c r="AC284" s="22">
        <v>0.31970199999999999</v>
      </c>
      <c r="AD284">
        <f t="shared" si="52"/>
        <v>16.596296296296295</v>
      </c>
      <c r="AE284">
        <f t="shared" si="53"/>
        <v>5.31549497037037</v>
      </c>
      <c r="AF284" s="9"/>
      <c r="AG284" s="22">
        <v>1.2797499999999999</v>
      </c>
      <c r="AH284" s="22">
        <v>20.337800000000001</v>
      </c>
      <c r="AI284" s="22">
        <v>-1.01318E-2</v>
      </c>
      <c r="AJ284" s="22">
        <v>274</v>
      </c>
      <c r="AK284" s="22">
        <v>1.2793000000000001</v>
      </c>
      <c r="AL284">
        <f t="shared" si="54"/>
        <v>12.508395061728393</v>
      </c>
      <c r="AM284">
        <f t="shared" si="55"/>
        <v>16.007618580246909</v>
      </c>
      <c r="AP284" s="9"/>
      <c r="AQ284" s="22">
        <v>0.32028200000000001</v>
      </c>
      <c r="AR284" s="22">
        <v>25.655200000000001</v>
      </c>
      <c r="AS284" s="22">
        <v>-1.3324000000000001E-2</v>
      </c>
      <c r="AT284" s="22">
        <v>274</v>
      </c>
      <c r="AU284" s="22">
        <v>0.31964100000000001</v>
      </c>
      <c r="AV284">
        <f t="shared" si="56"/>
        <v>16.449382716049382</v>
      </c>
      <c r="AW284">
        <f t="shared" si="57"/>
        <v>5.2684411950617278</v>
      </c>
      <c r="AX284" s="9"/>
      <c r="AY284" s="22">
        <v>1.2797499999999999</v>
      </c>
      <c r="AZ284" s="22">
        <v>29.273</v>
      </c>
      <c r="BA284" s="22">
        <v>-1.03943E-2</v>
      </c>
      <c r="BB284" s="22">
        <v>274</v>
      </c>
      <c r="BC284" s="22">
        <v>1.2793000000000001</v>
      </c>
      <c r="BD284">
        <f t="shared" si="58"/>
        <v>12.832469135802469</v>
      </c>
      <c r="BE284">
        <f t="shared" si="59"/>
        <v>16.422352376543209</v>
      </c>
    </row>
    <row r="285" spans="6:101">
      <c r="F285" s="9"/>
      <c r="G285" s="22">
        <v>0.315247</v>
      </c>
      <c r="H285" s="22">
        <v>7.8358400000000001</v>
      </c>
      <c r="I285" s="22">
        <v>-1.3433799999999999E-2</v>
      </c>
      <c r="J285" s="22">
        <v>275</v>
      </c>
      <c r="K285" s="22">
        <v>0.31466699999999997</v>
      </c>
      <c r="L285">
        <f t="shared" si="48"/>
        <v>16.584938271604937</v>
      </c>
      <c r="M285">
        <f t="shared" si="49"/>
        <v>5.2283520353086415</v>
      </c>
      <c r="N285" s="9"/>
      <c r="O285" s="22">
        <v>1.2847900000000001</v>
      </c>
      <c r="P285" s="22">
        <v>11.4536</v>
      </c>
      <c r="Q285" s="22">
        <v>-1.0101300000000001E-2</v>
      </c>
      <c r="R285" s="22">
        <v>275</v>
      </c>
      <c r="S285" s="22">
        <v>1.2844800000000001</v>
      </c>
      <c r="T285">
        <f t="shared" si="50"/>
        <v>12.470740740740741</v>
      </c>
      <c r="U285">
        <f t="shared" si="51"/>
        <v>16.022282996296298</v>
      </c>
      <c r="X285" s="9"/>
      <c r="Y285" s="22">
        <v>0.315247</v>
      </c>
      <c r="Z285" s="22">
        <v>16.7301</v>
      </c>
      <c r="AA285" s="22">
        <v>-1.3446E-2</v>
      </c>
      <c r="AB285" s="22">
        <v>275</v>
      </c>
      <c r="AC285" s="22">
        <v>0.314697</v>
      </c>
      <c r="AD285">
        <f t="shared" si="52"/>
        <v>16.599999999999998</v>
      </c>
      <c r="AE285">
        <f t="shared" si="53"/>
        <v>5.2331001999999991</v>
      </c>
      <c r="AF285" s="9"/>
      <c r="AG285" s="22">
        <v>1.2847900000000001</v>
      </c>
      <c r="AH285" s="22">
        <v>20.347799999999999</v>
      </c>
      <c r="AI285" s="22">
        <v>-1.00708E-2</v>
      </c>
      <c r="AJ285" s="22">
        <v>275</v>
      </c>
      <c r="AK285" s="22">
        <v>1.2844800000000001</v>
      </c>
      <c r="AL285">
        <f t="shared" si="54"/>
        <v>12.433086419753085</v>
      </c>
      <c r="AM285">
        <f t="shared" si="55"/>
        <v>15.973905101234568</v>
      </c>
      <c r="AP285" s="9"/>
      <c r="AQ285" s="22">
        <v>0.315247</v>
      </c>
      <c r="AR285" s="22">
        <v>25.665299999999998</v>
      </c>
      <c r="AS285" s="22">
        <v>-1.3327E-2</v>
      </c>
      <c r="AT285" s="22">
        <v>275</v>
      </c>
      <c r="AU285" s="22">
        <v>0.31472800000000001</v>
      </c>
      <c r="AV285">
        <f t="shared" si="56"/>
        <v>16.453086419753085</v>
      </c>
      <c r="AW285">
        <f t="shared" si="57"/>
        <v>5.1867861345679005</v>
      </c>
      <c r="AX285" s="9"/>
      <c r="AY285" s="22">
        <v>1.2847900000000001</v>
      </c>
      <c r="AZ285" s="22">
        <v>29.283000000000001</v>
      </c>
      <c r="BA285" s="22">
        <v>-1.03363E-2</v>
      </c>
      <c r="BB285" s="22">
        <v>275</v>
      </c>
      <c r="BC285" s="22">
        <v>1.2838700000000001</v>
      </c>
      <c r="BD285">
        <f t="shared" si="58"/>
        <v>12.760864197530864</v>
      </c>
      <c r="BE285">
        <f t="shared" si="59"/>
        <v>16.39503071234568</v>
      </c>
    </row>
    <row r="286" spans="6:101">
      <c r="F286" s="9"/>
      <c r="G286" s="22">
        <v>0.31021100000000001</v>
      </c>
      <c r="H286" s="22">
        <v>7.8459199999999996</v>
      </c>
      <c r="I286" s="22">
        <v>-1.3446E-2</v>
      </c>
      <c r="J286" s="22">
        <v>276</v>
      </c>
      <c r="K286" s="22">
        <v>0.30966199999999999</v>
      </c>
      <c r="L286">
        <f t="shared" si="48"/>
        <v>16.599999999999998</v>
      </c>
      <c r="M286">
        <f t="shared" si="49"/>
        <v>5.1495025999999999</v>
      </c>
      <c r="N286" s="9"/>
      <c r="O286" s="22">
        <v>1.28983</v>
      </c>
      <c r="P286" s="22">
        <v>11.463699999999999</v>
      </c>
      <c r="Q286" s="22">
        <v>-1.0031099999999999E-2</v>
      </c>
      <c r="R286" s="22">
        <v>276</v>
      </c>
      <c r="S286" s="22">
        <v>1.2887599999999999</v>
      </c>
      <c r="T286">
        <f t="shared" si="50"/>
        <v>12.384074074074071</v>
      </c>
      <c r="U286">
        <f t="shared" si="51"/>
        <v>15.97335026296296</v>
      </c>
      <c r="X286" s="9"/>
      <c r="Y286" s="22">
        <v>0.31021100000000001</v>
      </c>
      <c r="Z286" s="22">
        <v>16.740100000000002</v>
      </c>
      <c r="AA286" s="22">
        <v>-1.3446E-2</v>
      </c>
      <c r="AB286" s="22">
        <v>276</v>
      </c>
      <c r="AC286" s="22">
        <v>0.30966199999999999</v>
      </c>
      <c r="AD286">
        <f t="shared" si="52"/>
        <v>16.599999999999998</v>
      </c>
      <c r="AE286">
        <f t="shared" si="53"/>
        <v>5.1495025999999999</v>
      </c>
      <c r="AF286" s="9"/>
      <c r="AG286" s="22">
        <v>1.28983</v>
      </c>
      <c r="AH286" s="22">
        <v>20.357900000000001</v>
      </c>
      <c r="AI286" s="22">
        <v>-1.0003700000000001E-2</v>
      </c>
      <c r="AJ286" s="22">
        <v>276</v>
      </c>
      <c r="AK286" s="22">
        <v>1.2887599999999999</v>
      </c>
      <c r="AL286">
        <f t="shared" si="54"/>
        <v>12.350246913580246</v>
      </c>
      <c r="AM286">
        <f t="shared" si="55"/>
        <v>15.92971897654321</v>
      </c>
      <c r="AP286" s="9"/>
      <c r="AQ286" s="22">
        <v>0.31021100000000001</v>
      </c>
      <c r="AR286" s="22">
        <v>25.6753</v>
      </c>
      <c r="AS286" s="22">
        <v>-1.3336199999999999E-2</v>
      </c>
      <c r="AT286" s="22">
        <v>276</v>
      </c>
      <c r="AU286" s="22">
        <v>0.30963099999999999</v>
      </c>
      <c r="AV286">
        <f t="shared" si="56"/>
        <v>16.464444444444442</v>
      </c>
      <c r="AW286">
        <f t="shared" si="57"/>
        <v>5.1074517755555551</v>
      </c>
      <c r="AX286" s="9"/>
      <c r="AY286" s="22">
        <v>1.28983</v>
      </c>
      <c r="AZ286" s="22">
        <v>29.293099999999999</v>
      </c>
      <c r="BA286" s="22">
        <v>-1.0278300000000001E-2</v>
      </c>
      <c r="BB286" s="22">
        <v>276</v>
      </c>
      <c r="BC286" s="22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>
      <c r="F287" s="9"/>
      <c r="G287" s="22">
        <v>0.305176</v>
      </c>
      <c r="H287" s="22">
        <v>7.8559900000000003</v>
      </c>
      <c r="I287" s="22">
        <v>-1.34644E-2</v>
      </c>
      <c r="J287" s="22">
        <v>277</v>
      </c>
      <c r="K287" s="22">
        <v>0.304535</v>
      </c>
      <c r="L287">
        <f t="shared" si="48"/>
        <v>16.622716049382717</v>
      </c>
      <c r="M287">
        <f t="shared" si="49"/>
        <v>5.0728539930864205</v>
      </c>
      <c r="N287" s="9"/>
      <c r="O287" s="22">
        <v>1.2948599999999999</v>
      </c>
      <c r="P287" s="22">
        <v>11.473800000000001</v>
      </c>
      <c r="Q287" s="22">
        <v>-9.9670399999999999E-3</v>
      </c>
      <c r="R287" s="22">
        <v>277</v>
      </c>
      <c r="S287" s="22">
        <v>1.2939499999999999</v>
      </c>
      <c r="T287">
        <f t="shared" si="50"/>
        <v>12.304987654320986</v>
      </c>
      <c r="U287">
        <f t="shared" si="51"/>
        <v>15.933236314074071</v>
      </c>
      <c r="X287" s="9"/>
      <c r="Y287" s="22">
        <v>0.305176</v>
      </c>
      <c r="Z287" s="22">
        <v>16.7502</v>
      </c>
      <c r="AA287" s="22">
        <v>-1.3439899999999999E-2</v>
      </c>
      <c r="AB287" s="22">
        <v>277</v>
      </c>
      <c r="AC287" s="22">
        <v>0.30456499999999997</v>
      </c>
      <c r="AD287">
        <f t="shared" si="52"/>
        <v>16.592469135802467</v>
      </c>
      <c r="AE287">
        <f t="shared" si="53"/>
        <v>5.0636233609876538</v>
      </c>
      <c r="AF287" s="9"/>
      <c r="AG287" s="22">
        <v>1.2948599999999999</v>
      </c>
      <c r="AH287" s="22">
        <v>20.367999999999999</v>
      </c>
      <c r="AI287" s="22">
        <v>-9.9456800000000001E-3</v>
      </c>
      <c r="AJ287" s="22">
        <v>277</v>
      </c>
      <c r="AK287" s="22">
        <v>1.2939499999999999</v>
      </c>
      <c r="AL287">
        <f t="shared" si="54"/>
        <v>12.278617283950616</v>
      </c>
      <c r="AM287">
        <f t="shared" si="55"/>
        <v>15.899090376296295</v>
      </c>
      <c r="AP287" s="9"/>
      <c r="AQ287" s="22">
        <v>0.305176</v>
      </c>
      <c r="AR287" s="22">
        <v>25.685400000000001</v>
      </c>
      <c r="AS287" s="22">
        <v>-1.33423E-2</v>
      </c>
      <c r="AT287" s="22">
        <v>277</v>
      </c>
      <c r="AU287" s="22">
        <v>0.30465700000000001</v>
      </c>
      <c r="AV287">
        <f t="shared" si="56"/>
        <v>16.471975308641973</v>
      </c>
      <c r="AW287">
        <f t="shared" si="57"/>
        <v>5.0268515367901232</v>
      </c>
      <c r="AX287" s="9"/>
      <c r="AY287" s="22">
        <v>1.2948599999999999</v>
      </c>
      <c r="AZ287" s="22">
        <v>29.3032</v>
      </c>
      <c r="BA287" s="22">
        <v>-1.02112E-2</v>
      </c>
      <c r="BB287" s="22">
        <v>277</v>
      </c>
      <c r="BC287" s="22">
        <v>1.2939499999999999</v>
      </c>
      <c r="BD287">
        <f t="shared" si="58"/>
        <v>12.606419753086419</v>
      </c>
      <c r="BE287">
        <f t="shared" si="59"/>
        <v>16.32354868148148</v>
      </c>
    </row>
    <row r="288" spans="6:101">
      <c r="F288" s="9"/>
      <c r="G288" s="22">
        <v>0.30014000000000002</v>
      </c>
      <c r="H288" s="22">
        <v>7.8660600000000001</v>
      </c>
      <c r="I288" s="22">
        <v>-1.3473499999999999E-2</v>
      </c>
      <c r="J288" s="22">
        <v>278</v>
      </c>
      <c r="K288" s="22">
        <v>0.29956100000000002</v>
      </c>
      <c r="L288">
        <f t="shared" si="48"/>
        <v>16.633950617283947</v>
      </c>
      <c r="M288">
        <f t="shared" si="49"/>
        <v>4.9925139382716042</v>
      </c>
      <c r="N288" s="9"/>
      <c r="O288" s="22">
        <v>1.2999000000000001</v>
      </c>
      <c r="P288" s="22">
        <v>11.4838</v>
      </c>
      <c r="Q288" s="22">
        <v>-9.9029500000000006E-3</v>
      </c>
      <c r="R288" s="22">
        <v>278</v>
      </c>
      <c r="S288" s="22">
        <v>1.2994399999999999</v>
      </c>
      <c r="T288">
        <f t="shared" si="50"/>
        <v>12.225864197530864</v>
      </c>
      <c r="U288">
        <f t="shared" si="51"/>
        <v>15.892400870370372</v>
      </c>
      <c r="X288" s="9"/>
      <c r="Y288" s="22">
        <v>0.30014000000000002</v>
      </c>
      <c r="Z288" s="22">
        <v>16.760300000000001</v>
      </c>
      <c r="AA288" s="22">
        <v>-1.34491E-2</v>
      </c>
      <c r="AB288" s="22">
        <v>278</v>
      </c>
      <c r="AC288" s="22">
        <v>0.29953000000000002</v>
      </c>
      <c r="AD288">
        <f t="shared" si="52"/>
        <v>16.603827160493829</v>
      </c>
      <c r="AE288">
        <f t="shared" si="53"/>
        <v>4.9834726839506178</v>
      </c>
      <c r="AF288" s="9"/>
      <c r="AG288" s="22">
        <v>1.2999000000000001</v>
      </c>
      <c r="AH288" s="22">
        <v>20.378</v>
      </c>
      <c r="AI288" s="22">
        <v>-9.8815900000000009E-3</v>
      </c>
      <c r="AJ288" s="22">
        <v>278</v>
      </c>
      <c r="AK288" s="22">
        <v>1.2988299999999999</v>
      </c>
      <c r="AL288">
        <f t="shared" si="54"/>
        <v>12.199493827160493</v>
      </c>
      <c r="AM288">
        <f t="shared" si="55"/>
        <v>15.858122025925926</v>
      </c>
      <c r="AP288" s="9"/>
      <c r="AQ288" s="22">
        <v>0.30014000000000002</v>
      </c>
      <c r="AR288" s="22">
        <v>25.695499999999999</v>
      </c>
      <c r="AS288" s="22">
        <v>-1.33484E-2</v>
      </c>
      <c r="AT288" s="22">
        <v>278</v>
      </c>
      <c r="AU288" s="22">
        <v>0.29953000000000002</v>
      </c>
      <c r="AV288">
        <f t="shared" si="56"/>
        <v>16.479506172839503</v>
      </c>
      <c r="AW288">
        <f t="shared" si="57"/>
        <v>4.9461589827160486</v>
      </c>
      <c r="AX288" s="9"/>
      <c r="AY288" s="22">
        <v>1.2999000000000001</v>
      </c>
      <c r="AZ288" s="22">
        <v>29.313300000000002</v>
      </c>
      <c r="BA288" s="22">
        <v>-1.0144E-2</v>
      </c>
      <c r="BB288" s="22">
        <v>278</v>
      </c>
      <c r="BC288" s="22">
        <v>1.2991299999999999</v>
      </c>
      <c r="BD288">
        <f t="shared" si="58"/>
        <v>12.523456790123456</v>
      </c>
      <c r="BE288">
        <f t="shared" si="59"/>
        <v>16.279241481481481</v>
      </c>
    </row>
    <row r="289" spans="6:57">
      <c r="F289" s="9"/>
      <c r="G289" s="22">
        <v>0.29510500000000001</v>
      </c>
      <c r="H289" s="22">
        <v>7.8761299999999999</v>
      </c>
      <c r="I289" s="22">
        <v>-1.34796E-2</v>
      </c>
      <c r="J289" s="22">
        <v>279</v>
      </c>
      <c r="K289" s="22">
        <v>0.29449500000000001</v>
      </c>
      <c r="L289">
        <f t="shared" si="48"/>
        <v>16.641481481481478</v>
      </c>
      <c r="M289">
        <f t="shared" si="49"/>
        <v>4.9109843925925913</v>
      </c>
      <c r="N289" s="9"/>
      <c r="O289" s="22">
        <v>1.3049299999999999</v>
      </c>
      <c r="P289" s="22">
        <v>11.4939</v>
      </c>
      <c r="Q289" s="22">
        <v>-9.8449699999999998E-3</v>
      </c>
      <c r="R289" s="22">
        <v>279</v>
      </c>
      <c r="S289" s="22">
        <v>1.30402</v>
      </c>
      <c r="T289">
        <f t="shared" si="50"/>
        <v>12.154283950617282</v>
      </c>
      <c r="U289">
        <f t="shared" si="51"/>
        <v>15.860489755679009</v>
      </c>
      <c r="X289" s="9"/>
      <c r="Y289" s="22">
        <v>0.29510500000000001</v>
      </c>
      <c r="Z289" s="22">
        <v>16.770299999999999</v>
      </c>
      <c r="AA289" s="22">
        <v>-1.34521E-2</v>
      </c>
      <c r="AB289" s="22">
        <v>279</v>
      </c>
      <c r="AC289" s="22">
        <v>0.29449500000000001</v>
      </c>
      <c r="AD289">
        <f t="shared" si="52"/>
        <v>16.607530864197528</v>
      </c>
      <c r="AE289">
        <f t="shared" si="53"/>
        <v>4.9009653956790116</v>
      </c>
      <c r="AF289" s="9"/>
      <c r="AG289" s="22">
        <v>1.3049299999999999</v>
      </c>
      <c r="AH289" s="22">
        <v>20.388100000000001</v>
      </c>
      <c r="AI289" s="22">
        <v>-9.8174999999999998E-3</v>
      </c>
      <c r="AJ289" s="22">
        <v>279</v>
      </c>
      <c r="AK289" s="22">
        <v>1.3043199999999999</v>
      </c>
      <c r="AL289">
        <f t="shared" si="54"/>
        <v>12.12037037037037</v>
      </c>
      <c r="AM289">
        <f t="shared" si="55"/>
        <v>15.816234907407406</v>
      </c>
      <c r="AP289" s="9"/>
      <c r="AQ289" s="22">
        <v>0.29510500000000001</v>
      </c>
      <c r="AR289" s="22">
        <v>25.7056</v>
      </c>
      <c r="AS289" s="22">
        <v>-1.3351399999999999E-2</v>
      </c>
      <c r="AT289" s="22">
        <v>279</v>
      </c>
      <c r="AU289" s="22">
        <v>0.29449500000000001</v>
      </c>
      <c r="AV289">
        <f t="shared" si="56"/>
        <v>16.483209876543206</v>
      </c>
      <c r="AW289">
        <f t="shared" si="57"/>
        <v>4.8642776506172831</v>
      </c>
      <c r="AX289" s="9"/>
      <c r="AY289" s="22">
        <v>1.3049299999999999</v>
      </c>
      <c r="AZ289" s="22">
        <v>29.3233</v>
      </c>
      <c r="BA289" s="22">
        <v>-1.00739E-2</v>
      </c>
      <c r="BB289" s="22">
        <v>279</v>
      </c>
      <c r="BC289" s="22">
        <v>1.30402</v>
      </c>
      <c r="BD289">
        <f t="shared" si="58"/>
        <v>12.436913580246914</v>
      </c>
      <c r="BE289">
        <f t="shared" si="59"/>
        <v>16.229301638271604</v>
      </c>
    </row>
    <row r="290" spans="6:57">
      <c r="F290" s="9"/>
      <c r="G290" s="22">
        <v>0.29006999999999999</v>
      </c>
      <c r="H290" s="22">
        <v>7.8861999999999997</v>
      </c>
      <c r="I290" s="22">
        <v>-1.34888E-2</v>
      </c>
      <c r="J290" s="22">
        <v>280</v>
      </c>
      <c r="K290" s="22">
        <v>0.28952</v>
      </c>
      <c r="L290">
        <f t="shared" si="48"/>
        <v>16.652839506172839</v>
      </c>
      <c r="M290">
        <f t="shared" si="49"/>
        <v>4.8304891555555551</v>
      </c>
      <c r="N290" s="9"/>
      <c r="O290" s="22">
        <v>1.3099700000000001</v>
      </c>
      <c r="P290" s="22">
        <v>11.504</v>
      </c>
      <c r="Q290" s="22">
        <v>-9.7778299999999995E-3</v>
      </c>
      <c r="R290" s="22">
        <v>280</v>
      </c>
      <c r="S290" s="22">
        <v>1.30951</v>
      </c>
      <c r="T290">
        <f t="shared" si="50"/>
        <v>12.071395061728394</v>
      </c>
      <c r="U290">
        <f t="shared" si="51"/>
        <v>15.813165389012346</v>
      </c>
      <c r="X290" s="9"/>
      <c r="Y290" s="22">
        <v>0.29006999999999999</v>
      </c>
      <c r="Z290" s="22">
        <v>16.7804</v>
      </c>
      <c r="AA290" s="22">
        <v>-1.34521E-2</v>
      </c>
      <c r="AB290" s="22">
        <v>280</v>
      </c>
      <c r="AC290" s="22">
        <v>0.28945900000000002</v>
      </c>
      <c r="AD290">
        <f t="shared" si="52"/>
        <v>16.607530864197528</v>
      </c>
      <c r="AE290">
        <f t="shared" si="53"/>
        <v>4.817346477777777</v>
      </c>
      <c r="AF290" s="9"/>
      <c r="AG290" s="22">
        <v>1.3099700000000001</v>
      </c>
      <c r="AH290" s="22">
        <v>20.398199999999999</v>
      </c>
      <c r="AI290" s="22">
        <v>-9.7442599999999994E-3</v>
      </c>
      <c r="AJ290" s="22">
        <v>280</v>
      </c>
      <c r="AK290" s="22">
        <v>1.3091999999999999</v>
      </c>
      <c r="AL290">
        <f t="shared" si="54"/>
        <v>12.02995061728395</v>
      </c>
      <c r="AM290">
        <f t="shared" si="55"/>
        <v>15.758874410123456</v>
      </c>
      <c r="AP290" s="9"/>
      <c r="AQ290" s="22">
        <v>0.29006999999999999</v>
      </c>
      <c r="AR290" s="22">
        <v>25.715599999999998</v>
      </c>
      <c r="AS290" s="22">
        <v>-1.33575E-2</v>
      </c>
      <c r="AT290" s="22">
        <v>280</v>
      </c>
      <c r="AU290" s="22">
        <v>0.28952</v>
      </c>
      <c r="AV290">
        <f t="shared" si="56"/>
        <v>16.49074074074074</v>
      </c>
      <c r="AW290">
        <f t="shared" si="57"/>
        <v>4.7834691666666664</v>
      </c>
      <c r="AX290" s="9"/>
      <c r="AY290" s="22">
        <v>1.3099700000000001</v>
      </c>
      <c r="AZ290" s="22">
        <v>29.333400000000001</v>
      </c>
      <c r="BA290" s="22">
        <v>-1.0009799999999999E-2</v>
      </c>
      <c r="BB290" s="22">
        <v>280</v>
      </c>
      <c r="BC290" s="22">
        <v>1.3089</v>
      </c>
      <c r="BD290">
        <f t="shared" si="58"/>
        <v>12.357777777777777</v>
      </c>
      <c r="BE290">
        <f t="shared" si="59"/>
        <v>16.188318155555557</v>
      </c>
    </row>
    <row r="291" spans="6:57">
      <c r="F291" s="9"/>
      <c r="G291" s="22">
        <v>0.28503400000000001</v>
      </c>
      <c r="H291" s="22">
        <v>7.8962700000000003</v>
      </c>
      <c r="I291" s="22">
        <v>-1.34918E-2</v>
      </c>
      <c r="J291" s="22">
        <v>281</v>
      </c>
      <c r="K291" s="22">
        <v>0.28439300000000001</v>
      </c>
      <c r="L291">
        <f t="shared" si="48"/>
        <v>16.656543209876542</v>
      </c>
      <c r="M291">
        <f t="shared" si="49"/>
        <v>4.7476811372839505</v>
      </c>
      <c r="N291" s="9"/>
      <c r="O291" s="22">
        <v>1.3149999999999999</v>
      </c>
      <c r="P291" s="22">
        <v>11.513999999999999</v>
      </c>
      <c r="Q291" s="22">
        <v>-9.7106899999999993E-3</v>
      </c>
      <c r="R291" s="22">
        <v>281</v>
      </c>
      <c r="S291" s="22">
        <v>1.3143899999999999</v>
      </c>
      <c r="T291">
        <f t="shared" si="50"/>
        <v>11.988506172839504</v>
      </c>
      <c r="U291">
        <f t="shared" si="51"/>
        <v>15.764885617283946</v>
      </c>
      <c r="X291" s="9"/>
      <c r="Y291" s="22">
        <v>0.28503400000000001</v>
      </c>
      <c r="Z291" s="22">
        <v>16.790500000000002</v>
      </c>
      <c r="AA291" s="22">
        <v>-1.3461300000000001E-2</v>
      </c>
      <c r="AB291" s="22">
        <v>281</v>
      </c>
      <c r="AC291" s="22">
        <v>0.28436299999999998</v>
      </c>
      <c r="AD291">
        <f t="shared" si="52"/>
        <v>16.618888888888886</v>
      </c>
      <c r="AE291">
        <f t="shared" si="53"/>
        <v>4.7369483755555546</v>
      </c>
      <c r="AF291" s="9"/>
      <c r="AG291" s="22">
        <v>1.3149999999999999</v>
      </c>
      <c r="AH291" s="22">
        <v>20.408300000000001</v>
      </c>
      <c r="AI291" s="22">
        <v>-9.6710200000000007E-3</v>
      </c>
      <c r="AJ291" s="22">
        <v>281</v>
      </c>
      <c r="AK291" s="22">
        <v>1.31409</v>
      </c>
      <c r="AL291">
        <f t="shared" si="54"/>
        <v>11.939530864197531</v>
      </c>
      <c r="AM291">
        <f t="shared" si="55"/>
        <v>15.700483086419752</v>
      </c>
      <c r="AP291" s="9"/>
      <c r="AQ291" s="22">
        <v>0.28503400000000001</v>
      </c>
      <c r="AR291" s="22">
        <v>25.7257</v>
      </c>
      <c r="AS291" s="22">
        <v>-1.33606E-2</v>
      </c>
      <c r="AT291" s="22">
        <v>281</v>
      </c>
      <c r="AU291" s="22">
        <v>0.28448499999999999</v>
      </c>
      <c r="AV291">
        <f t="shared" si="56"/>
        <v>16.494567901234568</v>
      </c>
      <c r="AW291">
        <f t="shared" si="57"/>
        <v>4.7015126671604941</v>
      </c>
      <c r="AX291" s="9"/>
      <c r="AY291" s="22">
        <v>1.3149999999999999</v>
      </c>
      <c r="AZ291" s="22">
        <v>29.343499999999999</v>
      </c>
      <c r="BA291" s="22">
        <v>-9.9395799999999999E-3</v>
      </c>
      <c r="BB291" s="22">
        <v>281</v>
      </c>
      <c r="BC291" s="22">
        <v>1.3137799999999999</v>
      </c>
      <c r="BD291">
        <f t="shared" si="58"/>
        <v>12.271086419753086</v>
      </c>
      <c r="BE291">
        <f t="shared" si="59"/>
        <v>16.136478641975309</v>
      </c>
    </row>
    <row r="292" spans="6:57">
      <c r="F292" s="9"/>
      <c r="G292" s="22">
        <v>0.279999</v>
      </c>
      <c r="H292" s="22">
        <v>7.9063400000000001</v>
      </c>
      <c r="I292" s="22">
        <v>-1.34888E-2</v>
      </c>
      <c r="J292" s="22">
        <v>282</v>
      </c>
      <c r="K292" s="22">
        <v>0.27948000000000001</v>
      </c>
      <c r="L292">
        <f t="shared" si="48"/>
        <v>16.652839506172839</v>
      </c>
      <c r="M292">
        <f t="shared" si="49"/>
        <v>4.6627784088888884</v>
      </c>
      <c r="N292" s="9"/>
      <c r="O292" s="22">
        <v>1.3200400000000001</v>
      </c>
      <c r="P292" s="22">
        <v>11.524100000000001</v>
      </c>
      <c r="Q292" s="22">
        <v>-9.6404999999999998E-3</v>
      </c>
      <c r="R292" s="22">
        <v>282</v>
      </c>
      <c r="S292" s="22">
        <v>1.3192699999999999</v>
      </c>
      <c r="T292">
        <f t="shared" si="50"/>
        <v>11.90185185185185</v>
      </c>
      <c r="U292">
        <f t="shared" si="51"/>
        <v>15.710920518518517</v>
      </c>
      <c r="X292" s="9"/>
      <c r="Y292" s="22">
        <v>0.279999</v>
      </c>
      <c r="Z292" s="22">
        <v>16.800599999999999</v>
      </c>
      <c r="AA292" s="22">
        <v>-1.3473499999999999E-2</v>
      </c>
      <c r="AB292" s="22">
        <v>282</v>
      </c>
      <c r="AC292" s="22">
        <v>0.279449</v>
      </c>
      <c r="AD292">
        <f t="shared" si="52"/>
        <v>16.633950617283947</v>
      </c>
      <c r="AE292">
        <f t="shared" si="53"/>
        <v>4.6574895388888882</v>
      </c>
      <c r="AF292" s="9"/>
      <c r="AG292" s="22">
        <v>1.3200400000000001</v>
      </c>
      <c r="AH292" s="22">
        <v>20.418299999999999</v>
      </c>
      <c r="AI292" s="22">
        <v>-9.5947299999999992E-3</v>
      </c>
      <c r="AJ292" s="22">
        <v>282</v>
      </c>
      <c r="AK292" s="22">
        <v>1.3186599999999999</v>
      </c>
      <c r="AL292">
        <f t="shared" si="54"/>
        <v>11.845345679012345</v>
      </c>
      <c r="AM292">
        <f t="shared" si="55"/>
        <v>15.636330110123458</v>
      </c>
      <c r="AP292" s="9"/>
      <c r="AQ292" s="22">
        <v>0.279999</v>
      </c>
      <c r="AR292" s="22">
        <v>25.735800000000001</v>
      </c>
      <c r="AS292" s="22">
        <v>-1.33636E-2</v>
      </c>
      <c r="AT292" s="22">
        <v>282</v>
      </c>
      <c r="AU292" s="22">
        <v>0.279449</v>
      </c>
      <c r="AV292">
        <f t="shared" si="56"/>
        <v>16.498271604938271</v>
      </c>
      <c r="AW292">
        <f t="shared" si="57"/>
        <v>4.6194995511111108</v>
      </c>
      <c r="AX292" s="9"/>
      <c r="AY292" s="22">
        <v>1.3200400000000001</v>
      </c>
      <c r="AZ292" s="22">
        <v>29.3535</v>
      </c>
      <c r="BA292" s="22">
        <v>-9.8663299999999995E-3</v>
      </c>
      <c r="BB292" s="22">
        <v>282</v>
      </c>
      <c r="BC292" s="22">
        <v>1.3192699999999999</v>
      </c>
      <c r="BD292">
        <f t="shared" si="58"/>
        <v>12.180654320987653</v>
      </c>
      <c r="BE292">
        <f t="shared" si="59"/>
        <v>16.078950929876541</v>
      </c>
    </row>
    <row r="293" spans="6:57">
      <c r="F293" s="9"/>
      <c r="G293" s="22">
        <v>0.27496300000000001</v>
      </c>
      <c r="H293" s="22">
        <v>7.9164099999999999</v>
      </c>
      <c r="I293" s="22">
        <v>-1.34796E-2</v>
      </c>
      <c r="J293" s="22">
        <v>283</v>
      </c>
      <c r="K293" s="22">
        <v>0.27438400000000002</v>
      </c>
      <c r="L293">
        <f t="shared" si="48"/>
        <v>16.641481481481478</v>
      </c>
      <c r="M293">
        <f t="shared" si="49"/>
        <v>4.575791672592592</v>
      </c>
      <c r="N293" s="9"/>
      <c r="O293" s="22">
        <v>1.32507</v>
      </c>
      <c r="P293" s="22">
        <v>11.5342</v>
      </c>
      <c r="Q293" s="22">
        <v>-9.5703100000000003E-3</v>
      </c>
      <c r="R293" s="22">
        <v>283</v>
      </c>
      <c r="S293" s="22">
        <v>1.32446</v>
      </c>
      <c r="T293">
        <f t="shared" si="50"/>
        <v>11.815197530864198</v>
      </c>
      <c r="U293">
        <f t="shared" si="51"/>
        <v>15.655963792222224</v>
      </c>
      <c r="X293" s="9"/>
      <c r="Y293" s="22">
        <v>0.27496300000000001</v>
      </c>
      <c r="Z293" s="22">
        <v>16.810600000000001</v>
      </c>
      <c r="AA293" s="22">
        <v>-1.34766E-2</v>
      </c>
      <c r="AB293" s="22">
        <v>283</v>
      </c>
      <c r="AC293" s="22">
        <v>0.27432299999999998</v>
      </c>
      <c r="AD293">
        <f t="shared" si="52"/>
        <v>16.637777777777774</v>
      </c>
      <c r="AE293">
        <f t="shared" si="53"/>
        <v>4.5747732911111108</v>
      </c>
      <c r="AF293" s="9"/>
      <c r="AG293" s="22">
        <v>1.32507</v>
      </c>
      <c r="AH293" s="22">
        <v>20.4284</v>
      </c>
      <c r="AI293" s="22">
        <v>-9.5184299999999996E-3</v>
      </c>
      <c r="AJ293" s="22">
        <v>283</v>
      </c>
      <c r="AK293" s="22">
        <v>1.32446</v>
      </c>
      <c r="AL293">
        <f t="shared" si="54"/>
        <v>11.751148148148149</v>
      </c>
      <c r="AM293">
        <f t="shared" si="55"/>
        <v>15.571093876666668</v>
      </c>
      <c r="AP293" s="9"/>
      <c r="AQ293" s="22">
        <v>0.27496300000000001</v>
      </c>
      <c r="AR293" s="22">
        <v>25.745799999999999</v>
      </c>
      <c r="AS293" s="22">
        <v>-1.33636E-2</v>
      </c>
      <c r="AT293" s="22">
        <v>283</v>
      </c>
      <c r="AU293" s="22">
        <v>0.27444499999999999</v>
      </c>
      <c r="AV293">
        <f t="shared" si="56"/>
        <v>16.498271604938271</v>
      </c>
      <c r="AW293">
        <f t="shared" si="57"/>
        <v>4.5364142553086424</v>
      </c>
      <c r="AX293" s="9"/>
      <c r="AY293" s="22">
        <v>1.32507</v>
      </c>
      <c r="AZ293" s="22">
        <v>29.363600000000002</v>
      </c>
      <c r="BA293" s="22">
        <v>-9.7961400000000001E-3</v>
      </c>
      <c r="BB293" s="22">
        <v>283</v>
      </c>
      <c r="BC293" s="22">
        <v>1.32446</v>
      </c>
      <c r="BD293">
        <f t="shared" si="58"/>
        <v>12.093999999999999</v>
      </c>
      <c r="BE293">
        <f t="shared" si="59"/>
        <v>16.025396579999999</v>
      </c>
    </row>
    <row r="294" spans="6:57">
      <c r="F294" s="9"/>
      <c r="G294" s="22">
        <v>0.269928</v>
      </c>
      <c r="H294" s="22">
        <v>7.9264799999999997</v>
      </c>
      <c r="I294" s="22">
        <v>-1.34766E-2</v>
      </c>
      <c r="J294" s="22">
        <v>284</v>
      </c>
      <c r="K294" s="22">
        <v>0.269318</v>
      </c>
      <c r="L294">
        <f t="shared" si="48"/>
        <v>16.637777777777774</v>
      </c>
      <c r="M294">
        <f t="shared" si="49"/>
        <v>4.4910020799999995</v>
      </c>
      <c r="N294" s="9"/>
      <c r="O294" s="22">
        <v>1.3301099999999999</v>
      </c>
      <c r="P294" s="22">
        <v>11.5443</v>
      </c>
      <c r="Q294" s="22">
        <v>-9.50317E-3</v>
      </c>
      <c r="R294" s="22">
        <v>284</v>
      </c>
      <c r="S294" s="22">
        <v>1.32935</v>
      </c>
      <c r="T294">
        <f t="shared" si="50"/>
        <v>11.732308641975308</v>
      </c>
      <c r="U294">
        <f t="shared" si="51"/>
        <v>15.605261047777777</v>
      </c>
      <c r="X294" s="9"/>
      <c r="Y294" s="22">
        <v>0.269928</v>
      </c>
      <c r="Z294" s="22">
        <v>16.820699999999999</v>
      </c>
      <c r="AA294" s="22">
        <v>-1.34705E-2</v>
      </c>
      <c r="AB294" s="22">
        <v>284</v>
      </c>
      <c r="AC294" s="22">
        <v>0.269287</v>
      </c>
      <c r="AD294">
        <f t="shared" si="52"/>
        <v>16.630246913580244</v>
      </c>
      <c r="AE294">
        <f t="shared" si="53"/>
        <v>4.4889692888888879</v>
      </c>
      <c r="AF294" s="9"/>
      <c r="AG294" s="22">
        <v>1.3301099999999999</v>
      </c>
      <c r="AH294" s="22">
        <v>20.438500000000001</v>
      </c>
      <c r="AI294" s="22">
        <v>-9.4451899999999991E-3</v>
      </c>
      <c r="AJ294" s="22">
        <v>284</v>
      </c>
      <c r="AK294" s="22">
        <v>1.32904</v>
      </c>
      <c r="AL294">
        <f t="shared" si="54"/>
        <v>11.660728395061726</v>
      </c>
      <c r="AM294">
        <f t="shared" si="55"/>
        <v>15.510051445555552</v>
      </c>
      <c r="AP294" s="9"/>
      <c r="AQ294" s="22">
        <v>0.269928</v>
      </c>
      <c r="AR294" s="22">
        <v>25.7559</v>
      </c>
      <c r="AS294" s="22">
        <v>-1.33636E-2</v>
      </c>
      <c r="AT294" s="22">
        <v>284</v>
      </c>
      <c r="AU294" s="22">
        <v>0.26934799999999998</v>
      </c>
      <c r="AV294">
        <f t="shared" si="56"/>
        <v>16.498271604938271</v>
      </c>
      <c r="AW294">
        <f t="shared" si="57"/>
        <v>4.453345457777778</v>
      </c>
      <c r="AX294" s="9"/>
      <c r="AY294" s="22">
        <v>1.3301099999999999</v>
      </c>
      <c r="AZ294" s="22">
        <v>29.373699999999999</v>
      </c>
      <c r="BA294" s="22">
        <v>-9.7228999999999996E-3</v>
      </c>
      <c r="BB294" s="22">
        <v>284</v>
      </c>
      <c r="BC294" s="22">
        <v>1.32874</v>
      </c>
      <c r="BD294">
        <f t="shared" si="58"/>
        <v>12.003580246913579</v>
      </c>
      <c r="BE294">
        <f t="shared" si="59"/>
        <v>15.96608212222222</v>
      </c>
    </row>
    <row r="295" spans="6:57">
      <c r="F295" s="9"/>
      <c r="G295" s="22">
        <v>0.26489299999999999</v>
      </c>
      <c r="H295" s="22">
        <v>7.9365500000000004</v>
      </c>
      <c r="I295" s="22">
        <v>-1.34827E-2</v>
      </c>
      <c r="J295" s="22">
        <v>285</v>
      </c>
      <c r="K295" s="22">
        <v>0.26434299999999999</v>
      </c>
      <c r="L295">
        <f t="shared" si="48"/>
        <v>16.645308641975308</v>
      </c>
      <c r="M295">
        <f t="shared" si="49"/>
        <v>4.4092257420987648</v>
      </c>
      <c r="N295" s="9"/>
      <c r="O295" s="22">
        <v>1.33514</v>
      </c>
      <c r="P295" s="22">
        <v>11.5543</v>
      </c>
      <c r="Q295" s="22">
        <v>-9.4268800000000003E-3</v>
      </c>
      <c r="R295" s="22">
        <v>285</v>
      </c>
      <c r="S295" s="22">
        <v>1.33392</v>
      </c>
      <c r="T295">
        <f t="shared" si="50"/>
        <v>11.638123456790124</v>
      </c>
      <c r="U295">
        <f t="shared" si="51"/>
        <v>15.538524152098766</v>
      </c>
      <c r="X295" s="9"/>
      <c r="Y295" s="22">
        <v>0.26489299999999999</v>
      </c>
      <c r="Z295" s="22">
        <v>16.8308</v>
      </c>
      <c r="AA295" s="22">
        <v>-1.34644E-2</v>
      </c>
      <c r="AB295" s="22">
        <v>285</v>
      </c>
      <c r="AC295" s="22">
        <v>0.26431300000000002</v>
      </c>
      <c r="AD295">
        <f t="shared" si="52"/>
        <v>16.622716049382717</v>
      </c>
      <c r="AE295">
        <f t="shared" si="53"/>
        <v>4.4032411224691357</v>
      </c>
      <c r="AF295" s="9"/>
      <c r="AG295" s="22">
        <v>1.33514</v>
      </c>
      <c r="AH295" s="22">
        <v>20.448499999999999</v>
      </c>
      <c r="AI295" s="22">
        <v>-9.3780500000000006E-3</v>
      </c>
      <c r="AJ295" s="22">
        <v>285</v>
      </c>
      <c r="AK295" s="22">
        <v>1.33453</v>
      </c>
      <c r="AL295">
        <f t="shared" si="54"/>
        <v>11.57783950617284</v>
      </c>
      <c r="AM295">
        <f t="shared" si="55"/>
        <v>15.458036638271604</v>
      </c>
      <c r="AP295" s="9"/>
      <c r="AQ295" s="22">
        <v>0.26489299999999999</v>
      </c>
      <c r="AR295" s="22">
        <v>25.765999999999998</v>
      </c>
      <c r="AS295" s="22">
        <v>-1.3369799999999999E-2</v>
      </c>
      <c r="AT295" s="22">
        <v>285</v>
      </c>
      <c r="AU295" s="22">
        <v>0.26428200000000002</v>
      </c>
      <c r="AV295">
        <f t="shared" si="56"/>
        <v>16.505925925925922</v>
      </c>
      <c r="AW295">
        <f t="shared" si="57"/>
        <v>4.3723042362962952</v>
      </c>
      <c r="AX295" s="9"/>
      <c r="AY295" s="22">
        <v>1.33514</v>
      </c>
      <c r="AZ295" s="22">
        <v>29.383800000000001</v>
      </c>
      <c r="BA295" s="22">
        <v>-9.6496599999999991E-3</v>
      </c>
      <c r="BB295" s="22">
        <v>285</v>
      </c>
      <c r="BC295" s="22">
        <v>1.33453</v>
      </c>
      <c r="BD295">
        <f t="shared" si="58"/>
        <v>11.913160493827158</v>
      </c>
      <c r="BE295">
        <f t="shared" si="59"/>
        <v>15.905737101728391</v>
      </c>
    </row>
    <row r="296" spans="6:57">
      <c r="F296" s="9"/>
      <c r="G296" s="22">
        <v>0.259857</v>
      </c>
      <c r="H296" s="22">
        <v>7.9466299999999999</v>
      </c>
      <c r="I296" s="22">
        <v>-1.3494900000000001E-2</v>
      </c>
      <c r="J296" s="22">
        <v>286</v>
      </c>
      <c r="K296" s="22">
        <v>0.25927699999999998</v>
      </c>
      <c r="L296">
        <f t="shared" si="48"/>
        <v>16.660370370370369</v>
      </c>
      <c r="M296">
        <f t="shared" si="49"/>
        <v>4.3293138633333328</v>
      </c>
      <c r="N296" s="9"/>
      <c r="O296" s="22">
        <v>1.3401799999999999</v>
      </c>
      <c r="P296" s="22">
        <v>11.564399999999999</v>
      </c>
      <c r="Q296" s="22">
        <v>-9.3475299999999997E-3</v>
      </c>
      <c r="R296" s="22">
        <v>286</v>
      </c>
      <c r="S296" s="22">
        <v>1.33911</v>
      </c>
      <c r="T296">
        <f t="shared" si="50"/>
        <v>11.540160493827159</v>
      </c>
      <c r="U296">
        <f t="shared" si="51"/>
        <v>15.465892290617282</v>
      </c>
      <c r="X296" s="9"/>
      <c r="Y296" s="22">
        <v>0.259857</v>
      </c>
      <c r="Z296" s="22">
        <v>16.840800000000002</v>
      </c>
      <c r="AA296" s="22">
        <v>-1.3461300000000001E-2</v>
      </c>
      <c r="AB296" s="22">
        <v>286</v>
      </c>
      <c r="AC296" s="22">
        <v>0.25924700000000001</v>
      </c>
      <c r="AD296">
        <f t="shared" si="52"/>
        <v>16.618888888888886</v>
      </c>
      <c r="AE296">
        <f t="shared" si="53"/>
        <v>4.3185346099999995</v>
      </c>
      <c r="AF296" s="9"/>
      <c r="AG296" s="22">
        <v>1.3401799999999999</v>
      </c>
      <c r="AH296" s="22">
        <v>20.458600000000001</v>
      </c>
      <c r="AI296" s="22">
        <v>-9.3017599999999992E-3</v>
      </c>
      <c r="AJ296" s="22">
        <v>286</v>
      </c>
      <c r="AK296" s="22">
        <v>1.3388100000000001</v>
      </c>
      <c r="AL296">
        <f t="shared" si="54"/>
        <v>11.483654320987652</v>
      </c>
      <c r="AM296">
        <f t="shared" si="55"/>
        <v>15.390163847901231</v>
      </c>
      <c r="AP296" s="9"/>
      <c r="AQ296" s="22">
        <v>0.259857</v>
      </c>
      <c r="AR296" s="22">
        <v>25.7761</v>
      </c>
      <c r="AS296" s="22">
        <v>-1.3372800000000001E-2</v>
      </c>
      <c r="AT296" s="22">
        <v>286</v>
      </c>
      <c r="AU296" s="22">
        <v>0.25927699999999998</v>
      </c>
      <c r="AV296">
        <f t="shared" si="56"/>
        <v>16.509629629629632</v>
      </c>
      <c r="AW296">
        <f t="shared" si="57"/>
        <v>4.290142826666667</v>
      </c>
      <c r="AX296" s="9"/>
      <c r="AY296" s="22">
        <v>1.3401799999999999</v>
      </c>
      <c r="AZ296" s="22">
        <v>29.393799999999999</v>
      </c>
      <c r="BA296" s="22">
        <v>-9.5794699999999997E-3</v>
      </c>
      <c r="BB296" s="22">
        <v>286</v>
      </c>
      <c r="BC296" s="22">
        <v>1.33911</v>
      </c>
      <c r="BD296">
        <f t="shared" si="58"/>
        <v>11.826506172839505</v>
      </c>
      <c r="BE296">
        <f t="shared" si="59"/>
        <v>15.849647042716047</v>
      </c>
    </row>
    <row r="297" spans="6:57">
      <c r="F297" s="9"/>
      <c r="G297" s="22">
        <v>0.25482199999999999</v>
      </c>
      <c r="H297" s="22">
        <v>7.9566999999999997</v>
      </c>
      <c r="I297" s="22">
        <v>-1.34979E-2</v>
      </c>
      <c r="J297" s="22">
        <v>287</v>
      </c>
      <c r="K297" s="22">
        <v>0.25421100000000002</v>
      </c>
      <c r="L297">
        <f t="shared" si="48"/>
        <v>16.664074074074072</v>
      </c>
      <c r="M297">
        <f t="shared" si="49"/>
        <v>4.2463726837037035</v>
      </c>
      <c r="N297" s="9"/>
      <c r="O297" s="22">
        <v>1.34521</v>
      </c>
      <c r="P297" s="22">
        <v>11.5745</v>
      </c>
      <c r="Q297" s="22">
        <v>-9.27124E-3</v>
      </c>
      <c r="R297" s="22">
        <v>287</v>
      </c>
      <c r="S297" s="22">
        <v>1.3436900000000001</v>
      </c>
      <c r="T297">
        <f t="shared" si="50"/>
        <v>11.445975308641975</v>
      </c>
      <c r="U297">
        <f t="shared" si="51"/>
        <v>15.397240444938271</v>
      </c>
      <c r="X297" s="9"/>
      <c r="Y297" s="22">
        <v>0.25482199999999999</v>
      </c>
      <c r="Z297" s="22">
        <v>16.850899999999999</v>
      </c>
      <c r="AA297" s="22">
        <v>-1.3467399999999999E-2</v>
      </c>
      <c r="AB297" s="22">
        <v>287</v>
      </c>
      <c r="AC297" s="22">
        <v>0.254272</v>
      </c>
      <c r="AD297">
        <f t="shared" si="52"/>
        <v>16.626419753086417</v>
      </c>
      <c r="AE297">
        <f t="shared" si="53"/>
        <v>4.2367775343209866</v>
      </c>
      <c r="AF297" s="9"/>
      <c r="AG297" s="22">
        <v>1.34521</v>
      </c>
      <c r="AH297" s="22">
        <v>20.468699999999998</v>
      </c>
      <c r="AI297" s="22">
        <v>-9.2254599999999996E-3</v>
      </c>
      <c r="AJ297" s="22">
        <v>287</v>
      </c>
      <c r="AK297" s="22">
        <v>1.34399</v>
      </c>
      <c r="AL297">
        <f t="shared" si="54"/>
        <v>11.389456790123456</v>
      </c>
      <c r="AM297">
        <f t="shared" si="55"/>
        <v>15.321211168641973</v>
      </c>
      <c r="AP297" s="9"/>
      <c r="AQ297" s="22">
        <v>0.25482199999999999</v>
      </c>
      <c r="AR297" s="22">
        <v>25.786100000000001</v>
      </c>
      <c r="AS297" s="22">
        <v>-1.3372800000000001E-2</v>
      </c>
      <c r="AT297" s="22">
        <v>287</v>
      </c>
      <c r="AU297" s="22">
        <v>0.254272</v>
      </c>
      <c r="AV297">
        <f t="shared" si="56"/>
        <v>16.509629629629632</v>
      </c>
      <c r="AW297">
        <f t="shared" si="57"/>
        <v>4.2070168414814821</v>
      </c>
      <c r="AX297" s="9"/>
      <c r="AY297" s="22">
        <v>1.34521</v>
      </c>
      <c r="AZ297" s="22">
        <v>29.4039</v>
      </c>
      <c r="BA297" s="22">
        <v>-9.50317E-3</v>
      </c>
      <c r="BB297" s="22">
        <v>287</v>
      </c>
      <c r="BC297" s="22">
        <v>1.3436900000000001</v>
      </c>
      <c r="BD297">
        <f t="shared" si="58"/>
        <v>11.732308641975308</v>
      </c>
      <c r="BE297">
        <f t="shared" si="59"/>
        <v>15.782418908271605</v>
      </c>
    </row>
    <row r="298" spans="6:57">
      <c r="F298" s="9"/>
      <c r="G298" s="22">
        <v>0.24978600000000001</v>
      </c>
      <c r="H298" s="22">
        <v>7.9667700000000004</v>
      </c>
      <c r="I298" s="22">
        <v>-1.3501000000000001E-2</v>
      </c>
      <c r="J298" s="22">
        <v>288</v>
      </c>
      <c r="K298" s="22">
        <v>0.24917600000000001</v>
      </c>
      <c r="L298">
        <f t="shared" si="48"/>
        <v>16.667901234567903</v>
      </c>
      <c r="M298">
        <f t="shared" si="49"/>
        <v>4.1634083777777784</v>
      </c>
      <c r="N298" s="9"/>
      <c r="O298" s="22">
        <v>1.35025</v>
      </c>
      <c r="P298" s="22">
        <v>11.5845</v>
      </c>
      <c r="Q298" s="22">
        <v>-9.18274E-3</v>
      </c>
      <c r="R298" s="22">
        <v>288</v>
      </c>
      <c r="S298" s="22">
        <v>1.3494900000000001</v>
      </c>
      <c r="T298">
        <f t="shared" si="50"/>
        <v>11.336716049382716</v>
      </c>
      <c r="U298">
        <f t="shared" si="51"/>
        <v>15.307400845679011</v>
      </c>
      <c r="X298" s="9"/>
      <c r="Y298" s="22">
        <v>0.24978600000000001</v>
      </c>
      <c r="Z298" s="22">
        <v>16.861000000000001</v>
      </c>
      <c r="AA298" s="22">
        <v>-1.34796E-2</v>
      </c>
      <c r="AB298" s="22">
        <v>288</v>
      </c>
      <c r="AC298" s="22">
        <v>0.24917600000000001</v>
      </c>
      <c r="AD298">
        <f t="shared" si="52"/>
        <v>16.641481481481478</v>
      </c>
      <c r="AE298">
        <f t="shared" si="53"/>
        <v>4.1568090933333322</v>
      </c>
      <c r="AF298" s="9"/>
      <c r="AG298" s="22">
        <v>1.35025</v>
      </c>
      <c r="AH298" s="22">
        <v>20.4787</v>
      </c>
      <c r="AI298" s="22">
        <v>-9.1461200000000006E-3</v>
      </c>
      <c r="AJ298" s="22">
        <v>288</v>
      </c>
      <c r="AK298" s="22">
        <v>1.34918</v>
      </c>
      <c r="AL298">
        <f t="shared" si="54"/>
        <v>11.291506172839506</v>
      </c>
      <c r="AM298">
        <f t="shared" si="55"/>
        <v>15.246356209876543</v>
      </c>
      <c r="AP298" s="9"/>
      <c r="AQ298" s="22">
        <v>0.24978600000000001</v>
      </c>
      <c r="AR298" s="22">
        <v>25.796199999999999</v>
      </c>
      <c r="AS298" s="22">
        <v>-1.3378900000000001E-2</v>
      </c>
      <c r="AT298" s="22">
        <v>288</v>
      </c>
      <c r="AU298" s="22">
        <v>0.24917600000000001</v>
      </c>
      <c r="AV298">
        <f t="shared" si="56"/>
        <v>16.517160493827159</v>
      </c>
      <c r="AW298">
        <f t="shared" si="57"/>
        <v>4.125755451111111</v>
      </c>
      <c r="AX298" s="9"/>
      <c r="AY298" s="22">
        <v>1.35025</v>
      </c>
      <c r="AZ298" s="22">
        <v>29.414000000000001</v>
      </c>
      <c r="BA298" s="22">
        <v>-9.4329800000000005E-3</v>
      </c>
      <c r="BB298" s="22">
        <v>288</v>
      </c>
      <c r="BC298" s="22">
        <v>1.3494900000000001</v>
      </c>
      <c r="BD298">
        <f t="shared" si="58"/>
        <v>11.645654320987655</v>
      </c>
      <c r="BE298">
        <f t="shared" si="59"/>
        <v>15.72454474691358</v>
      </c>
    </row>
    <row r="299" spans="6:57">
      <c r="F299" s="9"/>
      <c r="G299" s="22">
        <v>0.244751</v>
      </c>
      <c r="H299" s="22">
        <v>7.9768400000000002</v>
      </c>
      <c r="I299" s="22">
        <v>-1.3504E-2</v>
      </c>
      <c r="J299" s="22">
        <v>289</v>
      </c>
      <c r="K299" s="22">
        <v>0.244202</v>
      </c>
      <c r="L299">
        <f t="shared" si="48"/>
        <v>16.671604938271606</v>
      </c>
      <c r="M299">
        <f t="shared" si="49"/>
        <v>4.0803919802469135</v>
      </c>
      <c r="N299" s="9"/>
      <c r="O299" s="22">
        <v>1.3552900000000001</v>
      </c>
      <c r="P299" s="22">
        <v>11.5946</v>
      </c>
      <c r="Q299" s="22">
        <v>-9.1033899999999994E-3</v>
      </c>
      <c r="R299" s="22">
        <v>289</v>
      </c>
      <c r="S299" s="22">
        <v>1.3546800000000001</v>
      </c>
      <c r="T299">
        <f t="shared" si="50"/>
        <v>11.238753086419752</v>
      </c>
      <c r="U299">
        <f t="shared" si="51"/>
        <v>15.231769670493827</v>
      </c>
      <c r="X299" s="9"/>
      <c r="Y299" s="22">
        <v>0.244751</v>
      </c>
      <c r="Z299" s="22">
        <v>16.870999999999999</v>
      </c>
      <c r="AA299" s="22">
        <v>-1.34827E-2</v>
      </c>
      <c r="AB299" s="22">
        <v>289</v>
      </c>
      <c r="AC299" s="22">
        <v>0.244171</v>
      </c>
      <c r="AD299">
        <f t="shared" si="52"/>
        <v>16.645308641975308</v>
      </c>
      <c r="AE299">
        <f t="shared" si="53"/>
        <v>4.0739559354320987</v>
      </c>
      <c r="AF299" s="9"/>
      <c r="AG299" s="22">
        <v>1.3552900000000001</v>
      </c>
      <c r="AH299" s="22">
        <v>20.488800000000001</v>
      </c>
      <c r="AI299" s="22">
        <v>-9.0728800000000002E-3</v>
      </c>
      <c r="AJ299" s="22">
        <v>289</v>
      </c>
      <c r="AK299" s="22">
        <v>1.3546800000000001</v>
      </c>
      <c r="AL299">
        <f t="shared" si="54"/>
        <v>11.201086419753086</v>
      </c>
      <c r="AM299">
        <f t="shared" si="55"/>
        <v>15.18072041382716</v>
      </c>
      <c r="AP299" s="9"/>
      <c r="AQ299" s="22">
        <v>0.244751</v>
      </c>
      <c r="AR299" s="22">
        <v>25.8063</v>
      </c>
      <c r="AS299" s="22">
        <v>-1.3378900000000001E-2</v>
      </c>
      <c r="AT299" s="22">
        <v>289</v>
      </c>
      <c r="AU299" s="22">
        <v>0.24410999999999999</v>
      </c>
      <c r="AV299">
        <f t="shared" si="56"/>
        <v>16.517160493827159</v>
      </c>
      <c r="AW299">
        <f t="shared" si="57"/>
        <v>4.0425915480246912</v>
      </c>
      <c r="AX299" s="9"/>
      <c r="AY299" s="22">
        <v>1.3552900000000001</v>
      </c>
      <c r="AZ299" s="22">
        <v>29.423999999999999</v>
      </c>
      <c r="BA299" s="22">
        <v>-9.3505900000000006E-3</v>
      </c>
      <c r="BB299" s="22">
        <v>289</v>
      </c>
      <c r="BC299" s="22">
        <v>1.3549800000000001</v>
      </c>
      <c r="BD299">
        <f t="shared" si="58"/>
        <v>11.543938271604938</v>
      </c>
      <c r="BE299">
        <f t="shared" si="59"/>
        <v>15.645384100123458</v>
      </c>
    </row>
    <row r="300" spans="6:57">
      <c r="F300" s="9"/>
      <c r="G300" s="22">
        <v>0.23971600000000001</v>
      </c>
      <c r="H300" s="22">
        <v>7.98691</v>
      </c>
      <c r="I300" s="22">
        <v>-1.3510100000000001E-2</v>
      </c>
      <c r="J300" s="22">
        <v>290</v>
      </c>
      <c r="K300" s="22">
        <v>0.23916599999999999</v>
      </c>
      <c r="L300">
        <f t="shared" si="48"/>
        <v>16.679135802469133</v>
      </c>
      <c r="M300">
        <f t="shared" si="49"/>
        <v>3.9982557180246912</v>
      </c>
      <c r="N300" s="9"/>
      <c r="O300" s="22">
        <v>1.36032</v>
      </c>
      <c r="P300" s="22">
        <v>11.604699999999999</v>
      </c>
      <c r="Q300" s="22">
        <v>-9.0240500000000005E-3</v>
      </c>
      <c r="R300" s="22">
        <v>290</v>
      </c>
      <c r="S300" s="22">
        <v>1.3586400000000001</v>
      </c>
      <c r="T300">
        <f t="shared" si="50"/>
        <v>11.140802469135803</v>
      </c>
      <c r="U300">
        <f t="shared" si="51"/>
        <v>15.155056414814815</v>
      </c>
      <c r="X300" s="9"/>
      <c r="Y300" s="22">
        <v>0.23971600000000001</v>
      </c>
      <c r="Z300" s="22">
        <v>16.8811</v>
      </c>
      <c r="AA300" s="22">
        <v>-1.34857E-2</v>
      </c>
      <c r="AB300" s="22">
        <v>290</v>
      </c>
      <c r="AC300" s="22">
        <v>0.23919699999999999</v>
      </c>
      <c r="AD300">
        <f t="shared" si="52"/>
        <v>16.649012345679012</v>
      </c>
      <c r="AE300">
        <f t="shared" si="53"/>
        <v>3.99103464345679</v>
      </c>
      <c r="AF300" s="9"/>
      <c r="AG300" s="22">
        <v>1.36032</v>
      </c>
      <c r="AH300" s="22">
        <v>20.498899999999999</v>
      </c>
      <c r="AI300" s="22">
        <v>-8.9904800000000003E-3</v>
      </c>
      <c r="AJ300" s="22">
        <v>290</v>
      </c>
      <c r="AK300" s="22">
        <v>1.3595600000000001</v>
      </c>
      <c r="AL300">
        <f t="shared" si="54"/>
        <v>11.099358024691359</v>
      </c>
      <c r="AM300">
        <f t="shared" si="55"/>
        <v>15.098678708148149</v>
      </c>
      <c r="AP300" s="9"/>
      <c r="AQ300" s="22">
        <v>0.23971600000000001</v>
      </c>
      <c r="AR300" s="22">
        <v>25.816299999999998</v>
      </c>
      <c r="AS300" s="22">
        <v>-1.3378900000000001E-2</v>
      </c>
      <c r="AT300" s="22">
        <v>290</v>
      </c>
      <c r="AU300" s="22">
        <v>0.23919699999999999</v>
      </c>
      <c r="AV300">
        <f t="shared" si="56"/>
        <v>16.517160493827159</v>
      </c>
      <c r="AW300">
        <f t="shared" si="57"/>
        <v>3.9594276449382715</v>
      </c>
      <c r="AX300" s="9"/>
      <c r="AY300" s="22">
        <v>1.36032</v>
      </c>
      <c r="AZ300" s="22">
        <v>29.434100000000001</v>
      </c>
      <c r="BA300" s="22">
        <v>-9.27124E-3</v>
      </c>
      <c r="BB300" s="22">
        <v>290</v>
      </c>
      <c r="BC300" s="22">
        <v>1.3595600000000001</v>
      </c>
      <c r="BD300">
        <f t="shared" si="58"/>
        <v>11.445975308641975</v>
      </c>
      <c r="BE300">
        <f t="shared" si="59"/>
        <v>15.570189131851851</v>
      </c>
    </row>
    <row r="301" spans="6:57">
      <c r="F301" s="9"/>
      <c r="G301" s="22">
        <v>0.23468</v>
      </c>
      <c r="H301" s="22">
        <v>7.9969799999999998</v>
      </c>
      <c r="I301" s="22">
        <v>-1.3516200000000001E-2</v>
      </c>
      <c r="J301" s="22">
        <v>291</v>
      </c>
      <c r="K301" s="22">
        <v>0.23416100000000001</v>
      </c>
      <c r="L301">
        <f t="shared" si="48"/>
        <v>16.686666666666664</v>
      </c>
      <c r="M301">
        <f t="shared" si="49"/>
        <v>3.9160269333333328</v>
      </c>
      <c r="N301" s="9"/>
      <c r="O301" s="22">
        <v>1.3653599999999999</v>
      </c>
      <c r="P301" s="22">
        <v>11.614699999999999</v>
      </c>
      <c r="Q301" s="22">
        <v>-8.9385999999999997E-3</v>
      </c>
      <c r="R301" s="22">
        <v>291</v>
      </c>
      <c r="S301" s="22">
        <v>1.3644400000000001</v>
      </c>
      <c r="T301">
        <f t="shared" si="50"/>
        <v>11.035308641975307</v>
      </c>
      <c r="U301">
        <f t="shared" si="51"/>
        <v>15.067169007407404</v>
      </c>
      <c r="X301" s="9"/>
      <c r="Y301" s="22">
        <v>0.23468</v>
      </c>
      <c r="Z301" s="22">
        <v>16.891200000000001</v>
      </c>
      <c r="AA301" s="22">
        <v>-1.34918E-2</v>
      </c>
      <c r="AB301" s="22">
        <v>291</v>
      </c>
      <c r="AC301" s="22">
        <v>0.23416100000000001</v>
      </c>
      <c r="AD301">
        <f t="shared" si="52"/>
        <v>16.656543209876542</v>
      </c>
      <c r="AE301">
        <f t="shared" si="53"/>
        <v>3.9089575604938269</v>
      </c>
      <c r="AF301" s="9"/>
      <c r="AG301" s="22">
        <v>1.3653599999999999</v>
      </c>
      <c r="AH301" s="22">
        <v>20.509</v>
      </c>
      <c r="AI301" s="22">
        <v>-8.9080800000000005E-3</v>
      </c>
      <c r="AJ301" s="22">
        <v>291</v>
      </c>
      <c r="AK301" s="22">
        <v>1.3641399999999999</v>
      </c>
      <c r="AL301">
        <f t="shared" si="54"/>
        <v>10.99762962962963</v>
      </c>
      <c r="AM301">
        <f t="shared" si="55"/>
        <v>15.015723591111112</v>
      </c>
      <c r="AP301" s="9"/>
      <c r="AQ301" s="22">
        <v>0.23468</v>
      </c>
      <c r="AR301" s="22">
        <v>25.8264</v>
      </c>
      <c r="AS301" s="22">
        <v>-1.3378900000000001E-2</v>
      </c>
      <c r="AT301" s="22">
        <v>291</v>
      </c>
      <c r="AU301" s="22">
        <v>0.2341</v>
      </c>
      <c r="AV301">
        <f t="shared" si="56"/>
        <v>16.517160493827159</v>
      </c>
      <c r="AW301">
        <f t="shared" si="57"/>
        <v>3.8762472246913577</v>
      </c>
      <c r="AX301" s="9"/>
      <c r="AY301" s="22">
        <v>1.3653599999999999</v>
      </c>
      <c r="AZ301" s="22">
        <v>29.444199999999999</v>
      </c>
      <c r="BA301" s="22">
        <v>-9.1857899999999992E-3</v>
      </c>
      <c r="BB301" s="22">
        <v>291</v>
      </c>
      <c r="BC301" s="22">
        <v>1.3641399999999999</v>
      </c>
      <c r="BD301">
        <f t="shared" si="58"/>
        <v>11.340481481481479</v>
      </c>
      <c r="BE301">
        <f t="shared" si="59"/>
        <v>15.483839795555552</v>
      </c>
    </row>
    <row r="302" spans="6:57">
      <c r="F302" s="9"/>
      <c r="G302" s="22">
        <v>0.22964499999999999</v>
      </c>
      <c r="H302" s="22">
        <v>8.0070499999999996</v>
      </c>
      <c r="I302" s="22">
        <v>-1.3510100000000001E-2</v>
      </c>
      <c r="J302" s="22">
        <v>292</v>
      </c>
      <c r="K302" s="22">
        <v>0.22906499999999999</v>
      </c>
      <c r="L302">
        <f t="shared" si="48"/>
        <v>16.679135802469133</v>
      </c>
      <c r="M302">
        <f t="shared" si="49"/>
        <v>3.8302801413580241</v>
      </c>
      <c r="N302" s="9"/>
      <c r="O302" s="22">
        <v>1.37039</v>
      </c>
      <c r="P302" s="22">
        <v>11.6248</v>
      </c>
      <c r="Q302" s="22">
        <v>-8.8470500000000004E-3</v>
      </c>
      <c r="R302" s="22">
        <v>292</v>
      </c>
      <c r="S302" s="22">
        <v>1.3696299999999999</v>
      </c>
      <c r="T302">
        <f t="shared" si="50"/>
        <v>10.922283950617285</v>
      </c>
      <c r="U302">
        <f t="shared" si="51"/>
        <v>14.96778870308642</v>
      </c>
      <c r="X302" s="9"/>
      <c r="Y302" s="22">
        <v>0.22964499999999999</v>
      </c>
      <c r="Z302" s="22">
        <v>16.901299999999999</v>
      </c>
      <c r="AA302" s="22">
        <v>-1.3501000000000001E-2</v>
      </c>
      <c r="AB302" s="22">
        <v>292</v>
      </c>
      <c r="AC302" s="22">
        <v>0.22909499999999999</v>
      </c>
      <c r="AD302">
        <f t="shared" si="52"/>
        <v>16.667901234567903</v>
      </c>
      <c r="AE302">
        <f t="shared" si="53"/>
        <v>3.8277001790123459</v>
      </c>
      <c r="AF302" s="9"/>
      <c r="AG302" s="22">
        <v>1.37039</v>
      </c>
      <c r="AH302" s="22">
        <v>20.518999999999998</v>
      </c>
      <c r="AI302" s="22">
        <v>-8.8256800000000007E-3</v>
      </c>
      <c r="AJ302" s="22">
        <v>292</v>
      </c>
      <c r="AK302" s="22">
        <v>1.3693200000000001</v>
      </c>
      <c r="AL302">
        <f t="shared" si="54"/>
        <v>10.895901234567901</v>
      </c>
      <c r="AM302">
        <f t="shared" si="55"/>
        <v>14.931634092839506</v>
      </c>
      <c r="AP302" s="9"/>
      <c r="AQ302" s="22">
        <v>0.22964499999999999</v>
      </c>
      <c r="AR302" s="22">
        <v>25.836500000000001</v>
      </c>
      <c r="AS302" s="22">
        <v>-1.3372800000000001E-2</v>
      </c>
      <c r="AT302" s="22">
        <v>292</v>
      </c>
      <c r="AU302" s="22">
        <v>0.229156</v>
      </c>
      <c r="AV302">
        <f t="shared" si="56"/>
        <v>16.509629629629632</v>
      </c>
      <c r="AW302">
        <f t="shared" si="57"/>
        <v>3.7913538962962967</v>
      </c>
      <c r="AX302" s="9"/>
      <c r="AY302" s="22">
        <v>1.37039</v>
      </c>
      <c r="AZ302" s="22">
        <v>29.4543</v>
      </c>
      <c r="BA302" s="22">
        <v>-9.1003400000000002E-3</v>
      </c>
      <c r="BB302" s="22">
        <v>292</v>
      </c>
      <c r="BC302" s="22">
        <v>1.3690199999999999</v>
      </c>
      <c r="BD302">
        <f t="shared" si="58"/>
        <v>11.234987654320987</v>
      </c>
      <c r="BE302">
        <f t="shared" si="59"/>
        <v>15.396314731604937</v>
      </c>
    </row>
    <row r="303" spans="6:57">
      <c r="F303" s="9"/>
      <c r="G303" s="22">
        <v>0.224609</v>
      </c>
      <c r="H303" s="22">
        <v>8.0171200000000002</v>
      </c>
      <c r="I303" s="22">
        <v>-1.35132E-2</v>
      </c>
      <c r="J303" s="22">
        <v>293</v>
      </c>
      <c r="K303" s="22">
        <v>0.22409100000000001</v>
      </c>
      <c r="L303">
        <f t="shared" si="48"/>
        <v>16.682962962962961</v>
      </c>
      <c r="M303">
        <f t="shared" si="49"/>
        <v>3.7471436281481476</v>
      </c>
      <c r="N303" s="9"/>
      <c r="O303" s="22">
        <v>1.3754299999999999</v>
      </c>
      <c r="P303" s="22">
        <v>11.6349</v>
      </c>
      <c r="Q303" s="22">
        <v>-8.7554899999999995E-3</v>
      </c>
      <c r="R303" s="22">
        <v>293</v>
      </c>
      <c r="S303" s="22">
        <v>1.3742099999999999</v>
      </c>
      <c r="T303">
        <f t="shared" si="50"/>
        <v>10.809246913580246</v>
      </c>
      <c r="U303">
        <f t="shared" si="51"/>
        <v>14.867362482345676</v>
      </c>
      <c r="X303" s="9"/>
      <c r="Y303" s="22">
        <v>0.224609</v>
      </c>
      <c r="Z303" s="22">
        <v>16.911300000000001</v>
      </c>
      <c r="AA303" s="22">
        <v>-1.34979E-2</v>
      </c>
      <c r="AB303" s="22">
        <v>293</v>
      </c>
      <c r="AC303" s="22">
        <v>0.22409100000000001</v>
      </c>
      <c r="AD303">
        <f t="shared" si="52"/>
        <v>16.664074074074072</v>
      </c>
      <c r="AE303">
        <f t="shared" si="53"/>
        <v>3.7429010137037033</v>
      </c>
      <c r="AF303" s="9"/>
      <c r="AG303" s="22">
        <v>1.3754299999999999</v>
      </c>
      <c r="AH303" s="22">
        <v>20.5291</v>
      </c>
      <c r="AI303" s="22">
        <v>-8.74634E-3</v>
      </c>
      <c r="AJ303" s="22">
        <v>293</v>
      </c>
      <c r="AK303" s="22">
        <v>1.3745099999999999</v>
      </c>
      <c r="AL303">
        <f t="shared" si="54"/>
        <v>10.79795061728395</v>
      </c>
      <c r="AM303">
        <f t="shared" si="55"/>
        <v>14.851825217530862</v>
      </c>
      <c r="AP303" s="9"/>
      <c r="AQ303" s="22">
        <v>0.224609</v>
      </c>
      <c r="AR303" s="22">
        <v>25.846599999999999</v>
      </c>
      <c r="AS303" s="22">
        <v>-1.33606E-2</v>
      </c>
      <c r="AT303" s="22">
        <v>293</v>
      </c>
      <c r="AU303" s="22">
        <v>0.22406000000000001</v>
      </c>
      <c r="AV303">
        <f t="shared" si="56"/>
        <v>16.494567901234568</v>
      </c>
      <c r="AW303">
        <f t="shared" si="57"/>
        <v>3.704828401728395</v>
      </c>
      <c r="AX303" s="9"/>
      <c r="AY303" s="22">
        <v>1.3754299999999999</v>
      </c>
      <c r="AZ303" s="22">
        <v>29.464300000000001</v>
      </c>
      <c r="BA303" s="22">
        <v>-9.0209999999999995E-3</v>
      </c>
      <c r="BB303" s="22">
        <v>293</v>
      </c>
      <c r="BC303" s="22">
        <v>1.3748199999999999</v>
      </c>
      <c r="BD303">
        <f t="shared" si="58"/>
        <v>11.137037037037036</v>
      </c>
      <c r="BE303">
        <f t="shared" si="59"/>
        <v>15.318214851851849</v>
      </c>
    </row>
    <row r="304" spans="6:57">
      <c r="F304" s="9"/>
      <c r="G304" s="22">
        <v>0.21957399999999999</v>
      </c>
      <c r="H304" s="22">
        <v>8.0271899999999992</v>
      </c>
      <c r="I304" s="22">
        <v>-1.35193E-2</v>
      </c>
      <c r="J304" s="22">
        <v>294</v>
      </c>
      <c r="K304" s="22">
        <v>0.219055</v>
      </c>
      <c r="L304">
        <f t="shared" si="48"/>
        <v>16.690493827160495</v>
      </c>
      <c r="M304">
        <f t="shared" si="49"/>
        <v>3.6647984916049383</v>
      </c>
      <c r="N304" s="9"/>
      <c r="O304" s="22">
        <v>1.38046</v>
      </c>
      <c r="P304" s="22">
        <v>11.645</v>
      </c>
      <c r="Q304" s="22">
        <v>-8.6608899999999992E-3</v>
      </c>
      <c r="R304" s="22">
        <v>294</v>
      </c>
      <c r="S304" s="22">
        <v>1.3793899999999999</v>
      </c>
      <c r="T304">
        <f t="shared" si="50"/>
        <v>10.692456790123456</v>
      </c>
      <c r="U304">
        <f t="shared" si="51"/>
        <v>14.760508900493827</v>
      </c>
      <c r="X304" s="9"/>
      <c r="Y304" s="22">
        <v>0.21957399999999999</v>
      </c>
      <c r="Z304" s="22">
        <v>16.921399999999998</v>
      </c>
      <c r="AA304" s="22">
        <v>-1.3504E-2</v>
      </c>
      <c r="AB304" s="22">
        <v>294</v>
      </c>
      <c r="AC304" s="22">
        <v>0.21899399999999999</v>
      </c>
      <c r="AD304">
        <f t="shared" si="52"/>
        <v>16.671604938271606</v>
      </c>
      <c r="AE304">
        <f t="shared" si="53"/>
        <v>3.6606509827160494</v>
      </c>
      <c r="AF304" s="9"/>
      <c r="AG304" s="22">
        <v>1.38046</v>
      </c>
      <c r="AH304" s="22">
        <v>20.539200000000001</v>
      </c>
      <c r="AI304" s="22">
        <v>-8.6608899999999992E-3</v>
      </c>
      <c r="AJ304" s="22">
        <v>294</v>
      </c>
      <c r="AK304" s="22">
        <v>1.3796999999999999</v>
      </c>
      <c r="AL304">
        <f t="shared" si="54"/>
        <v>10.692456790123456</v>
      </c>
      <c r="AM304">
        <f t="shared" si="55"/>
        <v>14.760508900493827</v>
      </c>
      <c r="AP304" s="9"/>
      <c r="AQ304" s="22">
        <v>0.21957399999999999</v>
      </c>
      <c r="AR304" s="22">
        <v>25.8566</v>
      </c>
      <c r="AS304" s="22">
        <v>-1.3351399999999999E-2</v>
      </c>
      <c r="AT304" s="22">
        <v>294</v>
      </c>
      <c r="AU304" s="22">
        <v>0.219055</v>
      </c>
      <c r="AV304">
        <f t="shared" si="56"/>
        <v>16.483209876543206</v>
      </c>
      <c r="AW304">
        <f t="shared" si="57"/>
        <v>3.6192843254320977</v>
      </c>
      <c r="AX304" s="9"/>
      <c r="AY304" s="22">
        <v>1.38046</v>
      </c>
      <c r="AZ304" s="22">
        <v>29.474399999999999</v>
      </c>
      <c r="BA304" s="22">
        <v>-8.9355500000000004E-3</v>
      </c>
      <c r="BB304" s="22">
        <v>294</v>
      </c>
      <c r="BC304" s="22">
        <v>1.3793899999999999</v>
      </c>
      <c r="BD304">
        <f t="shared" si="58"/>
        <v>11.031543209876542</v>
      </c>
      <c r="BE304">
        <f t="shared" si="59"/>
        <v>15.228604139506171</v>
      </c>
    </row>
    <row r="305" spans="6:57">
      <c r="F305" s="9"/>
      <c r="G305" s="22">
        <v>0.21453900000000001</v>
      </c>
      <c r="H305" s="22">
        <v>8.0372599999999998</v>
      </c>
      <c r="I305" s="22">
        <v>-1.35254E-2</v>
      </c>
      <c r="J305" s="22">
        <v>295</v>
      </c>
      <c r="K305" s="22">
        <v>0.21401999999999999</v>
      </c>
      <c r="L305">
        <f t="shared" si="48"/>
        <v>16.698024691358025</v>
      </c>
      <c r="M305">
        <f t="shared" si="49"/>
        <v>3.5823775192592593</v>
      </c>
      <c r="N305" s="9"/>
      <c r="O305" s="22">
        <v>1.3855</v>
      </c>
      <c r="P305" s="22">
        <v>11.654999999999999</v>
      </c>
      <c r="Q305" s="22">
        <v>-8.5693399999999999E-3</v>
      </c>
      <c r="R305" s="22">
        <v>295</v>
      </c>
      <c r="S305" s="22">
        <v>1.3845799999999999</v>
      </c>
      <c r="T305">
        <f t="shared" si="50"/>
        <v>10.579432098765432</v>
      </c>
      <c r="U305">
        <f t="shared" si="51"/>
        <v>14.657803172839506</v>
      </c>
      <c r="X305" s="9"/>
      <c r="Y305" s="22">
        <v>0.21453900000000001</v>
      </c>
      <c r="Z305" s="22">
        <v>16.9315</v>
      </c>
      <c r="AA305" s="22">
        <v>-1.3516200000000001E-2</v>
      </c>
      <c r="AB305" s="22">
        <v>295</v>
      </c>
      <c r="AC305" s="22">
        <v>0.21398900000000001</v>
      </c>
      <c r="AD305">
        <f t="shared" si="52"/>
        <v>16.686666666666664</v>
      </c>
      <c r="AE305">
        <f t="shared" si="53"/>
        <v>3.5799407799999994</v>
      </c>
      <c r="AF305" s="9"/>
      <c r="AG305" s="22">
        <v>1.3855</v>
      </c>
      <c r="AH305" s="22">
        <v>20.549199999999999</v>
      </c>
      <c r="AI305" s="22">
        <v>-8.5784899999999994E-3</v>
      </c>
      <c r="AJ305" s="22">
        <v>295</v>
      </c>
      <c r="AK305" s="22">
        <v>1.38428</v>
      </c>
      <c r="AL305">
        <f t="shared" si="54"/>
        <v>10.590728395061728</v>
      </c>
      <c r="AM305">
        <f t="shared" si="55"/>
        <v>14.673454191358024</v>
      </c>
      <c r="AP305" s="9"/>
      <c r="AQ305" s="22">
        <v>0.21453900000000001</v>
      </c>
      <c r="AR305" s="22">
        <v>25.866700000000002</v>
      </c>
      <c r="AS305" s="22">
        <v>-1.33545E-2</v>
      </c>
      <c r="AT305" s="22">
        <v>295</v>
      </c>
      <c r="AU305" s="22">
        <v>0.21395900000000001</v>
      </c>
      <c r="AV305">
        <f t="shared" si="56"/>
        <v>16.487037037037037</v>
      </c>
      <c r="AW305">
        <f t="shared" si="57"/>
        <v>3.5371124388888893</v>
      </c>
      <c r="AX305" s="9"/>
      <c r="AY305" s="22">
        <v>1.3855</v>
      </c>
      <c r="AZ305" s="22">
        <v>29.484500000000001</v>
      </c>
      <c r="BA305" s="22">
        <v>-8.8500999999999996E-3</v>
      </c>
      <c r="BB305" s="22">
        <v>295</v>
      </c>
      <c r="BC305" s="22">
        <v>1.38489</v>
      </c>
      <c r="BD305">
        <f t="shared" si="58"/>
        <v>10.926049382716048</v>
      </c>
      <c r="BE305">
        <f t="shared" si="59"/>
        <v>15.138041419753083</v>
      </c>
    </row>
    <row r="306" spans="6:57">
      <c r="F306" s="9"/>
      <c r="G306" s="22">
        <v>0.20950299999999999</v>
      </c>
      <c r="H306" s="22">
        <v>8.0473400000000002</v>
      </c>
      <c r="I306" s="22">
        <v>-1.35315E-2</v>
      </c>
      <c r="J306" s="22">
        <v>296</v>
      </c>
      <c r="K306" s="22">
        <v>0.208954</v>
      </c>
      <c r="L306">
        <f t="shared" si="48"/>
        <v>16.705555555555552</v>
      </c>
      <c r="M306">
        <f t="shared" si="49"/>
        <v>3.4998640055555548</v>
      </c>
      <c r="N306" s="9"/>
      <c r="O306" s="22">
        <v>1.39053</v>
      </c>
      <c r="P306" s="22">
        <v>11.665100000000001</v>
      </c>
      <c r="Q306" s="22">
        <v>-8.4777800000000007E-3</v>
      </c>
      <c r="R306" s="22">
        <v>296</v>
      </c>
      <c r="S306" s="22">
        <v>1.3897699999999999</v>
      </c>
      <c r="T306">
        <f t="shared" si="50"/>
        <v>10.466395061728395</v>
      </c>
      <c r="U306">
        <f t="shared" si="51"/>
        <v>14.553836325185186</v>
      </c>
      <c r="X306" s="9"/>
      <c r="Y306" s="22">
        <v>0.20950299999999999</v>
      </c>
      <c r="Z306" s="22">
        <v>16.941500000000001</v>
      </c>
      <c r="AA306" s="22">
        <v>-1.3516200000000001E-2</v>
      </c>
      <c r="AB306" s="22">
        <v>296</v>
      </c>
      <c r="AC306" s="22">
        <v>0.20901500000000001</v>
      </c>
      <c r="AD306">
        <f t="shared" si="52"/>
        <v>16.686666666666664</v>
      </c>
      <c r="AE306">
        <f t="shared" si="53"/>
        <v>3.4959067266666661</v>
      </c>
      <c r="AF306" s="9"/>
      <c r="AG306" s="22">
        <v>1.39053</v>
      </c>
      <c r="AH306" s="22">
        <v>20.5593</v>
      </c>
      <c r="AI306" s="22">
        <v>-8.4930400000000003E-3</v>
      </c>
      <c r="AJ306" s="22">
        <v>296</v>
      </c>
      <c r="AK306" s="22">
        <v>1.38947</v>
      </c>
      <c r="AL306">
        <f t="shared" si="54"/>
        <v>10.485234567901234</v>
      </c>
      <c r="AM306">
        <f t="shared" si="55"/>
        <v>14.580033223703703</v>
      </c>
      <c r="AP306" s="9"/>
      <c r="AQ306" s="22">
        <v>0.20950299999999999</v>
      </c>
      <c r="AR306" s="22">
        <v>25.876799999999999</v>
      </c>
      <c r="AS306" s="22">
        <v>-1.33667E-2</v>
      </c>
      <c r="AT306" s="22">
        <v>296</v>
      </c>
      <c r="AU306" s="22">
        <v>0.20904500000000001</v>
      </c>
      <c r="AV306">
        <f t="shared" si="56"/>
        <v>16.502098765432098</v>
      </c>
      <c r="AW306">
        <f t="shared" si="57"/>
        <v>3.4572391976543209</v>
      </c>
      <c r="AX306" s="9"/>
      <c r="AY306" s="22">
        <v>1.39053</v>
      </c>
      <c r="AZ306" s="22">
        <v>29.494499999999999</v>
      </c>
      <c r="BA306" s="22">
        <v>-8.7615999999999996E-3</v>
      </c>
      <c r="BB306" s="22">
        <v>296</v>
      </c>
      <c r="BC306" s="22">
        <v>1.38947</v>
      </c>
      <c r="BD306">
        <f t="shared" si="58"/>
        <v>10.816790123456789</v>
      </c>
      <c r="BE306">
        <f t="shared" si="59"/>
        <v>15.041071170370369</v>
      </c>
    </row>
    <row r="307" spans="6:57">
      <c r="F307" s="9"/>
      <c r="G307" s="22">
        <v>0.20446800000000001</v>
      </c>
      <c r="H307" s="22">
        <v>8.0574100000000008</v>
      </c>
      <c r="I307" s="22">
        <v>-1.3528399999999999E-2</v>
      </c>
      <c r="J307" s="22">
        <v>297</v>
      </c>
      <c r="K307" s="22">
        <v>0.20394899999999999</v>
      </c>
      <c r="L307">
        <f t="shared" si="48"/>
        <v>16.701728395061725</v>
      </c>
      <c r="M307">
        <f t="shared" si="49"/>
        <v>3.4149690014814809</v>
      </c>
      <c r="N307" s="9"/>
      <c r="O307" s="22">
        <v>1.39557</v>
      </c>
      <c r="P307" s="22">
        <v>11.6752</v>
      </c>
      <c r="Q307" s="22">
        <v>-8.3831800000000005E-3</v>
      </c>
      <c r="R307" s="22">
        <v>297</v>
      </c>
      <c r="S307" s="22">
        <v>1.39496</v>
      </c>
      <c r="T307">
        <f t="shared" si="50"/>
        <v>10.349604938271604</v>
      </c>
      <c r="U307">
        <f t="shared" si="51"/>
        <v>14.443598163703701</v>
      </c>
      <c r="X307" s="9"/>
      <c r="Y307" s="22">
        <v>0.20446800000000001</v>
      </c>
      <c r="Z307" s="22">
        <v>16.951599999999999</v>
      </c>
      <c r="AA307" s="22">
        <v>-1.3507099999999999E-2</v>
      </c>
      <c r="AB307" s="22">
        <v>297</v>
      </c>
      <c r="AC307" s="22">
        <v>0.20391799999999999</v>
      </c>
      <c r="AD307">
        <f t="shared" si="52"/>
        <v>16.67543209876543</v>
      </c>
      <c r="AE307">
        <f t="shared" si="53"/>
        <v>3.4095922503703702</v>
      </c>
      <c r="AF307" s="9"/>
      <c r="AG307" s="22">
        <v>1.39557</v>
      </c>
      <c r="AH307" s="22">
        <v>20.569400000000002</v>
      </c>
      <c r="AI307" s="22">
        <v>-8.3953900000000008E-3</v>
      </c>
      <c r="AJ307" s="22">
        <v>297</v>
      </c>
      <c r="AK307" s="22">
        <v>1.39435</v>
      </c>
      <c r="AL307">
        <f t="shared" si="54"/>
        <v>10.364679012345681</v>
      </c>
      <c r="AM307">
        <f t="shared" si="55"/>
        <v>14.464635089259261</v>
      </c>
      <c r="AP307" s="9"/>
      <c r="AQ307" s="22">
        <v>0.20446800000000001</v>
      </c>
      <c r="AR307" s="22">
        <v>25.886800000000001</v>
      </c>
      <c r="AS307" s="22">
        <v>-1.3378900000000001E-2</v>
      </c>
      <c r="AT307" s="22">
        <v>297</v>
      </c>
      <c r="AU307" s="22">
        <v>0.20388800000000001</v>
      </c>
      <c r="AV307">
        <f t="shared" si="56"/>
        <v>16.517160493827159</v>
      </c>
      <c r="AW307">
        <f t="shared" si="57"/>
        <v>3.3772307718518517</v>
      </c>
      <c r="AX307" s="9"/>
      <c r="AY307" s="22">
        <v>1.39557</v>
      </c>
      <c r="AZ307" s="22">
        <v>29.5046</v>
      </c>
      <c r="BA307" s="22">
        <v>-8.6669899999999994E-3</v>
      </c>
      <c r="BB307" s="22">
        <v>297</v>
      </c>
      <c r="BC307" s="22">
        <v>1.3946499999999999</v>
      </c>
      <c r="BD307">
        <f t="shared" si="58"/>
        <v>10.699987654320985</v>
      </c>
      <c r="BE307">
        <f t="shared" si="59"/>
        <v>14.932581770740738</v>
      </c>
    </row>
    <row r="308" spans="6:57">
      <c r="F308" s="9"/>
      <c r="G308" s="22">
        <v>0.199432</v>
      </c>
      <c r="H308" s="22">
        <v>8.0674799999999998</v>
      </c>
      <c r="I308" s="22">
        <v>-1.35345E-2</v>
      </c>
      <c r="J308" s="22">
        <v>298</v>
      </c>
      <c r="K308" s="22">
        <v>0.19894400000000001</v>
      </c>
      <c r="L308">
        <f t="shared" si="48"/>
        <v>16.709259259259255</v>
      </c>
      <c r="M308">
        <f t="shared" si="49"/>
        <v>3.3323609925925917</v>
      </c>
      <c r="N308" s="9"/>
      <c r="O308" s="22">
        <v>1.4006000000000001</v>
      </c>
      <c r="P308" s="22">
        <v>11.6852</v>
      </c>
      <c r="Q308" s="22">
        <v>-8.2824700000000001E-3</v>
      </c>
      <c r="R308" s="22">
        <v>298</v>
      </c>
      <c r="S308" s="22">
        <v>1.39954</v>
      </c>
      <c r="T308">
        <f t="shared" si="50"/>
        <v>10.225271604938271</v>
      </c>
      <c r="U308">
        <f t="shared" si="51"/>
        <v>14.321515409876543</v>
      </c>
      <c r="X308" s="9"/>
      <c r="Y308" s="22">
        <v>0.199432</v>
      </c>
      <c r="Z308" s="22">
        <v>16.9617</v>
      </c>
      <c r="AA308" s="22">
        <v>-1.3510100000000001E-2</v>
      </c>
      <c r="AB308" s="22">
        <v>298</v>
      </c>
      <c r="AC308" s="22">
        <v>0.19891400000000001</v>
      </c>
      <c r="AD308">
        <f t="shared" si="52"/>
        <v>16.679135802469133</v>
      </c>
      <c r="AE308">
        <f t="shared" si="53"/>
        <v>3.3263534113580242</v>
      </c>
      <c r="AF308" s="9"/>
      <c r="AG308" s="22">
        <v>1.4006000000000001</v>
      </c>
      <c r="AH308" s="22">
        <v>20.579499999999999</v>
      </c>
      <c r="AI308" s="22">
        <v>-8.2977299999999997E-3</v>
      </c>
      <c r="AJ308" s="22">
        <v>298</v>
      </c>
      <c r="AK308" s="22">
        <v>1.39954</v>
      </c>
      <c r="AL308">
        <f t="shared" si="54"/>
        <v>10.24411111111111</v>
      </c>
      <c r="AM308">
        <f t="shared" si="55"/>
        <v>14.347902022222222</v>
      </c>
      <c r="AP308" s="9"/>
      <c r="AQ308" s="22">
        <v>0.199432</v>
      </c>
      <c r="AR308" s="22">
        <v>25.896899999999999</v>
      </c>
      <c r="AS308" s="22">
        <v>-1.3382E-2</v>
      </c>
      <c r="AT308" s="22">
        <v>298</v>
      </c>
      <c r="AU308" s="22">
        <v>0.198883</v>
      </c>
      <c r="AV308">
        <f t="shared" si="56"/>
        <v>16.520987654320987</v>
      </c>
      <c r="AW308">
        <f t="shared" si="57"/>
        <v>3.294813609876543</v>
      </c>
      <c r="AX308" s="9"/>
      <c r="AY308" s="22">
        <v>1.4006000000000001</v>
      </c>
      <c r="AZ308" s="22">
        <v>29.514700000000001</v>
      </c>
      <c r="BA308" s="22">
        <v>-8.5754400000000001E-3</v>
      </c>
      <c r="BB308" s="22">
        <v>298</v>
      </c>
      <c r="BC308" s="22">
        <v>1.39954</v>
      </c>
      <c r="BD308">
        <f t="shared" si="58"/>
        <v>10.586962962962962</v>
      </c>
      <c r="BE308">
        <f t="shared" si="59"/>
        <v>14.828100325925925</v>
      </c>
    </row>
    <row r="309" spans="6:57">
      <c r="F309" s="9"/>
      <c r="G309" s="22">
        <v>0.19439699999999999</v>
      </c>
      <c r="H309" s="22">
        <v>8.0775500000000005</v>
      </c>
      <c r="I309" s="22">
        <v>-1.35345E-2</v>
      </c>
      <c r="J309" s="22">
        <v>299</v>
      </c>
      <c r="K309" s="22">
        <v>0.19387799999999999</v>
      </c>
      <c r="L309">
        <f t="shared" si="48"/>
        <v>16.709259259259255</v>
      </c>
      <c r="M309">
        <f t="shared" si="49"/>
        <v>3.2482298722222214</v>
      </c>
      <c r="N309" s="9"/>
      <c r="O309" s="22">
        <v>1.40564</v>
      </c>
      <c r="P309" s="22">
        <v>11.6953</v>
      </c>
      <c r="Q309" s="22">
        <v>-8.1848100000000007E-3</v>
      </c>
      <c r="R309" s="22">
        <v>299</v>
      </c>
      <c r="S309" s="22">
        <v>1.40503</v>
      </c>
      <c r="T309">
        <f t="shared" si="50"/>
        <v>10.104703703703704</v>
      </c>
      <c r="U309">
        <f t="shared" si="51"/>
        <v>14.203575714074075</v>
      </c>
      <c r="X309" s="9"/>
      <c r="Y309" s="22">
        <v>0.19439699999999999</v>
      </c>
      <c r="Z309" s="22">
        <v>16.971800000000002</v>
      </c>
      <c r="AA309" s="22">
        <v>-1.3516200000000001E-2</v>
      </c>
      <c r="AB309" s="22">
        <v>299</v>
      </c>
      <c r="AC309" s="22">
        <v>0.19387799999999999</v>
      </c>
      <c r="AD309">
        <f t="shared" si="52"/>
        <v>16.686666666666664</v>
      </c>
      <c r="AE309">
        <f t="shared" si="53"/>
        <v>3.2438379399999993</v>
      </c>
      <c r="AF309" s="9"/>
      <c r="AG309" s="22">
        <v>1.40564</v>
      </c>
      <c r="AH309" s="22">
        <v>20.589500000000001</v>
      </c>
      <c r="AI309" s="22">
        <v>-8.1909200000000008E-3</v>
      </c>
      <c r="AJ309" s="22">
        <v>299</v>
      </c>
      <c r="AK309" s="22">
        <v>1.40472</v>
      </c>
      <c r="AL309">
        <f t="shared" si="54"/>
        <v>10.112246913580249</v>
      </c>
      <c r="AM309">
        <f t="shared" si="55"/>
        <v>14.21417875160494</v>
      </c>
      <c r="AP309" s="9"/>
      <c r="AQ309" s="22">
        <v>0.19439699999999999</v>
      </c>
      <c r="AR309" s="22">
        <v>25.907</v>
      </c>
      <c r="AS309" s="22">
        <v>-1.3382E-2</v>
      </c>
      <c r="AT309" s="22">
        <v>299</v>
      </c>
      <c r="AU309" s="22">
        <v>0.19381699999999999</v>
      </c>
      <c r="AV309">
        <f t="shared" si="56"/>
        <v>16.520987654320987</v>
      </c>
      <c r="AW309">
        <f t="shared" si="57"/>
        <v>3.2116304370370368</v>
      </c>
      <c r="AX309" s="9"/>
      <c r="AY309" s="22">
        <v>1.40564</v>
      </c>
      <c r="AZ309" s="22">
        <v>29.524699999999999</v>
      </c>
      <c r="BA309" s="22">
        <v>-8.4777800000000007E-3</v>
      </c>
      <c r="BB309" s="22">
        <v>299</v>
      </c>
      <c r="BC309" s="22">
        <v>1.40533</v>
      </c>
      <c r="BD309">
        <f t="shared" si="58"/>
        <v>10.466395061728395</v>
      </c>
      <c r="BE309">
        <f t="shared" si="59"/>
        <v>14.711983554567901</v>
      </c>
    </row>
    <row r="310" spans="6:57">
      <c r="F310" s="9"/>
      <c r="G310" s="22">
        <v>0.189362</v>
      </c>
      <c r="H310" s="22">
        <v>8.0876199999999994</v>
      </c>
      <c r="I310" s="22">
        <v>-1.3522299999999999E-2</v>
      </c>
      <c r="J310" s="22">
        <v>300</v>
      </c>
      <c r="K310" s="22">
        <v>0.18884300000000001</v>
      </c>
      <c r="L310">
        <f t="shared" si="48"/>
        <v>16.694197530864194</v>
      </c>
      <c r="M310">
        <f t="shared" si="49"/>
        <v>3.1612466328395055</v>
      </c>
      <c r="N310" s="9"/>
      <c r="O310" s="22">
        <v>1.4106799999999999</v>
      </c>
      <c r="P310" s="22">
        <v>11.705399999999999</v>
      </c>
      <c r="Q310" s="22">
        <v>-8.0902100000000005E-3</v>
      </c>
      <c r="R310" s="22">
        <v>300</v>
      </c>
      <c r="S310" s="22">
        <v>1.40991</v>
      </c>
      <c r="T310">
        <f t="shared" si="50"/>
        <v>9.9879135802469143</v>
      </c>
      <c r="U310">
        <f t="shared" si="51"/>
        <v>14.089749929382716</v>
      </c>
      <c r="X310" s="9"/>
      <c r="Y310" s="22">
        <v>0.189362</v>
      </c>
      <c r="Z310" s="22">
        <v>16.9818</v>
      </c>
      <c r="AA310" s="22">
        <v>-1.3522299999999999E-2</v>
      </c>
      <c r="AB310" s="22">
        <v>300</v>
      </c>
      <c r="AC310" s="22">
        <v>0.18878200000000001</v>
      </c>
      <c r="AD310">
        <f t="shared" si="52"/>
        <v>16.694197530864194</v>
      </c>
      <c r="AE310">
        <f t="shared" si="53"/>
        <v>3.1612466328395055</v>
      </c>
      <c r="AF310" s="9"/>
      <c r="AG310" s="22">
        <v>1.4106799999999999</v>
      </c>
      <c r="AH310" s="22">
        <v>20.599599999999999</v>
      </c>
      <c r="AI310" s="22">
        <v>-8.0932599999999997E-3</v>
      </c>
      <c r="AJ310" s="22">
        <v>300</v>
      </c>
      <c r="AK310" s="22">
        <v>1.40991</v>
      </c>
      <c r="AL310">
        <f t="shared" si="54"/>
        <v>9.9916790123456778</v>
      </c>
      <c r="AM310">
        <f t="shared" si="55"/>
        <v>14.0950617491358</v>
      </c>
      <c r="AP310" s="9"/>
      <c r="AQ310" s="22">
        <v>0.189362</v>
      </c>
      <c r="AR310" s="22">
        <v>25.917000000000002</v>
      </c>
      <c r="AS310" s="22">
        <v>-1.33881E-2</v>
      </c>
      <c r="AT310" s="22">
        <v>300</v>
      </c>
      <c r="AU310" s="22">
        <v>0.18881200000000001</v>
      </c>
      <c r="AV310">
        <f t="shared" si="56"/>
        <v>16.528518518518517</v>
      </c>
      <c r="AW310">
        <f t="shared" si="57"/>
        <v>3.1298733237037033</v>
      </c>
      <c r="AX310" s="9"/>
      <c r="AY310" s="22">
        <v>1.4106799999999999</v>
      </c>
      <c r="AZ310" s="22">
        <v>29.534800000000001</v>
      </c>
      <c r="BA310" s="22">
        <v>-8.3831800000000005E-3</v>
      </c>
      <c r="BB310" s="22">
        <v>300</v>
      </c>
      <c r="BC310" s="22">
        <v>1.40961</v>
      </c>
      <c r="BD310">
        <f t="shared" si="58"/>
        <v>10.349604938271604</v>
      </c>
      <c r="BE310">
        <f t="shared" si="59"/>
        <v>14.599980694320985</v>
      </c>
    </row>
    <row r="311" spans="6:57">
      <c r="F311" s="9"/>
      <c r="G311" s="22">
        <v>0.18432599999999999</v>
      </c>
      <c r="H311" s="22">
        <v>8.0976900000000001</v>
      </c>
      <c r="I311" s="22">
        <v>-1.35254E-2</v>
      </c>
      <c r="J311" s="22">
        <v>301</v>
      </c>
      <c r="K311" s="22">
        <v>0.183807</v>
      </c>
      <c r="L311">
        <f t="shared" si="48"/>
        <v>16.698024691358025</v>
      </c>
      <c r="M311">
        <f t="shared" si="49"/>
        <v>3.077880099259259</v>
      </c>
      <c r="N311" s="9"/>
      <c r="O311" s="22">
        <v>1.41571</v>
      </c>
      <c r="P311" s="22">
        <v>11.7155</v>
      </c>
      <c r="Q311" s="22">
        <v>-8.0047599999999997E-3</v>
      </c>
      <c r="R311" s="22">
        <v>301</v>
      </c>
      <c r="S311" s="22">
        <v>1.41449</v>
      </c>
      <c r="T311">
        <f t="shared" si="50"/>
        <v>9.8824197530864204</v>
      </c>
      <c r="U311">
        <f t="shared" si="51"/>
        <v>13.990640468641976</v>
      </c>
      <c r="X311" s="9"/>
      <c r="Y311" s="22">
        <v>0.18432599999999999</v>
      </c>
      <c r="Z311" s="22">
        <v>16.991900000000001</v>
      </c>
      <c r="AA311" s="22">
        <v>-1.3522299999999999E-2</v>
      </c>
      <c r="AB311" s="22">
        <v>301</v>
      </c>
      <c r="AC311" s="22">
        <v>0.183838</v>
      </c>
      <c r="AD311">
        <f t="shared" si="52"/>
        <v>16.694197530864194</v>
      </c>
      <c r="AE311">
        <f t="shared" si="53"/>
        <v>3.0771746540740734</v>
      </c>
      <c r="AF311" s="9"/>
      <c r="AG311" s="22">
        <v>1.41571</v>
      </c>
      <c r="AH311" s="22">
        <v>20.6097</v>
      </c>
      <c r="AI311" s="22">
        <v>-7.9956100000000002E-3</v>
      </c>
      <c r="AJ311" s="22">
        <v>301</v>
      </c>
      <c r="AK311" s="22">
        <v>1.41449</v>
      </c>
      <c r="AL311">
        <f t="shared" si="54"/>
        <v>9.8711234567901247</v>
      </c>
      <c r="AM311">
        <f t="shared" si="55"/>
        <v>13.974648189012347</v>
      </c>
      <c r="AP311" s="9"/>
      <c r="AQ311" s="22">
        <v>0.18432599999999999</v>
      </c>
      <c r="AR311" s="22">
        <v>25.927099999999999</v>
      </c>
      <c r="AS311" s="22">
        <v>-1.3384999999999999E-2</v>
      </c>
      <c r="AT311" s="22">
        <v>301</v>
      </c>
      <c r="AU311" s="22">
        <v>0.183777</v>
      </c>
      <c r="AV311">
        <f t="shared" si="56"/>
        <v>16.52469135802469</v>
      </c>
      <c r="AW311">
        <f t="shared" si="57"/>
        <v>3.0459302592592588</v>
      </c>
      <c r="AX311" s="9"/>
      <c r="AY311" s="22">
        <v>1.41571</v>
      </c>
      <c r="AZ311" s="22">
        <v>29.544899999999998</v>
      </c>
      <c r="BA311" s="22">
        <v>-8.2855199999999993E-3</v>
      </c>
      <c r="BB311" s="22">
        <v>301</v>
      </c>
      <c r="BC311" s="22">
        <v>1.41418</v>
      </c>
      <c r="BD311">
        <f t="shared" si="58"/>
        <v>10.229037037037035</v>
      </c>
      <c r="BE311">
        <f t="shared" si="59"/>
        <v>14.481350023703701</v>
      </c>
    </row>
    <row r="312" spans="6:57">
      <c r="F312" s="9"/>
      <c r="G312" s="22">
        <v>0.17929100000000001</v>
      </c>
      <c r="H312" s="22">
        <v>8.1077600000000007</v>
      </c>
      <c r="I312" s="22">
        <v>-1.35254E-2</v>
      </c>
      <c r="J312" s="22">
        <v>302</v>
      </c>
      <c r="K312" s="22">
        <v>0.17874100000000001</v>
      </c>
      <c r="L312">
        <f t="shared" si="48"/>
        <v>16.698024691358025</v>
      </c>
      <c r="M312">
        <f t="shared" si="49"/>
        <v>2.9938055449382719</v>
      </c>
      <c r="N312" s="9"/>
      <c r="O312" s="22">
        <v>1.42075</v>
      </c>
      <c r="P312" s="22">
        <v>11.7255</v>
      </c>
      <c r="Q312" s="22">
        <v>-7.8979500000000008E-3</v>
      </c>
      <c r="R312" s="22">
        <v>302</v>
      </c>
      <c r="S312" s="22">
        <v>1.4202900000000001</v>
      </c>
      <c r="T312">
        <f t="shared" si="50"/>
        <v>9.7505555555555556</v>
      </c>
      <c r="U312">
        <f t="shared" si="51"/>
        <v>13.853101805555555</v>
      </c>
      <c r="X312" s="9"/>
      <c r="Y312" s="22">
        <v>0.17929100000000001</v>
      </c>
      <c r="Z312" s="22">
        <v>17.001999999999999</v>
      </c>
      <c r="AA312" s="22">
        <v>-1.3528399999999999E-2</v>
      </c>
      <c r="AB312" s="22">
        <v>302</v>
      </c>
      <c r="AC312" s="22">
        <v>0.17877199999999999</v>
      </c>
      <c r="AD312">
        <f t="shared" si="52"/>
        <v>16.701728395061725</v>
      </c>
      <c r="AE312">
        <f t="shared" si="53"/>
        <v>2.994469585679012</v>
      </c>
      <c r="AF312" s="9"/>
      <c r="AG312" s="22">
        <v>1.42075</v>
      </c>
      <c r="AH312" s="22">
        <v>20.619700000000002</v>
      </c>
      <c r="AI312" s="22">
        <v>-7.8948999999999998E-3</v>
      </c>
      <c r="AJ312" s="22">
        <v>302</v>
      </c>
      <c r="AK312" s="22">
        <v>1.41998</v>
      </c>
      <c r="AL312">
        <f t="shared" si="54"/>
        <v>9.7467901234567904</v>
      </c>
      <c r="AM312">
        <f t="shared" si="55"/>
        <v>13.847752067901235</v>
      </c>
      <c r="AP312" s="9"/>
      <c r="AQ312" s="22">
        <v>0.17929100000000001</v>
      </c>
      <c r="AR312" s="22">
        <v>25.937200000000001</v>
      </c>
      <c r="AS312" s="22">
        <v>-1.3382E-2</v>
      </c>
      <c r="AT312" s="22">
        <v>302</v>
      </c>
      <c r="AU312" s="22">
        <v>0.17880199999999999</v>
      </c>
      <c r="AV312">
        <f t="shared" si="56"/>
        <v>16.520987654320987</v>
      </c>
      <c r="AW312">
        <f t="shared" si="57"/>
        <v>2.962064397530864</v>
      </c>
      <c r="AX312" s="9"/>
      <c r="AY312" s="22">
        <v>1.42075</v>
      </c>
      <c r="AZ312" s="22">
        <v>29.555</v>
      </c>
      <c r="BA312" s="22">
        <v>-8.1817599999999997E-3</v>
      </c>
      <c r="BB312" s="22">
        <v>302</v>
      </c>
      <c r="BC312" s="22">
        <v>1.4202900000000001</v>
      </c>
      <c r="BD312">
        <f t="shared" si="58"/>
        <v>10.100938271604937</v>
      </c>
      <c r="BE312">
        <f t="shared" si="59"/>
        <v>14.350908049382713</v>
      </c>
    </row>
    <row r="313" spans="6:57">
      <c r="F313" s="9"/>
      <c r="G313" s="22">
        <v>0.17425499999999999</v>
      </c>
      <c r="H313" s="22">
        <v>8.1178299999999997</v>
      </c>
      <c r="I313" s="22">
        <v>-1.35345E-2</v>
      </c>
      <c r="J313" s="22">
        <v>303</v>
      </c>
      <c r="K313" s="22">
        <v>0.173706</v>
      </c>
      <c r="L313">
        <f t="shared" si="48"/>
        <v>16.709259259259255</v>
      </c>
      <c r="M313">
        <f t="shared" si="49"/>
        <v>2.9116719722222215</v>
      </c>
      <c r="N313" s="9"/>
      <c r="O313" s="22">
        <v>1.42578</v>
      </c>
      <c r="P313" s="22">
        <v>11.7356</v>
      </c>
      <c r="Q313" s="22">
        <v>-7.7941900000000003E-3</v>
      </c>
      <c r="R313" s="22">
        <v>303</v>
      </c>
      <c r="S313" s="22">
        <v>1.42517</v>
      </c>
      <c r="T313">
        <f t="shared" si="50"/>
        <v>9.6224567901234561</v>
      </c>
      <c r="U313">
        <f t="shared" si="51"/>
        <v>13.719506442222222</v>
      </c>
      <c r="X313" s="9"/>
      <c r="Y313" s="22">
        <v>0.17425499999999999</v>
      </c>
      <c r="Z313" s="22">
        <v>17.012</v>
      </c>
      <c r="AA313" s="22">
        <v>-1.35315E-2</v>
      </c>
      <c r="AB313" s="22">
        <v>303</v>
      </c>
      <c r="AC313" s="22">
        <v>0.173737</v>
      </c>
      <c r="AD313">
        <f t="shared" si="52"/>
        <v>16.705555555555552</v>
      </c>
      <c r="AE313">
        <f t="shared" si="53"/>
        <v>2.9110265833333324</v>
      </c>
      <c r="AF313" s="9"/>
      <c r="AG313" s="22">
        <v>1.42578</v>
      </c>
      <c r="AH313" s="22">
        <v>20.629799999999999</v>
      </c>
      <c r="AI313" s="22">
        <v>-7.7880900000000001E-3</v>
      </c>
      <c r="AJ313" s="22">
        <v>303</v>
      </c>
      <c r="AK313" s="22">
        <v>1.4248700000000001</v>
      </c>
      <c r="AL313">
        <f t="shared" si="54"/>
        <v>9.6149259259259257</v>
      </c>
      <c r="AM313">
        <f t="shared" si="55"/>
        <v>13.708769086666667</v>
      </c>
      <c r="AP313" s="9"/>
      <c r="AQ313" s="22">
        <v>0.17425499999999999</v>
      </c>
      <c r="AR313" s="22">
        <v>25.947299999999998</v>
      </c>
      <c r="AS313" s="22">
        <v>-1.3384999999999999E-2</v>
      </c>
      <c r="AT313" s="22">
        <v>303</v>
      </c>
      <c r="AU313" s="22">
        <v>0.173737</v>
      </c>
      <c r="AV313">
        <f t="shared" si="56"/>
        <v>16.52469135802469</v>
      </c>
      <c r="AW313">
        <f t="shared" si="57"/>
        <v>2.8795100925925921</v>
      </c>
      <c r="AX313" s="9"/>
      <c r="AY313" s="22">
        <v>1.42578</v>
      </c>
      <c r="AZ313" s="22">
        <v>29.565000000000001</v>
      </c>
      <c r="BA313" s="22">
        <v>-8.0810499999999993E-3</v>
      </c>
      <c r="BB313" s="22">
        <v>303</v>
      </c>
      <c r="BC313" s="22">
        <v>1.4248700000000001</v>
      </c>
      <c r="BD313">
        <f t="shared" si="58"/>
        <v>9.9766049382716027</v>
      </c>
      <c r="BE313">
        <f t="shared" si="59"/>
        <v>14.224443788888886</v>
      </c>
    </row>
    <row r="314" spans="6:57">
      <c r="F314" s="9"/>
      <c r="G314" s="22">
        <v>0.16922000000000001</v>
      </c>
      <c r="H314" s="22">
        <v>8.1279000000000003</v>
      </c>
      <c r="I314" s="22">
        <v>-1.35376E-2</v>
      </c>
      <c r="J314" s="22">
        <v>304</v>
      </c>
      <c r="K314" s="22">
        <v>0.16873199999999999</v>
      </c>
      <c r="L314">
        <f t="shared" si="48"/>
        <v>16.713086419753086</v>
      </c>
      <c r="M314">
        <f t="shared" si="49"/>
        <v>2.8281884839506173</v>
      </c>
      <c r="N314" s="9"/>
      <c r="O314" s="22">
        <v>1.43082</v>
      </c>
      <c r="P314" s="22">
        <v>11.745699999999999</v>
      </c>
      <c r="Q314" s="22">
        <v>-7.6904299999999998E-3</v>
      </c>
      <c r="R314" s="22">
        <v>304</v>
      </c>
      <c r="S314" s="22">
        <v>1.43005</v>
      </c>
      <c r="T314">
        <f t="shared" si="50"/>
        <v>9.4943580246913584</v>
      </c>
      <c r="U314">
        <f t="shared" si="51"/>
        <v>13.584717348888889</v>
      </c>
      <c r="X314" s="9"/>
      <c r="Y314" s="22">
        <v>0.16922000000000001</v>
      </c>
      <c r="Z314" s="22">
        <v>17.022099999999998</v>
      </c>
      <c r="AA314" s="22">
        <v>-1.35345E-2</v>
      </c>
      <c r="AB314" s="22">
        <v>304</v>
      </c>
      <c r="AC314" s="22">
        <v>0.16870099999999999</v>
      </c>
      <c r="AD314">
        <f t="shared" si="52"/>
        <v>16.709259259259255</v>
      </c>
      <c r="AE314">
        <f t="shared" si="53"/>
        <v>2.8275408518518512</v>
      </c>
      <c r="AF314" s="9"/>
      <c r="AG314" s="22">
        <v>1.43082</v>
      </c>
      <c r="AH314" s="22">
        <v>20.639900000000001</v>
      </c>
      <c r="AI314" s="22">
        <v>-7.6843299999999996E-3</v>
      </c>
      <c r="AJ314" s="22">
        <v>304</v>
      </c>
      <c r="AK314" s="22">
        <v>1.43005</v>
      </c>
      <c r="AL314">
        <f t="shared" si="54"/>
        <v>9.4868271604938261</v>
      </c>
      <c r="AM314">
        <f t="shared" si="55"/>
        <v>13.573942037777776</v>
      </c>
      <c r="AP314" s="9"/>
      <c r="AQ314" s="22">
        <v>0.16922000000000001</v>
      </c>
      <c r="AR314" s="22">
        <v>25.9573</v>
      </c>
      <c r="AS314" s="22">
        <v>-1.33881E-2</v>
      </c>
      <c r="AT314" s="22">
        <v>304</v>
      </c>
      <c r="AU314" s="22">
        <v>0.168762</v>
      </c>
      <c r="AV314">
        <f t="shared" si="56"/>
        <v>16.528518518518517</v>
      </c>
      <c r="AW314">
        <f t="shared" si="57"/>
        <v>2.7969559037037035</v>
      </c>
      <c r="AX314" s="9"/>
      <c r="AY314" s="22">
        <v>1.43082</v>
      </c>
      <c r="AZ314" s="22">
        <v>29.575099999999999</v>
      </c>
      <c r="BA314" s="22">
        <v>-7.9742400000000005E-3</v>
      </c>
      <c r="BB314" s="22">
        <v>304</v>
      </c>
      <c r="BC314" s="22">
        <v>1.43005</v>
      </c>
      <c r="BD314">
        <f t="shared" si="58"/>
        <v>9.8447407407407415</v>
      </c>
      <c r="BE314">
        <f t="shared" si="59"/>
        <v>14.086051946666668</v>
      </c>
    </row>
    <row r="315" spans="6:57">
      <c r="F315" s="9"/>
      <c r="G315" s="22">
        <v>0.164185</v>
      </c>
      <c r="H315" s="22">
        <v>8.1379699999999993</v>
      </c>
      <c r="I315" s="22">
        <v>-1.3549800000000001E-2</v>
      </c>
      <c r="J315" s="22">
        <v>305</v>
      </c>
      <c r="K315" s="22">
        <v>0.16369600000000001</v>
      </c>
      <c r="L315">
        <f t="shared" si="48"/>
        <v>16.728148148148147</v>
      </c>
      <c r="M315">
        <f t="shared" si="49"/>
        <v>2.7465110037037035</v>
      </c>
      <c r="N315" s="9"/>
      <c r="O315" s="22">
        <v>1.4358500000000001</v>
      </c>
      <c r="P315" s="22">
        <v>11.755699999999999</v>
      </c>
      <c r="Q315" s="22">
        <v>-7.5897200000000003E-3</v>
      </c>
      <c r="R315" s="22">
        <v>305</v>
      </c>
      <c r="S315" s="22">
        <v>1.4349400000000001</v>
      </c>
      <c r="T315">
        <f t="shared" si="50"/>
        <v>9.3700246913580241</v>
      </c>
      <c r="U315">
        <f t="shared" si="51"/>
        <v>13.45394995308642</v>
      </c>
      <c r="X315" s="9"/>
      <c r="Y315" s="22">
        <v>0.164185</v>
      </c>
      <c r="Z315" s="22">
        <v>17.0322</v>
      </c>
      <c r="AA315" s="22">
        <v>-1.3528399999999999E-2</v>
      </c>
      <c r="AB315" s="22">
        <v>305</v>
      </c>
      <c r="AC315" s="22">
        <v>0.16366600000000001</v>
      </c>
      <c r="AD315">
        <f t="shared" si="52"/>
        <v>16.701728395061725</v>
      </c>
      <c r="AE315">
        <f t="shared" si="53"/>
        <v>2.7421732765432094</v>
      </c>
      <c r="AF315" s="9"/>
      <c r="AG315" s="22">
        <v>1.4358500000000001</v>
      </c>
      <c r="AH315" s="22">
        <v>20.65</v>
      </c>
      <c r="AI315" s="22">
        <v>-7.5714099999999998E-3</v>
      </c>
      <c r="AJ315" s="22">
        <v>305</v>
      </c>
      <c r="AK315" s="22">
        <v>1.4346300000000001</v>
      </c>
      <c r="AL315">
        <f t="shared" si="54"/>
        <v>9.3474197530864185</v>
      </c>
      <c r="AM315">
        <f t="shared" si="55"/>
        <v>13.421492652469135</v>
      </c>
      <c r="AP315" s="9"/>
      <c r="AQ315" s="22">
        <v>0.164185</v>
      </c>
      <c r="AR315" s="22">
        <v>25.967400000000001</v>
      </c>
      <c r="AS315" s="22">
        <v>-1.33972E-2</v>
      </c>
      <c r="AT315" s="22">
        <v>305</v>
      </c>
      <c r="AU315" s="22">
        <v>0.16366600000000001</v>
      </c>
      <c r="AV315">
        <f t="shared" si="56"/>
        <v>16.539753086419751</v>
      </c>
      <c r="AW315">
        <f t="shared" si="57"/>
        <v>2.7155793604938268</v>
      </c>
      <c r="AX315" s="9"/>
      <c r="AY315" s="22">
        <v>1.4358500000000001</v>
      </c>
      <c r="AZ315" s="22">
        <v>29.5852</v>
      </c>
      <c r="BA315" s="22">
        <v>-7.8643800000000007E-3</v>
      </c>
      <c r="BB315" s="22">
        <v>305</v>
      </c>
      <c r="BC315" s="22">
        <v>1.4358500000000001</v>
      </c>
      <c r="BD315">
        <f t="shared" si="58"/>
        <v>9.7091111111111115</v>
      </c>
      <c r="BE315">
        <f t="shared" si="59"/>
        <v>13.940827188888891</v>
      </c>
    </row>
    <row r="316" spans="6:57">
      <c r="F316" s="9"/>
      <c r="G316" s="22">
        <v>0.15914900000000001</v>
      </c>
      <c r="H316" s="22">
        <v>8.1480499999999996</v>
      </c>
      <c r="I316" s="22">
        <v>-1.35529E-2</v>
      </c>
      <c r="J316" s="22">
        <v>306</v>
      </c>
      <c r="K316" s="22">
        <v>0.15859999999999999</v>
      </c>
      <c r="L316">
        <f t="shared" si="48"/>
        <v>16.731975308641974</v>
      </c>
      <c r="M316">
        <f t="shared" si="49"/>
        <v>2.662877138395062</v>
      </c>
      <c r="N316" s="9"/>
      <c r="O316" s="22">
        <v>1.44089</v>
      </c>
      <c r="P316" s="22">
        <v>11.7658</v>
      </c>
      <c r="Q316" s="22">
        <v>-7.4798599999999996E-3</v>
      </c>
      <c r="R316" s="22">
        <v>306</v>
      </c>
      <c r="S316" s="22">
        <v>1.4398200000000001</v>
      </c>
      <c r="T316">
        <f t="shared" si="50"/>
        <v>9.2343950617283941</v>
      </c>
      <c r="U316">
        <f t="shared" si="51"/>
        <v>13.305747500493826</v>
      </c>
      <c r="X316" s="9"/>
      <c r="Y316" s="22">
        <v>0.15914900000000001</v>
      </c>
      <c r="Z316" s="22">
        <v>17.042300000000001</v>
      </c>
      <c r="AA316" s="22">
        <v>-1.35254E-2</v>
      </c>
      <c r="AB316" s="22">
        <v>306</v>
      </c>
      <c r="AC316" s="22">
        <v>0.15859999999999999</v>
      </c>
      <c r="AD316">
        <f t="shared" si="52"/>
        <v>16.698024691358025</v>
      </c>
      <c r="AE316">
        <f t="shared" si="53"/>
        <v>2.6574739316049385</v>
      </c>
      <c r="AF316" s="9"/>
      <c r="AG316" s="22">
        <v>1.44089</v>
      </c>
      <c r="AH316" s="22">
        <v>20.66</v>
      </c>
      <c r="AI316" s="22">
        <v>-7.4646000000000001E-3</v>
      </c>
      <c r="AJ316" s="22">
        <v>306</v>
      </c>
      <c r="AK316" s="22">
        <v>1.4398200000000001</v>
      </c>
      <c r="AL316">
        <f t="shared" si="54"/>
        <v>9.2155555555555555</v>
      </c>
      <c r="AM316">
        <f t="shared" si="55"/>
        <v>13.278601844444445</v>
      </c>
      <c r="AP316" s="9"/>
      <c r="AQ316" s="22">
        <v>0.15914900000000001</v>
      </c>
      <c r="AR316" s="22">
        <v>25.977499999999999</v>
      </c>
      <c r="AS316" s="22">
        <v>-1.34003E-2</v>
      </c>
      <c r="AT316" s="22">
        <v>306</v>
      </c>
      <c r="AU316" s="22">
        <v>0.15862999999999999</v>
      </c>
      <c r="AV316">
        <f t="shared" si="56"/>
        <v>16.543580246913578</v>
      </c>
      <c r="AW316">
        <f t="shared" si="57"/>
        <v>2.6328942527160493</v>
      </c>
      <c r="AX316" s="9"/>
      <c r="AY316" s="22">
        <v>1.44089</v>
      </c>
      <c r="AZ316" s="22">
        <v>29.595199999999998</v>
      </c>
      <c r="BA316" s="22">
        <v>-7.7575700000000001E-3</v>
      </c>
      <c r="BB316" s="22">
        <v>306</v>
      </c>
      <c r="BC316" s="22">
        <v>1.4398200000000001</v>
      </c>
      <c r="BD316">
        <f t="shared" si="58"/>
        <v>9.5772469135802467</v>
      </c>
      <c r="BE316">
        <f t="shared" si="59"/>
        <v>13.799759305308642</v>
      </c>
    </row>
    <row r="317" spans="6:57">
      <c r="F317" s="9"/>
      <c r="G317" s="22">
        <v>0.154114</v>
      </c>
      <c r="H317" s="22">
        <v>8.1581200000000003</v>
      </c>
      <c r="I317" s="22">
        <v>-1.3555899999999999E-2</v>
      </c>
      <c r="J317" s="22">
        <v>307</v>
      </c>
      <c r="K317" s="22">
        <v>0.15365599999999999</v>
      </c>
      <c r="L317">
        <f t="shared" si="48"/>
        <v>16.735679012345678</v>
      </c>
      <c r="M317">
        <f t="shared" si="49"/>
        <v>2.5792024353086416</v>
      </c>
      <c r="N317" s="9"/>
      <c r="O317" s="22">
        <v>1.4459200000000001</v>
      </c>
      <c r="P317" s="22">
        <v>11.7759</v>
      </c>
      <c r="Q317" s="22">
        <v>-7.3669399999999998E-3</v>
      </c>
      <c r="R317" s="22">
        <v>307</v>
      </c>
      <c r="S317" s="22">
        <v>1.4453100000000001</v>
      </c>
      <c r="T317">
        <f t="shared" si="50"/>
        <v>9.0949876543209864</v>
      </c>
      <c r="U317">
        <f t="shared" si="51"/>
        <v>13.150624549135802</v>
      </c>
      <c r="X317" s="9"/>
      <c r="Y317" s="22">
        <v>0.154114</v>
      </c>
      <c r="Z317" s="22">
        <v>17.052299999999999</v>
      </c>
      <c r="AA317" s="22">
        <v>-1.3528399999999999E-2</v>
      </c>
      <c r="AB317" s="22">
        <v>307</v>
      </c>
      <c r="AC317" s="22">
        <v>0.15359500000000001</v>
      </c>
      <c r="AD317">
        <f t="shared" si="52"/>
        <v>16.701728395061725</v>
      </c>
      <c r="AE317">
        <f t="shared" si="53"/>
        <v>2.5739701698765427</v>
      </c>
      <c r="AF317" s="9"/>
      <c r="AG317" s="22">
        <v>1.4459200000000001</v>
      </c>
      <c r="AH317" s="22">
        <v>20.670100000000001</v>
      </c>
      <c r="AI317" s="22">
        <v>-7.3486300000000001E-3</v>
      </c>
      <c r="AJ317" s="22">
        <v>307</v>
      </c>
      <c r="AK317" s="22">
        <v>1.4450099999999999</v>
      </c>
      <c r="AL317">
        <f t="shared" si="54"/>
        <v>9.0723827160493808</v>
      </c>
      <c r="AM317">
        <f t="shared" si="55"/>
        <v>13.117939616790121</v>
      </c>
      <c r="AP317" s="9"/>
      <c r="AQ317" s="22">
        <v>0.154114</v>
      </c>
      <c r="AR317" s="22">
        <v>25.987500000000001</v>
      </c>
      <c r="AS317" s="22">
        <v>-1.34155E-2</v>
      </c>
      <c r="AT317" s="22">
        <v>307</v>
      </c>
      <c r="AU317" s="22">
        <v>0.15362500000000001</v>
      </c>
      <c r="AV317">
        <f t="shared" si="56"/>
        <v>16.562345679012346</v>
      </c>
      <c r="AW317">
        <f t="shared" si="57"/>
        <v>2.5524893419753085</v>
      </c>
      <c r="AX317" s="9"/>
      <c r="AY317" s="22">
        <v>1.4459200000000001</v>
      </c>
      <c r="AZ317" s="22">
        <v>29.6053</v>
      </c>
      <c r="BA317" s="22">
        <v>-7.6446500000000002E-3</v>
      </c>
      <c r="BB317" s="22">
        <v>307</v>
      </c>
      <c r="BC317" s="22">
        <v>1.4453100000000001</v>
      </c>
      <c r="BD317">
        <f t="shared" si="58"/>
        <v>9.4378395061728391</v>
      </c>
      <c r="BE317">
        <f t="shared" si="59"/>
        <v>13.646360898765433</v>
      </c>
    </row>
    <row r="318" spans="6:57">
      <c r="F318" s="9"/>
      <c r="G318" s="22">
        <v>0.14907799999999999</v>
      </c>
      <c r="H318" s="22">
        <v>8.1681899999999992</v>
      </c>
      <c r="I318" s="22">
        <v>-1.3555899999999999E-2</v>
      </c>
      <c r="J318" s="22">
        <v>308</v>
      </c>
      <c r="K318" s="22">
        <v>0.14856</v>
      </c>
      <c r="L318">
        <f t="shared" si="48"/>
        <v>16.735679012345678</v>
      </c>
      <c r="M318">
        <f t="shared" si="49"/>
        <v>2.4949215558024687</v>
      </c>
      <c r="N318" s="9"/>
      <c r="O318" s="22">
        <v>1.45096</v>
      </c>
      <c r="P318" s="22">
        <v>11.786</v>
      </c>
      <c r="Q318" s="22">
        <v>-7.2479199999999997E-3</v>
      </c>
      <c r="R318" s="22">
        <v>308</v>
      </c>
      <c r="S318" s="22">
        <v>1.4504999999999999</v>
      </c>
      <c r="T318">
        <f t="shared" si="50"/>
        <v>8.9480493827160483</v>
      </c>
      <c r="U318">
        <f t="shared" si="51"/>
        <v>12.983261732345678</v>
      </c>
      <c r="X318" s="9"/>
      <c r="Y318" s="22">
        <v>0.14907799999999999</v>
      </c>
      <c r="Z318" s="22">
        <v>17.0624</v>
      </c>
      <c r="AA318" s="22">
        <v>-1.35376E-2</v>
      </c>
      <c r="AB318" s="22">
        <v>308</v>
      </c>
      <c r="AC318" s="22">
        <v>0.14859</v>
      </c>
      <c r="AD318">
        <f t="shared" si="52"/>
        <v>16.713086419753086</v>
      </c>
      <c r="AE318">
        <f t="shared" si="53"/>
        <v>2.4915534972839506</v>
      </c>
      <c r="AF318" s="9"/>
      <c r="AG318" s="22">
        <v>1.45096</v>
      </c>
      <c r="AH318" s="22">
        <v>20.680199999999999</v>
      </c>
      <c r="AI318" s="22">
        <v>-7.2357200000000002E-3</v>
      </c>
      <c r="AJ318" s="22">
        <v>308</v>
      </c>
      <c r="AK318" s="22">
        <v>1.4498899999999999</v>
      </c>
      <c r="AL318">
        <f t="shared" si="54"/>
        <v>8.9329876543209874</v>
      </c>
      <c r="AM318">
        <f t="shared" si="55"/>
        <v>12.961407766913581</v>
      </c>
      <c r="AP318" s="9"/>
      <c r="AQ318" s="22">
        <v>0.14907799999999999</v>
      </c>
      <c r="AR318" s="22">
        <v>25.997599999999998</v>
      </c>
      <c r="AS318" s="22">
        <v>-1.3427700000000001E-2</v>
      </c>
      <c r="AT318" s="22">
        <v>308</v>
      </c>
      <c r="AU318" s="22">
        <v>0.14856</v>
      </c>
      <c r="AV318">
        <f t="shared" si="56"/>
        <v>16.57740740740741</v>
      </c>
      <c r="AW318">
        <f t="shared" si="57"/>
        <v>2.4713267414814815</v>
      </c>
      <c r="AX318" s="9"/>
      <c r="AY318" s="22">
        <v>1.45096</v>
      </c>
      <c r="AZ318" s="22">
        <v>29.615400000000001</v>
      </c>
      <c r="BA318" s="22">
        <v>-7.5347900000000004E-3</v>
      </c>
      <c r="BB318" s="22">
        <v>308</v>
      </c>
      <c r="BC318" s="22">
        <v>1.4498899999999999</v>
      </c>
      <c r="BD318">
        <f t="shared" si="58"/>
        <v>9.3022098765432109</v>
      </c>
      <c r="BE318">
        <f t="shared" si="59"/>
        <v>13.497134442469138</v>
      </c>
    </row>
    <row r="319" spans="6:57">
      <c r="F319" s="9"/>
      <c r="G319" s="22">
        <v>0.144043</v>
      </c>
      <c r="H319" s="22">
        <v>8.1782599999999999</v>
      </c>
      <c r="I319" s="22">
        <v>-1.3561999999999999E-2</v>
      </c>
      <c r="J319" s="22">
        <v>309</v>
      </c>
      <c r="K319" s="22">
        <v>0.14346300000000001</v>
      </c>
      <c r="L319">
        <f t="shared" si="48"/>
        <v>16.743209876543208</v>
      </c>
      <c r="M319">
        <f t="shared" si="49"/>
        <v>2.4117421802469132</v>
      </c>
      <c r="N319" s="9"/>
      <c r="O319" s="22">
        <v>1.4559899999999999</v>
      </c>
      <c r="P319" s="22">
        <v>11.795999999999999</v>
      </c>
      <c r="Q319" s="22">
        <v>-7.1350099999999998E-3</v>
      </c>
      <c r="R319" s="22">
        <v>309</v>
      </c>
      <c r="S319" s="22">
        <v>1.4553799999999999</v>
      </c>
      <c r="T319">
        <f t="shared" si="50"/>
        <v>8.8086543209876531</v>
      </c>
      <c r="U319">
        <f t="shared" si="51"/>
        <v>12.825312604814812</v>
      </c>
      <c r="X319" s="9"/>
      <c r="Y319" s="22">
        <v>0.144043</v>
      </c>
      <c r="Z319" s="22">
        <v>17.072500000000002</v>
      </c>
      <c r="AA319" s="22">
        <v>-1.3549800000000001E-2</v>
      </c>
      <c r="AB319" s="22">
        <v>309</v>
      </c>
      <c r="AC319" s="22">
        <v>0.14352400000000001</v>
      </c>
      <c r="AD319">
        <f t="shared" si="52"/>
        <v>16.728148148148147</v>
      </c>
      <c r="AE319">
        <f t="shared" si="53"/>
        <v>2.4095726437037035</v>
      </c>
      <c r="AF319" s="9"/>
      <c r="AG319" s="22">
        <v>1.4559899999999999</v>
      </c>
      <c r="AH319" s="22">
        <v>20.690200000000001</v>
      </c>
      <c r="AI319" s="22">
        <v>-7.1197500000000002E-3</v>
      </c>
      <c r="AJ319" s="22">
        <v>309</v>
      </c>
      <c r="AK319" s="22">
        <v>1.4547699999999999</v>
      </c>
      <c r="AL319">
        <f t="shared" si="54"/>
        <v>8.7898148148148145</v>
      </c>
      <c r="AM319">
        <f t="shared" si="55"/>
        <v>12.797882472222222</v>
      </c>
      <c r="AP319" s="9"/>
      <c r="AQ319" s="22">
        <v>0.144043</v>
      </c>
      <c r="AR319" s="22">
        <v>26.0077</v>
      </c>
      <c r="AS319" s="22">
        <v>-1.3427700000000001E-2</v>
      </c>
      <c r="AT319" s="22">
        <v>309</v>
      </c>
      <c r="AU319" s="22">
        <v>0.14358499999999999</v>
      </c>
      <c r="AV319">
        <f t="shared" si="56"/>
        <v>16.57740740740741</v>
      </c>
      <c r="AW319">
        <f t="shared" si="57"/>
        <v>2.3878594951851855</v>
      </c>
      <c r="AX319" s="9"/>
      <c r="AY319" s="22">
        <v>1.4559899999999999</v>
      </c>
      <c r="AZ319" s="22">
        <v>29.625499999999999</v>
      </c>
      <c r="BA319" s="22">
        <v>-7.4218799999999996E-3</v>
      </c>
      <c r="BB319" s="22">
        <v>309</v>
      </c>
      <c r="BC319" s="22">
        <v>1.4550799999999999</v>
      </c>
      <c r="BD319">
        <f t="shared" si="58"/>
        <v>9.1628148148148139</v>
      </c>
      <c r="BE319">
        <f t="shared" si="59"/>
        <v>13.34096674222222</v>
      </c>
    </row>
    <row r="320" spans="6:57">
      <c r="F320" s="9"/>
      <c r="G320" s="22">
        <v>0.13900799999999999</v>
      </c>
      <c r="H320" s="22">
        <v>8.1883300000000006</v>
      </c>
      <c r="I320" s="22">
        <v>-1.35681E-2</v>
      </c>
      <c r="J320" s="22">
        <v>310</v>
      </c>
      <c r="K320" s="22">
        <v>0.138428</v>
      </c>
      <c r="L320">
        <f t="shared" si="48"/>
        <v>16.750740740740738</v>
      </c>
      <c r="M320">
        <f t="shared" si="49"/>
        <v>2.3284869688888885</v>
      </c>
      <c r="N320" s="9"/>
      <c r="O320" s="22">
        <v>1.4610300000000001</v>
      </c>
      <c r="P320" s="22">
        <v>11.806100000000001</v>
      </c>
      <c r="Q320" s="22">
        <v>-7.0190399999999998E-3</v>
      </c>
      <c r="R320" s="22">
        <v>310</v>
      </c>
      <c r="S320" s="22">
        <v>1.4599599999999999</v>
      </c>
      <c r="T320">
        <f t="shared" si="50"/>
        <v>8.6654814814814802</v>
      </c>
      <c r="U320">
        <f t="shared" si="51"/>
        <v>12.660528408888888</v>
      </c>
      <c r="X320" s="9"/>
      <c r="Y320" s="22">
        <v>0.13900799999999999</v>
      </c>
      <c r="Z320" s="22">
        <v>17.0825</v>
      </c>
      <c r="AA320" s="22">
        <v>-1.35651E-2</v>
      </c>
      <c r="AB320" s="22">
        <v>310</v>
      </c>
      <c r="AC320" s="22">
        <v>0.13855000000000001</v>
      </c>
      <c r="AD320">
        <f t="shared" si="52"/>
        <v>16.747037037037035</v>
      </c>
      <c r="AE320">
        <f t="shared" si="53"/>
        <v>2.327972124444444</v>
      </c>
      <c r="AF320" s="9"/>
      <c r="AG320" s="22">
        <v>1.4610300000000001</v>
      </c>
      <c r="AH320" s="22">
        <v>20.700299999999999</v>
      </c>
      <c r="AI320" s="22">
        <v>-7.0037800000000002E-3</v>
      </c>
      <c r="AJ320" s="22">
        <v>310</v>
      </c>
      <c r="AK320" s="22">
        <v>1.45966</v>
      </c>
      <c r="AL320">
        <f t="shared" si="54"/>
        <v>8.6466419753086416</v>
      </c>
      <c r="AM320">
        <f t="shared" si="55"/>
        <v>12.633003325185186</v>
      </c>
      <c r="AP320" s="9"/>
      <c r="AQ320" s="22">
        <v>0.13900799999999999</v>
      </c>
      <c r="AR320" s="22">
        <v>26.017800000000001</v>
      </c>
      <c r="AS320" s="22">
        <v>-1.3424699999999999E-2</v>
      </c>
      <c r="AT320" s="22">
        <v>310</v>
      </c>
      <c r="AU320" s="22">
        <v>0.138458</v>
      </c>
      <c r="AV320">
        <f t="shared" si="56"/>
        <v>16.5737037037037</v>
      </c>
      <c r="AW320">
        <f t="shared" si="57"/>
        <v>2.3038774044444437</v>
      </c>
      <c r="AX320" s="9"/>
      <c r="AY320" s="22">
        <v>1.4610300000000001</v>
      </c>
      <c r="AZ320" s="22">
        <v>29.6355</v>
      </c>
      <c r="BA320" s="22">
        <v>-7.3089599999999998E-3</v>
      </c>
      <c r="BB320" s="22">
        <v>310</v>
      </c>
      <c r="BC320" s="22">
        <v>1.4605699999999999</v>
      </c>
      <c r="BD320">
        <f t="shared" si="58"/>
        <v>9.0234074074074062</v>
      </c>
      <c r="BE320">
        <f t="shared" si="59"/>
        <v>13.183468924444442</v>
      </c>
    </row>
    <row r="321" spans="6:57">
      <c r="F321" s="9"/>
      <c r="G321" s="22">
        <v>0.13397200000000001</v>
      </c>
      <c r="H321" s="22">
        <v>8.1983999999999995</v>
      </c>
      <c r="I321" s="22">
        <v>-1.35773E-2</v>
      </c>
      <c r="J321" s="22">
        <v>311</v>
      </c>
      <c r="K321" s="22">
        <v>0.13342300000000001</v>
      </c>
      <c r="L321">
        <f t="shared" si="48"/>
        <v>16.7620987654321</v>
      </c>
      <c r="M321">
        <f t="shared" si="49"/>
        <v>2.2456518958024696</v>
      </c>
      <c r="N321" s="9"/>
      <c r="O321" s="22">
        <v>1.4660599999999999</v>
      </c>
      <c r="P321" s="22">
        <v>11.8162</v>
      </c>
      <c r="Q321" s="22">
        <v>-6.9000199999999998E-3</v>
      </c>
      <c r="R321" s="22">
        <v>311</v>
      </c>
      <c r="S321" s="22">
        <v>1.46515</v>
      </c>
      <c r="T321">
        <f t="shared" si="50"/>
        <v>8.5185432098765439</v>
      </c>
      <c r="U321">
        <f t="shared" si="51"/>
        <v>12.488695458271605</v>
      </c>
      <c r="X321" s="9"/>
      <c r="Y321" s="22">
        <v>0.13397200000000001</v>
      </c>
      <c r="Z321" s="22">
        <v>17.092600000000001</v>
      </c>
      <c r="AA321" s="22">
        <v>-1.35773E-2</v>
      </c>
      <c r="AB321" s="22">
        <v>311</v>
      </c>
      <c r="AC321" s="22">
        <v>0.13348399999999999</v>
      </c>
      <c r="AD321">
        <f t="shared" si="52"/>
        <v>16.7620987654321</v>
      </c>
      <c r="AE321">
        <f t="shared" si="53"/>
        <v>2.2456518958024696</v>
      </c>
      <c r="AF321" s="9"/>
      <c r="AG321" s="22">
        <v>1.4660599999999999</v>
      </c>
      <c r="AH321" s="22">
        <v>20.7104</v>
      </c>
      <c r="AI321" s="22">
        <v>-6.8847700000000001E-3</v>
      </c>
      <c r="AJ321" s="22">
        <v>311</v>
      </c>
      <c r="AK321" s="22">
        <v>1.4654499999999999</v>
      </c>
      <c r="AL321">
        <f t="shared" si="54"/>
        <v>8.499716049382716</v>
      </c>
      <c r="AM321">
        <f t="shared" si="55"/>
        <v>12.461093711358023</v>
      </c>
      <c r="AP321" s="9"/>
      <c r="AQ321" s="22">
        <v>0.13397200000000001</v>
      </c>
      <c r="AR321" s="22">
        <v>26.027799999999999</v>
      </c>
      <c r="AS321" s="22">
        <v>-1.3424699999999999E-2</v>
      </c>
      <c r="AT321" s="22">
        <v>311</v>
      </c>
      <c r="AU321" s="22">
        <v>0.13345299999999999</v>
      </c>
      <c r="AV321">
        <f t="shared" si="56"/>
        <v>16.5737037037037</v>
      </c>
      <c r="AW321">
        <f t="shared" si="57"/>
        <v>2.2204122325925923</v>
      </c>
      <c r="AX321" s="9"/>
      <c r="AY321" s="22">
        <v>1.4660599999999999</v>
      </c>
      <c r="AZ321" s="22">
        <v>29.645600000000002</v>
      </c>
      <c r="BA321" s="22">
        <v>-7.1899399999999997E-3</v>
      </c>
      <c r="BB321" s="22">
        <v>311</v>
      </c>
      <c r="BC321" s="22">
        <v>1.46515</v>
      </c>
      <c r="BD321">
        <f t="shared" si="58"/>
        <v>8.8764691358024681</v>
      </c>
      <c r="BE321">
        <f t="shared" si="59"/>
        <v>13.013436341234566</v>
      </c>
    </row>
    <row r="322" spans="6:57">
      <c r="F322" s="9"/>
      <c r="G322" s="22">
        <v>0.128937</v>
      </c>
      <c r="H322" s="22">
        <v>8.2084700000000002</v>
      </c>
      <c r="I322" s="22">
        <v>-1.35803E-2</v>
      </c>
      <c r="J322" s="22">
        <v>312</v>
      </c>
      <c r="K322" s="22">
        <v>0.128418</v>
      </c>
      <c r="L322">
        <f t="shared" si="48"/>
        <v>16.765802469135803</v>
      </c>
      <c r="M322">
        <f t="shared" si="49"/>
        <v>2.1617322729629631</v>
      </c>
      <c r="N322" s="9"/>
      <c r="O322" s="22">
        <v>1.4711000000000001</v>
      </c>
      <c r="P322" s="22">
        <v>11.8262</v>
      </c>
      <c r="Q322" s="22">
        <v>-6.7749000000000004E-3</v>
      </c>
      <c r="R322" s="22">
        <v>312</v>
      </c>
      <c r="S322" s="22">
        <v>1.4706399999999999</v>
      </c>
      <c r="T322">
        <f t="shared" si="50"/>
        <v>8.3640740740740736</v>
      </c>
      <c r="U322">
        <f t="shared" si="51"/>
        <v>12.30438937037037</v>
      </c>
      <c r="X322" s="9"/>
      <c r="Y322" s="22">
        <v>0.128937</v>
      </c>
      <c r="Z322" s="22">
        <v>17.102699999999999</v>
      </c>
      <c r="AA322" s="22">
        <v>-1.3589499999999999E-2</v>
      </c>
      <c r="AB322" s="22">
        <v>312</v>
      </c>
      <c r="AC322" s="22">
        <v>0.128387</v>
      </c>
      <c r="AD322">
        <f t="shared" si="52"/>
        <v>16.777160493827161</v>
      </c>
      <c r="AE322">
        <f t="shared" si="53"/>
        <v>2.1631967425925924</v>
      </c>
      <c r="AF322" s="9"/>
      <c r="AG322" s="22">
        <v>1.4711000000000001</v>
      </c>
      <c r="AH322" s="22">
        <v>20.720500000000001</v>
      </c>
      <c r="AI322" s="22">
        <v>-6.7749000000000004E-3</v>
      </c>
      <c r="AJ322" s="22">
        <v>312</v>
      </c>
      <c r="AK322" s="22">
        <v>1.4700299999999999</v>
      </c>
      <c r="AL322">
        <f t="shared" si="54"/>
        <v>8.3640740740740736</v>
      </c>
      <c r="AM322">
        <f t="shared" si="55"/>
        <v>12.30438937037037</v>
      </c>
      <c r="AP322" s="9"/>
      <c r="AQ322" s="22">
        <v>0.128937</v>
      </c>
      <c r="AR322" s="22">
        <v>26.0379</v>
      </c>
      <c r="AS322" s="22">
        <v>-1.3424699999999999E-2</v>
      </c>
      <c r="AT322" s="22">
        <v>312</v>
      </c>
      <c r="AU322" s="22">
        <v>0.128387</v>
      </c>
      <c r="AV322">
        <f t="shared" si="56"/>
        <v>16.5737037037037</v>
      </c>
      <c r="AW322">
        <f t="shared" si="57"/>
        <v>2.1369636344444438</v>
      </c>
      <c r="AX322" s="9"/>
      <c r="AY322" s="22">
        <v>1.4711000000000001</v>
      </c>
      <c r="AZ322" s="22">
        <v>29.6557</v>
      </c>
      <c r="BA322" s="22">
        <v>-7.0709199999999996E-3</v>
      </c>
      <c r="BB322" s="22">
        <v>312</v>
      </c>
      <c r="BC322" s="22">
        <v>1.4700299999999999</v>
      </c>
      <c r="BD322">
        <f t="shared" si="58"/>
        <v>8.72953086419753</v>
      </c>
      <c r="BE322">
        <f t="shared" si="59"/>
        <v>12.842012854320988</v>
      </c>
    </row>
    <row r="323" spans="6:57">
      <c r="F323" s="9"/>
      <c r="G323" s="22">
        <v>0.123901</v>
      </c>
      <c r="H323" s="22">
        <v>8.2185400000000008</v>
      </c>
      <c r="I323" s="22">
        <v>-1.35651E-2</v>
      </c>
      <c r="J323" s="22">
        <v>313</v>
      </c>
      <c r="K323" s="22">
        <v>0.12338300000000001</v>
      </c>
      <c r="L323">
        <f t="shared" si="48"/>
        <v>16.747037037037035</v>
      </c>
      <c r="M323">
        <f t="shared" si="49"/>
        <v>2.0749746359259258</v>
      </c>
      <c r="N323" s="9"/>
      <c r="O323" s="22">
        <v>1.47614</v>
      </c>
      <c r="P323" s="22">
        <v>11.8363</v>
      </c>
      <c r="Q323" s="22">
        <v>-6.6528300000000002E-3</v>
      </c>
      <c r="R323" s="22">
        <v>313</v>
      </c>
      <c r="S323" s="22">
        <v>1.47522</v>
      </c>
      <c r="T323">
        <f t="shared" si="50"/>
        <v>8.2133703703703702</v>
      </c>
      <c r="U323">
        <f t="shared" si="51"/>
        <v>12.124084538518519</v>
      </c>
      <c r="X323" s="9"/>
      <c r="Y323" s="22">
        <v>0.123901</v>
      </c>
      <c r="Z323" s="22">
        <v>17.1128</v>
      </c>
      <c r="AA323" s="22">
        <v>-1.36017E-2</v>
      </c>
      <c r="AB323" s="22">
        <v>313</v>
      </c>
      <c r="AC323" s="22">
        <v>0.123444</v>
      </c>
      <c r="AD323">
        <f t="shared" si="52"/>
        <v>16.792222222222222</v>
      </c>
      <c r="AE323">
        <f t="shared" si="53"/>
        <v>2.0805731255555555</v>
      </c>
      <c r="AF323" s="9"/>
      <c r="AG323" s="22">
        <v>1.47614</v>
      </c>
      <c r="AH323" s="22">
        <v>20.730499999999999</v>
      </c>
      <c r="AI323" s="22">
        <v>-6.6497800000000001E-3</v>
      </c>
      <c r="AJ323" s="22">
        <v>313</v>
      </c>
      <c r="AK323" s="22">
        <v>1.47614</v>
      </c>
      <c r="AL323">
        <f t="shared" si="54"/>
        <v>8.209604938271605</v>
      </c>
      <c r="AM323">
        <f t="shared" si="55"/>
        <v>12.118526233580248</v>
      </c>
      <c r="AP323" s="9"/>
      <c r="AQ323" s="22">
        <v>0.123901</v>
      </c>
      <c r="AR323" s="22">
        <v>26.047999999999998</v>
      </c>
      <c r="AS323" s="22">
        <v>-1.3421600000000001E-2</v>
      </c>
      <c r="AT323" s="22">
        <v>313</v>
      </c>
      <c r="AU323" s="22">
        <v>0.12338300000000001</v>
      </c>
      <c r="AV323">
        <f t="shared" si="56"/>
        <v>16.569876543209876</v>
      </c>
      <c r="AW323">
        <f t="shared" si="57"/>
        <v>2.0530242735802466</v>
      </c>
      <c r="AX323" s="9"/>
      <c r="AY323" s="22">
        <v>1.47614</v>
      </c>
      <c r="AZ323" s="22">
        <v>29.665700000000001</v>
      </c>
      <c r="BA323" s="22">
        <v>-6.9518999999999996E-3</v>
      </c>
      <c r="BB323" s="22">
        <v>313</v>
      </c>
      <c r="BC323" s="22">
        <v>1.4755199999999999</v>
      </c>
      <c r="BD323">
        <f t="shared" si="58"/>
        <v>8.5825925925925919</v>
      </c>
      <c r="BE323">
        <f t="shared" si="59"/>
        <v>12.669108229629629</v>
      </c>
    </row>
    <row r="324" spans="6:57">
      <c r="F324" s="9"/>
      <c r="G324" s="22">
        <v>0.118866</v>
      </c>
      <c r="H324" s="22">
        <v>8.2286099999999998</v>
      </c>
      <c r="I324" s="22">
        <v>-1.3561999999999999E-2</v>
      </c>
      <c r="J324" s="22">
        <v>314</v>
      </c>
      <c r="K324" s="22">
        <v>0.11831700000000001</v>
      </c>
      <c r="L324">
        <f t="shared" si="48"/>
        <v>16.743209876543208</v>
      </c>
      <c r="M324">
        <f t="shared" si="49"/>
        <v>1.990198385185185</v>
      </c>
      <c r="N324" s="9"/>
      <c r="O324" s="22">
        <v>1.4811700000000001</v>
      </c>
      <c r="P324" s="22">
        <v>11.846399999999999</v>
      </c>
      <c r="Q324" s="22">
        <v>-6.5185499999999997E-3</v>
      </c>
      <c r="R324" s="22">
        <v>314</v>
      </c>
      <c r="S324" s="22">
        <v>1.48041</v>
      </c>
      <c r="T324">
        <f t="shared" si="50"/>
        <v>8.0475925925925917</v>
      </c>
      <c r="U324">
        <f t="shared" si="51"/>
        <v>11.91985272037037</v>
      </c>
      <c r="X324" s="9"/>
      <c r="Y324" s="22">
        <v>0.118866</v>
      </c>
      <c r="Z324" s="22">
        <v>17.122800000000002</v>
      </c>
      <c r="AA324" s="22">
        <v>-1.3610799999999999E-2</v>
      </c>
      <c r="AB324" s="22">
        <v>314</v>
      </c>
      <c r="AC324" s="22">
        <v>0.118378</v>
      </c>
      <c r="AD324">
        <f t="shared" si="52"/>
        <v>16.803456790123455</v>
      </c>
      <c r="AE324">
        <f t="shared" si="53"/>
        <v>1.9973596948148147</v>
      </c>
      <c r="AF324" s="9"/>
      <c r="AG324" s="22">
        <v>1.4811700000000001</v>
      </c>
      <c r="AH324" s="22">
        <v>20.740600000000001</v>
      </c>
      <c r="AI324" s="22">
        <v>-6.53076E-3</v>
      </c>
      <c r="AJ324" s="22">
        <v>314</v>
      </c>
      <c r="AK324" s="22">
        <v>1.48041</v>
      </c>
      <c r="AL324">
        <f t="shared" si="54"/>
        <v>8.0626666666666651</v>
      </c>
      <c r="AM324">
        <f t="shared" si="55"/>
        <v>11.942179986666664</v>
      </c>
      <c r="AP324" s="9"/>
      <c r="AQ324" s="22">
        <v>0.118866</v>
      </c>
      <c r="AR324" s="22">
        <v>26.058</v>
      </c>
      <c r="AS324" s="22">
        <v>-1.3427700000000001E-2</v>
      </c>
      <c r="AT324" s="22">
        <v>314</v>
      </c>
      <c r="AU324" s="22">
        <v>0.11831700000000001</v>
      </c>
      <c r="AV324">
        <f t="shared" si="56"/>
        <v>16.57740740740741</v>
      </c>
      <c r="AW324">
        <f t="shared" si="57"/>
        <v>1.9704901088888891</v>
      </c>
      <c r="AX324" s="9"/>
      <c r="AY324" s="22">
        <v>1.4811700000000001</v>
      </c>
      <c r="AZ324" s="22">
        <v>29.675799999999999</v>
      </c>
      <c r="BA324" s="22">
        <v>-6.8298300000000003E-3</v>
      </c>
      <c r="BB324" s="22">
        <v>314</v>
      </c>
      <c r="BC324" s="22">
        <v>1.48041</v>
      </c>
      <c r="BD324">
        <f t="shared" si="58"/>
        <v>8.4318888888888885</v>
      </c>
      <c r="BE324">
        <f t="shared" si="59"/>
        <v>12.489060865555556</v>
      </c>
    </row>
    <row r="325" spans="6:57">
      <c r="F325" s="9"/>
      <c r="G325" s="22">
        <v>0.113831</v>
      </c>
      <c r="H325" s="22">
        <v>8.2386800000000004</v>
      </c>
      <c r="I325" s="22">
        <v>-1.35742E-2</v>
      </c>
      <c r="J325" s="22">
        <v>315</v>
      </c>
      <c r="K325" s="22">
        <v>0.113342</v>
      </c>
      <c r="L325">
        <f t="shared" si="48"/>
        <v>16.758271604938273</v>
      </c>
      <c r="M325">
        <f t="shared" si="49"/>
        <v>1.9076108150617286</v>
      </c>
      <c r="N325" s="9"/>
      <c r="O325" s="22">
        <v>1.48621</v>
      </c>
      <c r="P325" s="22">
        <v>11.8565</v>
      </c>
      <c r="Q325" s="22">
        <v>-6.3934300000000003E-3</v>
      </c>
      <c r="R325" s="22">
        <v>315</v>
      </c>
      <c r="S325" s="22">
        <v>1.48499</v>
      </c>
      <c r="T325">
        <f t="shared" si="50"/>
        <v>7.8931234567901232</v>
      </c>
      <c r="U325">
        <f t="shared" si="51"/>
        <v>11.73083901271605</v>
      </c>
      <c r="X325" s="9"/>
      <c r="Y325" s="22">
        <v>0.113831</v>
      </c>
      <c r="Z325" s="22">
        <v>17.132899999999999</v>
      </c>
      <c r="AA325" s="22">
        <v>-1.3610799999999999E-2</v>
      </c>
      <c r="AB325" s="22">
        <v>315</v>
      </c>
      <c r="AC325" s="22">
        <v>0.113373</v>
      </c>
      <c r="AD325">
        <f t="shared" si="52"/>
        <v>16.803456790123455</v>
      </c>
      <c r="AE325">
        <f t="shared" si="53"/>
        <v>1.9127542898765431</v>
      </c>
      <c r="AF325" s="9"/>
      <c r="AG325" s="22">
        <v>1.48621</v>
      </c>
      <c r="AH325" s="22">
        <v>20.750699999999998</v>
      </c>
      <c r="AI325" s="22">
        <v>-6.4025899999999997E-3</v>
      </c>
      <c r="AJ325" s="22">
        <v>315</v>
      </c>
      <c r="AK325" s="22">
        <v>1.4859</v>
      </c>
      <c r="AL325">
        <f t="shared" si="54"/>
        <v>7.9044320987654313</v>
      </c>
      <c r="AM325">
        <f t="shared" si="55"/>
        <v>11.747646029506171</v>
      </c>
      <c r="AP325" s="9"/>
      <c r="AQ325" s="22">
        <v>0.113831</v>
      </c>
      <c r="AR325" s="22">
        <v>26.068100000000001</v>
      </c>
      <c r="AS325" s="22">
        <v>-1.3427700000000001E-2</v>
      </c>
      <c r="AT325" s="22">
        <v>315</v>
      </c>
      <c r="AU325" s="22">
        <v>0.113373</v>
      </c>
      <c r="AV325">
        <f t="shared" si="56"/>
        <v>16.57740740740741</v>
      </c>
      <c r="AW325">
        <f t="shared" si="57"/>
        <v>1.8870228625925929</v>
      </c>
      <c r="AX325" s="9"/>
      <c r="AY325" s="22">
        <v>1.48621</v>
      </c>
      <c r="AZ325" s="22">
        <v>29.6859</v>
      </c>
      <c r="BA325" s="22">
        <v>-6.7077600000000001E-3</v>
      </c>
      <c r="BB325" s="22">
        <v>315</v>
      </c>
      <c r="BC325" s="22">
        <v>1.4856</v>
      </c>
      <c r="BD325">
        <f t="shared" si="58"/>
        <v>8.2811851851851852</v>
      </c>
      <c r="BE325">
        <f t="shared" si="59"/>
        <v>12.307580234074074</v>
      </c>
    </row>
    <row r="326" spans="6:57">
      <c r="F326" s="9"/>
      <c r="G326" s="22">
        <v>0.108795</v>
      </c>
      <c r="H326" s="22">
        <v>8.2487600000000008</v>
      </c>
      <c r="I326" s="22">
        <v>-1.35864E-2</v>
      </c>
      <c r="J326" s="22">
        <v>316</v>
      </c>
      <c r="K326" s="22">
        <v>0.108337</v>
      </c>
      <c r="L326">
        <f t="shared" si="48"/>
        <v>16.77333333333333</v>
      </c>
      <c r="M326">
        <f t="shared" si="49"/>
        <v>1.8248547999999998</v>
      </c>
      <c r="N326" s="9"/>
      <c r="O326" s="22">
        <v>1.4912399999999999</v>
      </c>
      <c r="P326" s="22">
        <v>11.8665</v>
      </c>
      <c r="Q326" s="22">
        <v>-6.2591599999999997E-3</v>
      </c>
      <c r="R326" s="22">
        <v>316</v>
      </c>
      <c r="S326" s="22">
        <v>1.49017</v>
      </c>
      <c r="T326">
        <f t="shared" si="50"/>
        <v>7.727358024691358</v>
      </c>
      <c r="U326">
        <f t="shared" si="51"/>
        <v>11.523345380740739</v>
      </c>
      <c r="X326" s="9"/>
      <c r="Y326" s="22">
        <v>0.108795</v>
      </c>
      <c r="Z326" s="22">
        <v>17.143000000000001</v>
      </c>
      <c r="AA326" s="22">
        <v>-1.3604700000000001E-2</v>
      </c>
      <c r="AB326" s="22">
        <v>316</v>
      </c>
      <c r="AC326" s="22">
        <v>0.108337</v>
      </c>
      <c r="AD326">
        <f t="shared" si="52"/>
        <v>16.795925925925925</v>
      </c>
      <c r="AE326">
        <f t="shared" si="53"/>
        <v>1.8273127611111111</v>
      </c>
      <c r="AF326" s="9"/>
      <c r="AG326" s="22">
        <v>1.4912399999999999</v>
      </c>
      <c r="AH326" s="22">
        <v>20.7607</v>
      </c>
      <c r="AI326" s="22">
        <v>-6.2744100000000002E-3</v>
      </c>
      <c r="AJ326" s="22">
        <v>316</v>
      </c>
      <c r="AK326" s="22">
        <v>1.49048</v>
      </c>
      <c r="AL326">
        <f t="shared" si="54"/>
        <v>7.7461851851851851</v>
      </c>
      <c r="AM326">
        <f t="shared" si="55"/>
        <v>11.551421195555555</v>
      </c>
      <c r="AP326" s="9"/>
      <c r="AQ326" s="22">
        <v>0.108795</v>
      </c>
      <c r="AR326" s="22">
        <v>26.078199999999999</v>
      </c>
      <c r="AS326" s="22">
        <v>-1.3427700000000001E-2</v>
      </c>
      <c r="AT326" s="22">
        <v>316</v>
      </c>
      <c r="AU326" s="22">
        <v>0.108307</v>
      </c>
      <c r="AV326">
        <f t="shared" si="56"/>
        <v>16.57740740740741</v>
      </c>
      <c r="AW326">
        <f t="shared" si="57"/>
        <v>1.8035390388888892</v>
      </c>
      <c r="AX326" s="9"/>
      <c r="AY326" s="22">
        <v>1.4912399999999999</v>
      </c>
      <c r="AZ326" s="22">
        <v>29.696000000000002</v>
      </c>
      <c r="BA326" s="22">
        <v>-6.5765399999999996E-3</v>
      </c>
      <c r="BB326" s="22">
        <v>316</v>
      </c>
      <c r="BC326" s="22">
        <v>1.49048</v>
      </c>
      <c r="BD326">
        <f t="shared" si="58"/>
        <v>8.1191851851851844</v>
      </c>
      <c r="BE326">
        <f t="shared" si="59"/>
        <v>12.107653715555553</v>
      </c>
    </row>
    <row r="327" spans="6:57">
      <c r="F327" s="9"/>
      <c r="G327" s="22">
        <v>0.10376000000000001</v>
      </c>
      <c r="H327" s="22">
        <v>8.2588299999999997</v>
      </c>
      <c r="I327" s="22">
        <v>-1.3598600000000001E-2</v>
      </c>
      <c r="J327" s="22">
        <v>317</v>
      </c>
      <c r="K327" s="22">
        <v>0.10321</v>
      </c>
      <c r="L327">
        <f t="shared" si="48"/>
        <v>16.788395061728394</v>
      </c>
      <c r="M327">
        <f t="shared" si="49"/>
        <v>1.7419638716049384</v>
      </c>
      <c r="N327" s="9"/>
      <c r="O327" s="22">
        <v>1.4962800000000001</v>
      </c>
      <c r="P327" s="22">
        <v>11.8766</v>
      </c>
      <c r="Q327" s="22">
        <v>-6.1340300000000004E-3</v>
      </c>
      <c r="R327" s="22">
        <v>317</v>
      </c>
      <c r="S327" s="22">
        <v>1.4950600000000001</v>
      </c>
      <c r="T327">
        <f t="shared" si="50"/>
        <v>7.5728765432098761</v>
      </c>
      <c r="U327">
        <f t="shared" si="51"/>
        <v>11.331143714074074</v>
      </c>
      <c r="X327" s="9"/>
      <c r="Y327" s="22">
        <v>0.10376000000000001</v>
      </c>
      <c r="Z327" s="22">
        <v>17.152999999999999</v>
      </c>
      <c r="AA327" s="22">
        <v>-1.36078E-2</v>
      </c>
      <c r="AB327" s="22">
        <v>317</v>
      </c>
      <c r="AC327" s="22">
        <v>0.103271</v>
      </c>
      <c r="AD327">
        <f t="shared" si="52"/>
        <v>16.799753086419752</v>
      </c>
      <c r="AE327">
        <f t="shared" si="53"/>
        <v>1.7431423802469135</v>
      </c>
      <c r="AF327" s="9"/>
      <c r="AG327" s="22">
        <v>1.4962800000000001</v>
      </c>
      <c r="AH327" s="22">
        <v>20.770800000000001</v>
      </c>
      <c r="AI327" s="22">
        <v>-6.1401399999999997E-3</v>
      </c>
      <c r="AJ327" s="22">
        <v>317</v>
      </c>
      <c r="AK327" s="22">
        <v>1.4956700000000001</v>
      </c>
      <c r="AL327">
        <f t="shared" si="54"/>
        <v>7.5804197530864181</v>
      </c>
      <c r="AM327">
        <f t="shared" si="55"/>
        <v>11.342430468148146</v>
      </c>
      <c r="AP327" s="9"/>
      <c r="AQ327" s="22">
        <v>0.10376000000000001</v>
      </c>
      <c r="AR327" s="22">
        <v>26.0883</v>
      </c>
      <c r="AS327" s="22">
        <v>-1.3427700000000001E-2</v>
      </c>
      <c r="AT327" s="22">
        <v>317</v>
      </c>
      <c r="AU327" s="22">
        <v>0.10321</v>
      </c>
      <c r="AV327">
        <f t="shared" si="56"/>
        <v>16.57740740740741</v>
      </c>
      <c r="AW327">
        <f t="shared" si="57"/>
        <v>1.720071792592593</v>
      </c>
      <c r="AX327" s="9"/>
      <c r="AY327" s="22">
        <v>1.4962800000000001</v>
      </c>
      <c r="AZ327" s="22">
        <v>29.706</v>
      </c>
      <c r="BA327" s="22">
        <v>-6.4483600000000002E-3</v>
      </c>
      <c r="BB327" s="22">
        <v>317</v>
      </c>
      <c r="BC327" s="22">
        <v>1.49536</v>
      </c>
      <c r="BD327">
        <f t="shared" si="58"/>
        <v>7.9609382716049373</v>
      </c>
      <c r="BE327">
        <f t="shared" si="59"/>
        <v>11.911792717037036</v>
      </c>
    </row>
    <row r="328" spans="6:57">
      <c r="F328" s="9"/>
      <c r="G328" s="22">
        <v>9.8724400000000004E-2</v>
      </c>
      <c r="H328" s="22">
        <v>8.2689000000000004</v>
      </c>
      <c r="I328" s="22">
        <v>-1.3589499999999999E-2</v>
      </c>
      <c r="J328" s="22">
        <v>318</v>
      </c>
      <c r="K328" s="22">
        <v>9.8205600000000004E-2</v>
      </c>
      <c r="L328">
        <f t="shared" si="48"/>
        <v>16.777160493827161</v>
      </c>
      <c r="M328">
        <f t="shared" si="49"/>
        <v>1.6563151034567902</v>
      </c>
      <c r="N328" s="9"/>
      <c r="O328" s="22">
        <v>1.5013099999999999</v>
      </c>
      <c r="P328" s="22">
        <v>11.886699999999999</v>
      </c>
      <c r="Q328" s="22">
        <v>-5.9997599999999998E-3</v>
      </c>
      <c r="R328" s="22">
        <v>318</v>
      </c>
      <c r="S328" s="22">
        <v>1.5005500000000001</v>
      </c>
      <c r="T328">
        <f t="shared" si="50"/>
        <v>7.4071111111111101</v>
      </c>
      <c r="U328">
        <f t="shared" si="51"/>
        <v>11.12036998222222</v>
      </c>
      <c r="X328" s="9"/>
      <c r="Y328" s="22">
        <v>9.8724400000000004E-2</v>
      </c>
      <c r="Z328" s="22">
        <v>17.1631</v>
      </c>
      <c r="AA328" s="22">
        <v>-1.3610799999999999E-2</v>
      </c>
      <c r="AB328" s="22">
        <v>318</v>
      </c>
      <c r="AC328" s="22">
        <v>9.8174999999999998E-2</v>
      </c>
      <c r="AD328">
        <f t="shared" si="52"/>
        <v>16.803456790123455</v>
      </c>
      <c r="AE328">
        <f t="shared" si="53"/>
        <v>1.6589111895308641</v>
      </c>
      <c r="AF328" s="9"/>
      <c r="AG328" s="22">
        <v>1.5013099999999999</v>
      </c>
      <c r="AH328" s="22">
        <v>20.780899999999999</v>
      </c>
      <c r="AI328" s="22">
        <v>-6.0089100000000001E-3</v>
      </c>
      <c r="AJ328" s="22">
        <v>318</v>
      </c>
      <c r="AK328" s="22">
        <v>1.5005500000000001</v>
      </c>
      <c r="AL328">
        <f t="shared" si="54"/>
        <v>7.4184074074074076</v>
      </c>
      <c r="AM328">
        <f t="shared" si="55"/>
        <v>11.137329224814815</v>
      </c>
      <c r="AP328" s="9"/>
      <c r="AQ328" s="22">
        <v>9.8724400000000004E-2</v>
      </c>
      <c r="AR328" s="22">
        <v>26.098299999999998</v>
      </c>
      <c r="AS328" s="22">
        <v>-1.3421600000000001E-2</v>
      </c>
      <c r="AT328" s="22">
        <v>318</v>
      </c>
      <c r="AU328" s="22">
        <v>9.8266599999999996E-2</v>
      </c>
      <c r="AV328">
        <f t="shared" si="56"/>
        <v>16.569876543209876</v>
      </c>
      <c r="AW328">
        <f t="shared" si="57"/>
        <v>1.6358511198024692</v>
      </c>
      <c r="AX328" s="9"/>
      <c r="AY328" s="22">
        <v>1.5013099999999999</v>
      </c>
      <c r="AZ328" s="22">
        <v>29.716100000000001</v>
      </c>
      <c r="BA328" s="22">
        <v>-6.3171399999999997E-3</v>
      </c>
      <c r="BB328" s="22">
        <v>318</v>
      </c>
      <c r="BC328" s="22">
        <v>1.5005500000000001</v>
      </c>
      <c r="BD328">
        <f t="shared" si="58"/>
        <v>7.7989382716049374</v>
      </c>
      <c r="BE328">
        <f t="shared" si="59"/>
        <v>11.708624016543208</v>
      </c>
    </row>
    <row r="329" spans="6:57">
      <c r="F329" s="9"/>
      <c r="G329" s="22">
        <v>9.3688999999999995E-2</v>
      </c>
      <c r="H329" s="22">
        <v>8.2789699999999993</v>
      </c>
      <c r="I329" s="22">
        <v>-1.35925E-2</v>
      </c>
      <c r="J329" s="22">
        <v>319</v>
      </c>
      <c r="K329" s="22">
        <v>9.3200699999999997E-2</v>
      </c>
      <c r="L329">
        <f t="shared" si="48"/>
        <v>16.780864197530864</v>
      </c>
      <c r="M329">
        <f t="shared" si="49"/>
        <v>1.5721823858024691</v>
      </c>
      <c r="N329" s="9"/>
      <c r="O329" s="22">
        <v>1.5063500000000001</v>
      </c>
      <c r="P329" s="22">
        <v>11.896699999999999</v>
      </c>
      <c r="Q329" s="22">
        <v>-5.8654800000000002E-3</v>
      </c>
      <c r="R329" s="22">
        <v>319</v>
      </c>
      <c r="S329" s="22">
        <v>1.50543</v>
      </c>
      <c r="T329">
        <f t="shared" si="50"/>
        <v>7.2413333333333334</v>
      </c>
      <c r="U329">
        <f t="shared" si="51"/>
        <v>10.907982466666667</v>
      </c>
      <c r="X329" s="9"/>
      <c r="Y329" s="22">
        <v>9.3688999999999995E-2</v>
      </c>
      <c r="Z329" s="22">
        <v>17.173200000000001</v>
      </c>
      <c r="AA329" s="22">
        <v>-1.36078E-2</v>
      </c>
      <c r="AB329" s="22">
        <v>319</v>
      </c>
      <c r="AC329" s="22">
        <v>9.3261700000000003E-2</v>
      </c>
      <c r="AD329">
        <f t="shared" si="52"/>
        <v>16.799753086419752</v>
      </c>
      <c r="AE329">
        <f t="shared" si="53"/>
        <v>1.57395206691358</v>
      </c>
      <c r="AF329" s="9"/>
      <c r="AG329" s="22">
        <v>1.5063500000000001</v>
      </c>
      <c r="AH329" s="22">
        <v>20.791</v>
      </c>
      <c r="AI329" s="22">
        <v>-5.8715800000000004E-3</v>
      </c>
      <c r="AJ329" s="22">
        <v>319</v>
      </c>
      <c r="AK329" s="22">
        <v>1.5057400000000001</v>
      </c>
      <c r="AL329">
        <f t="shared" si="54"/>
        <v>7.2488641975308639</v>
      </c>
      <c r="AM329">
        <f t="shared" si="55"/>
        <v>10.919326583950618</v>
      </c>
      <c r="AP329" s="9"/>
      <c r="AQ329" s="22">
        <v>9.3688999999999995E-2</v>
      </c>
      <c r="AR329" s="22">
        <v>26.1084</v>
      </c>
      <c r="AS329" s="22">
        <v>-1.3439899999999999E-2</v>
      </c>
      <c r="AT329" s="22">
        <v>319</v>
      </c>
      <c r="AU329" s="22">
        <v>9.3261700000000003E-2</v>
      </c>
      <c r="AV329">
        <f t="shared" si="56"/>
        <v>16.592469135802467</v>
      </c>
      <c r="AW329">
        <f t="shared" si="57"/>
        <v>1.5545318408641973</v>
      </c>
      <c r="AX329" s="9"/>
      <c r="AY329" s="22">
        <v>1.5063500000000001</v>
      </c>
      <c r="AZ329" s="22">
        <v>29.726199999999999</v>
      </c>
      <c r="BA329" s="22">
        <v>-6.1828600000000001E-3</v>
      </c>
      <c r="BB329" s="22">
        <v>319</v>
      </c>
      <c r="BC329" s="22">
        <v>1.50543</v>
      </c>
      <c r="BD329">
        <f t="shared" si="58"/>
        <v>7.6331604938271607</v>
      </c>
      <c r="BE329">
        <f t="shared" si="59"/>
        <v>11.498211309876543</v>
      </c>
    </row>
    <row r="330" spans="6:57">
      <c r="F330" s="9"/>
      <c r="G330" s="22">
        <v>8.8653599999999999E-2</v>
      </c>
      <c r="H330" s="22">
        <v>8.28904</v>
      </c>
      <c r="I330" s="22">
        <v>-1.35925E-2</v>
      </c>
      <c r="J330" s="22">
        <v>320</v>
      </c>
      <c r="K330" s="22">
        <v>8.8134799999999999E-2</v>
      </c>
      <c r="L330">
        <f t="shared" si="48"/>
        <v>16.780864197530864</v>
      </c>
      <c r="M330">
        <f t="shared" si="49"/>
        <v>1.4876840222222221</v>
      </c>
      <c r="N330" s="9"/>
      <c r="O330" s="22">
        <v>1.5113799999999999</v>
      </c>
      <c r="P330" s="22">
        <v>11.9068</v>
      </c>
      <c r="Q330" s="22">
        <v>-5.7189900000000002E-3</v>
      </c>
      <c r="R330" s="22">
        <v>320</v>
      </c>
      <c r="S330" s="22">
        <v>1.51031</v>
      </c>
      <c r="T330">
        <f t="shared" si="50"/>
        <v>7.0604814814814807</v>
      </c>
      <c r="U330">
        <f t="shared" si="51"/>
        <v>10.671070501481481</v>
      </c>
      <c r="X330" s="9"/>
      <c r="Y330" s="22">
        <v>8.8653599999999999E-2</v>
      </c>
      <c r="Z330" s="22">
        <v>17.183199999999999</v>
      </c>
      <c r="AA330" s="22">
        <v>-1.36078E-2</v>
      </c>
      <c r="AB330" s="22">
        <v>320</v>
      </c>
      <c r="AC330" s="22">
        <v>8.8134799999999999E-2</v>
      </c>
      <c r="AD330">
        <f t="shared" si="52"/>
        <v>16.799753086419752</v>
      </c>
      <c r="AE330">
        <f t="shared" si="53"/>
        <v>1.4893585902222222</v>
      </c>
      <c r="AF330" s="9"/>
      <c r="AG330" s="22">
        <v>1.5113799999999999</v>
      </c>
      <c r="AH330" s="22">
        <v>20.800999999999998</v>
      </c>
      <c r="AI330" s="22">
        <v>-5.7342499999999998E-3</v>
      </c>
      <c r="AJ330" s="22">
        <v>320</v>
      </c>
      <c r="AK330" s="22">
        <v>1.5109300000000001</v>
      </c>
      <c r="AL330">
        <f t="shared" si="54"/>
        <v>7.0793209876543202</v>
      </c>
      <c r="AM330">
        <f t="shared" si="55"/>
        <v>10.699544154320986</v>
      </c>
      <c r="AP330" s="9"/>
      <c r="AQ330" s="22">
        <v>8.8653599999999999E-2</v>
      </c>
      <c r="AR330" s="22">
        <v>26.118500000000001</v>
      </c>
      <c r="AS330" s="22">
        <v>-1.3443E-2</v>
      </c>
      <c r="AT330" s="22">
        <v>320</v>
      </c>
      <c r="AU330" s="22">
        <v>8.8134799999999999E-2</v>
      </c>
      <c r="AV330">
        <f t="shared" si="56"/>
        <v>16.596296296296295</v>
      </c>
      <c r="AW330">
        <f t="shared" si="57"/>
        <v>1.4713214133333332</v>
      </c>
      <c r="AX330" s="9"/>
      <c r="AY330" s="22">
        <v>1.5113799999999999</v>
      </c>
      <c r="AZ330" s="22">
        <v>29.7362</v>
      </c>
      <c r="BA330" s="22">
        <v>-6.0455300000000003E-3</v>
      </c>
      <c r="BB330" s="22">
        <v>320</v>
      </c>
      <c r="BC330" s="22">
        <v>1.51031</v>
      </c>
      <c r="BD330">
        <f t="shared" si="58"/>
        <v>7.463617283950617</v>
      </c>
      <c r="BE330">
        <f t="shared" si="59"/>
        <v>11.280361890617282</v>
      </c>
    </row>
    <row r="331" spans="6:57">
      <c r="F331" s="9"/>
      <c r="G331" s="22">
        <v>8.3618200000000004E-2</v>
      </c>
      <c r="H331" s="22">
        <v>8.2991100000000007</v>
      </c>
      <c r="I331" s="22">
        <v>-1.3604700000000001E-2</v>
      </c>
      <c r="J331" s="22">
        <v>321</v>
      </c>
      <c r="K331" s="22">
        <v>8.3129900000000007E-2</v>
      </c>
      <c r="L331">
        <f t="shared" si="48"/>
        <v>16.795925925925925</v>
      </c>
      <c r="M331">
        <f t="shared" si="49"/>
        <v>1.4044450932592591</v>
      </c>
      <c r="N331" s="9"/>
      <c r="O331" s="22">
        <v>1.5164200000000001</v>
      </c>
      <c r="P331" s="22">
        <v>11.9169</v>
      </c>
      <c r="Q331" s="22">
        <v>-5.5786100000000003E-3</v>
      </c>
      <c r="R331" s="22">
        <v>321</v>
      </c>
      <c r="S331" s="22">
        <v>1.5155000000000001</v>
      </c>
      <c r="T331">
        <f t="shared" si="50"/>
        <v>6.8871728395061727</v>
      </c>
      <c r="U331">
        <f t="shared" si="51"/>
        <v>10.443846637283951</v>
      </c>
      <c r="X331" s="9"/>
      <c r="Y331" s="22">
        <v>8.3618200000000004E-2</v>
      </c>
      <c r="Z331" s="22">
        <v>17.193300000000001</v>
      </c>
      <c r="AA331" s="22">
        <v>-1.3610799999999999E-2</v>
      </c>
      <c r="AB331" s="22">
        <v>321</v>
      </c>
      <c r="AC331" s="22">
        <v>8.3160399999999995E-2</v>
      </c>
      <c r="AD331">
        <f t="shared" si="52"/>
        <v>16.803456790123455</v>
      </c>
      <c r="AE331">
        <f t="shared" si="53"/>
        <v>1.4050748105679012</v>
      </c>
      <c r="AF331" s="9"/>
      <c r="AG331" s="22">
        <v>1.5164200000000001</v>
      </c>
      <c r="AH331" s="22">
        <v>20.8111</v>
      </c>
      <c r="AI331" s="22">
        <v>-5.5938699999999999E-3</v>
      </c>
      <c r="AJ331" s="22">
        <v>321</v>
      </c>
      <c r="AK331" s="22">
        <v>1.5152000000000001</v>
      </c>
      <c r="AL331">
        <f t="shared" si="54"/>
        <v>6.9060123456790121</v>
      </c>
      <c r="AM331">
        <f t="shared" si="55"/>
        <v>10.472415241234568</v>
      </c>
      <c r="AP331" s="9"/>
      <c r="AQ331" s="22">
        <v>8.3618200000000004E-2</v>
      </c>
      <c r="AR331" s="22">
        <v>26.128499999999999</v>
      </c>
      <c r="AS331" s="22">
        <v>-1.3443E-2</v>
      </c>
      <c r="AT331" s="22">
        <v>321</v>
      </c>
      <c r="AU331" s="22">
        <v>8.3099400000000004E-2</v>
      </c>
      <c r="AV331">
        <f t="shared" si="56"/>
        <v>16.596296296296295</v>
      </c>
      <c r="AW331">
        <f t="shared" si="57"/>
        <v>1.387752422962963</v>
      </c>
      <c r="AX331" s="9"/>
      <c r="AY331" s="22">
        <v>1.5164200000000001</v>
      </c>
      <c r="AZ331" s="22">
        <v>29.746300000000002</v>
      </c>
      <c r="BA331" s="22">
        <v>-5.9051499999999996E-3</v>
      </c>
      <c r="BB331" s="22">
        <v>321</v>
      </c>
      <c r="BC331" s="22">
        <v>1.5152000000000001</v>
      </c>
      <c r="BD331">
        <f t="shared" si="58"/>
        <v>7.290308641975308</v>
      </c>
      <c r="BE331">
        <f t="shared" si="59"/>
        <v>11.055169830864198</v>
      </c>
    </row>
    <row r="332" spans="6:57">
      <c r="F332" s="9"/>
      <c r="G332" s="22">
        <v>7.8582799999999994E-2</v>
      </c>
      <c r="H332" s="22">
        <v>8.3091799999999996</v>
      </c>
      <c r="I332" s="22">
        <v>-1.3616899999999999E-2</v>
      </c>
      <c r="J332" s="22">
        <v>322</v>
      </c>
      <c r="K332" s="22">
        <v>7.8094499999999997E-2</v>
      </c>
      <c r="L332">
        <f t="shared" ref="L332:L368" si="60">-I332/$F$2*1000</f>
        <v>16.810987654320986</v>
      </c>
      <c r="M332">
        <f t="shared" ref="M332:M368" si="61">L332*G332</f>
        <v>1.3210544806419751</v>
      </c>
      <c r="N332" s="9"/>
      <c r="O332" s="22">
        <v>1.52145</v>
      </c>
      <c r="P332" s="22">
        <v>11.9269</v>
      </c>
      <c r="Q332" s="22">
        <v>-5.4351800000000004E-3</v>
      </c>
      <c r="R332" s="22">
        <v>322</v>
      </c>
      <c r="S332" s="22">
        <v>1.5203899999999999</v>
      </c>
      <c r="T332">
        <f t="shared" ref="T332:T368" si="62">-Q332/$F$2*1000</f>
        <v>6.7100987654320994</v>
      </c>
      <c r="U332">
        <f t="shared" ref="U332:U368" si="63">T332*O332</f>
        <v>10.209079766666667</v>
      </c>
      <c r="X332" s="9"/>
      <c r="Y332" s="22">
        <v>7.8582799999999994E-2</v>
      </c>
      <c r="Z332" s="22">
        <v>17.203399999999998</v>
      </c>
      <c r="AA332" s="22">
        <v>-1.362E-2</v>
      </c>
      <c r="AB332" s="22">
        <v>322</v>
      </c>
      <c r="AC332" s="22">
        <v>7.8063999999999995E-2</v>
      </c>
      <c r="AD332">
        <f t="shared" ref="AD332:AD368" si="64">-AA332/$F$2*1000</f>
        <v>16.814814814814813</v>
      </c>
      <c r="AE332">
        <f t="shared" ref="AE332:AE368" si="65">AD332*Y332</f>
        <v>1.3213552296296294</v>
      </c>
      <c r="AF332" s="9"/>
      <c r="AG332" s="22">
        <v>1.52145</v>
      </c>
      <c r="AH332" s="22">
        <v>20.821200000000001</v>
      </c>
      <c r="AI332" s="22">
        <v>-5.4565400000000002E-3</v>
      </c>
      <c r="AJ332" s="22">
        <v>322</v>
      </c>
      <c r="AK332" s="22">
        <v>1.5206900000000001</v>
      </c>
      <c r="AL332">
        <f t="shared" ref="AL332:AL368" si="66">-AI332/$F$2*1000</f>
        <v>6.7364691358024693</v>
      </c>
      <c r="AM332">
        <f t="shared" ref="AM332:AM368" si="67">AL332*AG332</f>
        <v>10.249200966666667</v>
      </c>
      <c r="AP332" s="9"/>
      <c r="AQ332" s="22">
        <v>7.8582799999999994E-2</v>
      </c>
      <c r="AR332" s="22">
        <v>26.1386</v>
      </c>
      <c r="AS332" s="22">
        <v>-1.34521E-2</v>
      </c>
      <c r="AT332" s="22">
        <v>322</v>
      </c>
      <c r="AU332" s="22">
        <v>7.8155500000000003E-2</v>
      </c>
      <c r="AV332">
        <f t="shared" ref="AV332:AV368" si="68">-AS332/$F$2*1000</f>
        <v>16.607530864197528</v>
      </c>
      <c r="AW332">
        <f t="shared" ref="AW332:AW368" si="69">AV332*AQ332</f>
        <v>1.3050662763950613</v>
      </c>
      <c r="AX332" s="9"/>
      <c r="AY332" s="22">
        <v>1.52145</v>
      </c>
      <c r="AZ332" s="22">
        <v>29.756399999999999</v>
      </c>
      <c r="BA332" s="22">
        <v>-5.7586699999999996E-3</v>
      </c>
      <c r="BB332" s="22">
        <v>322</v>
      </c>
      <c r="BC332" s="22">
        <v>1.5206900000000001</v>
      </c>
      <c r="BD332">
        <f t="shared" ref="BD332:BD368" si="70">-BA332/$F$2*1000</f>
        <v>7.1094691358024686</v>
      </c>
      <c r="BE332">
        <f t="shared" ref="BE332:BE368" si="71">BD332*AY332</f>
        <v>10.816701816666665</v>
      </c>
    </row>
    <row r="333" spans="6:57">
      <c r="F333" s="9"/>
      <c r="G333" s="22">
        <v>7.3547399999999999E-2</v>
      </c>
      <c r="H333" s="22">
        <v>8.3192500000000003</v>
      </c>
      <c r="I333" s="22">
        <v>-1.3623E-2</v>
      </c>
      <c r="J333" s="22">
        <v>323</v>
      </c>
      <c r="K333" s="22">
        <v>7.3059100000000002E-2</v>
      </c>
      <c r="L333">
        <f t="shared" si="60"/>
        <v>16.818518518518516</v>
      </c>
      <c r="M333">
        <f t="shared" si="61"/>
        <v>1.2369583088888887</v>
      </c>
      <c r="N333" s="9"/>
      <c r="O333" s="22">
        <v>1.5264899999999999</v>
      </c>
      <c r="P333" s="22">
        <v>11.936999999999999</v>
      </c>
      <c r="Q333" s="22">
        <v>-5.2917499999999996E-3</v>
      </c>
      <c r="R333" s="22">
        <v>323</v>
      </c>
      <c r="S333" s="22">
        <v>1.5252699999999999</v>
      </c>
      <c r="T333">
        <f t="shared" si="62"/>
        <v>6.5330246913580243</v>
      </c>
      <c r="U333">
        <f t="shared" si="63"/>
        <v>9.9725968611111107</v>
      </c>
      <c r="X333" s="9"/>
      <c r="Y333" s="22">
        <v>7.3547399999999999E-2</v>
      </c>
      <c r="Z333" s="22">
        <v>17.2135</v>
      </c>
      <c r="AA333" s="22">
        <v>-1.36261E-2</v>
      </c>
      <c r="AB333" s="22">
        <v>323</v>
      </c>
      <c r="AC333" s="22">
        <v>7.3089600000000005E-2</v>
      </c>
      <c r="AD333">
        <f t="shared" si="64"/>
        <v>16.822345679012344</v>
      </c>
      <c r="AE333">
        <f t="shared" si="65"/>
        <v>1.2372397865925924</v>
      </c>
      <c r="AF333" s="9"/>
      <c r="AG333" s="22">
        <v>1.5264899999999999</v>
      </c>
      <c r="AH333" s="22">
        <v>20.831199999999999</v>
      </c>
      <c r="AI333" s="22">
        <v>-5.3039599999999999E-3</v>
      </c>
      <c r="AJ333" s="22">
        <v>323</v>
      </c>
      <c r="AK333" s="22">
        <v>1.5255700000000001</v>
      </c>
      <c r="AL333">
        <f t="shared" si="66"/>
        <v>6.5480987654320986</v>
      </c>
      <c r="AM333">
        <f t="shared" si="67"/>
        <v>9.9956072844444428</v>
      </c>
      <c r="AP333" s="9"/>
      <c r="AQ333" s="22">
        <v>7.3547399999999999E-2</v>
      </c>
      <c r="AR333" s="22">
        <v>26.148700000000002</v>
      </c>
      <c r="AS333" s="22">
        <v>-1.3467399999999999E-2</v>
      </c>
      <c r="AT333" s="22">
        <v>323</v>
      </c>
      <c r="AU333" s="22">
        <v>7.3089600000000005E-2</v>
      </c>
      <c r="AV333">
        <f t="shared" si="68"/>
        <v>16.626419753086417</v>
      </c>
      <c r="AW333">
        <f t="shared" si="69"/>
        <v>1.2228299441481478</v>
      </c>
      <c r="AX333" s="9"/>
      <c r="AY333" s="22">
        <v>1.5264899999999999</v>
      </c>
      <c r="AZ333" s="22">
        <v>29.766500000000001</v>
      </c>
      <c r="BA333" s="22">
        <v>-5.6152299999999997E-3</v>
      </c>
      <c r="BB333" s="22">
        <v>323</v>
      </c>
      <c r="BC333" s="22">
        <v>1.5255700000000001</v>
      </c>
      <c r="BD333">
        <f t="shared" si="70"/>
        <v>6.9323827160493821</v>
      </c>
      <c r="BE333">
        <f t="shared" si="71"/>
        <v>10.58221289222222</v>
      </c>
    </row>
    <row r="334" spans="6:57">
      <c r="F334" s="9"/>
      <c r="G334" s="22">
        <v>6.8512000000000003E-2</v>
      </c>
      <c r="H334" s="22">
        <v>8.3293199999999992</v>
      </c>
      <c r="I334" s="22">
        <v>-1.36353E-2</v>
      </c>
      <c r="J334" s="22">
        <v>324</v>
      </c>
      <c r="K334" s="22">
        <v>6.8054199999999995E-2</v>
      </c>
      <c r="L334">
        <f t="shared" si="60"/>
        <v>16.833703703703701</v>
      </c>
      <c r="M334">
        <f t="shared" si="61"/>
        <v>1.153310708148148</v>
      </c>
      <c r="N334" s="9"/>
      <c r="O334" s="22">
        <v>1.53152</v>
      </c>
      <c r="P334" s="22">
        <v>11.947100000000001</v>
      </c>
      <c r="Q334" s="22">
        <v>-5.1391600000000003E-3</v>
      </c>
      <c r="R334" s="22">
        <v>324</v>
      </c>
      <c r="S334" s="22">
        <v>1.5304599999999999</v>
      </c>
      <c r="T334">
        <f t="shared" si="62"/>
        <v>6.344641975308642</v>
      </c>
      <c r="U334">
        <f t="shared" si="63"/>
        <v>9.7169460780246908</v>
      </c>
      <c r="X334" s="9"/>
      <c r="Y334" s="22">
        <v>6.8512000000000003E-2</v>
      </c>
      <c r="Z334" s="22">
        <v>17.223500000000001</v>
      </c>
      <c r="AA334" s="22">
        <v>-1.36261E-2</v>
      </c>
      <c r="AB334" s="22">
        <v>324</v>
      </c>
      <c r="AC334" s="22">
        <v>6.8054199999999995E-2</v>
      </c>
      <c r="AD334">
        <f t="shared" si="64"/>
        <v>16.822345679012344</v>
      </c>
      <c r="AE334">
        <f t="shared" si="65"/>
        <v>1.1525325471604937</v>
      </c>
      <c r="AF334" s="9"/>
      <c r="AG334" s="22">
        <v>1.53152</v>
      </c>
      <c r="AH334" s="22">
        <v>20.8413</v>
      </c>
      <c r="AI334" s="22">
        <v>-5.1574699999999999E-3</v>
      </c>
      <c r="AJ334" s="22">
        <v>324</v>
      </c>
      <c r="AK334" s="22">
        <v>1.5298499999999999</v>
      </c>
      <c r="AL334">
        <f t="shared" si="66"/>
        <v>6.3672469135802459</v>
      </c>
      <c r="AM334">
        <f t="shared" si="67"/>
        <v>9.7515659930864178</v>
      </c>
      <c r="AP334" s="9"/>
      <c r="AQ334" s="22">
        <v>6.8512000000000003E-2</v>
      </c>
      <c r="AR334" s="22">
        <v>26.158799999999999</v>
      </c>
      <c r="AS334" s="22">
        <v>-1.34705E-2</v>
      </c>
      <c r="AT334" s="22">
        <v>324</v>
      </c>
      <c r="AU334" s="22">
        <v>6.8054199999999995E-2</v>
      </c>
      <c r="AV334">
        <f t="shared" si="68"/>
        <v>16.630246913580244</v>
      </c>
      <c r="AW334">
        <f t="shared" si="69"/>
        <v>1.1393714765432097</v>
      </c>
      <c r="AX334" s="9"/>
      <c r="AY334" s="22">
        <v>1.53152</v>
      </c>
      <c r="AZ334" s="22">
        <v>29.776499999999999</v>
      </c>
      <c r="BA334" s="22">
        <v>-5.4657000000000004E-3</v>
      </c>
      <c r="BB334" s="22">
        <v>324</v>
      </c>
      <c r="BC334" s="22">
        <v>1.5307599999999999</v>
      </c>
      <c r="BD334">
        <f t="shared" si="70"/>
        <v>6.7477777777777783</v>
      </c>
      <c r="BE334">
        <f t="shared" si="71"/>
        <v>10.334356622222224</v>
      </c>
    </row>
    <row r="335" spans="6:57">
      <c r="F335" s="9"/>
      <c r="G335" s="22">
        <v>6.3476599999999994E-2</v>
      </c>
      <c r="H335" s="22">
        <v>8.3393899999999999</v>
      </c>
      <c r="I335" s="22">
        <v>-1.36475E-2</v>
      </c>
      <c r="J335" s="22">
        <v>325</v>
      </c>
      <c r="K335" s="22">
        <v>6.2988299999999997E-2</v>
      </c>
      <c r="L335">
        <f t="shared" si="60"/>
        <v>16.848765432098766</v>
      </c>
      <c r="M335">
        <f t="shared" si="61"/>
        <v>1.0695023438271605</v>
      </c>
      <c r="N335" s="9"/>
      <c r="O335" s="22">
        <v>1.5365599999999999</v>
      </c>
      <c r="P335" s="22">
        <v>11.9572</v>
      </c>
      <c r="Q335" s="22">
        <v>-4.9932900000000001E-3</v>
      </c>
      <c r="R335" s="22">
        <v>325</v>
      </c>
      <c r="S335" s="22">
        <v>1.5356399999999999</v>
      </c>
      <c r="T335">
        <f t="shared" si="62"/>
        <v>6.1645555555555553</v>
      </c>
      <c r="U335">
        <f t="shared" si="63"/>
        <v>9.4722094844444431</v>
      </c>
      <c r="X335" s="9"/>
      <c r="Y335" s="22">
        <v>6.3476599999999994E-2</v>
      </c>
      <c r="Z335" s="22">
        <v>17.233599999999999</v>
      </c>
      <c r="AA335" s="22">
        <v>-1.36139E-2</v>
      </c>
      <c r="AB335" s="22">
        <v>325</v>
      </c>
      <c r="AC335" s="22">
        <v>6.3049300000000003E-2</v>
      </c>
      <c r="AD335">
        <f t="shared" si="64"/>
        <v>16.807283950617283</v>
      </c>
      <c r="AE335">
        <f t="shared" si="65"/>
        <v>1.0668692404197528</v>
      </c>
      <c r="AF335" s="9"/>
      <c r="AG335" s="22">
        <v>1.5365599999999999</v>
      </c>
      <c r="AH335" s="22">
        <v>20.851400000000002</v>
      </c>
      <c r="AI335" s="22">
        <v>-4.9987800000000004E-3</v>
      </c>
      <c r="AJ335" s="22">
        <v>325</v>
      </c>
      <c r="AK335" s="22">
        <v>1.5353399999999999</v>
      </c>
      <c r="AL335">
        <f t="shared" si="66"/>
        <v>6.1713333333333331</v>
      </c>
      <c r="AM335">
        <f t="shared" si="67"/>
        <v>9.4826239466666653</v>
      </c>
      <c r="AP335" s="9"/>
      <c r="AQ335" s="22">
        <v>6.3476599999999994E-2</v>
      </c>
      <c r="AR335" s="22">
        <v>26.168800000000001</v>
      </c>
      <c r="AS335" s="22">
        <v>-1.34766E-2</v>
      </c>
      <c r="AT335" s="22">
        <v>325</v>
      </c>
      <c r="AU335" s="22">
        <v>6.3049300000000003E-2</v>
      </c>
      <c r="AV335">
        <f t="shared" si="68"/>
        <v>16.637777777777774</v>
      </c>
      <c r="AW335">
        <f t="shared" si="69"/>
        <v>1.0561095648888885</v>
      </c>
      <c r="AX335" s="9"/>
      <c r="AY335" s="22">
        <v>1.5365599999999999</v>
      </c>
      <c r="AZ335" s="22">
        <v>29.7866</v>
      </c>
      <c r="BA335" s="22">
        <v>-5.3131100000000002E-3</v>
      </c>
      <c r="BB335" s="22">
        <v>325</v>
      </c>
      <c r="BC335" s="22">
        <v>1.5350299999999999</v>
      </c>
      <c r="BD335">
        <f t="shared" si="70"/>
        <v>6.5593950617283951</v>
      </c>
      <c r="BE335">
        <f t="shared" si="71"/>
        <v>10.078904076049382</v>
      </c>
    </row>
    <row r="336" spans="6:57">
      <c r="F336" s="9"/>
      <c r="G336" s="22">
        <v>5.8441199999999999E-2</v>
      </c>
      <c r="H336" s="22">
        <v>8.3494700000000002</v>
      </c>
      <c r="I336" s="22">
        <v>-1.36627E-2</v>
      </c>
      <c r="J336" s="22">
        <v>326</v>
      </c>
      <c r="K336" s="22">
        <v>5.7952900000000002E-2</v>
      </c>
      <c r="L336">
        <f t="shared" si="60"/>
        <v>16.86753086419753</v>
      </c>
      <c r="M336">
        <f t="shared" si="61"/>
        <v>0.98575874474074066</v>
      </c>
      <c r="N336" s="9"/>
      <c r="O336" s="22">
        <v>1.5416000000000001</v>
      </c>
      <c r="P336" s="22">
        <v>11.9672</v>
      </c>
      <c r="Q336" s="22">
        <v>-4.8409999999999998E-3</v>
      </c>
      <c r="R336" s="22">
        <v>326</v>
      </c>
      <c r="S336" s="22">
        <v>1.5402199999999999</v>
      </c>
      <c r="T336">
        <f t="shared" si="62"/>
        <v>5.9765432098765423</v>
      </c>
      <c r="U336">
        <f t="shared" si="63"/>
        <v>9.2134390123456775</v>
      </c>
      <c r="X336" s="9"/>
      <c r="Y336" s="22">
        <v>5.8441199999999999E-2</v>
      </c>
      <c r="Z336" s="22">
        <v>17.2437</v>
      </c>
      <c r="AA336" s="22">
        <v>-1.3610799999999999E-2</v>
      </c>
      <c r="AB336" s="22">
        <v>326</v>
      </c>
      <c r="AC336" s="22">
        <v>5.78918E-2</v>
      </c>
      <c r="AD336">
        <f t="shared" si="64"/>
        <v>16.803456790123455</v>
      </c>
      <c r="AE336">
        <f t="shared" si="65"/>
        <v>0.98201417896296284</v>
      </c>
      <c r="AF336" s="9"/>
      <c r="AG336" s="22">
        <v>1.5416000000000001</v>
      </c>
      <c r="AH336" s="22">
        <v>20.8614</v>
      </c>
      <c r="AI336" s="22">
        <v>-4.8468000000000001E-3</v>
      </c>
      <c r="AJ336" s="22">
        <v>326</v>
      </c>
      <c r="AK336" s="22">
        <v>1.54114</v>
      </c>
      <c r="AL336">
        <f t="shared" si="66"/>
        <v>5.9837037037037035</v>
      </c>
      <c r="AM336">
        <f t="shared" si="67"/>
        <v>9.2244776296296305</v>
      </c>
      <c r="AP336" s="9"/>
      <c r="AQ336" s="22">
        <v>5.8441199999999999E-2</v>
      </c>
      <c r="AR336" s="22">
        <v>26.178899999999999</v>
      </c>
      <c r="AS336" s="22">
        <v>-1.34766E-2</v>
      </c>
      <c r="AT336" s="22">
        <v>326</v>
      </c>
      <c r="AU336" s="22">
        <v>5.7983399999999997E-2</v>
      </c>
      <c r="AV336">
        <f t="shared" si="68"/>
        <v>16.637777777777774</v>
      </c>
      <c r="AW336">
        <f t="shared" si="69"/>
        <v>0.97233169866666647</v>
      </c>
      <c r="AX336" s="9"/>
      <c r="AY336" s="22">
        <v>1.5416000000000001</v>
      </c>
      <c r="AZ336" s="22">
        <v>29.796700000000001</v>
      </c>
      <c r="BA336" s="22">
        <v>-5.1635700000000001E-3</v>
      </c>
      <c r="BB336" s="22">
        <v>326</v>
      </c>
      <c r="BC336" s="22">
        <v>1.5408299999999999</v>
      </c>
      <c r="BD336">
        <f t="shared" si="70"/>
        <v>6.3747777777777781</v>
      </c>
      <c r="BE336">
        <f t="shared" si="71"/>
        <v>9.8273574222222226</v>
      </c>
    </row>
    <row r="337" spans="6:57">
      <c r="F337" s="9"/>
      <c r="G337" s="22">
        <v>5.3405800000000003E-2</v>
      </c>
      <c r="H337" s="22">
        <v>8.3595400000000009</v>
      </c>
      <c r="I337" s="22">
        <v>-1.36688E-2</v>
      </c>
      <c r="J337" s="22">
        <v>327</v>
      </c>
      <c r="K337" s="22">
        <v>5.3039599999999999E-2</v>
      </c>
      <c r="L337">
        <f t="shared" si="60"/>
        <v>16.87506172839506</v>
      </c>
      <c r="M337">
        <f t="shared" si="61"/>
        <v>0.90122617165432095</v>
      </c>
      <c r="N337" s="9"/>
      <c r="O337" s="22">
        <v>1.5466299999999999</v>
      </c>
      <c r="P337" s="22">
        <v>11.9773</v>
      </c>
      <c r="Q337" s="22">
        <v>-4.68323E-3</v>
      </c>
      <c r="R337" s="22">
        <v>327</v>
      </c>
      <c r="S337" s="22">
        <v>1.54633</v>
      </c>
      <c r="T337">
        <f t="shared" si="62"/>
        <v>5.7817654320987648</v>
      </c>
      <c r="U337">
        <f t="shared" si="63"/>
        <v>8.9422518702469116</v>
      </c>
      <c r="X337" s="9"/>
      <c r="Y337" s="22">
        <v>5.3405800000000003E-2</v>
      </c>
      <c r="Z337" s="22">
        <v>17.253699999999998</v>
      </c>
      <c r="AA337" s="22">
        <v>-1.3610799999999999E-2</v>
      </c>
      <c r="AB337" s="22">
        <v>327</v>
      </c>
      <c r="AC337" s="22">
        <v>5.2948000000000002E-2</v>
      </c>
      <c r="AD337">
        <f t="shared" si="64"/>
        <v>16.803456790123455</v>
      </c>
      <c r="AE337">
        <f t="shared" si="65"/>
        <v>0.89740205264197526</v>
      </c>
      <c r="AF337" s="9"/>
      <c r="AG337" s="22">
        <v>1.5466299999999999</v>
      </c>
      <c r="AH337" s="22">
        <v>20.871500000000001</v>
      </c>
      <c r="AI337" s="22">
        <v>-4.6856700000000003E-3</v>
      </c>
      <c r="AJ337" s="22">
        <v>327</v>
      </c>
      <c r="AK337" s="22">
        <v>1.5460199999999999</v>
      </c>
      <c r="AL337">
        <f t="shared" si="66"/>
        <v>5.7847777777777774</v>
      </c>
      <c r="AM337">
        <f t="shared" si="67"/>
        <v>8.9469108544444431</v>
      </c>
      <c r="AP337" s="9"/>
      <c r="AQ337" s="22">
        <v>5.3405800000000003E-2</v>
      </c>
      <c r="AR337" s="22">
        <v>26.189</v>
      </c>
      <c r="AS337" s="22">
        <v>-1.3467399999999999E-2</v>
      </c>
      <c r="AT337" s="22">
        <v>327</v>
      </c>
      <c r="AU337" s="22">
        <v>5.3009000000000001E-2</v>
      </c>
      <c r="AV337">
        <f t="shared" si="68"/>
        <v>16.626419753086417</v>
      </c>
      <c r="AW337">
        <f t="shared" si="69"/>
        <v>0.88794724804938263</v>
      </c>
      <c r="AX337" s="9"/>
      <c r="AY337" s="22">
        <v>1.5466299999999999</v>
      </c>
      <c r="AZ337" s="22">
        <v>29.806699999999999</v>
      </c>
      <c r="BA337" s="22">
        <v>-5.0109899999999999E-3</v>
      </c>
      <c r="BB337" s="22">
        <v>327</v>
      </c>
      <c r="BC337" s="22">
        <v>1.54572</v>
      </c>
      <c r="BD337">
        <f t="shared" si="70"/>
        <v>6.1864074074074074</v>
      </c>
      <c r="BE337">
        <f t="shared" si="71"/>
        <v>9.568083288518519</v>
      </c>
    </row>
    <row r="338" spans="6:57">
      <c r="F338" s="9"/>
      <c r="G338" s="22">
        <v>4.8370400000000001E-2</v>
      </c>
      <c r="H338" s="22">
        <v>8.3696099999999998</v>
      </c>
      <c r="I338" s="22">
        <v>-1.36627E-2</v>
      </c>
      <c r="J338" s="22">
        <v>328</v>
      </c>
      <c r="K338" s="22">
        <v>4.83185E-2</v>
      </c>
      <c r="L338">
        <f t="shared" si="60"/>
        <v>16.86753086419753</v>
      </c>
      <c r="M338">
        <f t="shared" si="61"/>
        <v>0.81588921491358024</v>
      </c>
      <c r="N338" s="9"/>
      <c r="O338" s="22">
        <v>1.5516700000000001</v>
      </c>
      <c r="P338" s="22">
        <v>11.987399999999999</v>
      </c>
      <c r="Q338" s="22">
        <v>-4.5224000000000002E-3</v>
      </c>
      <c r="R338" s="22">
        <v>328</v>
      </c>
      <c r="S338" s="22">
        <v>1.5502899999999999</v>
      </c>
      <c r="T338">
        <f t="shared" si="62"/>
        <v>5.5832098765432097</v>
      </c>
      <c r="U338">
        <f t="shared" si="63"/>
        <v>8.6632992691358019</v>
      </c>
      <c r="X338" s="9"/>
      <c r="Y338" s="22">
        <v>4.8370400000000001E-2</v>
      </c>
      <c r="Z338" s="22">
        <v>17.2638</v>
      </c>
      <c r="AA338" s="22">
        <v>-1.362E-2</v>
      </c>
      <c r="AB338" s="22">
        <v>328</v>
      </c>
      <c r="AC338" s="22">
        <v>4.8342900000000001E-2</v>
      </c>
      <c r="AD338">
        <f t="shared" si="64"/>
        <v>16.814814814814813</v>
      </c>
      <c r="AE338">
        <f t="shared" si="65"/>
        <v>0.81333931851851848</v>
      </c>
      <c r="AF338" s="9"/>
      <c r="AG338" s="22">
        <v>1.5516700000000001</v>
      </c>
      <c r="AH338" s="22">
        <v>20.881599999999999</v>
      </c>
      <c r="AI338" s="22">
        <v>-4.52667E-3</v>
      </c>
      <c r="AJ338" s="22">
        <v>328</v>
      </c>
      <c r="AK338" s="22">
        <v>1.5502899999999999</v>
      </c>
      <c r="AL338">
        <f t="shared" si="66"/>
        <v>5.5884814814814812</v>
      </c>
      <c r="AM338">
        <f t="shared" si="67"/>
        <v>8.6714790603703698</v>
      </c>
      <c r="AP338" s="9"/>
      <c r="AQ338" s="22">
        <v>4.8370400000000001E-2</v>
      </c>
      <c r="AR338" s="22">
        <v>26.199000000000002</v>
      </c>
      <c r="AS338" s="22">
        <v>-1.3461300000000001E-2</v>
      </c>
      <c r="AT338" s="22">
        <v>328</v>
      </c>
      <c r="AU338" s="22">
        <v>4.8321500000000003E-2</v>
      </c>
      <c r="AV338">
        <f t="shared" si="68"/>
        <v>16.618888888888886</v>
      </c>
      <c r="AW338">
        <f t="shared" si="69"/>
        <v>0.80386230311111095</v>
      </c>
      <c r="AX338" s="9"/>
      <c r="AY338" s="22">
        <v>1.5516700000000001</v>
      </c>
      <c r="AZ338" s="22">
        <v>29.816800000000001</v>
      </c>
      <c r="BA338" s="22">
        <v>-4.8556500000000004E-3</v>
      </c>
      <c r="BB338" s="22">
        <v>328</v>
      </c>
      <c r="BC338" s="22">
        <v>1.5506</v>
      </c>
      <c r="BD338">
        <f t="shared" si="70"/>
        <v>5.99462962962963</v>
      </c>
      <c r="BE338">
        <f t="shared" si="71"/>
        <v>9.3016869574074086</v>
      </c>
    </row>
    <row r="339" spans="6:57">
      <c r="F339" s="9"/>
      <c r="G339" s="22">
        <v>4.3334999999999999E-2</v>
      </c>
      <c r="H339" s="22">
        <v>8.3796800000000005</v>
      </c>
      <c r="I339" s="22">
        <v>-1.36688E-2</v>
      </c>
      <c r="J339" s="22">
        <v>329</v>
      </c>
      <c r="K339" s="22">
        <v>4.3295300000000002E-2</v>
      </c>
      <c r="L339">
        <f t="shared" si="60"/>
        <v>16.87506172839506</v>
      </c>
      <c r="M339">
        <f t="shared" si="61"/>
        <v>0.73128079999999995</v>
      </c>
      <c r="N339" s="9"/>
      <c r="O339" s="22">
        <v>1.5567</v>
      </c>
      <c r="P339" s="22">
        <v>11.997400000000001</v>
      </c>
      <c r="Q339" s="22">
        <v>-4.3631E-3</v>
      </c>
      <c r="R339" s="22">
        <v>329</v>
      </c>
      <c r="S339" s="22">
        <v>1.55579</v>
      </c>
      <c r="T339">
        <f t="shared" si="62"/>
        <v>5.3865432098765433</v>
      </c>
      <c r="U339">
        <f t="shared" si="63"/>
        <v>8.3852318148148157</v>
      </c>
      <c r="X339" s="9"/>
      <c r="Y339" s="22">
        <v>4.3334999999999999E-2</v>
      </c>
      <c r="Z339" s="22">
        <v>17.273900000000001</v>
      </c>
      <c r="AA339" s="22">
        <v>-1.3629199999999999E-2</v>
      </c>
      <c r="AB339" s="22">
        <v>329</v>
      </c>
      <c r="AC339" s="22">
        <v>4.3292200000000003E-2</v>
      </c>
      <c r="AD339">
        <f t="shared" si="64"/>
        <v>16.826172839506171</v>
      </c>
      <c r="AE339">
        <f t="shared" si="65"/>
        <v>0.72916219999999987</v>
      </c>
      <c r="AF339" s="9"/>
      <c r="AG339" s="22">
        <v>1.5567</v>
      </c>
      <c r="AH339" s="22">
        <v>20.8917</v>
      </c>
      <c r="AI339" s="22">
        <v>-4.36646E-3</v>
      </c>
      <c r="AJ339" s="22">
        <v>329</v>
      </c>
      <c r="AK339" s="22">
        <v>1.5564</v>
      </c>
      <c r="AL339">
        <f t="shared" si="66"/>
        <v>5.3906913580246911</v>
      </c>
      <c r="AM339">
        <f t="shared" si="67"/>
        <v>8.3916892370370366</v>
      </c>
      <c r="AP339" s="9"/>
      <c r="AQ339" s="22">
        <v>4.3334999999999999E-2</v>
      </c>
      <c r="AR339" s="22">
        <v>26.209099999999999</v>
      </c>
      <c r="AS339" s="22">
        <v>-1.3458299999999999E-2</v>
      </c>
      <c r="AT339" s="22">
        <v>329</v>
      </c>
      <c r="AU339" s="22">
        <v>4.3307499999999999E-2</v>
      </c>
      <c r="AV339">
        <f t="shared" si="68"/>
        <v>16.615185185185183</v>
      </c>
      <c r="AW339">
        <f t="shared" si="69"/>
        <v>0.72001904999999988</v>
      </c>
      <c r="AX339" s="9"/>
      <c r="AY339" s="22">
        <v>1.5567</v>
      </c>
      <c r="AZ339" s="22">
        <v>29.826899999999998</v>
      </c>
      <c r="BA339" s="22">
        <v>-4.6997100000000002E-3</v>
      </c>
      <c r="BB339" s="22">
        <v>329</v>
      </c>
      <c r="BC339" s="22">
        <v>1.55579</v>
      </c>
      <c r="BD339">
        <f t="shared" si="70"/>
        <v>5.8021111111111114</v>
      </c>
      <c r="BE339">
        <f t="shared" si="71"/>
        <v>9.0321463666666677</v>
      </c>
    </row>
    <row r="340" spans="6:57">
      <c r="F340" s="9"/>
      <c r="G340" s="22">
        <v>3.8299600000000003E-2</v>
      </c>
      <c r="H340" s="22">
        <v>8.3897499999999994</v>
      </c>
      <c r="I340" s="22">
        <v>-1.3671900000000001E-2</v>
      </c>
      <c r="J340" s="22">
        <v>330</v>
      </c>
      <c r="K340" s="22">
        <v>3.8259899999999999E-2</v>
      </c>
      <c r="L340">
        <f t="shared" si="60"/>
        <v>16.878888888888888</v>
      </c>
      <c r="M340">
        <f t="shared" si="61"/>
        <v>0.6464546928888889</v>
      </c>
      <c r="N340" s="9"/>
      <c r="O340" s="22">
        <v>1.5617399999999999</v>
      </c>
      <c r="P340" s="22">
        <v>12.0075</v>
      </c>
      <c r="Q340" s="22">
        <v>-4.1949500000000002E-3</v>
      </c>
      <c r="R340" s="22">
        <v>330</v>
      </c>
      <c r="S340" s="22">
        <v>1.56067</v>
      </c>
      <c r="T340">
        <f t="shared" si="62"/>
        <v>5.1789506172839506</v>
      </c>
      <c r="U340">
        <f t="shared" si="63"/>
        <v>8.0881743370370369</v>
      </c>
      <c r="X340" s="9"/>
      <c r="Y340" s="22">
        <v>3.8299600000000003E-2</v>
      </c>
      <c r="Z340" s="22">
        <v>17.283999999999999</v>
      </c>
      <c r="AA340" s="22">
        <v>-1.3629199999999999E-2</v>
      </c>
      <c r="AB340" s="22">
        <v>330</v>
      </c>
      <c r="AC340" s="22">
        <v>3.8223300000000002E-2</v>
      </c>
      <c r="AD340">
        <f t="shared" si="64"/>
        <v>16.826172839506171</v>
      </c>
      <c r="AE340">
        <f t="shared" si="65"/>
        <v>0.64443568928395056</v>
      </c>
      <c r="AF340" s="9"/>
      <c r="AG340" s="22">
        <v>1.5617399999999999</v>
      </c>
      <c r="AH340" s="22">
        <v>20.901700000000002</v>
      </c>
      <c r="AI340" s="22">
        <v>-4.2071499999999998E-3</v>
      </c>
      <c r="AJ340" s="22">
        <v>330</v>
      </c>
      <c r="AK340" s="22">
        <v>1.56128</v>
      </c>
      <c r="AL340">
        <f t="shared" si="66"/>
        <v>5.1940123456790115</v>
      </c>
      <c r="AM340">
        <f t="shared" si="67"/>
        <v>8.1116968407407395</v>
      </c>
      <c r="AP340" s="9"/>
      <c r="AQ340" s="22">
        <v>3.8299600000000003E-2</v>
      </c>
      <c r="AR340" s="22">
        <v>26.219200000000001</v>
      </c>
      <c r="AS340" s="22">
        <v>-1.3458299999999999E-2</v>
      </c>
      <c r="AT340" s="22">
        <v>330</v>
      </c>
      <c r="AU340" s="22">
        <v>3.8229399999999997E-2</v>
      </c>
      <c r="AV340">
        <f t="shared" si="68"/>
        <v>16.615185185185183</v>
      </c>
      <c r="AW340">
        <f t="shared" si="69"/>
        <v>0.63635494651851854</v>
      </c>
      <c r="AX340" s="9"/>
      <c r="AY340" s="22">
        <v>1.5617399999999999</v>
      </c>
      <c r="AZ340" s="22">
        <v>29.837</v>
      </c>
      <c r="BA340" s="22">
        <v>-4.5272799999999998E-3</v>
      </c>
      <c r="BB340" s="22">
        <v>330</v>
      </c>
      <c r="BC340" s="22">
        <v>1.56067</v>
      </c>
      <c r="BD340">
        <f t="shared" si="70"/>
        <v>5.5892345679012339</v>
      </c>
      <c r="BE340">
        <f t="shared" si="71"/>
        <v>8.7289311940740717</v>
      </c>
    </row>
    <row r="341" spans="6:57">
      <c r="F341" s="9"/>
      <c r="G341" s="22">
        <v>3.3264200000000001E-2</v>
      </c>
      <c r="H341" s="22">
        <v>8.3998200000000001</v>
      </c>
      <c r="I341" s="22">
        <v>-1.36749E-2</v>
      </c>
      <c r="J341" s="22">
        <v>331</v>
      </c>
      <c r="K341" s="22">
        <v>3.3187899999999999E-2</v>
      </c>
      <c r="L341">
        <f t="shared" si="60"/>
        <v>16.882592592592591</v>
      </c>
      <c r="M341">
        <f t="shared" si="61"/>
        <v>0.56158593651851851</v>
      </c>
      <c r="N341" s="9"/>
      <c r="O341" s="22">
        <v>1.56677</v>
      </c>
      <c r="P341" s="22">
        <v>12.0176</v>
      </c>
      <c r="Q341" s="22">
        <v>-4.0277100000000003E-3</v>
      </c>
      <c r="R341" s="22">
        <v>331</v>
      </c>
      <c r="S341" s="22">
        <v>1.56555</v>
      </c>
      <c r="T341">
        <f t="shared" si="62"/>
        <v>4.9724814814814815</v>
      </c>
      <c r="U341">
        <f t="shared" si="63"/>
        <v>7.7907348107407408</v>
      </c>
      <c r="X341" s="9"/>
      <c r="Y341" s="22">
        <v>3.3264200000000001E-2</v>
      </c>
      <c r="Z341" s="22">
        <v>17.294</v>
      </c>
      <c r="AA341" s="22">
        <v>-1.3644399999999999E-2</v>
      </c>
      <c r="AB341" s="22">
        <v>331</v>
      </c>
      <c r="AC341" s="22">
        <v>3.3175700000000002E-2</v>
      </c>
      <c r="AD341">
        <f t="shared" si="64"/>
        <v>16.844938271604939</v>
      </c>
      <c r="AE341">
        <f t="shared" si="65"/>
        <v>0.56033339565432105</v>
      </c>
      <c r="AF341" s="9"/>
      <c r="AG341" s="22">
        <v>1.56677</v>
      </c>
      <c r="AH341" s="22">
        <v>20.911799999999999</v>
      </c>
      <c r="AI341" s="22">
        <v>-4.0365599999999998E-3</v>
      </c>
      <c r="AJ341" s="22">
        <v>331</v>
      </c>
      <c r="AK341" s="22">
        <v>1.56555</v>
      </c>
      <c r="AL341">
        <f t="shared" si="66"/>
        <v>4.9834074074074071</v>
      </c>
      <c r="AM341">
        <f t="shared" si="67"/>
        <v>7.8078532237037033</v>
      </c>
      <c r="AP341" s="9"/>
      <c r="AQ341" s="22">
        <v>3.3264200000000001E-2</v>
      </c>
      <c r="AR341" s="22">
        <v>26.229199999999999</v>
      </c>
      <c r="AS341" s="22">
        <v>-1.3461300000000001E-2</v>
      </c>
      <c r="AT341" s="22">
        <v>331</v>
      </c>
      <c r="AU341" s="22">
        <v>3.3181799999999997E-2</v>
      </c>
      <c r="AV341">
        <f t="shared" si="68"/>
        <v>16.618888888888886</v>
      </c>
      <c r="AW341">
        <f t="shared" si="69"/>
        <v>0.55281404377777765</v>
      </c>
      <c r="AX341" s="9"/>
      <c r="AY341" s="22">
        <v>1.56677</v>
      </c>
      <c r="AZ341" s="22">
        <v>29.847000000000001</v>
      </c>
      <c r="BA341" s="22">
        <v>-4.3591300000000001E-3</v>
      </c>
      <c r="BB341" s="22">
        <v>331</v>
      </c>
      <c r="BC341" s="22">
        <v>1.56586</v>
      </c>
      <c r="BD341">
        <f t="shared" si="70"/>
        <v>5.3816419753086411</v>
      </c>
      <c r="BE341">
        <f t="shared" si="71"/>
        <v>8.4317951976543188</v>
      </c>
    </row>
    <row r="342" spans="6:57">
      <c r="F342" s="9"/>
      <c r="G342" s="22">
        <v>2.8228799999999998E-2</v>
      </c>
      <c r="H342" s="22">
        <v>8.4098900000000008</v>
      </c>
      <c r="I342" s="22">
        <v>-1.3677999999999999E-2</v>
      </c>
      <c r="J342" s="22">
        <v>332</v>
      </c>
      <c r="K342" s="22">
        <v>2.81677E-2</v>
      </c>
      <c r="L342">
        <f t="shared" si="60"/>
        <v>16.886419753086418</v>
      </c>
      <c r="M342">
        <f t="shared" si="61"/>
        <v>0.47668336592592586</v>
      </c>
      <c r="N342" s="9"/>
      <c r="O342" s="22">
        <v>1.5718099999999999</v>
      </c>
      <c r="P342" s="22">
        <v>12.027699999999999</v>
      </c>
      <c r="Q342" s="22">
        <v>-3.86047E-3</v>
      </c>
      <c r="R342" s="22">
        <v>332</v>
      </c>
      <c r="S342" s="22">
        <v>1.57043</v>
      </c>
      <c r="T342">
        <f t="shared" si="62"/>
        <v>4.7660123456790124</v>
      </c>
      <c r="U342">
        <f t="shared" si="63"/>
        <v>7.4912658650617283</v>
      </c>
      <c r="X342" s="9"/>
      <c r="Y342" s="22">
        <v>2.8228799999999998E-2</v>
      </c>
      <c r="Z342" s="22">
        <v>17.304099999999998</v>
      </c>
      <c r="AA342" s="22">
        <v>-1.36536E-2</v>
      </c>
      <c r="AB342" s="22">
        <v>332</v>
      </c>
      <c r="AC342" s="22">
        <v>2.81525E-2</v>
      </c>
      <c r="AD342">
        <f t="shared" si="64"/>
        <v>16.856296296296296</v>
      </c>
      <c r="AE342">
        <f t="shared" si="65"/>
        <v>0.47583301688888885</v>
      </c>
      <c r="AF342" s="9"/>
      <c r="AG342" s="22">
        <v>1.5718099999999999</v>
      </c>
      <c r="AH342" s="22">
        <v>20.921900000000001</v>
      </c>
      <c r="AI342" s="22">
        <v>-3.8693199999999999E-3</v>
      </c>
      <c r="AJ342" s="22">
        <v>332</v>
      </c>
      <c r="AK342" s="22">
        <v>1.57074</v>
      </c>
      <c r="AL342">
        <f t="shared" si="66"/>
        <v>4.776938271604938</v>
      </c>
      <c r="AM342">
        <f t="shared" si="67"/>
        <v>7.5084393446913573</v>
      </c>
      <c r="AP342" s="9"/>
      <c r="AQ342" s="22">
        <v>2.8228799999999998E-2</v>
      </c>
      <c r="AR342" s="22">
        <v>26.2393</v>
      </c>
      <c r="AS342" s="22">
        <v>-1.3467399999999999E-2</v>
      </c>
      <c r="AT342" s="22">
        <v>332</v>
      </c>
      <c r="AU342" s="22">
        <v>2.81433E-2</v>
      </c>
      <c r="AV342">
        <f t="shared" si="68"/>
        <v>16.626419753086417</v>
      </c>
      <c r="AW342">
        <f t="shared" si="69"/>
        <v>0.4693438779259258</v>
      </c>
      <c r="AX342" s="9"/>
      <c r="AY342" s="22">
        <v>1.5718099999999999</v>
      </c>
      <c r="AZ342" s="22">
        <v>29.857099999999999</v>
      </c>
      <c r="BA342" s="22">
        <v>-4.1903699999999997E-3</v>
      </c>
      <c r="BB342" s="22">
        <v>332</v>
      </c>
      <c r="BC342" s="22">
        <v>1.57074</v>
      </c>
      <c r="BD342">
        <f t="shared" si="70"/>
        <v>5.1732962962962956</v>
      </c>
      <c r="BE342">
        <f t="shared" si="71"/>
        <v>8.1314388514814802</v>
      </c>
    </row>
    <row r="343" spans="6:57">
      <c r="F343" s="9"/>
      <c r="G343" s="22">
        <v>2.3193399999999999E-2</v>
      </c>
      <c r="H343" s="22">
        <v>8.4199599999999997</v>
      </c>
      <c r="I343" s="22">
        <v>-1.3677999999999999E-2</v>
      </c>
      <c r="J343" s="22">
        <v>333</v>
      </c>
      <c r="K343" s="22">
        <v>2.3098799999999999E-2</v>
      </c>
      <c r="L343">
        <f t="shared" si="60"/>
        <v>16.886419753086418</v>
      </c>
      <c r="M343">
        <f t="shared" si="61"/>
        <v>0.3916534879012345</v>
      </c>
      <c r="N343" s="9"/>
      <c r="O343" s="22">
        <v>1.57684</v>
      </c>
      <c r="P343" s="22">
        <v>12.037699999999999</v>
      </c>
      <c r="Q343" s="22">
        <v>-3.6923199999999998E-3</v>
      </c>
      <c r="R343" s="22">
        <v>333</v>
      </c>
      <c r="S343" s="22">
        <v>1.5753200000000001</v>
      </c>
      <c r="T343">
        <f t="shared" si="62"/>
        <v>4.5584197530864188</v>
      </c>
      <c r="U343">
        <f t="shared" si="63"/>
        <v>7.1878986034567891</v>
      </c>
      <c r="X343" s="9"/>
      <c r="Y343" s="22">
        <v>2.3193399999999999E-2</v>
      </c>
      <c r="Z343" s="22">
        <v>17.3142</v>
      </c>
      <c r="AA343" s="22">
        <v>-1.36536E-2</v>
      </c>
      <c r="AB343" s="22">
        <v>333</v>
      </c>
      <c r="AC343" s="22">
        <v>2.3092700000000001E-2</v>
      </c>
      <c r="AD343">
        <f t="shared" si="64"/>
        <v>16.856296296296296</v>
      </c>
      <c r="AE343">
        <f t="shared" si="65"/>
        <v>0.39095482251851849</v>
      </c>
      <c r="AF343" s="9"/>
      <c r="AG343" s="22">
        <v>1.57684</v>
      </c>
      <c r="AH343" s="22">
        <v>20.931899999999999</v>
      </c>
      <c r="AI343" s="22">
        <v>-3.6947600000000001E-3</v>
      </c>
      <c r="AJ343" s="22">
        <v>333</v>
      </c>
      <c r="AK343" s="22">
        <v>1.5759300000000001</v>
      </c>
      <c r="AL343">
        <f t="shared" si="66"/>
        <v>4.5614320987654322</v>
      </c>
      <c r="AM343">
        <f t="shared" si="67"/>
        <v>7.1926485906172841</v>
      </c>
      <c r="AP343" s="9"/>
      <c r="AQ343" s="22">
        <v>2.3193399999999999E-2</v>
      </c>
      <c r="AR343" s="22">
        <v>26.249400000000001</v>
      </c>
      <c r="AS343" s="22">
        <v>-1.3473499999999999E-2</v>
      </c>
      <c r="AT343" s="22">
        <v>333</v>
      </c>
      <c r="AU343" s="22">
        <v>2.3092700000000001E-2</v>
      </c>
      <c r="AV343">
        <f t="shared" si="68"/>
        <v>16.633950617283947</v>
      </c>
      <c r="AW343">
        <f t="shared" si="69"/>
        <v>0.38579787024691348</v>
      </c>
      <c r="AX343" s="9"/>
      <c r="AY343" s="22">
        <v>1.57684</v>
      </c>
      <c r="AZ343" s="22">
        <v>29.8672</v>
      </c>
      <c r="BA343" s="22">
        <v>-4.0170300000000004E-3</v>
      </c>
      <c r="BB343" s="22">
        <v>333</v>
      </c>
      <c r="BC343" s="22">
        <v>1.57623</v>
      </c>
      <c r="BD343">
        <f t="shared" si="70"/>
        <v>4.959296296296297</v>
      </c>
      <c r="BE343">
        <f t="shared" si="71"/>
        <v>7.8200167718518534</v>
      </c>
    </row>
    <row r="344" spans="6:57">
      <c r="F344" s="9"/>
      <c r="G344" s="22">
        <v>1.8158000000000001E-2</v>
      </c>
      <c r="H344" s="22">
        <v>8.4300300000000004</v>
      </c>
      <c r="I344" s="22">
        <v>-1.3677999999999999E-2</v>
      </c>
      <c r="J344" s="22">
        <v>334</v>
      </c>
      <c r="K344" s="22">
        <v>1.80511E-2</v>
      </c>
      <c r="L344">
        <f t="shared" si="60"/>
        <v>16.886419753086418</v>
      </c>
      <c r="M344">
        <f t="shared" si="61"/>
        <v>0.30662360987654319</v>
      </c>
      <c r="N344" s="9"/>
      <c r="O344" s="22">
        <v>1.58188</v>
      </c>
      <c r="P344" s="22">
        <v>12.047800000000001</v>
      </c>
      <c r="Q344" s="22">
        <v>-3.5214199999999999E-3</v>
      </c>
      <c r="R344" s="22">
        <v>334</v>
      </c>
      <c r="S344" s="22">
        <v>1.58081</v>
      </c>
      <c r="T344">
        <f t="shared" si="62"/>
        <v>4.3474320987654318</v>
      </c>
      <c r="U344">
        <f t="shared" si="63"/>
        <v>6.8771158883950614</v>
      </c>
      <c r="X344" s="9"/>
      <c r="Y344" s="22">
        <v>1.8158000000000001E-2</v>
      </c>
      <c r="Z344" s="22">
        <v>17.324200000000001</v>
      </c>
      <c r="AA344" s="22">
        <v>-1.36475E-2</v>
      </c>
      <c r="AB344" s="22">
        <v>334</v>
      </c>
      <c r="AC344" s="22">
        <v>1.8057299999999998E-2</v>
      </c>
      <c r="AD344">
        <f t="shared" si="64"/>
        <v>16.848765432098766</v>
      </c>
      <c r="AE344">
        <f t="shared" si="65"/>
        <v>0.30593988271604938</v>
      </c>
      <c r="AF344" s="9"/>
      <c r="AG344" s="22">
        <v>1.58188</v>
      </c>
      <c r="AH344" s="22">
        <v>20.942</v>
      </c>
      <c r="AI344" s="22">
        <v>-3.5247799999999999E-3</v>
      </c>
      <c r="AJ344" s="22">
        <v>334</v>
      </c>
      <c r="AK344" s="22">
        <v>1.58081</v>
      </c>
      <c r="AL344">
        <f t="shared" si="66"/>
        <v>4.3515802469135796</v>
      </c>
      <c r="AM344">
        <f t="shared" si="67"/>
        <v>6.8836777609876529</v>
      </c>
      <c r="AP344" s="9"/>
      <c r="AQ344" s="22">
        <v>1.8158000000000001E-2</v>
      </c>
      <c r="AR344" s="22">
        <v>26.259499999999999</v>
      </c>
      <c r="AS344" s="22">
        <v>-1.3473499999999999E-2</v>
      </c>
      <c r="AT344" s="22">
        <v>334</v>
      </c>
      <c r="AU344" s="22">
        <v>1.8048100000000001E-2</v>
      </c>
      <c r="AV344">
        <f t="shared" si="68"/>
        <v>16.633950617283947</v>
      </c>
      <c r="AW344">
        <f t="shared" si="69"/>
        <v>0.30203927530864194</v>
      </c>
      <c r="AX344" s="9"/>
      <c r="AY344" s="22">
        <v>1.58188</v>
      </c>
      <c r="AZ344" s="22">
        <v>29.877199999999998</v>
      </c>
      <c r="BA344" s="22">
        <v>-3.8513200000000001E-3</v>
      </c>
      <c r="BB344" s="22">
        <v>334</v>
      </c>
      <c r="BC344" s="22">
        <v>1.58081</v>
      </c>
      <c r="BD344">
        <f t="shared" si="70"/>
        <v>4.7547160493827159</v>
      </c>
      <c r="BE344">
        <f t="shared" si="71"/>
        <v>7.5213902241975301</v>
      </c>
    </row>
    <row r="345" spans="6:57">
      <c r="F345" s="9"/>
      <c r="G345" s="22">
        <v>1.31226E-2</v>
      </c>
      <c r="H345" s="22">
        <v>8.4400999999999993</v>
      </c>
      <c r="I345" s="22">
        <v>-1.3671900000000001E-2</v>
      </c>
      <c r="J345" s="22">
        <v>335</v>
      </c>
      <c r="K345" s="22">
        <v>1.30432E-2</v>
      </c>
      <c r="L345">
        <f t="shared" si="60"/>
        <v>16.878888888888888</v>
      </c>
      <c r="M345">
        <f t="shared" si="61"/>
        <v>0.22149490733333332</v>
      </c>
      <c r="N345" s="9"/>
      <c r="O345" s="22">
        <v>1.58691</v>
      </c>
      <c r="P345" s="22">
        <v>12.0579</v>
      </c>
      <c r="Q345" s="22">
        <v>-3.34381E-3</v>
      </c>
      <c r="R345" s="22">
        <v>335</v>
      </c>
      <c r="S345" s="22">
        <v>1.5863</v>
      </c>
      <c r="T345">
        <f t="shared" si="62"/>
        <v>4.1281604938271599</v>
      </c>
      <c r="U345">
        <f t="shared" si="63"/>
        <v>6.5510191692592583</v>
      </c>
      <c r="X345" s="9"/>
      <c r="Y345" s="22">
        <v>1.31226E-2</v>
      </c>
      <c r="Z345" s="22">
        <v>17.334299999999999</v>
      </c>
      <c r="AA345" s="22">
        <v>-1.3644399999999999E-2</v>
      </c>
      <c r="AB345" s="22">
        <v>335</v>
      </c>
      <c r="AC345" s="22">
        <v>1.30402E-2</v>
      </c>
      <c r="AD345">
        <f t="shared" si="64"/>
        <v>16.844938271604939</v>
      </c>
      <c r="AE345">
        <f t="shared" si="65"/>
        <v>0.22104938696296297</v>
      </c>
      <c r="AF345" s="9"/>
      <c r="AG345" s="22">
        <v>1.58691</v>
      </c>
      <c r="AH345" s="22">
        <v>20.952100000000002</v>
      </c>
      <c r="AI345" s="22">
        <v>-3.3462499999999998E-3</v>
      </c>
      <c r="AJ345" s="22">
        <v>335</v>
      </c>
      <c r="AK345" s="22">
        <v>1.5860000000000001</v>
      </c>
      <c r="AL345">
        <f t="shared" si="66"/>
        <v>4.1311728395061724</v>
      </c>
      <c r="AM345">
        <f t="shared" si="67"/>
        <v>6.55579949074074</v>
      </c>
      <c r="AP345" s="9"/>
      <c r="AQ345" s="22">
        <v>1.31226E-2</v>
      </c>
      <c r="AR345" s="22">
        <v>26.269500000000001</v>
      </c>
      <c r="AS345" s="22">
        <v>-1.34644E-2</v>
      </c>
      <c r="AT345" s="22">
        <v>335</v>
      </c>
      <c r="AU345" s="22">
        <v>1.3058500000000001E-2</v>
      </c>
      <c r="AV345">
        <f t="shared" si="68"/>
        <v>16.622716049382717</v>
      </c>
      <c r="AW345">
        <f t="shared" si="69"/>
        <v>0.21813325362962965</v>
      </c>
      <c r="AX345" s="9"/>
      <c r="AY345" s="22">
        <v>1.58691</v>
      </c>
      <c r="AZ345" s="22">
        <v>29.8873</v>
      </c>
      <c r="BA345" s="22">
        <v>-3.67279E-3</v>
      </c>
      <c r="BB345" s="22">
        <v>335</v>
      </c>
      <c r="BC345" s="22">
        <v>1.5866100000000001</v>
      </c>
      <c r="BD345">
        <f t="shared" si="70"/>
        <v>4.5343086419753087</v>
      </c>
      <c r="BE345">
        <f t="shared" si="71"/>
        <v>7.1955397270370369</v>
      </c>
    </row>
    <row r="346" spans="6:57">
      <c r="F346" s="9"/>
      <c r="G346" s="22">
        <v>8.0871599999999995E-3</v>
      </c>
      <c r="H346" s="22">
        <v>8.4501799999999996</v>
      </c>
      <c r="I346" s="22">
        <v>-1.36627E-2</v>
      </c>
      <c r="J346" s="22">
        <v>336</v>
      </c>
      <c r="K346" s="22">
        <v>7.9406700000000004E-3</v>
      </c>
      <c r="L346">
        <f t="shared" si="60"/>
        <v>16.86753086419753</v>
      </c>
      <c r="M346">
        <f t="shared" si="61"/>
        <v>0.1364104209037037</v>
      </c>
      <c r="N346" s="9"/>
      <c r="O346" s="22">
        <v>1.59195</v>
      </c>
      <c r="P346" s="22">
        <v>12.0679</v>
      </c>
      <c r="Q346" s="22">
        <v>-3.1658900000000002E-3</v>
      </c>
      <c r="R346" s="22">
        <v>336</v>
      </c>
      <c r="S346" s="22">
        <v>1.5911900000000001</v>
      </c>
      <c r="T346">
        <f t="shared" si="62"/>
        <v>3.9085061728395067</v>
      </c>
      <c r="U346">
        <f t="shared" si="63"/>
        <v>6.2221464018518526</v>
      </c>
      <c r="X346" s="9"/>
      <c r="Y346" s="22">
        <v>8.0871599999999995E-3</v>
      </c>
      <c r="Z346" s="22">
        <v>17.3444</v>
      </c>
      <c r="AA346" s="22">
        <v>-1.3644399999999999E-2</v>
      </c>
      <c r="AB346" s="22">
        <v>336</v>
      </c>
      <c r="AC346" s="22">
        <v>7.9498299999999997E-3</v>
      </c>
      <c r="AD346">
        <f t="shared" si="64"/>
        <v>16.844938271604939</v>
      </c>
      <c r="AE346">
        <f t="shared" si="65"/>
        <v>0.13622771099259259</v>
      </c>
      <c r="AF346" s="9"/>
      <c r="AG346" s="22">
        <v>1.59195</v>
      </c>
      <c r="AH346" s="22">
        <v>20.962199999999999</v>
      </c>
      <c r="AI346" s="22">
        <v>-3.1668099999999999E-3</v>
      </c>
      <c r="AJ346" s="22">
        <v>336</v>
      </c>
      <c r="AK346" s="22">
        <v>1.5908800000000001</v>
      </c>
      <c r="AL346">
        <f t="shared" si="66"/>
        <v>3.9096419753086411</v>
      </c>
      <c r="AM346">
        <f t="shared" si="67"/>
        <v>6.2239545425925913</v>
      </c>
      <c r="AP346" s="9"/>
      <c r="AQ346" s="22">
        <v>8.0871599999999995E-3</v>
      </c>
      <c r="AR346" s="22">
        <v>26.279599999999999</v>
      </c>
      <c r="AS346" s="22">
        <v>-1.3473499999999999E-2</v>
      </c>
      <c r="AT346" s="22">
        <v>336</v>
      </c>
      <c r="AU346" s="22">
        <v>7.9498299999999997E-3</v>
      </c>
      <c r="AV346">
        <f t="shared" si="68"/>
        <v>16.633950617283947</v>
      </c>
      <c r="AW346">
        <f t="shared" si="69"/>
        <v>0.13452142007407403</v>
      </c>
      <c r="AX346" s="9"/>
      <c r="AY346" s="22">
        <v>1.59195</v>
      </c>
      <c r="AZ346" s="22">
        <v>29.897400000000001</v>
      </c>
      <c r="BA346" s="22">
        <v>-3.4951800000000001E-3</v>
      </c>
      <c r="BB346" s="22">
        <v>336</v>
      </c>
      <c r="BC346" s="22">
        <v>1.5914900000000001</v>
      </c>
      <c r="BD346">
        <f t="shared" si="70"/>
        <v>4.3150370370370368</v>
      </c>
      <c r="BE346">
        <f t="shared" si="71"/>
        <v>6.8693232111111104</v>
      </c>
    </row>
    <row r="347" spans="6:57">
      <c r="F347" s="9"/>
      <c r="G347" s="22">
        <v>3.0517600000000001E-3</v>
      </c>
      <c r="H347" s="22">
        <v>8.4602500000000003</v>
      </c>
      <c r="I347" s="22">
        <v>-1.36597E-2</v>
      </c>
      <c r="J347" s="22">
        <v>337</v>
      </c>
      <c r="K347" s="22">
        <v>2.95715E-3</v>
      </c>
      <c r="L347">
        <f t="shared" si="60"/>
        <v>16.863827160493827</v>
      </c>
      <c r="M347">
        <f t="shared" si="61"/>
        <v>5.146435317530864E-2</v>
      </c>
      <c r="N347" s="9"/>
      <c r="O347" s="22">
        <v>1.5969800000000001</v>
      </c>
      <c r="P347" s="22">
        <v>12.077999999999999</v>
      </c>
      <c r="Q347" s="22">
        <v>-2.98248E-3</v>
      </c>
      <c r="R347" s="22">
        <v>337</v>
      </c>
      <c r="S347" s="22">
        <v>1.5957600000000001</v>
      </c>
      <c r="T347">
        <f t="shared" si="62"/>
        <v>3.6820740740740736</v>
      </c>
      <c r="U347">
        <f t="shared" si="63"/>
        <v>5.880198654814814</v>
      </c>
      <c r="X347" s="9"/>
      <c r="Y347" s="22">
        <v>3.0517600000000001E-3</v>
      </c>
      <c r="Z347" s="22">
        <v>17.354500000000002</v>
      </c>
      <c r="AA347" s="22">
        <v>-1.36414E-2</v>
      </c>
      <c r="AB347" s="22">
        <v>337</v>
      </c>
      <c r="AC347" s="22">
        <v>2.9388399999999999E-3</v>
      </c>
      <c r="AD347">
        <f t="shared" si="64"/>
        <v>16.841234567901232</v>
      </c>
      <c r="AE347">
        <f t="shared" si="65"/>
        <v>5.1395406004938263E-2</v>
      </c>
      <c r="AF347" s="9"/>
      <c r="AG347" s="22">
        <v>1.5969800000000001</v>
      </c>
      <c r="AH347" s="22">
        <v>20.972200000000001</v>
      </c>
      <c r="AI347" s="22">
        <v>-2.9803500000000001E-3</v>
      </c>
      <c r="AJ347" s="22">
        <v>337</v>
      </c>
      <c r="AK347" s="22">
        <v>1.5960700000000001</v>
      </c>
      <c r="AL347">
        <f t="shared" si="66"/>
        <v>3.6794444444444445</v>
      </c>
      <c r="AM347">
        <f t="shared" si="67"/>
        <v>5.8759991888888896</v>
      </c>
      <c r="AP347" s="9"/>
      <c r="AQ347" s="22">
        <v>3.0517600000000001E-3</v>
      </c>
      <c r="AR347" s="22">
        <v>26.2897</v>
      </c>
      <c r="AS347" s="22">
        <v>-1.34644E-2</v>
      </c>
      <c r="AT347" s="22">
        <v>337</v>
      </c>
      <c r="AU347" s="22">
        <v>2.9266399999999999E-3</v>
      </c>
      <c r="AV347">
        <f t="shared" si="68"/>
        <v>16.622716049382717</v>
      </c>
      <c r="AW347">
        <f t="shared" si="69"/>
        <v>5.0728539930864201E-2</v>
      </c>
      <c r="AX347" s="9"/>
      <c r="AY347" s="22">
        <v>1.5969800000000001</v>
      </c>
      <c r="AZ347" s="22">
        <v>29.907399999999999</v>
      </c>
      <c r="BA347" s="22">
        <v>-3.3108500000000002E-3</v>
      </c>
      <c r="BB347" s="22">
        <v>337</v>
      </c>
      <c r="BC347" s="22">
        <v>1.5960700000000001</v>
      </c>
      <c r="BD347">
        <f t="shared" si="70"/>
        <v>4.0874691358024693</v>
      </c>
      <c r="BE347">
        <f t="shared" si="71"/>
        <v>6.5276064604938275</v>
      </c>
    </row>
    <row r="348" spans="6:57">
      <c r="F348" s="9"/>
      <c r="G348" s="22">
        <v>-1.9836400000000001E-3</v>
      </c>
      <c r="H348" s="22">
        <v>8.4703199999999992</v>
      </c>
      <c r="I348" s="22">
        <v>-1.36597E-2</v>
      </c>
      <c r="J348" s="22">
        <v>338</v>
      </c>
      <c r="K348" s="22">
        <v>-2.17285E-3</v>
      </c>
      <c r="L348">
        <f t="shared" si="60"/>
        <v>16.863827160493827</v>
      </c>
      <c r="M348">
        <f t="shared" si="61"/>
        <v>-3.3451762108641973E-2</v>
      </c>
      <c r="N348" s="9"/>
      <c r="O348" s="22">
        <v>1.60202</v>
      </c>
      <c r="P348" s="22">
        <v>12.088100000000001</v>
      </c>
      <c r="Q348" s="22">
        <v>-2.7972399999999999E-3</v>
      </c>
      <c r="R348" s="22">
        <v>338</v>
      </c>
      <c r="S348" s="22">
        <v>1.6012599999999999</v>
      </c>
      <c r="T348">
        <f t="shared" si="62"/>
        <v>3.453382716049382</v>
      </c>
      <c r="U348">
        <f t="shared" si="63"/>
        <v>5.532388178765431</v>
      </c>
      <c r="X348" s="9"/>
      <c r="Y348" s="22">
        <v>-1.9836400000000001E-3</v>
      </c>
      <c r="Z348" s="22">
        <v>17.3645</v>
      </c>
      <c r="AA348" s="22">
        <v>-1.3644399999999999E-2</v>
      </c>
      <c r="AB348" s="22">
        <v>338</v>
      </c>
      <c r="AC348" s="22">
        <v>-2.1667499999999998E-3</v>
      </c>
      <c r="AD348">
        <f t="shared" si="64"/>
        <v>16.844938271604939</v>
      </c>
      <c r="AE348">
        <f t="shared" si="65"/>
        <v>-3.3414293353086419E-2</v>
      </c>
      <c r="AF348" s="9"/>
      <c r="AG348" s="22">
        <v>1.60202</v>
      </c>
      <c r="AH348" s="22">
        <v>20.982299999999999</v>
      </c>
      <c r="AI348" s="22">
        <v>-2.79327E-3</v>
      </c>
      <c r="AJ348" s="22">
        <v>338</v>
      </c>
      <c r="AK348" s="22">
        <v>1.6015600000000001</v>
      </c>
      <c r="AL348">
        <f t="shared" si="66"/>
        <v>3.448481481481481</v>
      </c>
      <c r="AM348">
        <f t="shared" si="67"/>
        <v>5.5245363029629626</v>
      </c>
      <c r="AP348" s="9"/>
      <c r="AQ348" s="22">
        <v>-1.9836400000000001E-3</v>
      </c>
      <c r="AR348" s="22">
        <v>26.299700000000001</v>
      </c>
      <c r="AS348" s="22">
        <v>-1.34552E-2</v>
      </c>
      <c r="AT348" s="22">
        <v>338</v>
      </c>
      <c r="AU348" s="22">
        <v>-2.1606400000000001E-3</v>
      </c>
      <c r="AV348">
        <f t="shared" si="68"/>
        <v>16.611358024691356</v>
      </c>
      <c r="AW348">
        <f t="shared" si="69"/>
        <v>-3.2950954232098761E-2</v>
      </c>
      <c r="AX348" s="9"/>
      <c r="AY348" s="22">
        <v>1.60202</v>
      </c>
      <c r="AZ348" s="22">
        <v>29.9175</v>
      </c>
      <c r="BA348" s="22">
        <v>-3.1280499999999998E-3</v>
      </c>
      <c r="BB348" s="22">
        <v>338</v>
      </c>
      <c r="BC348" s="22">
        <v>1.6012599999999999</v>
      </c>
      <c r="BD348">
        <f t="shared" si="70"/>
        <v>3.8617901234567897</v>
      </c>
      <c r="BE348">
        <f t="shared" si="71"/>
        <v>6.1866650135802459</v>
      </c>
    </row>
    <row r="349" spans="6:57">
      <c r="F349" s="9"/>
      <c r="G349" s="22">
        <v>-7.0190399999999998E-3</v>
      </c>
      <c r="H349" s="22">
        <v>8.4803899999999999</v>
      </c>
      <c r="I349" s="22">
        <v>-1.36536E-2</v>
      </c>
      <c r="J349" s="22">
        <v>339</v>
      </c>
      <c r="K349" s="22">
        <v>-7.2113000000000003E-3</v>
      </c>
      <c r="L349">
        <f t="shared" si="60"/>
        <v>16.856296296296296</v>
      </c>
      <c r="M349">
        <f t="shared" si="61"/>
        <v>-0.11831501795555556</v>
      </c>
      <c r="N349" s="9"/>
      <c r="O349" s="22">
        <v>1.6070599999999999</v>
      </c>
      <c r="P349" s="22">
        <v>12.0982</v>
      </c>
      <c r="Q349" s="22">
        <v>-2.6113899999999999E-3</v>
      </c>
      <c r="R349" s="22">
        <v>339</v>
      </c>
      <c r="S349" s="22">
        <v>1.6061399999999999</v>
      </c>
      <c r="T349">
        <f t="shared" si="62"/>
        <v>3.2239382716049376</v>
      </c>
      <c r="U349">
        <f t="shared" si="63"/>
        <v>5.1810622387654313</v>
      </c>
      <c r="X349" s="9"/>
      <c r="Y349" s="22">
        <v>-7.0190399999999998E-3</v>
      </c>
      <c r="Z349" s="22">
        <v>17.374600000000001</v>
      </c>
      <c r="AA349" s="22">
        <v>-1.36414E-2</v>
      </c>
      <c r="AB349" s="22">
        <v>339</v>
      </c>
      <c r="AC349" s="22">
        <v>-7.2052000000000001E-3</v>
      </c>
      <c r="AD349">
        <f t="shared" si="64"/>
        <v>16.841234567901232</v>
      </c>
      <c r="AE349">
        <f t="shared" si="65"/>
        <v>-0.11820929908148146</v>
      </c>
      <c r="AF349" s="9"/>
      <c r="AG349" s="22">
        <v>1.6070599999999999</v>
      </c>
      <c r="AH349" s="22">
        <v>20.9924</v>
      </c>
      <c r="AI349" s="22">
        <v>-2.6065099999999998E-3</v>
      </c>
      <c r="AJ349" s="22">
        <v>339</v>
      </c>
      <c r="AK349" s="22">
        <v>1.6058300000000001</v>
      </c>
      <c r="AL349">
        <f t="shared" si="66"/>
        <v>3.2179135802469134</v>
      </c>
      <c r="AM349">
        <f t="shared" si="67"/>
        <v>5.1713801982716046</v>
      </c>
      <c r="AP349" s="9"/>
      <c r="AQ349" s="22">
        <v>-7.0190399999999998E-3</v>
      </c>
      <c r="AR349" s="22">
        <v>26.309799999999999</v>
      </c>
      <c r="AS349" s="22">
        <v>-1.3439899999999999E-2</v>
      </c>
      <c r="AT349" s="22">
        <v>339</v>
      </c>
      <c r="AU349" s="22">
        <v>-7.1990999999999999E-3</v>
      </c>
      <c r="AV349">
        <f t="shared" si="68"/>
        <v>16.592469135802467</v>
      </c>
      <c r="AW349">
        <f t="shared" si="69"/>
        <v>-0.11646320456296295</v>
      </c>
      <c r="AX349" s="9"/>
      <c r="AY349" s="22">
        <v>1.6070599999999999</v>
      </c>
      <c r="AZ349" s="22">
        <v>29.927600000000002</v>
      </c>
      <c r="BA349" s="22">
        <v>-2.9458599999999998E-3</v>
      </c>
      <c r="BB349" s="22">
        <v>339</v>
      </c>
      <c r="BC349" s="22">
        <v>1.6061399999999999</v>
      </c>
      <c r="BD349">
        <f t="shared" si="70"/>
        <v>3.6368641975308638</v>
      </c>
      <c r="BE349">
        <f t="shared" si="71"/>
        <v>5.8446589772839497</v>
      </c>
    </row>
    <row r="350" spans="6:57">
      <c r="F350" s="9"/>
      <c r="G350" s="22">
        <v>-1.20544E-2</v>
      </c>
      <c r="H350" s="22">
        <v>8.4904600000000006</v>
      </c>
      <c r="I350" s="22">
        <v>-1.3644399999999999E-2</v>
      </c>
      <c r="J350" s="22">
        <v>340</v>
      </c>
      <c r="K350" s="22">
        <v>-1.2252799999999999E-2</v>
      </c>
      <c r="L350">
        <f t="shared" si="60"/>
        <v>16.844938271604939</v>
      </c>
      <c r="M350">
        <f t="shared" si="61"/>
        <v>-0.20305562390123458</v>
      </c>
      <c r="N350" s="9"/>
      <c r="O350" s="22">
        <v>1.61209</v>
      </c>
      <c r="P350" s="22">
        <v>12.1082</v>
      </c>
      <c r="Q350" s="22">
        <v>-2.4215700000000001E-3</v>
      </c>
      <c r="R350" s="22">
        <v>340</v>
      </c>
      <c r="S350" s="22">
        <v>1.6113299999999999</v>
      </c>
      <c r="T350">
        <f t="shared" si="62"/>
        <v>2.9895925925925924</v>
      </c>
      <c r="U350">
        <f t="shared" si="63"/>
        <v>4.8194923225925921</v>
      </c>
      <c r="X350" s="9"/>
      <c r="Y350" s="22">
        <v>-1.20544E-2</v>
      </c>
      <c r="Z350" s="22">
        <v>17.384699999999999</v>
      </c>
      <c r="AA350" s="22">
        <v>-1.36414E-2</v>
      </c>
      <c r="AB350" s="22">
        <v>340</v>
      </c>
      <c r="AC350" s="22">
        <v>-1.22711E-2</v>
      </c>
      <c r="AD350">
        <f t="shared" si="64"/>
        <v>16.841234567901232</v>
      </c>
      <c r="AE350">
        <f t="shared" si="65"/>
        <v>-0.20301097797530859</v>
      </c>
      <c r="AF350" s="9"/>
      <c r="AG350" s="22">
        <v>1.61209</v>
      </c>
      <c r="AH350" s="22">
        <v>21.002400000000002</v>
      </c>
      <c r="AI350" s="22">
        <v>-2.4172999999999998E-3</v>
      </c>
      <c r="AJ350" s="22">
        <v>340</v>
      </c>
      <c r="AK350" s="22">
        <v>1.6113299999999999</v>
      </c>
      <c r="AL350">
        <f t="shared" si="66"/>
        <v>2.9843209876543209</v>
      </c>
      <c r="AM350">
        <f t="shared" si="67"/>
        <v>4.8109940209876543</v>
      </c>
      <c r="AP350" s="9"/>
      <c r="AQ350" s="22">
        <v>-1.20544E-2</v>
      </c>
      <c r="AR350" s="22">
        <v>26.319900000000001</v>
      </c>
      <c r="AS350" s="22">
        <v>-1.3439899999999999E-2</v>
      </c>
      <c r="AT350" s="22">
        <v>340</v>
      </c>
      <c r="AU350" s="22">
        <v>-1.2274200000000001E-2</v>
      </c>
      <c r="AV350">
        <f t="shared" si="68"/>
        <v>16.592469135802467</v>
      </c>
      <c r="AW350">
        <f t="shared" si="69"/>
        <v>-0.20001225995061725</v>
      </c>
      <c r="AX350" s="9"/>
      <c r="AY350" s="22">
        <v>1.61209</v>
      </c>
      <c r="AZ350" s="22">
        <v>29.9377</v>
      </c>
      <c r="BA350" s="22">
        <v>-2.7584799999999998E-3</v>
      </c>
      <c r="BB350" s="22">
        <v>340</v>
      </c>
      <c r="BC350" s="22">
        <v>1.6113299999999999</v>
      </c>
      <c r="BD350">
        <f t="shared" si="70"/>
        <v>3.4055308641975301</v>
      </c>
      <c r="BE350">
        <f t="shared" si="71"/>
        <v>5.4900222508641967</v>
      </c>
    </row>
    <row r="351" spans="6:57">
      <c r="F351" s="9"/>
      <c r="G351" s="22">
        <v>-1.7089799999999999E-2</v>
      </c>
      <c r="H351" s="22">
        <v>8.5005299999999995</v>
      </c>
      <c r="I351" s="22">
        <v>-1.36414E-2</v>
      </c>
      <c r="J351" s="22">
        <v>341</v>
      </c>
      <c r="K351" s="22">
        <v>-1.7312600000000001E-2</v>
      </c>
      <c r="L351">
        <f t="shared" si="60"/>
        <v>16.841234567901232</v>
      </c>
      <c r="M351">
        <f t="shared" si="61"/>
        <v>-0.28781333051851843</v>
      </c>
      <c r="N351" s="9"/>
      <c r="O351" s="22">
        <v>1.61713</v>
      </c>
      <c r="P351" s="22">
        <v>12.1183</v>
      </c>
      <c r="Q351" s="22">
        <v>-2.2250400000000002E-3</v>
      </c>
      <c r="R351" s="22">
        <v>341</v>
      </c>
      <c r="S351" s="22">
        <v>1.61652</v>
      </c>
      <c r="T351">
        <f t="shared" si="62"/>
        <v>2.7469629629629631</v>
      </c>
      <c r="U351">
        <f t="shared" si="63"/>
        <v>4.4421962162962965</v>
      </c>
      <c r="X351" s="9"/>
      <c r="Y351" s="22">
        <v>-1.7089799999999999E-2</v>
      </c>
      <c r="Z351" s="22">
        <v>17.3947</v>
      </c>
      <c r="AA351" s="22">
        <v>-1.36536E-2</v>
      </c>
      <c r="AB351" s="22">
        <v>341</v>
      </c>
      <c r="AC351" s="22">
        <v>-1.7294299999999999E-2</v>
      </c>
      <c r="AD351">
        <f t="shared" si="64"/>
        <v>16.856296296296296</v>
      </c>
      <c r="AE351">
        <f t="shared" si="65"/>
        <v>-0.28807073244444442</v>
      </c>
      <c r="AF351" s="9"/>
      <c r="AG351" s="22">
        <v>1.61713</v>
      </c>
      <c r="AH351" s="22">
        <v>21.012499999999999</v>
      </c>
      <c r="AI351" s="22">
        <v>-2.2213699999999999E-3</v>
      </c>
      <c r="AJ351" s="22">
        <v>341</v>
      </c>
      <c r="AK351" s="22">
        <v>1.6168199999999999</v>
      </c>
      <c r="AL351">
        <f t="shared" si="66"/>
        <v>2.7424320987654314</v>
      </c>
      <c r="AM351">
        <f t="shared" si="67"/>
        <v>4.4348692198765418</v>
      </c>
      <c r="AP351" s="9"/>
      <c r="AQ351" s="22">
        <v>-1.7089799999999999E-2</v>
      </c>
      <c r="AR351" s="22">
        <v>26.33</v>
      </c>
      <c r="AS351" s="22">
        <v>-1.3439899999999999E-2</v>
      </c>
      <c r="AT351" s="22">
        <v>341</v>
      </c>
      <c r="AU351" s="22">
        <v>-1.7306499999999999E-2</v>
      </c>
      <c r="AV351">
        <f t="shared" si="68"/>
        <v>16.592469135802467</v>
      </c>
      <c r="AW351">
        <f t="shared" si="69"/>
        <v>-0.283561979037037</v>
      </c>
      <c r="AX351" s="9"/>
      <c r="AY351" s="22">
        <v>1.61713</v>
      </c>
      <c r="AZ351" s="22">
        <v>29.947700000000001</v>
      </c>
      <c r="BA351" s="22">
        <v>-2.5613400000000001E-3</v>
      </c>
      <c r="BB351" s="22">
        <v>341</v>
      </c>
      <c r="BC351" s="22">
        <v>1.6168199999999999</v>
      </c>
      <c r="BD351">
        <f t="shared" si="70"/>
        <v>3.1621481481481477</v>
      </c>
      <c r="BE351">
        <f t="shared" si="71"/>
        <v>5.1136046348148136</v>
      </c>
    </row>
    <row r="352" spans="6:57">
      <c r="F352" s="9"/>
      <c r="G352" s="22">
        <v>-2.2125200000000001E-2</v>
      </c>
      <c r="H352" s="22">
        <v>8.5106000000000002</v>
      </c>
      <c r="I352" s="22">
        <v>-1.36414E-2</v>
      </c>
      <c r="J352" s="22">
        <v>342</v>
      </c>
      <c r="K352" s="22">
        <v>-2.2354099999999998E-2</v>
      </c>
      <c r="L352">
        <f t="shared" si="60"/>
        <v>16.841234567901232</v>
      </c>
      <c r="M352">
        <f t="shared" si="61"/>
        <v>-0.37261568306172838</v>
      </c>
      <c r="N352" s="9"/>
      <c r="O352" s="22">
        <v>1.62216</v>
      </c>
      <c r="P352" s="22">
        <v>12.128399999999999</v>
      </c>
      <c r="Q352" s="22">
        <v>-2.03308E-3</v>
      </c>
      <c r="R352" s="22">
        <v>342</v>
      </c>
      <c r="S352" s="22">
        <v>1.6214</v>
      </c>
      <c r="T352">
        <f t="shared" si="62"/>
        <v>2.5099753086419749</v>
      </c>
      <c r="U352">
        <f t="shared" si="63"/>
        <v>4.0715815466666658</v>
      </c>
      <c r="X352" s="9"/>
      <c r="Y352" s="22">
        <v>-2.2125200000000001E-2</v>
      </c>
      <c r="Z352" s="22">
        <v>17.404800000000002</v>
      </c>
      <c r="AA352" s="22">
        <v>-1.36597E-2</v>
      </c>
      <c r="AB352" s="22">
        <v>342</v>
      </c>
      <c r="AC352" s="22">
        <v>-2.2348E-2</v>
      </c>
      <c r="AD352">
        <f t="shared" si="64"/>
        <v>16.863827160493827</v>
      </c>
      <c r="AE352">
        <f t="shared" si="65"/>
        <v>-0.37311554869135805</v>
      </c>
      <c r="AF352" s="9"/>
      <c r="AG352" s="22">
        <v>1.62216</v>
      </c>
      <c r="AH352" s="22">
        <v>21.022600000000001</v>
      </c>
      <c r="AI352" s="22">
        <v>-2.0260600000000001E-3</v>
      </c>
      <c r="AJ352" s="22">
        <v>342</v>
      </c>
      <c r="AK352" s="22">
        <v>1.6214</v>
      </c>
      <c r="AL352">
        <f t="shared" si="66"/>
        <v>2.5013086419753088</v>
      </c>
      <c r="AM352">
        <f t="shared" si="67"/>
        <v>4.0575228266666672</v>
      </c>
      <c r="AP352" s="9"/>
      <c r="AQ352" s="22">
        <v>-2.2125200000000001E-2</v>
      </c>
      <c r="AR352" s="22">
        <v>26.34</v>
      </c>
      <c r="AS352" s="22">
        <v>-1.34369E-2</v>
      </c>
      <c r="AT352" s="22">
        <v>342</v>
      </c>
      <c r="AU352" s="22">
        <v>-2.23755E-2</v>
      </c>
      <c r="AV352">
        <f t="shared" si="68"/>
        <v>16.588765432098764</v>
      </c>
      <c r="AW352">
        <f t="shared" si="69"/>
        <v>-0.36702975293827161</v>
      </c>
      <c r="AX352" s="9"/>
      <c r="AY352" s="22">
        <v>1.62216</v>
      </c>
      <c r="AZ352" s="22">
        <v>29.957799999999999</v>
      </c>
      <c r="BA352" s="22">
        <v>-2.3648100000000002E-3</v>
      </c>
      <c r="BB352" s="22">
        <v>342</v>
      </c>
      <c r="BC352" s="22">
        <v>1.6210899999999999</v>
      </c>
      <c r="BD352">
        <f t="shared" si="70"/>
        <v>2.9195185185185184</v>
      </c>
      <c r="BE352">
        <f t="shared" si="71"/>
        <v>4.73592616</v>
      </c>
    </row>
    <row r="353" spans="6:57">
      <c r="F353" s="9"/>
      <c r="G353" s="22">
        <v>-2.71606E-2</v>
      </c>
      <c r="H353" s="22">
        <v>8.5206700000000009</v>
      </c>
      <c r="I353" s="22">
        <v>-1.36566E-2</v>
      </c>
      <c r="J353" s="22">
        <v>343</v>
      </c>
      <c r="K353" s="22">
        <v>-2.7395599999999999E-2</v>
      </c>
      <c r="L353">
        <f t="shared" si="60"/>
        <v>16.86</v>
      </c>
      <c r="M353">
        <f t="shared" si="61"/>
        <v>-0.45792771599999998</v>
      </c>
      <c r="N353" s="9"/>
      <c r="O353" s="22">
        <v>1.6272</v>
      </c>
      <c r="P353" s="22">
        <v>12.138400000000001</v>
      </c>
      <c r="Q353" s="22">
        <v>-1.8277E-3</v>
      </c>
      <c r="R353" s="22">
        <v>343</v>
      </c>
      <c r="S353" s="22">
        <v>1.6262799999999999</v>
      </c>
      <c r="T353">
        <f t="shared" si="62"/>
        <v>2.2564197530864196</v>
      </c>
      <c r="U353">
        <f t="shared" si="63"/>
        <v>3.6716462222222219</v>
      </c>
      <c r="X353" s="9"/>
      <c r="Y353" s="22">
        <v>-2.71606E-2</v>
      </c>
      <c r="Z353" s="22">
        <v>17.414899999999999</v>
      </c>
      <c r="AA353" s="22">
        <v>-1.36566E-2</v>
      </c>
      <c r="AB353" s="22">
        <v>343</v>
      </c>
      <c r="AC353" s="22">
        <v>-2.7398700000000002E-2</v>
      </c>
      <c r="AD353">
        <f t="shared" si="64"/>
        <v>16.86</v>
      </c>
      <c r="AE353">
        <f t="shared" si="65"/>
        <v>-0.45792771599999998</v>
      </c>
      <c r="AF353" s="9"/>
      <c r="AG353" s="22">
        <v>1.6272</v>
      </c>
      <c r="AH353" s="22">
        <v>21.032699999999998</v>
      </c>
      <c r="AI353" s="22">
        <v>-1.828E-3</v>
      </c>
      <c r="AJ353" s="22">
        <v>343</v>
      </c>
      <c r="AK353" s="22">
        <v>1.6262799999999999</v>
      </c>
      <c r="AL353">
        <f t="shared" si="66"/>
        <v>2.2567901234567898</v>
      </c>
      <c r="AM353">
        <f t="shared" si="67"/>
        <v>3.6722488888888885</v>
      </c>
      <c r="AP353" s="9"/>
      <c r="AQ353" s="22">
        <v>-2.71606E-2</v>
      </c>
      <c r="AR353" s="22">
        <v>26.350100000000001</v>
      </c>
      <c r="AS353" s="22">
        <v>-1.34491E-2</v>
      </c>
      <c r="AT353" s="22">
        <v>343</v>
      </c>
      <c r="AU353" s="22">
        <v>-2.73926E-2</v>
      </c>
      <c r="AV353">
        <f t="shared" si="68"/>
        <v>16.603827160493829</v>
      </c>
      <c r="AW353">
        <f t="shared" si="69"/>
        <v>-0.45096990797530867</v>
      </c>
      <c r="AX353" s="9"/>
      <c r="AY353" s="22">
        <v>1.6272</v>
      </c>
      <c r="AZ353" s="22">
        <v>29.9679</v>
      </c>
      <c r="BA353" s="22">
        <v>-2.1606400000000001E-3</v>
      </c>
      <c r="BB353" s="22">
        <v>343</v>
      </c>
      <c r="BC353" s="22">
        <v>1.6262799999999999</v>
      </c>
      <c r="BD353">
        <f t="shared" si="70"/>
        <v>2.6674567901234565</v>
      </c>
      <c r="BE353">
        <f t="shared" si="71"/>
        <v>4.3404856888888883</v>
      </c>
    </row>
    <row r="354" spans="6:57">
      <c r="F354" s="9"/>
      <c r="G354" s="22">
        <v>-3.2196000000000002E-2</v>
      </c>
      <c r="H354" s="22">
        <v>8.5307399999999998</v>
      </c>
      <c r="I354" s="22">
        <v>-1.36597E-2</v>
      </c>
      <c r="J354" s="22">
        <v>344</v>
      </c>
      <c r="K354" s="22">
        <v>-3.2464600000000003E-2</v>
      </c>
      <c r="L354">
        <f t="shared" si="60"/>
        <v>16.863827160493827</v>
      </c>
      <c r="M354">
        <f t="shared" si="61"/>
        <v>-0.5429477792592593</v>
      </c>
      <c r="N354" s="9"/>
      <c r="O354" s="22">
        <v>1.6322300000000001</v>
      </c>
      <c r="P354" s="22">
        <v>12.1485</v>
      </c>
      <c r="Q354" s="22">
        <v>-1.6296399999999999E-3</v>
      </c>
      <c r="R354" s="22">
        <v>344</v>
      </c>
      <c r="S354" s="22">
        <v>1.6317699999999999</v>
      </c>
      <c r="T354">
        <f t="shared" si="62"/>
        <v>2.011901234567901</v>
      </c>
      <c r="U354">
        <f t="shared" si="63"/>
        <v>3.2838855520987651</v>
      </c>
      <c r="X354" s="9"/>
      <c r="Y354" s="22">
        <v>-3.2196000000000002E-2</v>
      </c>
      <c r="Z354" s="22">
        <v>17.425000000000001</v>
      </c>
      <c r="AA354" s="22">
        <v>-1.3650499999999999E-2</v>
      </c>
      <c r="AB354" s="22">
        <v>344</v>
      </c>
      <c r="AC354" s="22">
        <v>-3.2452399999999999E-2</v>
      </c>
      <c r="AD354">
        <f t="shared" si="64"/>
        <v>16.852469135802469</v>
      </c>
      <c r="AE354">
        <f t="shared" si="65"/>
        <v>-0.54258209629629628</v>
      </c>
      <c r="AF354" s="9"/>
      <c r="AG354" s="22">
        <v>1.6322300000000001</v>
      </c>
      <c r="AH354" s="22">
        <v>21.0427</v>
      </c>
      <c r="AI354" s="22">
        <v>-1.6305499999999999E-3</v>
      </c>
      <c r="AJ354" s="22">
        <v>344</v>
      </c>
      <c r="AK354" s="22">
        <v>1.63086</v>
      </c>
      <c r="AL354">
        <f t="shared" si="66"/>
        <v>2.0130246913580248</v>
      </c>
      <c r="AM354">
        <f t="shared" si="67"/>
        <v>3.2857192919753091</v>
      </c>
      <c r="AP354" s="9"/>
      <c r="AQ354" s="22">
        <v>-3.2196000000000002E-2</v>
      </c>
      <c r="AR354" s="22">
        <v>26.360199999999999</v>
      </c>
      <c r="AS354" s="22">
        <v>-1.3461300000000001E-2</v>
      </c>
      <c r="AT354" s="22">
        <v>344</v>
      </c>
      <c r="AU354" s="22">
        <v>-3.2437100000000003E-2</v>
      </c>
      <c r="AV354">
        <f t="shared" si="68"/>
        <v>16.618888888888886</v>
      </c>
      <c r="AW354">
        <f t="shared" si="69"/>
        <v>-0.53506174666666662</v>
      </c>
      <c r="AX354" s="9"/>
      <c r="AY354" s="22">
        <v>1.6322300000000001</v>
      </c>
      <c r="AZ354" s="22">
        <v>29.977900000000002</v>
      </c>
      <c r="BA354" s="22">
        <v>-1.96014E-3</v>
      </c>
      <c r="BB354" s="22">
        <v>344</v>
      </c>
      <c r="BC354" s="22">
        <v>1.6305499999999999</v>
      </c>
      <c r="BD354">
        <f t="shared" si="70"/>
        <v>2.4199259259259258</v>
      </c>
      <c r="BE354">
        <f t="shared" si="71"/>
        <v>3.9498756940740742</v>
      </c>
    </row>
    <row r="355" spans="6:57">
      <c r="F355" s="9"/>
      <c r="G355" s="22">
        <v>-3.7231399999999998E-2</v>
      </c>
      <c r="H355" s="22">
        <v>8.5408100000000005</v>
      </c>
      <c r="I355" s="22">
        <v>-1.36688E-2</v>
      </c>
      <c r="J355" s="22">
        <v>345</v>
      </c>
      <c r="K355" s="22">
        <v>-3.7484700000000003E-2</v>
      </c>
      <c r="L355">
        <f t="shared" si="60"/>
        <v>16.87506172839506</v>
      </c>
      <c r="M355">
        <f t="shared" si="61"/>
        <v>-0.62828217323456781</v>
      </c>
      <c r="N355" s="9"/>
      <c r="O355" s="22">
        <v>1.63727</v>
      </c>
      <c r="P355" s="22">
        <v>12.1586</v>
      </c>
      <c r="Q355" s="22">
        <v>-1.41876E-3</v>
      </c>
      <c r="R355" s="22">
        <v>345</v>
      </c>
      <c r="S355" s="22">
        <v>1.63635</v>
      </c>
      <c r="T355">
        <f t="shared" si="62"/>
        <v>1.7515555555555555</v>
      </c>
      <c r="U355">
        <f t="shared" si="63"/>
        <v>2.8677693644444444</v>
      </c>
      <c r="X355" s="9"/>
      <c r="Y355" s="22">
        <v>-3.7231399999999998E-2</v>
      </c>
      <c r="Z355" s="22">
        <v>17.434999999999999</v>
      </c>
      <c r="AA355" s="22">
        <v>-1.3644399999999999E-2</v>
      </c>
      <c r="AB355" s="22">
        <v>345</v>
      </c>
      <c r="AC355" s="22">
        <v>-3.7457299999999999E-2</v>
      </c>
      <c r="AD355">
        <f t="shared" si="64"/>
        <v>16.844938271604939</v>
      </c>
      <c r="AE355">
        <f t="shared" si="65"/>
        <v>-0.62716063476543205</v>
      </c>
      <c r="AF355" s="9"/>
      <c r="AG355" s="22">
        <v>1.63727</v>
      </c>
      <c r="AH355" s="22">
        <v>21.052800000000001</v>
      </c>
      <c r="AI355" s="22">
        <v>-1.42578E-3</v>
      </c>
      <c r="AJ355" s="22">
        <v>345</v>
      </c>
      <c r="AK355" s="22">
        <v>1.63635</v>
      </c>
      <c r="AL355">
        <f t="shared" si="66"/>
        <v>1.7602222222222221</v>
      </c>
      <c r="AM355">
        <f t="shared" si="67"/>
        <v>2.8819590377777775</v>
      </c>
      <c r="AP355" s="9"/>
      <c r="AQ355" s="22">
        <v>-3.7231399999999998E-2</v>
      </c>
      <c r="AR355" s="22">
        <v>26.370200000000001</v>
      </c>
      <c r="AS355" s="22">
        <v>-1.34705E-2</v>
      </c>
      <c r="AT355" s="22">
        <v>345</v>
      </c>
      <c r="AU355" s="22">
        <v>-3.74817E-2</v>
      </c>
      <c r="AV355">
        <f t="shared" si="68"/>
        <v>16.630246913580244</v>
      </c>
      <c r="AW355">
        <f t="shared" si="69"/>
        <v>-0.61916737493827145</v>
      </c>
      <c r="AX355" s="9"/>
      <c r="AY355" s="22">
        <v>1.63727</v>
      </c>
      <c r="AZ355" s="22">
        <v>29.988</v>
      </c>
      <c r="BA355" s="22">
        <v>-1.75293E-3</v>
      </c>
      <c r="BB355" s="22">
        <v>345</v>
      </c>
      <c r="BC355" s="22">
        <v>1.63635</v>
      </c>
      <c r="BD355">
        <f t="shared" si="70"/>
        <v>2.1641111111111111</v>
      </c>
      <c r="BE355">
        <f t="shared" si="71"/>
        <v>3.5432341988888889</v>
      </c>
    </row>
    <row r="356" spans="6:57">
      <c r="F356" s="9"/>
      <c r="G356" s="22">
        <v>-4.22668E-2</v>
      </c>
      <c r="H356" s="22">
        <v>8.5508900000000008</v>
      </c>
      <c r="I356" s="22">
        <v>-1.36749E-2</v>
      </c>
      <c r="J356" s="22">
        <v>346</v>
      </c>
      <c r="K356" s="22">
        <v>-4.2547599999999998E-2</v>
      </c>
      <c r="L356">
        <f t="shared" si="60"/>
        <v>16.882592592592591</v>
      </c>
      <c r="M356">
        <f t="shared" si="61"/>
        <v>-0.71357316459259257</v>
      </c>
      <c r="N356" s="9"/>
      <c r="O356" s="22">
        <v>1.6423000000000001</v>
      </c>
      <c r="P356" s="22">
        <v>12.168699999999999</v>
      </c>
      <c r="Q356" s="22">
        <v>-1.2155200000000001E-3</v>
      </c>
      <c r="R356" s="22">
        <v>346</v>
      </c>
      <c r="S356" s="22">
        <v>1.64124</v>
      </c>
      <c r="T356">
        <f t="shared" si="62"/>
        <v>1.500641975308642</v>
      </c>
      <c r="U356">
        <f t="shared" si="63"/>
        <v>2.4645043160493829</v>
      </c>
      <c r="X356" s="9"/>
      <c r="Y356" s="22">
        <v>-4.22668E-2</v>
      </c>
      <c r="Z356" s="22">
        <v>17.4451</v>
      </c>
      <c r="AA356" s="22">
        <v>-1.3638300000000001E-2</v>
      </c>
      <c r="AB356" s="22">
        <v>346</v>
      </c>
      <c r="AC356" s="22">
        <v>-4.25385E-2</v>
      </c>
      <c r="AD356">
        <f t="shared" si="64"/>
        <v>16.837407407407408</v>
      </c>
      <c r="AE356">
        <f t="shared" si="65"/>
        <v>-0.71166333140740745</v>
      </c>
      <c r="AF356" s="9"/>
      <c r="AG356" s="22">
        <v>1.6423000000000001</v>
      </c>
      <c r="AH356" s="22">
        <v>21.062899999999999</v>
      </c>
      <c r="AI356" s="22">
        <v>-1.2197899999999999E-3</v>
      </c>
      <c r="AJ356" s="22">
        <v>346</v>
      </c>
      <c r="AK356" s="22">
        <v>1.64154</v>
      </c>
      <c r="AL356">
        <f t="shared" si="66"/>
        <v>1.5059135802469135</v>
      </c>
      <c r="AM356">
        <f t="shared" si="67"/>
        <v>2.4731618728395062</v>
      </c>
      <c r="AP356" s="9"/>
      <c r="AQ356" s="22">
        <v>-4.22668E-2</v>
      </c>
      <c r="AR356" s="22">
        <v>26.380299999999998</v>
      </c>
      <c r="AS356" s="22">
        <v>-1.34766E-2</v>
      </c>
      <c r="AT356" s="22">
        <v>346</v>
      </c>
      <c r="AU356" s="22">
        <v>-4.25262E-2</v>
      </c>
      <c r="AV356">
        <f t="shared" si="68"/>
        <v>16.637777777777774</v>
      </c>
      <c r="AW356">
        <f t="shared" si="69"/>
        <v>-0.70322562577777759</v>
      </c>
      <c r="AX356" s="9"/>
      <c r="AY356" s="22">
        <v>1.6423000000000001</v>
      </c>
      <c r="AZ356" s="22">
        <v>29.998100000000001</v>
      </c>
      <c r="BA356" s="22">
        <v>-1.54755E-3</v>
      </c>
      <c r="BB356" s="22">
        <v>346</v>
      </c>
      <c r="BC356" s="22">
        <v>1.64124</v>
      </c>
      <c r="BD356">
        <f t="shared" si="70"/>
        <v>1.9105555555555553</v>
      </c>
      <c r="BE356">
        <f t="shared" si="71"/>
        <v>3.1377053888888886</v>
      </c>
    </row>
    <row r="357" spans="6:57">
      <c r="F357" s="9"/>
      <c r="G357" s="22">
        <v>-4.7302200000000003E-2</v>
      </c>
      <c r="H357" s="22">
        <v>8.5609599999999997</v>
      </c>
      <c r="I357" s="22">
        <v>-1.3665800000000001E-2</v>
      </c>
      <c r="J357" s="22">
        <v>347</v>
      </c>
      <c r="K357" s="22">
        <v>-4.76257E-2</v>
      </c>
      <c r="L357">
        <f t="shared" si="60"/>
        <v>16.871358024691357</v>
      </c>
      <c r="M357">
        <f t="shared" si="61"/>
        <v>-0.79805235155555554</v>
      </c>
      <c r="N357" s="9"/>
      <c r="O357" s="22">
        <v>1.64734</v>
      </c>
      <c r="P357" s="22">
        <v>12.178699999999999</v>
      </c>
      <c r="Q357" s="22">
        <v>-1.0006699999999999E-3</v>
      </c>
      <c r="R357" s="22">
        <v>347</v>
      </c>
      <c r="S357" s="22">
        <v>1.64581</v>
      </c>
      <c r="T357">
        <f t="shared" si="62"/>
        <v>1.2353950617283951</v>
      </c>
      <c r="U357">
        <f t="shared" si="63"/>
        <v>2.0351157009876544</v>
      </c>
      <c r="X357" s="9"/>
      <c r="Y357" s="22">
        <v>-4.7302200000000003E-2</v>
      </c>
      <c r="Z357" s="22">
        <v>17.455200000000001</v>
      </c>
      <c r="AA357" s="22">
        <v>-1.36261E-2</v>
      </c>
      <c r="AB357" s="22">
        <v>347</v>
      </c>
      <c r="AC357" s="22">
        <v>-4.7576899999999998E-2</v>
      </c>
      <c r="AD357">
        <f t="shared" si="64"/>
        <v>16.822345679012344</v>
      </c>
      <c r="AE357">
        <f t="shared" si="65"/>
        <v>-0.79573395977777772</v>
      </c>
      <c r="AF357" s="9"/>
      <c r="AG357" s="22">
        <v>1.64734</v>
      </c>
      <c r="AH357" s="22">
        <v>21.072900000000001</v>
      </c>
      <c r="AI357" s="22">
        <v>-1.00464E-3</v>
      </c>
      <c r="AJ357" s="22">
        <v>347</v>
      </c>
      <c r="AK357" s="22">
        <v>1.64642</v>
      </c>
      <c r="AL357">
        <f t="shared" si="66"/>
        <v>1.2402962962962962</v>
      </c>
      <c r="AM357">
        <f t="shared" si="67"/>
        <v>2.0431897007407405</v>
      </c>
      <c r="AP357" s="9"/>
      <c r="AQ357" s="22">
        <v>-4.7302200000000003E-2</v>
      </c>
      <c r="AR357" s="22">
        <v>26.3904</v>
      </c>
      <c r="AS357" s="22">
        <v>-1.34857E-2</v>
      </c>
      <c r="AT357" s="22">
        <v>347</v>
      </c>
      <c r="AU357" s="22">
        <v>-4.7558599999999999E-2</v>
      </c>
      <c r="AV357">
        <f t="shared" si="68"/>
        <v>16.649012345679012</v>
      </c>
      <c r="AW357">
        <f t="shared" si="69"/>
        <v>-0.78753491177777779</v>
      </c>
      <c r="AX357" s="9"/>
      <c r="AY357" s="22">
        <v>1.64734</v>
      </c>
      <c r="AZ357" s="22">
        <v>30.008199999999999</v>
      </c>
      <c r="BA357" s="22">
        <v>-1.33789E-3</v>
      </c>
      <c r="BB357" s="22">
        <v>347</v>
      </c>
      <c r="BC357" s="22">
        <v>1.64612</v>
      </c>
      <c r="BD357">
        <f t="shared" si="70"/>
        <v>1.6517160493827159</v>
      </c>
      <c r="BE357">
        <f t="shared" si="71"/>
        <v>2.7209379167901231</v>
      </c>
    </row>
    <row r="358" spans="6:57">
      <c r="F358" s="9"/>
      <c r="G358" s="22">
        <v>-5.2337599999999998E-2</v>
      </c>
      <c r="H358" s="22">
        <v>8.5710300000000004</v>
      </c>
      <c r="I358" s="22">
        <v>-1.36749E-2</v>
      </c>
      <c r="J358" s="22">
        <v>348</v>
      </c>
      <c r="K358" s="22">
        <v>-5.2795399999999999E-2</v>
      </c>
      <c r="L358">
        <f t="shared" si="60"/>
        <v>16.882592592592591</v>
      </c>
      <c r="M358">
        <f t="shared" si="61"/>
        <v>-0.88359437807407393</v>
      </c>
      <c r="N358" s="9"/>
      <c r="O358" s="22">
        <v>1.6523699999999999</v>
      </c>
      <c r="P358" s="22">
        <v>12.188800000000001</v>
      </c>
      <c r="Q358" s="22">
        <v>-7.88574E-4</v>
      </c>
      <c r="R358" s="22">
        <v>348</v>
      </c>
      <c r="S358" s="22">
        <v>1.6513100000000001</v>
      </c>
      <c r="T358">
        <f t="shared" si="62"/>
        <v>0.97354814814814816</v>
      </c>
      <c r="U358">
        <f t="shared" si="63"/>
        <v>1.6086617535555554</v>
      </c>
      <c r="X358" s="9"/>
      <c r="Y358" s="22">
        <v>-5.2337599999999998E-2</v>
      </c>
      <c r="Z358" s="22">
        <v>17.465199999999999</v>
      </c>
      <c r="AA358" s="22">
        <v>-1.36261E-2</v>
      </c>
      <c r="AB358" s="22">
        <v>348</v>
      </c>
      <c r="AC358" s="22">
        <v>-5.2764900000000003E-2</v>
      </c>
      <c r="AD358">
        <f t="shared" si="64"/>
        <v>16.822345679012344</v>
      </c>
      <c r="AE358">
        <f t="shared" si="65"/>
        <v>-0.8804411992098764</v>
      </c>
      <c r="AF358" s="9"/>
      <c r="AG358" s="22">
        <v>1.6523699999999999</v>
      </c>
      <c r="AH358" s="22">
        <v>21.082999999999998</v>
      </c>
      <c r="AI358" s="22">
        <v>-7.8643799999999998E-4</v>
      </c>
      <c r="AJ358" s="22">
        <v>348</v>
      </c>
      <c r="AK358" s="22">
        <v>1.65161</v>
      </c>
      <c r="AL358">
        <f t="shared" si="66"/>
        <v>0.97091111111111106</v>
      </c>
      <c r="AM358">
        <f t="shared" si="67"/>
        <v>1.6043043926666665</v>
      </c>
      <c r="AP358" s="9"/>
      <c r="AQ358" s="22">
        <v>-5.2337599999999998E-2</v>
      </c>
      <c r="AR358" s="22">
        <v>26.400500000000001</v>
      </c>
      <c r="AS358" s="22">
        <v>-1.34918E-2</v>
      </c>
      <c r="AT358" s="22">
        <v>348</v>
      </c>
      <c r="AU358" s="22">
        <v>-5.2703899999999998E-2</v>
      </c>
      <c r="AV358">
        <f t="shared" si="68"/>
        <v>16.656543209876542</v>
      </c>
      <c r="AW358">
        <f t="shared" si="69"/>
        <v>-0.87176349590123448</v>
      </c>
      <c r="AX358" s="9"/>
      <c r="AY358" s="22">
        <v>1.6523699999999999</v>
      </c>
      <c r="AZ358" s="22">
        <v>30.0182</v>
      </c>
      <c r="BA358" s="22">
        <v>-1.12732E-3</v>
      </c>
      <c r="BB358" s="22">
        <v>348</v>
      </c>
      <c r="BC358" s="22">
        <v>1.6513100000000001</v>
      </c>
      <c r="BD358">
        <f t="shared" si="70"/>
        <v>1.3917530864197529</v>
      </c>
      <c r="BE358">
        <f t="shared" si="71"/>
        <v>2.299691047407407</v>
      </c>
    </row>
    <row r="359" spans="6:57">
      <c r="F359" s="9"/>
      <c r="G359" s="22">
        <v>-5.7373E-2</v>
      </c>
      <c r="H359" s="22">
        <v>8.5810999999999993</v>
      </c>
      <c r="I359" s="22">
        <v>-1.36749E-2</v>
      </c>
      <c r="J359" s="22">
        <v>349</v>
      </c>
      <c r="K359" s="22">
        <v>-5.7800299999999999E-2</v>
      </c>
      <c r="L359">
        <f t="shared" si="60"/>
        <v>16.882592592592591</v>
      </c>
      <c r="M359">
        <f t="shared" si="61"/>
        <v>-0.96860498481481472</v>
      </c>
      <c r="N359" s="9"/>
      <c r="O359" s="22">
        <v>1.65741</v>
      </c>
      <c r="P359" s="22">
        <v>12.1989</v>
      </c>
      <c r="Q359" s="22">
        <v>-5.6518599999999997E-4</v>
      </c>
      <c r="R359" s="22">
        <v>349</v>
      </c>
      <c r="S359" s="22">
        <v>1.6561900000000001</v>
      </c>
      <c r="T359">
        <f t="shared" si="62"/>
        <v>0.69776049382716043</v>
      </c>
      <c r="U359">
        <f t="shared" si="63"/>
        <v>1.156475220074074</v>
      </c>
      <c r="X359" s="9"/>
      <c r="Y359" s="22">
        <v>-5.7373E-2</v>
      </c>
      <c r="Z359" s="22">
        <v>17.475300000000001</v>
      </c>
      <c r="AA359" s="22">
        <v>-1.3632200000000001E-2</v>
      </c>
      <c r="AB359" s="22">
        <v>349</v>
      </c>
      <c r="AC359" s="22">
        <v>-5.7769800000000003E-2</v>
      </c>
      <c r="AD359">
        <f t="shared" si="64"/>
        <v>16.829876543209878</v>
      </c>
      <c r="AE359">
        <f t="shared" si="65"/>
        <v>-0.96558050691358033</v>
      </c>
      <c r="AF359" s="9"/>
      <c r="AG359" s="22">
        <v>1.65741</v>
      </c>
      <c r="AH359" s="22">
        <v>21.0931</v>
      </c>
      <c r="AI359" s="22">
        <v>-5.6243899999999997E-4</v>
      </c>
      <c r="AJ359" s="22">
        <v>349</v>
      </c>
      <c r="AK359" s="22">
        <v>1.6568000000000001</v>
      </c>
      <c r="AL359">
        <f t="shared" si="66"/>
        <v>0.69436913580246906</v>
      </c>
      <c r="AM359">
        <f t="shared" si="67"/>
        <v>1.1508543493703702</v>
      </c>
      <c r="AP359" s="9"/>
      <c r="AQ359" s="22">
        <v>-5.7373E-2</v>
      </c>
      <c r="AR359" s="22">
        <v>26.410499999999999</v>
      </c>
      <c r="AS359" s="22">
        <v>-1.3494900000000001E-2</v>
      </c>
      <c r="AT359" s="22">
        <v>349</v>
      </c>
      <c r="AU359" s="22">
        <v>-5.7800299999999999E-2</v>
      </c>
      <c r="AV359">
        <f t="shared" si="68"/>
        <v>16.660370370370369</v>
      </c>
      <c r="AW359">
        <f t="shared" si="69"/>
        <v>-0.95585542925925926</v>
      </c>
      <c r="AX359" s="9"/>
      <c r="AY359" s="22">
        <v>1.65741</v>
      </c>
      <c r="AZ359" s="22">
        <v>30.028300000000002</v>
      </c>
      <c r="BA359" s="22">
        <v>-9.0393099999999996E-4</v>
      </c>
      <c r="BB359" s="22">
        <v>349</v>
      </c>
      <c r="BC359" s="22">
        <v>1.6561900000000001</v>
      </c>
      <c r="BD359">
        <f t="shared" si="70"/>
        <v>1.1159641975308641</v>
      </c>
      <c r="BE359">
        <f t="shared" si="71"/>
        <v>1.8496102206296294</v>
      </c>
    </row>
    <row r="360" spans="6:57">
      <c r="F360" s="9"/>
      <c r="G360" s="22">
        <v>-6.2408400000000003E-2</v>
      </c>
      <c r="H360" s="22">
        <v>8.59117</v>
      </c>
      <c r="I360" s="22">
        <v>-1.36749E-2</v>
      </c>
      <c r="J360" s="22">
        <v>350</v>
      </c>
      <c r="K360" s="22">
        <v>-6.2866199999999997E-2</v>
      </c>
      <c r="L360">
        <f t="shared" si="60"/>
        <v>16.882592592592591</v>
      </c>
      <c r="M360">
        <f t="shared" si="61"/>
        <v>-1.0536155915555554</v>
      </c>
      <c r="N360" s="9"/>
      <c r="O360" s="22">
        <v>1.66245</v>
      </c>
      <c r="P360" s="22">
        <v>12.2089</v>
      </c>
      <c r="Q360" s="22">
        <v>-3.4851100000000002E-4</v>
      </c>
      <c r="R360" s="22">
        <v>350</v>
      </c>
      <c r="S360" s="22">
        <v>1.66168</v>
      </c>
      <c r="T360">
        <f t="shared" si="62"/>
        <v>0.43026049382716047</v>
      </c>
      <c r="U360">
        <f t="shared" si="63"/>
        <v>0.71528655796296292</v>
      </c>
      <c r="X360" s="9"/>
      <c r="Y360" s="22">
        <v>-6.2408400000000003E-2</v>
      </c>
      <c r="Z360" s="22">
        <v>17.485399999999998</v>
      </c>
      <c r="AA360" s="22">
        <v>-1.36475E-2</v>
      </c>
      <c r="AB360" s="22">
        <v>350</v>
      </c>
      <c r="AC360" s="22">
        <v>-6.2835699999999994E-2</v>
      </c>
      <c r="AD360">
        <f t="shared" si="64"/>
        <v>16.848765432098766</v>
      </c>
      <c r="AE360">
        <f t="shared" si="65"/>
        <v>-1.0515044925925927</v>
      </c>
      <c r="AF360" s="9"/>
      <c r="AG360" s="22">
        <v>1.66245</v>
      </c>
      <c r="AH360" s="22">
        <v>21.103200000000001</v>
      </c>
      <c r="AI360" s="22">
        <v>-3.3984400000000001E-4</v>
      </c>
      <c r="AJ360" s="22">
        <v>350</v>
      </c>
      <c r="AK360" s="22">
        <v>1.6619900000000001</v>
      </c>
      <c r="AL360">
        <f t="shared" si="66"/>
        <v>0.41956049382716043</v>
      </c>
      <c r="AM360">
        <f t="shared" si="67"/>
        <v>0.69749834296296287</v>
      </c>
      <c r="AP360" s="9"/>
      <c r="AQ360" s="22">
        <v>-6.2408400000000003E-2</v>
      </c>
      <c r="AR360" s="22">
        <v>26.4206</v>
      </c>
      <c r="AS360" s="22">
        <v>-1.34979E-2</v>
      </c>
      <c r="AT360" s="22">
        <v>350</v>
      </c>
      <c r="AU360" s="22">
        <v>-6.2835699999999994E-2</v>
      </c>
      <c r="AV360">
        <f t="shared" si="68"/>
        <v>16.664074074074072</v>
      </c>
      <c r="AW360">
        <f t="shared" si="69"/>
        <v>-1.0399782004444444</v>
      </c>
      <c r="AX360" s="9"/>
      <c r="AY360" s="22">
        <v>1.66245</v>
      </c>
      <c r="AZ360" s="22">
        <v>30.038399999999999</v>
      </c>
      <c r="BA360" s="22">
        <v>-6.8328900000000001E-4</v>
      </c>
      <c r="BB360" s="22">
        <v>350</v>
      </c>
      <c r="BC360" s="22">
        <v>1.66168</v>
      </c>
      <c r="BD360">
        <f t="shared" si="70"/>
        <v>0.84356666666666669</v>
      </c>
      <c r="BE360">
        <f t="shared" si="71"/>
        <v>1.402387405</v>
      </c>
    </row>
    <row r="361" spans="6:57">
      <c r="F361" s="9"/>
      <c r="G361" s="22">
        <v>-6.7443799999999998E-2</v>
      </c>
      <c r="H361" s="22">
        <v>8.6012400000000007</v>
      </c>
      <c r="I361" s="22">
        <v>-1.3681E-2</v>
      </c>
      <c r="J361" s="22">
        <v>351</v>
      </c>
      <c r="K361" s="22">
        <v>-6.7840600000000001E-2</v>
      </c>
      <c r="L361">
        <f t="shared" si="60"/>
        <v>16.890123456790121</v>
      </c>
      <c r="M361">
        <f t="shared" si="61"/>
        <v>-1.1391341083950615</v>
      </c>
      <c r="N361" s="9"/>
      <c r="O361" s="22">
        <v>1.6674800000000001</v>
      </c>
      <c r="P361" s="22">
        <v>12.218999999999999</v>
      </c>
      <c r="Q361" s="22">
        <v>-1.14319E-4</v>
      </c>
      <c r="R361" s="22">
        <v>351</v>
      </c>
      <c r="S361" s="22">
        <v>1.66656</v>
      </c>
      <c r="T361">
        <f t="shared" si="62"/>
        <v>0.14113456790123458</v>
      </c>
      <c r="U361">
        <f t="shared" si="63"/>
        <v>0.23533906928395065</v>
      </c>
      <c r="X361" s="9"/>
      <c r="Y361" s="22">
        <v>-6.7443799999999998E-2</v>
      </c>
      <c r="Z361" s="22">
        <v>17.4955</v>
      </c>
      <c r="AA361" s="22">
        <v>-1.36566E-2</v>
      </c>
      <c r="AB361" s="22">
        <v>351</v>
      </c>
      <c r="AC361" s="22">
        <v>-6.7871100000000004E-2</v>
      </c>
      <c r="AD361">
        <f t="shared" si="64"/>
        <v>16.86</v>
      </c>
      <c r="AE361">
        <f t="shared" si="65"/>
        <v>-1.1371024679999999</v>
      </c>
      <c r="AF361" s="9"/>
      <c r="AG361" s="22">
        <v>1.6674800000000001</v>
      </c>
      <c r="AH361" s="22">
        <v>21.113199999999999</v>
      </c>
      <c r="AI361" s="22">
        <v>-1.11115E-4</v>
      </c>
      <c r="AJ361" s="22">
        <v>351</v>
      </c>
      <c r="AK361" s="22">
        <v>1.66656</v>
      </c>
      <c r="AL361">
        <f t="shared" si="66"/>
        <v>0.137179012345679</v>
      </c>
      <c r="AM361">
        <f t="shared" si="67"/>
        <v>0.22874325950617283</v>
      </c>
      <c r="AP361" s="9"/>
      <c r="AQ361" s="22">
        <v>-6.7443799999999998E-2</v>
      </c>
      <c r="AR361" s="22">
        <v>26.430700000000002</v>
      </c>
      <c r="AS361" s="22">
        <v>-1.3501000000000001E-2</v>
      </c>
      <c r="AT361" s="22">
        <v>351</v>
      </c>
      <c r="AU361" s="22">
        <v>-6.7901600000000006E-2</v>
      </c>
      <c r="AV361">
        <f t="shared" si="68"/>
        <v>16.667901234567903</v>
      </c>
      <c r="AW361">
        <f t="shared" si="69"/>
        <v>-1.1241465972839508</v>
      </c>
      <c r="AX361" s="9"/>
      <c r="AY361" s="22">
        <v>1.6674800000000001</v>
      </c>
      <c r="AZ361" s="22">
        <v>30.048400000000001</v>
      </c>
      <c r="BA361" s="22">
        <v>-4.5397900000000003E-4</v>
      </c>
      <c r="BB361" s="22">
        <v>351</v>
      </c>
      <c r="BC361" s="22">
        <v>1.66656</v>
      </c>
      <c r="BD361">
        <f t="shared" si="70"/>
        <v>0.56046790123456791</v>
      </c>
      <c r="BE361">
        <f t="shared" si="71"/>
        <v>0.93456901595061737</v>
      </c>
    </row>
    <row r="362" spans="6:57">
      <c r="F362" s="9"/>
      <c r="G362" s="22">
        <v>-7.2479199999999994E-2</v>
      </c>
      <c r="H362" s="22">
        <v>8.6113099999999996</v>
      </c>
      <c r="I362" s="22">
        <v>-1.3684099999999999E-2</v>
      </c>
      <c r="J362" s="22">
        <v>352</v>
      </c>
      <c r="K362" s="22">
        <v>-7.2906499999999999E-2</v>
      </c>
      <c r="L362">
        <f t="shared" si="60"/>
        <v>16.893950617283949</v>
      </c>
      <c r="M362">
        <f t="shared" si="61"/>
        <v>-1.2244600255802467</v>
      </c>
      <c r="N362" s="9"/>
      <c r="O362" s="22">
        <v>1.67252</v>
      </c>
      <c r="P362" s="22">
        <v>12.229100000000001</v>
      </c>
      <c r="Q362" s="22">
        <v>1.1016800000000001E-4</v>
      </c>
      <c r="R362" s="22">
        <v>352</v>
      </c>
      <c r="S362" s="22">
        <v>1.6720600000000001</v>
      </c>
      <c r="T362">
        <f t="shared" si="62"/>
        <v>-0.13600987654320987</v>
      </c>
      <c r="U362">
        <f t="shared" si="63"/>
        <v>-0.22747923871604936</v>
      </c>
      <c r="X362" s="9"/>
      <c r="Y362" s="22">
        <v>-7.2479199999999994E-2</v>
      </c>
      <c r="Z362" s="22">
        <v>17.505500000000001</v>
      </c>
      <c r="AA362" s="22">
        <v>-1.3671900000000001E-2</v>
      </c>
      <c r="AB362" s="22">
        <v>352</v>
      </c>
      <c r="AC362" s="22">
        <v>-7.2906499999999999E-2</v>
      </c>
      <c r="AD362">
        <f t="shared" si="64"/>
        <v>16.878888888888888</v>
      </c>
      <c r="AE362">
        <f t="shared" si="65"/>
        <v>-1.2233683635555554</v>
      </c>
      <c r="AF362" s="9"/>
      <c r="AG362" s="22">
        <v>1.67252</v>
      </c>
      <c r="AH362" s="22">
        <v>21.1233</v>
      </c>
      <c r="AI362" s="22">
        <v>1.1514300000000001E-4</v>
      </c>
      <c r="AJ362" s="22">
        <v>352</v>
      </c>
      <c r="AK362" s="22">
        <v>1.6714500000000001</v>
      </c>
      <c r="AL362">
        <f t="shared" si="66"/>
        <v>-0.14215185185185183</v>
      </c>
      <c r="AM362">
        <f t="shared" si="67"/>
        <v>-0.23775181525925923</v>
      </c>
      <c r="AP362" s="9"/>
      <c r="AQ362" s="22">
        <v>-7.2479199999999994E-2</v>
      </c>
      <c r="AR362" s="22">
        <v>26.4407</v>
      </c>
      <c r="AS362" s="22">
        <v>-1.34888E-2</v>
      </c>
      <c r="AT362" s="22">
        <v>352</v>
      </c>
      <c r="AU362" s="22">
        <v>-7.2937000000000002E-2</v>
      </c>
      <c r="AV362">
        <f t="shared" si="68"/>
        <v>16.652839506172839</v>
      </c>
      <c r="AW362">
        <f t="shared" si="69"/>
        <v>-1.2069844851358023</v>
      </c>
      <c r="AX362" s="9"/>
      <c r="AY362" s="22">
        <v>1.67252</v>
      </c>
      <c r="AZ362" s="22">
        <v>30.058499999999999</v>
      </c>
      <c r="BA362" s="22">
        <v>-2.33398E-4</v>
      </c>
      <c r="BB362" s="22">
        <v>352</v>
      </c>
      <c r="BC362" s="22">
        <v>1.6711400000000001</v>
      </c>
      <c r="BD362">
        <f t="shared" si="70"/>
        <v>0.28814567901234567</v>
      </c>
      <c r="BE362">
        <f t="shared" si="71"/>
        <v>0.48192941106172837</v>
      </c>
    </row>
    <row r="363" spans="6:57">
      <c r="F363" s="9"/>
      <c r="G363" s="22">
        <v>-7.7514600000000003E-2</v>
      </c>
      <c r="H363" s="22">
        <v>8.6213800000000003</v>
      </c>
      <c r="I363" s="22">
        <v>-1.3684099999999999E-2</v>
      </c>
      <c r="J363" s="22">
        <v>353</v>
      </c>
      <c r="K363" s="22">
        <v>-7.7941899999999995E-2</v>
      </c>
      <c r="L363">
        <f t="shared" si="60"/>
        <v>16.893950617283949</v>
      </c>
      <c r="M363">
        <f t="shared" si="61"/>
        <v>-1.3095278245185185</v>
      </c>
      <c r="N363" s="9"/>
      <c r="O363" s="22">
        <v>1.6775500000000001</v>
      </c>
      <c r="P363" s="22">
        <v>12.2392</v>
      </c>
      <c r="Q363" s="22">
        <v>3.4728999999999999E-4</v>
      </c>
      <c r="R363" s="22">
        <v>353</v>
      </c>
      <c r="S363" s="22">
        <v>1.6766399999999999</v>
      </c>
      <c r="T363">
        <f t="shared" si="62"/>
        <v>-0.42875308641975307</v>
      </c>
      <c r="U363">
        <f t="shared" si="63"/>
        <v>-0.7192547401234568</v>
      </c>
      <c r="X363" s="9"/>
      <c r="Y363" s="22">
        <v>-7.7514600000000003E-2</v>
      </c>
      <c r="Z363" s="22">
        <v>17.515599999999999</v>
      </c>
      <c r="AA363" s="22">
        <v>-1.3681E-2</v>
      </c>
      <c r="AB363" s="22">
        <v>353</v>
      </c>
      <c r="AC363" s="22">
        <v>-7.7850299999999997E-2</v>
      </c>
      <c r="AD363">
        <f t="shared" si="64"/>
        <v>16.890123456790121</v>
      </c>
      <c r="AE363">
        <f t="shared" si="65"/>
        <v>-1.3092311637037035</v>
      </c>
      <c r="AF363" s="9"/>
      <c r="AG363" s="22">
        <v>1.6775500000000001</v>
      </c>
      <c r="AH363" s="22">
        <v>21.133400000000002</v>
      </c>
      <c r="AI363" s="22">
        <v>3.46588E-4</v>
      </c>
      <c r="AJ363" s="22">
        <v>353</v>
      </c>
      <c r="AK363" s="22">
        <v>1.6766399999999999</v>
      </c>
      <c r="AL363">
        <f t="shared" si="66"/>
        <v>-0.42788641975308639</v>
      </c>
      <c r="AM363">
        <f t="shared" si="67"/>
        <v>-0.71780086345679006</v>
      </c>
      <c r="AP363" s="9"/>
      <c r="AQ363" s="22">
        <v>-7.7514600000000003E-2</v>
      </c>
      <c r="AR363" s="22">
        <v>26.450800000000001</v>
      </c>
      <c r="AS363" s="22">
        <v>-1.34857E-2</v>
      </c>
      <c r="AT363" s="22">
        <v>353</v>
      </c>
      <c r="AU363" s="22">
        <v>-7.7941899999999995E-2</v>
      </c>
      <c r="AV363">
        <f t="shared" si="68"/>
        <v>16.649012345679012</v>
      </c>
      <c r="AW363">
        <f t="shared" si="69"/>
        <v>-1.2905415323703704</v>
      </c>
      <c r="AX363" s="9"/>
      <c r="AY363" s="22">
        <v>1.6775500000000001</v>
      </c>
      <c r="AZ363" s="22">
        <v>30.0686</v>
      </c>
      <c r="BA363" s="25">
        <v>2.2583E-6</v>
      </c>
      <c r="BB363" s="22">
        <v>353</v>
      </c>
      <c r="BC363" s="22">
        <v>1.6763300000000001</v>
      </c>
      <c r="BD363">
        <f t="shared" si="70"/>
        <v>-2.7880246913580243E-3</v>
      </c>
      <c r="BE363">
        <f t="shared" si="71"/>
        <v>-4.677050820987654E-3</v>
      </c>
    </row>
    <row r="364" spans="6:57">
      <c r="F364" s="9"/>
      <c r="G364" s="22">
        <v>-8.2549999999999998E-2</v>
      </c>
      <c r="H364" s="22">
        <v>8.6314499999999992</v>
      </c>
      <c r="I364" s="22">
        <v>-1.3681E-2</v>
      </c>
      <c r="J364" s="22">
        <v>354</v>
      </c>
      <c r="K364" s="22">
        <v>-8.3007800000000007E-2</v>
      </c>
      <c r="L364">
        <f t="shared" si="60"/>
        <v>16.890123456790121</v>
      </c>
      <c r="M364">
        <f t="shared" si="61"/>
        <v>-1.3942796913580244</v>
      </c>
      <c r="N364" s="9"/>
      <c r="O364" s="22">
        <v>1.68259</v>
      </c>
      <c r="P364" s="22">
        <v>12.2492</v>
      </c>
      <c r="Q364" s="22">
        <v>5.7830800000000003E-4</v>
      </c>
      <c r="R364" s="22">
        <v>354</v>
      </c>
      <c r="S364" s="22">
        <v>1.6821299999999999</v>
      </c>
      <c r="T364">
        <f t="shared" si="62"/>
        <v>-0.71396049382716054</v>
      </c>
      <c r="U364">
        <f t="shared" si="63"/>
        <v>-1.2013027873086422</v>
      </c>
      <c r="X364" s="9"/>
      <c r="Y364" s="22">
        <v>-8.2549999999999998E-2</v>
      </c>
      <c r="Z364" s="22">
        <v>17.525700000000001</v>
      </c>
      <c r="AA364" s="22">
        <v>-1.3681E-2</v>
      </c>
      <c r="AB364" s="22">
        <v>354</v>
      </c>
      <c r="AC364" s="22">
        <v>-8.3007800000000007E-2</v>
      </c>
      <c r="AD364">
        <f t="shared" si="64"/>
        <v>16.890123456790121</v>
      </c>
      <c r="AE364">
        <f t="shared" si="65"/>
        <v>-1.3942796913580244</v>
      </c>
      <c r="AF364" s="9"/>
      <c r="AG364" s="22">
        <v>1.68259</v>
      </c>
      <c r="AH364" s="22">
        <v>21.1434</v>
      </c>
      <c r="AI364" s="22">
        <v>5.8044399999999995E-4</v>
      </c>
      <c r="AJ364" s="22">
        <v>354</v>
      </c>
      <c r="AK364" s="22">
        <v>1.6818200000000001</v>
      </c>
      <c r="AL364">
        <f t="shared" si="66"/>
        <v>-0.71659753086419742</v>
      </c>
      <c r="AM364">
        <f t="shared" si="67"/>
        <v>-1.20573983945679</v>
      </c>
      <c r="AP364" s="9"/>
      <c r="AQ364" s="22">
        <v>-8.2549999999999998E-2</v>
      </c>
      <c r="AR364" s="22">
        <v>26.460899999999999</v>
      </c>
      <c r="AS364" s="22">
        <v>-1.34796E-2</v>
      </c>
      <c r="AT364" s="22">
        <v>354</v>
      </c>
      <c r="AU364" s="22">
        <v>-8.2977300000000004E-2</v>
      </c>
      <c r="AV364">
        <f t="shared" si="68"/>
        <v>16.641481481481478</v>
      </c>
      <c r="AW364">
        <f t="shared" si="69"/>
        <v>-1.3737542962962959</v>
      </c>
      <c r="AX364" s="9"/>
      <c r="AY364" s="22">
        <v>1.68259</v>
      </c>
      <c r="AZ364" s="22">
        <v>30.078700000000001</v>
      </c>
      <c r="BA364" s="22">
        <v>2.3867800000000001E-4</v>
      </c>
      <c r="BB364" s="22">
        <v>354</v>
      </c>
      <c r="BC364" s="22">
        <v>1.6818200000000001</v>
      </c>
      <c r="BD364">
        <f t="shared" si="70"/>
        <v>-0.2946641975308642</v>
      </c>
      <c r="BE364">
        <f t="shared" si="71"/>
        <v>-0.49579903212345683</v>
      </c>
    </row>
    <row r="365" spans="6:57">
      <c r="F365" s="9"/>
      <c r="G365" s="22">
        <v>-8.7585399999999994E-2</v>
      </c>
      <c r="H365" s="22">
        <v>8.6415199999999999</v>
      </c>
      <c r="I365" s="22">
        <v>-1.3693200000000001E-2</v>
      </c>
      <c r="J365" s="22">
        <v>355</v>
      </c>
      <c r="K365" s="22">
        <v>-8.8043200000000002E-2</v>
      </c>
      <c r="L365">
        <f t="shared" si="60"/>
        <v>16.905185185185186</v>
      </c>
      <c r="M365">
        <f t="shared" si="61"/>
        <v>-1.4806474065185184</v>
      </c>
      <c r="N365" s="9"/>
      <c r="O365" s="22">
        <v>1.6876199999999999</v>
      </c>
      <c r="P365" s="22">
        <v>12.2593</v>
      </c>
      <c r="Q365" s="22">
        <v>8.2702600000000002E-4</v>
      </c>
      <c r="R365" s="22">
        <v>355</v>
      </c>
      <c r="S365" s="22">
        <v>1.6867099999999999</v>
      </c>
      <c r="T365">
        <f t="shared" si="62"/>
        <v>-1.0210197530864198</v>
      </c>
      <c r="U365">
        <f t="shared" si="63"/>
        <v>-1.7230933557037036</v>
      </c>
      <c r="X365" s="9"/>
      <c r="Y365" s="22">
        <v>-8.7585399999999994E-2</v>
      </c>
      <c r="Z365" s="22">
        <v>17.535699999999999</v>
      </c>
      <c r="AA365" s="22">
        <v>-1.3681E-2</v>
      </c>
      <c r="AB365" s="22">
        <v>355</v>
      </c>
      <c r="AC365" s="22">
        <v>-8.8012699999999999E-2</v>
      </c>
      <c r="AD365">
        <f t="shared" si="64"/>
        <v>16.890123456790121</v>
      </c>
      <c r="AE365">
        <f t="shared" si="65"/>
        <v>-1.4793282190123453</v>
      </c>
      <c r="AF365" s="9"/>
      <c r="AG365" s="22">
        <v>1.6876199999999999</v>
      </c>
      <c r="AH365" s="22">
        <v>21.153500000000001</v>
      </c>
      <c r="AI365" s="22">
        <v>8.1817599999999999E-4</v>
      </c>
      <c r="AJ365" s="22">
        <v>355</v>
      </c>
      <c r="AK365" s="22">
        <v>1.6867099999999999</v>
      </c>
      <c r="AL365">
        <f t="shared" si="66"/>
        <v>-1.0100938271604938</v>
      </c>
      <c r="AM365">
        <f t="shared" si="67"/>
        <v>-1.7046545445925925</v>
      </c>
      <c r="AP365" s="9"/>
      <c r="AQ365" s="22">
        <v>-8.7585399999999994E-2</v>
      </c>
      <c r="AR365" s="22">
        <v>26.471</v>
      </c>
      <c r="AS365" s="22">
        <v>-1.34705E-2</v>
      </c>
      <c r="AT365" s="22">
        <v>355</v>
      </c>
      <c r="AU365" s="22">
        <v>-8.7982199999999997E-2</v>
      </c>
      <c r="AV365">
        <f t="shared" si="68"/>
        <v>16.630246913580244</v>
      </c>
      <c r="AW365">
        <f t="shared" si="69"/>
        <v>-1.4565668280246911</v>
      </c>
      <c r="AX365" s="9"/>
      <c r="AY365" s="22">
        <v>1.6876199999999999</v>
      </c>
      <c r="AZ365" s="22">
        <v>30.088699999999999</v>
      </c>
      <c r="BA365" s="22">
        <v>4.8550399999999999E-4</v>
      </c>
      <c r="BB365" s="22">
        <v>355</v>
      </c>
      <c r="BC365" s="22">
        <v>1.6870099999999999</v>
      </c>
      <c r="BD365">
        <f t="shared" si="70"/>
        <v>-0.59938765432098762</v>
      </c>
      <c r="BE365">
        <f t="shared" si="71"/>
        <v>-1.011538593185185</v>
      </c>
    </row>
    <row r="366" spans="6:57">
      <c r="F366" s="9"/>
      <c r="G366" s="22">
        <v>-9.2620800000000003E-2</v>
      </c>
      <c r="H366" s="22">
        <v>8.6516000000000002</v>
      </c>
      <c r="I366" s="22">
        <v>-1.37085E-2</v>
      </c>
      <c r="J366" s="22">
        <v>356</v>
      </c>
      <c r="K366" s="22">
        <v>-9.3078599999999997E-2</v>
      </c>
      <c r="L366">
        <f t="shared" si="60"/>
        <v>16.924074074074074</v>
      </c>
      <c r="M366">
        <f t="shared" si="61"/>
        <v>-1.56752128</v>
      </c>
      <c r="N366" s="9"/>
      <c r="O366" s="22">
        <v>1.6926600000000001</v>
      </c>
      <c r="P366" s="22">
        <v>12.269399999999999</v>
      </c>
      <c r="Q366" s="22">
        <v>1.06415E-3</v>
      </c>
      <c r="R366" s="22">
        <v>356</v>
      </c>
      <c r="S366" s="22">
        <v>1.6921999999999999</v>
      </c>
      <c r="T366">
        <f t="shared" si="62"/>
        <v>-1.3137654320987653</v>
      </c>
      <c r="U366">
        <f t="shared" si="63"/>
        <v>-2.2237581962962962</v>
      </c>
      <c r="X366" s="9"/>
      <c r="Y366" s="22">
        <v>-9.2620800000000003E-2</v>
      </c>
      <c r="Z366" s="22">
        <v>17.5458</v>
      </c>
      <c r="AA366" s="22">
        <v>-1.3684099999999999E-2</v>
      </c>
      <c r="AB366" s="22">
        <v>356</v>
      </c>
      <c r="AC366" s="22">
        <v>-9.3078599999999997E-2</v>
      </c>
      <c r="AD366">
        <f t="shared" si="64"/>
        <v>16.893950617283949</v>
      </c>
      <c r="AE366">
        <f t="shared" si="65"/>
        <v>-1.5647312213333333</v>
      </c>
      <c r="AF366" s="9"/>
      <c r="AG366" s="22">
        <v>1.6926600000000001</v>
      </c>
      <c r="AH366" s="22">
        <v>21.163599999999999</v>
      </c>
      <c r="AI366" s="22">
        <v>1.06598E-3</v>
      </c>
      <c r="AJ366" s="22">
        <v>356</v>
      </c>
      <c r="AK366" s="22">
        <v>1.6915899999999999</v>
      </c>
      <c r="AL366">
        <f t="shared" si="66"/>
        <v>-1.3160246913580247</v>
      </c>
      <c r="AM366">
        <f t="shared" si="67"/>
        <v>-2.227582354074074</v>
      </c>
      <c r="AP366" s="9"/>
      <c r="AQ366" s="22">
        <v>-9.2620800000000003E-2</v>
      </c>
      <c r="AR366" s="22">
        <v>26.481000000000002</v>
      </c>
      <c r="AS366" s="22">
        <v>-1.34644E-2</v>
      </c>
      <c r="AT366" s="22">
        <v>356</v>
      </c>
      <c r="AU366" s="22">
        <v>-9.3078599999999997E-2</v>
      </c>
      <c r="AV366">
        <f t="shared" si="68"/>
        <v>16.622716049382717</v>
      </c>
      <c r="AW366">
        <f t="shared" si="69"/>
        <v>-1.5396092586666668</v>
      </c>
      <c r="AX366" s="9"/>
      <c r="AY366" s="22">
        <v>1.6926600000000001</v>
      </c>
      <c r="AZ366" s="22">
        <v>30.098800000000001</v>
      </c>
      <c r="BA366" s="22">
        <v>7.2387700000000005E-4</v>
      </c>
      <c r="BB366" s="22">
        <v>356</v>
      </c>
      <c r="BC366" s="22">
        <v>1.6921999999999999</v>
      </c>
      <c r="BD366">
        <f t="shared" si="70"/>
        <v>-0.89367530864197531</v>
      </c>
      <c r="BE366">
        <f t="shared" si="71"/>
        <v>-1.5126884479259259</v>
      </c>
    </row>
    <row r="367" spans="6:57">
      <c r="F367" s="9"/>
      <c r="G367" s="22">
        <v>-9.7656300000000001E-2</v>
      </c>
      <c r="H367" s="22">
        <v>8.6616700000000009</v>
      </c>
      <c r="I367" s="22">
        <v>-1.37146E-2</v>
      </c>
      <c r="J367" s="22">
        <v>357</v>
      </c>
      <c r="K367" s="22">
        <v>-9.8144499999999996E-2</v>
      </c>
      <c r="L367">
        <f t="shared" si="60"/>
        <v>16.931604938271605</v>
      </c>
      <c r="M367">
        <f t="shared" si="61"/>
        <v>-1.6534778913333332</v>
      </c>
      <c r="N367" s="9"/>
      <c r="O367" s="22">
        <v>1.6976899999999999</v>
      </c>
      <c r="P367" s="22">
        <v>12.279400000000001</v>
      </c>
      <c r="Q367" s="22">
        <v>1.3147E-3</v>
      </c>
      <c r="R367" s="22">
        <v>357</v>
      </c>
      <c r="S367" s="22">
        <v>1.69678</v>
      </c>
      <c r="T367">
        <f t="shared" si="62"/>
        <v>-1.6230864197530863</v>
      </c>
      <c r="U367">
        <f t="shared" si="63"/>
        <v>-2.7554975839506168</v>
      </c>
      <c r="X367" s="9"/>
      <c r="Y367" s="22">
        <v>-9.7656300000000001E-2</v>
      </c>
      <c r="Z367" s="22">
        <v>17.555900000000001</v>
      </c>
      <c r="AA367" s="22">
        <v>-1.36963E-2</v>
      </c>
      <c r="AB367" s="22">
        <v>357</v>
      </c>
      <c r="AC367" s="22">
        <v>-9.8053000000000001E-2</v>
      </c>
      <c r="AD367">
        <f t="shared" si="64"/>
        <v>16.90901234567901</v>
      </c>
      <c r="AE367">
        <f t="shared" si="65"/>
        <v>-1.651271582333333</v>
      </c>
      <c r="AF367" s="9"/>
      <c r="AG367" s="22">
        <v>1.6976899999999999</v>
      </c>
      <c r="AH367" s="22">
        <v>21.1736</v>
      </c>
      <c r="AI367" s="22">
        <v>1.3162200000000001E-3</v>
      </c>
      <c r="AJ367" s="22">
        <v>357</v>
      </c>
      <c r="AK367" s="22">
        <v>1.6970799999999999</v>
      </c>
      <c r="AL367">
        <f t="shared" si="66"/>
        <v>-1.6249629629629629</v>
      </c>
      <c r="AM367">
        <f t="shared" si="67"/>
        <v>-2.7586833725925923</v>
      </c>
      <c r="AP367" s="9"/>
      <c r="AQ367" s="22">
        <v>-9.7656300000000001E-2</v>
      </c>
      <c r="AR367" s="22">
        <v>26.491099999999999</v>
      </c>
      <c r="AS367" s="22">
        <v>-1.34705E-2</v>
      </c>
      <c r="AT367" s="22">
        <v>357</v>
      </c>
      <c r="AU367" s="22">
        <v>-9.8022499999999999E-2</v>
      </c>
      <c r="AV367">
        <f t="shared" si="68"/>
        <v>16.630246913580244</v>
      </c>
      <c r="AW367">
        <f t="shared" si="69"/>
        <v>-1.6240483816666664</v>
      </c>
      <c r="AX367" s="9"/>
      <c r="AY367" s="22">
        <v>1.6976899999999999</v>
      </c>
      <c r="AZ367" s="22">
        <v>30.108899999999998</v>
      </c>
      <c r="BA367" s="22">
        <v>9.7564699999999995E-4</v>
      </c>
      <c r="BB367" s="22">
        <v>357</v>
      </c>
      <c r="BC367" s="22">
        <v>1.6964699999999999</v>
      </c>
      <c r="BD367">
        <f t="shared" si="70"/>
        <v>-1.2045024691358024</v>
      </c>
      <c r="BE367">
        <f t="shared" si="71"/>
        <v>-2.0448717968271604</v>
      </c>
    </row>
    <row r="368" spans="6:57">
      <c r="F368" s="9"/>
      <c r="G368" s="22">
        <v>-0.10269200000000001</v>
      </c>
      <c r="H368" s="22">
        <v>8.6717399999999998</v>
      </c>
      <c r="I368" s="22">
        <v>-1.3726800000000001E-2</v>
      </c>
      <c r="J368" s="22">
        <v>358</v>
      </c>
      <c r="K368" s="22">
        <v>-0.10302699999999999</v>
      </c>
      <c r="L368">
        <f t="shared" si="60"/>
        <v>16.946666666666665</v>
      </c>
      <c r="M368">
        <f t="shared" si="61"/>
        <v>-1.7402870933333332</v>
      </c>
      <c r="N368" s="9"/>
      <c r="O368" s="22">
        <v>1.7027300000000001</v>
      </c>
      <c r="P368" s="22">
        <v>12.2895</v>
      </c>
      <c r="Q368" s="22">
        <v>1.55762E-3</v>
      </c>
      <c r="R368" s="22">
        <v>358</v>
      </c>
      <c r="S368" s="22">
        <v>1.70197</v>
      </c>
      <c r="T368">
        <f t="shared" si="62"/>
        <v>-1.9229876543209874</v>
      </c>
      <c r="U368">
        <f t="shared" si="63"/>
        <v>-3.2743287686419751</v>
      </c>
      <c r="X368" s="9"/>
      <c r="Y368" s="22">
        <v>-0.10269200000000001</v>
      </c>
      <c r="Z368" s="22">
        <v>17.565899999999999</v>
      </c>
      <c r="AA368" s="22">
        <v>-1.37024E-2</v>
      </c>
      <c r="AB368" s="22">
        <v>358</v>
      </c>
      <c r="AC368" s="22">
        <v>-0.103088</v>
      </c>
      <c r="AD368">
        <f t="shared" si="64"/>
        <v>16.916543209876544</v>
      </c>
      <c r="AE368">
        <f t="shared" si="65"/>
        <v>-1.737193655308642</v>
      </c>
      <c r="AF368" s="9"/>
      <c r="AG368" s="22">
        <v>1.7027300000000001</v>
      </c>
      <c r="AH368" s="22">
        <v>21.183700000000002</v>
      </c>
      <c r="AI368" s="22">
        <v>1.5686000000000001E-3</v>
      </c>
      <c r="AJ368" s="22">
        <v>358</v>
      </c>
      <c r="AK368" s="22">
        <v>1.7022699999999999</v>
      </c>
      <c r="AL368">
        <f t="shared" si="66"/>
        <v>-1.9365432098765432</v>
      </c>
      <c r="AM368">
        <f t="shared" si="67"/>
        <v>-3.2974102197530866</v>
      </c>
      <c r="AP368" s="9"/>
      <c r="AQ368" s="22">
        <v>-0.10269200000000001</v>
      </c>
      <c r="AR368" s="22">
        <v>26.501200000000001</v>
      </c>
      <c r="AS368" s="22">
        <v>-1.34918E-2</v>
      </c>
      <c r="AT368" s="22">
        <v>358</v>
      </c>
      <c r="AU368" s="22">
        <v>-0.103119</v>
      </c>
      <c r="AV368">
        <f t="shared" si="68"/>
        <v>16.656543209876542</v>
      </c>
      <c r="AW368">
        <f t="shared" si="69"/>
        <v>-1.710493735308642</v>
      </c>
      <c r="AX368" s="9"/>
      <c r="AY368" s="22">
        <v>1.7027300000000001</v>
      </c>
      <c r="AZ368" s="22">
        <v>30.1189</v>
      </c>
      <c r="BA368" s="22">
        <v>1.2216200000000001E-3</v>
      </c>
      <c r="BB368" s="22">
        <v>358</v>
      </c>
      <c r="BC368" s="22">
        <v>1.70166</v>
      </c>
      <c r="BD368">
        <f t="shared" si="70"/>
        <v>-1.5081728395061729</v>
      </c>
      <c r="BE368">
        <f t="shared" si="71"/>
        <v>-2.5680111390123459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1.7343887501214836</v>
      </c>
      <c r="C3">
        <f ca="1">INDEX(INDIRECT(A3&amp;"!B11"):INDIRECT(A3&amp;"!B21"),MATCH(E3,INDIRECT(A3&amp;"!D11"):INDIRECT(A3&amp;"!D21"),0))</f>
        <v>17.139272788519733</v>
      </c>
      <c r="D3">
        <f ca="1">INDEX(INDIRECT(A3&amp;"!C11"):INDIRECT(A3&amp;"!C21"),MATCH(E3,INDIRECT(A3&amp;"!D11"):INDIRECT(A3&amp;"!D21"),0))</f>
        <v>0.6320493187047781</v>
      </c>
      <c r="E3">
        <f t="shared" ref="E3" ca="1" si="0">MAX(INDIRECT(A3&amp; "!D11"),INDIRECT(A3 &amp; "!D13"),INDIRECT(A3 &amp; "!D15"),INDIRECT(A3 &amp; "!D17"),INDIRECT(A3 &amp; "!D19"),INDIRECT(A3 &amp; "!D21"))</f>
        <v>18.788400382716048</v>
      </c>
      <c r="G3">
        <f ca="1">INDEX(INDIRECT(A3&amp;"!A12"):INDIRECT(A3&amp;"!A22"),MATCH(J3,INDIRECT(A3&amp;"!D12"):INDIRECT(A3&amp;"!D22"),0))</f>
        <v>1.7314284944166645</v>
      </c>
      <c r="H3">
        <f ca="1">INDEX(INDIRECT(A3&amp;"!B12"):INDIRECT(A3&amp;"!B22"),MATCH(J3,INDIRECT(A3&amp;"!D12"):INDIRECT(A3&amp;"!D22"),0))</f>
        <v>16.920977342844029</v>
      </c>
      <c r="I3">
        <f ca="1">INDEX(INDIRECT(A3&amp;"!C12"):INDIRECT(A3&amp;"!C22"),MATCH(J3,INDIRECT(A3&amp;"!D12"):INDIRECT(A3&amp;"!D22"),0))</f>
        <v>0.62173131847008167</v>
      </c>
      <c r="J3">
        <f t="shared" ref="J3" ca="1" si="1">MAX(INDIRECT(A3&amp; "!D12"),INDIRECT(A3 &amp; "!D14"),INDIRECT(A3 &amp; "!D16"),INDIRECT(A3 &amp; "!D18"),INDIRECT(A3 &amp; "!D20"),,INDIRECT(A3 &amp; "!D22"))</f>
        <v>18.215149879012348</v>
      </c>
      <c r="L3">
        <f ca="1">INDEX(INDIRECT(A3&amp;"!E11"):INDIRECT(A3&amp;"!E21"),MATCH(E3,INDIRECT(A3&amp;"!D11"):INDIRECT(A3&amp;"!D21"),0))</f>
        <v>3.2143383193067545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1.6929830965229034</v>
      </c>
      <c r="C4">
        <f ca="1">INDEX(INDIRECT(A4&amp;"!B11"):INDIRECT(A4&amp;"!B21"),MATCH(E4,INDIRECT(A4&amp;"!D11"):INDIRECT(A4&amp;"!D21"),0))</f>
        <v>16.722894404137197</v>
      </c>
      <c r="D4">
        <f ca="1">INDEX(INDIRECT(A4&amp;"!C11"):INDIRECT(A4&amp;"!C21"),MATCH(E4,INDIRECT(A4&amp;"!D11"):INDIRECT(A4&amp;"!D21"),0))</f>
        <v>0.65438627708513664</v>
      </c>
      <c r="E4">
        <f t="shared" ref="E4" ca="1" si="2">MAX(INDIRECT(A4&amp; "!D11"),INDIRECT(A4 &amp; "!D13"),INDIRECT(A4 &amp; "!D15"),INDIRECT(A4 &amp; "!D17"),INDIRECT(A4 &amp; "!D19"),INDIRECT(A4 &amp; "!D21"))</f>
        <v>18.526707832098761</v>
      </c>
      <c r="G4">
        <f ca="1">INDEX(INDIRECT(A4&amp;"!A12"):INDIRECT(A4&amp;"!A22"),MATCH(J4,INDIRECT(A4&amp;"!D12"):INDIRECT(A4&amp;"!D22"),0))</f>
        <v>1.6880727561679318</v>
      </c>
      <c r="H4">
        <f ca="1">INDEX(INDIRECT(A4&amp;"!B12"):INDIRECT(A4&amp;"!B22"),MATCH(J4,INDIRECT(A4&amp;"!D12"):INDIRECT(A4&amp;"!D22"),0))</f>
        <v>16.701697842468512</v>
      </c>
      <c r="I4">
        <f ca="1">INDEX(INDIRECT(A4&amp;"!C12"):INDIRECT(A4&amp;"!C22"),MATCH(J4,INDIRECT(A4&amp;"!D12"):INDIRECT(A4&amp;"!D22"),0))</f>
        <v>0.6308466987750796</v>
      </c>
      <c r="J4">
        <f t="shared" ref="J4" ca="1" si="3">MAX(INDIRECT(A4&amp; "!D12"),INDIRECT(A4 &amp; "!D14"),INDIRECT(A4 &amp; "!D16"),INDIRECT(A4 &amp; "!D18"),INDIRECT(A4 &amp; "!D20"),,INDIRECT(A4 &amp; "!D22"))</f>
        <v>17.785890654320987</v>
      </c>
      <c r="L4">
        <f ca="1">INDEX(INDIRECT(A4&amp;"!E11"):INDIRECT(A4&amp;"!E21"),MATCH(E4,INDIRECT(A4&amp;"!D11"):INDIRECT(A4&amp;"!D21"),0))</f>
        <v>3.9986444677141137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1.677337548059304</v>
      </c>
      <c r="C5">
        <f ca="1">INDEX(INDIRECT(A5&amp;"!B11"):INDIRECT(A5&amp;"!B21"),MATCH(E5,INDIRECT(A5&amp;"!D11"):INDIRECT(A5&amp;"!D21"),0))</f>
        <v>16.619049430540901</v>
      </c>
      <c r="D5">
        <f ca="1">INDEX(INDIRECT(A5&amp;"!C11"):INDIRECT(A5&amp;"!C21"),MATCH(E5,INDIRECT(A5&amp;"!D11"):INDIRECT(A5&amp;"!D21"),0))</f>
        <v>0.62220835761697924</v>
      </c>
      <c r="E5">
        <f t="shared" ref="E5" ca="1" si="4">MAX(INDIRECT(A5&amp; "!D11"),INDIRECT(A5 &amp; "!D13"),INDIRECT(A5 &amp; "!D15"),INDIRECT(A5 &amp; "!D17"),INDIRECT(A5 &amp; "!D19"),INDIRECT(A5 &amp; "!D21"))</f>
        <v>17.34452812345679</v>
      </c>
      <c r="G5">
        <f ca="1">INDEX(INDIRECT(A5&amp;"!A12"):INDIRECT(A5&amp;"!A22"),MATCH(J5,INDIRECT(A5&amp;"!D12"):INDIRECT(A5&amp;"!D22"),0))</f>
        <v>1.6762802641049699</v>
      </c>
      <c r="H5">
        <f ca="1">INDEX(INDIRECT(A5&amp;"!B12"):INDIRECT(A5&amp;"!B22"),MATCH(J5,INDIRECT(A5&amp;"!D12"):INDIRECT(A5&amp;"!D22"),0))</f>
        <v>16.604802270820304</v>
      </c>
      <c r="I5">
        <f ca="1">INDEX(INDIRECT(A5&amp;"!C12"):INDIRECT(A5&amp;"!C22"),MATCH(J5,INDIRECT(A5&amp;"!D12"):INDIRECT(A5&amp;"!D22"),0))</f>
        <v>0.59646168099051355</v>
      </c>
      <c r="J5">
        <f t="shared" ref="J5" ca="1" si="5">MAX(INDIRECT(A5&amp; "!D12"),INDIRECT(A5 &amp; "!D14"),INDIRECT(A5 &amp; "!D16"),INDIRECT(A5 &amp; "!D18"),INDIRECT(A5 &amp; "!D20"),,INDIRECT(A5 &amp; "!D22"))</f>
        <v>16.602094760493824</v>
      </c>
      <c r="L5">
        <f ca="1">INDEX(INDIRECT(A5&amp;"!E11"):INDIRECT(A5&amp;"!E21"),MATCH(E5,INDIRECT(A5&amp;"!D11"):INDIRECT(A5&amp;"!D21"),0))</f>
        <v>4.280504823644625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20221231T210000</vt:lpstr>
      <vt:lpstr>20230101T090000</vt:lpstr>
      <vt:lpstr>20230102T090000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2023-01-02T05:00:36Z</dcterms:modified>
</cp:coreProperties>
</file>